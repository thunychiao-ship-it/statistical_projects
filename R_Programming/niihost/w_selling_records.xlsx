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oexe\Downloads\"/>
    </mc:Choice>
  </mc:AlternateContent>
  <xr:revisionPtr revIDLastSave="0" documentId="13_ncr:1_{646AC9F1-123B-4A94-AFBA-3D88CC8D2162}" xr6:coauthVersionLast="47" xr6:coauthVersionMax="47" xr10:uidLastSave="{00000000-0000-0000-0000-000000000000}"/>
  <bookViews>
    <workbookView xWindow="-38520" yWindow="-1935" windowWidth="38640" windowHeight="21120" activeTab="17" xr2:uid="{00000000-000D-0000-FFFF-FFFF00000000}"/>
  </bookViews>
  <sheets>
    <sheet name="汇总" sheetId="1" r:id="rId1"/>
    <sheet name="Mercury2025" sheetId="2" r:id="rId2"/>
    <sheet name="PayPal2025" sheetId="3" r:id="rId3"/>
    <sheet name="USDT2025" sheetId="4" r:id="rId4"/>
    <sheet name="支付宝" sheetId="5" r:id="rId5"/>
    <sheet name="Wise2025" sheetId="6" r:id="rId6"/>
    <sheet name="Payssion" sheetId="7" r:id="rId7"/>
    <sheet name="TUTU账目" sheetId="8" r:id="rId8"/>
    <sheet name="供应商账单" sheetId="9" r:id="rId9"/>
    <sheet name="W系统销售统计2025" sheetId="10" r:id="rId10"/>
    <sheet name="其它流水2025" sheetId="11" r:id="rId11"/>
    <sheet name="采购" sheetId="12" r:id="rId12"/>
    <sheet name="工资表" sheetId="13" r:id="rId13"/>
    <sheet name="USDT2024" sheetId="14" r:id="rId14"/>
    <sheet name="Mercury2024" sheetId="15" r:id="rId15"/>
    <sheet name="PayPal2024" sheetId="16" r:id="rId16"/>
    <sheet name="Wise2024" sheetId="17" r:id="rId17"/>
    <sheet name="W系统销售统计2024" sheetId="18" r:id="rId18"/>
  </sheets>
  <definedNames>
    <definedName name="_xlnm._FilterDatabase" localSheetId="3" hidden="1">USDT2025!$A$1:$W$357</definedName>
    <definedName name="_xlnm._FilterDatabase" localSheetId="5" hidden="1">Wise2025!$A$1:$AB$98</definedName>
    <definedName name="_xlnm._FilterDatabase" localSheetId="17" hidden="1">W系统销售统计2024!$A$1:$P$1172</definedName>
    <definedName name="_xlnm._FilterDatabase" localSheetId="9" hidden="1">W系统销售统计2025!$A$1:$Z$2838</definedName>
    <definedName name="_xlnm._FilterDatabase" localSheetId="8" hidden="1">供应商账单!$A$1:$AD$47</definedName>
    <definedName name="_xlnm._FilterDatabase" localSheetId="0" hidden="1">汇总!$A$1:$AE$97</definedName>
    <definedName name="_xlnm._FilterDatabase" localSheetId="11" hidden="1">采购!$A$1:$X$29</definedName>
    <definedName name="Z_320E83B0_EA91_46E2_B71C_E89A1C29F6D2_.wvu.FilterData" localSheetId="13" hidden="1">USDT2024!$A$1:$M$46</definedName>
  </definedNames>
  <calcPr calcId="191029"/>
  <customWorkbookViews>
    <customWorkbookView name="分组依据：结算月" guid="{320E83B0-EA91-46E2-B71C-E89A1C29F6D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72" i="18" l="1"/>
  <c r="O1172" i="18"/>
  <c r="P1171" i="18"/>
  <c r="O1171" i="18"/>
  <c r="P1170" i="18"/>
  <c r="O1170" i="18"/>
  <c r="P1169" i="18"/>
  <c r="O1169" i="18"/>
  <c r="P1168" i="18"/>
  <c r="O1168" i="18"/>
  <c r="P1167" i="18"/>
  <c r="O1167" i="18"/>
  <c r="P1166" i="18"/>
  <c r="O1166" i="18"/>
  <c r="P1165" i="18"/>
  <c r="O1165" i="18"/>
  <c r="P1164" i="18"/>
  <c r="O1164" i="18"/>
  <c r="P1163" i="18"/>
  <c r="O1163" i="18"/>
  <c r="P1162" i="18"/>
  <c r="O1162" i="18"/>
  <c r="P1161" i="18"/>
  <c r="O1161" i="18"/>
  <c r="P1160" i="18"/>
  <c r="O1160" i="18"/>
  <c r="P1159" i="18"/>
  <c r="O1159" i="18"/>
  <c r="P1158" i="18"/>
  <c r="O1158" i="18"/>
  <c r="P1157" i="18"/>
  <c r="O1157" i="18"/>
  <c r="P1156" i="18"/>
  <c r="O1156" i="18"/>
  <c r="P1155" i="18"/>
  <c r="O1155" i="18"/>
  <c r="P1154" i="18"/>
  <c r="O1154" i="18"/>
  <c r="P1153" i="18"/>
  <c r="O1153" i="18"/>
  <c r="P1152" i="18"/>
  <c r="O1152" i="18"/>
  <c r="P1151" i="18"/>
  <c r="O1151" i="18"/>
  <c r="P1150" i="18"/>
  <c r="O1150" i="18"/>
  <c r="P1149" i="18"/>
  <c r="O1149" i="18"/>
  <c r="P1148" i="18"/>
  <c r="O1148" i="18"/>
  <c r="P1147" i="18"/>
  <c r="O1147" i="18"/>
  <c r="P1146" i="18"/>
  <c r="O1146" i="18"/>
  <c r="P1145" i="18"/>
  <c r="O1145" i="18"/>
  <c r="P1144" i="18"/>
  <c r="O1144" i="18"/>
  <c r="P1143" i="18"/>
  <c r="O1143" i="18"/>
  <c r="P1142" i="18"/>
  <c r="O1142" i="18"/>
  <c r="P1141" i="18"/>
  <c r="O1141" i="18"/>
  <c r="P1140" i="18"/>
  <c r="O1140" i="18"/>
  <c r="P1139" i="18"/>
  <c r="O1139" i="18"/>
  <c r="P1138" i="18"/>
  <c r="O1138" i="18"/>
  <c r="P1137" i="18"/>
  <c r="O1137" i="18"/>
  <c r="P1136" i="18"/>
  <c r="O1136" i="18"/>
  <c r="P1135" i="18"/>
  <c r="O1135" i="18"/>
  <c r="P1134" i="18"/>
  <c r="O1134" i="18"/>
  <c r="P1133" i="18"/>
  <c r="O1133" i="18"/>
  <c r="P1132" i="18"/>
  <c r="O1132" i="18"/>
  <c r="P1131" i="18"/>
  <c r="O1131" i="18"/>
  <c r="P1130" i="18"/>
  <c r="O1130" i="18"/>
  <c r="P1129" i="18"/>
  <c r="O1129" i="18"/>
  <c r="P1128" i="18"/>
  <c r="O1128" i="18"/>
  <c r="P1127" i="18"/>
  <c r="O1127" i="18"/>
  <c r="P1126" i="18"/>
  <c r="O1126" i="18"/>
  <c r="P1125" i="18"/>
  <c r="O1125" i="18"/>
  <c r="P1124" i="18"/>
  <c r="O1124" i="18"/>
  <c r="P1123" i="18"/>
  <c r="O1123" i="18"/>
  <c r="P1122" i="18"/>
  <c r="O1122" i="18"/>
  <c r="P1121" i="18"/>
  <c r="O1121" i="18"/>
  <c r="P1120" i="18"/>
  <c r="O1120" i="18"/>
  <c r="P1119" i="18"/>
  <c r="O1119" i="18"/>
  <c r="P1118" i="18"/>
  <c r="O1118" i="18"/>
  <c r="P1117" i="18"/>
  <c r="O1117" i="18"/>
  <c r="P1116" i="18"/>
  <c r="O1116" i="18"/>
  <c r="P1115" i="18"/>
  <c r="O1115" i="18"/>
  <c r="P1114" i="18"/>
  <c r="O1114" i="18"/>
  <c r="P1113" i="18"/>
  <c r="O1113" i="18"/>
  <c r="P1112" i="18"/>
  <c r="O1112" i="18"/>
  <c r="P1111" i="18"/>
  <c r="O1111" i="18"/>
  <c r="P1110" i="18"/>
  <c r="O1110" i="18"/>
  <c r="P1109" i="18"/>
  <c r="O1109" i="18"/>
  <c r="P1108" i="18"/>
  <c r="O1108" i="18"/>
  <c r="P1107" i="18"/>
  <c r="O1107" i="18"/>
  <c r="P1106" i="18"/>
  <c r="O1106" i="18"/>
  <c r="P1105" i="18"/>
  <c r="O1105" i="18"/>
  <c r="P1104" i="18"/>
  <c r="O1104" i="18"/>
  <c r="P1103" i="18"/>
  <c r="O1103" i="18"/>
  <c r="P1102" i="18"/>
  <c r="O1102" i="18"/>
  <c r="P1101" i="18"/>
  <c r="O1101" i="18"/>
  <c r="P1100" i="18"/>
  <c r="O1100" i="18"/>
  <c r="P1099" i="18"/>
  <c r="O1099" i="18"/>
  <c r="P1098" i="18"/>
  <c r="O1098" i="18"/>
  <c r="P1097" i="18"/>
  <c r="O1097" i="18"/>
  <c r="P1096" i="18"/>
  <c r="O1096" i="18"/>
  <c r="P1095" i="18"/>
  <c r="O1095" i="18"/>
  <c r="P1094" i="18"/>
  <c r="O1094" i="18"/>
  <c r="P1093" i="18"/>
  <c r="O1093" i="18"/>
  <c r="P1092" i="18"/>
  <c r="O1092" i="18"/>
  <c r="P1091" i="18"/>
  <c r="O1091" i="18"/>
  <c r="P1090" i="18"/>
  <c r="O1090" i="18"/>
  <c r="P1089" i="18"/>
  <c r="O1089" i="18"/>
  <c r="P1088" i="18"/>
  <c r="O1088" i="18"/>
  <c r="P1087" i="18"/>
  <c r="O1087" i="18"/>
  <c r="P1086" i="18"/>
  <c r="O1086" i="18"/>
  <c r="P1085" i="18"/>
  <c r="O1085" i="18"/>
  <c r="P1084" i="18"/>
  <c r="O1084" i="18"/>
  <c r="P1083" i="18"/>
  <c r="O1083" i="18"/>
  <c r="P1082" i="18"/>
  <c r="O1082" i="18"/>
  <c r="P1081" i="18"/>
  <c r="O1081" i="18"/>
  <c r="P1080" i="18"/>
  <c r="O1080" i="18"/>
  <c r="P1079" i="18"/>
  <c r="O1079" i="18"/>
  <c r="P1078" i="18"/>
  <c r="O1078" i="18"/>
  <c r="P1077" i="18"/>
  <c r="O1077" i="18"/>
  <c r="P1076" i="18"/>
  <c r="O1076" i="18"/>
  <c r="P1075" i="18"/>
  <c r="O1075" i="18"/>
  <c r="P1074" i="18"/>
  <c r="O1074" i="18"/>
  <c r="P1073" i="18"/>
  <c r="O1073" i="18"/>
  <c r="P1072" i="18"/>
  <c r="O1072" i="18"/>
  <c r="P1071" i="18"/>
  <c r="O1071" i="18"/>
  <c r="P1070" i="18"/>
  <c r="O1070" i="18"/>
  <c r="P1069" i="18"/>
  <c r="O1069" i="18"/>
  <c r="P1068" i="18"/>
  <c r="O1068" i="18"/>
  <c r="P1067" i="18"/>
  <c r="O1067" i="18"/>
  <c r="P1066" i="18"/>
  <c r="O1066" i="18"/>
  <c r="P1065" i="18"/>
  <c r="O1065" i="18"/>
  <c r="P1064" i="18"/>
  <c r="O1064" i="18"/>
  <c r="P1063" i="18"/>
  <c r="O1063" i="18"/>
  <c r="P1062" i="18"/>
  <c r="O1062" i="18"/>
  <c r="P1061" i="18"/>
  <c r="O1061" i="18"/>
  <c r="P1060" i="18"/>
  <c r="O1060" i="18"/>
  <c r="P1059" i="18"/>
  <c r="O1059" i="18"/>
  <c r="P1058" i="18"/>
  <c r="O1058" i="18"/>
  <c r="P1057" i="18"/>
  <c r="O1057" i="18"/>
  <c r="P1056" i="18"/>
  <c r="O1056" i="18"/>
  <c r="P1055" i="18"/>
  <c r="O1055" i="18"/>
  <c r="P1054" i="18"/>
  <c r="O1054" i="18"/>
  <c r="P1053" i="18"/>
  <c r="O1053" i="18"/>
  <c r="P1052" i="18"/>
  <c r="O1052" i="18"/>
  <c r="P1051" i="18"/>
  <c r="O1051" i="18"/>
  <c r="P1050" i="18"/>
  <c r="O1050" i="18"/>
  <c r="P1049" i="18"/>
  <c r="O1049" i="18"/>
  <c r="P1048" i="18"/>
  <c r="O1048" i="18"/>
  <c r="P1047" i="18"/>
  <c r="O1047" i="18"/>
  <c r="P1046" i="18"/>
  <c r="O1046" i="18"/>
  <c r="P1045" i="18"/>
  <c r="O1045" i="18"/>
  <c r="P1044" i="18"/>
  <c r="O1044" i="18"/>
  <c r="P1043" i="18"/>
  <c r="O1043" i="18"/>
  <c r="P1042" i="18"/>
  <c r="O1042" i="18"/>
  <c r="P1041" i="18"/>
  <c r="O1041" i="18"/>
  <c r="P1040" i="18"/>
  <c r="O1040" i="18"/>
  <c r="P1039" i="18"/>
  <c r="O1039" i="18"/>
  <c r="P1038" i="18"/>
  <c r="O1038" i="18"/>
  <c r="P1037" i="18"/>
  <c r="O1037" i="18"/>
  <c r="P1036" i="18"/>
  <c r="O1036" i="18"/>
  <c r="P1035" i="18"/>
  <c r="O1035" i="18"/>
  <c r="P1034" i="18"/>
  <c r="O1034" i="18"/>
  <c r="P1033" i="18"/>
  <c r="O1033" i="18"/>
  <c r="P1032" i="18"/>
  <c r="O1032" i="18"/>
  <c r="P1031" i="18"/>
  <c r="O1031" i="18"/>
  <c r="P1030" i="18"/>
  <c r="O1030" i="18"/>
  <c r="P1029" i="18"/>
  <c r="O1029" i="18"/>
  <c r="P1028" i="18"/>
  <c r="O1028" i="18"/>
  <c r="P1027" i="18"/>
  <c r="O1027" i="18"/>
  <c r="P1026" i="18"/>
  <c r="O1026" i="18"/>
  <c r="P1025" i="18"/>
  <c r="O1025" i="18"/>
  <c r="P1024" i="18"/>
  <c r="O1024" i="18"/>
  <c r="P1023" i="18"/>
  <c r="O1023" i="18"/>
  <c r="P1022" i="18"/>
  <c r="O1022" i="18"/>
  <c r="P1021" i="18"/>
  <c r="O1021" i="18"/>
  <c r="P1020" i="18"/>
  <c r="O1020" i="18"/>
  <c r="P1019" i="18"/>
  <c r="O1019" i="18"/>
  <c r="P1018" i="18"/>
  <c r="O1018" i="18"/>
  <c r="P1017" i="18"/>
  <c r="O1017" i="18"/>
  <c r="P1016" i="18"/>
  <c r="O1016" i="18"/>
  <c r="P1015" i="18"/>
  <c r="O1015" i="18"/>
  <c r="P1014" i="18"/>
  <c r="O1014" i="18"/>
  <c r="P1013" i="18"/>
  <c r="O1013" i="18"/>
  <c r="P1012" i="18"/>
  <c r="O1012" i="18"/>
  <c r="P1011" i="18"/>
  <c r="O1011" i="18"/>
  <c r="P1010" i="18"/>
  <c r="O1010" i="18"/>
  <c r="P1009" i="18"/>
  <c r="O1009" i="18"/>
  <c r="P1008" i="18"/>
  <c r="O1008" i="18"/>
  <c r="P1007" i="18"/>
  <c r="O1007" i="18"/>
  <c r="P1006" i="18"/>
  <c r="O1006" i="18"/>
  <c r="P1005" i="18"/>
  <c r="O1005" i="18"/>
  <c r="P1004" i="18"/>
  <c r="O1004" i="18"/>
  <c r="P1003" i="18"/>
  <c r="O1003" i="18"/>
  <c r="P1002" i="18"/>
  <c r="O1002" i="18"/>
  <c r="P1001" i="18"/>
  <c r="O1001" i="18"/>
  <c r="P1000" i="18"/>
  <c r="O1000" i="18"/>
  <c r="P999" i="18"/>
  <c r="O999" i="18"/>
  <c r="P998" i="18"/>
  <c r="O998" i="18"/>
  <c r="P997" i="18"/>
  <c r="O997" i="18"/>
  <c r="P996" i="18"/>
  <c r="O996" i="18"/>
  <c r="P995" i="18"/>
  <c r="O995" i="18"/>
  <c r="P994" i="18"/>
  <c r="O994" i="18"/>
  <c r="P993" i="18"/>
  <c r="O993" i="18"/>
  <c r="P992" i="18"/>
  <c r="O992" i="18"/>
  <c r="P991" i="18"/>
  <c r="O991" i="18"/>
  <c r="P990" i="18"/>
  <c r="O990" i="18"/>
  <c r="P989" i="18"/>
  <c r="O989" i="18"/>
  <c r="P988" i="18"/>
  <c r="O988" i="18"/>
  <c r="P987" i="18"/>
  <c r="O987" i="18"/>
  <c r="P986" i="18"/>
  <c r="O986" i="18"/>
  <c r="P985" i="18"/>
  <c r="O985" i="18"/>
  <c r="P984" i="18"/>
  <c r="O984" i="18"/>
  <c r="P983" i="18"/>
  <c r="O983" i="18"/>
  <c r="P982" i="18"/>
  <c r="O982" i="18"/>
  <c r="P981" i="18"/>
  <c r="O981" i="18"/>
  <c r="P980" i="18"/>
  <c r="O980" i="18"/>
  <c r="P979" i="18"/>
  <c r="O979" i="18"/>
  <c r="P978" i="18"/>
  <c r="O978" i="18"/>
  <c r="P977" i="18"/>
  <c r="O977" i="18"/>
  <c r="P976" i="18"/>
  <c r="O976" i="18"/>
  <c r="P975" i="18"/>
  <c r="O975" i="18"/>
  <c r="P974" i="18"/>
  <c r="O974" i="18"/>
  <c r="P973" i="18"/>
  <c r="O973" i="18"/>
  <c r="P972" i="18"/>
  <c r="O972" i="18"/>
  <c r="P971" i="18"/>
  <c r="O971" i="18"/>
  <c r="P970" i="18"/>
  <c r="O970" i="18"/>
  <c r="P969" i="18"/>
  <c r="O969" i="18"/>
  <c r="P968" i="18"/>
  <c r="O968" i="18"/>
  <c r="P967" i="18"/>
  <c r="O967" i="18"/>
  <c r="P966" i="18"/>
  <c r="O966" i="18"/>
  <c r="P965" i="18"/>
  <c r="O965" i="18"/>
  <c r="P964" i="18"/>
  <c r="O964" i="18"/>
  <c r="P963" i="18"/>
  <c r="O963" i="18"/>
  <c r="P962" i="18"/>
  <c r="O962" i="18"/>
  <c r="P961" i="18"/>
  <c r="O961" i="18"/>
  <c r="P960" i="18"/>
  <c r="O960" i="18"/>
  <c r="P959" i="18"/>
  <c r="O959" i="18"/>
  <c r="P958" i="18"/>
  <c r="O958" i="18"/>
  <c r="P957" i="18"/>
  <c r="O957" i="18"/>
  <c r="P956" i="18"/>
  <c r="O956" i="18"/>
  <c r="P955" i="18"/>
  <c r="O955" i="18"/>
  <c r="P954" i="18"/>
  <c r="O954" i="18"/>
  <c r="P953" i="18"/>
  <c r="O953" i="18"/>
  <c r="P952" i="18"/>
  <c r="O952" i="18"/>
  <c r="P951" i="18"/>
  <c r="O951" i="18"/>
  <c r="P950" i="18"/>
  <c r="O950" i="18"/>
  <c r="P949" i="18"/>
  <c r="O949" i="18"/>
  <c r="P948" i="18"/>
  <c r="O948" i="18"/>
  <c r="P947" i="18"/>
  <c r="O947" i="18"/>
  <c r="P946" i="18"/>
  <c r="O946" i="18"/>
  <c r="P945" i="18"/>
  <c r="O945" i="18"/>
  <c r="P944" i="18"/>
  <c r="O944" i="18"/>
  <c r="P943" i="18"/>
  <c r="O943" i="18"/>
  <c r="P942" i="18"/>
  <c r="O942" i="18"/>
  <c r="P941" i="18"/>
  <c r="O941" i="18"/>
  <c r="P940" i="18"/>
  <c r="O940" i="18"/>
  <c r="P939" i="18"/>
  <c r="O939" i="18"/>
  <c r="P938" i="18"/>
  <c r="O938" i="18"/>
  <c r="P937" i="18"/>
  <c r="O937" i="18"/>
  <c r="P936" i="18"/>
  <c r="O936" i="18"/>
  <c r="P935" i="18"/>
  <c r="O935" i="18"/>
  <c r="P934" i="18"/>
  <c r="O934" i="18"/>
  <c r="P933" i="18"/>
  <c r="O933" i="18"/>
  <c r="P932" i="18"/>
  <c r="O932" i="18"/>
  <c r="P931" i="18"/>
  <c r="O931" i="18"/>
  <c r="P930" i="18"/>
  <c r="O930" i="18"/>
  <c r="P929" i="18"/>
  <c r="O929" i="18"/>
  <c r="P928" i="18"/>
  <c r="O928" i="18"/>
  <c r="P927" i="18"/>
  <c r="O927" i="18"/>
  <c r="P926" i="18"/>
  <c r="O926" i="18"/>
  <c r="P925" i="18"/>
  <c r="O925" i="18"/>
  <c r="P924" i="18"/>
  <c r="O924" i="18"/>
  <c r="P923" i="18"/>
  <c r="O923" i="18"/>
  <c r="P922" i="18"/>
  <c r="O922" i="18"/>
  <c r="P921" i="18"/>
  <c r="O921" i="18"/>
  <c r="P920" i="18"/>
  <c r="O920" i="18"/>
  <c r="P919" i="18"/>
  <c r="O919" i="18"/>
  <c r="P918" i="18"/>
  <c r="O918" i="18"/>
  <c r="P917" i="18"/>
  <c r="O917" i="18"/>
  <c r="P916" i="18"/>
  <c r="O916" i="18"/>
  <c r="P915" i="18"/>
  <c r="O915" i="18"/>
  <c r="P914" i="18"/>
  <c r="O914" i="18"/>
  <c r="P913" i="18"/>
  <c r="O913" i="18"/>
  <c r="P912" i="18"/>
  <c r="O912" i="18"/>
  <c r="P911" i="18"/>
  <c r="O911" i="18"/>
  <c r="P910" i="18"/>
  <c r="O910" i="18"/>
  <c r="P909" i="18"/>
  <c r="O909" i="18"/>
  <c r="P908" i="18"/>
  <c r="O908" i="18"/>
  <c r="P907" i="18"/>
  <c r="O907" i="18"/>
  <c r="P906" i="18"/>
  <c r="O906" i="18"/>
  <c r="P905" i="18"/>
  <c r="O905" i="18"/>
  <c r="P904" i="18"/>
  <c r="O904" i="18"/>
  <c r="P903" i="18"/>
  <c r="O903" i="18"/>
  <c r="P902" i="18"/>
  <c r="O902" i="18"/>
  <c r="P901" i="18"/>
  <c r="O901" i="18"/>
  <c r="P900" i="18"/>
  <c r="O900" i="18"/>
  <c r="P899" i="18"/>
  <c r="O899" i="18"/>
  <c r="P898" i="18"/>
  <c r="O898" i="18"/>
  <c r="P897" i="18"/>
  <c r="O897" i="18"/>
  <c r="P896" i="18"/>
  <c r="O896" i="18"/>
  <c r="P895" i="18"/>
  <c r="O895" i="18"/>
  <c r="P894" i="18"/>
  <c r="O894" i="18"/>
  <c r="P893" i="18"/>
  <c r="O893" i="18"/>
  <c r="P892" i="18"/>
  <c r="O892" i="18"/>
  <c r="P891" i="18"/>
  <c r="O891" i="18"/>
  <c r="P890" i="18"/>
  <c r="O890" i="18"/>
  <c r="P889" i="18"/>
  <c r="O889" i="18"/>
  <c r="P888" i="18"/>
  <c r="O888" i="18"/>
  <c r="P887" i="18"/>
  <c r="O887" i="18"/>
  <c r="P886" i="18"/>
  <c r="O886" i="18"/>
  <c r="P885" i="18"/>
  <c r="O885" i="18"/>
  <c r="P884" i="18"/>
  <c r="O884" i="18"/>
  <c r="P883" i="18"/>
  <c r="O883" i="18"/>
  <c r="P882" i="18"/>
  <c r="O882" i="18"/>
  <c r="P881" i="18"/>
  <c r="O881" i="18"/>
  <c r="P880" i="18"/>
  <c r="O880" i="18"/>
  <c r="P879" i="18"/>
  <c r="O879" i="18"/>
  <c r="P878" i="18"/>
  <c r="O878" i="18"/>
  <c r="P877" i="18"/>
  <c r="O877" i="18"/>
  <c r="P876" i="18"/>
  <c r="O876" i="18"/>
  <c r="P875" i="18"/>
  <c r="O875" i="18"/>
  <c r="P874" i="18"/>
  <c r="O874" i="18"/>
  <c r="P873" i="18"/>
  <c r="O873" i="18"/>
  <c r="P872" i="18"/>
  <c r="O872" i="18"/>
  <c r="P871" i="18"/>
  <c r="O871" i="18"/>
  <c r="P870" i="18"/>
  <c r="O870" i="18"/>
  <c r="P869" i="18"/>
  <c r="O869" i="18"/>
  <c r="P868" i="18"/>
  <c r="O868" i="18"/>
  <c r="P867" i="18"/>
  <c r="O867" i="18"/>
  <c r="P866" i="18"/>
  <c r="O866" i="18"/>
  <c r="P865" i="18"/>
  <c r="O865" i="18"/>
  <c r="P864" i="18"/>
  <c r="O864" i="18"/>
  <c r="P863" i="18"/>
  <c r="O863" i="18"/>
  <c r="P862" i="18"/>
  <c r="O862" i="18"/>
  <c r="P861" i="18"/>
  <c r="O861" i="18"/>
  <c r="P860" i="18"/>
  <c r="O860" i="18"/>
  <c r="P859" i="18"/>
  <c r="O859" i="18"/>
  <c r="P858" i="18"/>
  <c r="O858" i="18"/>
  <c r="P857" i="18"/>
  <c r="O857" i="18"/>
  <c r="P856" i="18"/>
  <c r="O856" i="18"/>
  <c r="P855" i="18"/>
  <c r="O855" i="18"/>
  <c r="P854" i="18"/>
  <c r="O854" i="18"/>
  <c r="P853" i="18"/>
  <c r="O853" i="18"/>
  <c r="P852" i="18"/>
  <c r="O852" i="18"/>
  <c r="P851" i="18"/>
  <c r="O851" i="18"/>
  <c r="P850" i="18"/>
  <c r="O850" i="18"/>
  <c r="P849" i="18"/>
  <c r="O849" i="18"/>
  <c r="P848" i="18"/>
  <c r="O848" i="18"/>
  <c r="P847" i="18"/>
  <c r="O847" i="18"/>
  <c r="P846" i="18"/>
  <c r="O846" i="18"/>
  <c r="P845" i="18"/>
  <c r="O845" i="18"/>
  <c r="P844" i="18"/>
  <c r="O844" i="18"/>
  <c r="P843" i="18"/>
  <c r="O843" i="18"/>
  <c r="P842" i="18"/>
  <c r="O842" i="18"/>
  <c r="P841" i="18"/>
  <c r="O841" i="18"/>
  <c r="P840" i="18"/>
  <c r="O840" i="18"/>
  <c r="P839" i="18"/>
  <c r="O839" i="18"/>
  <c r="P838" i="18"/>
  <c r="O838" i="18"/>
  <c r="P837" i="18"/>
  <c r="O837" i="18"/>
  <c r="P836" i="18"/>
  <c r="O836" i="18"/>
  <c r="P835" i="18"/>
  <c r="O835" i="18"/>
  <c r="P834" i="18"/>
  <c r="O834" i="18"/>
  <c r="P833" i="18"/>
  <c r="O833" i="18"/>
  <c r="P832" i="18"/>
  <c r="O832" i="18"/>
  <c r="P831" i="18"/>
  <c r="O831" i="18"/>
  <c r="P830" i="18"/>
  <c r="O830" i="18"/>
  <c r="P829" i="18"/>
  <c r="O829" i="18"/>
  <c r="P828" i="18"/>
  <c r="O828" i="18"/>
  <c r="P827" i="18"/>
  <c r="O827" i="18"/>
  <c r="P826" i="18"/>
  <c r="O826" i="18"/>
  <c r="P825" i="18"/>
  <c r="O825" i="18"/>
  <c r="P824" i="18"/>
  <c r="O824" i="18"/>
  <c r="P823" i="18"/>
  <c r="O823" i="18"/>
  <c r="P822" i="18"/>
  <c r="O822" i="18"/>
  <c r="P821" i="18"/>
  <c r="O821" i="18"/>
  <c r="P820" i="18"/>
  <c r="O820" i="18"/>
  <c r="P819" i="18"/>
  <c r="O819" i="18"/>
  <c r="P818" i="18"/>
  <c r="O818" i="18"/>
  <c r="P817" i="18"/>
  <c r="O817" i="18"/>
  <c r="P816" i="18"/>
  <c r="O816" i="18"/>
  <c r="P815" i="18"/>
  <c r="O815" i="18"/>
  <c r="P814" i="18"/>
  <c r="O814" i="18"/>
  <c r="P813" i="18"/>
  <c r="O813" i="18"/>
  <c r="P812" i="18"/>
  <c r="O812" i="18"/>
  <c r="P811" i="18"/>
  <c r="O811" i="18"/>
  <c r="P810" i="18"/>
  <c r="O810" i="18"/>
  <c r="P809" i="18"/>
  <c r="O809" i="18"/>
  <c r="P808" i="18"/>
  <c r="O808" i="18"/>
  <c r="P807" i="18"/>
  <c r="O807" i="18"/>
  <c r="P806" i="18"/>
  <c r="O806" i="18"/>
  <c r="P805" i="18"/>
  <c r="O805" i="18"/>
  <c r="P804" i="18"/>
  <c r="O804" i="18"/>
  <c r="P803" i="18"/>
  <c r="O803" i="18"/>
  <c r="P802" i="18"/>
  <c r="O802" i="18"/>
  <c r="P801" i="18"/>
  <c r="O801" i="18"/>
  <c r="P800" i="18"/>
  <c r="O800" i="18"/>
  <c r="P799" i="18"/>
  <c r="O799" i="18"/>
  <c r="P798" i="18"/>
  <c r="O798" i="18"/>
  <c r="P797" i="18"/>
  <c r="O797" i="18"/>
  <c r="P796" i="18"/>
  <c r="O796" i="18"/>
  <c r="P795" i="18"/>
  <c r="O795" i="18"/>
  <c r="P794" i="18"/>
  <c r="O794" i="18"/>
  <c r="P793" i="18"/>
  <c r="O793" i="18"/>
  <c r="P792" i="18"/>
  <c r="O792" i="18"/>
  <c r="P791" i="18"/>
  <c r="O791" i="18"/>
  <c r="P790" i="18"/>
  <c r="O790" i="18"/>
  <c r="P789" i="18"/>
  <c r="O789" i="18"/>
  <c r="P788" i="18"/>
  <c r="O788" i="18"/>
  <c r="P787" i="18"/>
  <c r="O787" i="18"/>
  <c r="P786" i="18"/>
  <c r="O786" i="18"/>
  <c r="P785" i="18"/>
  <c r="O785" i="18"/>
  <c r="P784" i="18"/>
  <c r="O784" i="18"/>
  <c r="P783" i="18"/>
  <c r="O783" i="18"/>
  <c r="P782" i="18"/>
  <c r="O782" i="18"/>
  <c r="P781" i="18"/>
  <c r="O781" i="18"/>
  <c r="P780" i="18"/>
  <c r="O780" i="18"/>
  <c r="P779" i="18"/>
  <c r="O779" i="18"/>
  <c r="P778" i="18"/>
  <c r="O778" i="18"/>
  <c r="P777" i="18"/>
  <c r="O777" i="18"/>
  <c r="P776" i="18"/>
  <c r="O776" i="18"/>
  <c r="P775" i="18"/>
  <c r="O775" i="18"/>
  <c r="P774" i="18"/>
  <c r="O774" i="18"/>
  <c r="P773" i="18"/>
  <c r="O773" i="18"/>
  <c r="P772" i="18"/>
  <c r="O772" i="18"/>
  <c r="P771" i="18"/>
  <c r="O771" i="18"/>
  <c r="P770" i="18"/>
  <c r="O770" i="18"/>
  <c r="P769" i="18"/>
  <c r="O769" i="18"/>
  <c r="P768" i="18"/>
  <c r="O768" i="18"/>
  <c r="P767" i="18"/>
  <c r="O767" i="18"/>
  <c r="P766" i="18"/>
  <c r="O766" i="18"/>
  <c r="P765" i="18"/>
  <c r="O765" i="18"/>
  <c r="P764" i="18"/>
  <c r="O764" i="18"/>
  <c r="P763" i="18"/>
  <c r="O763" i="18"/>
  <c r="P762" i="18"/>
  <c r="O762" i="18"/>
  <c r="P761" i="18"/>
  <c r="O761" i="18"/>
  <c r="P760" i="18"/>
  <c r="O760" i="18"/>
  <c r="P759" i="18"/>
  <c r="O759" i="18"/>
  <c r="P758" i="18"/>
  <c r="O758" i="18"/>
  <c r="P757" i="18"/>
  <c r="O757" i="18"/>
  <c r="P756" i="18"/>
  <c r="O756" i="18"/>
  <c r="P755" i="18"/>
  <c r="O755" i="18"/>
  <c r="P754" i="18"/>
  <c r="O754" i="18"/>
  <c r="P753" i="18"/>
  <c r="O753" i="18"/>
  <c r="P752" i="18"/>
  <c r="O752" i="18"/>
  <c r="P751" i="18"/>
  <c r="O751" i="18"/>
  <c r="P750" i="18"/>
  <c r="O750" i="18"/>
  <c r="P749" i="18"/>
  <c r="O749" i="18"/>
  <c r="P748" i="18"/>
  <c r="O748" i="18"/>
  <c r="P747" i="18"/>
  <c r="O747" i="18"/>
  <c r="P746" i="18"/>
  <c r="O746" i="18"/>
  <c r="P745" i="18"/>
  <c r="O745" i="18"/>
  <c r="P744" i="18"/>
  <c r="O744" i="18"/>
  <c r="P743" i="18"/>
  <c r="O743" i="18"/>
  <c r="P742" i="18"/>
  <c r="O742" i="18"/>
  <c r="P741" i="18"/>
  <c r="O741" i="18"/>
  <c r="P740" i="18"/>
  <c r="O740" i="18"/>
  <c r="P739" i="18"/>
  <c r="O739" i="18"/>
  <c r="P738" i="18"/>
  <c r="O738" i="18"/>
  <c r="P737" i="18"/>
  <c r="O737" i="18"/>
  <c r="P736" i="18"/>
  <c r="O736" i="18"/>
  <c r="P735" i="18"/>
  <c r="O735" i="18"/>
  <c r="P734" i="18"/>
  <c r="O734" i="18"/>
  <c r="P733" i="18"/>
  <c r="O733" i="18"/>
  <c r="P732" i="18"/>
  <c r="O732" i="18"/>
  <c r="P731" i="18"/>
  <c r="O731" i="18"/>
  <c r="P730" i="18"/>
  <c r="O730" i="18"/>
  <c r="P729" i="18"/>
  <c r="O729" i="18"/>
  <c r="P728" i="18"/>
  <c r="O728" i="18"/>
  <c r="P727" i="18"/>
  <c r="O727" i="18"/>
  <c r="P726" i="18"/>
  <c r="O726" i="18"/>
  <c r="P725" i="18"/>
  <c r="O725" i="18"/>
  <c r="P724" i="18"/>
  <c r="O724" i="18"/>
  <c r="P723" i="18"/>
  <c r="O723" i="18"/>
  <c r="P722" i="18"/>
  <c r="O722" i="18"/>
  <c r="P721" i="18"/>
  <c r="O721" i="18"/>
  <c r="P720" i="18"/>
  <c r="O720" i="18"/>
  <c r="P719" i="18"/>
  <c r="O719" i="18"/>
  <c r="P718" i="18"/>
  <c r="O718" i="18"/>
  <c r="P717" i="18"/>
  <c r="O717" i="18"/>
  <c r="P716" i="18"/>
  <c r="O716" i="18"/>
  <c r="P715" i="18"/>
  <c r="O715" i="18"/>
  <c r="P714" i="18"/>
  <c r="O714" i="18"/>
  <c r="P713" i="18"/>
  <c r="O713" i="18"/>
  <c r="P712" i="18"/>
  <c r="O712" i="18"/>
  <c r="P711" i="18"/>
  <c r="O711" i="18"/>
  <c r="P710" i="18"/>
  <c r="O710" i="18"/>
  <c r="P709" i="18"/>
  <c r="O709" i="18"/>
  <c r="P708" i="18"/>
  <c r="O708" i="18"/>
  <c r="P707" i="18"/>
  <c r="O707" i="18"/>
  <c r="P706" i="18"/>
  <c r="O706" i="18"/>
  <c r="P705" i="18"/>
  <c r="O705" i="18"/>
  <c r="P704" i="18"/>
  <c r="O704" i="18"/>
  <c r="P703" i="18"/>
  <c r="O703" i="18"/>
  <c r="P702" i="18"/>
  <c r="O702" i="18"/>
  <c r="P701" i="18"/>
  <c r="O701" i="18"/>
  <c r="P700" i="18"/>
  <c r="O700" i="18"/>
  <c r="P699" i="18"/>
  <c r="O699" i="18"/>
  <c r="P698" i="18"/>
  <c r="O698" i="18"/>
  <c r="P697" i="18"/>
  <c r="O697" i="18"/>
  <c r="P696" i="18"/>
  <c r="O696" i="18"/>
  <c r="P695" i="18"/>
  <c r="O695" i="18"/>
  <c r="P694" i="18"/>
  <c r="O694" i="18"/>
  <c r="P693" i="18"/>
  <c r="O693" i="18"/>
  <c r="P692" i="18"/>
  <c r="O692" i="18"/>
  <c r="P691" i="18"/>
  <c r="O691" i="18"/>
  <c r="P690" i="18"/>
  <c r="O690" i="18"/>
  <c r="P689" i="18"/>
  <c r="O689" i="18"/>
  <c r="P688" i="18"/>
  <c r="O688" i="18"/>
  <c r="P687" i="18"/>
  <c r="O687" i="18"/>
  <c r="P686" i="18"/>
  <c r="O686" i="18"/>
  <c r="P685" i="18"/>
  <c r="O685" i="18"/>
  <c r="P684" i="18"/>
  <c r="O684" i="18"/>
  <c r="P683" i="18"/>
  <c r="O683" i="18"/>
  <c r="P682" i="18"/>
  <c r="O682" i="18"/>
  <c r="P681" i="18"/>
  <c r="O681" i="18"/>
  <c r="P680" i="18"/>
  <c r="O680" i="18"/>
  <c r="P679" i="18"/>
  <c r="O679" i="18"/>
  <c r="P678" i="18"/>
  <c r="O678" i="18"/>
  <c r="P677" i="18"/>
  <c r="O677" i="18"/>
  <c r="P676" i="18"/>
  <c r="O676" i="18"/>
  <c r="P675" i="18"/>
  <c r="O675" i="18"/>
  <c r="P674" i="18"/>
  <c r="O674" i="18"/>
  <c r="P673" i="18"/>
  <c r="O673" i="18"/>
  <c r="P672" i="18"/>
  <c r="O672" i="18"/>
  <c r="P671" i="18"/>
  <c r="O671" i="18"/>
  <c r="P670" i="18"/>
  <c r="O670" i="18"/>
  <c r="P669" i="18"/>
  <c r="O669" i="18"/>
  <c r="P668" i="18"/>
  <c r="O668" i="18"/>
  <c r="P667" i="18"/>
  <c r="O667" i="18"/>
  <c r="P666" i="18"/>
  <c r="O666" i="18"/>
  <c r="P665" i="18"/>
  <c r="O665" i="18"/>
  <c r="P664" i="18"/>
  <c r="O664" i="18"/>
  <c r="P663" i="18"/>
  <c r="O663" i="18"/>
  <c r="P662" i="18"/>
  <c r="O662" i="18"/>
  <c r="P661" i="18"/>
  <c r="O661" i="18"/>
  <c r="P660" i="18"/>
  <c r="O660" i="18"/>
  <c r="P659" i="18"/>
  <c r="O659" i="18"/>
  <c r="P658" i="18"/>
  <c r="O658" i="18"/>
  <c r="P657" i="18"/>
  <c r="O657" i="18"/>
  <c r="P656" i="18"/>
  <c r="O656" i="18"/>
  <c r="P655" i="18"/>
  <c r="O655" i="18"/>
  <c r="P654" i="18"/>
  <c r="O654" i="18"/>
  <c r="P653" i="18"/>
  <c r="O653" i="18"/>
  <c r="P652" i="18"/>
  <c r="O652" i="18"/>
  <c r="P651" i="18"/>
  <c r="O651" i="18"/>
  <c r="P650" i="18"/>
  <c r="O650" i="18"/>
  <c r="P649" i="18"/>
  <c r="O649" i="18"/>
  <c r="P648" i="18"/>
  <c r="O648" i="18"/>
  <c r="P647" i="18"/>
  <c r="O647" i="18"/>
  <c r="P646" i="18"/>
  <c r="O646" i="18"/>
  <c r="P645" i="18"/>
  <c r="O645" i="18"/>
  <c r="P644" i="18"/>
  <c r="O644" i="18"/>
  <c r="P643" i="18"/>
  <c r="O643" i="18"/>
  <c r="P642" i="18"/>
  <c r="O642" i="18"/>
  <c r="P641" i="18"/>
  <c r="O641" i="18"/>
  <c r="P640" i="18"/>
  <c r="O640" i="18"/>
  <c r="P639" i="18"/>
  <c r="O639" i="18"/>
  <c r="P638" i="18"/>
  <c r="O638" i="18"/>
  <c r="P637" i="18"/>
  <c r="O637" i="18"/>
  <c r="P636" i="18"/>
  <c r="O636" i="18"/>
  <c r="P635" i="18"/>
  <c r="O635" i="18"/>
  <c r="P634" i="18"/>
  <c r="O634" i="18"/>
  <c r="P633" i="18"/>
  <c r="O633" i="18"/>
  <c r="P632" i="18"/>
  <c r="O632" i="18"/>
  <c r="P631" i="18"/>
  <c r="O631" i="18"/>
  <c r="P630" i="18"/>
  <c r="O630" i="18"/>
  <c r="P629" i="18"/>
  <c r="O629" i="18"/>
  <c r="P628" i="18"/>
  <c r="O628" i="18"/>
  <c r="P627" i="18"/>
  <c r="O627" i="18"/>
  <c r="P626" i="18"/>
  <c r="O626" i="18"/>
  <c r="P625" i="18"/>
  <c r="O625" i="18"/>
  <c r="P624" i="18"/>
  <c r="O624" i="18"/>
  <c r="P623" i="18"/>
  <c r="O623" i="18"/>
  <c r="P622" i="18"/>
  <c r="O622" i="18"/>
  <c r="P621" i="18"/>
  <c r="O621" i="18"/>
  <c r="P620" i="18"/>
  <c r="O620" i="18"/>
  <c r="P619" i="18"/>
  <c r="O619" i="18"/>
  <c r="P618" i="18"/>
  <c r="O618" i="18"/>
  <c r="P617" i="18"/>
  <c r="O617" i="18"/>
  <c r="P616" i="18"/>
  <c r="O616" i="18"/>
  <c r="P615" i="18"/>
  <c r="O615" i="18"/>
  <c r="P614" i="18"/>
  <c r="O614" i="18"/>
  <c r="P613" i="18"/>
  <c r="O613" i="18"/>
  <c r="P612" i="18"/>
  <c r="O612" i="18"/>
  <c r="P611" i="18"/>
  <c r="O611" i="18"/>
  <c r="P610" i="18"/>
  <c r="O610" i="18"/>
  <c r="P609" i="18"/>
  <c r="O609" i="18"/>
  <c r="P608" i="18"/>
  <c r="O608" i="18"/>
  <c r="P607" i="18"/>
  <c r="O607" i="18"/>
  <c r="P606" i="18"/>
  <c r="O606" i="18"/>
  <c r="P605" i="18"/>
  <c r="O605" i="18"/>
  <c r="P604" i="18"/>
  <c r="O604" i="18"/>
  <c r="P603" i="18"/>
  <c r="O603" i="18"/>
  <c r="P602" i="18"/>
  <c r="O602" i="18"/>
  <c r="P601" i="18"/>
  <c r="O601" i="18"/>
  <c r="P600" i="18"/>
  <c r="O600" i="18"/>
  <c r="P599" i="18"/>
  <c r="O599" i="18"/>
  <c r="P598" i="18"/>
  <c r="O598" i="18"/>
  <c r="P597" i="18"/>
  <c r="O597" i="18"/>
  <c r="P596" i="18"/>
  <c r="O596" i="18"/>
  <c r="P595" i="18"/>
  <c r="O595" i="18"/>
  <c r="P594" i="18"/>
  <c r="O594" i="18"/>
  <c r="P593" i="18"/>
  <c r="O593" i="18"/>
  <c r="P592" i="18"/>
  <c r="O592" i="18"/>
  <c r="P591" i="18"/>
  <c r="O591" i="18"/>
  <c r="P590" i="18"/>
  <c r="O590" i="18"/>
  <c r="P589" i="18"/>
  <c r="O589" i="18"/>
  <c r="P588" i="18"/>
  <c r="O588" i="18"/>
  <c r="P587" i="18"/>
  <c r="O587" i="18"/>
  <c r="P586" i="18"/>
  <c r="O586" i="18"/>
  <c r="P585" i="18"/>
  <c r="O585" i="18"/>
  <c r="P584" i="18"/>
  <c r="O584" i="18"/>
  <c r="P583" i="18"/>
  <c r="O583" i="18"/>
  <c r="P582" i="18"/>
  <c r="O582" i="18"/>
  <c r="P581" i="18"/>
  <c r="O581" i="18"/>
  <c r="P580" i="18"/>
  <c r="O580" i="18"/>
  <c r="P579" i="18"/>
  <c r="O579" i="18"/>
  <c r="P578" i="18"/>
  <c r="O578" i="18"/>
  <c r="P577" i="18"/>
  <c r="O577" i="18"/>
  <c r="P576" i="18"/>
  <c r="O576" i="18"/>
  <c r="P575" i="18"/>
  <c r="O575" i="18"/>
  <c r="P574" i="18"/>
  <c r="O574" i="18"/>
  <c r="P573" i="18"/>
  <c r="O573" i="18"/>
  <c r="P572" i="18"/>
  <c r="O572" i="18"/>
  <c r="P571" i="18"/>
  <c r="O571" i="18"/>
  <c r="P570" i="18"/>
  <c r="O570" i="18"/>
  <c r="P569" i="18"/>
  <c r="O569" i="18"/>
  <c r="P568" i="18"/>
  <c r="O568" i="18"/>
  <c r="P567" i="18"/>
  <c r="O567" i="18"/>
  <c r="P566" i="18"/>
  <c r="O566" i="18"/>
  <c r="P565" i="18"/>
  <c r="O565" i="18"/>
  <c r="P564" i="18"/>
  <c r="O564" i="18"/>
  <c r="P563" i="18"/>
  <c r="O563" i="18"/>
  <c r="P562" i="18"/>
  <c r="O562" i="18"/>
  <c r="P561" i="18"/>
  <c r="O561" i="18"/>
  <c r="P560" i="18"/>
  <c r="O560" i="18"/>
  <c r="P559" i="18"/>
  <c r="O559" i="18"/>
  <c r="P558" i="18"/>
  <c r="O558" i="18"/>
  <c r="P557" i="18"/>
  <c r="O557" i="18"/>
  <c r="P556" i="18"/>
  <c r="O556" i="18"/>
  <c r="P555" i="18"/>
  <c r="O555" i="18"/>
  <c r="P554" i="18"/>
  <c r="O554" i="18"/>
  <c r="P553" i="18"/>
  <c r="O553" i="18"/>
  <c r="P552" i="18"/>
  <c r="O552" i="18"/>
  <c r="P551" i="18"/>
  <c r="O551" i="18"/>
  <c r="P550" i="18"/>
  <c r="O550" i="18"/>
  <c r="P549" i="18"/>
  <c r="O549" i="18"/>
  <c r="P548" i="18"/>
  <c r="O548" i="18"/>
  <c r="P547" i="18"/>
  <c r="O547" i="18"/>
  <c r="P546" i="18"/>
  <c r="O546" i="18"/>
  <c r="P545" i="18"/>
  <c r="O545" i="18"/>
  <c r="P544" i="18"/>
  <c r="O544" i="18"/>
  <c r="P543" i="18"/>
  <c r="O543" i="18"/>
  <c r="P542" i="18"/>
  <c r="O542" i="18"/>
  <c r="P541" i="18"/>
  <c r="O541" i="18"/>
  <c r="P540" i="18"/>
  <c r="O540" i="18"/>
  <c r="P539" i="18"/>
  <c r="O539" i="18"/>
  <c r="P538" i="18"/>
  <c r="O538" i="18"/>
  <c r="P537" i="18"/>
  <c r="O537" i="18"/>
  <c r="P536" i="18"/>
  <c r="O536" i="18"/>
  <c r="P535" i="18"/>
  <c r="O535" i="18"/>
  <c r="P534" i="18"/>
  <c r="O534" i="18"/>
  <c r="P533" i="18"/>
  <c r="O533" i="18"/>
  <c r="P532" i="18"/>
  <c r="O532" i="18"/>
  <c r="P531" i="18"/>
  <c r="O531" i="18"/>
  <c r="P530" i="18"/>
  <c r="O530" i="18"/>
  <c r="P529" i="18"/>
  <c r="O529" i="18"/>
  <c r="P528" i="18"/>
  <c r="O528" i="18"/>
  <c r="P527" i="18"/>
  <c r="O527" i="18"/>
  <c r="P526" i="18"/>
  <c r="O526" i="18"/>
  <c r="P525" i="18"/>
  <c r="O525" i="18"/>
  <c r="P524" i="18"/>
  <c r="O524" i="18"/>
  <c r="P523" i="18"/>
  <c r="O523" i="18"/>
  <c r="P522" i="18"/>
  <c r="O522" i="18"/>
  <c r="P521" i="18"/>
  <c r="O521" i="18"/>
  <c r="P520" i="18"/>
  <c r="O520" i="18"/>
  <c r="P519" i="18"/>
  <c r="O519" i="18"/>
  <c r="P518" i="18"/>
  <c r="O518" i="18"/>
  <c r="P517" i="18"/>
  <c r="O517" i="18"/>
  <c r="P516" i="18"/>
  <c r="O516" i="18"/>
  <c r="P515" i="18"/>
  <c r="O515" i="18"/>
  <c r="P514" i="18"/>
  <c r="O514" i="18"/>
  <c r="P513" i="18"/>
  <c r="O513" i="18"/>
  <c r="P512" i="18"/>
  <c r="O512" i="18"/>
  <c r="P511" i="18"/>
  <c r="O511" i="18"/>
  <c r="P510" i="18"/>
  <c r="O510" i="18"/>
  <c r="P509" i="18"/>
  <c r="O509" i="18"/>
  <c r="P508" i="18"/>
  <c r="O508" i="18"/>
  <c r="P507" i="18"/>
  <c r="O507" i="18"/>
  <c r="P506" i="18"/>
  <c r="O506" i="18"/>
  <c r="P505" i="18"/>
  <c r="O505" i="18"/>
  <c r="P504" i="18"/>
  <c r="O504" i="18"/>
  <c r="P503" i="18"/>
  <c r="O503" i="18"/>
  <c r="P502" i="18"/>
  <c r="O502" i="18"/>
  <c r="P501" i="18"/>
  <c r="O501" i="18"/>
  <c r="P500" i="18"/>
  <c r="O500" i="18"/>
  <c r="P499" i="18"/>
  <c r="O499" i="18"/>
  <c r="P498" i="18"/>
  <c r="O498" i="18"/>
  <c r="P497" i="18"/>
  <c r="O497" i="18"/>
  <c r="P496" i="18"/>
  <c r="O496" i="18"/>
  <c r="P495" i="18"/>
  <c r="O495" i="18"/>
  <c r="P494" i="18"/>
  <c r="O494" i="18"/>
  <c r="P493" i="18"/>
  <c r="O493" i="18"/>
  <c r="P492" i="18"/>
  <c r="O492" i="18"/>
  <c r="P491" i="18"/>
  <c r="O491" i="18"/>
  <c r="P490" i="18"/>
  <c r="O490" i="18"/>
  <c r="P489" i="18"/>
  <c r="O489" i="18"/>
  <c r="P488" i="18"/>
  <c r="O488" i="18"/>
  <c r="P487" i="18"/>
  <c r="O487" i="18"/>
  <c r="P486" i="18"/>
  <c r="O486" i="18"/>
  <c r="P485" i="18"/>
  <c r="O485" i="18"/>
  <c r="P484" i="18"/>
  <c r="O484" i="18"/>
  <c r="P483" i="18"/>
  <c r="O483" i="18"/>
  <c r="P482" i="18"/>
  <c r="O482" i="18"/>
  <c r="P481" i="18"/>
  <c r="O481" i="18"/>
  <c r="P480" i="18"/>
  <c r="O480" i="18"/>
  <c r="P479" i="18"/>
  <c r="O479" i="18"/>
  <c r="P478" i="18"/>
  <c r="O478" i="18"/>
  <c r="P477" i="18"/>
  <c r="O477" i="18"/>
  <c r="P476" i="18"/>
  <c r="O476" i="18"/>
  <c r="P475" i="18"/>
  <c r="O475" i="18"/>
  <c r="P474" i="18"/>
  <c r="O474" i="18"/>
  <c r="P473" i="18"/>
  <c r="O473" i="18"/>
  <c r="P472" i="18"/>
  <c r="O472" i="18"/>
  <c r="P471" i="18"/>
  <c r="O471" i="18"/>
  <c r="P470" i="18"/>
  <c r="O470" i="18"/>
  <c r="P469" i="18"/>
  <c r="O469" i="18"/>
  <c r="P468" i="18"/>
  <c r="O468" i="18"/>
  <c r="P467" i="18"/>
  <c r="O467" i="18"/>
  <c r="P466" i="18"/>
  <c r="O466" i="18"/>
  <c r="P465" i="18"/>
  <c r="O465" i="18"/>
  <c r="P464" i="18"/>
  <c r="O464" i="18"/>
  <c r="P463" i="18"/>
  <c r="O463" i="18"/>
  <c r="P462" i="18"/>
  <c r="O462" i="18"/>
  <c r="P461" i="18"/>
  <c r="O461" i="18"/>
  <c r="P460" i="18"/>
  <c r="O460" i="18"/>
  <c r="P459" i="18"/>
  <c r="O459" i="18"/>
  <c r="P458" i="18"/>
  <c r="O458" i="18"/>
  <c r="P457" i="18"/>
  <c r="O457" i="18"/>
  <c r="P456" i="18"/>
  <c r="O456" i="18"/>
  <c r="P455" i="18"/>
  <c r="O455" i="18"/>
  <c r="P454" i="18"/>
  <c r="O454" i="18"/>
  <c r="P453" i="18"/>
  <c r="O453" i="18"/>
  <c r="P452" i="18"/>
  <c r="O452" i="18"/>
  <c r="P451" i="18"/>
  <c r="O451" i="18"/>
  <c r="P450" i="18"/>
  <c r="O450" i="18"/>
  <c r="P449" i="18"/>
  <c r="O449" i="18"/>
  <c r="P448" i="18"/>
  <c r="O448" i="18"/>
  <c r="P447" i="18"/>
  <c r="O447" i="18"/>
  <c r="P446" i="18"/>
  <c r="O446" i="18"/>
  <c r="P445" i="18"/>
  <c r="O445" i="18"/>
  <c r="P444" i="18"/>
  <c r="O444" i="18"/>
  <c r="P443" i="18"/>
  <c r="O443" i="18"/>
  <c r="P442" i="18"/>
  <c r="O442" i="18"/>
  <c r="P441" i="18"/>
  <c r="O441" i="18"/>
  <c r="P440" i="18"/>
  <c r="O440" i="18"/>
  <c r="P439" i="18"/>
  <c r="O439" i="18"/>
  <c r="P438" i="18"/>
  <c r="O438" i="18"/>
  <c r="P437" i="18"/>
  <c r="O437" i="18"/>
  <c r="P436" i="18"/>
  <c r="O436" i="18"/>
  <c r="P435" i="18"/>
  <c r="O435" i="18"/>
  <c r="P434" i="18"/>
  <c r="O434" i="18"/>
  <c r="P433" i="18"/>
  <c r="O433" i="18"/>
  <c r="P432" i="18"/>
  <c r="O432" i="18"/>
  <c r="P431" i="18"/>
  <c r="O431" i="18"/>
  <c r="P430" i="18"/>
  <c r="O430" i="18"/>
  <c r="P429" i="18"/>
  <c r="O429" i="18"/>
  <c r="P428" i="18"/>
  <c r="O428" i="18"/>
  <c r="P427" i="18"/>
  <c r="O427" i="18"/>
  <c r="P426" i="18"/>
  <c r="O426" i="18"/>
  <c r="P425" i="18"/>
  <c r="O425" i="18"/>
  <c r="P424" i="18"/>
  <c r="O424" i="18"/>
  <c r="P423" i="18"/>
  <c r="O423" i="18"/>
  <c r="P422" i="18"/>
  <c r="O422" i="18"/>
  <c r="P421" i="18"/>
  <c r="O421" i="18"/>
  <c r="P420" i="18"/>
  <c r="O420" i="18"/>
  <c r="P419" i="18"/>
  <c r="O419" i="18"/>
  <c r="P418" i="18"/>
  <c r="O418" i="18"/>
  <c r="P417" i="18"/>
  <c r="O417" i="18"/>
  <c r="P416" i="18"/>
  <c r="O416" i="18"/>
  <c r="P415" i="18"/>
  <c r="O415" i="18"/>
  <c r="P414" i="18"/>
  <c r="O414" i="18"/>
  <c r="P413" i="18"/>
  <c r="O413" i="18"/>
  <c r="P412" i="18"/>
  <c r="O412" i="18"/>
  <c r="P411" i="18"/>
  <c r="O411" i="18"/>
  <c r="P410" i="18"/>
  <c r="O410" i="18"/>
  <c r="P409" i="18"/>
  <c r="O409" i="18"/>
  <c r="P408" i="18"/>
  <c r="O408" i="18"/>
  <c r="P407" i="18"/>
  <c r="O407" i="18"/>
  <c r="P406" i="18"/>
  <c r="O406" i="18"/>
  <c r="P405" i="18"/>
  <c r="O405" i="18"/>
  <c r="P404" i="18"/>
  <c r="O404" i="18"/>
  <c r="P403" i="18"/>
  <c r="O403" i="18"/>
  <c r="P402" i="18"/>
  <c r="O402" i="18"/>
  <c r="P401" i="18"/>
  <c r="O401" i="18"/>
  <c r="P400" i="18"/>
  <c r="O400" i="18"/>
  <c r="P399" i="18"/>
  <c r="O399" i="18"/>
  <c r="P398" i="18"/>
  <c r="O398" i="18"/>
  <c r="P397" i="18"/>
  <c r="O397" i="18"/>
  <c r="P396" i="18"/>
  <c r="O396" i="18"/>
  <c r="P395" i="18"/>
  <c r="O395" i="18"/>
  <c r="P394" i="18"/>
  <c r="O394" i="18"/>
  <c r="P393" i="18"/>
  <c r="O393" i="18"/>
  <c r="P392" i="18"/>
  <c r="O392" i="18"/>
  <c r="P391" i="18"/>
  <c r="O391" i="18"/>
  <c r="P390" i="18"/>
  <c r="O390" i="18"/>
  <c r="P389" i="18"/>
  <c r="O389" i="18"/>
  <c r="P388" i="18"/>
  <c r="O388" i="18"/>
  <c r="P387" i="18"/>
  <c r="O387" i="18"/>
  <c r="P386" i="18"/>
  <c r="O386" i="18"/>
  <c r="P385" i="18"/>
  <c r="O385" i="18"/>
  <c r="P384" i="18"/>
  <c r="O384" i="18"/>
  <c r="P383" i="18"/>
  <c r="O383" i="18"/>
  <c r="P382" i="18"/>
  <c r="O382" i="18"/>
  <c r="P381" i="18"/>
  <c r="O381" i="18"/>
  <c r="P380" i="18"/>
  <c r="O380" i="18"/>
  <c r="P379" i="18"/>
  <c r="O379" i="18"/>
  <c r="P378" i="18"/>
  <c r="O378" i="18"/>
  <c r="P377" i="18"/>
  <c r="O377" i="18"/>
  <c r="P376" i="18"/>
  <c r="O376" i="18"/>
  <c r="P375" i="18"/>
  <c r="O375" i="18"/>
  <c r="P374" i="18"/>
  <c r="O374" i="18"/>
  <c r="P373" i="18"/>
  <c r="O373" i="18"/>
  <c r="P372" i="18"/>
  <c r="O372" i="18"/>
  <c r="P371" i="18"/>
  <c r="O371" i="18"/>
  <c r="P370" i="18"/>
  <c r="O370" i="18"/>
  <c r="P369" i="18"/>
  <c r="O369" i="18"/>
  <c r="P368" i="18"/>
  <c r="O368" i="18"/>
  <c r="P367" i="18"/>
  <c r="O367" i="18"/>
  <c r="P366" i="18"/>
  <c r="O366" i="18"/>
  <c r="P365" i="18"/>
  <c r="O365" i="18"/>
  <c r="P364" i="18"/>
  <c r="O364" i="18"/>
  <c r="P363" i="18"/>
  <c r="O363" i="18"/>
  <c r="P362" i="18"/>
  <c r="O362" i="18"/>
  <c r="P361" i="18"/>
  <c r="O361" i="18"/>
  <c r="P360" i="18"/>
  <c r="O360" i="18"/>
  <c r="P359" i="18"/>
  <c r="O359" i="18"/>
  <c r="P358" i="18"/>
  <c r="O358" i="18"/>
  <c r="P357" i="18"/>
  <c r="O357" i="18"/>
  <c r="P356" i="18"/>
  <c r="O356" i="18"/>
  <c r="P355" i="18"/>
  <c r="O355" i="18"/>
  <c r="P354" i="18"/>
  <c r="O354" i="18"/>
  <c r="P353" i="18"/>
  <c r="O353" i="18"/>
  <c r="P352" i="18"/>
  <c r="O352" i="18"/>
  <c r="P351" i="18"/>
  <c r="O351" i="18"/>
  <c r="P350" i="18"/>
  <c r="O350" i="18"/>
  <c r="P349" i="18"/>
  <c r="O349" i="18"/>
  <c r="P348" i="18"/>
  <c r="O348" i="18"/>
  <c r="P347" i="18"/>
  <c r="O347" i="18"/>
  <c r="P346" i="18"/>
  <c r="O346" i="18"/>
  <c r="P345" i="18"/>
  <c r="O345" i="18"/>
  <c r="P344" i="18"/>
  <c r="O344" i="18"/>
  <c r="P343" i="18"/>
  <c r="O343" i="18"/>
  <c r="P342" i="18"/>
  <c r="O342" i="18"/>
  <c r="P341" i="18"/>
  <c r="O341" i="18"/>
  <c r="P340" i="18"/>
  <c r="O340" i="18"/>
  <c r="P339" i="18"/>
  <c r="O339" i="18"/>
  <c r="P338" i="18"/>
  <c r="O338" i="18"/>
  <c r="P337" i="18"/>
  <c r="O337" i="18"/>
  <c r="P336" i="18"/>
  <c r="O336" i="18"/>
  <c r="P335" i="18"/>
  <c r="O335" i="18"/>
  <c r="P334" i="18"/>
  <c r="O334" i="18"/>
  <c r="P333" i="18"/>
  <c r="O333" i="18"/>
  <c r="P332" i="18"/>
  <c r="O332" i="18"/>
  <c r="P331" i="18"/>
  <c r="O331" i="18"/>
  <c r="P330" i="18"/>
  <c r="O330" i="18"/>
  <c r="P329" i="18"/>
  <c r="O329" i="18"/>
  <c r="P328" i="18"/>
  <c r="O328" i="18"/>
  <c r="P327" i="18"/>
  <c r="O327" i="18"/>
  <c r="P326" i="18"/>
  <c r="O326" i="18"/>
  <c r="P325" i="18"/>
  <c r="O325" i="18"/>
  <c r="P324" i="18"/>
  <c r="O324" i="18"/>
  <c r="P323" i="18"/>
  <c r="O323" i="18"/>
  <c r="P322" i="18"/>
  <c r="O322" i="18"/>
  <c r="P321" i="18"/>
  <c r="O321" i="18"/>
  <c r="P320" i="18"/>
  <c r="O320" i="18"/>
  <c r="P319" i="18"/>
  <c r="O319" i="18"/>
  <c r="P318" i="18"/>
  <c r="O318" i="18"/>
  <c r="P317" i="18"/>
  <c r="O317" i="18"/>
  <c r="P316" i="18"/>
  <c r="O316" i="18"/>
  <c r="P315" i="18"/>
  <c r="O315" i="18"/>
  <c r="P314" i="18"/>
  <c r="O314" i="18"/>
  <c r="P313" i="18"/>
  <c r="O313" i="18"/>
  <c r="P312" i="18"/>
  <c r="O312" i="18"/>
  <c r="P311" i="18"/>
  <c r="O311" i="18"/>
  <c r="P310" i="18"/>
  <c r="O310" i="18"/>
  <c r="P309" i="18"/>
  <c r="O309" i="18"/>
  <c r="P308" i="18"/>
  <c r="O308" i="18"/>
  <c r="P307" i="18"/>
  <c r="O307" i="18"/>
  <c r="P306" i="18"/>
  <c r="O306" i="18"/>
  <c r="P305" i="18"/>
  <c r="O305" i="18"/>
  <c r="P304" i="18"/>
  <c r="O304" i="18"/>
  <c r="P303" i="18"/>
  <c r="O303" i="18"/>
  <c r="P302" i="18"/>
  <c r="O302" i="18"/>
  <c r="P301" i="18"/>
  <c r="O301" i="18"/>
  <c r="P300" i="18"/>
  <c r="O300" i="18"/>
  <c r="P299" i="18"/>
  <c r="O299" i="18"/>
  <c r="P298" i="18"/>
  <c r="O298" i="18"/>
  <c r="P297" i="18"/>
  <c r="O297" i="18"/>
  <c r="P296" i="18"/>
  <c r="O296" i="18"/>
  <c r="P295" i="18"/>
  <c r="O295" i="18"/>
  <c r="P294" i="18"/>
  <c r="O294" i="18"/>
  <c r="P293" i="18"/>
  <c r="O293" i="18"/>
  <c r="P292" i="18"/>
  <c r="O292" i="18"/>
  <c r="P291" i="18"/>
  <c r="O291" i="18"/>
  <c r="P290" i="18"/>
  <c r="O290" i="18"/>
  <c r="P289" i="18"/>
  <c r="O289" i="18"/>
  <c r="P288" i="18"/>
  <c r="O288" i="18"/>
  <c r="P287" i="18"/>
  <c r="O287" i="18"/>
  <c r="P286" i="18"/>
  <c r="O286" i="18"/>
  <c r="P285" i="18"/>
  <c r="O285" i="18"/>
  <c r="P284" i="18"/>
  <c r="O284" i="18"/>
  <c r="P283" i="18"/>
  <c r="O283" i="18"/>
  <c r="P282" i="18"/>
  <c r="O282" i="18"/>
  <c r="P281" i="18"/>
  <c r="O281" i="18"/>
  <c r="P280" i="18"/>
  <c r="O280" i="18"/>
  <c r="P279" i="18"/>
  <c r="O279" i="18"/>
  <c r="P278" i="18"/>
  <c r="O278" i="18"/>
  <c r="P277" i="18"/>
  <c r="O277" i="18"/>
  <c r="P276" i="18"/>
  <c r="O276" i="18"/>
  <c r="P275" i="18"/>
  <c r="O275" i="18"/>
  <c r="P274" i="18"/>
  <c r="O274" i="18"/>
  <c r="P273" i="18"/>
  <c r="O273" i="18"/>
  <c r="P272" i="18"/>
  <c r="O272" i="18"/>
  <c r="P271" i="18"/>
  <c r="O271" i="18"/>
  <c r="P270" i="18"/>
  <c r="O270" i="18"/>
  <c r="P269" i="18"/>
  <c r="O269" i="18"/>
  <c r="P268" i="18"/>
  <c r="O268" i="18"/>
  <c r="P267" i="18"/>
  <c r="O267" i="18"/>
  <c r="P266" i="18"/>
  <c r="O266" i="18"/>
  <c r="P265" i="18"/>
  <c r="O265" i="18"/>
  <c r="P264" i="18"/>
  <c r="O264" i="18"/>
  <c r="P263" i="18"/>
  <c r="O263" i="18"/>
  <c r="P262" i="18"/>
  <c r="O262" i="18"/>
  <c r="P261" i="18"/>
  <c r="O261" i="18"/>
  <c r="P260" i="18"/>
  <c r="O260" i="18"/>
  <c r="P259" i="18"/>
  <c r="O259" i="18"/>
  <c r="P258" i="18"/>
  <c r="O258" i="18"/>
  <c r="P257" i="18"/>
  <c r="O257" i="18"/>
  <c r="P256" i="18"/>
  <c r="O256" i="18"/>
  <c r="P255" i="18"/>
  <c r="O255" i="18"/>
  <c r="P254" i="18"/>
  <c r="O254" i="18"/>
  <c r="P253" i="18"/>
  <c r="O253" i="18"/>
  <c r="P252" i="18"/>
  <c r="O252" i="18"/>
  <c r="P251" i="18"/>
  <c r="O251" i="18"/>
  <c r="P250" i="18"/>
  <c r="O250" i="18"/>
  <c r="P249" i="18"/>
  <c r="O249" i="18"/>
  <c r="P248" i="18"/>
  <c r="O248" i="18"/>
  <c r="P247" i="18"/>
  <c r="O247" i="18"/>
  <c r="P246" i="18"/>
  <c r="O246" i="18"/>
  <c r="P245" i="18"/>
  <c r="O245" i="18"/>
  <c r="P244" i="18"/>
  <c r="O244" i="18"/>
  <c r="P243" i="18"/>
  <c r="O243" i="18"/>
  <c r="P242" i="18"/>
  <c r="O242" i="18"/>
  <c r="P241" i="18"/>
  <c r="O241" i="18"/>
  <c r="P240" i="18"/>
  <c r="O240" i="18"/>
  <c r="P239" i="18"/>
  <c r="O239" i="18"/>
  <c r="P238" i="18"/>
  <c r="O238" i="18"/>
  <c r="P237" i="18"/>
  <c r="O237" i="18"/>
  <c r="P236" i="18"/>
  <c r="O236" i="18"/>
  <c r="P235" i="18"/>
  <c r="O235" i="18"/>
  <c r="P234" i="18"/>
  <c r="O234" i="18"/>
  <c r="P233" i="18"/>
  <c r="O233" i="18"/>
  <c r="P232" i="18"/>
  <c r="O232" i="18"/>
  <c r="P231" i="18"/>
  <c r="O231" i="18"/>
  <c r="P230" i="18"/>
  <c r="O230" i="18"/>
  <c r="P229" i="18"/>
  <c r="O229" i="18"/>
  <c r="P228" i="18"/>
  <c r="O228" i="18"/>
  <c r="P227" i="18"/>
  <c r="O227" i="18"/>
  <c r="P226" i="18"/>
  <c r="O226" i="18"/>
  <c r="P225" i="18"/>
  <c r="O225" i="18"/>
  <c r="P224" i="18"/>
  <c r="O224" i="18"/>
  <c r="P223" i="18"/>
  <c r="O223" i="18"/>
  <c r="P222" i="18"/>
  <c r="O222" i="18"/>
  <c r="P221" i="18"/>
  <c r="O221" i="18"/>
  <c r="P220" i="18"/>
  <c r="O220" i="18"/>
  <c r="P219" i="18"/>
  <c r="O219" i="18"/>
  <c r="P218" i="18"/>
  <c r="O218" i="18"/>
  <c r="P217" i="18"/>
  <c r="O217" i="18"/>
  <c r="P216" i="18"/>
  <c r="O216" i="18"/>
  <c r="P215" i="18"/>
  <c r="O215" i="18"/>
  <c r="P214" i="18"/>
  <c r="O214" i="18"/>
  <c r="P213" i="18"/>
  <c r="O213" i="18"/>
  <c r="P212" i="18"/>
  <c r="O212" i="18"/>
  <c r="P211" i="18"/>
  <c r="O211" i="18"/>
  <c r="P210" i="18"/>
  <c r="O210" i="18"/>
  <c r="P209" i="18"/>
  <c r="O209" i="18"/>
  <c r="P208" i="18"/>
  <c r="O208" i="18"/>
  <c r="P207" i="18"/>
  <c r="O207" i="18"/>
  <c r="P206" i="18"/>
  <c r="O206" i="18"/>
  <c r="P205" i="18"/>
  <c r="O205" i="18"/>
  <c r="P204" i="18"/>
  <c r="O204" i="18"/>
  <c r="P203" i="18"/>
  <c r="O203" i="18"/>
  <c r="P202" i="18"/>
  <c r="O202" i="18"/>
  <c r="P201" i="18"/>
  <c r="O201" i="18"/>
  <c r="P200" i="18"/>
  <c r="O200" i="18"/>
  <c r="P199" i="18"/>
  <c r="O199" i="18"/>
  <c r="P198" i="18"/>
  <c r="O198" i="18"/>
  <c r="P197" i="18"/>
  <c r="O197" i="18"/>
  <c r="P196" i="18"/>
  <c r="O196" i="18"/>
  <c r="P195" i="18"/>
  <c r="O195" i="18"/>
  <c r="P194" i="18"/>
  <c r="O194" i="18"/>
  <c r="P193" i="18"/>
  <c r="O193" i="18"/>
  <c r="P192" i="18"/>
  <c r="O192" i="18"/>
  <c r="P191" i="18"/>
  <c r="O191" i="18"/>
  <c r="P190" i="18"/>
  <c r="O190" i="18"/>
  <c r="P189" i="18"/>
  <c r="O189" i="18"/>
  <c r="P188" i="18"/>
  <c r="O188" i="18"/>
  <c r="P187" i="18"/>
  <c r="O187" i="18"/>
  <c r="P186" i="18"/>
  <c r="O186" i="18"/>
  <c r="P185" i="18"/>
  <c r="O185" i="18"/>
  <c r="P184" i="18"/>
  <c r="O184" i="18"/>
  <c r="P183" i="18"/>
  <c r="O183" i="18"/>
  <c r="P182" i="18"/>
  <c r="O182" i="18"/>
  <c r="P181" i="18"/>
  <c r="O181" i="18"/>
  <c r="P180" i="18"/>
  <c r="O180" i="18"/>
  <c r="P179" i="18"/>
  <c r="O179" i="18"/>
  <c r="P178" i="18"/>
  <c r="O178" i="18"/>
  <c r="P177" i="18"/>
  <c r="O177" i="18"/>
  <c r="P176" i="18"/>
  <c r="O176" i="18"/>
  <c r="P175" i="18"/>
  <c r="O175" i="18"/>
  <c r="P174" i="18"/>
  <c r="O174" i="18"/>
  <c r="P173" i="18"/>
  <c r="O173" i="18"/>
  <c r="P172" i="18"/>
  <c r="O172" i="18"/>
  <c r="P171" i="18"/>
  <c r="O171" i="18"/>
  <c r="P170" i="18"/>
  <c r="O170" i="18"/>
  <c r="P169" i="18"/>
  <c r="O169" i="18"/>
  <c r="P168" i="18"/>
  <c r="O168" i="18"/>
  <c r="P167" i="18"/>
  <c r="O167" i="18"/>
  <c r="P166" i="18"/>
  <c r="O166" i="18"/>
  <c r="P165" i="18"/>
  <c r="O165" i="18"/>
  <c r="P164" i="18"/>
  <c r="O164" i="18"/>
  <c r="P163" i="18"/>
  <c r="O163" i="18"/>
  <c r="P162" i="18"/>
  <c r="O162" i="18"/>
  <c r="P161" i="18"/>
  <c r="O161" i="18"/>
  <c r="P160" i="18"/>
  <c r="O160" i="18"/>
  <c r="P159" i="18"/>
  <c r="O159" i="18"/>
  <c r="P158" i="18"/>
  <c r="O158" i="18"/>
  <c r="P157" i="18"/>
  <c r="O157" i="18"/>
  <c r="P156" i="18"/>
  <c r="O156" i="18"/>
  <c r="P155" i="18"/>
  <c r="O155" i="18"/>
  <c r="P154" i="18"/>
  <c r="O154" i="18"/>
  <c r="P153" i="18"/>
  <c r="O153" i="18"/>
  <c r="P152" i="18"/>
  <c r="O152" i="18"/>
  <c r="P151" i="18"/>
  <c r="O151" i="18"/>
  <c r="P150" i="18"/>
  <c r="O150" i="18"/>
  <c r="P149" i="18"/>
  <c r="O149" i="18"/>
  <c r="P148" i="18"/>
  <c r="O148" i="18"/>
  <c r="P147" i="18"/>
  <c r="O147" i="18"/>
  <c r="P146" i="18"/>
  <c r="O146" i="18"/>
  <c r="P145" i="18"/>
  <c r="O145" i="18"/>
  <c r="P144" i="18"/>
  <c r="O144" i="18"/>
  <c r="P143" i="18"/>
  <c r="O143" i="18"/>
  <c r="P142" i="18"/>
  <c r="O142" i="18"/>
  <c r="P141" i="18"/>
  <c r="O141" i="18"/>
  <c r="P140" i="18"/>
  <c r="O140" i="18"/>
  <c r="P139" i="18"/>
  <c r="O139" i="18"/>
  <c r="P138" i="18"/>
  <c r="O138" i="18"/>
  <c r="P137" i="18"/>
  <c r="O137" i="18"/>
  <c r="P136" i="18"/>
  <c r="O136" i="18"/>
  <c r="P135" i="18"/>
  <c r="O135" i="18"/>
  <c r="P134" i="18"/>
  <c r="O134" i="18"/>
  <c r="P133" i="18"/>
  <c r="O133" i="18"/>
  <c r="P132" i="18"/>
  <c r="O132" i="18"/>
  <c r="P131" i="18"/>
  <c r="O131" i="18"/>
  <c r="P130" i="18"/>
  <c r="O130" i="18"/>
  <c r="P129" i="18"/>
  <c r="O129" i="18"/>
  <c r="P128" i="18"/>
  <c r="O128" i="18"/>
  <c r="P127" i="18"/>
  <c r="O127" i="18"/>
  <c r="P126" i="18"/>
  <c r="O126" i="18"/>
  <c r="P125" i="18"/>
  <c r="O125" i="18"/>
  <c r="P124" i="18"/>
  <c r="O124" i="18"/>
  <c r="P123" i="18"/>
  <c r="O123" i="18"/>
  <c r="P122" i="18"/>
  <c r="O122" i="18"/>
  <c r="P121" i="18"/>
  <c r="O121" i="18"/>
  <c r="P120" i="18"/>
  <c r="O120" i="18"/>
  <c r="P119" i="18"/>
  <c r="O119" i="18"/>
  <c r="P118" i="18"/>
  <c r="O118" i="18"/>
  <c r="P117" i="18"/>
  <c r="O117" i="18"/>
  <c r="P116" i="18"/>
  <c r="O116" i="18"/>
  <c r="P115" i="18"/>
  <c r="O115" i="18"/>
  <c r="P114" i="18"/>
  <c r="O114" i="18"/>
  <c r="P113" i="18"/>
  <c r="O113" i="18"/>
  <c r="P112" i="18"/>
  <c r="O112" i="18"/>
  <c r="P111" i="18"/>
  <c r="O111" i="18"/>
  <c r="P110" i="18"/>
  <c r="O110" i="18"/>
  <c r="P109" i="18"/>
  <c r="O109" i="18"/>
  <c r="P108" i="18"/>
  <c r="O108" i="18"/>
  <c r="P107" i="18"/>
  <c r="O107" i="18"/>
  <c r="P106" i="18"/>
  <c r="O106" i="18"/>
  <c r="P105" i="18"/>
  <c r="O105" i="18"/>
  <c r="P104" i="18"/>
  <c r="O104" i="18"/>
  <c r="P103" i="18"/>
  <c r="O103" i="18"/>
  <c r="P102" i="18"/>
  <c r="O102" i="18"/>
  <c r="P101" i="18"/>
  <c r="O101" i="18"/>
  <c r="P100" i="18"/>
  <c r="O100" i="18"/>
  <c r="P99" i="18"/>
  <c r="O99" i="18"/>
  <c r="P98" i="18"/>
  <c r="O98" i="18"/>
  <c r="P97" i="18"/>
  <c r="O97" i="18"/>
  <c r="P96" i="18"/>
  <c r="O96" i="18"/>
  <c r="P95" i="18"/>
  <c r="O95" i="18"/>
  <c r="P94" i="18"/>
  <c r="O94" i="18"/>
  <c r="P93" i="18"/>
  <c r="O93" i="18"/>
  <c r="P92" i="18"/>
  <c r="O92" i="18"/>
  <c r="P91" i="18"/>
  <c r="O91" i="18"/>
  <c r="P90" i="18"/>
  <c r="O90" i="18"/>
  <c r="P89" i="18"/>
  <c r="O89" i="18"/>
  <c r="P88" i="18"/>
  <c r="O88" i="18"/>
  <c r="P87" i="18"/>
  <c r="O87" i="18"/>
  <c r="P86" i="18"/>
  <c r="O86" i="18"/>
  <c r="P85" i="18"/>
  <c r="O85" i="18"/>
  <c r="P84" i="18"/>
  <c r="O84" i="18"/>
  <c r="P83" i="18"/>
  <c r="O83" i="18"/>
  <c r="P82" i="18"/>
  <c r="O82" i="18"/>
  <c r="P81" i="18"/>
  <c r="O81" i="18"/>
  <c r="P80" i="18"/>
  <c r="O80" i="18"/>
  <c r="P79" i="18"/>
  <c r="O79" i="18"/>
  <c r="P78" i="18"/>
  <c r="O78" i="18"/>
  <c r="P77" i="18"/>
  <c r="O77" i="18"/>
  <c r="P76" i="18"/>
  <c r="O76" i="18"/>
  <c r="P75" i="18"/>
  <c r="O75" i="18"/>
  <c r="P74" i="18"/>
  <c r="O74" i="18"/>
  <c r="P73" i="18"/>
  <c r="O73" i="18"/>
  <c r="P72" i="18"/>
  <c r="O72" i="18"/>
  <c r="P71" i="18"/>
  <c r="O71" i="18"/>
  <c r="P70" i="18"/>
  <c r="O70" i="18"/>
  <c r="P69" i="18"/>
  <c r="O69" i="18"/>
  <c r="P68" i="18"/>
  <c r="O68" i="18"/>
  <c r="P67" i="18"/>
  <c r="O67" i="18"/>
  <c r="P66" i="18"/>
  <c r="O66" i="18"/>
  <c r="P65" i="18"/>
  <c r="O65" i="18"/>
  <c r="P64" i="18"/>
  <c r="O64" i="18"/>
  <c r="P63" i="18"/>
  <c r="O63" i="18"/>
  <c r="P62" i="18"/>
  <c r="O62" i="18"/>
  <c r="P61" i="18"/>
  <c r="O61" i="18"/>
  <c r="P60" i="18"/>
  <c r="O60" i="18"/>
  <c r="P59" i="18"/>
  <c r="O59" i="18"/>
  <c r="P58" i="18"/>
  <c r="O58" i="18"/>
  <c r="P57" i="18"/>
  <c r="O57" i="18"/>
  <c r="P56" i="18"/>
  <c r="O56" i="18"/>
  <c r="P55" i="18"/>
  <c r="O55" i="18"/>
  <c r="P54" i="18"/>
  <c r="O54" i="18"/>
  <c r="P53" i="18"/>
  <c r="O53" i="18"/>
  <c r="P52" i="18"/>
  <c r="O52" i="18"/>
  <c r="P51" i="18"/>
  <c r="O51" i="18"/>
  <c r="P50" i="18"/>
  <c r="O50" i="18"/>
  <c r="P49" i="18"/>
  <c r="O49" i="18"/>
  <c r="P48" i="18"/>
  <c r="O48" i="18"/>
  <c r="P47" i="18"/>
  <c r="O47" i="18"/>
  <c r="P46" i="18"/>
  <c r="O46" i="18"/>
  <c r="P45" i="18"/>
  <c r="O45" i="18"/>
  <c r="P44" i="18"/>
  <c r="O44" i="18"/>
  <c r="P43" i="18"/>
  <c r="O43" i="18"/>
  <c r="P42" i="18"/>
  <c r="O42" i="18"/>
  <c r="P41" i="18"/>
  <c r="O41" i="18"/>
  <c r="P40" i="18"/>
  <c r="O40" i="18"/>
  <c r="P39" i="18"/>
  <c r="O39" i="18"/>
  <c r="P38" i="18"/>
  <c r="O38" i="18"/>
  <c r="P37" i="18"/>
  <c r="O37" i="18"/>
  <c r="P36" i="18"/>
  <c r="O36" i="18"/>
  <c r="P35" i="18"/>
  <c r="O35" i="18"/>
  <c r="P34" i="18"/>
  <c r="O34" i="18"/>
  <c r="P33" i="18"/>
  <c r="O33" i="18"/>
  <c r="P32" i="18"/>
  <c r="O32" i="18"/>
  <c r="P31" i="18"/>
  <c r="O31" i="18"/>
  <c r="P30" i="18"/>
  <c r="O30" i="18"/>
  <c r="P29" i="18"/>
  <c r="O29" i="18"/>
  <c r="P28" i="18"/>
  <c r="O28" i="18"/>
  <c r="P27" i="18"/>
  <c r="O27" i="18"/>
  <c r="P26" i="18"/>
  <c r="O26" i="18"/>
  <c r="P25" i="18"/>
  <c r="O25" i="18"/>
  <c r="P24" i="18"/>
  <c r="O24" i="18"/>
  <c r="P23" i="18"/>
  <c r="O23" i="18"/>
  <c r="P22" i="18"/>
  <c r="O22" i="18"/>
  <c r="P21" i="18"/>
  <c r="O21" i="18"/>
  <c r="P20" i="18"/>
  <c r="O20" i="18"/>
  <c r="P19" i="18"/>
  <c r="O19" i="18"/>
  <c r="P18" i="18"/>
  <c r="O18" i="18"/>
  <c r="P17" i="18"/>
  <c r="O17" i="18"/>
  <c r="P16" i="18"/>
  <c r="O16" i="18"/>
  <c r="P15" i="18"/>
  <c r="O15" i="18"/>
  <c r="P14" i="18"/>
  <c r="O14" i="18"/>
  <c r="P13" i="18"/>
  <c r="O13" i="18"/>
  <c r="P12" i="18"/>
  <c r="O12" i="18"/>
  <c r="P11" i="18"/>
  <c r="O11" i="18"/>
  <c r="P10" i="18"/>
  <c r="O10" i="18"/>
  <c r="P9" i="18"/>
  <c r="O9" i="18"/>
  <c r="P8" i="18"/>
  <c r="O8" i="18"/>
  <c r="P7" i="18"/>
  <c r="O7" i="18"/>
  <c r="P6" i="18"/>
  <c r="O6" i="18"/>
  <c r="P5" i="18"/>
  <c r="O5" i="18"/>
  <c r="P4" i="18"/>
  <c r="O4" i="18"/>
  <c r="P3" i="18"/>
  <c r="O3" i="18"/>
  <c r="P2" i="18"/>
  <c r="O2" i="18"/>
  <c r="O54" i="17"/>
  <c r="N54" i="17"/>
  <c r="O25" i="17"/>
  <c r="N25" i="17"/>
  <c r="B25" i="17"/>
  <c r="A25" i="17"/>
  <c r="O24" i="17"/>
  <c r="N24" i="17"/>
  <c r="B24" i="17"/>
  <c r="A24" i="17"/>
  <c r="O23" i="17"/>
  <c r="N23" i="17"/>
  <c r="B23" i="17"/>
  <c r="A23" i="17"/>
  <c r="O22" i="17"/>
  <c r="N22" i="17"/>
  <c r="B22" i="17"/>
  <c r="A22" i="17"/>
  <c r="O21" i="17"/>
  <c r="N21" i="17"/>
  <c r="B21" i="17"/>
  <c r="A21" i="17"/>
  <c r="O20" i="17"/>
  <c r="N20" i="17"/>
  <c r="B20" i="17"/>
  <c r="A20" i="17"/>
  <c r="O19" i="17"/>
  <c r="N19" i="17"/>
  <c r="B19" i="17"/>
  <c r="A19" i="17"/>
  <c r="O18" i="17"/>
  <c r="N18" i="17"/>
  <c r="B18" i="17"/>
  <c r="A18" i="17"/>
  <c r="O17" i="17"/>
  <c r="N17" i="17"/>
  <c r="B17" i="17"/>
  <c r="A17" i="17"/>
  <c r="O16" i="17"/>
  <c r="N16" i="17"/>
  <c r="B16" i="17"/>
  <c r="A16" i="17"/>
  <c r="O15" i="17"/>
  <c r="N15" i="17"/>
  <c r="B15" i="17"/>
  <c r="A15" i="17"/>
  <c r="O14" i="17"/>
  <c r="N14" i="17"/>
  <c r="B14" i="17"/>
  <c r="A14" i="17"/>
  <c r="O13" i="17"/>
  <c r="N13" i="17"/>
  <c r="B13" i="17"/>
  <c r="A13" i="17"/>
  <c r="O12" i="17"/>
  <c r="N12" i="17"/>
  <c r="B12" i="17"/>
  <c r="A12" i="17"/>
  <c r="O11" i="17"/>
  <c r="N11" i="17"/>
  <c r="B11" i="17"/>
  <c r="A11" i="17"/>
  <c r="O10" i="17"/>
  <c r="N10" i="17"/>
  <c r="B10" i="17"/>
  <c r="A10" i="17"/>
  <c r="O9" i="17"/>
  <c r="N9" i="17"/>
  <c r="B9" i="17"/>
  <c r="A9" i="17"/>
  <c r="O8" i="17"/>
  <c r="N8" i="17"/>
  <c r="B8" i="17"/>
  <c r="A8" i="17"/>
  <c r="O7" i="17"/>
  <c r="N7" i="17"/>
  <c r="B7" i="17"/>
  <c r="A7" i="17"/>
  <c r="O6" i="17"/>
  <c r="N6" i="17"/>
  <c r="B6" i="17"/>
  <c r="A6" i="17"/>
  <c r="O5" i="17"/>
  <c r="N5" i="17"/>
  <c r="B5" i="17"/>
  <c r="A5" i="17"/>
  <c r="O4" i="17"/>
  <c r="N4" i="17"/>
  <c r="B4" i="17"/>
  <c r="A4" i="17"/>
  <c r="O3" i="17"/>
  <c r="N3" i="17"/>
  <c r="B3" i="17"/>
  <c r="A3" i="17"/>
  <c r="O2" i="17"/>
  <c r="N2" i="17"/>
  <c r="B2" i="17"/>
  <c r="A2" i="17"/>
  <c r="N194" i="16"/>
  <c r="M194" i="16"/>
  <c r="N193" i="16"/>
  <c r="M193" i="16"/>
  <c r="N192" i="16"/>
  <c r="M192" i="16"/>
  <c r="N191" i="16"/>
  <c r="M191" i="16"/>
  <c r="N190" i="16"/>
  <c r="M190" i="16"/>
  <c r="N189" i="16"/>
  <c r="M189" i="16"/>
  <c r="N188" i="16"/>
  <c r="M188" i="16"/>
  <c r="N187" i="16"/>
  <c r="M187" i="16"/>
  <c r="N186" i="16"/>
  <c r="M186" i="16"/>
  <c r="N185" i="16"/>
  <c r="M185" i="16"/>
  <c r="N184" i="16"/>
  <c r="M184" i="16"/>
  <c r="N183" i="16"/>
  <c r="M183" i="16"/>
  <c r="N182" i="16"/>
  <c r="M182" i="16"/>
  <c r="N181" i="16"/>
  <c r="M181" i="16"/>
  <c r="N180" i="16"/>
  <c r="M180" i="16"/>
  <c r="N179" i="16"/>
  <c r="M179" i="16"/>
  <c r="N178" i="16"/>
  <c r="M178" i="16"/>
  <c r="N177" i="16"/>
  <c r="M177" i="16"/>
  <c r="N176" i="16"/>
  <c r="M176" i="16"/>
  <c r="N175" i="16"/>
  <c r="M175" i="16"/>
  <c r="N174" i="16"/>
  <c r="M174" i="16"/>
  <c r="N173" i="16"/>
  <c r="M173" i="16"/>
  <c r="N172" i="16"/>
  <c r="M172" i="16"/>
  <c r="N171" i="16"/>
  <c r="M171" i="16"/>
  <c r="N170" i="16"/>
  <c r="M170" i="16"/>
  <c r="N169" i="16"/>
  <c r="M169" i="16"/>
  <c r="N168" i="16"/>
  <c r="M168" i="16"/>
  <c r="N167" i="16"/>
  <c r="M167" i="16"/>
  <c r="N166" i="16"/>
  <c r="M166" i="16"/>
  <c r="N165" i="16"/>
  <c r="M165" i="16"/>
  <c r="N164" i="16"/>
  <c r="M164" i="16"/>
  <c r="N163" i="16"/>
  <c r="M163" i="16"/>
  <c r="N162" i="16"/>
  <c r="M162" i="16"/>
  <c r="N161" i="16"/>
  <c r="M161" i="16"/>
  <c r="N160" i="16"/>
  <c r="M160" i="16"/>
  <c r="N159" i="16"/>
  <c r="M159" i="16"/>
  <c r="N158" i="16"/>
  <c r="M158" i="16"/>
  <c r="N157" i="16"/>
  <c r="M157" i="16"/>
  <c r="N156" i="16"/>
  <c r="M156" i="16"/>
  <c r="N155" i="16"/>
  <c r="M155" i="16"/>
  <c r="N154" i="16"/>
  <c r="M154" i="16"/>
  <c r="N153" i="16"/>
  <c r="M153" i="16"/>
  <c r="N152" i="16"/>
  <c r="M152" i="16"/>
  <c r="N151" i="16"/>
  <c r="M151" i="16"/>
  <c r="N150" i="16"/>
  <c r="M150" i="16"/>
  <c r="N149" i="16"/>
  <c r="M149" i="16"/>
  <c r="N148" i="16"/>
  <c r="M148" i="16"/>
  <c r="N147" i="16"/>
  <c r="M147" i="16"/>
  <c r="B147" i="16"/>
  <c r="N146" i="16"/>
  <c r="M146" i="16"/>
  <c r="B146" i="16"/>
  <c r="N145" i="16"/>
  <c r="M145" i="16"/>
  <c r="B145" i="16"/>
  <c r="N144" i="16"/>
  <c r="M144" i="16"/>
  <c r="B144" i="16"/>
  <c r="N143" i="16"/>
  <c r="M143" i="16"/>
  <c r="B143" i="16"/>
  <c r="N142" i="16"/>
  <c r="M142" i="16"/>
  <c r="B142" i="16"/>
  <c r="N141" i="16"/>
  <c r="M141" i="16"/>
  <c r="B141" i="16"/>
  <c r="N140" i="16"/>
  <c r="M140" i="16"/>
  <c r="B140" i="16"/>
  <c r="N139" i="16"/>
  <c r="M139" i="16"/>
  <c r="B139" i="16"/>
  <c r="N138" i="16"/>
  <c r="M138" i="16"/>
  <c r="B138" i="16"/>
  <c r="N137" i="16"/>
  <c r="M137" i="16"/>
  <c r="B137" i="16"/>
  <c r="N136" i="16"/>
  <c r="M136" i="16"/>
  <c r="B136" i="16"/>
  <c r="N135" i="16"/>
  <c r="M135" i="16"/>
  <c r="B135" i="16"/>
  <c r="N134" i="16"/>
  <c r="M134" i="16"/>
  <c r="B134" i="16"/>
  <c r="N133" i="16"/>
  <c r="M133" i="16"/>
  <c r="B133" i="16"/>
  <c r="N132" i="16"/>
  <c r="M132" i="16"/>
  <c r="B132" i="16"/>
  <c r="N131" i="16"/>
  <c r="M131" i="16"/>
  <c r="B131" i="16"/>
  <c r="N130" i="16"/>
  <c r="M130" i="16"/>
  <c r="B130" i="16"/>
  <c r="N129" i="16"/>
  <c r="M129" i="16"/>
  <c r="B129" i="16"/>
  <c r="N128" i="16"/>
  <c r="M128" i="16"/>
  <c r="B128" i="16"/>
  <c r="N127" i="16"/>
  <c r="M127" i="16"/>
  <c r="B127" i="16"/>
  <c r="N126" i="16"/>
  <c r="M126" i="16"/>
  <c r="B126" i="16"/>
  <c r="N125" i="16"/>
  <c r="M125" i="16"/>
  <c r="B125" i="16"/>
  <c r="N124" i="16"/>
  <c r="M124" i="16"/>
  <c r="B124" i="16"/>
  <c r="N123" i="16"/>
  <c r="M123" i="16"/>
  <c r="B123" i="16"/>
  <c r="N122" i="16"/>
  <c r="M122" i="16"/>
  <c r="B122" i="16"/>
  <c r="N121" i="16"/>
  <c r="M121" i="16"/>
  <c r="B121" i="16"/>
  <c r="N120" i="16"/>
  <c r="M120" i="16"/>
  <c r="B120" i="16"/>
  <c r="N119" i="16"/>
  <c r="M119" i="16"/>
  <c r="C119" i="16"/>
  <c r="B119" i="16"/>
  <c r="N118" i="16"/>
  <c r="M118" i="16"/>
  <c r="C118" i="16"/>
  <c r="B118" i="16"/>
  <c r="N117" i="16"/>
  <c r="M117" i="16"/>
  <c r="C117" i="16"/>
  <c r="B117" i="16"/>
  <c r="N116" i="16"/>
  <c r="M116" i="16"/>
  <c r="C116" i="16"/>
  <c r="B116" i="16"/>
  <c r="N115" i="16"/>
  <c r="M115" i="16"/>
  <c r="C115" i="16"/>
  <c r="B115" i="16"/>
  <c r="N114" i="16"/>
  <c r="M114" i="16"/>
  <c r="C114" i="16"/>
  <c r="B114" i="16"/>
  <c r="N113" i="16"/>
  <c r="M113" i="16"/>
  <c r="C113" i="16"/>
  <c r="B113" i="16"/>
  <c r="N112" i="16"/>
  <c r="M112" i="16"/>
  <c r="C112" i="16"/>
  <c r="B112" i="16"/>
  <c r="N111" i="16"/>
  <c r="M111" i="16"/>
  <c r="C111" i="16"/>
  <c r="B111" i="16"/>
  <c r="N110" i="16"/>
  <c r="M110" i="16"/>
  <c r="C110" i="16"/>
  <c r="B110" i="16"/>
  <c r="N109" i="16"/>
  <c r="M109" i="16"/>
  <c r="C109" i="16"/>
  <c r="B109" i="16"/>
  <c r="N108" i="16"/>
  <c r="M108" i="16"/>
  <c r="C108" i="16"/>
  <c r="B108" i="16"/>
  <c r="N107" i="16"/>
  <c r="M107" i="16"/>
  <c r="C107" i="16"/>
  <c r="B107" i="16"/>
  <c r="N106" i="16"/>
  <c r="M106" i="16"/>
  <c r="C106" i="16"/>
  <c r="B106" i="16"/>
  <c r="N105" i="16"/>
  <c r="M105" i="16"/>
  <c r="C105" i="16"/>
  <c r="B105" i="16"/>
  <c r="N104" i="16"/>
  <c r="M104" i="16"/>
  <c r="C104" i="16"/>
  <c r="B104" i="16"/>
  <c r="N103" i="16"/>
  <c r="M103" i="16"/>
  <c r="C103" i="16"/>
  <c r="B103" i="16"/>
  <c r="N102" i="16"/>
  <c r="M102" i="16"/>
  <c r="C102" i="16"/>
  <c r="B102" i="16"/>
  <c r="N101" i="16"/>
  <c r="M101" i="16"/>
  <c r="C101" i="16"/>
  <c r="B101" i="16"/>
  <c r="N100" i="16"/>
  <c r="M100" i="16"/>
  <c r="C100" i="16"/>
  <c r="B100" i="16"/>
  <c r="N99" i="16"/>
  <c r="M99" i="16"/>
  <c r="C99" i="16"/>
  <c r="B99" i="16"/>
  <c r="N98" i="16"/>
  <c r="M98" i="16"/>
  <c r="C98" i="16"/>
  <c r="B98" i="16"/>
  <c r="N97" i="16"/>
  <c r="M97" i="16"/>
  <c r="C97" i="16"/>
  <c r="B97" i="16"/>
  <c r="N96" i="16"/>
  <c r="M96" i="16"/>
  <c r="C96" i="16"/>
  <c r="B96" i="16"/>
  <c r="N95" i="16"/>
  <c r="M95" i="16"/>
  <c r="C95" i="16"/>
  <c r="B95" i="16"/>
  <c r="N94" i="16"/>
  <c r="M94" i="16"/>
  <c r="C94" i="16"/>
  <c r="B94" i="16"/>
  <c r="N93" i="16"/>
  <c r="M93" i="16"/>
  <c r="C93" i="16"/>
  <c r="B93" i="16"/>
  <c r="N92" i="16"/>
  <c r="M92" i="16"/>
  <c r="C92" i="16"/>
  <c r="B92" i="16"/>
  <c r="N91" i="16"/>
  <c r="M91" i="16"/>
  <c r="C91" i="16"/>
  <c r="B91" i="16"/>
  <c r="N90" i="16"/>
  <c r="M90" i="16"/>
  <c r="C90" i="16"/>
  <c r="B90" i="16"/>
  <c r="N89" i="16"/>
  <c r="M89" i="16"/>
  <c r="C89" i="16"/>
  <c r="B89" i="16"/>
  <c r="N88" i="16"/>
  <c r="M88" i="16"/>
  <c r="C88" i="16"/>
  <c r="B88" i="16"/>
  <c r="N87" i="16"/>
  <c r="M87" i="16"/>
  <c r="C87" i="16"/>
  <c r="B87" i="16"/>
  <c r="N86" i="16"/>
  <c r="M86" i="16"/>
  <c r="C86" i="16"/>
  <c r="B86" i="16"/>
  <c r="N85" i="16"/>
  <c r="M85" i="16"/>
  <c r="C85" i="16"/>
  <c r="B85" i="16"/>
  <c r="N84" i="16"/>
  <c r="M84" i="16"/>
  <c r="C84" i="16"/>
  <c r="B84" i="16"/>
  <c r="N83" i="16"/>
  <c r="M83" i="16"/>
  <c r="C83" i="16"/>
  <c r="B83" i="16"/>
  <c r="N82" i="16"/>
  <c r="M82" i="16"/>
  <c r="C82" i="16"/>
  <c r="B82" i="16"/>
  <c r="N81" i="16"/>
  <c r="M81" i="16"/>
  <c r="C81" i="16"/>
  <c r="B81" i="16"/>
  <c r="N80" i="16"/>
  <c r="M80" i="16"/>
  <c r="C80" i="16"/>
  <c r="B80" i="16"/>
  <c r="N79" i="16"/>
  <c r="M79" i="16"/>
  <c r="C79" i="16"/>
  <c r="B79" i="16"/>
  <c r="N78" i="16"/>
  <c r="M78" i="16"/>
  <c r="C78" i="16"/>
  <c r="B78" i="16"/>
  <c r="N77" i="16"/>
  <c r="M77" i="16"/>
  <c r="C77" i="16"/>
  <c r="B77" i="16"/>
  <c r="N76" i="16"/>
  <c r="M76" i="16"/>
  <c r="C76" i="16"/>
  <c r="B76" i="16"/>
  <c r="N75" i="16"/>
  <c r="M75" i="16"/>
  <c r="C75" i="16"/>
  <c r="B75" i="16"/>
  <c r="N74" i="16"/>
  <c r="M74" i="16"/>
  <c r="C74" i="16"/>
  <c r="B74" i="16"/>
  <c r="N73" i="16"/>
  <c r="M73" i="16"/>
  <c r="C73" i="16"/>
  <c r="B73" i="16"/>
  <c r="N72" i="16"/>
  <c r="M72" i="16"/>
  <c r="C72" i="16"/>
  <c r="B72" i="16"/>
  <c r="N71" i="16"/>
  <c r="M71" i="16"/>
  <c r="C71" i="16"/>
  <c r="B71" i="16"/>
  <c r="N70" i="16"/>
  <c r="M70" i="16"/>
  <c r="C70" i="16"/>
  <c r="B70" i="16"/>
  <c r="N69" i="16"/>
  <c r="M69" i="16"/>
  <c r="C69" i="16"/>
  <c r="B69" i="16"/>
  <c r="N68" i="16"/>
  <c r="M68" i="16"/>
  <c r="C68" i="16"/>
  <c r="B68" i="16"/>
  <c r="N67" i="16"/>
  <c r="M67" i="16"/>
  <c r="C67" i="16"/>
  <c r="B67" i="16"/>
  <c r="N66" i="16"/>
  <c r="M66" i="16"/>
  <c r="C66" i="16"/>
  <c r="B66" i="16"/>
  <c r="N65" i="16"/>
  <c r="M65" i="16"/>
  <c r="C65" i="16"/>
  <c r="B65" i="16"/>
  <c r="N64" i="16"/>
  <c r="M64" i="16"/>
  <c r="C64" i="16"/>
  <c r="B64" i="16"/>
  <c r="N63" i="16"/>
  <c r="M63" i="16"/>
  <c r="C63" i="16"/>
  <c r="B63" i="16"/>
  <c r="N62" i="16"/>
  <c r="M62" i="16"/>
  <c r="C62" i="16"/>
  <c r="B62" i="16"/>
  <c r="N61" i="16"/>
  <c r="M61" i="16"/>
  <c r="C61" i="16"/>
  <c r="B61" i="16"/>
  <c r="N60" i="16"/>
  <c r="M60" i="16"/>
  <c r="C60" i="16"/>
  <c r="B60" i="16"/>
  <c r="N59" i="16"/>
  <c r="M59" i="16"/>
  <c r="C59" i="16"/>
  <c r="B59" i="16"/>
  <c r="N58" i="16"/>
  <c r="M58" i="16"/>
  <c r="C58" i="16"/>
  <c r="B58" i="16"/>
  <c r="N57" i="16"/>
  <c r="M57" i="16"/>
  <c r="C57" i="16"/>
  <c r="B57" i="16"/>
  <c r="N56" i="16"/>
  <c r="M56" i="16"/>
  <c r="C56" i="16"/>
  <c r="B56" i="16"/>
  <c r="N55" i="16"/>
  <c r="M55" i="16"/>
  <c r="C55" i="16"/>
  <c r="B55" i="16"/>
  <c r="N54" i="16"/>
  <c r="M54" i="16"/>
  <c r="C54" i="16"/>
  <c r="B54" i="16"/>
  <c r="N53" i="16"/>
  <c r="M53" i="16"/>
  <c r="C53" i="16"/>
  <c r="B53" i="16"/>
  <c r="N52" i="16"/>
  <c r="M52" i="16"/>
  <c r="C52" i="16"/>
  <c r="B52" i="16"/>
  <c r="N51" i="16"/>
  <c r="M51" i="16"/>
  <c r="C51" i="16"/>
  <c r="B51" i="16"/>
  <c r="N50" i="16"/>
  <c r="M50" i="16"/>
  <c r="C50" i="16"/>
  <c r="B50" i="16"/>
  <c r="N49" i="16"/>
  <c r="M49" i="16"/>
  <c r="C49" i="16"/>
  <c r="B49" i="16"/>
  <c r="N48" i="16"/>
  <c r="M48" i="16"/>
  <c r="C48" i="16"/>
  <c r="B48" i="16"/>
  <c r="N47" i="16"/>
  <c r="M47" i="16"/>
  <c r="C47" i="16"/>
  <c r="B47" i="16"/>
  <c r="N46" i="16"/>
  <c r="M46" i="16"/>
  <c r="C46" i="16"/>
  <c r="B46" i="16"/>
  <c r="N45" i="16"/>
  <c r="M45" i="16"/>
  <c r="C45" i="16"/>
  <c r="B45" i="16"/>
  <c r="N44" i="16"/>
  <c r="M44" i="16"/>
  <c r="C44" i="16"/>
  <c r="B44" i="16"/>
  <c r="N43" i="16"/>
  <c r="M43" i="16"/>
  <c r="C43" i="16"/>
  <c r="B43" i="16"/>
  <c r="N42" i="16"/>
  <c r="M42" i="16"/>
  <c r="C42" i="16"/>
  <c r="B42" i="16"/>
  <c r="N41" i="16"/>
  <c r="M41" i="16"/>
  <c r="C41" i="16"/>
  <c r="B41" i="16"/>
  <c r="N40" i="16"/>
  <c r="M40" i="16"/>
  <c r="C40" i="16"/>
  <c r="B40" i="16"/>
  <c r="N39" i="16"/>
  <c r="M39" i="16"/>
  <c r="C39" i="16"/>
  <c r="B39" i="16"/>
  <c r="N38" i="16"/>
  <c r="M38" i="16"/>
  <c r="C38" i="16"/>
  <c r="B38" i="16"/>
  <c r="N37" i="16"/>
  <c r="M37" i="16"/>
  <c r="C37" i="16"/>
  <c r="B37" i="16"/>
  <c r="N36" i="16"/>
  <c r="M36" i="16"/>
  <c r="C36" i="16"/>
  <c r="B36" i="16"/>
  <c r="N35" i="16"/>
  <c r="M35" i="16"/>
  <c r="C35" i="16"/>
  <c r="B35" i="16"/>
  <c r="N34" i="16"/>
  <c r="M34" i="16"/>
  <c r="C34" i="16"/>
  <c r="B34" i="16"/>
  <c r="N33" i="16"/>
  <c r="M33" i="16"/>
  <c r="C33" i="16"/>
  <c r="B33" i="16"/>
  <c r="N32" i="16"/>
  <c r="M32" i="16"/>
  <c r="C32" i="16"/>
  <c r="B32" i="16"/>
  <c r="N31" i="16"/>
  <c r="M31" i="16"/>
  <c r="C31" i="16"/>
  <c r="B31" i="16"/>
  <c r="N30" i="16"/>
  <c r="M30" i="16"/>
  <c r="C30" i="16"/>
  <c r="B30" i="16"/>
  <c r="N29" i="16"/>
  <c r="M29" i="16"/>
  <c r="C29" i="16"/>
  <c r="B29" i="16"/>
  <c r="N28" i="16"/>
  <c r="M28" i="16"/>
  <c r="C28" i="16"/>
  <c r="B28" i="16"/>
  <c r="N27" i="16"/>
  <c r="M27" i="16"/>
  <c r="C27" i="16"/>
  <c r="B27" i="16"/>
  <c r="N26" i="16"/>
  <c r="M26" i="16"/>
  <c r="C26" i="16"/>
  <c r="B26" i="16"/>
  <c r="N25" i="16"/>
  <c r="M25" i="16"/>
  <c r="C25" i="16"/>
  <c r="B25" i="16"/>
  <c r="N24" i="16"/>
  <c r="M24" i="16"/>
  <c r="C24" i="16"/>
  <c r="B24" i="16"/>
  <c r="N23" i="16"/>
  <c r="M23" i="16"/>
  <c r="C23" i="16"/>
  <c r="B23" i="16"/>
  <c r="N22" i="16"/>
  <c r="M22" i="16"/>
  <c r="C22" i="16"/>
  <c r="B22" i="16"/>
  <c r="N21" i="16"/>
  <c r="M21" i="16"/>
  <c r="C21" i="16"/>
  <c r="B21" i="16"/>
  <c r="N20" i="16"/>
  <c r="M20" i="16"/>
  <c r="C20" i="16"/>
  <c r="B20" i="16"/>
  <c r="N19" i="16"/>
  <c r="M19" i="16"/>
  <c r="C19" i="16"/>
  <c r="B19" i="16"/>
  <c r="N18" i="16"/>
  <c r="M18" i="16"/>
  <c r="C18" i="16"/>
  <c r="B18" i="16"/>
  <c r="N17" i="16"/>
  <c r="M17" i="16"/>
  <c r="C17" i="16"/>
  <c r="B17" i="16"/>
  <c r="N16" i="16"/>
  <c r="M16" i="16"/>
  <c r="C16" i="16"/>
  <c r="B16" i="16"/>
  <c r="N15" i="16"/>
  <c r="M15" i="16"/>
  <c r="C15" i="16"/>
  <c r="B15" i="16"/>
  <c r="N14" i="16"/>
  <c r="M14" i="16"/>
  <c r="C14" i="16"/>
  <c r="B14" i="16"/>
  <c r="N13" i="16"/>
  <c r="M13" i="16"/>
  <c r="C13" i="16"/>
  <c r="B13" i="16"/>
  <c r="N12" i="16"/>
  <c r="M12" i="16"/>
  <c r="C12" i="16"/>
  <c r="B12" i="16"/>
  <c r="N11" i="16"/>
  <c r="M11" i="16"/>
  <c r="C11" i="16"/>
  <c r="B11" i="16"/>
  <c r="N10" i="16"/>
  <c r="M10" i="16"/>
  <c r="C10" i="16"/>
  <c r="B10" i="16"/>
  <c r="N9" i="16"/>
  <c r="M9" i="16"/>
  <c r="C9" i="16"/>
  <c r="B9" i="16"/>
  <c r="N8" i="16"/>
  <c r="M8" i="16"/>
  <c r="C8" i="16"/>
  <c r="B8" i="16"/>
  <c r="N7" i="16"/>
  <c r="M7" i="16"/>
  <c r="C7" i="16"/>
  <c r="B7" i="16"/>
  <c r="N6" i="16"/>
  <c r="M6" i="16"/>
  <c r="C6" i="16"/>
  <c r="B6" i="16"/>
  <c r="N5" i="16"/>
  <c r="M5" i="16"/>
  <c r="C5" i="16"/>
  <c r="B5" i="16"/>
  <c r="N4" i="16"/>
  <c r="M4" i="16"/>
  <c r="C4" i="16"/>
  <c r="B4" i="16"/>
  <c r="N3" i="16"/>
  <c r="M3" i="16"/>
  <c r="C3" i="16"/>
  <c r="B3" i="16"/>
  <c r="N2" i="16"/>
  <c r="M2" i="16"/>
  <c r="C2" i="16"/>
  <c r="B2" i="16"/>
  <c r="G106" i="15"/>
  <c r="F106" i="15"/>
  <c r="G105" i="15"/>
  <c r="F105" i="15"/>
  <c r="G104" i="15"/>
  <c r="F104" i="15"/>
  <c r="G103" i="15"/>
  <c r="F103" i="15"/>
  <c r="G102" i="15"/>
  <c r="F102" i="15"/>
  <c r="G101" i="15"/>
  <c r="F101" i="15"/>
  <c r="G100" i="15"/>
  <c r="F100" i="15"/>
  <c r="G99" i="15"/>
  <c r="F99" i="15"/>
  <c r="G98" i="15"/>
  <c r="F98" i="15"/>
  <c r="H47" i="14"/>
  <c r="G47" i="14"/>
  <c r="M35" i="14"/>
  <c r="D35" i="14"/>
  <c r="C35" i="14"/>
  <c r="M34" i="14"/>
  <c r="D34" i="14"/>
  <c r="C34" i="14"/>
  <c r="M33" i="14"/>
  <c r="D33" i="14"/>
  <c r="C33" i="14"/>
  <c r="M32" i="14"/>
  <c r="D32" i="14"/>
  <c r="C32" i="14"/>
  <c r="M31" i="14"/>
  <c r="D31" i="14"/>
  <c r="C31" i="14"/>
  <c r="M30" i="14"/>
  <c r="D30" i="14"/>
  <c r="C30" i="14"/>
  <c r="M29" i="14"/>
  <c r="D29" i="14"/>
  <c r="C29" i="14"/>
  <c r="M28" i="14"/>
  <c r="D28" i="14"/>
  <c r="C28" i="14"/>
  <c r="M27" i="14"/>
  <c r="D27" i="14"/>
  <c r="C27" i="14"/>
  <c r="M26" i="14"/>
  <c r="D26" i="14"/>
  <c r="C26" i="14"/>
  <c r="M25" i="14"/>
  <c r="D25" i="14"/>
  <c r="C25" i="14"/>
  <c r="M24" i="14"/>
  <c r="D24" i="14"/>
  <c r="C24" i="14"/>
  <c r="M23" i="14"/>
  <c r="D23" i="14"/>
  <c r="C23" i="14"/>
  <c r="M22" i="14"/>
  <c r="D22" i="14"/>
  <c r="C22" i="14"/>
  <c r="M21" i="14"/>
  <c r="D21" i="14"/>
  <c r="C21" i="14"/>
  <c r="M20" i="14"/>
  <c r="D20" i="14"/>
  <c r="C20" i="14"/>
  <c r="M19" i="14"/>
  <c r="D19" i="14"/>
  <c r="C19" i="14"/>
  <c r="M18" i="14"/>
  <c r="D18" i="14"/>
  <c r="C18" i="14"/>
  <c r="M17" i="14"/>
  <c r="D17" i="14"/>
  <c r="C17" i="14"/>
  <c r="M16" i="14"/>
  <c r="D16" i="14"/>
  <c r="C16" i="14"/>
  <c r="M15" i="14"/>
  <c r="D15" i="14"/>
  <c r="C15" i="14"/>
  <c r="M14" i="14"/>
  <c r="D14" i="14"/>
  <c r="C14" i="14"/>
  <c r="M13" i="14"/>
  <c r="D13" i="14"/>
  <c r="C13" i="14"/>
  <c r="M12" i="14"/>
  <c r="D12" i="14"/>
  <c r="C12" i="14"/>
  <c r="M11" i="14"/>
  <c r="D11" i="14"/>
  <c r="C11" i="14"/>
  <c r="M10" i="14"/>
  <c r="D10" i="14"/>
  <c r="C10" i="14"/>
  <c r="M9" i="14"/>
  <c r="D9" i="14"/>
  <c r="C9" i="14"/>
  <c r="M8" i="14"/>
  <c r="D8" i="14"/>
  <c r="C8" i="14"/>
  <c r="M7" i="14"/>
  <c r="D7" i="14"/>
  <c r="C7" i="14"/>
  <c r="M6" i="14"/>
  <c r="D6" i="14"/>
  <c r="C6" i="14"/>
  <c r="M5" i="14"/>
  <c r="D5" i="14"/>
  <c r="C5" i="14"/>
  <c r="M4" i="14"/>
  <c r="D4" i="14"/>
  <c r="C4" i="14"/>
  <c r="M3" i="14"/>
  <c r="D3" i="14"/>
  <c r="C3" i="14"/>
  <c r="M2" i="14"/>
  <c r="D2" i="14"/>
  <c r="C2" i="14"/>
  <c r="H51" i="12"/>
  <c r="K48" i="12"/>
  <c r="L48" i="12" s="1"/>
  <c r="K47" i="12"/>
  <c r="L47" i="12" s="1"/>
  <c r="K46" i="12"/>
  <c r="L46" i="12" s="1"/>
  <c r="L45" i="12"/>
  <c r="K45" i="12"/>
  <c r="L44" i="12"/>
  <c r="K44" i="12"/>
  <c r="L43" i="12"/>
  <c r="K43" i="12"/>
  <c r="L42" i="12"/>
  <c r="L41" i="12"/>
  <c r="K41" i="12"/>
  <c r="K40" i="12"/>
  <c r="L40" i="12" s="1"/>
  <c r="L39" i="12"/>
  <c r="K39" i="12"/>
  <c r="K38" i="12"/>
  <c r="L38" i="12" s="1"/>
  <c r="L37" i="12"/>
  <c r="K37" i="12"/>
  <c r="K36" i="12"/>
  <c r="L36" i="12" s="1"/>
  <c r="L35" i="12"/>
  <c r="K35" i="12"/>
  <c r="L34" i="12"/>
  <c r="L33" i="12"/>
  <c r="L32" i="12"/>
  <c r="K32" i="12"/>
  <c r="K31" i="12"/>
  <c r="L31" i="12" s="1"/>
  <c r="L30" i="12"/>
  <c r="K30" i="12"/>
  <c r="K29" i="12"/>
  <c r="L29" i="12" s="1"/>
  <c r="L28" i="12"/>
  <c r="L27" i="12"/>
  <c r="L26" i="12"/>
  <c r="L25" i="12"/>
  <c r="L24" i="12"/>
  <c r="L23" i="12"/>
  <c r="L22" i="12"/>
  <c r="K21" i="12"/>
  <c r="L21" i="12" s="1"/>
  <c r="L20" i="12"/>
  <c r="K20" i="12"/>
  <c r="L19" i="12"/>
  <c r="L18" i="12"/>
  <c r="L17" i="12"/>
  <c r="L16" i="12"/>
  <c r="L15" i="12"/>
  <c r="L14" i="12"/>
  <c r="K14" i="12"/>
  <c r="K13" i="12"/>
  <c r="L13" i="12" s="1"/>
  <c r="L12" i="12"/>
  <c r="K12" i="12"/>
  <c r="K11" i="12"/>
  <c r="L11" i="12" s="1"/>
  <c r="L10" i="12"/>
  <c r="K10" i="12"/>
  <c r="K9" i="12"/>
  <c r="L9" i="12" s="1"/>
  <c r="L8" i="12"/>
  <c r="K8" i="12"/>
  <c r="K7" i="12"/>
  <c r="L7" i="12" s="1"/>
  <c r="L6" i="12"/>
  <c r="K6" i="12"/>
  <c r="K5" i="12"/>
  <c r="L5" i="12" s="1"/>
  <c r="L4" i="12"/>
  <c r="K4" i="12"/>
  <c r="K3" i="12"/>
  <c r="L3" i="12" s="1"/>
  <c r="L2" i="12"/>
  <c r="L51" i="12" s="1"/>
  <c r="K2" i="12"/>
  <c r="K51" i="12" s="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O2838" i="10"/>
  <c r="P2838" i="10" s="1"/>
  <c r="P2837" i="10"/>
  <c r="O2837" i="10"/>
  <c r="P2836" i="10"/>
  <c r="O2836" i="10"/>
  <c r="P2835" i="10"/>
  <c r="O2835" i="10"/>
  <c r="O2834" i="10"/>
  <c r="P2834" i="10" s="1"/>
  <c r="O2833" i="10"/>
  <c r="P2833" i="10" s="1"/>
  <c r="P2832" i="10"/>
  <c r="O2832" i="10"/>
  <c r="P2831" i="10"/>
  <c r="O2831" i="10"/>
  <c r="O2830" i="10"/>
  <c r="P2830" i="10" s="1"/>
  <c r="O2829" i="10"/>
  <c r="P2829" i="10" s="1"/>
  <c r="O2828" i="10"/>
  <c r="P2828" i="10" s="1"/>
  <c r="O2827" i="10"/>
  <c r="P2827" i="10" s="1"/>
  <c r="O2826" i="10"/>
  <c r="P2826" i="10" s="1"/>
  <c r="O2825" i="10"/>
  <c r="P2825" i="10" s="1"/>
  <c r="O2824" i="10"/>
  <c r="P2824" i="10" s="1"/>
  <c r="O2823" i="10"/>
  <c r="P2823" i="10" s="1"/>
  <c r="O2822" i="10"/>
  <c r="P2822" i="10" s="1"/>
  <c r="O2821" i="10"/>
  <c r="P2821" i="10" s="1"/>
  <c r="O2820" i="10"/>
  <c r="P2820" i="10" s="1"/>
  <c r="O2819" i="10"/>
  <c r="P2819" i="10" s="1"/>
  <c r="O2818" i="10"/>
  <c r="P2818" i="10" s="1"/>
  <c r="O2817" i="10"/>
  <c r="P2817" i="10" s="1"/>
  <c r="O2816" i="10"/>
  <c r="P2816" i="10" s="1"/>
  <c r="O2815" i="10"/>
  <c r="P2815" i="10" s="1"/>
  <c r="O2814" i="10"/>
  <c r="P2814" i="10" s="1"/>
  <c r="O2813" i="10"/>
  <c r="P2813" i="10" s="1"/>
  <c r="O2812" i="10"/>
  <c r="P2812" i="10" s="1"/>
  <c r="O2811" i="10"/>
  <c r="P2811" i="10" s="1"/>
  <c r="O2810" i="10"/>
  <c r="P2810" i="10" s="1"/>
  <c r="O2809" i="10"/>
  <c r="P2809" i="10" s="1"/>
  <c r="O2808" i="10"/>
  <c r="P2808" i="10" s="1"/>
  <c r="O2807" i="10"/>
  <c r="P2807" i="10" s="1"/>
  <c r="O2806" i="10"/>
  <c r="P2806" i="10" s="1"/>
  <c r="O2805" i="10"/>
  <c r="P2805" i="10" s="1"/>
  <c r="O2804" i="10"/>
  <c r="P2804" i="10" s="1"/>
  <c r="O2803" i="10"/>
  <c r="P2803" i="10" s="1"/>
  <c r="O2802" i="10"/>
  <c r="P2802" i="10" s="1"/>
  <c r="O2801" i="10"/>
  <c r="P2801" i="10" s="1"/>
  <c r="P2800" i="10"/>
  <c r="O2800" i="10"/>
  <c r="O2799" i="10"/>
  <c r="P2799" i="10" s="1"/>
  <c r="O2798" i="10"/>
  <c r="P2798" i="10" s="1"/>
  <c r="O2797" i="10"/>
  <c r="P2797" i="10" s="1"/>
  <c r="O2796" i="10"/>
  <c r="P2796" i="10" s="1"/>
  <c r="O2795" i="10"/>
  <c r="P2795" i="10" s="1"/>
  <c r="O2794" i="10"/>
  <c r="P2794" i="10" s="1"/>
  <c r="O2793" i="10"/>
  <c r="P2793" i="10" s="1"/>
  <c r="O2792" i="10"/>
  <c r="P2792" i="10" s="1"/>
  <c r="P2791" i="10"/>
  <c r="O2791" i="10"/>
  <c r="O2790" i="10"/>
  <c r="P2790" i="10" s="1"/>
  <c r="O2789" i="10"/>
  <c r="P2789" i="10" s="1"/>
  <c r="O2788" i="10"/>
  <c r="P2788" i="10" s="1"/>
  <c r="O2787" i="10"/>
  <c r="P2787" i="10" s="1"/>
  <c r="O2786" i="10"/>
  <c r="P2786" i="10" s="1"/>
  <c r="P2785" i="10"/>
  <c r="O2785" i="10"/>
  <c r="O2784" i="10"/>
  <c r="P2784" i="10" s="1"/>
  <c r="O2783" i="10"/>
  <c r="P2783" i="10" s="1"/>
  <c r="O2782" i="10"/>
  <c r="P2782" i="10" s="1"/>
  <c r="O2781" i="10"/>
  <c r="P2781" i="10" s="1"/>
  <c r="O2780" i="10"/>
  <c r="P2780" i="10" s="1"/>
  <c r="O2779" i="10"/>
  <c r="P2779" i="10" s="1"/>
  <c r="O2778" i="10"/>
  <c r="P2778" i="10" s="1"/>
  <c r="O2777" i="10"/>
  <c r="P2777" i="10" s="1"/>
  <c r="P2776" i="10"/>
  <c r="O2776" i="10"/>
  <c r="O2775" i="10"/>
  <c r="P2775" i="10" s="1"/>
  <c r="O2774" i="10"/>
  <c r="P2774" i="10" s="1"/>
  <c r="O2773" i="10"/>
  <c r="P2773" i="10" s="1"/>
  <c r="O2772" i="10"/>
  <c r="P2772" i="10" s="1"/>
  <c r="O2771" i="10"/>
  <c r="P2771" i="10" s="1"/>
  <c r="O2770" i="10"/>
  <c r="P2770" i="10" s="1"/>
  <c r="O2769" i="10"/>
  <c r="P2769" i="10" s="1"/>
  <c r="O2768" i="10"/>
  <c r="P2768" i="10" s="1"/>
  <c r="O2767" i="10"/>
  <c r="P2767" i="10" s="1"/>
  <c r="O2766" i="10"/>
  <c r="P2766" i="10" s="1"/>
  <c r="O2765" i="10"/>
  <c r="P2765" i="10" s="1"/>
  <c r="O2764" i="10"/>
  <c r="P2764" i="10" s="1"/>
  <c r="O2763" i="10"/>
  <c r="P2763" i="10" s="1"/>
  <c r="O2762" i="10"/>
  <c r="P2762" i="10" s="1"/>
  <c r="P2761" i="10"/>
  <c r="O2761" i="10"/>
  <c r="O2760" i="10"/>
  <c r="P2760" i="10" s="1"/>
  <c r="O2759" i="10"/>
  <c r="P2759" i="10" s="1"/>
  <c r="O2758" i="10"/>
  <c r="P2758" i="10" s="1"/>
  <c r="P2757" i="10"/>
  <c r="O2757" i="10"/>
  <c r="O2756" i="10"/>
  <c r="P2756" i="10" s="1"/>
  <c r="O2755" i="10"/>
  <c r="P2755" i="10" s="1"/>
  <c r="O2754" i="10"/>
  <c r="P2754" i="10" s="1"/>
  <c r="O2753" i="10"/>
  <c r="P2753" i="10" s="1"/>
  <c r="O2752" i="10"/>
  <c r="P2752" i="10" s="1"/>
  <c r="O2751" i="10"/>
  <c r="P2751" i="10" s="1"/>
  <c r="O2750" i="10"/>
  <c r="P2750" i="10" s="1"/>
  <c r="O2749" i="10"/>
  <c r="P2749" i="10" s="1"/>
  <c r="O2748" i="10"/>
  <c r="P2748" i="10" s="1"/>
  <c r="O2747" i="10"/>
  <c r="P2747" i="10" s="1"/>
  <c r="O2746" i="10"/>
  <c r="P2746" i="10" s="1"/>
  <c r="O2745" i="10"/>
  <c r="P2745" i="10" s="1"/>
  <c r="P2744" i="10"/>
  <c r="O2744" i="10"/>
  <c r="P2743" i="10"/>
  <c r="O2743" i="10"/>
  <c r="O2742" i="10"/>
  <c r="P2742" i="10" s="1"/>
  <c r="O2741" i="10"/>
  <c r="P2741" i="10" s="1"/>
  <c r="O2740" i="10"/>
  <c r="P2740" i="10" s="1"/>
  <c r="O2739" i="10"/>
  <c r="P2739" i="10" s="1"/>
  <c r="O2738" i="10"/>
  <c r="P2738" i="10" s="1"/>
  <c r="O2737" i="10"/>
  <c r="P2737" i="10" s="1"/>
  <c r="O2736" i="10"/>
  <c r="P2736" i="10" s="1"/>
  <c r="O2735" i="10"/>
  <c r="P2735" i="10" s="1"/>
  <c r="O2734" i="10"/>
  <c r="P2734" i="10" s="1"/>
  <c r="O2733" i="10"/>
  <c r="P2733" i="10" s="1"/>
  <c r="O2732" i="10"/>
  <c r="P2732" i="10" s="1"/>
  <c r="P2731" i="10"/>
  <c r="O2731" i="10"/>
  <c r="O2730" i="10"/>
  <c r="P2730" i="10" s="1"/>
  <c r="O2729" i="10"/>
  <c r="P2729" i="10" s="1"/>
  <c r="O2728" i="10"/>
  <c r="P2728" i="10" s="1"/>
  <c r="O2727" i="10"/>
  <c r="P2727" i="10" s="1"/>
  <c r="O2726" i="10"/>
  <c r="P2726" i="10" s="1"/>
  <c r="P2725" i="10"/>
  <c r="O2725" i="10"/>
  <c r="O2724" i="10"/>
  <c r="P2724" i="10" s="1"/>
  <c r="O2723" i="10"/>
  <c r="P2723" i="10" s="1"/>
  <c r="O2722" i="10"/>
  <c r="P2722" i="10" s="1"/>
  <c r="O2721" i="10"/>
  <c r="P2721" i="10" s="1"/>
  <c r="O2720" i="10"/>
  <c r="P2720" i="10" s="1"/>
  <c r="O2719" i="10"/>
  <c r="P2719" i="10" s="1"/>
  <c r="O2718" i="10"/>
  <c r="P2718" i="10" s="1"/>
  <c r="P2717" i="10"/>
  <c r="O2717" i="10"/>
  <c r="P2716" i="10"/>
  <c r="O2716" i="10"/>
  <c r="P2715" i="10"/>
  <c r="O2715" i="10"/>
  <c r="O2714" i="10"/>
  <c r="P2714" i="10" s="1"/>
  <c r="O2713" i="10"/>
  <c r="P2713" i="10" s="1"/>
  <c r="O2712" i="10"/>
  <c r="P2712" i="10" s="1"/>
  <c r="O2711" i="10"/>
  <c r="P2711" i="10" s="1"/>
  <c r="O2710" i="10"/>
  <c r="P2710" i="10" s="1"/>
  <c r="O2709" i="10"/>
  <c r="P2709" i="10" s="1"/>
  <c r="O2708" i="10"/>
  <c r="P2708" i="10" s="1"/>
  <c r="O2707" i="10"/>
  <c r="P2707" i="10" s="1"/>
  <c r="O2706" i="10"/>
  <c r="P2706" i="10" s="1"/>
  <c r="O2705" i="10"/>
  <c r="P2705" i="10" s="1"/>
  <c r="O2704" i="10"/>
  <c r="P2704" i="10" s="1"/>
  <c r="O2703" i="10"/>
  <c r="P2703" i="10" s="1"/>
  <c r="O2702" i="10"/>
  <c r="P2702" i="10" s="1"/>
  <c r="P2701" i="10"/>
  <c r="O2701" i="10"/>
  <c r="O2700" i="10"/>
  <c r="P2700" i="10" s="1"/>
  <c r="O2699" i="10"/>
  <c r="P2699" i="10" s="1"/>
  <c r="O2698" i="10"/>
  <c r="P2698" i="10" s="1"/>
  <c r="O2697" i="10"/>
  <c r="P2697" i="10" s="1"/>
  <c r="O2696" i="10"/>
  <c r="P2696" i="10" s="1"/>
  <c r="O2695" i="10"/>
  <c r="P2695" i="10" s="1"/>
  <c r="O2694" i="10"/>
  <c r="P2694" i="10" s="1"/>
  <c r="O2693" i="10"/>
  <c r="P2693" i="10" s="1"/>
  <c r="O2692" i="10"/>
  <c r="P2692" i="10" s="1"/>
  <c r="P2691" i="10"/>
  <c r="O2691" i="10"/>
  <c r="O2690" i="10"/>
  <c r="P2690" i="10" s="1"/>
  <c r="O2689" i="10"/>
  <c r="P2689" i="10" s="1"/>
  <c r="O2688" i="10"/>
  <c r="P2688" i="10" s="1"/>
  <c r="O2687" i="10"/>
  <c r="P2687" i="10" s="1"/>
  <c r="O2686" i="10"/>
  <c r="P2686" i="10" s="1"/>
  <c r="O2685" i="10"/>
  <c r="P2685" i="10" s="1"/>
  <c r="O2684" i="10"/>
  <c r="P2684" i="10" s="1"/>
  <c r="O2683" i="10"/>
  <c r="P2683" i="10" s="1"/>
  <c r="O2682" i="10"/>
  <c r="P2682" i="10" s="1"/>
  <c r="P2681" i="10"/>
  <c r="O2681" i="10"/>
  <c r="O2680" i="10"/>
  <c r="P2680" i="10" s="1"/>
  <c r="P2679" i="10"/>
  <c r="O2679" i="10"/>
  <c r="O2678" i="10"/>
  <c r="P2678" i="10" s="1"/>
  <c r="O2677" i="10"/>
  <c r="P2677" i="10" s="1"/>
  <c r="O2676" i="10"/>
  <c r="P2676" i="10" s="1"/>
  <c r="O2675" i="10"/>
  <c r="P2675" i="10" s="1"/>
  <c r="O2674" i="10"/>
  <c r="P2674" i="10" s="1"/>
  <c r="P2673" i="10"/>
  <c r="O2673" i="10"/>
  <c r="O2672" i="10"/>
  <c r="P2672" i="10" s="1"/>
  <c r="O2671" i="10"/>
  <c r="P2671" i="10" s="1"/>
  <c r="O2670" i="10"/>
  <c r="P2670" i="10" s="1"/>
  <c r="O2669" i="10"/>
  <c r="P2669" i="10" s="1"/>
  <c r="O2668" i="10"/>
  <c r="P2668" i="10" s="1"/>
  <c r="P2667" i="10"/>
  <c r="O2667" i="10"/>
  <c r="O2666" i="10"/>
  <c r="P2666" i="10" s="1"/>
  <c r="O2665" i="10"/>
  <c r="P2665" i="10" s="1"/>
  <c r="O2664" i="10"/>
  <c r="P2664" i="10" s="1"/>
  <c r="P2663" i="10"/>
  <c r="O2663" i="10"/>
  <c r="O2662" i="10"/>
  <c r="P2662" i="10" s="1"/>
  <c r="O2661" i="10"/>
  <c r="P2661" i="10" s="1"/>
  <c r="O2660" i="10"/>
  <c r="P2660" i="10" s="1"/>
  <c r="O2659" i="10"/>
  <c r="P2659" i="10" s="1"/>
  <c r="O2658" i="10"/>
  <c r="P2658" i="10" s="1"/>
  <c r="O2657" i="10"/>
  <c r="P2657" i="10" s="1"/>
  <c r="O2656" i="10"/>
  <c r="P2656" i="10" s="1"/>
  <c r="O2655" i="10"/>
  <c r="P2655" i="10" s="1"/>
  <c r="O2654" i="10"/>
  <c r="P2654" i="10" s="1"/>
  <c r="O2653" i="10"/>
  <c r="P2653" i="10" s="1"/>
  <c r="O2652" i="10"/>
  <c r="P2652" i="10" s="1"/>
  <c r="O2651" i="10"/>
  <c r="P2651" i="10" s="1"/>
  <c r="O2650" i="10"/>
  <c r="P2650" i="10" s="1"/>
  <c r="O2649" i="10"/>
  <c r="P2649" i="10" s="1"/>
  <c r="O2648" i="10"/>
  <c r="P2648" i="10" s="1"/>
  <c r="O2647" i="10"/>
  <c r="P2647" i="10" s="1"/>
  <c r="O2646" i="10"/>
  <c r="P2646" i="10" s="1"/>
  <c r="O2645" i="10"/>
  <c r="P2645" i="10" s="1"/>
  <c r="O2644" i="10"/>
  <c r="P2644" i="10" s="1"/>
  <c r="P2643" i="10"/>
  <c r="O2643" i="10"/>
  <c r="O2642" i="10"/>
  <c r="P2642" i="10" s="1"/>
  <c r="O2641" i="10"/>
  <c r="P2641" i="10" s="1"/>
  <c r="O2640" i="10"/>
  <c r="P2640" i="10" s="1"/>
  <c r="O2639" i="10"/>
  <c r="P2639" i="10" s="1"/>
  <c r="O2638" i="10"/>
  <c r="P2638" i="10" s="1"/>
  <c r="O2637" i="10"/>
  <c r="P2637" i="10" s="1"/>
  <c r="O2636" i="10"/>
  <c r="P2636" i="10" s="1"/>
  <c r="O2635" i="10"/>
  <c r="P2635" i="10" s="1"/>
  <c r="O2634" i="10"/>
  <c r="P2634" i="10" s="1"/>
  <c r="O2633" i="10"/>
  <c r="P2633" i="10" s="1"/>
  <c r="O2632" i="10"/>
  <c r="P2632" i="10" s="1"/>
  <c r="O2631" i="10"/>
  <c r="P2631" i="10" s="1"/>
  <c r="O2630" i="10"/>
  <c r="P2630" i="10" s="1"/>
  <c r="O2629" i="10"/>
  <c r="P2629" i="10" s="1"/>
  <c r="O2628" i="10"/>
  <c r="P2628" i="10" s="1"/>
  <c r="O2627" i="10"/>
  <c r="P2627" i="10" s="1"/>
  <c r="O2626" i="10"/>
  <c r="P2626" i="10" s="1"/>
  <c r="O2625" i="10"/>
  <c r="P2625" i="10" s="1"/>
  <c r="O2624" i="10"/>
  <c r="P2624" i="10" s="1"/>
  <c r="P2623" i="10"/>
  <c r="O2623" i="10"/>
  <c r="O2622" i="10"/>
  <c r="P2622" i="10" s="1"/>
  <c r="O2621" i="10"/>
  <c r="P2621" i="10" s="1"/>
  <c r="O2620" i="10"/>
  <c r="P2620" i="10" s="1"/>
  <c r="P2619" i="10"/>
  <c r="O2619" i="10"/>
  <c r="O2618" i="10"/>
  <c r="P2618" i="10" s="1"/>
  <c r="O2617" i="10"/>
  <c r="P2617" i="10" s="1"/>
  <c r="O2616" i="10"/>
  <c r="P2616" i="10" s="1"/>
  <c r="O2615" i="10"/>
  <c r="P2615" i="10" s="1"/>
  <c r="O2614" i="10"/>
  <c r="P2614" i="10" s="1"/>
  <c r="O2613" i="10"/>
  <c r="P2613" i="10" s="1"/>
  <c r="O2612" i="10"/>
  <c r="P2612" i="10" s="1"/>
  <c r="O2611" i="10"/>
  <c r="P2611" i="10" s="1"/>
  <c r="O2610" i="10"/>
  <c r="P2610" i="10" s="1"/>
  <c r="P2609" i="10"/>
  <c r="O2609" i="10"/>
  <c r="O2608" i="10"/>
  <c r="P2608" i="10" s="1"/>
  <c r="O2607" i="10"/>
  <c r="P2607" i="10" s="1"/>
  <c r="O2606" i="10"/>
  <c r="P2606" i="10" s="1"/>
  <c r="O2605" i="10"/>
  <c r="P2605" i="10" s="1"/>
  <c r="O2604" i="10"/>
  <c r="P2604" i="10" s="1"/>
  <c r="P2603" i="10"/>
  <c r="O2603" i="10"/>
  <c r="O2602" i="10"/>
  <c r="P2602" i="10" s="1"/>
  <c r="O2601" i="10"/>
  <c r="P2601" i="10" s="1"/>
  <c r="P2600" i="10"/>
  <c r="O2600" i="10"/>
  <c r="O2599" i="10"/>
  <c r="P2599" i="10" s="1"/>
  <c r="O2598" i="10"/>
  <c r="P2598" i="10" s="1"/>
  <c r="O2597" i="10"/>
  <c r="P2597" i="10" s="1"/>
  <c r="O2596" i="10"/>
  <c r="P2596" i="10" s="1"/>
  <c r="O2595" i="10"/>
  <c r="P2595" i="10" s="1"/>
  <c r="O2594" i="10"/>
  <c r="P2594" i="10" s="1"/>
  <c r="O2593" i="10"/>
  <c r="P2593" i="10" s="1"/>
  <c r="O2592" i="10"/>
  <c r="P2592" i="10" s="1"/>
  <c r="O2591" i="10"/>
  <c r="P2591" i="10" s="1"/>
  <c r="O2590" i="10"/>
  <c r="P2590" i="10" s="1"/>
  <c r="O2589" i="10"/>
  <c r="P2589" i="10" s="1"/>
  <c r="O2588" i="10"/>
  <c r="P2588" i="10" s="1"/>
  <c r="O2587" i="10"/>
  <c r="P2587" i="10" s="1"/>
  <c r="O2586" i="10"/>
  <c r="P2586" i="10" s="1"/>
  <c r="O2585" i="10"/>
  <c r="P2585" i="10" s="1"/>
  <c r="O2584" i="10"/>
  <c r="P2584" i="10" s="1"/>
  <c r="O2583" i="10"/>
  <c r="P2583" i="10" s="1"/>
  <c r="O2582" i="10"/>
  <c r="P2582" i="10" s="1"/>
  <c r="P2581" i="10"/>
  <c r="O2581" i="10"/>
  <c r="O2580" i="10"/>
  <c r="P2580" i="10" s="1"/>
  <c r="O2579" i="10"/>
  <c r="P2579" i="10" s="1"/>
  <c r="O2578" i="10"/>
  <c r="P2578" i="10" s="1"/>
  <c r="O2577" i="10"/>
  <c r="P2577" i="10" s="1"/>
  <c r="O2576" i="10"/>
  <c r="P2576" i="10" s="1"/>
  <c r="O2575" i="10"/>
  <c r="P2575" i="10" s="1"/>
  <c r="O2574" i="10"/>
  <c r="P2574" i="10" s="1"/>
  <c r="O2573" i="10"/>
  <c r="P2573" i="10" s="1"/>
  <c r="O2572" i="10"/>
  <c r="P2572" i="10" s="1"/>
  <c r="O2571" i="10"/>
  <c r="P2571" i="10" s="1"/>
  <c r="O2570" i="10"/>
  <c r="P2570" i="10" s="1"/>
  <c r="O2569" i="10"/>
  <c r="P2569" i="10" s="1"/>
  <c r="O2568" i="10"/>
  <c r="P2568" i="10" s="1"/>
  <c r="P2567" i="10"/>
  <c r="O2567" i="10"/>
  <c r="O2566" i="10"/>
  <c r="P2566" i="10" s="1"/>
  <c r="O2565" i="10"/>
  <c r="P2565" i="10" s="1"/>
  <c r="O2564" i="10"/>
  <c r="P2564" i="10" s="1"/>
  <c r="O2563" i="10"/>
  <c r="P2563" i="10" s="1"/>
  <c r="O2562" i="10"/>
  <c r="P2562" i="10" s="1"/>
  <c r="O2561" i="10"/>
  <c r="P2561" i="10" s="1"/>
  <c r="O2560" i="10"/>
  <c r="P2560" i="10" s="1"/>
  <c r="O2559" i="10"/>
  <c r="P2559" i="10" s="1"/>
  <c r="O2558" i="10"/>
  <c r="P2558" i="10" s="1"/>
  <c r="O2557" i="10"/>
  <c r="P2557" i="10" s="1"/>
  <c r="O2556" i="10"/>
  <c r="P2556" i="10" s="1"/>
  <c r="P2555" i="10"/>
  <c r="O2555" i="10"/>
  <c r="O2554" i="10"/>
  <c r="P2554" i="10" s="1"/>
  <c r="P2553" i="10"/>
  <c r="O2553" i="10"/>
  <c r="O2552" i="10"/>
  <c r="P2552" i="10" s="1"/>
  <c r="O2551" i="10"/>
  <c r="P2551" i="10" s="1"/>
  <c r="O2550" i="10"/>
  <c r="P2550" i="10" s="1"/>
  <c r="O2549" i="10"/>
  <c r="P2549" i="10" s="1"/>
  <c r="O2548" i="10"/>
  <c r="P2548" i="10" s="1"/>
  <c r="O2547" i="10"/>
  <c r="P2547" i="10" s="1"/>
  <c r="O2546" i="10"/>
  <c r="P2546" i="10" s="1"/>
  <c r="O2545" i="10"/>
  <c r="P2545" i="10" s="1"/>
  <c r="P2544" i="10"/>
  <c r="O2544" i="10"/>
  <c r="O2543" i="10"/>
  <c r="P2543" i="10" s="1"/>
  <c r="O2542" i="10"/>
  <c r="P2542" i="10" s="1"/>
  <c r="O2541" i="10"/>
  <c r="P2541" i="10" s="1"/>
  <c r="O2540" i="10"/>
  <c r="P2540" i="10" s="1"/>
  <c r="O2539" i="10"/>
  <c r="P2539" i="10" s="1"/>
  <c r="O2538" i="10"/>
  <c r="P2538" i="10" s="1"/>
  <c r="O2537" i="10"/>
  <c r="P2537" i="10" s="1"/>
  <c r="O2536" i="10"/>
  <c r="P2536" i="10" s="1"/>
  <c r="P2535" i="10"/>
  <c r="O2535" i="10"/>
  <c r="O2534" i="10"/>
  <c r="P2534" i="10" s="1"/>
  <c r="O2533" i="10"/>
  <c r="P2533" i="10" s="1"/>
  <c r="O2532" i="10"/>
  <c r="P2532" i="10" s="1"/>
  <c r="O2531" i="10"/>
  <c r="P2531" i="10" s="1"/>
  <c r="O2530" i="10"/>
  <c r="P2530" i="10" s="1"/>
  <c r="O2529" i="10"/>
  <c r="P2529" i="10" s="1"/>
  <c r="O2528" i="10"/>
  <c r="P2528" i="10" s="1"/>
  <c r="O2527" i="10"/>
  <c r="P2527" i="10" s="1"/>
  <c r="O2526" i="10"/>
  <c r="P2526" i="10" s="1"/>
  <c r="O2525" i="10"/>
  <c r="P2525" i="10" s="1"/>
  <c r="O2524" i="10"/>
  <c r="P2524" i="10" s="1"/>
  <c r="O2523" i="10"/>
  <c r="P2523" i="10" s="1"/>
  <c r="O2522" i="10"/>
  <c r="P2522" i="10" s="1"/>
  <c r="O2521" i="10"/>
  <c r="P2521" i="10" s="1"/>
  <c r="O2520" i="10"/>
  <c r="P2520" i="10" s="1"/>
  <c r="P2519" i="10"/>
  <c r="O2519" i="10"/>
  <c r="O2518" i="10"/>
  <c r="P2518" i="10" s="1"/>
  <c r="P2517" i="10"/>
  <c r="O2517" i="10"/>
  <c r="O2516" i="10"/>
  <c r="P2516" i="10" s="1"/>
  <c r="P2515" i="10"/>
  <c r="O2515" i="10"/>
  <c r="O2514" i="10"/>
  <c r="P2514" i="10" s="1"/>
  <c r="O2513" i="10"/>
  <c r="P2513" i="10" s="1"/>
  <c r="O2512" i="10"/>
  <c r="P2512" i="10" s="1"/>
  <c r="O2511" i="10"/>
  <c r="P2511" i="10" s="1"/>
  <c r="O2510" i="10"/>
  <c r="P2510" i="10" s="1"/>
  <c r="O2509" i="10"/>
  <c r="P2509" i="10" s="1"/>
  <c r="O2508" i="10"/>
  <c r="P2508" i="10" s="1"/>
  <c r="O2507" i="10"/>
  <c r="P2507" i="10" s="1"/>
  <c r="O2506" i="10"/>
  <c r="P2506" i="10" s="1"/>
  <c r="P2505" i="10"/>
  <c r="O2505" i="10"/>
  <c r="O2504" i="10"/>
  <c r="P2504" i="10" s="1"/>
  <c r="O2503" i="10"/>
  <c r="P2503" i="10" s="1"/>
  <c r="O2502" i="10"/>
  <c r="P2502" i="10" s="1"/>
  <c r="P2501" i="10"/>
  <c r="O2501" i="10"/>
  <c r="O2500" i="10"/>
  <c r="P2500" i="10" s="1"/>
  <c r="O2499" i="10"/>
  <c r="P2499" i="10" s="1"/>
  <c r="O2498" i="10"/>
  <c r="P2498" i="10" s="1"/>
  <c r="O2497" i="10"/>
  <c r="P2497" i="10" s="1"/>
  <c r="O2496" i="10"/>
  <c r="P2496" i="10" s="1"/>
  <c r="O2495" i="10"/>
  <c r="P2495" i="10" s="1"/>
  <c r="O2494" i="10"/>
  <c r="P2494" i="10" s="1"/>
  <c r="P2493" i="10"/>
  <c r="O2493" i="10"/>
  <c r="O2492" i="10"/>
  <c r="P2492" i="10" s="1"/>
  <c r="O2491" i="10"/>
  <c r="P2491" i="10" s="1"/>
  <c r="O2490" i="10"/>
  <c r="P2490" i="10" s="1"/>
  <c r="O2489" i="10"/>
  <c r="P2489" i="10" s="1"/>
  <c r="O2488" i="10"/>
  <c r="P2488" i="10" s="1"/>
  <c r="P2487" i="10"/>
  <c r="O2487" i="10"/>
  <c r="O2486" i="10"/>
  <c r="P2486" i="10" s="1"/>
  <c r="O2485" i="10"/>
  <c r="P2485" i="10" s="1"/>
  <c r="O2484" i="10"/>
  <c r="P2484" i="10" s="1"/>
  <c r="P2483" i="10"/>
  <c r="O2483" i="10"/>
  <c r="O2482" i="10"/>
  <c r="P2482" i="10" s="1"/>
  <c r="O2481" i="10"/>
  <c r="P2481" i="10" s="1"/>
  <c r="O2480" i="10"/>
  <c r="P2480" i="10" s="1"/>
  <c r="P2479" i="10"/>
  <c r="O2479" i="10"/>
  <c r="O2478" i="10"/>
  <c r="P2478" i="10" s="1"/>
  <c r="O2477" i="10"/>
  <c r="P2477" i="10" s="1"/>
  <c r="O2476" i="10"/>
  <c r="P2476" i="10" s="1"/>
  <c r="O2475" i="10"/>
  <c r="P2475" i="10" s="1"/>
  <c r="O2474" i="10"/>
  <c r="P2474" i="10" s="1"/>
  <c r="P2473" i="10"/>
  <c r="O2473" i="10"/>
  <c r="O2472" i="10"/>
  <c r="P2472" i="10" s="1"/>
  <c r="P2471" i="10"/>
  <c r="O2471" i="10"/>
  <c r="O2470" i="10"/>
  <c r="P2470" i="10" s="1"/>
  <c r="O2469" i="10"/>
  <c r="P2469" i="10" s="1"/>
  <c r="P2468" i="10"/>
  <c r="O2468" i="10"/>
  <c r="O2467" i="10"/>
  <c r="P2467" i="10" s="1"/>
  <c r="O2466" i="10"/>
  <c r="P2466" i="10" s="1"/>
  <c r="O2465" i="10"/>
  <c r="P2465" i="10" s="1"/>
  <c r="O2464" i="10"/>
  <c r="P2464" i="10" s="1"/>
  <c r="O2463" i="10"/>
  <c r="P2463" i="10" s="1"/>
  <c r="O2462" i="10"/>
  <c r="P2462" i="10" s="1"/>
  <c r="O2461" i="10"/>
  <c r="P2461" i="10" s="1"/>
  <c r="O2460" i="10"/>
  <c r="P2460" i="10" s="1"/>
  <c r="O2459" i="10"/>
  <c r="P2459" i="10" s="1"/>
  <c r="O2458" i="10"/>
  <c r="P2458" i="10" s="1"/>
  <c r="P2457" i="10"/>
  <c r="O2457" i="10"/>
  <c r="P2456" i="10"/>
  <c r="O2456" i="10"/>
  <c r="P2455" i="10"/>
  <c r="O2455" i="10"/>
  <c r="O2454" i="10"/>
  <c r="P2454" i="10" s="1"/>
  <c r="O2453" i="10"/>
  <c r="P2453" i="10" s="1"/>
  <c r="O2452" i="10"/>
  <c r="P2452" i="10" s="1"/>
  <c r="O2451" i="10"/>
  <c r="P2451" i="10" s="1"/>
  <c r="O2450" i="10"/>
  <c r="P2450" i="10" s="1"/>
  <c r="O2449" i="10"/>
  <c r="P2449" i="10" s="1"/>
  <c r="O2448" i="10"/>
  <c r="P2448" i="10" s="1"/>
  <c r="O2447" i="10"/>
  <c r="P2447" i="10" s="1"/>
  <c r="O2446" i="10"/>
  <c r="P2446" i="10" s="1"/>
  <c r="P2445" i="10"/>
  <c r="O2445" i="10"/>
  <c r="O2444" i="10"/>
  <c r="P2444" i="10" s="1"/>
  <c r="O2443" i="10"/>
  <c r="P2443" i="10" s="1"/>
  <c r="O2442" i="10"/>
  <c r="P2442" i="10" s="1"/>
  <c r="O2441" i="10"/>
  <c r="P2441" i="10" s="1"/>
  <c r="O2440" i="10"/>
  <c r="P2440" i="10" s="1"/>
  <c r="P2439" i="10"/>
  <c r="O2439" i="10"/>
  <c r="O2438" i="10"/>
  <c r="P2438" i="10" s="1"/>
  <c r="P2437" i="10"/>
  <c r="O2437" i="10"/>
  <c r="O2436" i="10"/>
  <c r="P2436" i="10" s="1"/>
  <c r="O2435" i="10"/>
  <c r="P2435" i="10" s="1"/>
  <c r="O2434" i="10"/>
  <c r="P2434" i="10" s="1"/>
  <c r="O2433" i="10"/>
  <c r="P2433" i="10" s="1"/>
  <c r="P2432" i="10"/>
  <c r="O2432" i="10"/>
  <c r="O2431" i="10"/>
  <c r="P2431" i="10" s="1"/>
  <c r="O2430" i="10"/>
  <c r="P2430" i="10" s="1"/>
  <c r="O2429" i="10"/>
  <c r="P2429" i="10" s="1"/>
  <c r="P2428" i="10"/>
  <c r="O2428" i="10"/>
  <c r="P2427" i="10"/>
  <c r="O2427" i="10"/>
  <c r="O2426" i="10"/>
  <c r="P2426" i="10" s="1"/>
  <c r="O2425" i="10"/>
  <c r="P2425" i="10" s="1"/>
  <c r="O2424" i="10"/>
  <c r="P2424" i="10" s="1"/>
  <c r="O2423" i="10"/>
  <c r="P2423" i="10" s="1"/>
  <c r="O2422" i="10"/>
  <c r="P2422" i="10" s="1"/>
  <c r="O2421" i="10"/>
  <c r="P2421" i="10" s="1"/>
  <c r="O2420" i="10"/>
  <c r="P2420" i="10" s="1"/>
  <c r="P2419" i="10"/>
  <c r="O2419" i="10"/>
  <c r="O2418" i="10"/>
  <c r="P2418" i="10" s="1"/>
  <c r="O2417" i="10"/>
  <c r="P2417" i="10" s="1"/>
  <c r="O2416" i="10"/>
  <c r="P2416" i="10" s="1"/>
  <c r="O2415" i="10"/>
  <c r="P2415" i="10" s="1"/>
  <c r="O2414" i="10"/>
  <c r="P2414" i="10" s="1"/>
  <c r="O2413" i="10"/>
  <c r="P2413" i="10" s="1"/>
  <c r="O2412" i="10"/>
  <c r="P2412" i="10" s="1"/>
  <c r="O2411" i="10"/>
  <c r="P2411" i="10" s="1"/>
  <c r="O2410" i="10"/>
  <c r="P2410" i="10" s="1"/>
  <c r="O2409" i="10"/>
  <c r="P2409" i="10" s="1"/>
  <c r="O2408" i="10"/>
  <c r="P2408" i="10" s="1"/>
  <c r="P2407" i="10"/>
  <c r="O2407" i="10"/>
  <c r="O2406" i="10"/>
  <c r="P2406" i="10" s="1"/>
  <c r="O2405" i="10"/>
  <c r="P2405" i="10" s="1"/>
  <c r="O2404" i="10"/>
  <c r="P2404" i="10" s="1"/>
  <c r="O2403" i="10"/>
  <c r="P2403" i="10" s="1"/>
  <c r="O2402" i="10"/>
  <c r="P2402" i="10" s="1"/>
  <c r="O2401" i="10"/>
  <c r="P2401" i="10" s="1"/>
  <c r="O2400" i="10"/>
  <c r="P2400" i="10" s="1"/>
  <c r="O2399" i="10"/>
  <c r="P2399" i="10" s="1"/>
  <c r="O2398" i="10"/>
  <c r="P2398" i="10" s="1"/>
  <c r="O2397" i="10"/>
  <c r="P2397" i="10" s="1"/>
  <c r="P2396" i="10"/>
  <c r="O2396" i="10"/>
  <c r="O2395" i="10"/>
  <c r="P2395" i="10" s="1"/>
  <c r="O2394" i="10"/>
  <c r="P2394" i="10" s="1"/>
  <c r="O2393" i="10"/>
  <c r="P2393" i="10" s="1"/>
  <c r="O2392" i="10"/>
  <c r="P2392" i="10" s="1"/>
  <c r="P2391" i="10"/>
  <c r="O2391" i="10"/>
  <c r="O2390" i="10"/>
  <c r="P2390" i="10" s="1"/>
  <c r="P2389" i="10"/>
  <c r="O2389" i="10"/>
  <c r="O2388" i="10"/>
  <c r="P2388" i="10" s="1"/>
  <c r="O2387" i="10"/>
  <c r="P2387" i="10" s="1"/>
  <c r="O2386" i="10"/>
  <c r="P2386" i="10" s="1"/>
  <c r="O2385" i="10"/>
  <c r="P2385" i="10" s="1"/>
  <c r="P2384" i="10"/>
  <c r="O2384" i="10"/>
  <c r="O2383" i="10"/>
  <c r="P2383" i="10" s="1"/>
  <c r="O2382" i="10"/>
  <c r="P2382" i="10" s="1"/>
  <c r="O2381" i="10"/>
  <c r="P2381" i="10" s="1"/>
  <c r="O2380" i="10"/>
  <c r="P2380" i="10" s="1"/>
  <c r="O2379" i="10"/>
  <c r="P2379" i="10" s="1"/>
  <c r="O2378" i="10"/>
  <c r="P2378" i="10" s="1"/>
  <c r="O2377" i="10"/>
  <c r="P2377" i="10" s="1"/>
  <c r="O2376" i="10"/>
  <c r="P2376" i="10" s="1"/>
  <c r="O2375" i="10"/>
  <c r="P2375" i="10" s="1"/>
  <c r="O2374" i="10"/>
  <c r="P2374" i="10" s="1"/>
  <c r="O2373" i="10"/>
  <c r="P2373" i="10" s="1"/>
  <c r="P2372" i="10"/>
  <c r="O2372" i="10"/>
  <c r="O2371" i="10"/>
  <c r="P2371" i="10" s="1"/>
  <c r="O2370" i="10"/>
  <c r="P2370" i="10" s="1"/>
  <c r="P2369" i="10"/>
  <c r="O2369" i="10"/>
  <c r="O2368" i="10"/>
  <c r="P2368" i="10" s="1"/>
  <c r="O2367" i="10"/>
  <c r="P2367" i="10" s="1"/>
  <c r="O2366" i="10"/>
  <c r="P2366" i="10" s="1"/>
  <c r="O2365" i="10"/>
  <c r="P2365" i="10" s="1"/>
  <c r="O2364" i="10"/>
  <c r="P2364" i="10" s="1"/>
  <c r="O2363" i="10"/>
  <c r="P2363" i="10" s="1"/>
  <c r="O2362" i="10"/>
  <c r="P2362" i="10" s="1"/>
  <c r="O2361" i="10"/>
  <c r="P2361" i="10" s="1"/>
  <c r="O2360" i="10"/>
  <c r="P2360" i="10" s="1"/>
  <c r="O2359" i="10"/>
  <c r="P2359" i="10" s="1"/>
  <c r="O2358" i="10"/>
  <c r="P2358" i="10" s="1"/>
  <c r="O2357" i="10"/>
  <c r="P2357" i="10" s="1"/>
  <c r="O2356" i="10"/>
  <c r="P2356" i="10" s="1"/>
  <c r="O2355" i="10"/>
  <c r="P2355" i="10" s="1"/>
  <c r="O2354" i="10"/>
  <c r="P2354" i="10" s="1"/>
  <c r="O2353" i="10"/>
  <c r="P2353" i="10" s="1"/>
  <c r="P2352" i="10"/>
  <c r="O2352" i="10"/>
  <c r="O2351" i="10"/>
  <c r="P2351" i="10" s="1"/>
  <c r="O2350" i="10"/>
  <c r="P2350" i="10" s="1"/>
  <c r="O2349" i="10"/>
  <c r="P2349" i="10" s="1"/>
  <c r="O2348" i="10"/>
  <c r="P2348" i="10" s="1"/>
  <c r="O2347" i="10"/>
  <c r="P2347" i="10" s="1"/>
  <c r="O2346" i="10"/>
  <c r="P2346" i="10" s="1"/>
  <c r="O2345" i="10"/>
  <c r="P2345" i="10" s="1"/>
  <c r="O2344" i="10"/>
  <c r="P2344" i="10" s="1"/>
  <c r="O2343" i="10"/>
  <c r="P2343" i="10" s="1"/>
  <c r="O2342" i="10"/>
  <c r="P2342" i="10" s="1"/>
  <c r="O2341" i="10"/>
  <c r="P2341" i="10" s="1"/>
  <c r="O2340" i="10"/>
  <c r="P2340" i="10" s="1"/>
  <c r="O2339" i="10"/>
  <c r="P2339" i="10" s="1"/>
  <c r="O2338" i="10"/>
  <c r="P2338" i="10" s="1"/>
  <c r="P2337" i="10"/>
  <c r="O2337" i="10"/>
  <c r="O2336" i="10"/>
  <c r="P2336" i="10" s="1"/>
  <c r="O2335" i="10"/>
  <c r="P2335" i="10" s="1"/>
  <c r="O2334" i="10"/>
  <c r="P2334" i="10" s="1"/>
  <c r="O2333" i="10"/>
  <c r="P2333" i="10" s="1"/>
  <c r="O2332" i="10"/>
  <c r="P2332" i="10" s="1"/>
  <c r="O2331" i="10"/>
  <c r="P2331" i="10" s="1"/>
  <c r="O2330" i="10"/>
  <c r="P2330" i="10" s="1"/>
  <c r="O2329" i="10"/>
  <c r="P2329" i="10" s="1"/>
  <c r="P2328" i="10"/>
  <c r="O2328" i="10"/>
  <c r="O2327" i="10"/>
  <c r="P2327" i="10" s="1"/>
  <c r="O2326" i="10"/>
  <c r="P2326" i="10" s="1"/>
  <c r="O2325" i="10"/>
  <c r="P2325" i="10" s="1"/>
  <c r="O2324" i="10"/>
  <c r="P2324" i="10" s="1"/>
  <c r="O2323" i="10"/>
  <c r="P2323" i="10" s="1"/>
  <c r="O2322" i="10"/>
  <c r="P2322" i="10" s="1"/>
  <c r="O2321" i="10"/>
  <c r="P2321" i="10" s="1"/>
  <c r="P2320" i="10"/>
  <c r="O2320" i="10"/>
  <c r="O2319" i="10"/>
  <c r="P2319" i="10" s="1"/>
  <c r="O2318" i="10"/>
  <c r="P2318" i="10" s="1"/>
  <c r="O2317" i="10"/>
  <c r="P2317" i="10" s="1"/>
  <c r="O2316" i="10"/>
  <c r="P2316" i="10" s="1"/>
  <c r="O2315" i="10"/>
  <c r="P2315" i="10" s="1"/>
  <c r="O2314" i="10"/>
  <c r="P2314" i="10" s="1"/>
  <c r="O2313" i="10"/>
  <c r="P2313" i="10" s="1"/>
  <c r="O2312" i="10"/>
  <c r="P2312" i="10" s="1"/>
  <c r="O2311" i="10"/>
  <c r="P2311" i="10" s="1"/>
  <c r="O2310" i="10"/>
  <c r="P2310" i="10" s="1"/>
  <c r="P2309" i="10"/>
  <c r="O2309" i="10"/>
  <c r="O2308" i="10"/>
  <c r="P2308" i="10" s="1"/>
  <c r="O2307" i="10"/>
  <c r="P2307" i="10" s="1"/>
  <c r="O2306" i="10"/>
  <c r="P2306" i="10" s="1"/>
  <c r="O2305" i="10"/>
  <c r="P2305" i="10" s="1"/>
  <c r="P2304" i="10"/>
  <c r="O2304" i="10"/>
  <c r="O2303" i="10"/>
  <c r="P2303" i="10" s="1"/>
  <c r="O2302" i="10"/>
  <c r="P2302" i="10" s="1"/>
  <c r="O2301" i="10"/>
  <c r="P2301" i="10" s="1"/>
  <c r="P2300" i="10"/>
  <c r="O2300" i="10"/>
  <c r="O2299" i="10"/>
  <c r="P2299" i="10" s="1"/>
  <c r="O2298" i="10"/>
  <c r="P2298" i="10" s="1"/>
  <c r="O2297" i="10"/>
  <c r="P2297" i="10" s="1"/>
  <c r="P2296" i="10"/>
  <c r="O2296" i="10"/>
  <c r="P2295" i="10"/>
  <c r="O2295" i="10"/>
  <c r="O2294" i="10"/>
  <c r="P2294" i="10" s="1"/>
  <c r="O2293" i="10"/>
  <c r="P2293" i="10" s="1"/>
  <c r="O2292" i="10"/>
  <c r="P2292" i="10" s="1"/>
  <c r="O2291" i="10"/>
  <c r="P2291" i="10" s="1"/>
  <c r="O2290" i="10"/>
  <c r="P2290" i="10" s="1"/>
  <c r="O2289" i="10"/>
  <c r="P2289" i="10" s="1"/>
  <c r="O2288" i="10"/>
  <c r="P2288" i="10" s="1"/>
  <c r="P2287" i="10"/>
  <c r="O2287" i="10"/>
  <c r="O2286" i="10"/>
  <c r="P2286" i="10" s="1"/>
  <c r="O2285" i="10"/>
  <c r="P2285" i="10" s="1"/>
  <c r="O2284" i="10"/>
  <c r="P2284" i="10" s="1"/>
  <c r="O2283" i="10"/>
  <c r="P2283" i="10" s="1"/>
  <c r="O2282" i="10"/>
  <c r="P2282" i="10" s="1"/>
  <c r="O2281" i="10"/>
  <c r="P2281" i="10" s="1"/>
  <c r="O2280" i="10"/>
  <c r="P2280" i="10" s="1"/>
  <c r="O2279" i="10"/>
  <c r="P2279" i="10" s="1"/>
  <c r="O2278" i="10"/>
  <c r="P2278" i="10" s="1"/>
  <c r="P2277" i="10"/>
  <c r="O2277" i="10"/>
  <c r="O2276" i="10"/>
  <c r="P2276" i="10" s="1"/>
  <c r="O2275" i="10"/>
  <c r="P2275" i="10" s="1"/>
  <c r="O2274" i="10"/>
  <c r="P2274" i="10" s="1"/>
  <c r="P2273" i="10"/>
  <c r="O2273" i="10"/>
  <c r="O2272" i="10"/>
  <c r="P2272" i="10" s="1"/>
  <c r="O2271" i="10"/>
  <c r="P2271" i="10" s="1"/>
  <c r="O2270" i="10"/>
  <c r="P2270" i="10" s="1"/>
  <c r="O2269" i="10"/>
  <c r="P2269" i="10" s="1"/>
  <c r="O2268" i="10"/>
  <c r="P2268" i="10" s="1"/>
  <c r="O2267" i="10"/>
  <c r="P2267" i="10" s="1"/>
  <c r="O2266" i="10"/>
  <c r="P2266" i="10" s="1"/>
  <c r="P2265" i="10"/>
  <c r="O2265" i="10"/>
  <c r="O2264" i="10"/>
  <c r="P2264" i="10" s="1"/>
  <c r="P2263" i="10"/>
  <c r="O2263" i="10"/>
  <c r="O2262" i="10"/>
  <c r="P2262" i="10" s="1"/>
  <c r="O2261" i="10"/>
  <c r="P2261" i="10" s="1"/>
  <c r="O2260" i="10"/>
  <c r="P2260" i="10" s="1"/>
  <c r="O2259" i="10"/>
  <c r="P2259" i="10" s="1"/>
  <c r="O2258" i="10"/>
  <c r="P2258" i="10" s="1"/>
  <c r="O2257" i="10"/>
  <c r="P2257" i="10" s="1"/>
  <c r="O2256" i="10"/>
  <c r="P2256" i="10" s="1"/>
  <c r="P2255" i="10"/>
  <c r="O2255" i="10"/>
  <c r="O2254" i="10"/>
  <c r="P2254" i="10" s="1"/>
  <c r="O2253" i="10"/>
  <c r="P2253" i="10" s="1"/>
  <c r="O2252" i="10"/>
  <c r="P2252" i="10" s="1"/>
  <c r="O2251" i="10"/>
  <c r="P2251" i="10" s="1"/>
  <c r="O2250" i="10"/>
  <c r="P2250" i="10" s="1"/>
  <c r="O2249" i="10"/>
  <c r="P2249" i="10" s="1"/>
  <c r="O2248" i="10"/>
  <c r="P2248" i="10" s="1"/>
  <c r="O2247" i="10"/>
  <c r="P2247" i="10" s="1"/>
  <c r="O2246" i="10"/>
  <c r="P2246" i="10" s="1"/>
  <c r="O2245" i="10"/>
  <c r="P2245" i="10" s="1"/>
  <c r="O2244" i="10"/>
  <c r="P2244" i="10" s="1"/>
  <c r="O2243" i="10"/>
  <c r="P2243" i="10" s="1"/>
  <c r="O2242" i="10"/>
  <c r="P2242" i="10" s="1"/>
  <c r="O2241" i="10"/>
  <c r="P2241" i="10" s="1"/>
  <c r="P2240" i="10"/>
  <c r="O2240" i="10"/>
  <c r="O2239" i="10"/>
  <c r="P2239" i="10" s="1"/>
  <c r="O2238" i="10"/>
  <c r="P2238" i="10" s="1"/>
  <c r="O2237" i="10"/>
  <c r="P2237" i="10" s="1"/>
  <c r="P2236" i="10"/>
  <c r="O2236" i="10"/>
  <c r="O2235" i="10"/>
  <c r="P2235" i="10" s="1"/>
  <c r="O2234" i="10"/>
  <c r="P2234" i="10" s="1"/>
  <c r="O2233" i="10"/>
  <c r="P2233" i="10" s="1"/>
  <c r="O2232" i="10"/>
  <c r="P2232" i="10" s="1"/>
  <c r="P2231" i="10"/>
  <c r="O2231" i="10"/>
  <c r="O2230" i="10"/>
  <c r="P2230" i="10" s="1"/>
  <c r="O2229" i="10"/>
  <c r="P2229" i="10" s="1"/>
  <c r="O2228" i="10"/>
  <c r="P2228" i="10" s="1"/>
  <c r="O2227" i="10"/>
  <c r="P2227" i="10" s="1"/>
  <c r="O2226" i="10"/>
  <c r="P2226" i="10" s="1"/>
  <c r="O2225" i="10"/>
  <c r="P2225" i="10" s="1"/>
  <c r="O2224" i="10"/>
  <c r="P2224" i="10" s="1"/>
  <c r="P2223" i="10"/>
  <c r="O2223" i="10"/>
  <c r="O2222" i="10"/>
  <c r="P2222" i="10" s="1"/>
  <c r="O2221" i="10"/>
  <c r="P2221" i="10" s="1"/>
  <c r="O2220" i="10"/>
  <c r="P2220" i="10" s="1"/>
  <c r="O2219" i="10"/>
  <c r="P2219" i="10" s="1"/>
  <c r="O2218" i="10"/>
  <c r="P2218" i="10" s="1"/>
  <c r="O2217" i="10"/>
  <c r="P2217" i="10" s="1"/>
  <c r="O2216" i="10"/>
  <c r="P2216" i="10" s="1"/>
  <c r="O2215" i="10"/>
  <c r="P2215" i="10" s="1"/>
  <c r="O2214" i="10"/>
  <c r="P2214" i="10" s="1"/>
  <c r="P2213" i="10"/>
  <c r="O2213" i="10"/>
  <c r="O2212" i="10"/>
  <c r="P2212" i="10" s="1"/>
  <c r="O2211" i="10"/>
  <c r="P2211" i="10" s="1"/>
  <c r="O2210" i="10"/>
  <c r="P2210" i="10" s="1"/>
  <c r="P2209" i="10"/>
  <c r="O2209" i="10"/>
  <c r="P2208" i="10"/>
  <c r="O2208" i="10"/>
  <c r="O2207" i="10"/>
  <c r="P2207" i="10" s="1"/>
  <c r="O2206" i="10"/>
  <c r="P2206" i="10" s="1"/>
  <c r="O2205" i="10"/>
  <c r="P2205" i="10" s="1"/>
  <c r="P2204" i="10"/>
  <c r="O2204" i="10"/>
  <c r="O2203" i="10"/>
  <c r="P2203" i="10" s="1"/>
  <c r="O2202" i="10"/>
  <c r="P2202" i="10" s="1"/>
  <c r="O2201" i="10"/>
  <c r="P2201" i="10" s="1"/>
  <c r="O2200" i="10"/>
  <c r="P2200" i="10" s="1"/>
  <c r="P2199" i="10"/>
  <c r="O2199" i="10"/>
  <c r="O2198" i="10"/>
  <c r="P2198" i="10" s="1"/>
  <c r="O2197" i="10"/>
  <c r="P2197" i="10" s="1"/>
  <c r="O2196" i="10"/>
  <c r="P2196" i="10" s="1"/>
  <c r="O2195" i="10"/>
  <c r="P2195" i="10" s="1"/>
  <c r="O2194" i="10"/>
  <c r="P2194" i="10" s="1"/>
  <c r="O2193" i="10"/>
  <c r="P2193" i="10" s="1"/>
  <c r="O2192" i="10"/>
  <c r="P2192" i="10" s="1"/>
  <c r="P2191" i="10"/>
  <c r="O2191" i="10"/>
  <c r="O2190" i="10"/>
  <c r="P2190" i="10" s="1"/>
  <c r="O2189" i="10"/>
  <c r="P2189" i="10" s="1"/>
  <c r="P2188" i="10"/>
  <c r="O2188" i="10"/>
  <c r="O2187" i="10"/>
  <c r="P2187" i="10" s="1"/>
  <c r="O2186" i="10"/>
  <c r="P2186" i="10" s="1"/>
  <c r="P2185" i="10"/>
  <c r="O2185" i="10"/>
  <c r="O2184" i="10"/>
  <c r="P2184" i="10" s="1"/>
  <c r="O2183" i="10"/>
  <c r="P2183" i="10" s="1"/>
  <c r="O2182" i="10"/>
  <c r="P2182" i="10" s="1"/>
  <c r="O2181" i="10"/>
  <c r="P2181" i="10" s="1"/>
  <c r="O2180" i="10"/>
  <c r="P2180" i="10" s="1"/>
  <c r="O2179" i="10"/>
  <c r="P2179" i="10" s="1"/>
  <c r="O2178" i="10"/>
  <c r="P2178" i="10" s="1"/>
  <c r="O2177" i="10"/>
  <c r="P2177" i="10" s="1"/>
  <c r="P2176" i="10"/>
  <c r="O2176" i="10"/>
  <c r="O2175" i="10"/>
  <c r="P2175" i="10" s="1"/>
  <c r="O2174" i="10"/>
  <c r="P2174" i="10" s="1"/>
  <c r="O2173" i="10"/>
  <c r="P2173" i="10" s="1"/>
  <c r="P2172" i="10"/>
  <c r="O2172" i="10"/>
  <c r="O2171" i="10"/>
  <c r="P2171" i="10" s="1"/>
  <c r="O2170" i="10"/>
  <c r="P2170" i="10" s="1"/>
  <c r="O2169" i="10"/>
  <c r="P2169" i="10" s="1"/>
  <c r="P2168" i="10"/>
  <c r="O2168" i="10"/>
  <c r="P2167" i="10"/>
  <c r="O2167" i="10"/>
  <c r="O2166" i="10"/>
  <c r="P2166" i="10" s="1"/>
  <c r="O2165" i="10"/>
  <c r="P2165" i="10" s="1"/>
  <c r="O2164" i="10"/>
  <c r="P2164" i="10" s="1"/>
  <c r="O2163" i="10"/>
  <c r="P2163" i="10" s="1"/>
  <c r="O2162" i="10"/>
  <c r="P2162" i="10" s="1"/>
  <c r="O2161" i="10"/>
  <c r="P2161" i="10" s="1"/>
  <c r="O2160" i="10"/>
  <c r="P2160" i="10" s="1"/>
  <c r="O2159" i="10"/>
  <c r="P2159" i="10" s="1"/>
  <c r="O2158" i="10"/>
  <c r="P2158" i="10" s="1"/>
  <c r="O2157" i="10"/>
  <c r="P2157" i="10" s="1"/>
  <c r="O2156" i="10"/>
  <c r="P2156" i="10" s="1"/>
  <c r="O2155" i="10"/>
  <c r="P2155" i="10" s="1"/>
  <c r="O2154" i="10"/>
  <c r="P2154" i="10" s="1"/>
  <c r="P2153" i="10"/>
  <c r="O2153" i="10"/>
  <c r="O2152" i="10"/>
  <c r="P2152" i="10" s="1"/>
  <c r="O2151" i="10"/>
  <c r="P2151" i="10" s="1"/>
  <c r="O2150" i="10"/>
  <c r="P2150" i="10" s="1"/>
  <c r="P2149" i="10"/>
  <c r="O2149" i="10"/>
  <c r="O2148" i="10"/>
  <c r="P2148" i="10" s="1"/>
  <c r="O2147" i="10"/>
  <c r="P2147" i="10" s="1"/>
  <c r="O2146" i="10"/>
  <c r="P2146" i="10" s="1"/>
  <c r="O2145" i="10"/>
  <c r="P2145" i="10" s="1"/>
  <c r="P2144" i="10"/>
  <c r="O2144" i="10"/>
  <c r="O2143" i="10"/>
  <c r="P2143" i="10" s="1"/>
  <c r="O2142" i="10"/>
  <c r="P2142" i="10" s="1"/>
  <c r="O2141" i="10"/>
  <c r="P2141" i="10" s="1"/>
  <c r="O2140" i="10"/>
  <c r="P2140" i="10" s="1"/>
  <c r="O2139" i="10"/>
  <c r="P2139" i="10" s="1"/>
  <c r="O2138" i="10"/>
  <c r="P2138" i="10" s="1"/>
  <c r="O2137" i="10"/>
  <c r="P2137" i="10" s="1"/>
  <c r="O2136" i="10"/>
  <c r="P2136" i="10" s="1"/>
  <c r="P2135" i="10"/>
  <c r="O2135" i="10"/>
  <c r="O2134" i="10"/>
  <c r="P2134" i="10" s="1"/>
  <c r="O2133" i="10"/>
  <c r="P2133" i="10" s="1"/>
  <c r="O2132" i="10"/>
  <c r="P2132" i="10" s="1"/>
  <c r="O2131" i="10"/>
  <c r="P2131" i="10" s="1"/>
  <c r="O2130" i="10"/>
  <c r="P2130" i="10" s="1"/>
  <c r="O2129" i="10"/>
  <c r="P2129" i="10" s="1"/>
  <c r="O2128" i="10"/>
  <c r="P2128" i="10" s="1"/>
  <c r="O2127" i="10"/>
  <c r="P2127" i="10" s="1"/>
  <c r="O2126" i="10"/>
  <c r="P2126" i="10" s="1"/>
  <c r="O2125" i="10"/>
  <c r="P2125" i="10" s="1"/>
  <c r="O2124" i="10"/>
  <c r="P2124" i="10" s="1"/>
  <c r="O2123" i="10"/>
  <c r="P2123" i="10" s="1"/>
  <c r="O2122" i="10"/>
  <c r="P2122" i="10" s="1"/>
  <c r="O2121" i="10"/>
  <c r="P2121" i="10" s="1"/>
  <c r="O2120" i="10"/>
  <c r="P2120" i="10" s="1"/>
  <c r="O2119" i="10"/>
  <c r="P2119" i="10" s="1"/>
  <c r="O2118" i="10"/>
  <c r="P2118" i="10" s="1"/>
  <c r="O2117" i="10"/>
  <c r="P2117" i="10" s="1"/>
  <c r="O2116" i="10"/>
  <c r="P2116" i="10" s="1"/>
  <c r="O2115" i="10"/>
  <c r="P2115" i="10" s="1"/>
  <c r="O2114" i="10"/>
  <c r="P2114" i="10" s="1"/>
  <c r="O2113" i="10"/>
  <c r="P2113" i="10" s="1"/>
  <c r="P2112" i="10"/>
  <c r="O2112" i="10"/>
  <c r="O2111" i="10"/>
  <c r="P2111" i="10" s="1"/>
  <c r="O2110" i="10"/>
  <c r="P2110" i="10" s="1"/>
  <c r="O2109" i="10"/>
  <c r="P2109" i="10" s="1"/>
  <c r="O2108" i="10"/>
  <c r="P2108" i="10" s="1"/>
  <c r="P2107" i="10"/>
  <c r="O2107" i="10"/>
  <c r="O2106" i="10"/>
  <c r="P2106" i="10" s="1"/>
  <c r="O2105" i="10"/>
  <c r="P2105" i="10" s="1"/>
  <c r="P2104" i="10"/>
  <c r="O2104" i="10"/>
  <c r="O2103" i="10"/>
  <c r="P2103" i="10" s="1"/>
  <c r="O2102" i="10"/>
  <c r="P2102" i="10" s="1"/>
  <c r="O2101" i="10"/>
  <c r="P2101" i="10" s="1"/>
  <c r="O2100" i="10"/>
  <c r="P2100" i="10" s="1"/>
  <c r="P2099" i="10"/>
  <c r="O2099" i="10"/>
  <c r="O2098" i="10"/>
  <c r="P2098" i="10" s="1"/>
  <c r="O2097" i="10"/>
  <c r="P2097" i="10" s="1"/>
  <c r="P2096" i="10"/>
  <c r="O2096" i="10"/>
  <c r="O2095" i="10"/>
  <c r="P2095" i="10" s="1"/>
  <c r="O2094" i="10"/>
  <c r="P2094" i="10" s="1"/>
  <c r="O2093" i="10"/>
  <c r="P2093" i="10" s="1"/>
  <c r="O2092" i="10"/>
  <c r="P2092" i="10" s="1"/>
  <c r="O2091" i="10"/>
  <c r="P2091" i="10" s="1"/>
  <c r="O2090" i="10"/>
  <c r="P2090" i="10" s="1"/>
  <c r="P2089" i="10"/>
  <c r="O2089" i="10"/>
  <c r="O2088" i="10"/>
  <c r="P2088" i="10" s="1"/>
  <c r="P2087" i="10"/>
  <c r="O2087" i="10"/>
  <c r="O2086" i="10"/>
  <c r="P2086" i="10" s="1"/>
  <c r="O2085" i="10"/>
  <c r="P2085" i="10" s="1"/>
  <c r="O2084" i="10"/>
  <c r="P2084" i="10" s="1"/>
  <c r="O2083" i="10"/>
  <c r="P2083" i="10" s="1"/>
  <c r="O2082" i="10"/>
  <c r="P2082" i="10" s="1"/>
  <c r="O2081" i="10"/>
  <c r="P2081" i="10" s="1"/>
  <c r="O2080" i="10"/>
  <c r="P2080" i="10" s="1"/>
  <c r="O2079" i="10"/>
  <c r="P2079" i="10" s="1"/>
  <c r="O2078" i="10"/>
  <c r="P2078" i="10" s="1"/>
  <c r="O2077" i="10"/>
  <c r="P2077" i="10" s="1"/>
  <c r="O2076" i="10"/>
  <c r="P2076" i="10" s="1"/>
  <c r="O2075" i="10"/>
  <c r="P2075" i="10" s="1"/>
  <c r="O2074" i="10"/>
  <c r="P2074" i="10" s="1"/>
  <c r="O2073" i="10"/>
  <c r="P2073" i="10" s="1"/>
  <c r="O2072" i="10"/>
  <c r="P2072" i="10" s="1"/>
  <c r="P2071" i="10"/>
  <c r="O2071" i="10"/>
  <c r="O2070" i="10"/>
  <c r="P2070" i="10" s="1"/>
  <c r="O2069" i="10"/>
  <c r="P2069" i="10" s="1"/>
  <c r="O2068" i="10"/>
  <c r="P2068" i="10" s="1"/>
  <c r="P2067" i="10"/>
  <c r="O2067" i="10"/>
  <c r="O2066" i="10"/>
  <c r="P2066" i="10" s="1"/>
  <c r="O2065" i="10"/>
  <c r="P2065" i="10" s="1"/>
  <c r="P2064" i="10"/>
  <c r="O2064" i="10"/>
  <c r="O2063" i="10"/>
  <c r="P2063" i="10" s="1"/>
  <c r="O2062" i="10"/>
  <c r="P2062" i="10" s="1"/>
  <c r="O2061" i="10"/>
  <c r="P2061" i="10" s="1"/>
  <c r="O2060" i="10"/>
  <c r="P2060" i="10" s="1"/>
  <c r="O2059" i="10"/>
  <c r="P2059" i="10" s="1"/>
  <c r="O2058" i="10"/>
  <c r="P2058" i="10" s="1"/>
  <c r="P2057" i="10"/>
  <c r="O2057" i="10"/>
  <c r="O2056" i="10"/>
  <c r="P2056" i="10" s="1"/>
  <c r="O2055" i="10"/>
  <c r="P2055" i="10" s="1"/>
  <c r="O2054" i="10"/>
  <c r="P2054" i="10" s="1"/>
  <c r="O2053" i="10"/>
  <c r="P2053" i="10" s="1"/>
  <c r="O2052" i="10"/>
  <c r="P2052" i="10" s="1"/>
  <c r="O2051" i="10"/>
  <c r="P2051" i="10" s="1"/>
  <c r="O2050" i="10"/>
  <c r="P2050" i="10" s="1"/>
  <c r="O2049" i="10"/>
  <c r="P2049" i="10" s="1"/>
  <c r="P2048" i="10"/>
  <c r="O2048" i="10"/>
  <c r="O2047" i="10"/>
  <c r="P2047" i="10" s="1"/>
  <c r="O2046" i="10"/>
  <c r="P2046" i="10" s="1"/>
  <c r="O2045" i="10"/>
  <c r="P2045" i="10" s="1"/>
  <c r="O2044" i="10"/>
  <c r="P2044" i="10" s="1"/>
  <c r="O2043" i="10"/>
  <c r="P2043" i="10" s="1"/>
  <c r="O2042" i="10"/>
  <c r="P2042" i="10" s="1"/>
  <c r="O2041" i="10"/>
  <c r="P2041" i="10" s="1"/>
  <c r="O2040" i="10"/>
  <c r="P2040" i="10" s="1"/>
  <c r="O2039" i="10"/>
  <c r="P2039" i="10" s="1"/>
  <c r="O2038" i="10"/>
  <c r="P2038" i="10" s="1"/>
  <c r="P2037" i="10"/>
  <c r="O2037" i="10"/>
  <c r="O2036" i="10"/>
  <c r="P2036" i="10" s="1"/>
  <c r="P2035" i="10"/>
  <c r="O2035" i="10"/>
  <c r="O2034" i="10"/>
  <c r="P2034" i="10" s="1"/>
  <c r="O2033" i="10"/>
  <c r="P2033" i="10" s="1"/>
  <c r="O2032" i="10"/>
  <c r="P2032" i="10" s="1"/>
  <c r="O2031" i="10"/>
  <c r="P2031" i="10" s="1"/>
  <c r="O2030" i="10"/>
  <c r="P2030" i="10" s="1"/>
  <c r="O2029" i="10"/>
  <c r="P2029" i="10" s="1"/>
  <c r="O2028" i="10"/>
  <c r="P2028" i="10" s="1"/>
  <c r="O2027" i="10"/>
  <c r="P2027" i="10" s="1"/>
  <c r="O2026" i="10"/>
  <c r="P2026" i="10" s="1"/>
  <c r="O2025" i="10"/>
  <c r="P2025" i="10" s="1"/>
  <c r="O2024" i="10"/>
  <c r="P2024" i="10" s="1"/>
  <c r="O2023" i="10"/>
  <c r="P2023" i="10" s="1"/>
  <c r="O2022" i="10"/>
  <c r="P2022" i="10" s="1"/>
  <c r="P2021" i="10"/>
  <c r="O2021" i="10"/>
  <c r="O2020" i="10"/>
  <c r="P2020" i="10" s="1"/>
  <c r="O2019" i="10"/>
  <c r="P2019" i="10" s="1"/>
  <c r="O2018" i="10"/>
  <c r="P2018" i="10" s="1"/>
  <c r="P2017" i="10"/>
  <c r="O2017" i="10"/>
  <c r="O2016" i="10"/>
  <c r="P2016" i="10" s="1"/>
  <c r="O2015" i="10"/>
  <c r="P2015" i="10" s="1"/>
  <c r="O2014" i="10"/>
  <c r="P2014" i="10" s="1"/>
  <c r="O2013" i="10"/>
  <c r="P2013" i="10" s="1"/>
  <c r="P2012" i="10"/>
  <c r="O2012" i="10"/>
  <c r="O2011" i="10"/>
  <c r="P2011" i="10" s="1"/>
  <c r="O2010" i="10"/>
  <c r="P2010" i="10" s="1"/>
  <c r="O2009" i="10"/>
  <c r="P2009" i="10" s="1"/>
  <c r="O2008" i="10"/>
  <c r="P2008" i="10" s="1"/>
  <c r="P2007" i="10"/>
  <c r="O2007" i="10"/>
  <c r="O2006" i="10"/>
  <c r="P2006" i="10" s="1"/>
  <c r="P2005" i="10"/>
  <c r="O2005" i="10"/>
  <c r="O2004" i="10"/>
  <c r="P2004" i="10" s="1"/>
  <c r="O2003" i="10"/>
  <c r="P2003" i="10" s="1"/>
  <c r="O2002" i="10"/>
  <c r="P2002" i="10" s="1"/>
  <c r="O2001" i="10"/>
  <c r="P2001" i="10" s="1"/>
  <c r="O2000" i="10"/>
  <c r="P2000" i="10" s="1"/>
  <c r="O1999" i="10"/>
  <c r="P1999" i="10" s="1"/>
  <c r="O1998" i="10"/>
  <c r="P1998" i="10" s="1"/>
  <c r="O1997" i="10"/>
  <c r="P1997" i="10" s="1"/>
  <c r="P1996" i="10"/>
  <c r="O1996" i="10"/>
  <c r="O1995" i="10"/>
  <c r="P1995" i="10" s="1"/>
  <c r="O1994" i="10"/>
  <c r="P1994" i="10" s="1"/>
  <c r="P1993" i="10"/>
  <c r="O1993" i="10"/>
  <c r="O1992" i="10"/>
  <c r="P1992" i="10" s="1"/>
  <c r="O1991" i="10"/>
  <c r="P1991" i="10" s="1"/>
  <c r="O1990" i="10"/>
  <c r="P1990" i="10" s="1"/>
  <c r="O1989" i="10"/>
  <c r="P1989" i="10" s="1"/>
  <c r="O1988" i="10"/>
  <c r="P1988" i="10" s="1"/>
  <c r="O1987" i="10"/>
  <c r="P1987" i="10" s="1"/>
  <c r="O1986" i="10"/>
  <c r="P1986" i="10" s="1"/>
  <c r="O1985" i="10"/>
  <c r="P1985" i="10" s="1"/>
  <c r="P1984" i="10"/>
  <c r="O1984" i="10"/>
  <c r="O1983" i="10"/>
  <c r="P1983" i="10" s="1"/>
  <c r="O1982" i="10"/>
  <c r="P1982" i="10" s="1"/>
  <c r="O1981" i="10"/>
  <c r="P1981" i="10" s="1"/>
  <c r="P1980" i="10"/>
  <c r="O1980" i="10"/>
  <c r="O1979" i="10"/>
  <c r="P1979" i="10" s="1"/>
  <c r="O1978" i="10"/>
  <c r="P1978" i="10" s="1"/>
  <c r="O1977" i="10"/>
  <c r="P1977" i="10" s="1"/>
  <c r="O1976" i="10"/>
  <c r="P1976" i="10" s="1"/>
  <c r="O1975" i="10"/>
  <c r="P1975" i="10" s="1"/>
  <c r="O1974" i="10"/>
  <c r="P1974" i="10" s="1"/>
  <c r="O1973" i="10"/>
  <c r="P1973" i="10" s="1"/>
  <c r="O1972" i="10"/>
  <c r="P1972" i="10" s="1"/>
  <c r="O1971" i="10"/>
  <c r="P1971" i="10" s="1"/>
  <c r="O1970" i="10"/>
  <c r="P1970" i="10" s="1"/>
  <c r="O1969" i="10"/>
  <c r="P1969" i="10" s="1"/>
  <c r="P1968" i="10"/>
  <c r="O1968" i="10"/>
  <c r="P1967" i="10"/>
  <c r="O1967" i="10"/>
  <c r="O1966" i="10"/>
  <c r="P1966" i="10" s="1"/>
  <c r="O1965" i="10"/>
  <c r="P1965" i="10" s="1"/>
  <c r="O1964" i="10"/>
  <c r="P1964" i="10" s="1"/>
  <c r="O1963" i="10"/>
  <c r="P1963" i="10" s="1"/>
  <c r="O1962" i="10"/>
  <c r="P1962" i="10" s="1"/>
  <c r="O1961" i="10"/>
  <c r="P1961" i="10" s="1"/>
  <c r="O1960" i="10"/>
  <c r="P1960" i="10" s="1"/>
  <c r="P1959" i="10"/>
  <c r="O1959" i="10"/>
  <c r="O1958" i="10"/>
  <c r="P1958" i="10" s="1"/>
  <c r="P1957" i="10"/>
  <c r="O1957" i="10"/>
  <c r="O1956" i="10"/>
  <c r="P1956" i="10" s="1"/>
  <c r="O1955" i="10"/>
  <c r="P1955" i="10" s="1"/>
  <c r="O1954" i="10"/>
  <c r="P1954" i="10" s="1"/>
  <c r="O1953" i="10"/>
  <c r="P1953" i="10" s="1"/>
  <c r="O1952" i="10"/>
  <c r="P1952" i="10" s="1"/>
  <c r="O1951" i="10"/>
  <c r="P1951" i="10" s="1"/>
  <c r="O1950" i="10"/>
  <c r="P1950" i="10" s="1"/>
  <c r="O1949" i="10"/>
  <c r="P1949" i="10" s="1"/>
  <c r="P1948" i="10"/>
  <c r="O1948" i="10"/>
  <c r="O1947" i="10"/>
  <c r="P1947" i="10" s="1"/>
  <c r="O1946" i="10"/>
  <c r="P1946" i="10" s="1"/>
  <c r="P1945" i="10"/>
  <c r="O1945" i="10"/>
  <c r="O1944" i="10"/>
  <c r="P1944" i="10" s="1"/>
  <c r="O1943" i="10"/>
  <c r="P1943" i="10" s="1"/>
  <c r="O1942" i="10"/>
  <c r="P1942" i="10" s="1"/>
  <c r="O1941" i="10"/>
  <c r="P1941" i="10" s="1"/>
  <c r="O1940" i="10"/>
  <c r="P1940" i="10" s="1"/>
  <c r="P1939" i="10"/>
  <c r="O1939" i="10"/>
  <c r="O1938" i="10"/>
  <c r="P1938" i="10" s="1"/>
  <c r="O1937" i="10"/>
  <c r="P1937" i="10" s="1"/>
  <c r="P1936" i="10"/>
  <c r="O1936" i="10"/>
  <c r="P1935" i="10"/>
  <c r="O1935" i="10"/>
  <c r="O1934" i="10"/>
  <c r="P1934" i="10" s="1"/>
  <c r="O1933" i="10"/>
  <c r="P1933" i="10" s="1"/>
  <c r="O1932" i="10"/>
  <c r="P1932" i="10" s="1"/>
  <c r="O1931" i="10"/>
  <c r="P1931" i="10" s="1"/>
  <c r="O1930" i="10"/>
  <c r="P1930" i="10" s="1"/>
  <c r="O1929" i="10"/>
  <c r="P1929" i="10" s="1"/>
  <c r="O1928" i="10"/>
  <c r="P1928" i="10" s="1"/>
  <c r="O1927" i="10"/>
  <c r="P1927" i="10" s="1"/>
  <c r="O1926" i="10"/>
  <c r="P1926" i="10" s="1"/>
  <c r="O1925" i="10"/>
  <c r="P1925" i="10" s="1"/>
  <c r="O1924" i="10"/>
  <c r="P1924" i="10" s="1"/>
  <c r="O1923" i="10"/>
  <c r="P1923" i="10" s="1"/>
  <c r="O1922" i="10"/>
  <c r="P1922" i="10" s="1"/>
  <c r="O1921" i="10"/>
  <c r="P1921" i="10" s="1"/>
  <c r="O1920" i="10"/>
  <c r="P1920" i="10" s="1"/>
  <c r="O1919" i="10"/>
  <c r="P1919" i="10" s="1"/>
  <c r="O1918" i="10"/>
  <c r="P1918" i="10" s="1"/>
  <c r="O1917" i="10"/>
  <c r="P1917" i="10" s="1"/>
  <c r="O1916" i="10"/>
  <c r="P1916" i="10" s="1"/>
  <c r="P1915" i="10"/>
  <c r="O1915" i="10"/>
  <c r="O1914" i="10"/>
  <c r="P1914" i="10" s="1"/>
  <c r="P1913" i="10"/>
  <c r="O1913" i="10"/>
  <c r="O1912" i="10"/>
  <c r="P1912" i="10" s="1"/>
  <c r="O1911" i="10"/>
  <c r="P1911" i="10" s="1"/>
  <c r="O1910" i="10"/>
  <c r="P1910" i="10" s="1"/>
  <c r="O1909" i="10"/>
  <c r="P1909" i="10" s="1"/>
  <c r="O1908" i="10"/>
  <c r="P1908" i="10" s="1"/>
  <c r="O1907" i="10"/>
  <c r="P1907" i="10" s="1"/>
  <c r="O1906" i="10"/>
  <c r="P1906" i="10" s="1"/>
  <c r="O1905" i="10"/>
  <c r="P1905" i="10" s="1"/>
  <c r="O1904" i="10"/>
  <c r="P1904" i="10" s="1"/>
  <c r="P1903" i="10"/>
  <c r="O1903" i="10"/>
  <c r="O1902" i="10"/>
  <c r="P1902" i="10" s="1"/>
  <c r="P1901" i="10"/>
  <c r="O1901" i="10"/>
  <c r="O1900" i="10"/>
  <c r="P1900" i="10" s="1"/>
  <c r="O1899" i="10"/>
  <c r="P1899" i="10" s="1"/>
  <c r="O1898" i="10"/>
  <c r="P1898" i="10" s="1"/>
  <c r="O1897" i="10"/>
  <c r="P1897" i="10" s="1"/>
  <c r="O1896" i="10"/>
  <c r="P1896" i="10" s="1"/>
  <c r="O1895" i="10"/>
  <c r="P1895" i="10" s="1"/>
  <c r="O1894" i="10"/>
  <c r="P1894" i="10" s="1"/>
  <c r="O1893" i="10"/>
  <c r="P1893" i="10" s="1"/>
  <c r="P1892" i="10"/>
  <c r="O1892" i="10"/>
  <c r="O1891" i="10"/>
  <c r="P1891" i="10" s="1"/>
  <c r="O1890" i="10"/>
  <c r="P1890" i="10" s="1"/>
  <c r="P1889" i="10"/>
  <c r="O1889" i="10"/>
  <c r="O1888" i="10"/>
  <c r="P1888" i="10" s="1"/>
  <c r="O1887" i="10"/>
  <c r="P1887" i="10" s="1"/>
  <c r="O1886" i="10"/>
  <c r="P1886" i="10" s="1"/>
  <c r="O1885" i="10"/>
  <c r="P1885" i="10" s="1"/>
  <c r="O1884" i="10"/>
  <c r="P1884" i="10" s="1"/>
  <c r="O1883" i="10"/>
  <c r="P1883" i="10" s="1"/>
  <c r="O1882" i="10"/>
  <c r="P1882" i="10" s="1"/>
  <c r="O1881" i="10"/>
  <c r="P1881" i="10" s="1"/>
  <c r="P1880" i="10"/>
  <c r="O1880" i="10"/>
  <c r="O1879" i="10"/>
  <c r="P1879" i="10" s="1"/>
  <c r="O1878" i="10"/>
  <c r="P1878" i="10" s="1"/>
  <c r="O1877" i="10"/>
  <c r="P1877" i="10" s="1"/>
  <c r="O1876" i="10"/>
  <c r="P1876" i="10" s="1"/>
  <c r="O1875" i="10"/>
  <c r="P1875" i="10" s="1"/>
  <c r="O1874" i="10"/>
  <c r="P1874" i="10" s="1"/>
  <c r="O1873" i="10"/>
  <c r="P1873" i="10" s="1"/>
  <c r="O1872" i="10"/>
  <c r="P1872" i="10" s="1"/>
  <c r="O1871" i="10"/>
  <c r="P1871" i="10" s="1"/>
  <c r="O1870" i="10"/>
  <c r="P1870" i="10" s="1"/>
  <c r="P1869" i="10"/>
  <c r="O1869" i="10"/>
  <c r="O1868" i="10"/>
  <c r="P1868" i="10" s="1"/>
  <c r="O1867" i="10"/>
  <c r="P1867" i="10" s="1"/>
  <c r="O1866" i="10"/>
  <c r="P1866" i="10" s="1"/>
  <c r="P1865" i="10"/>
  <c r="O1865" i="10"/>
  <c r="O1864" i="10"/>
  <c r="P1864" i="10" s="1"/>
  <c r="P1863" i="10"/>
  <c r="O1863" i="10"/>
  <c r="O1862" i="10"/>
  <c r="P1862" i="10" s="1"/>
  <c r="O1861" i="10"/>
  <c r="P1861" i="10" s="1"/>
  <c r="O1860" i="10"/>
  <c r="P1860" i="10" s="1"/>
  <c r="O1859" i="10"/>
  <c r="P1859" i="10" s="1"/>
  <c r="O1858" i="10"/>
  <c r="P1858" i="10" s="1"/>
  <c r="O1857" i="10"/>
  <c r="P1857" i="10" s="1"/>
  <c r="P1856" i="10"/>
  <c r="O1856" i="10"/>
  <c r="O1855" i="10"/>
  <c r="P1855" i="10" s="1"/>
  <c r="O1854" i="10"/>
  <c r="P1854" i="10" s="1"/>
  <c r="O1853" i="10"/>
  <c r="P1853" i="10" s="1"/>
  <c r="O1852" i="10"/>
  <c r="P1852" i="10" s="1"/>
  <c r="O1851" i="10"/>
  <c r="P1851" i="10" s="1"/>
  <c r="O1850" i="10"/>
  <c r="P1850" i="10" s="1"/>
  <c r="P1849" i="10"/>
  <c r="O1849" i="10"/>
  <c r="O1848" i="10"/>
  <c r="P1848" i="10" s="1"/>
  <c r="O1847" i="10"/>
  <c r="P1847" i="10" s="1"/>
  <c r="O1846" i="10"/>
  <c r="P1846" i="10" s="1"/>
  <c r="O1845" i="10"/>
  <c r="P1845" i="10" s="1"/>
  <c r="O1844" i="10"/>
  <c r="P1844" i="10" s="1"/>
  <c r="O1843" i="10"/>
  <c r="P1843" i="10" s="1"/>
  <c r="O1842" i="10"/>
  <c r="P1842" i="10" s="1"/>
  <c r="O1841" i="10"/>
  <c r="P1841" i="10" s="1"/>
  <c r="P1840" i="10"/>
  <c r="O1840" i="10"/>
  <c r="P1839" i="10"/>
  <c r="O1839" i="10"/>
  <c r="O1838" i="10"/>
  <c r="P1838" i="10" s="1"/>
  <c r="O1837" i="10"/>
  <c r="P1837" i="10" s="1"/>
  <c r="O1836" i="10"/>
  <c r="P1836" i="10" s="1"/>
  <c r="O1835" i="10"/>
  <c r="P1835" i="10" s="1"/>
  <c r="O1834" i="10"/>
  <c r="P1834" i="10" s="1"/>
  <c r="P1833" i="10"/>
  <c r="O1833" i="10"/>
  <c r="O1832" i="10"/>
  <c r="P1832" i="10" s="1"/>
  <c r="O1831" i="10"/>
  <c r="P1831" i="10" s="1"/>
  <c r="O1830" i="10"/>
  <c r="P1830" i="10" s="1"/>
  <c r="P1829" i="10"/>
  <c r="O1829" i="10"/>
  <c r="O1828" i="10"/>
  <c r="P1828" i="10" s="1"/>
  <c r="O1827" i="10"/>
  <c r="P1827" i="10" s="1"/>
  <c r="O1826" i="10"/>
  <c r="P1826" i="10" s="1"/>
  <c r="O1825" i="10"/>
  <c r="P1825" i="10" s="1"/>
  <c r="O1824" i="10"/>
  <c r="P1824" i="10" s="1"/>
  <c r="O1823" i="10"/>
  <c r="P1823" i="10" s="1"/>
  <c r="O1822" i="10"/>
  <c r="P1822" i="10" s="1"/>
  <c r="O1821" i="10"/>
  <c r="P1821" i="10" s="1"/>
  <c r="O1820" i="10"/>
  <c r="P1820" i="10" s="1"/>
  <c r="O1819" i="10"/>
  <c r="P1819" i="10" s="1"/>
  <c r="O1818" i="10"/>
  <c r="P1818" i="10" s="1"/>
  <c r="O1817" i="10"/>
  <c r="P1817" i="10" s="1"/>
  <c r="O1816" i="10"/>
  <c r="P1816" i="10" s="1"/>
  <c r="O1815" i="10"/>
  <c r="P1815" i="10" s="1"/>
  <c r="O1814" i="10"/>
  <c r="P1814" i="10" s="1"/>
  <c r="P1813" i="10"/>
  <c r="O1813" i="10"/>
  <c r="O1812" i="10"/>
  <c r="P1812" i="10" s="1"/>
  <c r="O1811" i="10"/>
  <c r="P1811" i="10" s="1"/>
  <c r="O1810" i="10"/>
  <c r="P1810" i="10" s="1"/>
  <c r="O1809" i="10"/>
  <c r="P1809" i="10" s="1"/>
  <c r="O1808" i="10"/>
  <c r="P1808" i="10" s="1"/>
  <c r="O1807" i="10"/>
  <c r="P1807" i="10" s="1"/>
  <c r="O1806" i="10"/>
  <c r="P1806" i="10" s="1"/>
  <c r="O1805" i="10"/>
  <c r="P1805" i="10" s="1"/>
  <c r="O1804" i="10"/>
  <c r="P1804" i="10" s="1"/>
  <c r="O1803" i="10"/>
  <c r="P1803" i="10" s="1"/>
  <c r="O1802" i="10"/>
  <c r="P1802" i="10" s="1"/>
  <c r="P1801" i="10"/>
  <c r="O1801" i="10"/>
  <c r="O1800" i="10"/>
  <c r="P1800" i="10" s="1"/>
  <c r="O1799" i="10"/>
  <c r="P1799" i="10" s="1"/>
  <c r="O1798" i="10"/>
  <c r="P1798" i="10" s="1"/>
  <c r="P1797" i="10"/>
  <c r="O1797" i="10"/>
  <c r="O1796" i="10"/>
  <c r="P1796" i="10" s="1"/>
  <c r="O1795" i="10"/>
  <c r="P1795" i="10" s="1"/>
  <c r="O1794" i="10"/>
  <c r="P1794" i="10" s="1"/>
  <c r="P1793" i="10"/>
  <c r="O1793" i="10"/>
  <c r="O1792" i="10"/>
  <c r="P1792" i="10" s="1"/>
  <c r="O1791" i="10"/>
  <c r="P1791" i="10" s="1"/>
  <c r="O1790" i="10"/>
  <c r="P1790" i="10" s="1"/>
  <c r="O1789" i="10"/>
  <c r="P1789" i="10" s="1"/>
  <c r="O1788" i="10"/>
  <c r="P1788" i="10" s="1"/>
  <c r="O1787" i="10"/>
  <c r="P1787" i="10" s="1"/>
  <c r="O1786" i="10"/>
  <c r="P1786" i="10" s="1"/>
  <c r="O1785" i="10"/>
  <c r="P1785" i="10" s="1"/>
  <c r="O1784" i="10"/>
  <c r="P1784" i="10" s="1"/>
  <c r="O1783" i="10"/>
  <c r="P1783" i="10" s="1"/>
  <c r="O1782" i="10"/>
  <c r="P1782" i="10" s="1"/>
  <c r="P1781" i="10"/>
  <c r="O1781" i="10"/>
  <c r="O1780" i="10"/>
  <c r="P1780" i="10" s="1"/>
  <c r="O1779" i="10"/>
  <c r="P1779" i="10" s="1"/>
  <c r="O1778" i="10"/>
  <c r="P1778" i="10" s="1"/>
  <c r="O1777" i="10"/>
  <c r="P1777" i="10" s="1"/>
  <c r="O1776" i="10"/>
  <c r="P1776" i="10" s="1"/>
  <c r="O1775" i="10"/>
  <c r="P1775" i="10" s="1"/>
  <c r="O1774" i="10"/>
  <c r="P1774" i="10" s="1"/>
  <c r="O1773" i="10"/>
  <c r="P1773" i="10" s="1"/>
  <c r="O1772" i="10"/>
  <c r="P1772" i="10" s="1"/>
  <c r="O1771" i="10"/>
  <c r="P1771" i="10" s="1"/>
  <c r="O1770" i="10"/>
  <c r="P1770" i="10" s="1"/>
  <c r="P1769" i="10"/>
  <c r="O1769" i="10"/>
  <c r="O1768" i="10"/>
  <c r="P1768" i="10" s="1"/>
  <c r="O1767" i="10"/>
  <c r="P1767" i="10" s="1"/>
  <c r="O1766" i="10"/>
  <c r="P1766" i="10" s="1"/>
  <c r="P1765" i="10"/>
  <c r="O1765" i="10"/>
  <c r="O1764" i="10"/>
  <c r="P1764" i="10" s="1"/>
  <c r="O1763" i="10"/>
  <c r="P1763" i="10" s="1"/>
  <c r="O1762" i="10"/>
  <c r="P1762" i="10" s="1"/>
  <c r="O1761" i="10"/>
  <c r="P1761" i="10" s="1"/>
  <c r="O1760" i="10"/>
  <c r="P1760" i="10" s="1"/>
  <c r="O1759" i="10"/>
  <c r="P1759" i="10" s="1"/>
  <c r="O1758" i="10"/>
  <c r="P1758" i="10" s="1"/>
  <c r="O1757" i="10"/>
  <c r="P1757" i="10" s="1"/>
  <c r="O1756" i="10"/>
  <c r="P1756" i="10" s="1"/>
  <c r="O1755" i="10"/>
  <c r="P1755" i="10" s="1"/>
  <c r="O1754" i="10"/>
  <c r="P1754" i="10" s="1"/>
  <c r="O1753" i="10"/>
  <c r="P1753" i="10" s="1"/>
  <c r="O1752" i="10"/>
  <c r="P1752" i="10" s="1"/>
  <c r="O1751" i="10"/>
  <c r="P1751" i="10" s="1"/>
  <c r="O1750" i="10"/>
  <c r="P1750" i="10" s="1"/>
  <c r="P1749" i="10"/>
  <c r="O1749" i="10"/>
  <c r="O1748" i="10"/>
  <c r="P1748" i="10" s="1"/>
  <c r="O1747" i="10"/>
  <c r="P1747" i="10" s="1"/>
  <c r="O1746" i="10"/>
  <c r="P1746" i="10" s="1"/>
  <c r="O1745" i="10"/>
  <c r="P1745" i="10" s="1"/>
  <c r="O1744" i="10"/>
  <c r="P1744" i="10" s="1"/>
  <c r="O1743" i="10"/>
  <c r="P1743" i="10" s="1"/>
  <c r="O1742" i="10"/>
  <c r="P1742" i="10" s="1"/>
  <c r="O1741" i="10"/>
  <c r="P1741" i="10" s="1"/>
  <c r="O1740" i="10"/>
  <c r="P1740" i="10" s="1"/>
  <c r="O1739" i="10"/>
  <c r="P1739" i="10" s="1"/>
  <c r="O1738" i="10"/>
  <c r="P1738" i="10" s="1"/>
  <c r="P1737" i="10"/>
  <c r="O1737" i="10"/>
  <c r="O1736" i="10"/>
  <c r="P1736" i="10" s="1"/>
  <c r="O1735" i="10"/>
  <c r="P1735" i="10" s="1"/>
  <c r="O1734" i="10"/>
  <c r="P1734" i="10" s="1"/>
  <c r="P1733" i="10"/>
  <c r="O1733" i="10"/>
  <c r="O1732" i="10"/>
  <c r="P1732" i="10" s="1"/>
  <c r="O1731" i="10"/>
  <c r="P1731" i="10" s="1"/>
  <c r="O1730" i="10"/>
  <c r="P1730" i="10" s="1"/>
  <c r="O1729" i="10"/>
  <c r="P1729" i="10" s="1"/>
  <c r="O1728" i="10"/>
  <c r="P1728" i="10" s="1"/>
  <c r="O1727" i="10"/>
  <c r="P1727" i="10" s="1"/>
  <c r="O1726" i="10"/>
  <c r="P1726" i="10" s="1"/>
  <c r="O1725" i="10"/>
  <c r="P1725" i="10" s="1"/>
  <c r="O1724" i="10"/>
  <c r="P1724" i="10" s="1"/>
  <c r="O1723" i="10"/>
  <c r="P1723" i="10" s="1"/>
  <c r="O1722" i="10"/>
  <c r="P1722" i="10" s="1"/>
  <c r="O1721" i="10"/>
  <c r="P1721" i="10" s="1"/>
  <c r="O1720" i="10"/>
  <c r="P1720" i="10" s="1"/>
  <c r="O1719" i="10"/>
  <c r="P1719" i="10" s="1"/>
  <c r="O1718" i="10"/>
  <c r="P1718" i="10" s="1"/>
  <c r="P1717" i="10"/>
  <c r="O1717" i="10"/>
  <c r="O1716" i="10"/>
  <c r="P1716" i="10" s="1"/>
  <c r="O1715" i="10"/>
  <c r="P1715" i="10" s="1"/>
  <c r="O1714" i="10"/>
  <c r="P1714" i="10" s="1"/>
  <c r="O1713" i="10"/>
  <c r="P1713" i="10" s="1"/>
  <c r="O1712" i="10"/>
  <c r="P1712" i="10" s="1"/>
  <c r="O1711" i="10"/>
  <c r="P1711" i="10" s="1"/>
  <c r="O1710" i="10"/>
  <c r="P1710" i="10" s="1"/>
  <c r="O1709" i="10"/>
  <c r="P1709" i="10" s="1"/>
  <c r="O1708" i="10"/>
  <c r="P1708" i="10" s="1"/>
  <c r="O1707" i="10"/>
  <c r="P1707" i="10" s="1"/>
  <c r="O1706" i="10"/>
  <c r="P1706" i="10" s="1"/>
  <c r="P1705" i="10"/>
  <c r="O1705" i="10"/>
  <c r="O1704" i="10"/>
  <c r="P1704" i="10" s="1"/>
  <c r="O1703" i="10"/>
  <c r="P1703" i="10" s="1"/>
  <c r="O1702" i="10"/>
  <c r="P1702" i="10" s="1"/>
  <c r="P1701" i="10"/>
  <c r="O1701" i="10"/>
  <c r="O1700" i="10"/>
  <c r="P1700" i="10" s="1"/>
  <c r="O1699" i="10"/>
  <c r="P1699" i="10" s="1"/>
  <c r="O1698" i="10"/>
  <c r="P1698" i="10" s="1"/>
  <c r="O1697" i="10"/>
  <c r="P1697" i="10" s="1"/>
  <c r="O1696" i="10"/>
  <c r="P1696" i="10" s="1"/>
  <c r="O1695" i="10"/>
  <c r="P1695" i="10" s="1"/>
  <c r="O1694" i="10"/>
  <c r="P1694" i="10" s="1"/>
  <c r="O1693" i="10"/>
  <c r="P1693" i="10" s="1"/>
  <c r="O1692" i="10"/>
  <c r="P1692" i="10" s="1"/>
  <c r="O1691" i="10"/>
  <c r="P1691" i="10" s="1"/>
  <c r="O1690" i="10"/>
  <c r="P1690" i="10" s="1"/>
  <c r="O1689" i="10"/>
  <c r="P1689" i="10" s="1"/>
  <c r="O1688" i="10"/>
  <c r="P1688" i="10" s="1"/>
  <c r="O1687" i="10"/>
  <c r="P1687" i="10" s="1"/>
  <c r="O1686" i="10"/>
  <c r="P1686" i="10" s="1"/>
  <c r="P1685" i="10"/>
  <c r="O1685" i="10"/>
  <c r="O1684" i="10"/>
  <c r="P1684" i="10" s="1"/>
  <c r="O1683" i="10"/>
  <c r="P1683" i="10" s="1"/>
  <c r="O1682" i="10"/>
  <c r="P1682" i="10" s="1"/>
  <c r="O1681" i="10"/>
  <c r="P1681" i="10" s="1"/>
  <c r="O1680" i="10"/>
  <c r="P1680" i="10" s="1"/>
  <c r="O1679" i="10"/>
  <c r="P1679" i="10" s="1"/>
  <c r="O1678" i="10"/>
  <c r="P1678" i="10" s="1"/>
  <c r="O1677" i="10"/>
  <c r="P1677" i="10" s="1"/>
  <c r="O1676" i="10"/>
  <c r="P1676" i="10" s="1"/>
  <c r="O1675" i="10"/>
  <c r="P1675" i="10" s="1"/>
  <c r="O1674" i="10"/>
  <c r="P1674" i="10" s="1"/>
  <c r="P1673" i="10"/>
  <c r="O1673" i="10"/>
  <c r="O1672" i="10"/>
  <c r="P1672" i="10" s="1"/>
  <c r="O1671" i="10"/>
  <c r="P1671" i="10" s="1"/>
  <c r="O1670" i="10"/>
  <c r="P1670" i="10" s="1"/>
  <c r="P1669" i="10"/>
  <c r="O1669" i="10"/>
  <c r="O1668" i="10"/>
  <c r="P1668" i="10" s="1"/>
  <c r="O1667" i="10"/>
  <c r="P1667" i="10" s="1"/>
  <c r="O1666" i="10"/>
  <c r="P1666" i="10" s="1"/>
  <c r="P1665" i="10"/>
  <c r="O1665" i="10"/>
  <c r="O1664" i="10"/>
  <c r="P1664" i="10" s="1"/>
  <c r="O1663" i="10"/>
  <c r="P1663" i="10" s="1"/>
  <c r="O1662" i="10"/>
  <c r="P1662" i="10" s="1"/>
  <c r="O1661" i="10"/>
  <c r="P1661" i="10" s="1"/>
  <c r="O1660" i="10"/>
  <c r="P1660" i="10" s="1"/>
  <c r="O1659" i="10"/>
  <c r="P1659" i="10" s="1"/>
  <c r="O1658" i="10"/>
  <c r="P1658" i="10" s="1"/>
  <c r="O1657" i="10"/>
  <c r="P1657" i="10" s="1"/>
  <c r="O1656" i="10"/>
  <c r="P1656" i="10" s="1"/>
  <c r="O1655" i="10"/>
  <c r="P1655" i="10" s="1"/>
  <c r="O1654" i="10"/>
  <c r="P1654" i="10" s="1"/>
  <c r="P1653" i="10"/>
  <c r="O1653" i="10"/>
  <c r="O1652" i="10"/>
  <c r="P1652" i="10" s="1"/>
  <c r="O1651" i="10"/>
  <c r="P1651" i="10" s="1"/>
  <c r="O1650" i="10"/>
  <c r="P1650" i="10" s="1"/>
  <c r="O1649" i="10"/>
  <c r="P1649" i="10" s="1"/>
  <c r="O1648" i="10"/>
  <c r="P1648" i="10" s="1"/>
  <c r="O1647" i="10"/>
  <c r="P1647" i="10" s="1"/>
  <c r="O1646" i="10"/>
  <c r="P1646" i="10" s="1"/>
  <c r="O1645" i="10"/>
  <c r="P1645" i="10" s="1"/>
  <c r="O1644" i="10"/>
  <c r="P1644" i="10" s="1"/>
  <c r="O1643" i="10"/>
  <c r="P1643" i="10" s="1"/>
  <c r="O1642" i="10"/>
  <c r="P1642" i="10" s="1"/>
  <c r="P1641" i="10"/>
  <c r="O1641" i="10"/>
  <c r="O1640" i="10"/>
  <c r="P1640" i="10" s="1"/>
  <c r="O1639" i="10"/>
  <c r="P1639" i="10" s="1"/>
  <c r="O1638" i="10"/>
  <c r="P1638" i="10" s="1"/>
  <c r="P1637" i="10"/>
  <c r="O1637" i="10"/>
  <c r="O1636" i="10"/>
  <c r="P1636" i="10" s="1"/>
  <c r="O1635" i="10"/>
  <c r="P1635" i="10" s="1"/>
  <c r="O1634" i="10"/>
  <c r="P1634" i="10" s="1"/>
  <c r="P1633" i="10"/>
  <c r="O1633" i="10"/>
  <c r="O1632" i="10"/>
  <c r="P1632" i="10" s="1"/>
  <c r="O1631" i="10"/>
  <c r="P1631" i="10" s="1"/>
  <c r="O1630" i="10"/>
  <c r="P1630" i="10" s="1"/>
  <c r="O1629" i="10"/>
  <c r="P1629" i="10" s="1"/>
  <c r="O1628" i="10"/>
  <c r="P1628" i="10" s="1"/>
  <c r="O1627" i="10"/>
  <c r="P1627" i="10" s="1"/>
  <c r="O1626" i="10"/>
  <c r="P1626" i="10" s="1"/>
  <c r="O1625" i="10"/>
  <c r="P1625" i="10" s="1"/>
  <c r="O1624" i="10"/>
  <c r="P1624" i="10" s="1"/>
  <c r="O1623" i="10"/>
  <c r="P1623" i="10" s="1"/>
  <c r="P1622" i="10"/>
  <c r="O1622" i="10"/>
  <c r="O1621" i="10"/>
  <c r="P1621" i="10" s="1"/>
  <c r="O1620" i="10"/>
  <c r="P1620" i="10" s="1"/>
  <c r="O1619" i="10"/>
  <c r="P1619" i="10" s="1"/>
  <c r="O1618" i="10"/>
  <c r="P1618" i="10" s="1"/>
  <c r="O1617" i="10"/>
  <c r="P1617" i="10" s="1"/>
  <c r="O1616" i="10"/>
  <c r="P1616" i="10" s="1"/>
  <c r="O1615" i="10"/>
  <c r="P1615" i="10" s="1"/>
  <c r="P1614" i="10"/>
  <c r="O1614" i="10"/>
  <c r="P1613" i="10"/>
  <c r="O1613" i="10"/>
  <c r="O1612" i="10"/>
  <c r="P1612" i="10" s="1"/>
  <c r="O1611" i="10"/>
  <c r="P1611" i="10" s="1"/>
  <c r="O1610" i="10"/>
  <c r="P1610" i="10" s="1"/>
  <c r="O1609" i="10"/>
  <c r="P1609" i="10" s="1"/>
  <c r="O1608" i="10"/>
  <c r="P1608" i="10" s="1"/>
  <c r="O1607" i="10"/>
  <c r="P1607" i="10" s="1"/>
  <c r="O1606" i="10"/>
  <c r="P1606" i="10" s="1"/>
  <c r="P1605" i="10"/>
  <c r="O1605" i="10"/>
  <c r="O1604" i="10"/>
  <c r="P1604" i="10" s="1"/>
  <c r="O1603" i="10"/>
  <c r="P1603" i="10" s="1"/>
  <c r="P1602" i="10"/>
  <c r="O1602" i="10"/>
  <c r="O1601" i="10"/>
  <c r="P1601" i="10" s="1"/>
  <c r="O1600" i="10"/>
  <c r="P1600" i="10" s="1"/>
  <c r="O1599" i="10"/>
  <c r="P1599" i="10" s="1"/>
  <c r="O1598" i="10"/>
  <c r="P1598" i="10" s="1"/>
  <c r="O1597" i="10"/>
  <c r="P1597" i="10" s="1"/>
  <c r="O1596" i="10"/>
  <c r="P1596" i="10" s="1"/>
  <c r="O1595" i="10"/>
  <c r="P1595" i="10" s="1"/>
  <c r="O1594" i="10"/>
  <c r="P1594" i="10" s="1"/>
  <c r="P1593" i="10"/>
  <c r="O1593" i="10"/>
  <c r="O1592" i="10"/>
  <c r="P1592" i="10" s="1"/>
  <c r="O1591" i="10"/>
  <c r="P1591" i="10" s="1"/>
  <c r="P1590" i="10"/>
  <c r="O1590" i="10"/>
  <c r="O1589" i="10"/>
  <c r="P1589" i="10" s="1"/>
  <c r="O1588" i="10"/>
  <c r="P1588" i="10" s="1"/>
  <c r="O1587" i="10"/>
  <c r="P1587" i="10" s="1"/>
  <c r="O1586" i="10"/>
  <c r="P1586" i="10" s="1"/>
  <c r="O1585" i="10"/>
  <c r="P1585" i="10" s="1"/>
  <c r="P1584" i="10"/>
  <c r="O1584" i="10"/>
  <c r="O1583" i="10"/>
  <c r="P1583" i="10" s="1"/>
  <c r="P1582" i="10"/>
  <c r="O1582" i="10"/>
  <c r="O1581" i="10"/>
  <c r="P1581" i="10" s="1"/>
  <c r="P1580" i="10"/>
  <c r="O1580" i="10"/>
  <c r="O1579" i="10"/>
  <c r="P1579" i="10" s="1"/>
  <c r="O1578" i="10"/>
  <c r="P1578" i="10" s="1"/>
  <c r="O1577" i="10"/>
  <c r="P1577" i="10" s="1"/>
  <c r="O1576" i="10"/>
  <c r="P1576" i="10" s="1"/>
  <c r="O1575" i="10"/>
  <c r="P1575" i="10" s="1"/>
  <c r="O1574" i="10"/>
  <c r="P1574" i="10" s="1"/>
  <c r="P1573" i="10"/>
  <c r="O1573" i="10"/>
  <c r="O1572" i="10"/>
  <c r="P1572" i="10" s="1"/>
  <c r="O1571" i="10"/>
  <c r="P1571" i="10" s="1"/>
  <c r="O1570" i="10"/>
  <c r="P1570" i="10" s="1"/>
  <c r="O1569" i="10"/>
  <c r="P1569" i="10" s="1"/>
  <c r="O1568" i="10"/>
  <c r="P1568" i="10" s="1"/>
  <c r="O1567" i="10"/>
  <c r="P1567" i="10" s="1"/>
  <c r="O1566" i="10"/>
  <c r="P1566" i="10" s="1"/>
  <c r="O1565" i="10"/>
  <c r="P1565" i="10" s="1"/>
  <c r="O1564" i="10"/>
  <c r="P1564" i="10" s="1"/>
  <c r="O1563" i="10"/>
  <c r="P1563" i="10" s="1"/>
  <c r="O1562" i="10"/>
  <c r="P1562" i="10" s="1"/>
  <c r="O1561" i="10"/>
  <c r="P1561" i="10" s="1"/>
  <c r="O1560" i="10"/>
  <c r="P1560" i="10" s="1"/>
  <c r="O1559" i="10"/>
  <c r="P1559" i="10" s="1"/>
  <c r="P1558" i="10"/>
  <c r="O1558" i="10"/>
  <c r="O1557" i="10"/>
  <c r="P1557" i="10" s="1"/>
  <c r="P1556" i="10"/>
  <c r="O1556" i="10"/>
  <c r="O1555" i="10"/>
  <c r="P1555" i="10" s="1"/>
  <c r="O1554" i="10"/>
  <c r="P1554" i="10" s="1"/>
  <c r="O1553" i="10"/>
  <c r="P1553" i="10" s="1"/>
  <c r="O1552" i="10"/>
  <c r="P1552" i="10" s="1"/>
  <c r="O1551" i="10"/>
  <c r="P1551" i="10" s="1"/>
  <c r="P1550" i="10"/>
  <c r="O1550" i="10"/>
  <c r="O1549" i="10"/>
  <c r="P1549" i="10" s="1"/>
  <c r="O1548" i="10"/>
  <c r="P1548" i="10" s="1"/>
  <c r="O1547" i="10"/>
  <c r="P1547" i="10" s="1"/>
  <c r="O1546" i="10"/>
  <c r="P1546" i="10" s="1"/>
  <c r="O1545" i="10"/>
  <c r="P1545" i="10" s="1"/>
  <c r="O1544" i="10"/>
  <c r="P1544" i="10" s="1"/>
  <c r="O1543" i="10"/>
  <c r="P1543" i="10" s="1"/>
  <c r="O1542" i="10"/>
  <c r="P1542" i="10" s="1"/>
  <c r="O1541" i="10"/>
  <c r="P1541" i="10" s="1"/>
  <c r="O1540" i="10"/>
  <c r="P1540" i="10" s="1"/>
  <c r="O1539" i="10"/>
  <c r="P1539" i="10" s="1"/>
  <c r="P1538" i="10"/>
  <c r="O1538" i="10"/>
  <c r="O1537" i="10"/>
  <c r="P1537" i="10" s="1"/>
  <c r="O1536" i="10"/>
  <c r="P1536" i="10" s="1"/>
  <c r="O1535" i="10"/>
  <c r="P1535" i="10" s="1"/>
  <c r="O1534" i="10"/>
  <c r="P1534" i="10" s="1"/>
  <c r="P1533" i="10"/>
  <c r="O1533" i="10"/>
  <c r="P1532" i="10"/>
  <c r="O1532" i="10"/>
  <c r="O1531" i="10"/>
  <c r="P1531" i="10" s="1"/>
  <c r="O1530" i="10"/>
  <c r="P1530" i="10" s="1"/>
  <c r="O1529" i="10"/>
  <c r="P1529" i="10" s="1"/>
  <c r="O1528" i="10"/>
  <c r="P1528" i="10" s="1"/>
  <c r="O1527" i="10"/>
  <c r="P1527" i="10" s="1"/>
  <c r="P1526" i="10"/>
  <c r="O1526" i="10"/>
  <c r="O1525" i="10"/>
  <c r="P1525" i="10" s="1"/>
  <c r="O1524" i="10"/>
  <c r="P1524" i="10" s="1"/>
  <c r="O1523" i="10"/>
  <c r="P1523" i="10" s="1"/>
  <c r="O1522" i="10"/>
  <c r="P1522" i="10" s="1"/>
  <c r="O1521" i="10"/>
  <c r="P1521" i="10" s="1"/>
  <c r="P1520" i="10"/>
  <c r="O1520" i="10"/>
  <c r="O1519" i="10"/>
  <c r="P1519" i="10" s="1"/>
  <c r="P1518" i="10"/>
  <c r="O1518" i="10"/>
  <c r="O1517" i="10"/>
  <c r="P1517" i="10" s="1"/>
  <c r="O1516" i="10"/>
  <c r="P1516" i="10" s="1"/>
  <c r="O1515" i="10"/>
  <c r="P1515" i="10" s="1"/>
  <c r="O1514" i="10"/>
  <c r="P1514" i="10" s="1"/>
  <c r="O1513" i="10"/>
  <c r="P1513" i="10" s="1"/>
  <c r="O1512" i="10"/>
  <c r="P1512" i="10" s="1"/>
  <c r="O1511" i="10"/>
  <c r="P1511" i="10" s="1"/>
  <c r="O1510" i="10"/>
  <c r="P1510" i="10" s="1"/>
  <c r="O1509" i="10"/>
  <c r="P1509" i="10" s="1"/>
  <c r="P1508" i="10"/>
  <c r="O1508" i="10"/>
  <c r="O1507" i="10"/>
  <c r="P1507" i="10" s="1"/>
  <c r="P1506" i="10"/>
  <c r="O1506" i="10"/>
  <c r="O1505" i="10"/>
  <c r="P1505" i="10" s="1"/>
  <c r="O1504" i="10"/>
  <c r="P1504" i="10" s="1"/>
  <c r="O1503" i="10"/>
  <c r="P1503" i="10" s="1"/>
  <c r="O1502" i="10"/>
  <c r="P1502" i="10" s="1"/>
  <c r="O1501" i="10"/>
  <c r="P1501" i="10" s="1"/>
  <c r="P1500" i="10"/>
  <c r="O1500" i="10"/>
  <c r="O1499" i="10"/>
  <c r="P1499" i="10" s="1"/>
  <c r="O1498" i="10"/>
  <c r="P1498" i="10" s="1"/>
  <c r="P1497" i="10"/>
  <c r="O1497" i="10"/>
  <c r="O1496" i="10"/>
  <c r="P1496" i="10" s="1"/>
  <c r="O1495" i="10"/>
  <c r="P1495" i="10" s="1"/>
  <c r="P1494" i="10"/>
  <c r="O1494" i="10"/>
  <c r="O1493" i="10"/>
  <c r="P1493" i="10" s="1"/>
  <c r="O1492" i="10"/>
  <c r="P1492" i="10" s="1"/>
  <c r="O1491" i="10"/>
  <c r="P1491" i="10" s="1"/>
  <c r="O1490" i="10"/>
  <c r="P1490" i="10" s="1"/>
  <c r="O1489" i="10"/>
  <c r="P1489" i="10" s="1"/>
  <c r="O1488" i="10"/>
  <c r="P1488" i="10" s="1"/>
  <c r="O1487" i="10"/>
  <c r="P1487" i="10" s="1"/>
  <c r="O1486" i="10"/>
  <c r="P1486" i="10" s="1"/>
  <c r="P1485" i="10"/>
  <c r="O1485" i="10"/>
  <c r="O1484" i="10"/>
  <c r="P1484" i="10" s="1"/>
  <c r="O1483" i="10"/>
  <c r="P1483" i="10" s="1"/>
  <c r="O1482" i="10"/>
  <c r="P1482" i="10" s="1"/>
  <c r="O1481" i="10"/>
  <c r="P1481" i="10" s="1"/>
  <c r="O1480" i="10"/>
  <c r="P1480" i="10" s="1"/>
  <c r="O1479" i="10"/>
  <c r="P1479" i="10" s="1"/>
  <c r="O1478" i="10"/>
  <c r="P1478" i="10" s="1"/>
  <c r="O1477" i="10"/>
  <c r="P1477" i="10" s="1"/>
  <c r="P1476" i="10"/>
  <c r="O1476" i="10"/>
  <c r="O1475" i="10"/>
  <c r="P1475" i="10" s="1"/>
  <c r="O1474" i="10"/>
  <c r="P1474" i="10" s="1"/>
  <c r="O1473" i="10"/>
  <c r="P1473" i="10" s="1"/>
  <c r="O1472" i="10"/>
  <c r="P1472" i="10" s="1"/>
  <c r="O1471" i="10"/>
  <c r="P1471" i="10" s="1"/>
  <c r="P1470" i="10"/>
  <c r="O1470" i="10"/>
  <c r="O1469" i="10"/>
  <c r="P1469" i="10" s="1"/>
  <c r="P1468" i="10"/>
  <c r="O1468" i="10"/>
  <c r="O1467" i="10"/>
  <c r="P1467" i="10" s="1"/>
  <c r="O1466" i="10"/>
  <c r="P1466" i="10" s="1"/>
  <c r="P1465" i="10"/>
  <c r="O1465" i="10"/>
  <c r="O1464" i="10"/>
  <c r="P1464" i="10" s="1"/>
  <c r="O1463" i="10"/>
  <c r="P1463" i="10" s="1"/>
  <c r="P1462" i="10"/>
  <c r="O1462" i="10"/>
  <c r="P1461" i="10"/>
  <c r="O1461" i="10"/>
  <c r="O1460" i="10"/>
  <c r="P1460" i="10" s="1"/>
  <c r="O1459" i="10"/>
  <c r="P1459" i="10" s="1"/>
  <c r="O1458" i="10"/>
  <c r="P1458" i="10" s="1"/>
  <c r="O1457" i="10"/>
  <c r="P1457" i="10" s="1"/>
  <c r="O1456" i="10"/>
  <c r="P1456" i="10" s="1"/>
  <c r="O1455" i="10"/>
  <c r="P1455" i="10" s="1"/>
  <c r="P1454" i="10"/>
  <c r="O1454" i="10"/>
  <c r="O1453" i="10"/>
  <c r="P1453" i="10" s="1"/>
  <c r="P1452" i="10"/>
  <c r="O1452" i="10"/>
  <c r="O1451" i="10"/>
  <c r="P1451" i="10" s="1"/>
  <c r="O1450" i="10"/>
  <c r="P1450" i="10" s="1"/>
  <c r="O1449" i="10"/>
  <c r="P1449" i="10" s="1"/>
  <c r="O1448" i="10"/>
  <c r="P1448" i="10" s="1"/>
  <c r="O1447" i="10"/>
  <c r="P1447" i="10" s="1"/>
  <c r="O1446" i="10"/>
  <c r="P1446" i="10" s="1"/>
  <c r="O1445" i="10"/>
  <c r="P1445" i="10" s="1"/>
  <c r="P1444" i="10"/>
  <c r="O1444" i="10"/>
  <c r="O1443" i="10"/>
  <c r="P1443" i="10" s="1"/>
  <c r="P1442" i="10"/>
  <c r="O1442" i="10"/>
  <c r="O1441" i="10"/>
  <c r="P1441" i="10" s="1"/>
  <c r="O1440" i="10"/>
  <c r="P1440" i="10" s="1"/>
  <c r="O1439" i="10"/>
  <c r="P1439" i="10" s="1"/>
  <c r="P1438" i="10"/>
  <c r="O1438" i="10"/>
  <c r="O1437" i="10"/>
  <c r="P1437" i="10" s="1"/>
  <c r="O1436" i="10"/>
  <c r="P1436" i="10" s="1"/>
  <c r="O1435" i="10"/>
  <c r="P1435" i="10" s="1"/>
  <c r="O1434" i="10"/>
  <c r="P1434" i="10" s="1"/>
  <c r="P1433" i="10"/>
  <c r="O1433" i="10"/>
  <c r="O1432" i="10"/>
  <c r="P1432" i="10" s="1"/>
  <c r="O1431" i="10"/>
  <c r="P1431" i="10" s="1"/>
  <c r="O1430" i="10"/>
  <c r="P1430" i="10" s="1"/>
  <c r="O1429" i="10"/>
  <c r="P1429" i="10" s="1"/>
  <c r="P1428" i="10"/>
  <c r="O1428" i="10"/>
  <c r="O1427" i="10"/>
  <c r="P1427" i="10" s="1"/>
  <c r="O1426" i="10"/>
  <c r="P1426" i="10" s="1"/>
  <c r="O1425" i="10"/>
  <c r="P1425" i="10" s="1"/>
  <c r="O1424" i="10"/>
  <c r="P1424" i="10" s="1"/>
  <c r="O1423" i="10"/>
  <c r="P1423" i="10" s="1"/>
  <c r="P1422" i="10"/>
  <c r="O1422" i="10"/>
  <c r="O1421" i="10"/>
  <c r="P1421" i="10" s="1"/>
  <c r="O1420" i="10"/>
  <c r="P1420" i="10" s="1"/>
  <c r="O1419" i="10"/>
  <c r="P1419" i="10" s="1"/>
  <c r="O1418" i="10"/>
  <c r="P1418" i="10" s="1"/>
  <c r="O1417" i="10"/>
  <c r="P1417" i="10" s="1"/>
  <c r="O1416" i="10"/>
  <c r="P1416" i="10" s="1"/>
  <c r="O1415" i="10"/>
  <c r="P1415" i="10" s="1"/>
  <c r="O1414" i="10"/>
  <c r="P1414" i="10" s="1"/>
  <c r="O1413" i="10"/>
  <c r="P1413" i="10" s="1"/>
  <c r="P1412" i="10"/>
  <c r="O1412" i="10"/>
  <c r="O1411" i="10"/>
  <c r="P1411" i="10" s="1"/>
  <c r="O1410" i="10"/>
  <c r="P1410" i="10" s="1"/>
  <c r="O1409" i="10"/>
  <c r="P1409" i="10" s="1"/>
  <c r="P1408" i="10"/>
  <c r="O1408" i="10"/>
  <c r="O1407" i="10"/>
  <c r="P1407" i="10" s="1"/>
  <c r="O1406" i="10"/>
  <c r="P1406" i="10" s="1"/>
  <c r="O1405" i="10"/>
  <c r="P1405" i="10" s="1"/>
  <c r="O1404" i="10"/>
  <c r="P1404" i="10" s="1"/>
  <c r="O1403" i="10"/>
  <c r="P1403" i="10" s="1"/>
  <c r="O1402" i="10"/>
  <c r="P1402" i="10" s="1"/>
  <c r="P1401" i="10"/>
  <c r="O1401" i="10"/>
  <c r="O1400" i="10"/>
  <c r="P1400" i="10" s="1"/>
  <c r="O1399" i="10"/>
  <c r="P1399" i="10" s="1"/>
  <c r="O1398" i="10"/>
  <c r="P1398" i="10" s="1"/>
  <c r="O1397" i="10"/>
  <c r="P1397" i="10" s="1"/>
  <c r="O1396" i="10"/>
  <c r="P1396" i="10" s="1"/>
  <c r="O1395" i="10"/>
  <c r="P1395" i="10" s="1"/>
  <c r="O1394" i="10"/>
  <c r="P1394" i="10" s="1"/>
  <c r="P1393" i="10"/>
  <c r="O1393" i="10"/>
  <c r="P1392" i="10"/>
  <c r="O1392" i="10"/>
  <c r="O1391" i="10"/>
  <c r="P1391" i="10" s="1"/>
  <c r="O1390" i="10"/>
  <c r="P1390" i="10" s="1"/>
  <c r="O1389" i="10"/>
  <c r="P1389" i="10" s="1"/>
  <c r="O1388" i="10"/>
  <c r="P1388" i="10" s="1"/>
  <c r="O1387" i="10"/>
  <c r="P1387" i="10" s="1"/>
  <c r="O1386" i="10"/>
  <c r="P1386" i="10" s="1"/>
  <c r="O1385" i="10"/>
  <c r="P1385" i="10" s="1"/>
  <c r="O1384" i="10"/>
  <c r="P1384" i="10" s="1"/>
  <c r="O1383" i="10"/>
  <c r="P1383" i="10" s="1"/>
  <c r="O1382" i="10"/>
  <c r="P1382" i="10" s="1"/>
  <c r="P1381" i="10"/>
  <c r="O1381" i="10"/>
  <c r="P1380" i="10"/>
  <c r="O1380" i="10"/>
  <c r="O1379" i="10"/>
  <c r="P1379" i="10" s="1"/>
  <c r="O1378" i="10"/>
  <c r="P1378" i="10" s="1"/>
  <c r="O1377" i="10"/>
  <c r="P1377" i="10" s="1"/>
  <c r="O1376" i="10"/>
  <c r="P1376" i="10" s="1"/>
  <c r="O1375" i="10"/>
  <c r="P1375" i="10" s="1"/>
  <c r="O1374" i="10"/>
  <c r="P1374" i="10" s="1"/>
  <c r="O1373" i="10"/>
  <c r="P1373" i="10" s="1"/>
  <c r="P1372" i="10"/>
  <c r="O1372" i="10"/>
  <c r="O1371" i="10"/>
  <c r="P1371" i="10" s="1"/>
  <c r="O1370" i="10"/>
  <c r="P1370" i="10" s="1"/>
  <c r="O1369" i="10"/>
  <c r="P1369" i="10" s="1"/>
  <c r="O1368" i="10"/>
  <c r="P1368" i="10" s="1"/>
  <c r="O1367" i="10"/>
  <c r="P1367" i="10" s="1"/>
  <c r="O1366" i="10"/>
  <c r="P1366" i="10" s="1"/>
  <c r="O1365" i="10"/>
  <c r="P1365" i="10" s="1"/>
  <c r="O1364" i="10"/>
  <c r="P1364" i="10" s="1"/>
  <c r="O1363" i="10"/>
  <c r="P1363" i="10" s="1"/>
  <c r="O1362" i="10"/>
  <c r="P1362" i="10" s="1"/>
  <c r="O1361" i="10"/>
  <c r="P1361" i="10" s="1"/>
  <c r="P1360" i="10"/>
  <c r="O1360" i="10"/>
  <c r="O1359" i="10"/>
  <c r="P1359" i="10" s="1"/>
  <c r="O1358" i="10"/>
  <c r="P1358" i="10" s="1"/>
  <c r="O1357" i="10"/>
  <c r="P1357" i="10" s="1"/>
  <c r="O1356" i="10"/>
  <c r="P1356" i="10" s="1"/>
  <c r="O1355" i="10"/>
  <c r="P1355" i="10" s="1"/>
  <c r="O1354" i="10"/>
  <c r="P1354" i="10" s="1"/>
  <c r="O1353" i="10"/>
  <c r="P1353" i="10" s="1"/>
  <c r="O1352" i="10"/>
  <c r="P1352" i="10" s="1"/>
  <c r="O1351" i="10"/>
  <c r="P1351" i="10" s="1"/>
  <c r="O1350" i="10"/>
  <c r="P1350" i="10" s="1"/>
  <c r="O1349" i="10"/>
  <c r="P1349" i="10" s="1"/>
  <c r="O1348" i="10"/>
  <c r="P1348" i="10" s="1"/>
  <c r="O1347" i="10"/>
  <c r="P1347" i="10" s="1"/>
  <c r="P1346" i="10"/>
  <c r="O1346" i="10"/>
  <c r="O1345" i="10"/>
  <c r="P1345" i="10" s="1"/>
  <c r="O1344" i="10"/>
  <c r="P1344" i="10" s="1"/>
  <c r="O1343" i="10"/>
  <c r="P1343" i="10" s="1"/>
  <c r="O1342" i="10"/>
  <c r="P1342" i="10" s="1"/>
  <c r="O1341" i="10"/>
  <c r="P1341" i="10" s="1"/>
  <c r="O1340" i="10"/>
  <c r="P1340" i="10" s="1"/>
  <c r="O1339" i="10"/>
  <c r="P1339" i="10" s="1"/>
  <c r="O1338" i="10"/>
  <c r="P1338" i="10" s="1"/>
  <c r="O1337" i="10"/>
  <c r="P1337" i="10" s="1"/>
  <c r="O1336" i="10"/>
  <c r="P1336" i="10" s="1"/>
  <c r="O1335" i="10"/>
  <c r="P1335" i="10" s="1"/>
  <c r="O1334" i="10"/>
  <c r="P1334" i="10" s="1"/>
  <c r="O1333" i="10"/>
  <c r="P1333" i="10" s="1"/>
  <c r="O1332" i="10"/>
  <c r="P1332" i="10" s="1"/>
  <c r="O1331" i="10"/>
  <c r="P1331" i="10" s="1"/>
  <c r="O1330" i="10"/>
  <c r="P1330" i="10" s="1"/>
  <c r="O1329" i="10"/>
  <c r="P1329" i="10" s="1"/>
  <c r="P1328" i="10"/>
  <c r="O1328" i="10"/>
  <c r="O1327" i="10"/>
  <c r="P1327" i="10" s="1"/>
  <c r="O1326" i="10"/>
  <c r="P1326" i="10" s="1"/>
  <c r="O1325" i="10"/>
  <c r="P1325" i="10" s="1"/>
  <c r="O1324" i="10"/>
  <c r="P1324" i="10" s="1"/>
  <c r="O1323" i="10"/>
  <c r="P1323" i="10" s="1"/>
  <c r="O1322" i="10"/>
  <c r="P1322" i="10" s="1"/>
  <c r="O1321" i="10"/>
  <c r="P1321" i="10" s="1"/>
  <c r="O1320" i="10"/>
  <c r="P1320" i="10" s="1"/>
  <c r="O1319" i="10"/>
  <c r="P1319" i="10" s="1"/>
  <c r="O1318" i="10"/>
  <c r="P1318" i="10" s="1"/>
  <c r="P1317" i="10"/>
  <c r="O1317" i="10"/>
  <c r="O1316" i="10"/>
  <c r="P1316" i="10" s="1"/>
  <c r="O1315" i="10"/>
  <c r="P1315" i="10" s="1"/>
  <c r="O1314" i="10"/>
  <c r="P1314" i="10" s="1"/>
  <c r="O1313" i="10"/>
  <c r="P1313" i="10" s="1"/>
  <c r="O1312" i="10"/>
  <c r="P1312" i="10" s="1"/>
  <c r="O1311" i="10"/>
  <c r="P1311" i="10" s="1"/>
  <c r="O1310" i="10"/>
  <c r="P1310" i="10" s="1"/>
  <c r="O1309" i="10"/>
  <c r="P1309" i="10" s="1"/>
  <c r="P1308" i="10"/>
  <c r="O1308" i="10"/>
  <c r="O1307" i="10"/>
  <c r="P1307" i="10" s="1"/>
  <c r="O1306" i="10"/>
  <c r="P1306" i="10" s="1"/>
  <c r="P1305" i="10"/>
  <c r="O1305" i="10"/>
  <c r="O1304" i="10"/>
  <c r="P1304" i="10" s="1"/>
  <c r="O1303" i="10"/>
  <c r="P1303" i="10" s="1"/>
  <c r="P1302" i="10"/>
  <c r="O1302" i="10"/>
  <c r="O1301" i="10"/>
  <c r="P1301" i="10" s="1"/>
  <c r="O1300" i="10"/>
  <c r="P1300" i="10" s="1"/>
  <c r="O1299" i="10"/>
  <c r="P1299" i="10" s="1"/>
  <c r="O1298" i="10"/>
  <c r="P1298" i="10" s="1"/>
  <c r="O1297" i="10"/>
  <c r="P1297" i="10" s="1"/>
  <c r="O1296" i="10"/>
  <c r="P1296" i="10" s="1"/>
  <c r="O1295" i="10"/>
  <c r="P1295" i="10" s="1"/>
  <c r="P1294" i="10"/>
  <c r="O1294" i="10"/>
  <c r="P1293" i="10"/>
  <c r="O1293" i="10"/>
  <c r="O1292" i="10"/>
  <c r="P1292" i="10" s="1"/>
  <c r="O1291" i="10"/>
  <c r="P1291" i="10" s="1"/>
  <c r="O1290" i="10"/>
  <c r="P1290" i="10" s="1"/>
  <c r="O1289" i="10"/>
  <c r="P1289" i="10" s="1"/>
  <c r="P1288" i="10"/>
  <c r="O1288" i="10"/>
  <c r="O1287" i="10"/>
  <c r="P1287" i="10" s="1"/>
  <c r="O1286" i="10"/>
  <c r="P1286" i="10" s="1"/>
  <c r="O1285" i="10"/>
  <c r="P1285" i="10" s="1"/>
  <c r="P1284" i="10"/>
  <c r="O1284" i="10"/>
  <c r="O1283" i="10"/>
  <c r="P1283" i="10" s="1"/>
  <c r="O1282" i="10"/>
  <c r="P1282" i="10" s="1"/>
  <c r="O1281" i="10"/>
  <c r="P1281" i="10" s="1"/>
  <c r="O1280" i="10"/>
  <c r="P1280" i="10" s="1"/>
  <c r="O1279" i="10"/>
  <c r="P1279" i="10" s="1"/>
  <c r="O1278" i="10"/>
  <c r="P1278" i="10" s="1"/>
  <c r="O1277" i="10"/>
  <c r="P1277" i="10" s="1"/>
  <c r="P1276" i="10"/>
  <c r="O1276" i="10"/>
  <c r="O1275" i="10"/>
  <c r="P1275" i="10" s="1"/>
  <c r="O1274" i="10"/>
  <c r="P1274" i="10" s="1"/>
  <c r="O1273" i="10"/>
  <c r="P1273" i="10" s="1"/>
  <c r="O1272" i="10"/>
  <c r="P1272" i="10" s="1"/>
  <c r="O1271" i="10"/>
  <c r="P1271" i="10" s="1"/>
  <c r="P1270" i="10"/>
  <c r="O1270" i="10"/>
  <c r="O1269" i="10"/>
  <c r="P1269" i="10" s="1"/>
  <c r="O1268" i="10"/>
  <c r="P1268" i="10" s="1"/>
  <c r="O1267" i="10"/>
  <c r="P1267" i="10" s="1"/>
  <c r="O1266" i="10"/>
  <c r="P1266" i="10" s="1"/>
  <c r="O1265" i="10"/>
  <c r="P1265" i="10" s="1"/>
  <c r="O1264" i="10"/>
  <c r="P1264" i="10" s="1"/>
  <c r="O1263" i="10"/>
  <c r="P1263" i="10" s="1"/>
  <c r="O1262" i="10"/>
  <c r="P1262" i="10" s="1"/>
  <c r="O1261" i="10"/>
  <c r="P1261" i="10" s="1"/>
  <c r="O1260" i="10"/>
  <c r="P1260" i="10" s="1"/>
  <c r="O1259" i="10"/>
  <c r="P1259" i="10" s="1"/>
  <c r="O1258" i="10"/>
  <c r="P1258" i="10" s="1"/>
  <c r="O1257" i="10"/>
  <c r="P1257" i="10" s="1"/>
  <c r="O1256" i="10"/>
  <c r="P1256" i="10" s="1"/>
  <c r="O1255" i="10"/>
  <c r="P1255" i="10" s="1"/>
  <c r="O1254" i="10"/>
  <c r="P1254" i="10" s="1"/>
  <c r="O1253" i="10"/>
  <c r="P1253" i="10" s="1"/>
  <c r="P1252" i="10"/>
  <c r="O1252" i="10"/>
  <c r="O1251" i="10"/>
  <c r="P1251" i="10" s="1"/>
  <c r="P1250" i="10"/>
  <c r="O1250" i="10"/>
  <c r="O1249" i="10"/>
  <c r="P1249" i="10" s="1"/>
  <c r="O1248" i="10"/>
  <c r="P1248" i="10" s="1"/>
  <c r="O1247" i="10"/>
  <c r="P1247" i="10" s="1"/>
  <c r="O1246" i="10"/>
  <c r="P1246" i="10" s="1"/>
  <c r="O1245" i="10"/>
  <c r="P1245" i="10" s="1"/>
  <c r="O1244" i="10"/>
  <c r="P1244" i="10" s="1"/>
  <c r="O1243" i="10"/>
  <c r="P1243" i="10" s="1"/>
  <c r="O1242" i="10"/>
  <c r="P1242" i="10" s="1"/>
  <c r="P1241" i="10"/>
  <c r="O1241" i="10"/>
  <c r="O1240" i="10"/>
  <c r="P1240" i="10" s="1"/>
  <c r="O1239" i="10"/>
  <c r="P1239" i="10" s="1"/>
  <c r="O1238" i="10"/>
  <c r="P1238" i="10" s="1"/>
  <c r="O1237" i="10"/>
  <c r="P1237" i="10" s="1"/>
  <c r="O1236" i="10"/>
  <c r="P1236" i="10" s="1"/>
  <c r="O1235" i="10"/>
  <c r="P1235" i="10" s="1"/>
  <c r="O1234" i="10"/>
  <c r="P1234" i="10" s="1"/>
  <c r="O1233" i="10"/>
  <c r="P1233" i="10" s="1"/>
  <c r="P1232" i="10"/>
  <c r="O1232" i="10"/>
  <c r="O1231" i="10"/>
  <c r="P1231" i="10" s="1"/>
  <c r="O1230" i="10"/>
  <c r="P1230" i="10" s="1"/>
  <c r="O1229" i="10"/>
  <c r="P1229" i="10" s="1"/>
  <c r="O1228" i="10"/>
  <c r="P1228" i="10" s="1"/>
  <c r="O1227" i="10"/>
  <c r="P1227" i="10" s="1"/>
  <c r="O1226" i="10"/>
  <c r="P1226" i="10" s="1"/>
  <c r="O1225" i="10"/>
  <c r="P1225" i="10" s="1"/>
  <c r="O1224" i="10"/>
  <c r="P1224" i="10" s="1"/>
  <c r="O1223" i="10"/>
  <c r="P1223" i="10" s="1"/>
  <c r="O1222" i="10"/>
  <c r="P1222" i="10" s="1"/>
  <c r="P1221" i="10"/>
  <c r="O1221" i="10"/>
  <c r="O1220" i="10"/>
  <c r="P1220" i="10" s="1"/>
  <c r="O1219" i="10"/>
  <c r="P1219" i="10" s="1"/>
  <c r="P1218" i="10"/>
  <c r="O1218" i="10"/>
  <c r="O1217" i="10"/>
  <c r="P1217" i="10" s="1"/>
  <c r="O1216" i="10"/>
  <c r="P1216" i="10" s="1"/>
  <c r="O1215" i="10"/>
  <c r="P1215" i="10" s="1"/>
  <c r="O1214" i="10"/>
  <c r="P1214" i="10" s="1"/>
  <c r="O1213" i="10"/>
  <c r="P1213" i="10" s="1"/>
  <c r="O1212" i="10"/>
  <c r="P1212" i="10" s="1"/>
  <c r="O1211" i="10"/>
  <c r="P1211" i="10" s="1"/>
  <c r="O1210" i="10"/>
  <c r="P1210" i="10" s="1"/>
  <c r="P1209" i="10"/>
  <c r="O1209" i="10"/>
  <c r="O1208" i="10"/>
  <c r="P1208" i="10" s="1"/>
  <c r="O1207" i="10"/>
  <c r="P1207" i="10" s="1"/>
  <c r="O1206" i="10"/>
  <c r="P1206" i="10" s="1"/>
  <c r="O1205" i="10"/>
  <c r="P1205" i="10" s="1"/>
  <c r="O1204" i="10"/>
  <c r="P1204" i="10" s="1"/>
  <c r="O1203" i="10"/>
  <c r="P1203" i="10" s="1"/>
  <c r="O1202" i="10"/>
  <c r="P1202" i="10" s="1"/>
  <c r="O1201" i="10"/>
  <c r="P1201" i="10" s="1"/>
  <c r="P1200" i="10"/>
  <c r="O1200" i="10"/>
  <c r="O1199" i="10"/>
  <c r="P1199" i="10" s="1"/>
  <c r="O1198" i="10"/>
  <c r="P1198" i="10" s="1"/>
  <c r="O1197" i="10"/>
  <c r="P1197" i="10" s="1"/>
  <c r="O1196" i="10"/>
  <c r="P1196" i="10" s="1"/>
  <c r="O1195" i="10"/>
  <c r="P1195" i="10" s="1"/>
  <c r="O1194" i="10"/>
  <c r="P1194" i="10" s="1"/>
  <c r="O1193" i="10"/>
  <c r="P1193" i="10" s="1"/>
  <c r="O1192" i="10"/>
  <c r="P1192" i="10" s="1"/>
  <c r="O1191" i="10"/>
  <c r="P1191" i="10" s="1"/>
  <c r="O1190" i="10"/>
  <c r="P1190" i="10" s="1"/>
  <c r="O1189" i="10"/>
  <c r="P1189" i="10" s="1"/>
  <c r="O1188" i="10"/>
  <c r="P1188" i="10" s="1"/>
  <c r="O1187" i="10"/>
  <c r="P1187" i="10" s="1"/>
  <c r="P1186" i="10"/>
  <c r="O1186" i="10"/>
  <c r="O1185" i="10"/>
  <c r="P1185" i="10" s="1"/>
  <c r="O1184" i="10"/>
  <c r="P1184" i="10" s="1"/>
  <c r="O1183" i="10"/>
  <c r="P1183" i="10" s="1"/>
  <c r="O1182" i="10"/>
  <c r="P1182" i="10" s="1"/>
  <c r="O1181" i="10"/>
  <c r="P1181" i="10" s="1"/>
  <c r="P1180" i="10"/>
  <c r="O1180" i="10"/>
  <c r="O1179" i="10"/>
  <c r="P1179" i="10" s="1"/>
  <c r="O1178" i="10"/>
  <c r="P1178" i="10" s="1"/>
  <c r="O1177" i="10"/>
  <c r="P1177" i="10" s="1"/>
  <c r="O1176" i="10"/>
  <c r="P1176" i="10" s="1"/>
  <c r="O1175" i="10"/>
  <c r="P1175" i="10" s="1"/>
  <c r="P1174" i="10"/>
  <c r="O1174" i="10"/>
  <c r="O1173" i="10"/>
  <c r="P1173" i="10" s="1"/>
  <c r="O1172" i="10"/>
  <c r="P1172" i="10" s="1"/>
  <c r="O1171" i="10"/>
  <c r="P1171" i="10" s="1"/>
  <c r="O1170" i="10"/>
  <c r="P1170" i="10" s="1"/>
  <c r="O1169" i="10"/>
  <c r="P1169" i="10" s="1"/>
  <c r="O1168" i="10"/>
  <c r="P1168" i="10" s="1"/>
  <c r="O1167" i="10"/>
  <c r="P1167" i="10" s="1"/>
  <c r="O1166" i="10"/>
  <c r="P1166" i="10" s="1"/>
  <c r="O1165" i="10"/>
  <c r="P1165" i="10" s="1"/>
  <c r="O1164" i="10"/>
  <c r="P1164" i="10" s="1"/>
  <c r="O1163" i="10"/>
  <c r="P1163" i="10" s="1"/>
  <c r="O1162" i="10"/>
  <c r="P1162" i="10" s="1"/>
  <c r="O1161" i="10"/>
  <c r="P1161" i="10" s="1"/>
  <c r="O1160" i="10"/>
  <c r="P1160" i="10" s="1"/>
  <c r="O1159" i="10"/>
  <c r="P1159" i="10" s="1"/>
  <c r="O1158" i="10"/>
  <c r="P1158" i="10" s="1"/>
  <c r="P1157" i="10"/>
  <c r="O1157" i="10"/>
  <c r="O1156" i="10"/>
  <c r="P1156" i="10" s="1"/>
  <c r="O1155" i="10"/>
  <c r="P1155" i="10" s="1"/>
  <c r="O1154" i="10"/>
  <c r="P1154" i="10" s="1"/>
  <c r="O1153" i="10"/>
  <c r="P1153" i="10" s="1"/>
  <c r="O1152" i="10"/>
  <c r="P1152" i="10" s="1"/>
  <c r="O1151" i="10"/>
  <c r="P1151" i="10" s="1"/>
  <c r="O1150" i="10"/>
  <c r="P1150" i="10" s="1"/>
  <c r="O1149" i="10"/>
  <c r="P1149" i="10" s="1"/>
  <c r="P1148" i="10"/>
  <c r="O1148" i="10"/>
  <c r="O1147" i="10"/>
  <c r="P1147" i="10" s="1"/>
  <c r="O1146" i="10"/>
  <c r="P1146" i="10" s="1"/>
  <c r="P1145" i="10"/>
  <c r="O1145" i="10"/>
  <c r="P1144" i="10"/>
  <c r="O1144" i="10"/>
  <c r="O1143" i="10"/>
  <c r="P1143" i="10" s="1"/>
  <c r="O1142" i="10"/>
  <c r="P1142" i="10" s="1"/>
  <c r="O1141" i="10"/>
  <c r="P1141" i="10" s="1"/>
  <c r="O1140" i="10"/>
  <c r="P1140" i="10" s="1"/>
  <c r="O1139" i="10"/>
  <c r="P1139" i="10" s="1"/>
  <c r="O1138" i="10"/>
  <c r="P1138" i="10" s="1"/>
  <c r="O1137" i="10"/>
  <c r="P1137" i="10" s="1"/>
  <c r="O1136" i="10"/>
  <c r="P1136" i="10" s="1"/>
  <c r="O1135" i="10"/>
  <c r="P1135" i="10" s="1"/>
  <c r="P1134" i="10"/>
  <c r="O1134" i="10"/>
  <c r="O1133" i="10"/>
  <c r="P1133" i="10" s="1"/>
  <c r="O1132" i="10"/>
  <c r="P1132" i="10" s="1"/>
  <c r="O1131" i="10"/>
  <c r="P1131" i="10" s="1"/>
  <c r="O1130" i="10"/>
  <c r="P1130" i="10" s="1"/>
  <c r="O1129" i="10"/>
  <c r="P1129" i="10" s="1"/>
  <c r="P1128" i="10"/>
  <c r="O1128" i="10"/>
  <c r="O1127" i="10"/>
  <c r="P1127" i="10" s="1"/>
  <c r="O1126" i="10"/>
  <c r="P1126" i="10" s="1"/>
  <c r="P1125" i="10"/>
  <c r="O1125" i="10"/>
  <c r="O1124" i="10"/>
  <c r="P1124" i="10" s="1"/>
  <c r="O1123" i="10"/>
  <c r="P1123" i="10" s="1"/>
  <c r="O1122" i="10"/>
  <c r="P1122" i="10" s="1"/>
  <c r="O1121" i="10"/>
  <c r="P1121" i="10" s="1"/>
  <c r="O1120" i="10"/>
  <c r="P1120" i="10" s="1"/>
  <c r="O1119" i="10"/>
  <c r="P1119" i="10" s="1"/>
  <c r="O1118" i="10"/>
  <c r="P1118" i="10" s="1"/>
  <c r="O1117" i="10"/>
  <c r="P1117" i="10" s="1"/>
  <c r="P1116" i="10"/>
  <c r="O1116" i="10"/>
  <c r="O1115" i="10"/>
  <c r="P1115" i="10" s="1"/>
  <c r="O1114" i="10"/>
  <c r="P1114" i="10" s="1"/>
  <c r="P1113" i="10"/>
  <c r="O1113" i="10"/>
  <c r="O1112" i="10"/>
  <c r="P1112" i="10" s="1"/>
  <c r="O1111" i="10"/>
  <c r="P1111" i="10" s="1"/>
  <c r="O1110" i="10"/>
  <c r="P1110" i="10" s="1"/>
  <c r="O1109" i="10"/>
  <c r="P1109" i="10" s="1"/>
  <c r="O1108" i="10"/>
  <c r="P1108" i="10" s="1"/>
  <c r="O1107" i="10"/>
  <c r="P1107" i="10" s="1"/>
  <c r="O1106" i="10"/>
  <c r="P1106" i="10" s="1"/>
  <c r="O1105" i="10"/>
  <c r="P1105" i="10" s="1"/>
  <c r="O1104" i="10"/>
  <c r="P1104" i="10" s="1"/>
  <c r="O1103" i="10"/>
  <c r="P1103" i="10" s="1"/>
  <c r="O1102" i="10"/>
  <c r="P1102" i="10" s="1"/>
  <c r="P1101" i="10"/>
  <c r="O1101" i="10"/>
  <c r="O1100" i="10"/>
  <c r="P1100" i="10" s="1"/>
  <c r="O1099" i="10"/>
  <c r="P1099" i="10" s="1"/>
  <c r="O1098" i="10"/>
  <c r="P1098" i="10" s="1"/>
  <c r="O1097" i="10"/>
  <c r="P1097" i="10" s="1"/>
  <c r="O1096" i="10"/>
  <c r="P1096" i="10" s="1"/>
  <c r="O1095" i="10"/>
  <c r="P1095" i="10" s="1"/>
  <c r="O1094" i="10"/>
  <c r="P1094" i="10" s="1"/>
  <c r="P1093" i="10"/>
  <c r="O1093" i="10"/>
  <c r="P1092" i="10"/>
  <c r="O1092" i="10"/>
  <c r="O1091" i="10"/>
  <c r="P1091" i="10" s="1"/>
  <c r="P1090" i="10"/>
  <c r="O1090" i="10"/>
  <c r="O1089" i="10"/>
  <c r="P1089" i="10" s="1"/>
  <c r="O1088" i="10"/>
  <c r="P1088" i="10" s="1"/>
  <c r="O1087" i="10"/>
  <c r="P1087" i="10" s="1"/>
  <c r="O1086" i="10"/>
  <c r="P1086" i="10" s="1"/>
  <c r="O1085" i="10"/>
  <c r="P1085" i="10" s="1"/>
  <c r="O1084" i="10"/>
  <c r="P1084" i="10" s="1"/>
  <c r="O1083" i="10"/>
  <c r="P1083" i="10" s="1"/>
  <c r="O1082" i="10"/>
  <c r="P1082" i="10" s="1"/>
  <c r="P1081" i="10"/>
  <c r="O1081" i="10"/>
  <c r="O1080" i="10"/>
  <c r="P1080" i="10" s="1"/>
  <c r="O1079" i="10"/>
  <c r="P1079" i="10" s="1"/>
  <c r="P1078" i="10"/>
  <c r="O1078" i="10"/>
  <c r="O1077" i="10"/>
  <c r="P1077" i="10" s="1"/>
  <c r="O1076" i="10"/>
  <c r="P1076" i="10" s="1"/>
  <c r="O1075" i="10"/>
  <c r="P1075" i="10" s="1"/>
  <c r="O1074" i="10"/>
  <c r="P1074" i="10" s="1"/>
  <c r="O1073" i="10"/>
  <c r="P1073" i="10" s="1"/>
  <c r="P1072" i="10"/>
  <c r="O1072" i="10"/>
  <c r="O1071" i="10"/>
  <c r="P1071" i="10" s="1"/>
  <c r="O1070" i="10"/>
  <c r="P1070" i="10" s="1"/>
  <c r="P1069" i="10"/>
  <c r="O1069" i="10"/>
  <c r="O1068" i="10"/>
  <c r="P1068" i="10" s="1"/>
  <c r="O1067" i="10"/>
  <c r="P1067" i="10" s="1"/>
  <c r="O1066" i="10"/>
  <c r="P1066" i="10" s="1"/>
  <c r="O1065" i="10"/>
  <c r="P1065" i="10" s="1"/>
  <c r="O1064" i="10"/>
  <c r="P1064" i="10" s="1"/>
  <c r="O1063" i="10"/>
  <c r="P1063" i="10" s="1"/>
  <c r="O1062" i="10"/>
  <c r="P1062" i="10" s="1"/>
  <c r="O1061" i="10"/>
  <c r="P1061" i="10" s="1"/>
  <c r="O1060" i="10"/>
  <c r="P1060" i="10" s="1"/>
  <c r="O1059" i="10"/>
  <c r="P1059" i="10" s="1"/>
  <c r="P1058" i="10"/>
  <c r="O1058" i="10"/>
  <c r="O1057" i="10"/>
  <c r="P1057" i="10" s="1"/>
  <c r="O1056" i="10"/>
  <c r="P1056" i="10" s="1"/>
  <c r="O1055" i="10"/>
  <c r="P1055" i="10" s="1"/>
  <c r="O1054" i="10"/>
  <c r="P1054" i="10" s="1"/>
  <c r="O1053" i="10"/>
  <c r="P1053" i="10" s="1"/>
  <c r="O1052" i="10"/>
  <c r="P1052" i="10" s="1"/>
  <c r="O1051" i="10"/>
  <c r="P1051" i="10" s="1"/>
  <c r="P1050" i="10"/>
  <c r="O1050" i="10"/>
  <c r="P1049" i="10"/>
  <c r="O1049" i="10"/>
  <c r="P1048" i="10"/>
  <c r="O1048" i="10"/>
  <c r="O1047" i="10"/>
  <c r="P1047" i="10" s="1"/>
  <c r="P1046" i="10"/>
  <c r="O1046" i="10"/>
  <c r="O1045" i="10"/>
  <c r="P1045" i="10" s="1"/>
  <c r="O1044" i="10"/>
  <c r="P1044" i="10" s="1"/>
  <c r="O1043" i="10"/>
  <c r="P1043" i="10" s="1"/>
  <c r="O1042" i="10"/>
  <c r="P1042" i="10" s="1"/>
  <c r="O1041" i="10"/>
  <c r="P1041" i="10" s="1"/>
  <c r="P1040" i="10"/>
  <c r="O1040" i="10"/>
  <c r="O1039" i="10"/>
  <c r="P1039" i="10" s="1"/>
  <c r="O1038" i="10"/>
  <c r="P1038" i="10" s="1"/>
  <c r="O1037" i="10"/>
  <c r="P1037" i="10" s="1"/>
  <c r="O1036" i="10"/>
  <c r="P1036" i="10" s="1"/>
  <c r="O1035" i="10"/>
  <c r="P1035" i="10" s="1"/>
  <c r="O1034" i="10"/>
  <c r="P1034" i="10" s="1"/>
  <c r="O1033" i="10"/>
  <c r="P1033" i="10" s="1"/>
  <c r="O1032" i="10"/>
  <c r="P1032" i="10" s="1"/>
  <c r="O1031" i="10"/>
  <c r="P1031" i="10" s="1"/>
  <c r="O1030" i="10"/>
  <c r="P1030" i="10" s="1"/>
  <c r="O1029" i="10"/>
  <c r="P1029" i="10" s="1"/>
  <c r="O1028" i="10"/>
  <c r="P1028" i="10" s="1"/>
  <c r="O1027" i="10"/>
  <c r="P1027" i="10" s="1"/>
  <c r="O1026" i="10"/>
  <c r="P1026" i="10" s="1"/>
  <c r="O1025" i="10"/>
  <c r="P1025" i="10" s="1"/>
  <c r="P1024" i="10"/>
  <c r="O1024" i="10"/>
  <c r="O1023" i="10"/>
  <c r="P1023" i="10" s="1"/>
  <c r="O1022" i="10"/>
  <c r="P1022" i="10" s="1"/>
  <c r="P1021" i="10"/>
  <c r="O1021" i="10"/>
  <c r="P1020" i="10"/>
  <c r="O1020" i="10"/>
  <c r="O1019" i="10"/>
  <c r="P1019" i="10" s="1"/>
  <c r="O1018" i="10"/>
  <c r="P1018" i="10" s="1"/>
  <c r="O1017" i="10"/>
  <c r="P1017" i="10" s="1"/>
  <c r="O1016" i="10"/>
  <c r="P1016" i="10" s="1"/>
  <c r="O1015" i="10"/>
  <c r="P1015" i="10" s="1"/>
  <c r="O1014" i="10"/>
  <c r="P1014" i="10" s="1"/>
  <c r="O1013" i="10"/>
  <c r="P1013" i="10" s="1"/>
  <c r="O1012" i="10"/>
  <c r="P1012" i="10" s="1"/>
  <c r="O1011" i="10"/>
  <c r="P1011" i="10" s="1"/>
  <c r="O1010" i="10"/>
  <c r="P1010" i="10" s="1"/>
  <c r="O1009" i="10"/>
  <c r="P1009" i="10" s="1"/>
  <c r="O1008" i="10"/>
  <c r="P1008" i="10" s="1"/>
  <c r="O1007" i="10"/>
  <c r="P1007" i="10" s="1"/>
  <c r="O1006" i="10"/>
  <c r="P1006" i="10" s="1"/>
  <c r="O1005" i="10"/>
  <c r="P1005" i="10" s="1"/>
  <c r="O1004" i="10"/>
  <c r="P1004" i="10" s="1"/>
  <c r="O1003" i="10"/>
  <c r="P1003" i="10" s="1"/>
  <c r="O1002" i="10"/>
  <c r="P1002" i="10" s="1"/>
  <c r="P1001" i="10"/>
  <c r="O1001" i="10"/>
  <c r="O1000" i="10"/>
  <c r="P1000" i="10" s="1"/>
  <c r="O999" i="10"/>
  <c r="P999" i="10" s="1"/>
  <c r="O998" i="10"/>
  <c r="P998" i="10" s="1"/>
  <c r="O997" i="10"/>
  <c r="P997" i="10" s="1"/>
  <c r="O996" i="10"/>
  <c r="P996" i="10" s="1"/>
  <c r="O995" i="10"/>
  <c r="P995" i="10" s="1"/>
  <c r="O994" i="10"/>
  <c r="P994" i="10" s="1"/>
  <c r="O993" i="10"/>
  <c r="P993" i="10" s="1"/>
  <c r="O992" i="10"/>
  <c r="P992" i="10" s="1"/>
  <c r="O991" i="10"/>
  <c r="P991" i="10" s="1"/>
  <c r="O990" i="10"/>
  <c r="P990" i="10" s="1"/>
  <c r="O989" i="10"/>
  <c r="P989" i="10" s="1"/>
  <c r="O988" i="10"/>
  <c r="P988" i="10" s="1"/>
  <c r="O987" i="10"/>
  <c r="P987" i="10" s="1"/>
  <c r="O986" i="10"/>
  <c r="P986" i="10" s="1"/>
  <c r="O985" i="10"/>
  <c r="P985" i="10" s="1"/>
  <c r="O984" i="10"/>
  <c r="P984" i="10" s="1"/>
  <c r="O983" i="10"/>
  <c r="P983" i="10" s="1"/>
  <c r="O982" i="10"/>
  <c r="P982" i="10" s="1"/>
  <c r="P981" i="10"/>
  <c r="O981" i="10"/>
  <c r="O980" i="10"/>
  <c r="P980" i="10" s="1"/>
  <c r="O979" i="10"/>
  <c r="P979" i="10" s="1"/>
  <c r="O978" i="10"/>
  <c r="P978" i="10" s="1"/>
  <c r="O977" i="10"/>
  <c r="P977" i="10" s="1"/>
  <c r="O976" i="10"/>
  <c r="P976" i="10" s="1"/>
  <c r="O975" i="10"/>
  <c r="P975" i="10" s="1"/>
  <c r="O974" i="10"/>
  <c r="P974" i="10" s="1"/>
  <c r="O973" i="10"/>
  <c r="P973" i="10" s="1"/>
  <c r="O972" i="10"/>
  <c r="P972" i="10" s="1"/>
  <c r="O971" i="10"/>
  <c r="P971" i="10" s="1"/>
  <c r="O970" i="10"/>
  <c r="P970" i="10" s="1"/>
  <c r="O969" i="10"/>
  <c r="P969" i="10" s="1"/>
  <c r="P968" i="10"/>
  <c r="O968" i="10"/>
  <c r="O967" i="10"/>
  <c r="P967" i="10" s="1"/>
  <c r="O966" i="10"/>
  <c r="P966" i="10" s="1"/>
  <c r="O965" i="10"/>
  <c r="P965" i="10" s="1"/>
  <c r="O964" i="10"/>
  <c r="P964" i="10" s="1"/>
  <c r="O963" i="10"/>
  <c r="P963" i="10" s="1"/>
  <c r="O962" i="10"/>
  <c r="P962" i="10" s="1"/>
  <c r="O961" i="10"/>
  <c r="P961" i="10" s="1"/>
  <c r="O960" i="10"/>
  <c r="P960" i="10" s="1"/>
  <c r="O959" i="10"/>
  <c r="P959" i="10" s="1"/>
  <c r="O958" i="10"/>
  <c r="P958" i="10" s="1"/>
  <c r="O957" i="10"/>
  <c r="P957" i="10" s="1"/>
  <c r="O956" i="10"/>
  <c r="P956" i="10" s="1"/>
  <c r="O955" i="10"/>
  <c r="P955" i="10" s="1"/>
  <c r="O954" i="10"/>
  <c r="P954" i="10" s="1"/>
  <c r="O953" i="10"/>
  <c r="P953" i="10" s="1"/>
  <c r="O952" i="10"/>
  <c r="P952" i="10" s="1"/>
  <c r="O951" i="10"/>
  <c r="P951" i="10" s="1"/>
  <c r="O950" i="10"/>
  <c r="P950" i="10" s="1"/>
  <c r="O949" i="10"/>
  <c r="P949" i="10" s="1"/>
  <c r="O948" i="10"/>
  <c r="P948" i="10" s="1"/>
  <c r="O947" i="10"/>
  <c r="P947" i="10" s="1"/>
  <c r="O946" i="10"/>
  <c r="P946" i="10" s="1"/>
  <c r="P945" i="10"/>
  <c r="O945" i="10"/>
  <c r="O944" i="10"/>
  <c r="P944" i="10" s="1"/>
  <c r="O943" i="10"/>
  <c r="P943" i="10" s="1"/>
  <c r="O942" i="10"/>
  <c r="P942" i="10" s="1"/>
  <c r="O941" i="10"/>
  <c r="P941" i="10" s="1"/>
  <c r="O940" i="10"/>
  <c r="P940" i="10" s="1"/>
  <c r="O939" i="10"/>
  <c r="P939" i="10" s="1"/>
  <c r="O938" i="10"/>
  <c r="P938" i="10" s="1"/>
  <c r="O937" i="10"/>
  <c r="P937" i="10" s="1"/>
  <c r="P936" i="10"/>
  <c r="O936" i="10"/>
  <c r="O935" i="10"/>
  <c r="P935" i="10" s="1"/>
  <c r="O934" i="10"/>
  <c r="P934" i="10" s="1"/>
  <c r="O933" i="10"/>
  <c r="P933" i="10" s="1"/>
  <c r="O932" i="10"/>
  <c r="P932" i="10" s="1"/>
  <c r="O931" i="10"/>
  <c r="P931" i="10" s="1"/>
  <c r="O930" i="10"/>
  <c r="P930" i="10" s="1"/>
  <c r="O929" i="10"/>
  <c r="P929" i="10" s="1"/>
  <c r="O928" i="10"/>
  <c r="P928" i="10" s="1"/>
  <c r="O927" i="10"/>
  <c r="P927" i="10" s="1"/>
  <c r="O926" i="10"/>
  <c r="P926" i="10" s="1"/>
  <c r="O925" i="10"/>
  <c r="P925" i="10" s="1"/>
  <c r="P924" i="10"/>
  <c r="O924" i="10"/>
  <c r="O923" i="10"/>
  <c r="P923" i="10" s="1"/>
  <c r="O922" i="10"/>
  <c r="P922" i="10" s="1"/>
  <c r="O921" i="10"/>
  <c r="P921" i="10" s="1"/>
  <c r="O920" i="10"/>
  <c r="P920" i="10" s="1"/>
  <c r="O919" i="10"/>
  <c r="P919" i="10" s="1"/>
  <c r="O918" i="10"/>
  <c r="P918" i="10" s="1"/>
  <c r="O917" i="10"/>
  <c r="P917" i="10" s="1"/>
  <c r="O916" i="10"/>
  <c r="P916" i="10" s="1"/>
  <c r="P915" i="10"/>
  <c r="O915" i="10"/>
  <c r="O914" i="10"/>
  <c r="P914" i="10" s="1"/>
  <c r="O913" i="10"/>
  <c r="P913" i="10" s="1"/>
  <c r="O912" i="10"/>
  <c r="P912" i="10" s="1"/>
  <c r="O911" i="10"/>
  <c r="P911" i="10" s="1"/>
  <c r="O910" i="10"/>
  <c r="P910" i="10" s="1"/>
  <c r="O909" i="10"/>
  <c r="P909" i="10" s="1"/>
  <c r="O908" i="10"/>
  <c r="P908" i="10" s="1"/>
  <c r="O907" i="10"/>
  <c r="P907" i="10" s="1"/>
  <c r="O906" i="10"/>
  <c r="P906" i="10" s="1"/>
  <c r="O905" i="10"/>
  <c r="P905" i="10" s="1"/>
  <c r="P904" i="10"/>
  <c r="O904" i="10"/>
  <c r="O903" i="10"/>
  <c r="P903" i="10" s="1"/>
  <c r="O902" i="10"/>
  <c r="P902" i="10" s="1"/>
  <c r="O901" i="10"/>
  <c r="P901" i="10" s="1"/>
  <c r="O900" i="10"/>
  <c r="P900" i="10" s="1"/>
  <c r="O899" i="10"/>
  <c r="P899" i="10" s="1"/>
  <c r="O898" i="10"/>
  <c r="P898" i="10" s="1"/>
  <c r="O897" i="10"/>
  <c r="P897" i="10" s="1"/>
  <c r="O896" i="10"/>
  <c r="P896" i="10" s="1"/>
  <c r="O895" i="10"/>
  <c r="P895" i="10" s="1"/>
  <c r="O894" i="10"/>
  <c r="P894" i="10" s="1"/>
  <c r="O893" i="10"/>
  <c r="P893" i="10" s="1"/>
  <c r="P892" i="10"/>
  <c r="O892" i="10"/>
  <c r="O891" i="10"/>
  <c r="P891" i="10" s="1"/>
  <c r="O890" i="10"/>
  <c r="P890" i="10" s="1"/>
  <c r="O889" i="10"/>
  <c r="P889" i="10" s="1"/>
  <c r="O888" i="10"/>
  <c r="P888" i="10" s="1"/>
  <c r="O887" i="10"/>
  <c r="P887" i="10" s="1"/>
  <c r="O886" i="10"/>
  <c r="P886" i="10" s="1"/>
  <c r="O885" i="10"/>
  <c r="P885" i="10" s="1"/>
  <c r="O884" i="10"/>
  <c r="P884" i="10" s="1"/>
  <c r="O883" i="10"/>
  <c r="P883" i="10" s="1"/>
  <c r="O882" i="10"/>
  <c r="P882" i="10" s="1"/>
  <c r="P881" i="10"/>
  <c r="O881" i="10"/>
  <c r="O880" i="10"/>
  <c r="P880" i="10" s="1"/>
  <c r="O879" i="10"/>
  <c r="P879" i="10" s="1"/>
  <c r="O878" i="10"/>
  <c r="P878" i="10" s="1"/>
  <c r="O877" i="10"/>
  <c r="P877" i="10" s="1"/>
  <c r="O876" i="10"/>
  <c r="P876" i="10" s="1"/>
  <c r="O875" i="10"/>
  <c r="P875" i="10" s="1"/>
  <c r="O874" i="10"/>
  <c r="P874" i="10" s="1"/>
  <c r="O873" i="10"/>
  <c r="P873" i="10" s="1"/>
  <c r="P872" i="10"/>
  <c r="O872" i="10"/>
  <c r="O871" i="10"/>
  <c r="P871" i="10" s="1"/>
  <c r="O870" i="10"/>
  <c r="P870" i="10" s="1"/>
  <c r="P869" i="10"/>
  <c r="O869" i="10"/>
  <c r="O868" i="10"/>
  <c r="P868" i="10" s="1"/>
  <c r="O867" i="10"/>
  <c r="P867" i="10" s="1"/>
  <c r="O866" i="10"/>
  <c r="P866" i="10" s="1"/>
  <c r="O865" i="10"/>
  <c r="P865" i="10" s="1"/>
  <c r="O864" i="10"/>
  <c r="P864" i="10" s="1"/>
  <c r="O863" i="10"/>
  <c r="P863" i="10" s="1"/>
  <c r="O862" i="10"/>
  <c r="P862" i="10" s="1"/>
  <c r="O861" i="10"/>
  <c r="P861" i="10" s="1"/>
  <c r="O860" i="10"/>
  <c r="P860" i="10" s="1"/>
  <c r="O859" i="10"/>
  <c r="P859" i="10" s="1"/>
  <c r="O858" i="10"/>
  <c r="P858" i="10" s="1"/>
  <c r="O857" i="10"/>
  <c r="P857" i="10" s="1"/>
  <c r="O856" i="10"/>
  <c r="P856" i="10" s="1"/>
  <c r="O855" i="10"/>
  <c r="P855" i="10" s="1"/>
  <c r="O854" i="10"/>
  <c r="P854" i="10" s="1"/>
  <c r="O853" i="10"/>
  <c r="P853" i="10" s="1"/>
  <c r="O852" i="10"/>
  <c r="P852" i="10" s="1"/>
  <c r="O851" i="10"/>
  <c r="P851" i="10" s="1"/>
  <c r="O850" i="10"/>
  <c r="P850" i="10" s="1"/>
  <c r="O849" i="10"/>
  <c r="P849" i="10" s="1"/>
  <c r="O848" i="10"/>
  <c r="P848" i="10" s="1"/>
  <c r="O847" i="10"/>
  <c r="P847" i="10" s="1"/>
  <c r="O846" i="10"/>
  <c r="P846" i="10" s="1"/>
  <c r="O845" i="10"/>
  <c r="P845" i="10" s="1"/>
  <c r="O844" i="10"/>
  <c r="P844" i="10" s="1"/>
  <c r="O843" i="10"/>
  <c r="P843" i="10" s="1"/>
  <c r="O842" i="10"/>
  <c r="P842" i="10" s="1"/>
  <c r="O841" i="10"/>
  <c r="P841" i="10" s="1"/>
  <c r="O840" i="10"/>
  <c r="P840" i="10" s="1"/>
  <c r="O839" i="10"/>
  <c r="P839" i="10" s="1"/>
  <c r="O838" i="10"/>
  <c r="P838" i="10" s="1"/>
  <c r="O837" i="10"/>
  <c r="P837" i="10" s="1"/>
  <c r="O836" i="10"/>
  <c r="P836" i="10" s="1"/>
  <c r="O835" i="10"/>
  <c r="P835" i="10" s="1"/>
  <c r="O834" i="10"/>
  <c r="P834" i="10" s="1"/>
  <c r="O833" i="10"/>
  <c r="P833" i="10" s="1"/>
  <c r="O832" i="10"/>
  <c r="P832" i="10" s="1"/>
  <c r="O831" i="10"/>
  <c r="P831" i="10" s="1"/>
  <c r="O830" i="10"/>
  <c r="P830" i="10" s="1"/>
  <c r="O829" i="10"/>
  <c r="P829" i="10" s="1"/>
  <c r="O828" i="10"/>
  <c r="P828" i="10" s="1"/>
  <c r="O827" i="10"/>
  <c r="P827" i="10" s="1"/>
  <c r="O826" i="10"/>
  <c r="P826" i="10" s="1"/>
  <c r="O825" i="10"/>
  <c r="P825" i="10" s="1"/>
  <c r="O824" i="10"/>
  <c r="P824" i="10" s="1"/>
  <c r="O823" i="10"/>
  <c r="P823" i="10" s="1"/>
  <c r="O822" i="10"/>
  <c r="P822" i="10" s="1"/>
  <c r="O821" i="10"/>
  <c r="P821" i="10" s="1"/>
  <c r="O820" i="10"/>
  <c r="P820" i="10" s="1"/>
  <c r="O819" i="10"/>
  <c r="P819" i="10" s="1"/>
  <c r="O818" i="10"/>
  <c r="P818" i="10" s="1"/>
  <c r="O817" i="10"/>
  <c r="P817" i="10" s="1"/>
  <c r="O816" i="10"/>
  <c r="P816" i="10" s="1"/>
  <c r="O815" i="10"/>
  <c r="P815" i="10" s="1"/>
  <c r="O814" i="10"/>
  <c r="P814" i="10" s="1"/>
  <c r="O813" i="10"/>
  <c r="P813" i="10" s="1"/>
  <c r="O812" i="10"/>
  <c r="P812" i="10" s="1"/>
  <c r="O811" i="10"/>
  <c r="P811" i="10" s="1"/>
  <c r="O810" i="10"/>
  <c r="P810" i="10" s="1"/>
  <c r="O809" i="10"/>
  <c r="P809" i="10" s="1"/>
  <c r="O808" i="10"/>
  <c r="P808" i="10" s="1"/>
  <c r="O807" i="10"/>
  <c r="P807" i="10" s="1"/>
  <c r="O806" i="10"/>
  <c r="P806" i="10" s="1"/>
  <c r="O805" i="10"/>
  <c r="P805" i="10" s="1"/>
  <c r="O804" i="10"/>
  <c r="P804" i="10" s="1"/>
  <c r="O803" i="10"/>
  <c r="P803" i="10" s="1"/>
  <c r="O802" i="10"/>
  <c r="P802" i="10" s="1"/>
  <c r="O801" i="10"/>
  <c r="P801" i="10" s="1"/>
  <c r="O800" i="10"/>
  <c r="P800" i="10" s="1"/>
  <c r="O799" i="10"/>
  <c r="P799" i="10" s="1"/>
  <c r="O798" i="10"/>
  <c r="P798" i="10" s="1"/>
  <c r="O797" i="10"/>
  <c r="P797" i="10" s="1"/>
  <c r="O796" i="10"/>
  <c r="P796" i="10" s="1"/>
  <c r="O795" i="10"/>
  <c r="P795" i="10" s="1"/>
  <c r="O794" i="10"/>
  <c r="P794" i="10" s="1"/>
  <c r="O793" i="10"/>
  <c r="P793" i="10" s="1"/>
  <c r="O792" i="10"/>
  <c r="P792" i="10" s="1"/>
  <c r="O791" i="10"/>
  <c r="P791" i="10" s="1"/>
  <c r="O790" i="10"/>
  <c r="P790" i="10" s="1"/>
  <c r="O789" i="10"/>
  <c r="P789" i="10" s="1"/>
  <c r="O788" i="10"/>
  <c r="P788" i="10" s="1"/>
  <c r="O787" i="10"/>
  <c r="P787" i="10" s="1"/>
  <c r="O786" i="10"/>
  <c r="P786" i="10" s="1"/>
  <c r="O785" i="10"/>
  <c r="P785" i="10" s="1"/>
  <c r="O784" i="10"/>
  <c r="P784" i="10" s="1"/>
  <c r="O783" i="10"/>
  <c r="P783" i="10" s="1"/>
  <c r="O782" i="10"/>
  <c r="P782" i="10" s="1"/>
  <c r="O781" i="10"/>
  <c r="P781" i="10" s="1"/>
  <c r="O780" i="10"/>
  <c r="P780" i="10" s="1"/>
  <c r="O779" i="10"/>
  <c r="P779" i="10" s="1"/>
  <c r="O778" i="10"/>
  <c r="P778" i="10" s="1"/>
  <c r="O777" i="10"/>
  <c r="P777" i="10" s="1"/>
  <c r="O776" i="10"/>
  <c r="P776" i="10" s="1"/>
  <c r="O775" i="10"/>
  <c r="P775" i="10" s="1"/>
  <c r="O774" i="10"/>
  <c r="P774" i="10" s="1"/>
  <c r="O773" i="10"/>
  <c r="P773" i="10" s="1"/>
  <c r="O772" i="10"/>
  <c r="P772" i="10" s="1"/>
  <c r="O771" i="10"/>
  <c r="P771" i="10" s="1"/>
  <c r="O770" i="10"/>
  <c r="P770" i="10" s="1"/>
  <c r="O769" i="10"/>
  <c r="P769" i="10" s="1"/>
  <c r="O768" i="10"/>
  <c r="P768" i="10" s="1"/>
  <c r="O767" i="10"/>
  <c r="P767" i="10" s="1"/>
  <c r="O766" i="10"/>
  <c r="P766" i="10" s="1"/>
  <c r="O765" i="10"/>
  <c r="P765" i="10" s="1"/>
  <c r="O764" i="10"/>
  <c r="P764" i="10" s="1"/>
  <c r="O763" i="10"/>
  <c r="P763" i="10" s="1"/>
  <c r="O762" i="10"/>
  <c r="P762" i="10" s="1"/>
  <c r="O761" i="10"/>
  <c r="P761" i="10" s="1"/>
  <c r="O760" i="10"/>
  <c r="P760" i="10" s="1"/>
  <c r="O759" i="10"/>
  <c r="P759" i="10" s="1"/>
  <c r="O758" i="10"/>
  <c r="P758" i="10" s="1"/>
  <c r="O757" i="10"/>
  <c r="P757" i="10" s="1"/>
  <c r="O756" i="10"/>
  <c r="P756" i="10" s="1"/>
  <c r="O755" i="10"/>
  <c r="P755" i="10" s="1"/>
  <c r="O754" i="10"/>
  <c r="P754" i="10" s="1"/>
  <c r="O753" i="10"/>
  <c r="P753" i="10" s="1"/>
  <c r="O752" i="10"/>
  <c r="P752" i="10" s="1"/>
  <c r="O751" i="10"/>
  <c r="P751" i="10" s="1"/>
  <c r="O750" i="10"/>
  <c r="P750" i="10" s="1"/>
  <c r="P749" i="10"/>
  <c r="O749" i="10"/>
  <c r="O748" i="10"/>
  <c r="P748" i="10" s="1"/>
  <c r="O747" i="10"/>
  <c r="P747" i="10" s="1"/>
  <c r="O746" i="10"/>
  <c r="P746" i="10" s="1"/>
  <c r="P745" i="10"/>
  <c r="O745" i="10"/>
  <c r="O744" i="10"/>
  <c r="P744" i="10" s="1"/>
  <c r="O743" i="10"/>
  <c r="P743" i="10" s="1"/>
  <c r="O742" i="10"/>
  <c r="P742" i="10" s="1"/>
  <c r="O741" i="10"/>
  <c r="P741" i="10" s="1"/>
  <c r="O740" i="10"/>
  <c r="P740" i="10" s="1"/>
  <c r="O739" i="10"/>
  <c r="P739" i="10" s="1"/>
  <c r="O738" i="10"/>
  <c r="P738" i="10" s="1"/>
  <c r="O737" i="10"/>
  <c r="P737" i="10" s="1"/>
  <c r="O736" i="10"/>
  <c r="P736" i="10" s="1"/>
  <c r="O735" i="10"/>
  <c r="P735" i="10" s="1"/>
  <c r="O734" i="10"/>
  <c r="P734" i="10" s="1"/>
  <c r="O733" i="10"/>
  <c r="P733" i="10" s="1"/>
  <c r="O732" i="10"/>
  <c r="P732" i="10" s="1"/>
  <c r="O731" i="10"/>
  <c r="P731" i="10" s="1"/>
  <c r="O730" i="10"/>
  <c r="P730" i="10" s="1"/>
  <c r="O729" i="10"/>
  <c r="P729" i="10" s="1"/>
  <c r="O728" i="10"/>
  <c r="P728" i="10" s="1"/>
  <c r="O727" i="10"/>
  <c r="P727" i="10" s="1"/>
  <c r="O726" i="10"/>
  <c r="P726" i="10" s="1"/>
  <c r="O725" i="10"/>
  <c r="P725" i="10" s="1"/>
  <c r="O724" i="10"/>
  <c r="P724" i="10" s="1"/>
  <c r="O723" i="10"/>
  <c r="P723" i="10" s="1"/>
  <c r="O722" i="10"/>
  <c r="P722" i="10" s="1"/>
  <c r="O721" i="10"/>
  <c r="P721" i="10" s="1"/>
  <c r="O720" i="10"/>
  <c r="P720" i="10" s="1"/>
  <c r="O719" i="10"/>
  <c r="P719" i="10" s="1"/>
  <c r="O718" i="10"/>
  <c r="P718" i="10" s="1"/>
  <c r="O717" i="10"/>
  <c r="P717" i="10" s="1"/>
  <c r="O716" i="10"/>
  <c r="P716" i="10" s="1"/>
  <c r="O715" i="10"/>
  <c r="P715" i="10" s="1"/>
  <c r="O714" i="10"/>
  <c r="P714" i="10" s="1"/>
  <c r="O713" i="10"/>
  <c r="P713" i="10" s="1"/>
  <c r="O712" i="10"/>
  <c r="P712" i="10" s="1"/>
  <c r="O711" i="10"/>
  <c r="P711" i="10" s="1"/>
  <c r="O710" i="10"/>
  <c r="P710" i="10" s="1"/>
  <c r="P709" i="10"/>
  <c r="O709" i="10"/>
  <c r="O708" i="10"/>
  <c r="P708" i="10" s="1"/>
  <c r="O707" i="10"/>
  <c r="P707" i="10" s="1"/>
  <c r="O706" i="10"/>
  <c r="P706" i="10" s="1"/>
  <c r="O705" i="10"/>
  <c r="P705" i="10" s="1"/>
  <c r="O704" i="10"/>
  <c r="P704" i="10" s="1"/>
  <c r="O703" i="10"/>
  <c r="P703" i="10" s="1"/>
  <c r="O702" i="10"/>
  <c r="P702" i="10" s="1"/>
  <c r="O701" i="10"/>
  <c r="P701" i="10" s="1"/>
  <c r="O700" i="10"/>
  <c r="P700" i="10" s="1"/>
  <c r="O699" i="10"/>
  <c r="P699" i="10" s="1"/>
  <c r="O698" i="10"/>
  <c r="P698" i="10" s="1"/>
  <c r="O697" i="10"/>
  <c r="P697" i="10" s="1"/>
  <c r="O696" i="10"/>
  <c r="P696" i="10" s="1"/>
  <c r="O695" i="10"/>
  <c r="P695" i="10" s="1"/>
  <c r="O694" i="10"/>
  <c r="P694" i="10" s="1"/>
  <c r="O693" i="10"/>
  <c r="P693" i="10" s="1"/>
  <c r="O692" i="10"/>
  <c r="P692" i="10" s="1"/>
  <c r="O691" i="10"/>
  <c r="P691" i="10" s="1"/>
  <c r="O690" i="10"/>
  <c r="P690" i="10" s="1"/>
  <c r="O689" i="10"/>
  <c r="P689" i="10" s="1"/>
  <c r="O688" i="10"/>
  <c r="P688" i="10" s="1"/>
  <c r="O687" i="10"/>
  <c r="P687" i="10" s="1"/>
  <c r="O686" i="10"/>
  <c r="P686" i="10" s="1"/>
  <c r="O685" i="10"/>
  <c r="P685" i="10" s="1"/>
  <c r="O684" i="10"/>
  <c r="P684" i="10" s="1"/>
  <c r="O683" i="10"/>
  <c r="P683" i="10" s="1"/>
  <c r="O682" i="10"/>
  <c r="P682" i="10" s="1"/>
  <c r="P681" i="10"/>
  <c r="O681" i="10"/>
  <c r="O680" i="10"/>
  <c r="P680" i="10" s="1"/>
  <c r="O679" i="10"/>
  <c r="P679" i="10" s="1"/>
  <c r="O678" i="10"/>
  <c r="P678" i="10" s="1"/>
  <c r="O677" i="10"/>
  <c r="P677" i="10" s="1"/>
  <c r="O676" i="10"/>
  <c r="P676" i="10" s="1"/>
  <c r="O675" i="10"/>
  <c r="P675" i="10" s="1"/>
  <c r="O674" i="10"/>
  <c r="P674" i="10" s="1"/>
  <c r="O673" i="10"/>
  <c r="P673" i="10" s="1"/>
  <c r="O672" i="10"/>
  <c r="P672" i="10" s="1"/>
  <c r="O671" i="10"/>
  <c r="P671" i="10" s="1"/>
  <c r="O670" i="10"/>
  <c r="P670" i="10" s="1"/>
  <c r="O669" i="10"/>
  <c r="P669" i="10" s="1"/>
  <c r="O668" i="10"/>
  <c r="P668" i="10" s="1"/>
  <c r="O667" i="10"/>
  <c r="P667" i="10" s="1"/>
  <c r="O666" i="10"/>
  <c r="P666" i="10" s="1"/>
  <c r="O665" i="10"/>
  <c r="P665" i="10" s="1"/>
  <c r="O664" i="10"/>
  <c r="P664" i="10" s="1"/>
  <c r="O663" i="10"/>
  <c r="P663" i="10" s="1"/>
  <c r="O662" i="10"/>
  <c r="P662" i="10" s="1"/>
  <c r="O661" i="10"/>
  <c r="P661" i="10" s="1"/>
  <c r="O660" i="10"/>
  <c r="P660" i="10" s="1"/>
  <c r="O659" i="10"/>
  <c r="P659" i="10" s="1"/>
  <c r="O658" i="10"/>
  <c r="P658" i="10" s="1"/>
  <c r="O657" i="10"/>
  <c r="P657" i="10" s="1"/>
  <c r="O656" i="10"/>
  <c r="P656" i="10" s="1"/>
  <c r="O655" i="10"/>
  <c r="P655" i="10" s="1"/>
  <c r="O654" i="10"/>
  <c r="P654" i="10" s="1"/>
  <c r="O653" i="10"/>
  <c r="P653" i="10" s="1"/>
  <c r="O652" i="10"/>
  <c r="P652" i="10" s="1"/>
  <c r="O651" i="10"/>
  <c r="P651" i="10" s="1"/>
  <c r="O650" i="10"/>
  <c r="P650" i="10" s="1"/>
  <c r="O649" i="10"/>
  <c r="P649" i="10" s="1"/>
  <c r="O648" i="10"/>
  <c r="P648" i="10" s="1"/>
  <c r="O647" i="10"/>
  <c r="P647" i="10" s="1"/>
  <c r="O646" i="10"/>
  <c r="P646" i="10" s="1"/>
  <c r="P645" i="10"/>
  <c r="O645" i="10"/>
  <c r="O644" i="10"/>
  <c r="P644" i="10" s="1"/>
  <c r="O643" i="10"/>
  <c r="P643" i="10" s="1"/>
  <c r="O642" i="10"/>
  <c r="P642" i="10" s="1"/>
  <c r="O641" i="10"/>
  <c r="P641" i="10" s="1"/>
  <c r="O640" i="10"/>
  <c r="P640" i="10" s="1"/>
  <c r="O639" i="10"/>
  <c r="P639" i="10" s="1"/>
  <c r="O638" i="10"/>
  <c r="P638" i="10" s="1"/>
  <c r="O637" i="10"/>
  <c r="P637" i="10" s="1"/>
  <c r="O636" i="10"/>
  <c r="P636" i="10" s="1"/>
  <c r="O635" i="10"/>
  <c r="P635" i="10" s="1"/>
  <c r="O634" i="10"/>
  <c r="P634" i="10" s="1"/>
  <c r="O633" i="10"/>
  <c r="P633" i="10" s="1"/>
  <c r="O632" i="10"/>
  <c r="P632" i="10" s="1"/>
  <c r="O631" i="10"/>
  <c r="P631" i="10" s="1"/>
  <c r="O630" i="10"/>
  <c r="P630" i="10" s="1"/>
  <c r="O629" i="10"/>
  <c r="P629" i="10" s="1"/>
  <c r="O628" i="10"/>
  <c r="P628" i="10" s="1"/>
  <c r="O627" i="10"/>
  <c r="P627" i="10" s="1"/>
  <c r="O626" i="10"/>
  <c r="P626" i="10" s="1"/>
  <c r="O625" i="10"/>
  <c r="P625" i="10" s="1"/>
  <c r="O624" i="10"/>
  <c r="P624" i="10" s="1"/>
  <c r="O623" i="10"/>
  <c r="P623" i="10" s="1"/>
  <c r="P622" i="10"/>
  <c r="O622" i="10"/>
  <c r="O621" i="10"/>
  <c r="P621" i="10" s="1"/>
  <c r="O620" i="10"/>
  <c r="P620" i="10" s="1"/>
  <c r="O619" i="10"/>
  <c r="P619" i="10" s="1"/>
  <c r="O618" i="10"/>
  <c r="P618" i="10" s="1"/>
  <c r="O617" i="10"/>
  <c r="P617" i="10" s="1"/>
  <c r="O616" i="10"/>
  <c r="P616" i="10" s="1"/>
  <c r="O615" i="10"/>
  <c r="P615" i="10" s="1"/>
  <c r="P614" i="10"/>
  <c r="O614" i="10"/>
  <c r="O613" i="10"/>
  <c r="P613" i="10" s="1"/>
  <c r="O612" i="10"/>
  <c r="P612" i="10" s="1"/>
  <c r="O611" i="10"/>
  <c r="P611" i="10" s="1"/>
  <c r="O610" i="10"/>
  <c r="P610" i="10" s="1"/>
  <c r="O609" i="10"/>
  <c r="P609" i="10" s="1"/>
  <c r="O608" i="10"/>
  <c r="P608" i="10" s="1"/>
  <c r="O607" i="10"/>
  <c r="P607" i="10" s="1"/>
  <c r="O606" i="10"/>
  <c r="P606" i="10" s="1"/>
  <c r="O605" i="10"/>
  <c r="P605" i="10" s="1"/>
  <c r="O604" i="10"/>
  <c r="P604" i="10" s="1"/>
  <c r="O603" i="10"/>
  <c r="P603" i="10" s="1"/>
  <c r="O602" i="10"/>
  <c r="P602" i="10" s="1"/>
  <c r="O601" i="10"/>
  <c r="P601" i="10" s="1"/>
  <c r="O600" i="10"/>
  <c r="P600" i="10" s="1"/>
  <c r="O599" i="10"/>
  <c r="P599" i="10" s="1"/>
  <c r="O598" i="10"/>
  <c r="P598" i="10" s="1"/>
  <c r="P597" i="10"/>
  <c r="O597" i="10"/>
  <c r="O596" i="10"/>
  <c r="P596" i="10" s="1"/>
  <c r="O595" i="10"/>
  <c r="P595" i="10" s="1"/>
  <c r="O594" i="10"/>
  <c r="P594" i="10" s="1"/>
  <c r="O593" i="10"/>
  <c r="P593" i="10" s="1"/>
  <c r="O592" i="10"/>
  <c r="P592" i="10" s="1"/>
  <c r="O591" i="10"/>
  <c r="P591" i="10" s="1"/>
  <c r="O590" i="10"/>
  <c r="P590" i="10" s="1"/>
  <c r="P589" i="10"/>
  <c r="O589" i="10"/>
  <c r="O588" i="10"/>
  <c r="P588" i="10" s="1"/>
  <c r="O587" i="10"/>
  <c r="P587" i="10" s="1"/>
  <c r="O586" i="10"/>
  <c r="P586" i="10" s="1"/>
  <c r="O585" i="10"/>
  <c r="P585" i="10" s="1"/>
  <c r="O584" i="10"/>
  <c r="P584" i="10" s="1"/>
  <c r="O583" i="10"/>
  <c r="P583" i="10" s="1"/>
  <c r="O582" i="10"/>
  <c r="P582" i="10" s="1"/>
  <c r="O581" i="10"/>
  <c r="P581" i="10" s="1"/>
  <c r="O580" i="10"/>
  <c r="P580" i="10" s="1"/>
  <c r="O579" i="10"/>
  <c r="P579" i="10" s="1"/>
  <c r="O578" i="10"/>
  <c r="P578" i="10" s="1"/>
  <c r="P577" i="10"/>
  <c r="O577" i="10"/>
  <c r="O576" i="10"/>
  <c r="P576" i="10" s="1"/>
  <c r="O575" i="10"/>
  <c r="P575" i="10" s="1"/>
  <c r="O574" i="10"/>
  <c r="P574" i="10" s="1"/>
  <c r="O573" i="10"/>
  <c r="P573" i="10" s="1"/>
  <c r="O572" i="10"/>
  <c r="P572" i="10" s="1"/>
  <c r="O571" i="10"/>
  <c r="P571" i="10" s="1"/>
  <c r="O570" i="10"/>
  <c r="P570" i="10" s="1"/>
  <c r="O569" i="10"/>
  <c r="P569" i="10" s="1"/>
  <c r="O568" i="10"/>
  <c r="P568" i="10" s="1"/>
  <c r="O567" i="10"/>
  <c r="P567" i="10" s="1"/>
  <c r="O566" i="10"/>
  <c r="P566" i="10" s="1"/>
  <c r="O565" i="10"/>
  <c r="P565" i="10" s="1"/>
  <c r="O564" i="10"/>
  <c r="P564" i="10" s="1"/>
  <c r="O563" i="10"/>
  <c r="P563" i="10" s="1"/>
  <c r="O562" i="10"/>
  <c r="P562" i="10" s="1"/>
  <c r="P561" i="10"/>
  <c r="O561" i="10"/>
  <c r="O560" i="10"/>
  <c r="P560" i="10" s="1"/>
  <c r="O559" i="10"/>
  <c r="P559" i="10" s="1"/>
  <c r="O558" i="10"/>
  <c r="P558" i="10" s="1"/>
  <c r="O557" i="10"/>
  <c r="P557" i="10" s="1"/>
  <c r="O556" i="10"/>
  <c r="P556" i="10" s="1"/>
  <c r="O555" i="10"/>
  <c r="P555" i="10" s="1"/>
  <c r="O554" i="10"/>
  <c r="P554" i="10" s="1"/>
  <c r="O553" i="10"/>
  <c r="P553" i="10" s="1"/>
  <c r="O552" i="10"/>
  <c r="P552" i="10" s="1"/>
  <c r="O551" i="10"/>
  <c r="P551" i="10" s="1"/>
  <c r="P550" i="10"/>
  <c r="O550" i="10"/>
  <c r="O549" i="10"/>
  <c r="P549" i="10" s="1"/>
  <c r="O548" i="10"/>
  <c r="P548" i="10" s="1"/>
  <c r="O547" i="10"/>
  <c r="P547" i="10" s="1"/>
  <c r="O546" i="10"/>
  <c r="P546" i="10" s="1"/>
  <c r="O545" i="10"/>
  <c r="P545" i="10" s="1"/>
  <c r="O544" i="10"/>
  <c r="P544" i="10" s="1"/>
  <c r="O543" i="10"/>
  <c r="P543" i="10" s="1"/>
  <c r="O542" i="10"/>
  <c r="P542" i="10" s="1"/>
  <c r="O541" i="10"/>
  <c r="P541" i="10" s="1"/>
  <c r="O540" i="10"/>
  <c r="P540" i="10" s="1"/>
  <c r="O539" i="10"/>
  <c r="P539" i="10" s="1"/>
  <c r="O538" i="10"/>
  <c r="P538" i="10" s="1"/>
  <c r="O537" i="10"/>
  <c r="P537" i="10" s="1"/>
  <c r="O536" i="10"/>
  <c r="P536" i="10" s="1"/>
  <c r="O535" i="10"/>
  <c r="P535" i="10" s="1"/>
  <c r="O534" i="10"/>
  <c r="P534" i="10" s="1"/>
  <c r="O533" i="10"/>
  <c r="P533" i="10" s="1"/>
  <c r="O532" i="10"/>
  <c r="P532" i="10" s="1"/>
  <c r="O531" i="10"/>
  <c r="P531" i="10" s="1"/>
  <c r="O530" i="10"/>
  <c r="P530" i="10" s="1"/>
  <c r="O529" i="10"/>
  <c r="P529" i="10" s="1"/>
  <c r="O528" i="10"/>
  <c r="P528" i="10" s="1"/>
  <c r="O527" i="10"/>
  <c r="P527" i="10" s="1"/>
  <c r="O526" i="10"/>
  <c r="P526" i="10" s="1"/>
  <c r="O525" i="10"/>
  <c r="P525" i="10" s="1"/>
  <c r="O524" i="10"/>
  <c r="P524" i="10" s="1"/>
  <c r="O523" i="10"/>
  <c r="P523" i="10" s="1"/>
  <c r="O522" i="10"/>
  <c r="P522" i="10" s="1"/>
  <c r="O521" i="10"/>
  <c r="P521" i="10" s="1"/>
  <c r="O520" i="10"/>
  <c r="P520" i="10" s="1"/>
  <c r="O519" i="10"/>
  <c r="P519" i="10" s="1"/>
  <c r="O518" i="10"/>
  <c r="P518" i="10" s="1"/>
  <c r="O517" i="10"/>
  <c r="P517" i="10" s="1"/>
  <c r="O516" i="10"/>
  <c r="P516" i="10" s="1"/>
  <c r="O515" i="10"/>
  <c r="P515" i="10" s="1"/>
  <c r="O514" i="10"/>
  <c r="P514" i="10" s="1"/>
  <c r="O513" i="10"/>
  <c r="P513" i="10" s="1"/>
  <c r="O512" i="10"/>
  <c r="P512" i="10" s="1"/>
  <c r="O511" i="10"/>
  <c r="P511" i="10" s="1"/>
  <c r="O510" i="10"/>
  <c r="P510" i="10" s="1"/>
  <c r="O509" i="10"/>
  <c r="P509" i="10" s="1"/>
  <c r="O508" i="10"/>
  <c r="P508" i="10" s="1"/>
  <c r="O507" i="10"/>
  <c r="P507" i="10" s="1"/>
  <c r="O506" i="10"/>
  <c r="P506" i="10" s="1"/>
  <c r="O505" i="10"/>
  <c r="P505" i="10" s="1"/>
  <c r="O504" i="10"/>
  <c r="P504" i="10" s="1"/>
  <c r="O503" i="10"/>
  <c r="P503" i="10" s="1"/>
  <c r="O502" i="10"/>
  <c r="P502" i="10" s="1"/>
  <c r="O501" i="10"/>
  <c r="P501" i="10" s="1"/>
  <c r="O500" i="10"/>
  <c r="P500" i="10" s="1"/>
  <c r="O499" i="10"/>
  <c r="P499" i="10" s="1"/>
  <c r="O498" i="10"/>
  <c r="P498" i="10" s="1"/>
  <c r="O497" i="10"/>
  <c r="P497" i="10" s="1"/>
  <c r="O496" i="10"/>
  <c r="P496" i="10" s="1"/>
  <c r="O495" i="10"/>
  <c r="P495" i="10" s="1"/>
  <c r="O494" i="10"/>
  <c r="P494" i="10" s="1"/>
  <c r="O493" i="10"/>
  <c r="P493" i="10" s="1"/>
  <c r="O492" i="10"/>
  <c r="P492" i="10" s="1"/>
  <c r="O491" i="10"/>
  <c r="P491" i="10" s="1"/>
  <c r="O490" i="10"/>
  <c r="P490" i="10" s="1"/>
  <c r="O489" i="10"/>
  <c r="P489" i="10" s="1"/>
  <c r="O488" i="10"/>
  <c r="P488" i="10" s="1"/>
  <c r="O487" i="10"/>
  <c r="P487" i="10" s="1"/>
  <c r="O486" i="10"/>
  <c r="P486" i="10" s="1"/>
  <c r="O485" i="10"/>
  <c r="P485" i="10" s="1"/>
  <c r="O484" i="10"/>
  <c r="P484" i="10" s="1"/>
  <c r="O483" i="10"/>
  <c r="P483" i="10" s="1"/>
  <c r="O482" i="10"/>
  <c r="P482" i="10" s="1"/>
  <c r="O481" i="10"/>
  <c r="P481" i="10" s="1"/>
  <c r="O480" i="10"/>
  <c r="P480" i="10" s="1"/>
  <c r="O479" i="10"/>
  <c r="P479" i="10" s="1"/>
  <c r="O478" i="10"/>
  <c r="P478" i="10" s="1"/>
  <c r="O477" i="10"/>
  <c r="P477" i="10" s="1"/>
  <c r="O476" i="10"/>
  <c r="P476" i="10" s="1"/>
  <c r="O475" i="10"/>
  <c r="P475" i="10" s="1"/>
  <c r="O474" i="10"/>
  <c r="P474" i="10" s="1"/>
  <c r="O473" i="10"/>
  <c r="P473" i="10" s="1"/>
  <c r="O472" i="10"/>
  <c r="P472" i="10" s="1"/>
  <c r="O471" i="10"/>
  <c r="P471" i="10" s="1"/>
  <c r="O470" i="10"/>
  <c r="P470" i="10" s="1"/>
  <c r="O469" i="10"/>
  <c r="P469" i="10" s="1"/>
  <c r="O468" i="10"/>
  <c r="P468" i="10" s="1"/>
  <c r="O467" i="10"/>
  <c r="P467" i="10" s="1"/>
  <c r="O466" i="10"/>
  <c r="P466" i="10" s="1"/>
  <c r="O465" i="10"/>
  <c r="P465" i="10" s="1"/>
  <c r="O464" i="10"/>
  <c r="P464" i="10" s="1"/>
  <c r="O463" i="10"/>
  <c r="P463" i="10" s="1"/>
  <c r="O462" i="10"/>
  <c r="P462" i="10" s="1"/>
  <c r="O461" i="10"/>
  <c r="P461" i="10" s="1"/>
  <c r="O460" i="10"/>
  <c r="P460" i="10" s="1"/>
  <c r="O459" i="10"/>
  <c r="P459" i="10" s="1"/>
  <c r="O458" i="10"/>
  <c r="P458" i="10" s="1"/>
  <c r="O457" i="10"/>
  <c r="P457" i="10" s="1"/>
  <c r="O456" i="10"/>
  <c r="P456" i="10" s="1"/>
  <c r="O455" i="10"/>
  <c r="P455" i="10" s="1"/>
  <c r="O454" i="10"/>
  <c r="P454" i="10" s="1"/>
  <c r="O453" i="10"/>
  <c r="P453" i="10" s="1"/>
  <c r="O452" i="10"/>
  <c r="P452" i="10" s="1"/>
  <c r="O451" i="10"/>
  <c r="P451" i="10" s="1"/>
  <c r="O450" i="10"/>
  <c r="P450" i="10" s="1"/>
  <c r="O449" i="10"/>
  <c r="P449" i="10" s="1"/>
  <c r="O448" i="10"/>
  <c r="P448" i="10" s="1"/>
  <c r="O447" i="10"/>
  <c r="P447" i="10" s="1"/>
  <c r="O446" i="10"/>
  <c r="P446" i="10" s="1"/>
  <c r="O445" i="10"/>
  <c r="P445" i="10" s="1"/>
  <c r="O444" i="10"/>
  <c r="P444" i="10" s="1"/>
  <c r="O443" i="10"/>
  <c r="P443" i="10" s="1"/>
  <c r="O442" i="10"/>
  <c r="P442" i="10" s="1"/>
  <c r="O441" i="10"/>
  <c r="P441" i="10" s="1"/>
  <c r="O440" i="10"/>
  <c r="P440" i="10" s="1"/>
  <c r="O439" i="10"/>
  <c r="P439" i="10" s="1"/>
  <c r="O438" i="10"/>
  <c r="P438" i="10" s="1"/>
  <c r="O437" i="10"/>
  <c r="P437" i="10" s="1"/>
  <c r="O436" i="10"/>
  <c r="P436" i="10" s="1"/>
  <c r="O435" i="10"/>
  <c r="P435" i="10" s="1"/>
  <c r="O434" i="10"/>
  <c r="P434" i="10" s="1"/>
  <c r="O433" i="10"/>
  <c r="P433" i="10" s="1"/>
  <c r="O432" i="10"/>
  <c r="P432" i="10" s="1"/>
  <c r="O431" i="10"/>
  <c r="P431" i="10" s="1"/>
  <c r="O430" i="10"/>
  <c r="P430" i="10" s="1"/>
  <c r="O429" i="10"/>
  <c r="P429" i="10" s="1"/>
  <c r="O428" i="10"/>
  <c r="P428" i="10" s="1"/>
  <c r="O427" i="10"/>
  <c r="P427" i="10" s="1"/>
  <c r="O426" i="10"/>
  <c r="P426" i="10" s="1"/>
  <c r="O425" i="10"/>
  <c r="P425" i="10" s="1"/>
  <c r="O424" i="10"/>
  <c r="P424" i="10" s="1"/>
  <c r="O423" i="10"/>
  <c r="P423" i="10" s="1"/>
  <c r="O422" i="10"/>
  <c r="P422" i="10" s="1"/>
  <c r="O421" i="10"/>
  <c r="P421" i="10" s="1"/>
  <c r="O420" i="10"/>
  <c r="P420" i="10" s="1"/>
  <c r="O419" i="10"/>
  <c r="P419" i="10" s="1"/>
  <c r="O418" i="10"/>
  <c r="P418" i="10" s="1"/>
  <c r="O417" i="10"/>
  <c r="P417" i="10" s="1"/>
  <c r="O416" i="10"/>
  <c r="P416" i="10" s="1"/>
  <c r="O415" i="10"/>
  <c r="P415" i="10" s="1"/>
  <c r="O414" i="10"/>
  <c r="P414" i="10" s="1"/>
  <c r="O413" i="10"/>
  <c r="P413" i="10" s="1"/>
  <c r="O412" i="10"/>
  <c r="P412" i="10" s="1"/>
  <c r="O411" i="10"/>
  <c r="P411" i="10" s="1"/>
  <c r="O410" i="10"/>
  <c r="P410" i="10" s="1"/>
  <c r="O409" i="10"/>
  <c r="P409" i="10" s="1"/>
  <c r="O408" i="10"/>
  <c r="P408" i="10" s="1"/>
  <c r="O407" i="10"/>
  <c r="P407" i="10" s="1"/>
  <c r="O406" i="10"/>
  <c r="P406" i="10" s="1"/>
  <c r="O405" i="10"/>
  <c r="P405" i="10" s="1"/>
  <c r="O404" i="10"/>
  <c r="P404" i="10" s="1"/>
  <c r="O403" i="10"/>
  <c r="P403" i="10" s="1"/>
  <c r="O402" i="10"/>
  <c r="P402" i="10" s="1"/>
  <c r="O401" i="10"/>
  <c r="P401" i="10" s="1"/>
  <c r="O400" i="10"/>
  <c r="P400" i="10" s="1"/>
  <c r="O399" i="10"/>
  <c r="P399" i="10" s="1"/>
  <c r="O398" i="10"/>
  <c r="P398" i="10" s="1"/>
  <c r="O397" i="10"/>
  <c r="P397" i="10" s="1"/>
  <c r="O396" i="10"/>
  <c r="P396" i="10" s="1"/>
  <c r="O395" i="10"/>
  <c r="P395" i="10" s="1"/>
  <c r="O394" i="10"/>
  <c r="P394" i="10" s="1"/>
  <c r="O393" i="10"/>
  <c r="P393" i="10" s="1"/>
  <c r="O392" i="10"/>
  <c r="P392" i="10" s="1"/>
  <c r="O391" i="10"/>
  <c r="P391" i="10" s="1"/>
  <c r="O390" i="10"/>
  <c r="P390" i="10" s="1"/>
  <c r="O389" i="10"/>
  <c r="P389" i="10" s="1"/>
  <c r="O388" i="10"/>
  <c r="P388" i="10" s="1"/>
  <c r="O387" i="10"/>
  <c r="P387" i="10" s="1"/>
  <c r="O386" i="10"/>
  <c r="P386" i="10" s="1"/>
  <c r="O385" i="10"/>
  <c r="P385" i="10" s="1"/>
  <c r="O384" i="10"/>
  <c r="P384" i="10" s="1"/>
  <c r="O383" i="10"/>
  <c r="P383" i="10" s="1"/>
  <c r="O382" i="10"/>
  <c r="P382" i="10" s="1"/>
  <c r="O381" i="10"/>
  <c r="P381" i="10" s="1"/>
  <c r="O380" i="10"/>
  <c r="P380" i="10" s="1"/>
  <c r="O379" i="10"/>
  <c r="P379" i="10" s="1"/>
  <c r="O378" i="10"/>
  <c r="P378" i="10" s="1"/>
  <c r="O377" i="10"/>
  <c r="P377" i="10" s="1"/>
  <c r="O376" i="10"/>
  <c r="P376" i="10" s="1"/>
  <c r="O375" i="10"/>
  <c r="P375" i="10" s="1"/>
  <c r="O374" i="10"/>
  <c r="P374" i="10" s="1"/>
  <c r="O373" i="10"/>
  <c r="P373" i="10" s="1"/>
  <c r="O372" i="10"/>
  <c r="P372" i="10" s="1"/>
  <c r="O371" i="10"/>
  <c r="P371" i="10" s="1"/>
  <c r="O370" i="10"/>
  <c r="P370" i="10" s="1"/>
  <c r="O369" i="10"/>
  <c r="P369" i="10" s="1"/>
  <c r="O368" i="10"/>
  <c r="P368" i="10" s="1"/>
  <c r="O367" i="10"/>
  <c r="P367" i="10" s="1"/>
  <c r="O366" i="10"/>
  <c r="P366" i="10" s="1"/>
  <c r="O365" i="10"/>
  <c r="P365" i="10" s="1"/>
  <c r="O364" i="10"/>
  <c r="P364" i="10" s="1"/>
  <c r="O363" i="10"/>
  <c r="P363" i="10" s="1"/>
  <c r="O362" i="10"/>
  <c r="P362" i="10" s="1"/>
  <c r="O361" i="10"/>
  <c r="P361" i="10" s="1"/>
  <c r="O360" i="10"/>
  <c r="P360" i="10" s="1"/>
  <c r="O359" i="10"/>
  <c r="P359" i="10" s="1"/>
  <c r="O358" i="10"/>
  <c r="P358" i="10" s="1"/>
  <c r="O357" i="10"/>
  <c r="P357" i="10" s="1"/>
  <c r="O356" i="10"/>
  <c r="P356" i="10" s="1"/>
  <c r="O355" i="10"/>
  <c r="P355" i="10" s="1"/>
  <c r="O354" i="10"/>
  <c r="P354" i="10" s="1"/>
  <c r="O353" i="10"/>
  <c r="P353" i="10" s="1"/>
  <c r="O352" i="10"/>
  <c r="P352" i="10" s="1"/>
  <c r="O351" i="10"/>
  <c r="P351" i="10" s="1"/>
  <c r="O350" i="10"/>
  <c r="P350" i="10" s="1"/>
  <c r="O349" i="10"/>
  <c r="P349" i="10" s="1"/>
  <c r="O348" i="10"/>
  <c r="P348" i="10" s="1"/>
  <c r="O347" i="10"/>
  <c r="P347" i="10" s="1"/>
  <c r="O346" i="10"/>
  <c r="P346" i="10" s="1"/>
  <c r="O345" i="10"/>
  <c r="P345" i="10" s="1"/>
  <c r="O344" i="10"/>
  <c r="P344" i="10" s="1"/>
  <c r="O343" i="10"/>
  <c r="P343" i="10" s="1"/>
  <c r="O342" i="10"/>
  <c r="P342" i="10" s="1"/>
  <c r="O341" i="10"/>
  <c r="P341" i="10" s="1"/>
  <c r="O340" i="10"/>
  <c r="P340" i="10" s="1"/>
  <c r="O339" i="10"/>
  <c r="P339" i="10" s="1"/>
  <c r="O338" i="10"/>
  <c r="P338" i="10" s="1"/>
  <c r="O337" i="10"/>
  <c r="P337" i="10" s="1"/>
  <c r="O336" i="10"/>
  <c r="P336" i="10" s="1"/>
  <c r="O335" i="10"/>
  <c r="P335" i="10" s="1"/>
  <c r="O334" i="10"/>
  <c r="P334" i="10" s="1"/>
  <c r="O333" i="10"/>
  <c r="P333" i="10" s="1"/>
  <c r="O332" i="10"/>
  <c r="P332" i="10" s="1"/>
  <c r="O331" i="10"/>
  <c r="P331" i="10" s="1"/>
  <c r="O330" i="10"/>
  <c r="P330" i="10" s="1"/>
  <c r="O329" i="10"/>
  <c r="P329" i="10" s="1"/>
  <c r="O328" i="10"/>
  <c r="P328" i="10" s="1"/>
  <c r="O327" i="10"/>
  <c r="P327" i="10" s="1"/>
  <c r="O326" i="10"/>
  <c r="P326" i="10" s="1"/>
  <c r="O325" i="10"/>
  <c r="P325" i="10" s="1"/>
  <c r="O324" i="10"/>
  <c r="P324" i="10" s="1"/>
  <c r="O323" i="10"/>
  <c r="P323" i="10" s="1"/>
  <c r="O322" i="10"/>
  <c r="P322" i="10" s="1"/>
  <c r="O321" i="10"/>
  <c r="P321" i="10" s="1"/>
  <c r="O320" i="10"/>
  <c r="P320" i="10" s="1"/>
  <c r="O319" i="10"/>
  <c r="P319" i="10" s="1"/>
  <c r="O318" i="10"/>
  <c r="P318" i="10" s="1"/>
  <c r="O317" i="10"/>
  <c r="P317" i="10" s="1"/>
  <c r="O316" i="10"/>
  <c r="P316" i="10" s="1"/>
  <c r="O315" i="10"/>
  <c r="P315" i="10" s="1"/>
  <c r="O314" i="10"/>
  <c r="P314" i="10" s="1"/>
  <c r="O313" i="10"/>
  <c r="P313" i="10" s="1"/>
  <c r="O312" i="10"/>
  <c r="P312" i="10" s="1"/>
  <c r="O311" i="10"/>
  <c r="P311" i="10" s="1"/>
  <c r="O310" i="10"/>
  <c r="P310" i="10" s="1"/>
  <c r="O309" i="10"/>
  <c r="P309" i="10" s="1"/>
  <c r="O308" i="10"/>
  <c r="P308" i="10" s="1"/>
  <c r="O307" i="10"/>
  <c r="P307" i="10" s="1"/>
  <c r="O306" i="10"/>
  <c r="P306" i="10" s="1"/>
  <c r="O305" i="10"/>
  <c r="P305" i="10" s="1"/>
  <c r="O304" i="10"/>
  <c r="P304" i="10" s="1"/>
  <c r="O303" i="10"/>
  <c r="P303" i="10" s="1"/>
  <c r="O302" i="10"/>
  <c r="P302" i="10" s="1"/>
  <c r="O301" i="10"/>
  <c r="P301" i="10" s="1"/>
  <c r="O300" i="10"/>
  <c r="P300" i="10" s="1"/>
  <c r="O299" i="10"/>
  <c r="P299" i="10" s="1"/>
  <c r="O298" i="10"/>
  <c r="P298" i="10" s="1"/>
  <c r="O297" i="10"/>
  <c r="P297" i="10" s="1"/>
  <c r="O296" i="10"/>
  <c r="P296" i="10" s="1"/>
  <c r="O295" i="10"/>
  <c r="P295" i="10" s="1"/>
  <c r="O294" i="10"/>
  <c r="P294" i="10" s="1"/>
  <c r="O293" i="10"/>
  <c r="P293" i="10" s="1"/>
  <c r="O292" i="10"/>
  <c r="P292" i="10" s="1"/>
  <c r="O291" i="10"/>
  <c r="P291" i="10" s="1"/>
  <c r="O290" i="10"/>
  <c r="P290" i="10" s="1"/>
  <c r="O289" i="10"/>
  <c r="P289" i="10" s="1"/>
  <c r="O288" i="10"/>
  <c r="P288" i="10" s="1"/>
  <c r="O287" i="10"/>
  <c r="P287" i="10" s="1"/>
  <c r="O286" i="10"/>
  <c r="P286" i="10" s="1"/>
  <c r="O285" i="10"/>
  <c r="P285" i="10" s="1"/>
  <c r="O284" i="10"/>
  <c r="P284" i="10" s="1"/>
  <c r="O283" i="10"/>
  <c r="P283" i="10" s="1"/>
  <c r="O282" i="10"/>
  <c r="P282" i="10" s="1"/>
  <c r="O281" i="10"/>
  <c r="P281" i="10" s="1"/>
  <c r="O280" i="10"/>
  <c r="P280" i="10" s="1"/>
  <c r="O279" i="10"/>
  <c r="P279" i="10" s="1"/>
  <c r="O278" i="10"/>
  <c r="P278" i="10" s="1"/>
  <c r="O277" i="10"/>
  <c r="P277" i="10" s="1"/>
  <c r="O276" i="10"/>
  <c r="P276" i="10" s="1"/>
  <c r="O275" i="10"/>
  <c r="P275" i="10" s="1"/>
  <c r="O274" i="10"/>
  <c r="P274" i="10" s="1"/>
  <c r="O273" i="10"/>
  <c r="P273" i="10" s="1"/>
  <c r="O272" i="10"/>
  <c r="P272" i="10" s="1"/>
  <c r="O271" i="10"/>
  <c r="P271" i="10" s="1"/>
  <c r="O270" i="10"/>
  <c r="P270" i="10" s="1"/>
  <c r="O269" i="10"/>
  <c r="P269" i="10" s="1"/>
  <c r="O268" i="10"/>
  <c r="P268" i="10" s="1"/>
  <c r="O267" i="10"/>
  <c r="P267" i="10" s="1"/>
  <c r="O266" i="10"/>
  <c r="P266" i="10" s="1"/>
  <c r="O265" i="10"/>
  <c r="P265" i="10" s="1"/>
  <c r="O264" i="10"/>
  <c r="P264" i="10" s="1"/>
  <c r="O263" i="10"/>
  <c r="P263" i="10" s="1"/>
  <c r="O262" i="10"/>
  <c r="P262" i="10" s="1"/>
  <c r="O261" i="10"/>
  <c r="P261" i="10" s="1"/>
  <c r="O260" i="10"/>
  <c r="P260" i="10" s="1"/>
  <c r="O259" i="10"/>
  <c r="P259" i="10" s="1"/>
  <c r="O258" i="10"/>
  <c r="P258" i="10" s="1"/>
  <c r="O257" i="10"/>
  <c r="P257" i="10" s="1"/>
  <c r="O256" i="10"/>
  <c r="P256" i="10" s="1"/>
  <c r="O255" i="10"/>
  <c r="P255" i="10" s="1"/>
  <c r="O254" i="10"/>
  <c r="P254" i="10" s="1"/>
  <c r="O253" i="10"/>
  <c r="P253" i="10" s="1"/>
  <c r="O252" i="10"/>
  <c r="P252" i="10" s="1"/>
  <c r="O251" i="10"/>
  <c r="P251" i="10" s="1"/>
  <c r="O250" i="10"/>
  <c r="P250" i="10" s="1"/>
  <c r="O249" i="10"/>
  <c r="P249" i="10" s="1"/>
  <c r="O248" i="10"/>
  <c r="P248" i="10" s="1"/>
  <c r="O247" i="10"/>
  <c r="P247" i="10" s="1"/>
  <c r="O246" i="10"/>
  <c r="P246" i="10" s="1"/>
  <c r="O245" i="10"/>
  <c r="P245" i="10" s="1"/>
  <c r="O244" i="10"/>
  <c r="P244" i="10" s="1"/>
  <c r="O243" i="10"/>
  <c r="P243" i="10" s="1"/>
  <c r="O242" i="10"/>
  <c r="P242" i="10" s="1"/>
  <c r="O241" i="10"/>
  <c r="P241" i="10" s="1"/>
  <c r="O240" i="10"/>
  <c r="P240" i="10" s="1"/>
  <c r="O239" i="10"/>
  <c r="P239" i="10" s="1"/>
  <c r="O238" i="10"/>
  <c r="P238" i="10" s="1"/>
  <c r="O237" i="10"/>
  <c r="P237" i="10" s="1"/>
  <c r="O236" i="10"/>
  <c r="P236" i="10" s="1"/>
  <c r="O235" i="10"/>
  <c r="P235" i="10" s="1"/>
  <c r="O234" i="10"/>
  <c r="P234" i="10" s="1"/>
  <c r="O233" i="10"/>
  <c r="P233" i="10" s="1"/>
  <c r="O232" i="10"/>
  <c r="P232" i="10" s="1"/>
  <c r="O231" i="10"/>
  <c r="P231" i="10" s="1"/>
  <c r="O230" i="10"/>
  <c r="P230" i="10" s="1"/>
  <c r="O229" i="10"/>
  <c r="P229" i="10" s="1"/>
  <c r="O228" i="10"/>
  <c r="P228" i="10" s="1"/>
  <c r="O227" i="10"/>
  <c r="P227" i="10" s="1"/>
  <c r="O226" i="10"/>
  <c r="P226" i="10" s="1"/>
  <c r="O225" i="10"/>
  <c r="P225" i="10" s="1"/>
  <c r="O224" i="10"/>
  <c r="P224" i="10" s="1"/>
  <c r="O223" i="10"/>
  <c r="P223" i="10" s="1"/>
  <c r="O222" i="10"/>
  <c r="P222" i="10" s="1"/>
  <c r="O221" i="10"/>
  <c r="P221" i="10" s="1"/>
  <c r="O220" i="10"/>
  <c r="P220" i="10" s="1"/>
  <c r="O219" i="10"/>
  <c r="P219" i="10" s="1"/>
  <c r="O218" i="10"/>
  <c r="P218" i="10" s="1"/>
  <c r="O217" i="10"/>
  <c r="P217" i="10" s="1"/>
  <c r="O216" i="10"/>
  <c r="P216" i="10" s="1"/>
  <c r="O215" i="10"/>
  <c r="P215" i="10" s="1"/>
  <c r="O214" i="10"/>
  <c r="P214" i="10" s="1"/>
  <c r="O213" i="10"/>
  <c r="P213" i="10" s="1"/>
  <c r="O212" i="10"/>
  <c r="P212" i="10" s="1"/>
  <c r="O211" i="10"/>
  <c r="P211" i="10" s="1"/>
  <c r="O210" i="10"/>
  <c r="P210" i="10" s="1"/>
  <c r="O209" i="10"/>
  <c r="P209" i="10" s="1"/>
  <c r="O208" i="10"/>
  <c r="P208" i="10" s="1"/>
  <c r="O207" i="10"/>
  <c r="P207" i="10" s="1"/>
  <c r="O206" i="10"/>
  <c r="P206" i="10" s="1"/>
  <c r="O205" i="10"/>
  <c r="P205" i="10" s="1"/>
  <c r="O204" i="10"/>
  <c r="P204" i="10" s="1"/>
  <c r="O203" i="10"/>
  <c r="P203" i="10" s="1"/>
  <c r="O202" i="10"/>
  <c r="P202" i="10" s="1"/>
  <c r="O201" i="10"/>
  <c r="P201" i="10" s="1"/>
  <c r="O200" i="10"/>
  <c r="P200" i="10" s="1"/>
  <c r="O199" i="10"/>
  <c r="P199" i="10" s="1"/>
  <c r="O198" i="10"/>
  <c r="P198" i="10" s="1"/>
  <c r="O197" i="10"/>
  <c r="P197" i="10" s="1"/>
  <c r="O196" i="10"/>
  <c r="P196" i="10" s="1"/>
  <c r="O195" i="10"/>
  <c r="P195" i="10" s="1"/>
  <c r="O194" i="10"/>
  <c r="P194" i="10" s="1"/>
  <c r="O193" i="10"/>
  <c r="P193" i="10" s="1"/>
  <c r="O192" i="10"/>
  <c r="P192" i="10" s="1"/>
  <c r="O191" i="10"/>
  <c r="P191" i="10" s="1"/>
  <c r="O190" i="10"/>
  <c r="P190" i="10" s="1"/>
  <c r="O189" i="10"/>
  <c r="P189" i="10" s="1"/>
  <c r="P188" i="10"/>
  <c r="O188" i="10"/>
  <c r="O187" i="10"/>
  <c r="P187" i="10" s="1"/>
  <c r="O186" i="10"/>
  <c r="P186" i="10" s="1"/>
  <c r="O185" i="10"/>
  <c r="P185" i="10" s="1"/>
  <c r="O184" i="10"/>
  <c r="P184" i="10" s="1"/>
  <c r="O183" i="10"/>
  <c r="P183" i="10" s="1"/>
  <c r="O182" i="10"/>
  <c r="P182" i="10" s="1"/>
  <c r="O181" i="10"/>
  <c r="P181" i="10" s="1"/>
  <c r="O180" i="10"/>
  <c r="P180" i="10" s="1"/>
  <c r="O179" i="10"/>
  <c r="P179" i="10" s="1"/>
  <c r="O178" i="10"/>
  <c r="P178" i="10" s="1"/>
  <c r="O177" i="10"/>
  <c r="P177" i="10" s="1"/>
  <c r="O176" i="10"/>
  <c r="P176" i="10" s="1"/>
  <c r="O175" i="10"/>
  <c r="P175" i="10" s="1"/>
  <c r="O174" i="10"/>
  <c r="P174" i="10" s="1"/>
  <c r="O173" i="10"/>
  <c r="P173" i="10" s="1"/>
  <c r="O172" i="10"/>
  <c r="P172" i="10" s="1"/>
  <c r="O171" i="10"/>
  <c r="P171" i="10" s="1"/>
  <c r="O170" i="10"/>
  <c r="P170" i="10" s="1"/>
  <c r="P169" i="10"/>
  <c r="O169" i="10"/>
  <c r="O168" i="10"/>
  <c r="P168" i="10" s="1"/>
  <c r="O167" i="10"/>
  <c r="P167" i="10" s="1"/>
  <c r="O166" i="10"/>
  <c r="P166" i="10" s="1"/>
  <c r="O165" i="10"/>
  <c r="P165" i="10" s="1"/>
  <c r="O164" i="10"/>
  <c r="P164" i="10" s="1"/>
  <c r="O163" i="10"/>
  <c r="P163" i="10" s="1"/>
  <c r="O162" i="10"/>
  <c r="P162" i="10" s="1"/>
  <c r="O161" i="10"/>
  <c r="P161" i="10" s="1"/>
  <c r="O160" i="10"/>
  <c r="P160" i="10" s="1"/>
  <c r="O159" i="10"/>
  <c r="P159" i="10" s="1"/>
  <c r="O158" i="10"/>
  <c r="P158" i="10" s="1"/>
  <c r="O157" i="10"/>
  <c r="P157" i="10" s="1"/>
  <c r="P156" i="10"/>
  <c r="O156" i="10"/>
  <c r="P155" i="10"/>
  <c r="O155" i="10"/>
  <c r="O154" i="10"/>
  <c r="P154" i="10" s="1"/>
  <c r="O153" i="10"/>
  <c r="P153" i="10" s="1"/>
  <c r="O152" i="10"/>
  <c r="P152" i="10" s="1"/>
  <c r="O151" i="10"/>
  <c r="P151" i="10" s="1"/>
  <c r="O150" i="10"/>
  <c r="P150" i="10" s="1"/>
  <c r="O149" i="10"/>
  <c r="P149" i="10" s="1"/>
  <c r="O148" i="10"/>
  <c r="P148" i="10" s="1"/>
  <c r="O147" i="10"/>
  <c r="P147" i="10" s="1"/>
  <c r="O146" i="10"/>
  <c r="P146" i="10" s="1"/>
  <c r="O145" i="10"/>
  <c r="P145" i="10" s="1"/>
  <c r="P144" i="10"/>
  <c r="O144" i="10"/>
  <c r="O143" i="10"/>
  <c r="P143" i="10" s="1"/>
  <c r="O142" i="10"/>
  <c r="P142" i="10" s="1"/>
  <c r="O141" i="10"/>
  <c r="P141" i="10" s="1"/>
  <c r="O140" i="10"/>
  <c r="P140" i="10" s="1"/>
  <c r="O139" i="10"/>
  <c r="P139" i="10" s="1"/>
  <c r="O138" i="10"/>
  <c r="P138" i="10" s="1"/>
  <c r="O137" i="10"/>
  <c r="P137" i="10" s="1"/>
  <c r="O136" i="10"/>
  <c r="P136" i="10" s="1"/>
  <c r="O135" i="10"/>
  <c r="P135" i="10" s="1"/>
  <c r="O134" i="10"/>
  <c r="P134" i="10" s="1"/>
  <c r="P133" i="10"/>
  <c r="O133" i="10"/>
  <c r="P132" i="10"/>
  <c r="O132" i="10"/>
  <c r="O131" i="10"/>
  <c r="P131" i="10" s="1"/>
  <c r="O130" i="10"/>
  <c r="P130" i="10" s="1"/>
  <c r="O129" i="10"/>
  <c r="P129" i="10" s="1"/>
  <c r="P128" i="10"/>
  <c r="O128" i="10"/>
  <c r="O127" i="10"/>
  <c r="P127" i="10" s="1"/>
  <c r="O126" i="10"/>
  <c r="P126" i="10" s="1"/>
  <c r="O125" i="10"/>
  <c r="P125" i="10" s="1"/>
  <c r="O124" i="10"/>
  <c r="P124" i="10" s="1"/>
  <c r="O123" i="10"/>
  <c r="P123" i="10" s="1"/>
  <c r="O122" i="10"/>
  <c r="P122" i="10" s="1"/>
  <c r="P121" i="10"/>
  <c r="O121" i="10"/>
  <c r="O120" i="10"/>
  <c r="P120" i="10" s="1"/>
  <c r="O119" i="10"/>
  <c r="P119" i="10" s="1"/>
  <c r="O118" i="10"/>
  <c r="P118" i="10" s="1"/>
  <c r="O117" i="10"/>
  <c r="P117" i="10" s="1"/>
  <c r="O116" i="10"/>
  <c r="P116" i="10" s="1"/>
  <c r="O115" i="10"/>
  <c r="P115" i="10" s="1"/>
  <c r="O114" i="10"/>
  <c r="P114" i="10" s="1"/>
  <c r="O113" i="10"/>
  <c r="P113" i="10" s="1"/>
  <c r="O112" i="10"/>
  <c r="P112" i="10" s="1"/>
  <c r="O111" i="10"/>
  <c r="P111" i="10" s="1"/>
  <c r="O110" i="10"/>
  <c r="P110" i="10" s="1"/>
  <c r="O109" i="10"/>
  <c r="P109" i="10" s="1"/>
  <c r="O108" i="10"/>
  <c r="P108" i="10" s="1"/>
  <c r="O107" i="10"/>
  <c r="P107" i="10" s="1"/>
  <c r="O106" i="10"/>
  <c r="P106" i="10" s="1"/>
  <c r="O105" i="10"/>
  <c r="P105" i="10" s="1"/>
  <c r="O104" i="10"/>
  <c r="P104" i="10" s="1"/>
  <c r="O103" i="10"/>
  <c r="P103" i="10" s="1"/>
  <c r="O102" i="10"/>
  <c r="P102" i="10" s="1"/>
  <c r="P101" i="10"/>
  <c r="O101" i="10"/>
  <c r="O100" i="10"/>
  <c r="P100" i="10" s="1"/>
  <c r="O99" i="10"/>
  <c r="P99" i="10" s="1"/>
  <c r="O98" i="10"/>
  <c r="P98" i="10" s="1"/>
  <c r="P97" i="10"/>
  <c r="O97" i="10"/>
  <c r="P96" i="10"/>
  <c r="O96" i="10"/>
  <c r="O95" i="10"/>
  <c r="P95" i="10" s="1"/>
  <c r="O94" i="10"/>
  <c r="P94" i="10" s="1"/>
  <c r="O93" i="10"/>
  <c r="P93" i="10" s="1"/>
  <c r="O92" i="10"/>
  <c r="P92" i="10" s="1"/>
  <c r="O91" i="10"/>
  <c r="P91" i="10" s="1"/>
  <c r="O90" i="10"/>
  <c r="P90" i="10" s="1"/>
  <c r="O89" i="10"/>
  <c r="P89" i="10" s="1"/>
  <c r="O88" i="10"/>
  <c r="P88" i="10" s="1"/>
  <c r="O87" i="10"/>
  <c r="P87" i="10" s="1"/>
  <c r="O86" i="10"/>
  <c r="P86" i="10" s="1"/>
  <c r="O85" i="10"/>
  <c r="P85" i="10" s="1"/>
  <c r="O84" i="10"/>
  <c r="P84" i="10" s="1"/>
  <c r="O83" i="10"/>
  <c r="P83" i="10" s="1"/>
  <c r="O82" i="10"/>
  <c r="P82" i="10" s="1"/>
  <c r="O81" i="10"/>
  <c r="P81" i="10" s="1"/>
  <c r="O80" i="10"/>
  <c r="P80" i="10" s="1"/>
  <c r="O79" i="10"/>
  <c r="P79" i="10" s="1"/>
  <c r="O78" i="10"/>
  <c r="P78" i="10" s="1"/>
  <c r="O77" i="10"/>
  <c r="P77" i="10" s="1"/>
  <c r="O76" i="10"/>
  <c r="P76" i="10" s="1"/>
  <c r="O75" i="10"/>
  <c r="P75" i="10" s="1"/>
  <c r="O74" i="10"/>
  <c r="P74" i="10" s="1"/>
  <c r="O73" i="10"/>
  <c r="P73" i="10" s="1"/>
  <c r="O72" i="10"/>
  <c r="P72" i="10" s="1"/>
  <c r="P71" i="10"/>
  <c r="O71" i="10"/>
  <c r="O70" i="10"/>
  <c r="P70" i="10" s="1"/>
  <c r="O69" i="10"/>
  <c r="P69" i="10" s="1"/>
  <c r="O68" i="10"/>
  <c r="P68" i="10" s="1"/>
  <c r="O67" i="10"/>
  <c r="P67" i="10" s="1"/>
  <c r="O66" i="10"/>
  <c r="P66" i="10" s="1"/>
  <c r="O65" i="10"/>
  <c r="P65" i="10" s="1"/>
  <c r="O64" i="10"/>
  <c r="P64" i="10" s="1"/>
  <c r="O63" i="10"/>
  <c r="P63" i="10" s="1"/>
  <c r="O62" i="10"/>
  <c r="P62" i="10" s="1"/>
  <c r="O61" i="10"/>
  <c r="P61" i="10" s="1"/>
  <c r="P60" i="10"/>
  <c r="O60" i="10"/>
  <c r="O59" i="10"/>
  <c r="P59" i="10" s="1"/>
  <c r="O58" i="10"/>
  <c r="P58" i="10" s="1"/>
  <c r="O57" i="10"/>
  <c r="P57" i="10" s="1"/>
  <c r="O56" i="10"/>
  <c r="P56" i="10" s="1"/>
  <c r="O55" i="10"/>
  <c r="P55" i="10" s="1"/>
  <c r="O54" i="10"/>
  <c r="P54" i="10" s="1"/>
  <c r="O53" i="10"/>
  <c r="P53" i="10" s="1"/>
  <c r="O52" i="10"/>
  <c r="P52" i="10" s="1"/>
  <c r="O51" i="10"/>
  <c r="P51" i="10" s="1"/>
  <c r="O50" i="10"/>
  <c r="P50" i="10" s="1"/>
  <c r="O49" i="10"/>
  <c r="P49" i="10" s="1"/>
  <c r="O48" i="10"/>
  <c r="P48" i="10" s="1"/>
  <c r="O47" i="10"/>
  <c r="P47" i="10" s="1"/>
  <c r="O46" i="10"/>
  <c r="P46" i="10" s="1"/>
  <c r="O45" i="10"/>
  <c r="P45" i="10" s="1"/>
  <c r="O44" i="10"/>
  <c r="P44" i="10" s="1"/>
  <c r="O43" i="10"/>
  <c r="P43" i="10" s="1"/>
  <c r="O42" i="10"/>
  <c r="P42" i="10" s="1"/>
  <c r="P41" i="10"/>
  <c r="O41" i="10"/>
  <c r="O40" i="10"/>
  <c r="P40" i="10" s="1"/>
  <c r="O39" i="10"/>
  <c r="P39" i="10" s="1"/>
  <c r="O38" i="10"/>
  <c r="P38" i="10" s="1"/>
  <c r="P37" i="10"/>
  <c r="O37" i="10"/>
  <c r="O36" i="10"/>
  <c r="P36" i="10" s="1"/>
  <c r="O35" i="10"/>
  <c r="P35" i="10" s="1"/>
  <c r="O34" i="10"/>
  <c r="P34" i="10" s="1"/>
  <c r="O33" i="10"/>
  <c r="P33" i="10" s="1"/>
  <c r="O32" i="10"/>
  <c r="P32" i="10" s="1"/>
  <c r="P31" i="10"/>
  <c r="O31" i="10"/>
  <c r="O30" i="10"/>
  <c r="P30" i="10" s="1"/>
  <c r="O29" i="10"/>
  <c r="P29" i="10" s="1"/>
  <c r="O28" i="10"/>
  <c r="P28" i="10" s="1"/>
  <c r="O27" i="10"/>
  <c r="P27" i="10" s="1"/>
  <c r="O26" i="10"/>
  <c r="P26" i="10" s="1"/>
  <c r="P25" i="10"/>
  <c r="O25" i="10"/>
  <c r="P24" i="10"/>
  <c r="O24" i="10"/>
  <c r="O23" i="10"/>
  <c r="P23" i="10" s="1"/>
  <c r="O22" i="10"/>
  <c r="P22" i="10" s="1"/>
  <c r="O21" i="10"/>
  <c r="P21" i="10" s="1"/>
  <c r="O20" i="10"/>
  <c r="P20" i="10" s="1"/>
  <c r="P19" i="10"/>
  <c r="O19" i="10"/>
  <c r="O18" i="10"/>
  <c r="P18" i="10" s="1"/>
  <c r="O17" i="10"/>
  <c r="P17" i="10" s="1"/>
  <c r="O16" i="10"/>
  <c r="P16" i="10" s="1"/>
  <c r="O15" i="10"/>
  <c r="P15" i="10" s="1"/>
  <c r="O14" i="10"/>
  <c r="P14" i="10" s="1"/>
  <c r="O13" i="10"/>
  <c r="P13" i="10" s="1"/>
  <c r="O12" i="10"/>
  <c r="P12" i="10" s="1"/>
  <c r="O11" i="10"/>
  <c r="P11" i="10" s="1"/>
  <c r="O10" i="10"/>
  <c r="P10" i="10" s="1"/>
  <c r="O9" i="10"/>
  <c r="P9" i="10" s="1"/>
  <c r="O8" i="10"/>
  <c r="P8" i="10" s="1"/>
  <c r="O7" i="10"/>
  <c r="P7" i="10" s="1"/>
  <c r="O6" i="10"/>
  <c r="P6" i="10" s="1"/>
  <c r="P5" i="10"/>
  <c r="O5" i="10"/>
  <c r="O4" i="10"/>
  <c r="P4" i="10" s="1"/>
  <c r="O3" i="10"/>
  <c r="P3" i="10" s="1"/>
  <c r="O2" i="10"/>
  <c r="P2" i="10" s="1"/>
  <c r="G94" i="9"/>
  <c r="G95" i="9" s="1"/>
  <c r="Q89" i="9"/>
  <c r="P88" i="9"/>
  <c r="R86" i="9"/>
  <c r="P86" i="9"/>
  <c r="N86" i="9"/>
  <c r="M86" i="9"/>
  <c r="Q86" i="9" s="1"/>
  <c r="R85" i="9"/>
  <c r="Q85" i="9"/>
  <c r="P85" i="9"/>
  <c r="N85" i="9"/>
  <c r="M85" i="9"/>
  <c r="Q84" i="9"/>
  <c r="R83" i="9"/>
  <c r="P83" i="9"/>
  <c r="Q82" i="9"/>
  <c r="P82" i="9"/>
  <c r="Q81" i="9"/>
  <c r="P81" i="9"/>
  <c r="N81" i="9"/>
  <c r="R81" i="9" s="1"/>
  <c r="M81" i="9"/>
  <c r="R80" i="9"/>
  <c r="Q80" i="9"/>
  <c r="P80" i="9"/>
  <c r="N80" i="9"/>
  <c r="M80" i="9"/>
  <c r="P79" i="9"/>
  <c r="Q77" i="9"/>
  <c r="P77" i="9"/>
  <c r="Q76" i="9"/>
  <c r="P76" i="9"/>
  <c r="R75" i="9"/>
  <c r="P75" i="9"/>
  <c r="P74" i="9"/>
  <c r="Q73" i="9"/>
  <c r="P73" i="9"/>
  <c r="Q72" i="9"/>
  <c r="P72" i="9"/>
  <c r="N72" i="9"/>
  <c r="R72" i="9" s="1"/>
  <c r="M72" i="9"/>
  <c r="R71" i="9"/>
  <c r="P71" i="9"/>
  <c r="N71" i="9"/>
  <c r="M71" i="9"/>
  <c r="Q71" i="9" s="1"/>
  <c r="Q70" i="9"/>
  <c r="P70" i="9"/>
  <c r="Q69" i="9"/>
  <c r="P69" i="9"/>
  <c r="R69" i="9" s="1"/>
  <c r="Q68" i="9"/>
  <c r="P68" i="9"/>
  <c r="Q67" i="9"/>
  <c r="P67" i="9"/>
  <c r="R66" i="9"/>
  <c r="P66" i="9"/>
  <c r="N66" i="9"/>
  <c r="M66" i="9"/>
  <c r="Q66" i="9" s="1"/>
  <c r="Q65" i="9"/>
  <c r="P65" i="9"/>
  <c r="N65" i="9"/>
  <c r="R65" i="9" s="1"/>
  <c r="M65" i="9"/>
  <c r="Q64" i="9"/>
  <c r="P64" i="9"/>
  <c r="Q63" i="9"/>
  <c r="P63" i="9"/>
  <c r="R62" i="9"/>
  <c r="Q62" i="9"/>
  <c r="P62" i="9"/>
  <c r="N62" i="9"/>
  <c r="M62" i="9"/>
  <c r="P61" i="9"/>
  <c r="N61" i="9"/>
  <c r="R61" i="9" s="1"/>
  <c r="M61" i="9"/>
  <c r="Q61" i="9" s="1"/>
  <c r="Q60" i="9"/>
  <c r="P60" i="9"/>
  <c r="R60" i="9" s="1"/>
  <c r="Q59" i="9"/>
  <c r="P59" i="9"/>
  <c r="Q58" i="9"/>
  <c r="P58" i="9"/>
  <c r="R57" i="9"/>
  <c r="Q57" i="9"/>
  <c r="P57" i="9"/>
  <c r="Q56" i="9"/>
  <c r="P56" i="9"/>
  <c r="P55" i="9"/>
  <c r="N55" i="9"/>
  <c r="R55" i="9" s="1"/>
  <c r="M55" i="9"/>
  <c r="Q55" i="9" s="1"/>
  <c r="Q54" i="9"/>
  <c r="P54" i="9"/>
  <c r="N54" i="9"/>
  <c r="R54" i="9" s="1"/>
  <c r="M54" i="9"/>
  <c r="Q53" i="9"/>
  <c r="P53" i="9"/>
  <c r="R52" i="9"/>
  <c r="Q52" i="9"/>
  <c r="P52" i="9"/>
  <c r="Q51" i="9"/>
  <c r="P51" i="9"/>
  <c r="Q50" i="9"/>
  <c r="P50" i="9"/>
  <c r="R49" i="9"/>
  <c r="Q49" i="9"/>
  <c r="P49" i="9"/>
  <c r="N49" i="9"/>
  <c r="M49" i="9"/>
  <c r="P48" i="9"/>
  <c r="N48" i="9"/>
  <c r="R48" i="9" s="1"/>
  <c r="M48" i="9"/>
  <c r="Q48" i="9" s="1"/>
  <c r="R47" i="9"/>
  <c r="Q47" i="9"/>
  <c r="P47" i="9"/>
  <c r="P46" i="9"/>
  <c r="N46" i="9"/>
  <c r="R46" i="9" s="1"/>
  <c r="M46" i="9"/>
  <c r="Q46" i="9" s="1"/>
  <c r="Q45" i="9"/>
  <c r="P45" i="9"/>
  <c r="P44" i="9"/>
  <c r="N44" i="9"/>
  <c r="R44" i="9" s="1"/>
  <c r="M44" i="9"/>
  <c r="Q44" i="9" s="1"/>
  <c r="R43" i="9"/>
  <c r="Q43" i="9"/>
  <c r="P43" i="9"/>
  <c r="P42" i="9"/>
  <c r="N42" i="9"/>
  <c r="R42" i="9" s="1"/>
  <c r="M42" i="9"/>
  <c r="Q42" i="9" s="1"/>
  <c r="R41" i="9"/>
  <c r="P41" i="9"/>
  <c r="N41" i="9"/>
  <c r="M41" i="9"/>
  <c r="Q41" i="9" s="1"/>
  <c r="Q40" i="9"/>
  <c r="P40" i="9"/>
  <c r="N40" i="9"/>
  <c r="R40" i="9" s="1"/>
  <c r="M40" i="9"/>
  <c r="R39" i="9"/>
  <c r="Q39" i="9"/>
  <c r="P39" i="9"/>
  <c r="R38" i="9"/>
  <c r="Q38" i="9"/>
  <c r="P38" i="9"/>
  <c r="R37" i="9"/>
  <c r="P37" i="9"/>
  <c r="N37" i="9"/>
  <c r="M37" i="9"/>
  <c r="Q37" i="9" s="1"/>
  <c r="R36" i="9"/>
  <c r="Q36" i="9"/>
  <c r="P36" i="9"/>
  <c r="R35" i="9"/>
  <c r="P35" i="9"/>
  <c r="N35" i="9"/>
  <c r="M35" i="9"/>
  <c r="Q35" i="9" s="1"/>
  <c r="R34" i="9"/>
  <c r="Q34" i="9"/>
  <c r="P34" i="9"/>
  <c r="R33" i="9"/>
  <c r="Q33" i="9"/>
  <c r="P33" i="9"/>
  <c r="P32" i="9"/>
  <c r="N32" i="9"/>
  <c r="R32" i="9" s="1"/>
  <c r="M32" i="9"/>
  <c r="Q32" i="9" s="1"/>
  <c r="R31" i="9"/>
  <c r="P31" i="9"/>
  <c r="N31" i="9"/>
  <c r="M31" i="9"/>
  <c r="Q31" i="9" s="1"/>
  <c r="Q30" i="9"/>
  <c r="P30" i="9"/>
  <c r="N30" i="9"/>
  <c r="R30" i="9" s="1"/>
  <c r="M30" i="9"/>
  <c r="R29" i="9"/>
  <c r="P29" i="9"/>
  <c r="N29" i="9"/>
  <c r="M29" i="9"/>
  <c r="Q29" i="9" s="1"/>
  <c r="R28" i="9"/>
  <c r="Q28" i="9"/>
  <c r="P28" i="9"/>
  <c r="N28" i="9"/>
  <c r="M28" i="9"/>
  <c r="P27" i="9"/>
  <c r="N27" i="9"/>
  <c r="R27" i="9" s="1"/>
  <c r="M27" i="9"/>
  <c r="Q27" i="9" s="1"/>
  <c r="Q26" i="9"/>
  <c r="P26" i="9"/>
  <c r="N26" i="9"/>
  <c r="R26" i="9" s="1"/>
  <c r="M26" i="9"/>
  <c r="R25" i="9"/>
  <c r="Q25" i="9"/>
  <c r="P25" i="9"/>
  <c r="N25" i="9"/>
  <c r="M25" i="9"/>
  <c r="P24" i="9"/>
  <c r="N24" i="9"/>
  <c r="R24" i="9" s="1"/>
  <c r="M24" i="9"/>
  <c r="Q24" i="9" s="1"/>
  <c r="R23" i="9"/>
  <c r="P23" i="9"/>
  <c r="N23" i="9"/>
  <c r="M23" i="9"/>
  <c r="Q23" i="9" s="1"/>
  <c r="Q22" i="9"/>
  <c r="P22" i="9"/>
  <c r="N22" i="9"/>
  <c r="R22" i="9" s="1"/>
  <c r="M22" i="9"/>
  <c r="R21" i="9"/>
  <c r="P21" i="9"/>
  <c r="N21" i="9"/>
  <c r="M21" i="9"/>
  <c r="Q21" i="9" s="1"/>
  <c r="R20" i="9"/>
  <c r="Q20" i="9"/>
  <c r="P20" i="9"/>
  <c r="N20" i="9"/>
  <c r="M20" i="9"/>
  <c r="P19" i="9"/>
  <c r="N19" i="9"/>
  <c r="R19" i="9" s="1"/>
  <c r="M19" i="9"/>
  <c r="Q19" i="9" s="1"/>
  <c r="Q18" i="9"/>
  <c r="P18" i="9"/>
  <c r="N18" i="9"/>
  <c r="R18" i="9" s="1"/>
  <c r="M18" i="9"/>
  <c r="R17" i="9"/>
  <c r="Q17" i="9"/>
  <c r="P17" i="9"/>
  <c r="N17" i="9"/>
  <c r="M17" i="9"/>
  <c r="P16" i="9"/>
  <c r="N16" i="9"/>
  <c r="R16" i="9" s="1"/>
  <c r="M16" i="9"/>
  <c r="Q16" i="9" s="1"/>
  <c r="R15" i="9"/>
  <c r="P15" i="9"/>
  <c r="N15" i="9"/>
  <c r="M15" i="9"/>
  <c r="Q15" i="9" s="1"/>
  <c r="Q14" i="9"/>
  <c r="P14" i="9"/>
  <c r="N14" i="9"/>
  <c r="R14" i="9" s="1"/>
  <c r="M14" i="9"/>
  <c r="R13" i="9"/>
  <c r="P13" i="9"/>
  <c r="N13" i="9"/>
  <c r="M13" i="9"/>
  <c r="Q13" i="9" s="1"/>
  <c r="R12" i="9"/>
  <c r="Q12" i="9"/>
  <c r="P12" i="9"/>
  <c r="N12" i="9"/>
  <c r="M12" i="9"/>
  <c r="P11" i="9"/>
  <c r="N11" i="9"/>
  <c r="R11" i="9" s="1"/>
  <c r="M11" i="9"/>
  <c r="Q11" i="9" s="1"/>
  <c r="Q10" i="9"/>
  <c r="P10" i="9"/>
  <c r="N10" i="9"/>
  <c r="R10" i="9" s="1"/>
  <c r="M10" i="9"/>
  <c r="R9" i="9"/>
  <c r="Q9" i="9"/>
  <c r="P9" i="9"/>
  <c r="N9" i="9"/>
  <c r="M9" i="9"/>
  <c r="P8" i="9"/>
  <c r="N8" i="9"/>
  <c r="R8" i="9" s="1"/>
  <c r="M8" i="9"/>
  <c r="Q8" i="9" s="1"/>
  <c r="R7" i="9"/>
  <c r="Q7" i="9"/>
  <c r="P7" i="9"/>
  <c r="R6" i="9"/>
  <c r="Q6" i="9"/>
  <c r="P6" i="9"/>
  <c r="R5" i="9"/>
  <c r="Q5" i="9"/>
  <c r="P5" i="9"/>
  <c r="R4" i="9"/>
  <c r="Q4" i="9"/>
  <c r="P4" i="9"/>
  <c r="R3" i="9"/>
  <c r="Q3" i="9"/>
  <c r="P3" i="9"/>
  <c r="R2" i="9"/>
  <c r="Q2" i="9"/>
  <c r="P2" i="9"/>
  <c r="P94" i="9" s="1"/>
  <c r="P95" i="9" s="1"/>
  <c r="G26" i="8"/>
  <c r="E26" i="8"/>
  <c r="J497" i="7"/>
  <c r="O98" i="6"/>
  <c r="N98" i="6"/>
  <c r="O97" i="6"/>
  <c r="N97" i="6"/>
  <c r="O96" i="6"/>
  <c r="N96" i="6"/>
  <c r="O95" i="6"/>
  <c r="N95" i="6"/>
  <c r="O94" i="6"/>
  <c r="N94" i="6"/>
  <c r="O93" i="6"/>
  <c r="F101" i="1" s="1"/>
  <c r="G101" i="1" s="1"/>
  <c r="N93" i="6"/>
  <c r="O92" i="6"/>
  <c r="N92" i="6"/>
  <c r="O91" i="6"/>
  <c r="N91" i="6"/>
  <c r="O90" i="6"/>
  <c r="N90" i="6"/>
  <c r="O89" i="6"/>
  <c r="F92" i="1" s="1"/>
  <c r="N89" i="6"/>
  <c r="O88" i="6"/>
  <c r="N88" i="6"/>
  <c r="O87" i="6"/>
  <c r="N87" i="6"/>
  <c r="O86" i="6"/>
  <c r="N86" i="6"/>
  <c r="O85" i="6"/>
  <c r="N85" i="6"/>
  <c r="O84" i="6"/>
  <c r="N84" i="6"/>
  <c r="O83" i="6"/>
  <c r="N83" i="6"/>
  <c r="O82" i="6"/>
  <c r="N82" i="6"/>
  <c r="O81" i="6"/>
  <c r="F83" i="1" s="1"/>
  <c r="N81" i="6"/>
  <c r="O80" i="6"/>
  <c r="N80" i="6"/>
  <c r="O79" i="6"/>
  <c r="N79" i="6"/>
  <c r="O78" i="6"/>
  <c r="N78" i="6"/>
  <c r="O77" i="6"/>
  <c r="N77" i="6"/>
  <c r="O76" i="6"/>
  <c r="N76" i="6"/>
  <c r="O75" i="6"/>
  <c r="N75" i="6"/>
  <c r="O74" i="6"/>
  <c r="N74" i="6"/>
  <c r="O73" i="6"/>
  <c r="N73" i="6"/>
  <c r="O72" i="6"/>
  <c r="N72" i="6"/>
  <c r="O71" i="6"/>
  <c r="N71" i="6"/>
  <c r="O70" i="6"/>
  <c r="N70" i="6"/>
  <c r="O69" i="6"/>
  <c r="F65" i="1" s="1"/>
  <c r="N69" i="6"/>
  <c r="O68" i="6"/>
  <c r="N68" i="6"/>
  <c r="O67" i="6"/>
  <c r="N67" i="6"/>
  <c r="O66" i="6"/>
  <c r="N66" i="6"/>
  <c r="O65" i="6"/>
  <c r="N65" i="6"/>
  <c r="O64" i="6"/>
  <c r="N64" i="6"/>
  <c r="O63" i="6"/>
  <c r="N63" i="6"/>
  <c r="O62" i="6"/>
  <c r="N62" i="6"/>
  <c r="O61" i="6"/>
  <c r="F56" i="1" s="1"/>
  <c r="N61" i="6"/>
  <c r="O60" i="6"/>
  <c r="N60" i="6"/>
  <c r="O59" i="6"/>
  <c r="N59" i="6"/>
  <c r="O58" i="6"/>
  <c r="N58" i="6"/>
  <c r="O57" i="6"/>
  <c r="N57" i="6"/>
  <c r="O56" i="6"/>
  <c r="N56" i="6"/>
  <c r="O55" i="6"/>
  <c r="N55" i="6"/>
  <c r="O54" i="6"/>
  <c r="N54" i="6"/>
  <c r="O53" i="6"/>
  <c r="N53" i="6"/>
  <c r="O52" i="6"/>
  <c r="N52" i="6"/>
  <c r="O51" i="6"/>
  <c r="N51" i="6"/>
  <c r="O50" i="6"/>
  <c r="N50" i="6"/>
  <c r="O49" i="6"/>
  <c r="N49" i="6"/>
  <c r="O48" i="6"/>
  <c r="N48" i="6"/>
  <c r="O47" i="6"/>
  <c r="N47" i="6"/>
  <c r="O46" i="6"/>
  <c r="N46" i="6"/>
  <c r="O45" i="6"/>
  <c r="N45" i="6"/>
  <c r="O44" i="6"/>
  <c r="N44" i="6"/>
  <c r="O43" i="6"/>
  <c r="N43" i="6"/>
  <c r="O42" i="6"/>
  <c r="N42" i="6"/>
  <c r="O41" i="6"/>
  <c r="N41" i="6"/>
  <c r="O40" i="6"/>
  <c r="N40" i="6"/>
  <c r="O39" i="6"/>
  <c r="N39" i="6"/>
  <c r="O38" i="6"/>
  <c r="N38" i="6"/>
  <c r="O37" i="6"/>
  <c r="N37" i="6"/>
  <c r="O36" i="6"/>
  <c r="N36" i="6"/>
  <c r="O35" i="6"/>
  <c r="N35" i="6"/>
  <c r="O34" i="6"/>
  <c r="N34" i="6"/>
  <c r="O33" i="6"/>
  <c r="N33" i="6"/>
  <c r="O32" i="6"/>
  <c r="N32" i="6"/>
  <c r="O31" i="6"/>
  <c r="N31" i="6"/>
  <c r="O30" i="6"/>
  <c r="N30" i="6"/>
  <c r="O29" i="6"/>
  <c r="F21" i="1" s="1"/>
  <c r="G21" i="1" s="1"/>
  <c r="N29" i="6"/>
  <c r="O28" i="6"/>
  <c r="N28" i="6"/>
  <c r="O27" i="6"/>
  <c r="N27" i="6"/>
  <c r="O26" i="6"/>
  <c r="N26" i="6"/>
  <c r="O25" i="6"/>
  <c r="N25" i="6"/>
  <c r="O24" i="6"/>
  <c r="N24" i="6"/>
  <c r="O23" i="6"/>
  <c r="N23" i="6"/>
  <c r="O22" i="6"/>
  <c r="N22" i="6"/>
  <c r="O21" i="6"/>
  <c r="N21" i="6"/>
  <c r="O20" i="6"/>
  <c r="N20" i="6"/>
  <c r="O19" i="6"/>
  <c r="N19" i="6"/>
  <c r="O18" i="6"/>
  <c r="N18" i="6"/>
  <c r="O17" i="6"/>
  <c r="N17" i="6"/>
  <c r="O16" i="6"/>
  <c r="N16" i="6"/>
  <c r="O15" i="6"/>
  <c r="N15" i="6"/>
  <c r="O14" i="6"/>
  <c r="N14" i="6"/>
  <c r="O13" i="6"/>
  <c r="N13" i="6"/>
  <c r="O12" i="6"/>
  <c r="N12" i="6"/>
  <c r="O11" i="6"/>
  <c r="N11" i="6"/>
  <c r="O10" i="6"/>
  <c r="N10" i="6"/>
  <c r="O9" i="6"/>
  <c r="N9" i="6"/>
  <c r="O8" i="6"/>
  <c r="N8" i="6"/>
  <c r="O7" i="6"/>
  <c r="N7" i="6"/>
  <c r="O6" i="6"/>
  <c r="N6" i="6"/>
  <c r="O5" i="6"/>
  <c r="F15" i="1" s="1"/>
  <c r="N5" i="6"/>
  <c r="O4" i="6"/>
  <c r="N4" i="6"/>
  <c r="O3" i="6"/>
  <c r="N3" i="6"/>
  <c r="O2" i="6"/>
  <c r="N2" i="6"/>
  <c r="C4" i="5"/>
  <c r="D3" i="5"/>
  <c r="C3" i="5"/>
  <c r="D2" i="5"/>
  <c r="C2" i="5"/>
  <c r="J357" i="4"/>
  <c r="I357" i="4"/>
  <c r="H357" i="4"/>
  <c r="D7" i="4"/>
  <c r="C7" i="4"/>
  <c r="D6" i="4"/>
  <c r="C6" i="4"/>
  <c r="D5" i="4"/>
  <c r="C5" i="4"/>
  <c r="D4" i="4"/>
  <c r="C4" i="4"/>
  <c r="D3" i="4"/>
  <c r="C3" i="4"/>
  <c r="L2" i="4"/>
  <c r="D2" i="4"/>
  <c r="C2" i="4"/>
  <c r="N350" i="3"/>
  <c r="M350" i="3"/>
  <c r="N349" i="3"/>
  <c r="M349" i="3"/>
  <c r="N348" i="3"/>
  <c r="M348" i="3"/>
  <c r="N347" i="3"/>
  <c r="M347" i="3"/>
  <c r="N346" i="3"/>
  <c r="M346" i="3"/>
  <c r="N345" i="3"/>
  <c r="M345" i="3"/>
  <c r="N344" i="3"/>
  <c r="M344" i="3"/>
  <c r="N343" i="3"/>
  <c r="M343" i="3"/>
  <c r="N342" i="3"/>
  <c r="M342" i="3"/>
  <c r="N341" i="3"/>
  <c r="M341" i="3"/>
  <c r="N340" i="3"/>
  <c r="M340" i="3"/>
  <c r="N339" i="3"/>
  <c r="M339" i="3"/>
  <c r="N338" i="3"/>
  <c r="M338" i="3"/>
  <c r="N337" i="3"/>
  <c r="M337" i="3"/>
  <c r="N336" i="3"/>
  <c r="M336" i="3"/>
  <c r="N335" i="3"/>
  <c r="M335" i="3"/>
  <c r="N334" i="3"/>
  <c r="M334" i="3"/>
  <c r="N333" i="3"/>
  <c r="M333" i="3"/>
  <c r="N332" i="3"/>
  <c r="M332" i="3"/>
  <c r="N331" i="3"/>
  <c r="M331" i="3"/>
  <c r="N330" i="3"/>
  <c r="M330" i="3"/>
  <c r="N329" i="3"/>
  <c r="M329" i="3"/>
  <c r="N328" i="3"/>
  <c r="M328" i="3"/>
  <c r="N327" i="3"/>
  <c r="M327" i="3"/>
  <c r="N326" i="3"/>
  <c r="M326" i="3"/>
  <c r="N325" i="3"/>
  <c r="M325" i="3"/>
  <c r="N324" i="3"/>
  <c r="M324" i="3"/>
  <c r="N323" i="3"/>
  <c r="M323" i="3"/>
  <c r="N322" i="3"/>
  <c r="M322" i="3"/>
  <c r="N321" i="3"/>
  <c r="M321" i="3"/>
  <c r="N320" i="3"/>
  <c r="M320" i="3"/>
  <c r="N319" i="3"/>
  <c r="M319" i="3"/>
  <c r="N318" i="3"/>
  <c r="M318" i="3"/>
  <c r="N317" i="3"/>
  <c r="M317" i="3"/>
  <c r="N316" i="3"/>
  <c r="M316" i="3"/>
  <c r="N315" i="3"/>
  <c r="M315" i="3"/>
  <c r="N314" i="3"/>
  <c r="M314" i="3"/>
  <c r="N313" i="3"/>
  <c r="M313" i="3"/>
  <c r="N312" i="3"/>
  <c r="M312" i="3"/>
  <c r="N311" i="3"/>
  <c r="M311" i="3"/>
  <c r="N310" i="3"/>
  <c r="M310" i="3"/>
  <c r="N309" i="3"/>
  <c r="M309" i="3"/>
  <c r="N308" i="3"/>
  <c r="M308" i="3"/>
  <c r="N307" i="3"/>
  <c r="M307" i="3"/>
  <c r="N306" i="3"/>
  <c r="M306" i="3"/>
  <c r="N305" i="3"/>
  <c r="M305" i="3"/>
  <c r="E99" i="1" s="1"/>
  <c r="G99" i="1" s="1"/>
  <c r="N304" i="3"/>
  <c r="M304" i="3"/>
  <c r="N303" i="3"/>
  <c r="M303" i="3"/>
  <c r="N302" i="3"/>
  <c r="M302" i="3"/>
  <c r="N301" i="3"/>
  <c r="M301" i="3"/>
  <c r="N300" i="3"/>
  <c r="M300" i="3"/>
  <c r="N299" i="3"/>
  <c r="M299" i="3"/>
  <c r="N298" i="3"/>
  <c r="M298" i="3"/>
  <c r="N297" i="3"/>
  <c r="M297" i="3"/>
  <c r="N296" i="3"/>
  <c r="M296" i="3"/>
  <c r="N295" i="3"/>
  <c r="M295" i="3"/>
  <c r="N294" i="3"/>
  <c r="M294" i="3"/>
  <c r="N293" i="3"/>
  <c r="M293" i="3"/>
  <c r="N292" i="3"/>
  <c r="M292" i="3"/>
  <c r="N291" i="3"/>
  <c r="M291" i="3"/>
  <c r="N290" i="3"/>
  <c r="M290" i="3"/>
  <c r="N289" i="3"/>
  <c r="M289" i="3"/>
  <c r="N288" i="3"/>
  <c r="M288" i="3"/>
  <c r="N287" i="3"/>
  <c r="M287" i="3"/>
  <c r="N286" i="3"/>
  <c r="M286" i="3"/>
  <c r="N285" i="3"/>
  <c r="M285" i="3"/>
  <c r="N284" i="3"/>
  <c r="M284" i="3"/>
  <c r="N283" i="3"/>
  <c r="M283" i="3"/>
  <c r="N282" i="3"/>
  <c r="M282" i="3"/>
  <c r="N281" i="3"/>
  <c r="M281" i="3"/>
  <c r="N280" i="3"/>
  <c r="M280" i="3"/>
  <c r="N279" i="3"/>
  <c r="M279" i="3"/>
  <c r="N278" i="3"/>
  <c r="M278" i="3"/>
  <c r="N277" i="3"/>
  <c r="M277" i="3"/>
  <c r="N276" i="3"/>
  <c r="M276" i="3"/>
  <c r="N275" i="3"/>
  <c r="M275" i="3"/>
  <c r="N274" i="3"/>
  <c r="M274" i="3"/>
  <c r="N273" i="3"/>
  <c r="M273" i="3"/>
  <c r="N272" i="3"/>
  <c r="M272" i="3"/>
  <c r="N271" i="3"/>
  <c r="M271" i="3"/>
  <c r="N270" i="3"/>
  <c r="M270" i="3"/>
  <c r="N269" i="3"/>
  <c r="M269" i="3"/>
  <c r="N268" i="3"/>
  <c r="M268" i="3"/>
  <c r="N267" i="3"/>
  <c r="M267" i="3"/>
  <c r="N266" i="3"/>
  <c r="M266" i="3"/>
  <c r="N265" i="3"/>
  <c r="M265" i="3"/>
  <c r="E90" i="1" s="1"/>
  <c r="G90" i="1" s="1"/>
  <c r="N264" i="3"/>
  <c r="M264" i="3"/>
  <c r="N263" i="3"/>
  <c r="M263" i="3"/>
  <c r="N262" i="3"/>
  <c r="M262" i="3"/>
  <c r="N261" i="3"/>
  <c r="M261" i="3"/>
  <c r="N260" i="3"/>
  <c r="M260" i="3"/>
  <c r="N259" i="3"/>
  <c r="M259" i="3"/>
  <c r="N258" i="3"/>
  <c r="M258" i="3"/>
  <c r="N257" i="3"/>
  <c r="M257" i="3"/>
  <c r="N256" i="3"/>
  <c r="M256" i="3"/>
  <c r="N255" i="3"/>
  <c r="M255" i="3"/>
  <c r="N254" i="3"/>
  <c r="M254" i="3"/>
  <c r="N253" i="3"/>
  <c r="M253" i="3"/>
  <c r="N252" i="3"/>
  <c r="M252" i="3"/>
  <c r="N251" i="3"/>
  <c r="M251" i="3"/>
  <c r="N250" i="3"/>
  <c r="M250" i="3"/>
  <c r="N249" i="3"/>
  <c r="M249" i="3"/>
  <c r="N248" i="3"/>
  <c r="M248" i="3"/>
  <c r="N247" i="3"/>
  <c r="M247" i="3"/>
  <c r="N246" i="3"/>
  <c r="M246" i="3"/>
  <c r="N245" i="3"/>
  <c r="M245" i="3"/>
  <c r="N244" i="3"/>
  <c r="M244" i="3"/>
  <c r="N243" i="3"/>
  <c r="M243" i="3"/>
  <c r="N242" i="3"/>
  <c r="M242" i="3"/>
  <c r="N241" i="3"/>
  <c r="M241" i="3"/>
  <c r="E81" i="1" s="1"/>
  <c r="G81" i="1" s="1"/>
  <c r="N240" i="3"/>
  <c r="M240" i="3"/>
  <c r="N239" i="3"/>
  <c r="M239" i="3"/>
  <c r="N238" i="3"/>
  <c r="M238" i="3"/>
  <c r="N237" i="3"/>
  <c r="M237" i="3"/>
  <c r="N236" i="3"/>
  <c r="M236" i="3"/>
  <c r="N235" i="3"/>
  <c r="M235" i="3"/>
  <c r="N234" i="3"/>
  <c r="M234" i="3"/>
  <c r="N233" i="3"/>
  <c r="M233" i="3"/>
  <c r="N232" i="3"/>
  <c r="M232" i="3"/>
  <c r="N231" i="3"/>
  <c r="M231" i="3"/>
  <c r="N230" i="3"/>
  <c r="M230" i="3"/>
  <c r="N229" i="3"/>
  <c r="M229" i="3"/>
  <c r="N228" i="3"/>
  <c r="M228" i="3"/>
  <c r="N227" i="3"/>
  <c r="M227" i="3"/>
  <c r="N226" i="3"/>
  <c r="M226" i="3"/>
  <c r="N225" i="3"/>
  <c r="M225" i="3"/>
  <c r="E72" i="1" s="1"/>
  <c r="G72" i="1" s="1"/>
  <c r="N224" i="3"/>
  <c r="M224" i="3"/>
  <c r="N223" i="3"/>
  <c r="M223" i="3"/>
  <c r="N222" i="3"/>
  <c r="M222" i="3"/>
  <c r="N221" i="3"/>
  <c r="M221" i="3"/>
  <c r="N220" i="3"/>
  <c r="M220" i="3"/>
  <c r="N219" i="3"/>
  <c r="M219" i="3"/>
  <c r="N218" i="3"/>
  <c r="M218" i="3"/>
  <c r="N217" i="3"/>
  <c r="M217" i="3"/>
  <c r="N216" i="3"/>
  <c r="M216" i="3"/>
  <c r="N215" i="3"/>
  <c r="M215" i="3"/>
  <c r="N214" i="3"/>
  <c r="M214" i="3"/>
  <c r="N213" i="3"/>
  <c r="M213" i="3"/>
  <c r="N212" i="3"/>
  <c r="M212" i="3"/>
  <c r="N211" i="3"/>
  <c r="M211" i="3"/>
  <c r="N210" i="3"/>
  <c r="M210" i="3"/>
  <c r="N209" i="3"/>
  <c r="M209" i="3"/>
  <c r="E63" i="1" s="1"/>
  <c r="G63" i="1" s="1"/>
  <c r="N208" i="3"/>
  <c r="M208" i="3"/>
  <c r="N207" i="3"/>
  <c r="M207" i="3"/>
  <c r="N206" i="3"/>
  <c r="M206" i="3"/>
  <c r="N205" i="3"/>
  <c r="M205" i="3"/>
  <c r="N204" i="3"/>
  <c r="M204" i="3"/>
  <c r="N203" i="3"/>
  <c r="M203" i="3"/>
  <c r="N202" i="3"/>
  <c r="M202" i="3"/>
  <c r="N201" i="3"/>
  <c r="M201" i="3"/>
  <c r="N200" i="3"/>
  <c r="M200" i="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E54" i="1" s="1"/>
  <c r="G54" i="1" s="1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E45" i="1" s="1"/>
  <c r="G45" i="1" s="1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E38" i="1" s="1"/>
  <c r="G38" i="1" s="1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E31" i="1" s="1"/>
  <c r="G31" i="1" s="1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E25" i="1" s="1"/>
  <c r="G25" i="1" s="1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E19" i="1" s="1"/>
  <c r="G19" i="1" s="1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E13" i="1" s="1"/>
  <c r="G13" i="1" s="1"/>
  <c r="N4" i="3"/>
  <c r="M4" i="3"/>
  <c r="N3" i="3"/>
  <c r="M3" i="3"/>
  <c r="N2" i="3"/>
  <c r="M2" i="3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98" i="1" s="1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89" i="1" s="1"/>
  <c r="F104" i="2"/>
  <c r="G103" i="2"/>
  <c r="F103" i="2"/>
  <c r="E89" i="1" s="1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80" i="1" s="1"/>
  <c r="F96" i="2"/>
  <c r="G95" i="2"/>
  <c r="F95" i="2"/>
  <c r="E80" i="1" s="1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71" i="1" s="1"/>
  <c r="F80" i="2"/>
  <c r="G79" i="2"/>
  <c r="F79" i="2"/>
  <c r="E71" i="1" s="1"/>
  <c r="G78" i="2"/>
  <c r="F78" i="2"/>
  <c r="G77" i="2"/>
  <c r="F77" i="2"/>
  <c r="G76" i="2"/>
  <c r="F76" i="2"/>
  <c r="G75" i="2"/>
  <c r="F75" i="2"/>
  <c r="E62" i="1" s="1"/>
  <c r="G74" i="2"/>
  <c r="F74" i="2"/>
  <c r="G73" i="2"/>
  <c r="F73" i="2"/>
  <c r="G72" i="2"/>
  <c r="F62" i="1" s="1"/>
  <c r="F72" i="2"/>
  <c r="G71" i="2"/>
  <c r="F71" i="2"/>
  <c r="E53" i="1" s="1"/>
  <c r="G53" i="1" s="1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44" i="1" s="1"/>
  <c r="F64" i="2"/>
  <c r="G63" i="2"/>
  <c r="F63" i="2"/>
  <c r="E44" i="1" s="1"/>
  <c r="G62" i="2"/>
  <c r="F62" i="2"/>
  <c r="G61" i="2"/>
  <c r="F61" i="2"/>
  <c r="G60" i="2"/>
  <c r="F37" i="1" s="1"/>
  <c r="F60" i="2"/>
  <c r="G59" i="2"/>
  <c r="F59" i="2"/>
  <c r="E37" i="1" s="1"/>
  <c r="G37" i="1" s="1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30" i="1" s="1"/>
  <c r="F44" i="2"/>
  <c r="G43" i="2"/>
  <c r="F43" i="2"/>
  <c r="E30" i="1" s="1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4" i="1" s="1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E18" i="1" s="1"/>
  <c r="G10" i="2"/>
  <c r="F10" i="2"/>
  <c r="G9" i="2"/>
  <c r="F9" i="2"/>
  <c r="G8" i="2"/>
  <c r="F18" i="1" s="1"/>
  <c r="F8" i="2"/>
  <c r="G7" i="2"/>
  <c r="F7" i="2"/>
  <c r="G6" i="2"/>
  <c r="F6" i="2"/>
  <c r="G5" i="2"/>
  <c r="F5" i="2"/>
  <c r="G4" i="2"/>
  <c r="F4" i="2"/>
  <c r="G3" i="2"/>
  <c r="F3" i="2"/>
  <c r="E12" i="1" s="1"/>
  <c r="G12" i="1" s="1"/>
  <c r="G2" i="2"/>
  <c r="F2" i="2"/>
  <c r="G106" i="1"/>
  <c r="G105" i="1"/>
  <c r="G104" i="1"/>
  <c r="E104" i="1"/>
  <c r="G103" i="1"/>
  <c r="G102" i="1"/>
  <c r="F102" i="1"/>
  <c r="E101" i="1"/>
  <c r="G100" i="1"/>
  <c r="F100" i="1"/>
  <c r="E100" i="1"/>
  <c r="F99" i="1"/>
  <c r="E98" i="1"/>
  <c r="G97" i="1"/>
  <c r="F96" i="1"/>
  <c r="G96" i="1" s="1"/>
  <c r="E95" i="1"/>
  <c r="G95" i="1" s="1"/>
  <c r="E94" i="1"/>
  <c r="G94" i="1" s="1"/>
  <c r="G93" i="1"/>
  <c r="E92" i="1"/>
  <c r="G92" i="1" s="1"/>
  <c r="F91" i="1"/>
  <c r="E91" i="1"/>
  <c r="G91" i="1" s="1"/>
  <c r="F90" i="1"/>
  <c r="G88" i="1"/>
  <c r="F87" i="1"/>
  <c r="G87" i="1" s="1"/>
  <c r="G86" i="1"/>
  <c r="E86" i="1"/>
  <c r="G85" i="1"/>
  <c r="G84" i="1"/>
  <c r="E83" i="1"/>
  <c r="G83" i="1" s="1"/>
  <c r="F82" i="1"/>
  <c r="G82" i="1" s="1"/>
  <c r="E82" i="1"/>
  <c r="F81" i="1"/>
  <c r="G79" i="1"/>
  <c r="G78" i="1"/>
  <c r="F78" i="1"/>
  <c r="G77" i="1"/>
  <c r="E77" i="1"/>
  <c r="G76" i="1"/>
  <c r="G75" i="1"/>
  <c r="F74" i="1"/>
  <c r="G74" i="1" s="1"/>
  <c r="E74" i="1"/>
  <c r="F73" i="1"/>
  <c r="E73" i="1"/>
  <c r="G73" i="1" s="1"/>
  <c r="F72" i="1"/>
  <c r="G70" i="1"/>
  <c r="F69" i="1"/>
  <c r="G69" i="1" s="1"/>
  <c r="E68" i="1"/>
  <c r="G68" i="1" s="1"/>
  <c r="G67" i="1"/>
  <c r="G66" i="1"/>
  <c r="E65" i="1"/>
  <c r="G65" i="1" s="1"/>
  <c r="G64" i="1"/>
  <c r="F64" i="1"/>
  <c r="E64" i="1"/>
  <c r="F63" i="1"/>
  <c r="G61" i="1"/>
  <c r="G60" i="1"/>
  <c r="G59" i="1"/>
  <c r="E59" i="1"/>
  <c r="G58" i="1"/>
  <c r="G57" i="1"/>
  <c r="E56" i="1"/>
  <c r="G56" i="1" s="1"/>
  <c r="F55" i="1"/>
  <c r="E55" i="1"/>
  <c r="G55" i="1" s="1"/>
  <c r="F54" i="1"/>
  <c r="F53" i="1"/>
  <c r="G52" i="1"/>
  <c r="F52" i="1"/>
  <c r="G51" i="1"/>
  <c r="G50" i="1"/>
  <c r="E50" i="1"/>
  <c r="G49" i="1"/>
  <c r="G48" i="1"/>
  <c r="F47" i="1"/>
  <c r="E47" i="1"/>
  <c r="G47" i="1" s="1"/>
  <c r="F46" i="1"/>
  <c r="E46" i="1"/>
  <c r="G46" i="1" s="1"/>
  <c r="F45" i="1"/>
  <c r="G43" i="1"/>
  <c r="E42" i="1"/>
  <c r="G42" i="1" s="1"/>
  <c r="F41" i="1"/>
  <c r="E41" i="1"/>
  <c r="G41" i="1" s="1"/>
  <c r="G40" i="1"/>
  <c r="E40" i="1"/>
  <c r="G39" i="1"/>
  <c r="E39" i="1"/>
  <c r="F38" i="1"/>
  <c r="G36" i="1"/>
  <c r="E35" i="1"/>
  <c r="G35" i="1" s="1"/>
  <c r="F34" i="1"/>
  <c r="E34" i="1"/>
  <c r="G34" i="1" s="1"/>
  <c r="G33" i="1"/>
  <c r="E33" i="1"/>
  <c r="G32" i="1"/>
  <c r="E32" i="1"/>
  <c r="F31" i="1"/>
  <c r="G29" i="1"/>
  <c r="F28" i="1"/>
  <c r="G28" i="1" s="1"/>
  <c r="E28" i="1"/>
  <c r="G27" i="1"/>
  <c r="G26" i="1"/>
  <c r="F26" i="1"/>
  <c r="E26" i="1"/>
  <c r="F25" i="1"/>
  <c r="E24" i="1"/>
  <c r="F22" i="1"/>
  <c r="E22" i="1"/>
  <c r="G22" i="1" s="1"/>
  <c r="E21" i="1"/>
  <c r="F20" i="1"/>
  <c r="E20" i="1"/>
  <c r="G20" i="1" s="1"/>
  <c r="F19" i="1"/>
  <c r="G17" i="1"/>
  <c r="F17" i="1"/>
  <c r="E17" i="1"/>
  <c r="F16" i="1"/>
  <c r="E16" i="1"/>
  <c r="G16" i="1" s="1"/>
  <c r="E15" i="1"/>
  <c r="G15" i="1" s="1"/>
  <c r="F14" i="1"/>
  <c r="E14" i="1"/>
  <c r="G14" i="1" s="1"/>
  <c r="F13" i="1"/>
  <c r="F12" i="1"/>
  <c r="F11" i="1"/>
  <c r="E11" i="1"/>
  <c r="G11" i="1" s="1"/>
  <c r="G10" i="1"/>
  <c r="F10" i="1"/>
  <c r="E10" i="1"/>
  <c r="G9" i="1"/>
  <c r="F8" i="1"/>
  <c r="E8" i="1"/>
  <c r="G8" i="1" s="1"/>
  <c r="F7" i="1"/>
  <c r="E7" i="1"/>
  <c r="G7" i="1" s="1"/>
  <c r="F6" i="1"/>
  <c r="E6" i="1"/>
  <c r="G6" i="1" s="1"/>
  <c r="F5" i="1"/>
  <c r="G5" i="1" s="1"/>
  <c r="E5" i="1"/>
  <c r="G4" i="1"/>
  <c r="F4" i="1"/>
  <c r="E4" i="1"/>
  <c r="G3" i="1"/>
  <c r="F3" i="1"/>
  <c r="E3" i="1"/>
  <c r="F2" i="1"/>
  <c r="E2" i="1"/>
  <c r="E108" i="1" s="1"/>
  <c r="G18" i="1" l="1"/>
  <c r="G71" i="1"/>
  <c r="F108" i="1"/>
  <c r="G98" i="1"/>
  <c r="G24" i="1"/>
  <c r="Q94" i="9"/>
  <c r="Q95" i="9" s="1"/>
  <c r="G30" i="1"/>
  <c r="G44" i="1"/>
  <c r="G62" i="1"/>
  <c r="G80" i="1"/>
  <c r="G89" i="1"/>
  <c r="R94" i="9"/>
  <c r="R95" i="9" s="1"/>
  <c r="G2" i="1"/>
  <c r="M47" i="14"/>
  <c r="G10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tc={0510448b-d2f9-40ec-a231-077d86f98da0}</author>
  </authors>
  <commentList>
    <comment ref="A1" authorId="0" shapeId="0" xr:uid="{0510448B-D2F9-40EC-A231-077D86F98DA0}">
      <text>
        <t>[Threaded comment]
Your version of Excel allows you to read this threaded comment; however, any edits to it will get removed if the file is opened in a newer version of Excel. Learn more: https://go.microsoft.com/fwlink/?linkid=870924
Comment:
    同一笔1451.09转至水星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tc={8ecd193f-59ff-4c77-ad9c-1ec6666d77a3}</author>
  </authors>
  <commentList>
    <comment ref="U83" authorId="0" shapeId="0" xr:uid="{8ECD193F-59FF-4C77-AD9C-1EC6666D77A3}">
      <text>
        <t>[Threaded comment]
Your version of Excel allows you to read this threaded comment; however, any edits to it will get removed if the file is opened in a newer version of Excel. Learn more: https://go.microsoft.com/fwlink/?linkid=870924
Comment:
    精品38.60.108.0/24-vlan1084
国际38.60.109.0/24-vlan1090
zelle : 707-722-2222 Kurun Cloud Inc
1000 包含：
4/1 机柜
2c Ip
国际网络
精品网络 50 含cn2 后续可换 不要cn2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tc={1cb414c4-1abf-4c56-9ec9-93eb9b51a750}</author>
  </authors>
  <commentList>
    <comment ref="M1" authorId="0" shapeId="0" xr:uid="{1CB414C4-1ABF-4C56-9EC9-93EB9B51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此处记账在各个对应账户有统计流水并纳入公司汇总。</t>
      </text>
    </comment>
  </commentList>
</comments>
</file>

<file path=xl/sharedStrings.xml><?xml version="1.0" encoding="utf-8"?>
<sst xmlns="http://schemas.openxmlformats.org/spreadsheetml/2006/main" count="33743" uniqueCount="8678">
  <si>
    <t>序号</t>
  </si>
  <si>
    <t>年度</t>
  </si>
  <si>
    <t>月度</t>
  </si>
  <si>
    <t>账户</t>
  </si>
  <si>
    <t>收入</t>
  </si>
  <si>
    <t>支出</t>
  </si>
  <si>
    <t>结算金额</t>
  </si>
  <si>
    <t>备注</t>
  </si>
  <si>
    <t>MERCURY</t>
  </si>
  <si>
    <t>PayPal</t>
  </si>
  <si>
    <t>USDT</t>
  </si>
  <si>
    <t>WISE</t>
  </si>
  <si>
    <t>TUTU</t>
  </si>
  <si>
    <t>其它流水</t>
  </si>
  <si>
    <t>支付宝</t>
  </si>
  <si>
    <t>Payssion</t>
  </si>
  <si>
    <t>工资</t>
  </si>
  <si>
    <t>Date (UTC)</t>
  </si>
  <si>
    <t>Y</t>
  </si>
  <si>
    <t>M</t>
  </si>
  <si>
    <t>Description</t>
  </si>
  <si>
    <t>Amount</t>
  </si>
  <si>
    <t>IN</t>
  </si>
  <si>
    <t>OUT</t>
  </si>
  <si>
    <t>Status</t>
  </si>
  <si>
    <t>Source Account</t>
  </si>
  <si>
    <t>Bank Description</t>
  </si>
  <si>
    <t>Reference</t>
  </si>
  <si>
    <t>Note</t>
  </si>
  <si>
    <t>Last Four Digits</t>
  </si>
  <si>
    <t>Name On Card</t>
  </si>
  <si>
    <t>Category</t>
  </si>
  <si>
    <t>GL Code</t>
  </si>
  <si>
    <t>Timestamp</t>
  </si>
  <si>
    <t>Original Currency</t>
  </si>
  <si>
    <t>Check Number</t>
  </si>
  <si>
    <t>01-30-2025</t>
  </si>
  <si>
    <t>1</t>
  </si>
  <si>
    <t>Cloudflare</t>
  </si>
  <si>
    <t>Sent</t>
  </si>
  <si>
    <t>Mercury Checking xx9768</t>
  </si>
  <si>
    <t>CLOUDFLARE</t>
  </si>
  <si>
    <t>XIANG JIAO</t>
  </si>
  <si>
    <t>Software</t>
  </si>
  <si>
    <t>01-30-2025 02:43:10</t>
  </si>
  <si>
    <t>USD</t>
  </si>
  <si>
    <t>01-22-2025</t>
  </si>
  <si>
    <t>Alibaba</t>
  </si>
  <si>
    <t>Alibaba.com Europe Lim</t>
  </si>
  <si>
    <t>Retail</t>
  </si>
  <si>
    <t>01-22-2025 04:58:09</t>
  </si>
  <si>
    <t>01-18-2025</t>
  </si>
  <si>
    <t>Nodehatch</t>
  </si>
  <si>
    <t>NODEHATCH</t>
  </si>
  <si>
    <t>01-18-2025 09:20:06</t>
  </si>
  <si>
    <t>GBP</t>
  </si>
  <si>
    <t>Intl. Transaction Fee</t>
  </si>
  <si>
    <t>FinancialInstitutionsAndFees</t>
  </si>
  <si>
    <t>O2 Network Limited</t>
  </si>
  <si>
    <t>Send Money transaction initiated on Mercury</t>
  </si>
  <si>
    <t>From Stars Flying Inc via mercury.com</t>
  </si>
  <si>
    <t>Server Hardware Fees</t>
  </si>
  <si>
    <t>OVHcloud</t>
  </si>
  <si>
    <t>Ovise Case</t>
  </si>
  <si>
    <t>02-28-2025</t>
  </si>
  <si>
    <t>2</t>
  </si>
  <si>
    <t>STRIPE</t>
  </si>
  <si>
    <t>STRIPE; TRANSFER; STARS FLYING INC</t>
  </si>
  <si>
    <t>02-28-2025 13:39:30</t>
  </si>
  <si>
    <t>02-27-2025</t>
  </si>
  <si>
    <t>02-27-2025 13:34:07</t>
  </si>
  <si>
    <t>02-26-2025</t>
  </si>
  <si>
    <t>WISE US INC</t>
  </si>
  <si>
    <t>WISE US INC; STARS FLYI; Stars Flying Inc</t>
  </si>
  <si>
    <t>From Stars Flying Inc Via WISE</t>
  </si>
  <si>
    <t>02-26-2025 23:00:40</t>
  </si>
  <si>
    <t>GOOGLE</t>
  </si>
  <si>
    <t>GOOGLE; ADWORDS:12; Stars Flying Inc</t>
  </si>
  <si>
    <t>02-26-2025 20:00:19</t>
  </si>
  <si>
    <t>02-22-2025</t>
  </si>
  <si>
    <t>02-22-2025 04:28:04</t>
  </si>
  <si>
    <t>02-21-2025</t>
  </si>
  <si>
    <t>American Registry For In</t>
  </si>
  <si>
    <t>ARIN</t>
  </si>
  <si>
    <t>Other</t>
  </si>
  <si>
    <t>02-21-2025 13:20:07</t>
  </si>
  <si>
    <t>Network fees</t>
  </si>
  <si>
    <t>WISE US INC; idc NESSBI; Stars Flying Inc</t>
  </si>
  <si>
    <t>From NESSBIT INC Via WISE</t>
  </si>
  <si>
    <t>3/31/2025</t>
  </si>
  <si>
    <t>3</t>
  </si>
  <si>
    <t>From Stars Flying Inc via mercury.com, network fee.</t>
  </si>
  <si>
    <t>3/31/2025 14:35</t>
  </si>
  <si>
    <t>3/31/2025 13:55</t>
  </si>
  <si>
    <t>3/28/2025</t>
  </si>
  <si>
    <t>3/28/2025 12:42</t>
  </si>
  <si>
    <t>3/26/2025</t>
  </si>
  <si>
    <t>3/26/2025 12:39</t>
  </si>
  <si>
    <t>3/25/2025</t>
  </si>
  <si>
    <t>3/25/2025 12:58</t>
  </si>
  <si>
    <t>3/24/2025</t>
  </si>
  <si>
    <t>3/24/2025 13:58</t>
  </si>
  <si>
    <t>3/22/2025</t>
  </si>
  <si>
    <t>3/22/2025 8:39</t>
  </si>
  <si>
    <t>3/21/2025</t>
  </si>
  <si>
    <t>3/21/2025 13:02</t>
  </si>
  <si>
    <t>3/20/2025</t>
  </si>
  <si>
    <t>3/20/2025 12:42</t>
  </si>
  <si>
    <t>3/19/2025</t>
  </si>
  <si>
    <t>3/19/2025 12:59</t>
  </si>
  <si>
    <t>3/18/2025</t>
  </si>
  <si>
    <t>3/18/2025 13:04</t>
  </si>
  <si>
    <t>3/17/2025</t>
  </si>
  <si>
    <t>3/17/2025 13:14</t>
  </si>
  <si>
    <t>3/14/2025</t>
  </si>
  <si>
    <t>3/14/2025 12:33</t>
  </si>
  <si>
    <t>3/13/2025</t>
  </si>
  <si>
    <t>3/13/2025 13:13</t>
  </si>
  <si>
    <t>From Stars Flying Inc via mercury.com. Network fee.</t>
  </si>
  <si>
    <t>4/30/2025</t>
  </si>
  <si>
    <t>4</t>
  </si>
  <si>
    <t>From Stars Flying Inc via mercury.com, Network fee.</t>
  </si>
  <si>
    <t>4/30/2025 14:35</t>
  </si>
  <si>
    <t>4/26/2025</t>
  </si>
  <si>
    <t>Amazon Prime</t>
  </si>
  <si>
    <t>Failed</t>
  </si>
  <si>
    <t>AMAZON PRIME PMTS</t>
  </si>
  <si>
    <t>Andrew Reed</t>
  </si>
  <si>
    <t>4/26/2025 23:41</t>
  </si>
  <si>
    <t>4/22/2025</t>
  </si>
  <si>
    <t>4/22/2025 7:19</t>
  </si>
  <si>
    <t>4/14/2025</t>
  </si>
  <si>
    <t>4/14/2025 14:48</t>
  </si>
  <si>
    <t>AMAZON WEB SERVICES</t>
  </si>
  <si>
    <t>PAYONEER INC</t>
  </si>
  <si>
    <t>PAYONEER INC; 821115524; Stars Flying Inc</t>
  </si>
  <si>
    <t>Idc Fee</t>
  </si>
  <si>
    <t>5/22/2025</t>
  </si>
  <si>
    <t>5</t>
  </si>
  <si>
    <t>5/22/2025 8:18</t>
  </si>
  <si>
    <t>PAYONEER 7362</t>
  </si>
  <si>
    <t>PAYONEER 7362; EDI PAYMNT; Stars Flying Inc</t>
  </si>
  <si>
    <t>REF*TN*3661850030*idc fee\</t>
  </si>
  <si>
    <t>6</t>
  </si>
  <si>
    <t>Mercury Checking xx9122</t>
  </si>
  <si>
    <t>PAYONEER INC; 848672294; Stars Flying Inc</t>
  </si>
  <si>
    <t>Payment via Payoneer</t>
  </si>
  <si>
    <t>From Stars Flying Inc via mercury.com, IDC fee.</t>
  </si>
  <si>
    <t>Transfer to your new Mercury account</t>
  </si>
  <si>
    <t>7/16/2025</t>
  </si>
  <si>
    <t>7</t>
  </si>
  <si>
    <t>REF*TN*3661851101*Payment via Payoneer\</t>
  </si>
  <si>
    <t>7/16/2025 17:10</t>
  </si>
  <si>
    <t>AUS MERCHANT SERVICES, INC</t>
  </si>
  <si>
    <t>PAYING OVERSEAS SUPPLIERS</t>
  </si>
  <si>
    <t>8/30/2025</t>
  </si>
  <si>
    <t>8</t>
  </si>
  <si>
    <t>Amazon</t>
  </si>
  <si>
    <t>Pending</t>
  </si>
  <si>
    <t>AMAZON MKTPLACE PMTS</t>
  </si>
  <si>
    <t>#######</t>
  </si>
  <si>
    <t>8/29/2025</t>
  </si>
  <si>
    <t>8/27/2025</t>
  </si>
  <si>
    <t>Visible</t>
  </si>
  <si>
    <t>VISIBLE</t>
  </si>
  <si>
    <t>InternetAndTelephone</t>
  </si>
  <si>
    <t>8/18/2025</t>
  </si>
  <si>
    <t>8/13/2025</t>
  </si>
  <si>
    <t>IDC FEE</t>
  </si>
  <si>
    <t>PAYONEER INC; 873474283; Stars Flying Inc</t>
  </si>
  <si>
    <t>idc fee</t>
  </si>
  <si>
    <t>Ovhcloud</t>
  </si>
  <si>
    <t>9/30/2025</t>
  </si>
  <si>
    <t>9</t>
  </si>
  <si>
    <t>From Stars Flying Inc via mercury.com network fee</t>
  </si>
  <si>
    <t>9/30/2025 15:01</t>
  </si>
  <si>
    <t>9/26/2025</t>
  </si>
  <si>
    <t>Walmart</t>
  </si>
  <si>
    <t>WALMART.COM 8009256278</t>
  </si>
  <si>
    <t>9/26/2025 14:29</t>
  </si>
  <si>
    <t>9/26/2025 6:54</t>
  </si>
  <si>
    <t>9/26/2025 3:56</t>
  </si>
  <si>
    <t>9/25/2025</t>
  </si>
  <si>
    <t>PITTQIAO NETWORK INFORMATION CO., LTD.</t>
  </si>
  <si>
    <t>From Stars Flying Inc network fee</t>
  </si>
  <si>
    <t>9/25/2025 4:14</t>
  </si>
  <si>
    <t>9/23/2025</t>
  </si>
  <si>
    <t>eBay</t>
  </si>
  <si>
    <t>eBay O*01-13625-50498</t>
  </si>
  <si>
    <t>9/23/2025 12:10</t>
  </si>
  <si>
    <t>9/21/2025</t>
  </si>
  <si>
    <t>eBay O*12-13601-64159</t>
  </si>
  <si>
    <t>9/21/2025 12:19</t>
  </si>
  <si>
    <t>9/20/2025</t>
  </si>
  <si>
    <t>WALMART.COM</t>
  </si>
  <si>
    <t>9/20/2025 1:14</t>
  </si>
  <si>
    <t>9/17/2025</t>
  </si>
  <si>
    <t>PAYONEER INC; 890104990; Stars Flying Inc</t>
  </si>
  <si>
    <t>9/17/2025 17:10</t>
  </si>
  <si>
    <t>9/16/2025</t>
  </si>
  <si>
    <t>Qwaaq</t>
  </si>
  <si>
    <t>Qwaaq, LLC</t>
  </si>
  <si>
    <t>9/16/2025 14:50</t>
  </si>
  <si>
    <t>From Stars Flying Inc via mercury.com Network Fee</t>
  </si>
  <si>
    <t>Tencent</t>
  </si>
  <si>
    <t>Tencent Cloud</t>
  </si>
  <si>
    <t>Electronics</t>
  </si>
  <si>
    <t>10/21/2025</t>
  </si>
  <si>
    <t>10</t>
  </si>
  <si>
    <t>From Stars Flying Inc</t>
  </si>
  <si>
    <t>10/21/2025 4:04</t>
  </si>
  <si>
    <t>10/17/2025</t>
  </si>
  <si>
    <t>10/17/2025 1:09</t>
  </si>
  <si>
    <t>PAYONEER INC; 899529579; Stars Flying Inc</t>
  </si>
  <si>
    <t>From Stars Flying Inc via mercury.com IDC FEE</t>
  </si>
  <si>
    <t>11/23/2025</t>
  </si>
  <si>
    <t>11</t>
  </si>
  <si>
    <t>########</t>
  </si>
  <si>
    <t>ovise_case@starsflying.com</t>
  </si>
  <si>
    <t>support@starsflying.us</t>
  </si>
  <si>
    <t>11/20/2025</t>
  </si>
  <si>
    <t>SUNRATE PTE. LTD.</t>
  </si>
  <si>
    <t>WB10492667310693</t>
  </si>
  <si>
    <t>afa144d2-7f2c-4830-b3d4-ae1a475bf7a0</t>
  </si>
  <si>
    <t>11/19/2025</t>
  </si>
  <si>
    <t>REF*TN*3661852893*IDC FEE FOR IP\</t>
  </si>
  <si>
    <t>11/17/2025</t>
  </si>
  <si>
    <t>PAYONEER INC; 914607355; Stars Flying Inc</t>
  </si>
  <si>
    <t>WB05130146111480</t>
  </si>
  <si>
    <t>1dbcd5c2-7f2c-482d-930e-1804bf1fac33</t>
  </si>
  <si>
    <t>WA22517050153014</t>
  </si>
  <si>
    <t>44c0af2a-7f29-481f-b198-2f64a5b47959</t>
  </si>
  <si>
    <t>12/30/2025</t>
  </si>
  <si>
    <t>12</t>
  </si>
  <si>
    <t>12/30/2025 8:04</t>
  </si>
  <si>
    <t>12/28/2025</t>
  </si>
  <si>
    <t>12/28/2025 15:14</t>
  </si>
  <si>
    <t>12/22/2025</t>
  </si>
  <si>
    <t>WC11241569663843</t>
  </si>
  <si>
    <t>12/22/2025 13:24</t>
  </si>
  <si>
    <t>12/20/2025</t>
  </si>
  <si>
    <t>12/20/2025 7:59</t>
  </si>
  <si>
    <t>REF*TN*3661853269*idc fee\</t>
  </si>
  <si>
    <t>WB27150137529423</t>
  </si>
  <si>
    <t>From Stars Flying Inc via mercury.com. network fee.</t>
  </si>
  <si>
    <t>Date</t>
  </si>
  <si>
    <t>Time</t>
  </si>
  <si>
    <t>TimeZone</t>
  </si>
  <si>
    <t>Name</t>
  </si>
  <si>
    <t>Type</t>
  </si>
  <si>
    <t>Currency</t>
  </si>
  <si>
    <t>Gross</t>
  </si>
  <si>
    <t>Fee</t>
  </si>
  <si>
    <t>Net</t>
  </si>
  <si>
    <t>Transaction ID</t>
  </si>
  <si>
    <t>Balance</t>
  </si>
  <si>
    <t>PST</t>
  </si>
  <si>
    <t>Lustig Jessy</t>
  </si>
  <si>
    <t>网站付款</t>
  </si>
  <si>
    <t>已完成</t>
  </si>
  <si>
    <t>5NN567791J961805J</t>
  </si>
  <si>
    <t>明杰 盛</t>
  </si>
  <si>
    <t>定期付款</t>
  </si>
  <si>
    <t>7GU22998TH945710T</t>
  </si>
  <si>
    <t>Shengche Lin</t>
  </si>
  <si>
    <t>0D416666A9629534V</t>
  </si>
  <si>
    <t>shu sheng</t>
  </si>
  <si>
    <t>6DN09443A2395982X</t>
  </si>
  <si>
    <t>Coa Pac</t>
  </si>
  <si>
    <t>6RY063221M9508732</t>
  </si>
  <si>
    <t>zhuang wang</t>
  </si>
  <si>
    <t>2JC26621MR463905F</t>
  </si>
  <si>
    <t>Ryan Kim</t>
  </si>
  <si>
    <t>0S46609254646530E</t>
  </si>
  <si>
    <t>用户发起的收款</t>
  </si>
  <si>
    <t>11918658BA516522P</t>
  </si>
  <si>
    <t>宇 陈</t>
  </si>
  <si>
    <t>7FC79867RW773361X</t>
  </si>
  <si>
    <t>JIANWEN PENG</t>
  </si>
  <si>
    <t>47W20796YF363925D</t>
  </si>
  <si>
    <t>冻结余额以调查争议</t>
  </si>
  <si>
    <t>待处理</t>
  </si>
  <si>
    <t>4R026402SJ4863157</t>
  </si>
  <si>
    <t>退单</t>
  </si>
  <si>
    <t>01F45106WR374003K</t>
  </si>
  <si>
    <t>取消冻结以解决争议</t>
  </si>
  <si>
    <t>被拒绝</t>
  </si>
  <si>
    <t>73509792698077259</t>
  </si>
  <si>
    <t>chong yang</t>
  </si>
  <si>
    <t>0A845910FC111801M</t>
  </si>
  <si>
    <t>5U414574VP812392T</t>
  </si>
  <si>
    <t>付款退款</t>
  </si>
  <si>
    <t>5NK3273144414422F</t>
  </si>
  <si>
    <t>枝光 真優</t>
  </si>
  <si>
    <t>2NF44876692074450</t>
  </si>
  <si>
    <t>4T260464W89374408</t>
  </si>
  <si>
    <t>志鑫 张</t>
  </si>
  <si>
    <t>1NA77863JL7311445</t>
  </si>
  <si>
    <t>建伟 韩</t>
  </si>
  <si>
    <t>2TT93296XU271992J</t>
  </si>
  <si>
    <t>Wang Hin Wong</t>
  </si>
  <si>
    <t>366031045G048600S</t>
  </si>
  <si>
    <t>xinpeng William</t>
  </si>
  <si>
    <t>17A122232L574461V</t>
  </si>
  <si>
    <t>Mio Akiyama</t>
  </si>
  <si>
    <t>5CY587620J103432N</t>
  </si>
  <si>
    <t>Junjie Xiao</t>
  </si>
  <si>
    <t>57439214N0763002P</t>
  </si>
  <si>
    <t>文强 王</t>
  </si>
  <si>
    <t>42Y76699XR446992K</t>
  </si>
  <si>
    <t>浩 金</t>
  </si>
  <si>
    <t>2VY73060GL141715U</t>
  </si>
  <si>
    <t>郑啸 吴</t>
  </si>
  <si>
    <t>45X91744TE5491645</t>
  </si>
  <si>
    <t>43886755B64209014</t>
  </si>
  <si>
    <t>永吉 李</t>
  </si>
  <si>
    <t>28L54835SX678730B</t>
  </si>
  <si>
    <t>SHENG CHUANLONG</t>
  </si>
  <si>
    <t>6Y2916670K055872Y</t>
  </si>
  <si>
    <t>ZOHO DISTRIBUTION CORP</t>
  </si>
  <si>
    <t>预先批准付款账单用户付款</t>
  </si>
  <si>
    <t>05528860PC840371L</t>
  </si>
  <si>
    <t>致嘉 楊</t>
  </si>
  <si>
    <t>0XP14062EH335993W</t>
  </si>
  <si>
    <t>YI XU</t>
  </si>
  <si>
    <t>7TV75358NT740883U</t>
  </si>
  <si>
    <t>WenTao Zeng</t>
  </si>
  <si>
    <t>5PU21198VK551422R</t>
  </si>
  <si>
    <t>Sergio Rodriguez Perez</t>
  </si>
  <si>
    <t>6EL41907Y1535924H</t>
  </si>
  <si>
    <t>付款撤销</t>
  </si>
  <si>
    <t>6BY22759AX398823X</t>
  </si>
  <si>
    <t>梓豪 李</t>
  </si>
  <si>
    <t>83S79420LX4432135</t>
  </si>
  <si>
    <t>4SM40540L9913824X</t>
  </si>
  <si>
    <t>0BJ51503MW226930K</t>
  </si>
  <si>
    <t>Ming Tsun WONG</t>
  </si>
  <si>
    <t>1TY258239F7350744</t>
  </si>
  <si>
    <t>4RA62366XR2053338</t>
  </si>
  <si>
    <t>朕超 隋</t>
  </si>
  <si>
    <t>3UD4772516883881B</t>
  </si>
  <si>
    <t>广生 林</t>
  </si>
  <si>
    <t>2MY11434NC594922J</t>
  </si>
  <si>
    <t>6PJ28375KB662951E</t>
  </si>
  <si>
    <t>ZENG XIAOFEI</t>
  </si>
  <si>
    <t>16531129L39844635</t>
  </si>
  <si>
    <t>5KT7877346451643R</t>
  </si>
  <si>
    <t>4H716999DA5553416</t>
  </si>
  <si>
    <t>1J5186882R559501T</t>
  </si>
  <si>
    <t>9KY9825212787245M</t>
  </si>
  <si>
    <t>6TW99093GY9814831</t>
  </si>
  <si>
    <t>8GD999980G889094U</t>
  </si>
  <si>
    <t>成华区新路程电子商务工作室</t>
  </si>
  <si>
    <t>6WS04676HN505463N</t>
  </si>
  <si>
    <t>7LY15274FN919084H</t>
  </si>
  <si>
    <t>争议费</t>
  </si>
  <si>
    <t>9CA59849X66857532</t>
  </si>
  <si>
    <t>79K953502H018482H</t>
  </si>
  <si>
    <t>程 常</t>
  </si>
  <si>
    <t>05H76178LW7354158</t>
  </si>
  <si>
    <t>YIFAN SHI</t>
  </si>
  <si>
    <t>87875665PT1232259</t>
  </si>
  <si>
    <t>76Y52904PY775982W</t>
  </si>
  <si>
    <t>Zhenyu Qiao</t>
  </si>
  <si>
    <t>13X24647AK328224V</t>
  </si>
  <si>
    <t>0H290001XG6149442</t>
  </si>
  <si>
    <t>73T8750287591393R</t>
  </si>
  <si>
    <t>Namecheap, Inc</t>
  </si>
  <si>
    <t>快速结账付款</t>
  </si>
  <si>
    <t>3K1926827D397541B</t>
  </si>
  <si>
    <t>24Y40503T0285030A</t>
  </si>
  <si>
    <t>Tuchman Aridia</t>
  </si>
  <si>
    <t>5PT170152T050554W</t>
  </si>
  <si>
    <t>Jugran Sureka</t>
  </si>
  <si>
    <t>3XP526149C9025608</t>
  </si>
  <si>
    <t>翔 梁</t>
  </si>
  <si>
    <t>8BH27129SJ672351V</t>
  </si>
  <si>
    <t>junwu chen</t>
  </si>
  <si>
    <t>8SA15316EE6282820</t>
  </si>
  <si>
    <t>8BJ206916B618903T</t>
  </si>
  <si>
    <t>8CT65871LH383173E</t>
  </si>
  <si>
    <t>tof dao</t>
  </si>
  <si>
    <t>3US37306AT524140B</t>
  </si>
  <si>
    <t>Lin Qin</t>
  </si>
  <si>
    <t>4MK25327G2406010L</t>
  </si>
  <si>
    <t>枢旻 程</t>
  </si>
  <si>
    <t>721413845A226533F</t>
  </si>
  <si>
    <t>小帆 李</t>
  </si>
  <si>
    <t>6M891450F7448881X</t>
  </si>
  <si>
    <t>53132721X2117105D</t>
  </si>
  <si>
    <t>1D4239102E080133S</t>
  </si>
  <si>
    <t>2JT21360DW025333D</t>
  </si>
  <si>
    <t>5NX77720A9900382K</t>
  </si>
  <si>
    <t>Hoa Le</t>
  </si>
  <si>
    <t>6F402133L1210372P</t>
  </si>
  <si>
    <t>7XM39332YK244524R</t>
  </si>
  <si>
    <t>7G255191WS8002547</t>
  </si>
  <si>
    <t>1B810009G8025825U</t>
  </si>
  <si>
    <t>PDT</t>
  </si>
  <si>
    <t>梦鑫 李</t>
  </si>
  <si>
    <t>1B3693133J800890L</t>
  </si>
  <si>
    <t>0V151768RJ692201B</t>
  </si>
  <si>
    <t>TVIMI</t>
  </si>
  <si>
    <t>6DT033823H173751B</t>
  </si>
  <si>
    <t>3/16/2025</t>
  </si>
  <si>
    <t>0TG651076G025183G</t>
  </si>
  <si>
    <t>TENG WEI JIE</t>
  </si>
  <si>
    <t>30H22762JF9716011</t>
  </si>
  <si>
    <t>Jianji Ren</t>
  </si>
  <si>
    <t>52F64606DC091081C</t>
  </si>
  <si>
    <t>31234934HD782321G</t>
  </si>
  <si>
    <t>6PN08508HT241354J</t>
  </si>
  <si>
    <t>2FR74113NP315884H</t>
  </si>
  <si>
    <t>6474368707715852V</t>
  </si>
  <si>
    <t>3/23/2025</t>
  </si>
  <si>
    <t>Pengfei Li</t>
  </si>
  <si>
    <t>46431410JC712672X</t>
  </si>
  <si>
    <t>7HX361560M700900K</t>
  </si>
  <si>
    <t>3/30/2025</t>
  </si>
  <si>
    <t>92U962487A035740G</t>
  </si>
  <si>
    <t>海波 梅</t>
  </si>
  <si>
    <t>35E52896SR812432F</t>
  </si>
  <si>
    <t>2LN92175R88870431</t>
  </si>
  <si>
    <t>Jack Ma</t>
  </si>
  <si>
    <t>4XR62373PJ534752X</t>
  </si>
  <si>
    <t>1VM32948GV9286159</t>
  </si>
  <si>
    <t>31B86187PX404010A</t>
  </si>
  <si>
    <t>唐瑞 楊</t>
  </si>
  <si>
    <t>08T615297C7990336</t>
  </si>
  <si>
    <t>yuhang zhao</t>
  </si>
  <si>
    <t>5MD41184Y8131223V</t>
  </si>
  <si>
    <t>7D898945XX733322E</t>
  </si>
  <si>
    <t>7SK87616YD3045606</t>
  </si>
  <si>
    <t>5T101329XN019445M</t>
  </si>
  <si>
    <t>4VE00729PW978901P</t>
  </si>
  <si>
    <t>8T5366628W7922821</t>
  </si>
  <si>
    <t>京浔 蒋</t>
  </si>
  <si>
    <t>26268011T41640503</t>
  </si>
  <si>
    <t>4/13/2025</t>
  </si>
  <si>
    <t>展 梅</t>
  </si>
  <si>
    <t>3UN66064A3976431Y</t>
  </si>
  <si>
    <t>3TY71808KE963014Y</t>
  </si>
  <si>
    <t>4/16/2025</t>
  </si>
  <si>
    <t>7U217655UT783890C</t>
  </si>
  <si>
    <t>55599408EN535680R</t>
  </si>
  <si>
    <t>6TF53153WH278004M</t>
  </si>
  <si>
    <t>9BX96288L48108504</t>
  </si>
  <si>
    <t>4/20/2025</t>
  </si>
  <si>
    <t>xin zhu</t>
  </si>
  <si>
    <t>9UG74009MJ814782V</t>
  </si>
  <si>
    <t>0BC96594B8246535C</t>
  </si>
  <si>
    <t>4/21/2025</t>
  </si>
  <si>
    <t>75D90675E5979404C</t>
  </si>
  <si>
    <t>twitch頻道</t>
  </si>
  <si>
    <t>9NV81617NJ824012F</t>
  </si>
  <si>
    <t>镇玮 田</t>
  </si>
  <si>
    <t>2RU50559EU536013J</t>
  </si>
  <si>
    <t>88313786SF848363K</t>
  </si>
  <si>
    <t>4/27/2025</t>
  </si>
  <si>
    <t>1PK23623X3515174D</t>
  </si>
  <si>
    <t>9N6124498P795914B</t>
  </si>
  <si>
    <t>74F550128L492145D</t>
  </si>
  <si>
    <t>杨长江</t>
  </si>
  <si>
    <t>9CU96548MG812833C</t>
  </si>
  <si>
    <t>4FT62371FB288104J</t>
  </si>
  <si>
    <t>BunnyWay d.o.o.</t>
  </si>
  <si>
    <t>31848732L5773105P</t>
  </si>
  <si>
    <t>59H628962S2003321</t>
  </si>
  <si>
    <t>5/14/2025</t>
  </si>
  <si>
    <t>震楷 凌</t>
  </si>
  <si>
    <t>6NN49629C7072505A</t>
  </si>
  <si>
    <t>97E838489U198582J</t>
  </si>
  <si>
    <t>5G8760584U913813B</t>
  </si>
  <si>
    <t>5/15/2025</t>
  </si>
  <si>
    <t>2SV813843Y3153545</t>
  </si>
  <si>
    <t>5/16/2025</t>
  </si>
  <si>
    <t>9U315080EW928583X</t>
  </si>
  <si>
    <t>7V389522KU183762K</t>
  </si>
  <si>
    <t>3B506460N2125721T</t>
  </si>
  <si>
    <t>5/19/2025</t>
  </si>
  <si>
    <t>Universal Reach Marketing Agency L.L.C-FZ</t>
  </si>
  <si>
    <t>2KX3959800285744Y</t>
  </si>
  <si>
    <t>伟 黄</t>
  </si>
  <si>
    <t>6KV90616AV084750U</t>
  </si>
  <si>
    <t>5/20/2025</t>
  </si>
  <si>
    <t>雪强 史</t>
  </si>
  <si>
    <t>0Y473846SP5503802</t>
  </si>
  <si>
    <t>5/21/2025</t>
  </si>
  <si>
    <t>2BT55195E6229683Y</t>
  </si>
  <si>
    <t>9S204790VH8195941</t>
  </si>
  <si>
    <t>5/23/2025</t>
  </si>
  <si>
    <t>Abusweileim Samur</t>
  </si>
  <si>
    <t>3TJ18750SC2665005</t>
  </si>
  <si>
    <t>5/24/2025</t>
  </si>
  <si>
    <t>Mingqing Xiong</t>
  </si>
  <si>
    <t>5WH007724J979470P</t>
  </si>
  <si>
    <t>5/27/2025</t>
  </si>
  <si>
    <t>Xin Wen</t>
  </si>
  <si>
    <t>9UC950070L219364K</t>
  </si>
  <si>
    <t>Freya Barry</t>
  </si>
  <si>
    <t>52E20286WM529054Y</t>
  </si>
  <si>
    <t>5/28/2025</t>
  </si>
  <si>
    <t>大山 罗</t>
  </si>
  <si>
    <t>23S680600P4545206</t>
  </si>
  <si>
    <t>5/29/2025</t>
  </si>
  <si>
    <t>开放授权账户冻结</t>
  </si>
  <si>
    <t>2XP16752K18822056</t>
  </si>
  <si>
    <t>Cloudflare Inc</t>
  </si>
  <si>
    <t>1CJ38594EX642790C</t>
  </si>
  <si>
    <t>普通账户冻结撤销</t>
  </si>
  <si>
    <t>30195119R5210744R</t>
  </si>
  <si>
    <t>嘉謙 徐</t>
  </si>
  <si>
    <t>30U700771X708342L</t>
  </si>
  <si>
    <t>5/30/2025</t>
  </si>
  <si>
    <t>佳 易</t>
  </si>
  <si>
    <t>0L156231DE063890J</t>
  </si>
  <si>
    <t>5/31/2025</t>
  </si>
  <si>
    <t>文浩 謝</t>
  </si>
  <si>
    <t>1P58809439541393H</t>
  </si>
  <si>
    <t>捷 汤</t>
  </si>
  <si>
    <t>1H123807DY018051Y</t>
  </si>
  <si>
    <t>America/Los_Angeles</t>
  </si>
  <si>
    <t>Hanwen Guo</t>
  </si>
  <si>
    <t>7VY142008W557842S</t>
  </si>
  <si>
    <t>0CY16279MN618405E</t>
  </si>
  <si>
    <t>GPLPackage</t>
  </si>
  <si>
    <t>3VU60510HN4340517</t>
  </si>
  <si>
    <t>12R56534GB8060115</t>
  </si>
  <si>
    <t>7D4718552N7494931</t>
  </si>
  <si>
    <t>2SU43619FT3515832</t>
  </si>
  <si>
    <t>7MX17468DU2130104</t>
  </si>
  <si>
    <t>伟鸿 黄</t>
  </si>
  <si>
    <t>31J227226U126304S</t>
  </si>
  <si>
    <t>聪辉 林</t>
  </si>
  <si>
    <t>7RK539601W3540455</t>
  </si>
  <si>
    <t>43D41095N09668342</t>
  </si>
  <si>
    <t>6VK26413VR856403V</t>
  </si>
  <si>
    <t>jiajun yi</t>
  </si>
  <si>
    <t>4C365040KH997052L</t>
  </si>
  <si>
    <t>维平 宋</t>
  </si>
  <si>
    <t>39U87586JR366505J</t>
  </si>
  <si>
    <t>6/13/2025</t>
  </si>
  <si>
    <t>6SJ32822AE699845A</t>
  </si>
  <si>
    <t>6/15/2025</t>
  </si>
  <si>
    <t>94Y08614SM211704T</t>
  </si>
  <si>
    <t>6/16/2025</t>
  </si>
  <si>
    <t>4FR47604T9827520B</t>
  </si>
  <si>
    <t>6/18/2025</t>
  </si>
  <si>
    <t>STOCK EIGHT INC</t>
  </si>
  <si>
    <t>34P58187KN710420B</t>
  </si>
  <si>
    <t>6/19/2025</t>
  </si>
  <si>
    <t>li xiangwu</t>
  </si>
  <si>
    <t>1R288483DX495543Y</t>
  </si>
  <si>
    <t>6/20/2025</t>
  </si>
  <si>
    <t>20D6422488183371Y</t>
  </si>
  <si>
    <t>6/21/2025</t>
  </si>
  <si>
    <t>5615026769279204S</t>
  </si>
  <si>
    <t>7RK551025S3144301</t>
  </si>
  <si>
    <t>Alibaba.com (Europe) Limited</t>
  </si>
  <si>
    <t>7BR679926W6854508</t>
  </si>
  <si>
    <t>6/22/2025</t>
  </si>
  <si>
    <t>宇 詹</t>
  </si>
  <si>
    <t>0HB50320VT9878716</t>
  </si>
  <si>
    <t>佳融 莫</t>
  </si>
  <si>
    <t>47K109184N114725N</t>
  </si>
  <si>
    <t>6/23/2025</t>
  </si>
  <si>
    <t>隽 吴</t>
  </si>
  <si>
    <t>1U137489TE1878316</t>
  </si>
  <si>
    <t>6/24/2025</t>
  </si>
  <si>
    <t>3C865941TA031784K</t>
  </si>
  <si>
    <t>6/25/2025</t>
  </si>
  <si>
    <t>诗杰 杜</t>
  </si>
  <si>
    <t>2FK89175659223239</t>
  </si>
  <si>
    <t>6/29/2025</t>
  </si>
  <si>
    <t>JIAJUN WU</t>
  </si>
  <si>
    <t>7DR15038A69018817</t>
  </si>
  <si>
    <t>Tianyang Xu</t>
  </si>
  <si>
    <t>4H580174830755537</t>
  </si>
  <si>
    <t>DigiCert Ireland Limited</t>
  </si>
  <si>
    <t>8UR07764DC1299521</t>
  </si>
  <si>
    <t>6/30/2025</t>
  </si>
  <si>
    <t>46R03791W2674820F</t>
  </si>
  <si>
    <t>Xiaomin Wu</t>
  </si>
  <si>
    <t>1RS69701VC2801329</t>
  </si>
  <si>
    <t>Haina Kang</t>
  </si>
  <si>
    <t>6EV26975X5429460J</t>
  </si>
  <si>
    <t>2DA01574JA3430527</t>
  </si>
  <si>
    <t>祥成 满</t>
  </si>
  <si>
    <t>0HY13454UW009872N</t>
  </si>
  <si>
    <t>4FX89143DF070961A</t>
  </si>
  <si>
    <t>5YX894107E774691G</t>
  </si>
  <si>
    <t>1CE124258S749953D</t>
  </si>
  <si>
    <t>Ren Jin</t>
  </si>
  <si>
    <t>86972450CF1101017</t>
  </si>
  <si>
    <t>5HV60591PC794434X</t>
  </si>
  <si>
    <t>7/18/2025</t>
  </si>
  <si>
    <t>zheng yuan</t>
  </si>
  <si>
    <t>2AA1117413970581H</t>
  </si>
  <si>
    <t>7/21/2025</t>
  </si>
  <si>
    <t>5EE01425FH413440E</t>
  </si>
  <si>
    <t>7HR78517MV274463C</t>
  </si>
  <si>
    <t>8L9422014C546521C</t>
  </si>
  <si>
    <t>孟溪 業</t>
  </si>
  <si>
    <t>9WY88273HJ5250149</t>
  </si>
  <si>
    <t>5V044488WP602281B</t>
  </si>
  <si>
    <t>7/25/2025</t>
  </si>
  <si>
    <t>LEI KAIDONG</t>
  </si>
  <si>
    <t>91X05741YH3970329</t>
  </si>
  <si>
    <t>7/26/2025</t>
  </si>
  <si>
    <t>大伟 姚</t>
  </si>
  <si>
    <t>61D754766K873310D</t>
  </si>
  <si>
    <t>9D699153B1049494A</t>
  </si>
  <si>
    <t>7/27/2025</t>
  </si>
  <si>
    <t>国武 郑</t>
  </si>
  <si>
    <t>22L604979K723482Y</t>
  </si>
  <si>
    <t>7/28/2025</t>
  </si>
  <si>
    <t>42S11875RS2129738</t>
  </si>
  <si>
    <t>7/29/2025</t>
  </si>
  <si>
    <t>8EN39063NR515554J</t>
  </si>
  <si>
    <t>7/30/2025</t>
  </si>
  <si>
    <t>7MA85511WV8151506</t>
  </si>
  <si>
    <t>Gao Yi Lin</t>
  </si>
  <si>
    <t>5D562958BE4669439</t>
  </si>
  <si>
    <t>PENGFEI ZHANG</t>
  </si>
  <si>
    <t>6KY483634D6983525</t>
  </si>
  <si>
    <t>7GG9218889452934X</t>
  </si>
  <si>
    <t>8/15/2025</t>
  </si>
  <si>
    <t>XUWEI CHEN</t>
  </si>
  <si>
    <t>6SK95380F3481961H</t>
  </si>
  <si>
    <t>8/16/2025</t>
  </si>
  <si>
    <t>72E50363CJ496922D</t>
  </si>
  <si>
    <t>8/20/2025</t>
  </si>
  <si>
    <t>reid lam</t>
  </si>
  <si>
    <t>6N056950F8768710L</t>
  </si>
  <si>
    <t>8/21/2025</t>
  </si>
  <si>
    <t>9YJ80918JX7768001</t>
  </si>
  <si>
    <t>5R571355DL007293L</t>
  </si>
  <si>
    <t>5MD08458PF3307452</t>
  </si>
  <si>
    <t>8LX924375K968223P</t>
  </si>
  <si>
    <t>14N83460KL967301T</t>
  </si>
  <si>
    <t>8/28/2025</t>
  </si>
  <si>
    <t>6L933076RH8481504</t>
  </si>
  <si>
    <t>98E15362CN516373E</t>
  </si>
  <si>
    <t>Daolong Liao</t>
  </si>
  <si>
    <t>8KU37968YV1066609</t>
  </si>
  <si>
    <t>4CG577707H856362M</t>
  </si>
  <si>
    <t>3RT565958W1517438</t>
  </si>
  <si>
    <t>4CW78197RV1708843</t>
  </si>
  <si>
    <t>Wei Hong Tan</t>
  </si>
  <si>
    <t>7AA52443226030521</t>
  </si>
  <si>
    <t>ZHEN LI</t>
  </si>
  <si>
    <t>1KX633657K3172245</t>
  </si>
  <si>
    <t>萌 陈</t>
  </si>
  <si>
    <t>68M302603S404690N</t>
  </si>
  <si>
    <t>UVNV INC</t>
  </si>
  <si>
    <t>60A76230FX6886632</t>
  </si>
  <si>
    <t>Xuan Wu</t>
  </si>
  <si>
    <t>08155877EH4335342</t>
  </si>
  <si>
    <t>9T835096KG361181V</t>
  </si>
  <si>
    <t>796224307C950462N</t>
  </si>
  <si>
    <t>57241785J8813643S</t>
  </si>
  <si>
    <t>92V644992B282270P</t>
  </si>
  <si>
    <t>9/27/2025</t>
  </si>
  <si>
    <t>6JL37941JL389625X</t>
  </si>
  <si>
    <t>9/28/2025</t>
  </si>
  <si>
    <t>0RK50208EL1066238</t>
  </si>
  <si>
    <t>9/29/2025</t>
  </si>
  <si>
    <t>4XA70028CP0105228</t>
  </si>
  <si>
    <t>YIZHI HU</t>
  </si>
  <si>
    <t>06A26094E68833325</t>
  </si>
  <si>
    <t>0RR36137Y9708624K</t>
  </si>
  <si>
    <t>9MB65089DB3406038</t>
  </si>
  <si>
    <t>仁效 苏</t>
  </si>
  <si>
    <t>6LA19231XS421052K</t>
  </si>
  <si>
    <t>2NW57965A0750422P</t>
  </si>
  <si>
    <t>60868495Y6616360C</t>
  </si>
  <si>
    <t>8PC85304HA198643U</t>
  </si>
  <si>
    <t>10/13/2025</t>
  </si>
  <si>
    <t>Yongpo Wang</t>
  </si>
  <si>
    <t>4C3993797J9752244</t>
  </si>
  <si>
    <t>RUI LIN</t>
  </si>
  <si>
    <t>4AC64689J18332021</t>
  </si>
  <si>
    <t>10/15/2025</t>
  </si>
  <si>
    <t>20R87865SB912222C</t>
  </si>
  <si>
    <t>10/16/2025</t>
  </si>
  <si>
    <t>41L13167BT8897600</t>
  </si>
  <si>
    <t>8P394036GP138301G</t>
  </si>
  <si>
    <t>35159662SM149912M</t>
  </si>
  <si>
    <t>0R124161YR8860229</t>
  </si>
  <si>
    <t>10/23/2025</t>
  </si>
  <si>
    <t>晶 韩</t>
  </si>
  <si>
    <t>5GL58299MD4100512</t>
  </si>
  <si>
    <t>5WG194445P026362U</t>
  </si>
  <si>
    <t>10/27/2025</t>
  </si>
  <si>
    <t>有健 任</t>
  </si>
  <si>
    <t>60F76047HH5948321</t>
  </si>
  <si>
    <t>10/28/2025</t>
  </si>
  <si>
    <t>1DT524758U770345E</t>
  </si>
  <si>
    <t>43P40716WM5857839</t>
  </si>
  <si>
    <t>1LY62729B38868404</t>
  </si>
  <si>
    <t>10/29/2025</t>
  </si>
  <si>
    <t>0PP35101KJ2965528</t>
  </si>
  <si>
    <t>49D739692A1195807</t>
  </si>
  <si>
    <t>10/30/2025</t>
  </si>
  <si>
    <t>Sum Ming Cho</t>
  </si>
  <si>
    <t>891164865G489681H</t>
  </si>
  <si>
    <t>10/31/2025</t>
  </si>
  <si>
    <t>4L3758268D638933L</t>
  </si>
  <si>
    <t>德嘉 区</t>
  </si>
  <si>
    <t>37H534517D471642P</t>
  </si>
  <si>
    <t>俊 马</t>
  </si>
  <si>
    <t>82247627U9843245H</t>
  </si>
  <si>
    <t>14F69253139209746</t>
  </si>
  <si>
    <t>振杨 廖</t>
  </si>
  <si>
    <t>4KN83509SE0618121</t>
  </si>
  <si>
    <t>2XE93295M5415541F</t>
  </si>
  <si>
    <t>9BD23910RJ743322S</t>
  </si>
  <si>
    <t>4FL729242U637092V</t>
  </si>
  <si>
    <t>英强 黎</t>
  </si>
  <si>
    <t>6HY76562V2456701H</t>
  </si>
  <si>
    <t>Abdul Mannan Masood</t>
  </si>
  <si>
    <t>5YA81229CK3647426</t>
  </si>
  <si>
    <t>Libao Pan</t>
  </si>
  <si>
    <t>7FR0774058941100B</t>
  </si>
  <si>
    <t>1SV06689XU207203C</t>
  </si>
  <si>
    <t>鹏程 杨</t>
  </si>
  <si>
    <t>45A75278E2097880C</t>
  </si>
  <si>
    <t>Dun Deng</t>
  </si>
  <si>
    <t>6TB25290X9161042J</t>
  </si>
  <si>
    <t>11/13/2025</t>
  </si>
  <si>
    <t>JIANLONG CHEN</t>
  </si>
  <si>
    <t>78S759756T698432T</t>
  </si>
  <si>
    <t>11/15/2025</t>
  </si>
  <si>
    <t>茂峰 李</t>
  </si>
  <si>
    <t>345197503L592181M</t>
  </si>
  <si>
    <t>奕添 陈</t>
  </si>
  <si>
    <t>9NV48192HL384690L</t>
  </si>
  <si>
    <t>11/16/2025</t>
  </si>
  <si>
    <t>7XC89377S8472200A</t>
  </si>
  <si>
    <t>忠时 邱</t>
  </si>
  <si>
    <t>4Y042311MS093270P</t>
  </si>
  <si>
    <t>zihao xiao</t>
  </si>
  <si>
    <t>4M369429KP125193U</t>
  </si>
  <si>
    <t>11/21/2025</t>
  </si>
  <si>
    <t>79J386130B583392F</t>
  </si>
  <si>
    <t>0KX83161BE259653F</t>
  </si>
  <si>
    <t>Junchen Liu</t>
  </si>
  <si>
    <t>7NN47446D4379863V</t>
  </si>
  <si>
    <t>3RJ111814Y128432Y</t>
  </si>
  <si>
    <t>2VM038380J327003G</t>
  </si>
  <si>
    <t>Peng Ling</t>
  </si>
  <si>
    <t>8KA872336E4386900</t>
  </si>
  <si>
    <t>11/24/2025</t>
  </si>
  <si>
    <t>一洋 沈</t>
  </si>
  <si>
    <t>0NV08087311650849</t>
  </si>
  <si>
    <t>3P2873927K962834L</t>
  </si>
  <si>
    <t>11/25/2025</t>
  </si>
  <si>
    <t>CHEN FUMIN</t>
  </si>
  <si>
    <t>9E6456122W616393H</t>
  </si>
  <si>
    <t>1WN14361MV822762W</t>
  </si>
  <si>
    <t>0TV84550GX4365240</t>
  </si>
  <si>
    <t>2UG641876R600114B</t>
  </si>
  <si>
    <t>11/26/2025</t>
  </si>
  <si>
    <t>Chaowen Wu</t>
  </si>
  <si>
    <t>6RT05802AM485293S</t>
  </si>
  <si>
    <t>源鹏 廖</t>
  </si>
  <si>
    <t>5VC84270EC825605J</t>
  </si>
  <si>
    <t>20S78326ML470964V</t>
  </si>
  <si>
    <t>振安 盛</t>
  </si>
  <si>
    <t>29N10075R83257303</t>
  </si>
  <si>
    <t>9SV56006GC268372U</t>
  </si>
  <si>
    <t>11/28/2025</t>
  </si>
  <si>
    <t>0H195589U48348133</t>
  </si>
  <si>
    <t>11/29/2025</t>
  </si>
  <si>
    <t>8LP5257644767131W</t>
  </si>
  <si>
    <t>Jiapei Zhu</t>
  </si>
  <si>
    <t>8VM37681CA6679227</t>
  </si>
  <si>
    <t>11/30/2025</t>
  </si>
  <si>
    <t>时强 周</t>
  </si>
  <si>
    <t>3LP57159JN652063C</t>
  </si>
  <si>
    <t>9DM61099AS339192F</t>
  </si>
  <si>
    <t>Yubin Fan</t>
  </si>
  <si>
    <t>6KK315891G624715J</t>
  </si>
  <si>
    <t>4N809174ME8218547</t>
  </si>
  <si>
    <t>48A38265WC1936159</t>
  </si>
  <si>
    <t>57B85125MA293715V</t>
  </si>
  <si>
    <t>83419604D50140137</t>
  </si>
  <si>
    <t>Qi Li</t>
  </si>
  <si>
    <t>3YN30932WS7202534</t>
  </si>
  <si>
    <t>昕 王</t>
  </si>
  <si>
    <t>319917618N607145T</t>
  </si>
  <si>
    <t>洋 武</t>
  </si>
  <si>
    <t>15C39954AU811800D</t>
  </si>
  <si>
    <t>紫洪 蔡</t>
  </si>
  <si>
    <t>29555635E1496932W</t>
  </si>
  <si>
    <t>7RR25821BK259184W</t>
  </si>
  <si>
    <t>2PL34715WJ075931D</t>
  </si>
  <si>
    <t>1GR55025WF615784F</t>
  </si>
  <si>
    <t>9C8570669G056852X</t>
  </si>
  <si>
    <t>12/14/2025</t>
  </si>
  <si>
    <t>玉龙 沈</t>
  </si>
  <si>
    <t>1AB417672U812410A</t>
  </si>
  <si>
    <t>ZOOG SERVICES ΙΚΕ ||ZOOG SERVICES</t>
  </si>
  <si>
    <t>87V350370Y344373N</t>
  </si>
  <si>
    <t>7XY45584A3791583V</t>
  </si>
  <si>
    <t>12/15/2025</t>
  </si>
  <si>
    <t>2P125146RN599825P</t>
  </si>
  <si>
    <t>663959139A924245E</t>
  </si>
  <si>
    <t>12/16/2025</t>
  </si>
  <si>
    <t>0R641797YW700791M</t>
  </si>
  <si>
    <t>12/17/2025</t>
  </si>
  <si>
    <t>fr ca</t>
  </si>
  <si>
    <t>98K04685D8320454Y</t>
  </si>
  <si>
    <t>12/18/2025</t>
  </si>
  <si>
    <t>Sunshine Villas</t>
  </si>
  <si>
    <t>8D734928VJ595510L</t>
  </si>
  <si>
    <t>12/19/2025</t>
  </si>
  <si>
    <t>yuan zhou</t>
  </si>
  <si>
    <t>3AM354752Y244384L</t>
  </si>
  <si>
    <t>8E82114866584250K</t>
  </si>
  <si>
    <t>12/21/2025</t>
  </si>
  <si>
    <t>3K6390352C063710W</t>
  </si>
  <si>
    <t>0TF24361JN2190836</t>
  </si>
  <si>
    <t>伟鹏 郑</t>
  </si>
  <si>
    <t>5WU52067EG238725X</t>
  </si>
  <si>
    <t>8WU688439E617822L</t>
  </si>
  <si>
    <t>6BB80259N59785450</t>
  </si>
  <si>
    <t>12/24/2025</t>
  </si>
  <si>
    <t>5YA21283RL5708823</t>
  </si>
  <si>
    <t>Visible Service LLC</t>
  </si>
  <si>
    <t>9WE22652D6107162T</t>
  </si>
  <si>
    <t>63763409CU555820U</t>
  </si>
  <si>
    <t>12/25/2025</t>
  </si>
  <si>
    <t>77V90072WB386194G</t>
  </si>
  <si>
    <t>72N80238TP5953645</t>
  </si>
  <si>
    <t>ELIAS MINJAREZ</t>
  </si>
  <si>
    <t>6X3038901M6871411</t>
  </si>
  <si>
    <t>12/26/2025</t>
  </si>
  <si>
    <t>0B445117KA588860G</t>
  </si>
  <si>
    <t>0K5591899N316112K</t>
  </si>
  <si>
    <t>12/27/2025</t>
  </si>
  <si>
    <t>6GU76875XR546432P</t>
  </si>
  <si>
    <t>7X326263ST571174L</t>
  </si>
  <si>
    <t>BOCHENG LIU</t>
  </si>
  <si>
    <t>48L89751C15812037</t>
  </si>
  <si>
    <t>12/29/2025</t>
  </si>
  <si>
    <t>書篁 林</t>
  </si>
  <si>
    <t>94T428268E743622W</t>
  </si>
  <si>
    <t>FIVEFIVENETWORK LLC</t>
  </si>
  <si>
    <t>55T39141RP627253X</t>
  </si>
  <si>
    <t>12/31/2025</t>
  </si>
  <si>
    <t>Cong YAN</t>
  </si>
  <si>
    <t>5UX03769B87472450</t>
  </si>
  <si>
    <t>#</t>
  </si>
  <si>
    <t>日期</t>
  </si>
  <si>
    <t>年</t>
  </si>
  <si>
    <t>月份</t>
  </si>
  <si>
    <t>对象</t>
  </si>
  <si>
    <t>类型</t>
  </si>
  <si>
    <t>描述</t>
  </si>
  <si>
    <t>结算否</t>
  </si>
  <si>
    <t>是否对帐</t>
  </si>
  <si>
    <t>结算总额</t>
  </si>
  <si>
    <t>结算日期</t>
  </si>
  <si>
    <t>结算银行</t>
  </si>
  <si>
    <t>NiiHost</t>
  </si>
  <si>
    <t>销售收入</t>
  </si>
  <si>
    <t>已结算</t>
  </si>
  <si>
    <t>水星银行SF</t>
  </si>
  <si>
    <t>5笔USDT转换手续费 1.5x5</t>
  </si>
  <si>
    <t>AFF</t>
  </si>
  <si>
    <t>业务支出</t>
  </si>
  <si>
    <t>AF支付给张雨萱</t>
  </si>
  <si>
    <t>AF支付给优哥</t>
  </si>
  <si>
    <t>Niihost</t>
  </si>
  <si>
    <t>银行转帐</t>
  </si>
  <si>
    <t>转到水星支付账单，5笔USDT转换手续费 1.5x5</t>
  </si>
  <si>
    <t>可达鸭</t>
  </si>
  <si>
    <t>KCD 支出费用（IEPL）</t>
  </si>
  <si>
    <t>TRX</t>
  </si>
  <si>
    <t>TRX 22.23R\</t>
  </si>
  <si>
    <t>TRX 17.55</t>
  </si>
  <si>
    <t>TRX 7.65</t>
  </si>
  <si>
    <t>TRX 12.68</t>
  </si>
  <si>
    <t>TRX 4.37</t>
  </si>
  <si>
    <t>TRX 12.7</t>
  </si>
  <si>
    <t>27.98 合并为一笔</t>
  </si>
  <si>
    <t>TRX 3.98</t>
  </si>
  <si>
    <t>Sun的</t>
  </si>
  <si>
    <t>TRX 14.68</t>
  </si>
  <si>
    <t>USDT 249 一起</t>
  </si>
  <si>
    <t>AF支付给张雨萱，59.96+1.5</t>
  </si>
  <si>
    <t>结以往转手续费，20+1.5  转帐，兑法币</t>
  </si>
  <si>
    <t>TRX 38.73</t>
  </si>
  <si>
    <t>TRX 3.63</t>
  </si>
  <si>
    <t>TRX5.13</t>
  </si>
  <si>
    <t>TRX 72.36</t>
  </si>
  <si>
    <t>TRX 8.38</t>
  </si>
  <si>
    <t>该笔为合并订单，清除</t>
  </si>
  <si>
    <t>千智网账单</t>
  </si>
  <si>
    <t>支付给火箭的IP5套IP，1个移动IP</t>
  </si>
  <si>
    <t>支付给火箭的7月份账单，与142重复</t>
  </si>
  <si>
    <t>4笔手续费，4*1.5</t>
  </si>
  <si>
    <t>支付给火箭的IP，7个IP</t>
  </si>
  <si>
    <t>开始核对 2026/1/10</t>
  </si>
  <si>
    <t>实际支付567，33美金是在购买SSL的时候的钱</t>
  </si>
  <si>
    <t>TRX 76.01=USDT 22.67</t>
  </si>
  <si>
    <t>支付给火箭的8月份账单</t>
  </si>
  <si>
    <t>TRX 8.88=USDT 2.65</t>
  </si>
  <si>
    <t>退款</t>
  </si>
  <si>
    <t>退给69奶姐</t>
  </si>
  <si>
    <t>银行提现</t>
  </si>
  <si>
    <t>TRX 18.49=USDT 5.51</t>
  </si>
  <si>
    <t>转给快车道8月份移动带宽费用</t>
  </si>
  <si>
    <t>快车道</t>
  </si>
  <si>
    <t>转给张雨萱8月份的AFF费用</t>
  </si>
  <si>
    <t>支付给千智网9月份的预付</t>
  </si>
  <si>
    <t>这个可达鸭的两次一起转的 （8-19发生）</t>
  </si>
  <si>
    <t>TRX 34/37=USDT 10.25</t>
  </si>
  <si>
    <t>支付给快车道9月份的IEPL费用和10月的预付</t>
  </si>
  <si>
    <t>支付给千智网10月份的IEPL预付</t>
  </si>
  <si>
    <t>TRX 28.16=USDT 8.4</t>
  </si>
  <si>
    <t>TRX 6.16=USDT 1.84</t>
  </si>
  <si>
    <t>一个用户重复缴费，退款</t>
  </si>
  <si>
    <t>转给vpsxb vpsxb的AFF费用</t>
  </si>
  <si>
    <t>转给台湾的月账单</t>
  </si>
  <si>
    <t>台湾增加2条线路</t>
  </si>
  <si>
    <t>火箭2</t>
  </si>
  <si>
    <t>快车道,IEPL的快车道INV-004921</t>
  </si>
  <si>
    <t>TRX 58.73=USDT 17.51</t>
  </si>
  <si>
    <t>TRX 32.49=USDT 9.69</t>
  </si>
  <si>
    <t>TRX 44.41=USDT 13.24</t>
  </si>
  <si>
    <t>支付给千智网11月份的IEPL预付</t>
  </si>
  <si>
    <t>日本线的快车道INV-004811</t>
  </si>
  <si>
    <t>香港线的快车道INV-004988</t>
  </si>
  <si>
    <t>IEPL的快车道INV-005182</t>
  </si>
  <si>
    <t>待核验</t>
  </si>
  <si>
    <t>TRX 17.85= USDT 5.32</t>
  </si>
  <si>
    <t>TRX 72.47=USDT 21.61</t>
  </si>
  <si>
    <t>$1,327.30</t>
  </si>
  <si>
    <t>支付给千智网12月份的IEPL预付</t>
  </si>
  <si>
    <t>af</t>
  </si>
  <si>
    <t>$867.09</t>
  </si>
  <si>
    <t>台湾的12月费用</t>
  </si>
  <si>
    <t>支付给火箭12月的费用</t>
  </si>
  <si>
    <t>老孙</t>
  </si>
  <si>
    <t>老孙,3250</t>
  </si>
  <si>
    <t>ID</t>
  </si>
  <si>
    <t>Direction</t>
  </si>
  <si>
    <t>Created on</t>
  </si>
  <si>
    <t>Finished on</t>
  </si>
  <si>
    <t>Source fee amount</t>
  </si>
  <si>
    <t>Source fee currency</t>
  </si>
  <si>
    <t>Target fee amount</t>
  </si>
  <si>
    <t>Target fee currency</t>
  </si>
  <si>
    <t>Source name</t>
  </si>
  <si>
    <t>Source amount (after fees)</t>
  </si>
  <si>
    <t>Source currency</t>
  </si>
  <si>
    <t>Target name</t>
  </si>
  <si>
    <t>Target amount (after fees)</t>
  </si>
  <si>
    <t>Target currency</t>
  </si>
  <si>
    <t>Exchange rate</t>
  </si>
  <si>
    <t>Batch</t>
  </si>
  <si>
    <t>Created by</t>
  </si>
  <si>
    <t>TRANSFER-1396540848</t>
  </si>
  <si>
    <t>COMPLETED</t>
  </si>
  <si>
    <t>Stars Flying Inc</t>
  </si>
  <si>
    <t>TRANSFER</t>
  </si>
  <si>
    <t>TRANSFER-1395031004</t>
  </si>
  <si>
    <t>TRANSFER-1393613702</t>
  </si>
  <si>
    <t>TRANSFER-1392185108</t>
  </si>
  <si>
    <t>TRANSFER-1391386775</t>
  </si>
  <si>
    <t>TRANSFER-1387449294</t>
  </si>
  <si>
    <t>TRANSFER-1386084889</t>
  </si>
  <si>
    <t>TRANSFER-1384738483</t>
  </si>
  <si>
    <t>TRANSFER-1384006635</t>
  </si>
  <si>
    <t>TRANSFER-1378923686</t>
  </si>
  <si>
    <t>TRANSFER-1377542037</t>
  </si>
  <si>
    <t>TRANSFER-1376080546</t>
  </si>
  <si>
    <t>TRANSFER-1374686518</t>
  </si>
  <si>
    <t>TRANSFER-1373934018</t>
  </si>
  <si>
    <t>TRANSFER-1372380283</t>
  </si>
  <si>
    <t>TE SHENG TSAI</t>
  </si>
  <si>
    <t>TRANSFER-1370045956</t>
  </si>
  <si>
    <t>TRANSFER-1368624132</t>
  </si>
  <si>
    <t>TRANSFER-1367209914</t>
  </si>
  <si>
    <t>TRANSFER-1365746661</t>
  </si>
  <si>
    <t>TRANSFER-1364922719</t>
  </si>
  <si>
    <t>PAYPAL</t>
  </si>
  <si>
    <t>TRANSFER-1364922592</t>
  </si>
  <si>
    <t>TRANSFER-1364198099</t>
  </si>
  <si>
    <t>MIN CHEN</t>
  </si>
  <si>
    <t>TRANSFER-1360784844</t>
  </si>
  <si>
    <t>TRANSFER-1359139264</t>
  </si>
  <si>
    <t>202501 fee</t>
  </si>
  <si>
    <t>TRANSFER-1359899450</t>
  </si>
  <si>
    <t>TRANSFER-1431133946</t>
  </si>
  <si>
    <t>TRANSFER-1430972366</t>
  </si>
  <si>
    <t>TRANSFER-1429462782</t>
  </si>
  <si>
    <t>TRANSFER-1428681578</t>
  </si>
  <si>
    <t>TRANSFER-1424873508</t>
  </si>
  <si>
    <t>TRANSFER-1423502861</t>
  </si>
  <si>
    <t>TRANSFER-1422169092</t>
  </si>
  <si>
    <t>TRANSFER-1421419459</t>
  </si>
  <si>
    <t>TRANSFER-1416052183</t>
  </si>
  <si>
    <t>TRANSFER-1414648589</t>
  </si>
  <si>
    <t>TRANSFER-1413933449</t>
  </si>
  <si>
    <t>TRANSFER-1413302209</t>
  </si>
  <si>
    <t>DIRECT_DEBIT_TRANSACTION-19834950</t>
  </si>
  <si>
    <t>2025-02-10-224954.644_225458_91000016365878</t>
  </si>
  <si>
    <t>TRANSFER-1411153430</t>
  </si>
  <si>
    <t>TRANSFER-1406954157</t>
  </si>
  <si>
    <t>TRANSFER-1405461084</t>
  </si>
  <si>
    <t>TRANSFER-1403837711</t>
  </si>
  <si>
    <t>TRANSFER-1403917632</t>
  </si>
  <si>
    <t>TRANSFER-1402313872</t>
  </si>
  <si>
    <t>TRANSFER-1401379633</t>
  </si>
  <si>
    <t>TRANSFER-1515648131</t>
  </si>
  <si>
    <t>4/28/2025 13:21</t>
  </si>
  <si>
    <t>TRANSFER-1506203092</t>
  </si>
  <si>
    <t>4/21/2025 13:21</t>
  </si>
  <si>
    <t>TRANSFER-1556637619</t>
  </si>
  <si>
    <t>5/27/2025 13:22</t>
  </si>
  <si>
    <t>TRANSFER-1545796581</t>
  </si>
  <si>
    <t>5/19/2025 13:26</t>
  </si>
  <si>
    <t>TRANSFER-1536251788</t>
  </si>
  <si>
    <t>TRANSFER-1526264279</t>
  </si>
  <si>
    <t>TRANSFER-1605831287</t>
  </si>
  <si>
    <t>6/30/2025 13:42</t>
  </si>
  <si>
    <t>TRANSFER-1595303114</t>
  </si>
  <si>
    <t>6/23/2025 13:37</t>
  </si>
  <si>
    <t>TRANSFER-1585950041</t>
  </si>
  <si>
    <t>6/16/2025 13:26</t>
  </si>
  <si>
    <t>6/16/2025 13:27</t>
  </si>
  <si>
    <t>TRANSFER-1576122666</t>
  </si>
  <si>
    <t>TRANSFER-1568713381</t>
  </si>
  <si>
    <t>TRANSFER-1568702701</t>
  </si>
  <si>
    <t>TRANSFER-1565742845</t>
  </si>
  <si>
    <t>TRANSFER-1647318004</t>
  </si>
  <si>
    <t>7/28/2025 13:39</t>
  </si>
  <si>
    <t>7/28/2025 13:40</t>
  </si>
  <si>
    <t>TRANSFER-1637362143</t>
  </si>
  <si>
    <t>7/21/2025 13:22</t>
  </si>
  <si>
    <t>7/21/2025 13:23</t>
  </si>
  <si>
    <t>TRANSFER-1627462610</t>
  </si>
  <si>
    <t>7/14/2025 13:41</t>
  </si>
  <si>
    <t>TRANSFER-1620323838</t>
  </si>
  <si>
    <t>TRANSFER-1617167336</t>
  </si>
  <si>
    <t>TRANSFER-1614637813</t>
  </si>
  <si>
    <t>TRANSFER-1699312318</t>
  </si>
  <si>
    <t>8/31/2025 17:17</t>
  </si>
  <si>
    <t>General</t>
  </si>
  <si>
    <t>TRANSFER-1689481415</t>
  </si>
  <si>
    <t>8/25/2025 13:24</t>
  </si>
  <si>
    <t>Money added</t>
  </si>
  <si>
    <t>TRANSFER-1679625086</t>
  </si>
  <si>
    <t>8/18/2025 13:25</t>
  </si>
  <si>
    <t>TRANSFER-1669523566</t>
  </si>
  <si>
    <t>TRANSFER-1659693424</t>
  </si>
  <si>
    <t>TRANSFER-1659079981</t>
  </si>
  <si>
    <t>TRANSFER-1744567135</t>
  </si>
  <si>
    <t>9/29/2025 13:37</t>
  </si>
  <si>
    <t>9/29/2025 13:38</t>
  </si>
  <si>
    <t>TRANSFER-1733773384</t>
  </si>
  <si>
    <t>9/22/2025 13:41</t>
  </si>
  <si>
    <t>9/22/2025 13:42</t>
  </si>
  <si>
    <t>TRANSFER-1723230624</t>
  </si>
  <si>
    <t>9/15/2025 13:25</t>
  </si>
  <si>
    <t>9/15/2025 13:26</t>
  </si>
  <si>
    <t>TRANSFER-1712695203</t>
  </si>
  <si>
    <t>TRANSFER-1711480481</t>
  </si>
  <si>
    <t>TRANSFER-1702835049</t>
  </si>
  <si>
    <t>TRANSFER-1701195504</t>
  </si>
  <si>
    <t>TRANSFER-1789241504</t>
  </si>
  <si>
    <t>10/27/2025 13:22</t>
  </si>
  <si>
    <t>TRANSFER-1778916806</t>
  </si>
  <si>
    <t>10/20/2025 13:37</t>
  </si>
  <si>
    <t>TRANSFER-1770202295</t>
  </si>
  <si>
    <t>10/14/2025 17:38</t>
  </si>
  <si>
    <t>DIRECT_DEBIT_TRANSACTION-26669541</t>
  </si>
  <si>
    <t>2025-10-07-225332.168_88969_91000010022520</t>
  </si>
  <si>
    <t>TRANSFER-1758962903</t>
  </si>
  <si>
    <t>TRANSFER-1757058924</t>
  </si>
  <si>
    <t>TRANSFER-1753533601</t>
  </si>
  <si>
    <t>TRANSFER-1839425159</t>
  </si>
  <si>
    <t>11/27/2025 3:47</t>
  </si>
  <si>
    <t>TRANSFER-1834972822</t>
  </si>
  <si>
    <t>11/24/2025 14:36</t>
  </si>
  <si>
    <t>TRANSFER-1824476075</t>
  </si>
  <si>
    <t>11/17/2025 14:52</t>
  </si>
  <si>
    <t>TRANSFER-1813267788</t>
  </si>
  <si>
    <t>TRANSFER-1801499776</t>
  </si>
  <si>
    <t>TRANSFER-1799074105</t>
  </si>
  <si>
    <t>TRANSFER-1893608646</t>
  </si>
  <si>
    <t>12/29/2025 14:37</t>
  </si>
  <si>
    <t>TRANSFER-1892552565</t>
  </si>
  <si>
    <t>12/29/2025 4:15</t>
  </si>
  <si>
    <t>ZHEN TAN</t>
  </si>
  <si>
    <t>TRANSFER-1883039616</t>
  </si>
  <si>
    <t>12/22/2025 14:22</t>
  </si>
  <si>
    <t>TRANSFER-1871341557</t>
  </si>
  <si>
    <t>12/15/2025 14:36</t>
  </si>
  <si>
    <t>TRANSFER-1869133685</t>
  </si>
  <si>
    <t>12/14/2025 2:57</t>
  </si>
  <si>
    <t>KURUN CLOUD INC</t>
  </si>
  <si>
    <t>TRANSFER-1859870182</t>
  </si>
  <si>
    <t>TRANSFER-1847469085</t>
  </si>
  <si>
    <t>Date Created</t>
  </si>
  <si>
    <t>App Name</t>
  </si>
  <si>
    <t>State</t>
  </si>
  <si>
    <t>pm_id</t>
  </si>
  <si>
    <t>Total Amount</t>
  </si>
  <si>
    <t>Paid Amount</t>
  </si>
  <si>
    <t>Fee Amount</t>
  </si>
  <si>
    <t>Net Amount</t>
  </si>
  <si>
    <t>Refund Amount</t>
  </si>
  <si>
    <t>Amount Local</t>
  </si>
  <si>
    <t>Currency Local</t>
  </si>
  <si>
    <t>Order Id</t>
  </si>
  <si>
    <t>Order Extra</t>
  </si>
  <si>
    <t>Country</t>
  </si>
  <si>
    <t>6/15/2025 17:05</t>
  </si>
  <si>
    <t>niihost</t>
  </si>
  <si>
    <t>Z615071207130212</t>
  </si>
  <si>
    <t>completed</t>
  </si>
  <si>
    <t>alipay_cn</t>
  </si>
  <si>
    <t>NiiHost - 账单编号 #69644</t>
  </si>
  <si>
    <t>SG</t>
  </si>
  <si>
    <t>6/15/2025 16:53</t>
  </si>
  <si>
    <t>Z615064211711944</t>
  </si>
  <si>
    <t>NiiHost - 账单编号 #69620</t>
  </si>
  <si>
    <t>US</t>
  </si>
  <si>
    <t>6/15/2025 14:04</t>
  </si>
  <si>
    <t>Z615962801728599</t>
  </si>
  <si>
    <t>NiiHost - 账单编号 #69608</t>
  </si>
  <si>
    <t>CN</t>
  </si>
  <si>
    <t>6/16/2025 15:54</t>
  </si>
  <si>
    <t>Z616892591154823</t>
  </si>
  <si>
    <t>NiiHost - 账单编号 #69860</t>
  </si>
  <si>
    <t>JP</t>
  </si>
  <si>
    <t>6/16/2025 14:30</t>
  </si>
  <si>
    <t>Z616842030424225</t>
  </si>
  <si>
    <t>NiiHost - 账单编号 #69848</t>
  </si>
  <si>
    <t>6/16/2025 14:09</t>
  </si>
  <si>
    <t>Z616829595702571</t>
  </si>
  <si>
    <t>NiiHost - Invoice #69836</t>
  </si>
  <si>
    <t>6/17/2025 22:57</t>
  </si>
  <si>
    <t>Z617010750478726</t>
  </si>
  <si>
    <t>NiiHost - 账单编号 #70196</t>
  </si>
  <si>
    <t>HK</t>
  </si>
  <si>
    <t>6/17/2025 15:45</t>
  </si>
  <si>
    <t>Z617751219154849</t>
  </si>
  <si>
    <t>NiiHost - 账单编号 #70172</t>
  </si>
  <si>
    <t>KR</t>
  </si>
  <si>
    <t>6/17/2025 13:45</t>
  </si>
  <si>
    <t>Z617679177182219</t>
  </si>
  <si>
    <t>NiiHost - 账单编号 #70148</t>
  </si>
  <si>
    <t>6/17/2025 4:36</t>
  </si>
  <si>
    <t>Z617350142280760</t>
  </si>
  <si>
    <t>NiiHost - 账单编号 #70124</t>
  </si>
  <si>
    <t>GB</t>
  </si>
  <si>
    <t>6/18/2025 19:54</t>
  </si>
  <si>
    <t>Z618764975709699</t>
  </si>
  <si>
    <t>NiiHost - 账单编号 #70641</t>
  </si>
  <si>
    <t>6/18/2025 15:59</t>
  </si>
  <si>
    <t>Z618623858631229</t>
  </si>
  <si>
    <t>NiiHost - 账单编号 #70617</t>
  </si>
  <si>
    <t>6/18/2025 13:24</t>
  </si>
  <si>
    <t>Z618530535639652</t>
  </si>
  <si>
    <t>NiiHost - 账单编号 #70593</t>
  </si>
  <si>
    <t>6/18/2025 12:49</t>
  </si>
  <si>
    <t>Z618509529208242</t>
  </si>
  <si>
    <t>NiiHost - 账单编号 #70533</t>
  </si>
  <si>
    <t>6/18/2025 11:41</t>
  </si>
  <si>
    <t>Z618468864443607</t>
  </si>
  <si>
    <t>NiiHost - 账单编号 #70448</t>
  </si>
  <si>
    <t>6/18/2025 11:11</t>
  </si>
  <si>
    <t>Z618450725747074</t>
  </si>
  <si>
    <t>NiiHost - 账单编号 #67808</t>
  </si>
  <si>
    <t>6/18/2025 10:27</t>
  </si>
  <si>
    <t>Z618424560343406</t>
  </si>
  <si>
    <t>NiiHost - 账单编号 #69104</t>
  </si>
  <si>
    <t>6/18/2025 7:48</t>
  </si>
  <si>
    <t>Z618329390585660</t>
  </si>
  <si>
    <t>NiiHost - 账单编号 #70388</t>
  </si>
  <si>
    <t>6/18/2025 6:36</t>
  </si>
  <si>
    <t>Z618286181051639</t>
  </si>
  <si>
    <t>NiiHost - 账单编号 #70376</t>
  </si>
  <si>
    <t>FR</t>
  </si>
  <si>
    <t>6/18/2025 6:05</t>
  </si>
  <si>
    <t>Z618267348844270</t>
  </si>
  <si>
    <t>NiiHost - 账单编号 #70364</t>
  </si>
  <si>
    <t>6/18/2025 5:14</t>
  </si>
  <si>
    <t>R618236418975823</t>
  </si>
  <si>
    <t>refunded</t>
  </si>
  <si>
    <t>refund Z618217457125554</t>
  </si>
  <si>
    <t>Z618217457125554</t>
  </si>
  <si>
    <t>6/18/2025 5:03</t>
  </si>
  <si>
    <t>Z618230153955985</t>
  </si>
  <si>
    <t>NiiHost - Invoice #70208</t>
  </si>
  <si>
    <t>6/18/2025 4:42</t>
  </si>
  <si>
    <t>NiiHost - 账单编号 #70340</t>
  </si>
  <si>
    <t>6/18/2025 1:03</t>
  </si>
  <si>
    <t>Z618086342039709</t>
  </si>
  <si>
    <t>NiiHost - 账单编号 #70328</t>
  </si>
  <si>
    <t>6/19/2025 10:21</t>
  </si>
  <si>
    <t>Z619284810872039</t>
  </si>
  <si>
    <t>NiiHost - 账单编号 #70965</t>
  </si>
  <si>
    <t>6/19/2025 4:10</t>
  </si>
  <si>
    <t>Z619062519137115</t>
  </si>
  <si>
    <t>NiiHost - 账单编号 #70929</t>
  </si>
  <si>
    <t>6/19/2025 3:48</t>
  </si>
  <si>
    <t>Z619048875093040</t>
  </si>
  <si>
    <t>NiiHost - 账单编号 #70917</t>
  </si>
  <si>
    <t>6/20/2025 10:23</t>
  </si>
  <si>
    <t>Z620150069759688</t>
  </si>
  <si>
    <t>NiiHost - 账单编号 #71193</t>
  </si>
  <si>
    <t>6/20/2025 8:39</t>
  </si>
  <si>
    <t>Z620087707607169</t>
  </si>
  <si>
    <t>NiiHost - 账单编号 #71181</t>
  </si>
  <si>
    <t>6/20/2025 8:37</t>
  </si>
  <si>
    <t>Z620086401034816</t>
  </si>
  <si>
    <t>NiiHost - 账单编号 #71169</t>
  </si>
  <si>
    <t>6/20/2025 7:51</t>
  </si>
  <si>
    <t>Z620059179705188</t>
  </si>
  <si>
    <t>NiiHost - 账单编号 #71145</t>
  </si>
  <si>
    <t>6/20/2025 3:08</t>
  </si>
  <si>
    <t>Z620889083855269</t>
  </si>
  <si>
    <t>NiiHost - 账单编号 #71109</t>
  </si>
  <si>
    <t>6/20/2025 2:05</t>
  </si>
  <si>
    <t>Z620851369204214</t>
  </si>
  <si>
    <t>NiiHost - Invoice #71097</t>
  </si>
  <si>
    <t>6/20/2025 1:36</t>
  </si>
  <si>
    <t>Z620833681875566</t>
  </si>
  <si>
    <t>NiiHost - 账单编号 #71013</t>
  </si>
  <si>
    <t>6/21/2025 20:43</t>
  </si>
  <si>
    <t>Z621386107729204</t>
  </si>
  <si>
    <t>NiiHost - Invoice #71337</t>
  </si>
  <si>
    <t>6/21/2025 11:24</t>
  </si>
  <si>
    <t>Z621050937245256</t>
  </si>
  <si>
    <t>NiiHost - 账单编号 #71325</t>
  </si>
  <si>
    <t>6/21/2025 9:47</t>
  </si>
  <si>
    <t>Z621992402937426</t>
  </si>
  <si>
    <t>NiiHost - 账单编号 #71313</t>
  </si>
  <si>
    <t>6/21/2025 1:35</t>
  </si>
  <si>
    <t>Z621697220531691</t>
  </si>
  <si>
    <t>NiiHost - 账单编号 #68828</t>
  </si>
  <si>
    <t>6/22/2025 16:11</t>
  </si>
  <si>
    <t>Z622087056007122</t>
  </si>
  <si>
    <t>NiiHost - 账单编号 #71541</t>
  </si>
  <si>
    <t>6/23/2025 15:42</t>
  </si>
  <si>
    <t>Z623933620275707</t>
  </si>
  <si>
    <t>NiiHost - 账单编号 #71853</t>
  </si>
  <si>
    <t>6/23/2025 14:47</t>
  </si>
  <si>
    <t>Z623900630096543</t>
  </si>
  <si>
    <t>NiiHost - 账单编号 #71805</t>
  </si>
  <si>
    <t>6/23/2025 12:50</t>
  </si>
  <si>
    <t>Z623830082581413</t>
  </si>
  <si>
    <t>NiiHost - 账单编号 #71841</t>
  </si>
  <si>
    <t>6/24/2025 7:50</t>
  </si>
  <si>
    <t>Z624514446898605</t>
  </si>
  <si>
    <t>NiiHost - 账单编号 #72297</t>
  </si>
  <si>
    <t>6/24/2025 6:04</t>
  </si>
  <si>
    <t>Z624450780065572</t>
  </si>
  <si>
    <t>NiiHost - 账单编号 #72285</t>
  </si>
  <si>
    <t>6/24/2025 5:20</t>
  </si>
  <si>
    <t>Z624424338785248</t>
  </si>
  <si>
    <t>NiiHost - 账单编号 #72273</t>
  </si>
  <si>
    <t>6/25/2025 18:05</t>
  </si>
  <si>
    <t>Z625747279593413</t>
  </si>
  <si>
    <t>NiiHost - 账单编号 #72453</t>
  </si>
  <si>
    <t>6/25/2025 14:33</t>
  </si>
  <si>
    <t>Z625619815185662</t>
  </si>
  <si>
    <t>NiiHost - 账单编号 #72441</t>
  </si>
  <si>
    <t>6/25/2025 12:19</t>
  </si>
  <si>
    <t>Z625539412297551</t>
  </si>
  <si>
    <t>NiiHost - 账单编号 #72429</t>
  </si>
  <si>
    <t>VN</t>
  </si>
  <si>
    <t>6/25/2025 3:23</t>
  </si>
  <si>
    <t>R625218196687513</t>
  </si>
  <si>
    <t>refund Z624424338785248</t>
  </si>
  <si>
    <t>6/26/2025 12:22</t>
  </si>
  <si>
    <t>Z626405420217821</t>
  </si>
  <si>
    <t>NiiHost - 账单编号 #69128</t>
  </si>
  <si>
    <t>6/26/2025 11:14</t>
  </si>
  <si>
    <t>Z626364432193490</t>
  </si>
  <si>
    <t>NiiHost - 账单编号 #72789</t>
  </si>
  <si>
    <t>6/26/2025 4:07</t>
  </si>
  <si>
    <t>Z626108683096431</t>
  </si>
  <si>
    <t>NiiHost - 账单编号 #72753</t>
  </si>
  <si>
    <t>6/26/2025 1:17</t>
  </si>
  <si>
    <t>Z626006406496460</t>
  </si>
  <si>
    <t>NiiHost - 账单编号 #72741</t>
  </si>
  <si>
    <t>6/28/2025 11:38</t>
  </si>
  <si>
    <t>Z628107358451063</t>
  </si>
  <si>
    <t>NiiHost - 账单编号 #73113</t>
  </si>
  <si>
    <t>6/28/2025 8:09</t>
  </si>
  <si>
    <t>Z628981677544091</t>
  </si>
  <si>
    <t>NiiHost - 账单编号 #73089</t>
  </si>
  <si>
    <t>6/29/2025 13:00</t>
  </si>
  <si>
    <t>Z629020539588561</t>
  </si>
  <si>
    <t>NiiHost - 账单编号 #73209</t>
  </si>
  <si>
    <t>6/29/2025 12:25</t>
  </si>
  <si>
    <t>Z629999255055753</t>
  </si>
  <si>
    <t>NiiHost - 账单编号 #73185</t>
  </si>
  <si>
    <t>6/30/2025 11:14</t>
  </si>
  <si>
    <t>Z630820789994976</t>
  </si>
  <si>
    <t>NiiHost - 账单编号 #73389</t>
  </si>
  <si>
    <t>PH</t>
  </si>
  <si>
    <t>6/30/2025 10:51</t>
  </si>
  <si>
    <t>Z630807041070870</t>
  </si>
  <si>
    <t>NiiHost - Invoice #73377</t>
  </si>
  <si>
    <t>6/30/2025 4:13</t>
  </si>
  <si>
    <t>Z630568009343629</t>
  </si>
  <si>
    <t>NiiHost - 账单编号 #73365</t>
  </si>
  <si>
    <t>6/30/2025 4:08</t>
  </si>
  <si>
    <t>Z630565188059839</t>
  </si>
  <si>
    <t>NiiHost - 账单编号 #73341</t>
  </si>
  <si>
    <t>6/30/2025 3:49</t>
  </si>
  <si>
    <t>Z630553553511913</t>
  </si>
  <si>
    <t>NiiHost - Invoice #73329</t>
  </si>
  <si>
    <t>6/30/2025 2:07</t>
  </si>
  <si>
    <t>Z630492224491942</t>
  </si>
  <si>
    <t>NiiHost - 账单编号 #69776</t>
  </si>
  <si>
    <t>6/26/2025 14:24</t>
  </si>
  <si>
    <t>W626478964872095</t>
  </si>
  <si>
    <t>提款到水星</t>
  </si>
  <si>
    <t>Z701065639263464</t>
  </si>
  <si>
    <t>NiiHost - 账单编号 #70677</t>
  </si>
  <si>
    <t>DE</t>
  </si>
  <si>
    <t>Z701962243974927</t>
  </si>
  <si>
    <t>NiiHost - Invoice #73545</t>
  </si>
  <si>
    <t>Z701919425421093</t>
  </si>
  <si>
    <t>NiiHost - 账单编号 #73533</t>
  </si>
  <si>
    <t>Z701714059864003</t>
  </si>
  <si>
    <t>NiiHost - 账单编号 #73521</t>
  </si>
  <si>
    <t>Z701630254961494</t>
  </si>
  <si>
    <t>NiiHost - 账单编号 #73497</t>
  </si>
  <si>
    <t>Z701610275374321</t>
  </si>
  <si>
    <t>NiiHost - 账单编号 #70869</t>
  </si>
  <si>
    <t>Z701578661990572</t>
  </si>
  <si>
    <t>NiiHost - 账单编号 #73485</t>
  </si>
  <si>
    <t>Z701550709359034</t>
  </si>
  <si>
    <t>NiiHost - 账单编号 #73461</t>
  </si>
  <si>
    <t>Z702982380585107</t>
  </si>
  <si>
    <t>NiiHost - 账单编号 #73809</t>
  </si>
  <si>
    <t>Z702707949637319</t>
  </si>
  <si>
    <t>NiiHost - 账单编号 #73797</t>
  </si>
  <si>
    <t>Z702700469729964</t>
  </si>
  <si>
    <t>NiiHost - 账单编号 #73785</t>
  </si>
  <si>
    <t>Z702624992036235</t>
  </si>
  <si>
    <t>NiiHost - 账单编号 #73773</t>
  </si>
  <si>
    <t>Z702589103837738</t>
  </si>
  <si>
    <t>NiiHost - 账单编号 #73761</t>
  </si>
  <si>
    <t>Z702473825589505</t>
  </si>
  <si>
    <t>NiiHost - 账单编号 #73749</t>
  </si>
  <si>
    <t>Z702388766580652</t>
  </si>
  <si>
    <t>NiiHost - 账单编号 #73737</t>
  </si>
  <si>
    <t>Z702298979848587</t>
  </si>
  <si>
    <t>NiiHost - Invoice #73689</t>
  </si>
  <si>
    <t>Z703630263690936</t>
  </si>
  <si>
    <t>NiiHost - 账单编号 #73930</t>
  </si>
  <si>
    <t>Z703368661789281</t>
  </si>
  <si>
    <t>NiiHost - 账单编号 #73917</t>
  </si>
  <si>
    <t>Z704619666771387</t>
  </si>
  <si>
    <t>NiiHost - 账单编号 #74230</t>
  </si>
  <si>
    <t>Z704436349887544</t>
  </si>
  <si>
    <t>NiiHost - 账单编号 #74182</t>
  </si>
  <si>
    <t>Z704430371212197</t>
  </si>
  <si>
    <t>NiiHost - 账单编号 #74170</t>
  </si>
  <si>
    <t>Z704392928176771</t>
  </si>
  <si>
    <t>NiiHost - 账单编号 #74158</t>
  </si>
  <si>
    <t>Z704385822475978</t>
  </si>
  <si>
    <t>NiiHost - 账单编号 #74146</t>
  </si>
  <si>
    <t>Z704352996061577</t>
  </si>
  <si>
    <t>NiiHost - 账单编号 #74134</t>
  </si>
  <si>
    <t>Z704332300843799</t>
  </si>
  <si>
    <t>NiiHost - 账单编号 #74122</t>
  </si>
  <si>
    <t>Z705021102785439</t>
  </si>
  <si>
    <t>NiiHost - 账单编号 #74338</t>
  </si>
  <si>
    <t>R705924257034783</t>
  </si>
  <si>
    <t>refund Z701550709359034</t>
  </si>
  <si>
    <t>R705923696392307</t>
  </si>
  <si>
    <t>refund Z701714059864003</t>
  </si>
  <si>
    <t>Z706867824918247</t>
  </si>
  <si>
    <t>NiiHost - 账单编号 #74470</t>
  </si>
  <si>
    <t>R706817423432023</t>
  </si>
  <si>
    <t>refund Z704332300843799</t>
  </si>
  <si>
    <t>Z708868865858392</t>
  </si>
  <si>
    <t>NiiHost - 账单编号 #74734</t>
  </si>
  <si>
    <t>Z710302332448701</t>
  </si>
  <si>
    <t>NiiHost - 账单编号 #75034</t>
  </si>
  <si>
    <t>R710165424020210</t>
  </si>
  <si>
    <t>refund Z708868865858392</t>
  </si>
  <si>
    <t>Z712439933472443</t>
  </si>
  <si>
    <t>NiiHost - 账单编号 #75418</t>
  </si>
  <si>
    <t>Z712021194947958</t>
  </si>
  <si>
    <t>NiiHost - Invoice #74422</t>
  </si>
  <si>
    <t>7/13/2025 17:08</t>
  </si>
  <si>
    <t>Z713265029309014</t>
  </si>
  <si>
    <t>NiiHost - 账单编号 #75490</t>
  </si>
  <si>
    <t>7/13/2025 13:06</t>
  </si>
  <si>
    <t>Z713119725852549</t>
  </si>
  <si>
    <t>NiiHost - 账单编号 #75478</t>
  </si>
  <si>
    <t>7/14/2025 17:26</t>
  </si>
  <si>
    <t>R714139864845116</t>
  </si>
  <si>
    <t>refund Z714099657760580</t>
  </si>
  <si>
    <t>Z714099657760580</t>
  </si>
  <si>
    <t>7/14/2025 16:19</t>
  </si>
  <si>
    <t>NiiHost - 账单编号 #75634</t>
  </si>
  <si>
    <t>7/14/2025 12:00</t>
  </si>
  <si>
    <t>Z714944246647355</t>
  </si>
  <si>
    <t>NiiHost - 账单编号 #75598</t>
  </si>
  <si>
    <t>CA</t>
  </si>
  <si>
    <t>7/15/2025 17:20</t>
  </si>
  <si>
    <t>Z715000481464956</t>
  </si>
  <si>
    <t>NiiHost - 账单编号 #75826</t>
  </si>
  <si>
    <t>7/16/2025 16:37</t>
  </si>
  <si>
    <t>Z716838664290708</t>
  </si>
  <si>
    <t>NiiHost - 账单编号 #76066</t>
  </si>
  <si>
    <t>7/16/2025 16:19</t>
  </si>
  <si>
    <t>Z716827671507064</t>
  </si>
  <si>
    <t>NiiHost - 账单编号 #76054</t>
  </si>
  <si>
    <t>7/16/2025 7:31</t>
  </si>
  <si>
    <t>Z716511084635875</t>
  </si>
  <si>
    <t>NiiHost - 账单编号 #69596</t>
  </si>
  <si>
    <t>7/17/2025 8:18</t>
  </si>
  <si>
    <t>Z717403056427663</t>
  </si>
  <si>
    <t>NiiHost - 账单编号 #76174</t>
  </si>
  <si>
    <t>7/17/2025 4:44</t>
  </si>
  <si>
    <t>Z717274602747649</t>
  </si>
  <si>
    <t>NiiHost - 账单编号 #76162</t>
  </si>
  <si>
    <t>BR</t>
  </si>
  <si>
    <t>7/18/2025 12:44</t>
  </si>
  <si>
    <t>Z718426673667828</t>
  </si>
  <si>
    <t>NiiHost - 账单编号 #74314</t>
  </si>
  <si>
    <t>7/18/2025 9:55</t>
  </si>
  <si>
    <t>Z718325239212137</t>
  </si>
  <si>
    <t>NiiHost - 账单编号 #76426</t>
  </si>
  <si>
    <t>7/18/2025 6:15</t>
  </si>
  <si>
    <t>R718193155338194</t>
  </si>
  <si>
    <t>refund Z712439933472443</t>
  </si>
  <si>
    <t>7/19/2025 8:34</t>
  </si>
  <si>
    <t>Z719140748696575</t>
  </si>
  <si>
    <t>NiiHost - 账单编号 #73893</t>
  </si>
  <si>
    <t>7/20/2025 16:26</t>
  </si>
  <si>
    <t>Z720287978975449</t>
  </si>
  <si>
    <t>NiiHost - 账单编号 #71397</t>
  </si>
  <si>
    <t>7/20/2025 12:55</t>
  </si>
  <si>
    <t>Z720161218366049</t>
  </si>
  <si>
    <t>NiiHost - Invoice #74530</t>
  </si>
  <si>
    <t>7/21/2025 10:32</t>
  </si>
  <si>
    <t>Z721939521541896</t>
  </si>
  <si>
    <t>NiiHost - 账单编号 #76834</t>
  </si>
  <si>
    <t>7/25/2025 16:51</t>
  </si>
  <si>
    <t>Z725622867274456</t>
  </si>
  <si>
    <t>NiiHost - 账单编号 #75886</t>
  </si>
  <si>
    <t>7/26/2025 17:08</t>
  </si>
  <si>
    <t>Z726497284941825</t>
  </si>
  <si>
    <t>NiiHost - 账单编号 #77734</t>
  </si>
  <si>
    <t>7/27/2025 17:51</t>
  </si>
  <si>
    <t>Z727386618711139</t>
  </si>
  <si>
    <t>NiiHost - 账单编号 #77938</t>
  </si>
  <si>
    <t>7/28/2025 15:18</t>
  </si>
  <si>
    <t>R728159102779636</t>
  </si>
  <si>
    <t>refund Z702624992036235</t>
  </si>
  <si>
    <t>7/28/2025 15:14</t>
  </si>
  <si>
    <t>R728156786183859</t>
  </si>
  <si>
    <t>refund Z715000481464956</t>
  </si>
  <si>
    <t>7/30/2025 9:06</t>
  </si>
  <si>
    <t>Z730663904730290</t>
  </si>
  <si>
    <t>NiiHost - 账单编号 #78370</t>
  </si>
  <si>
    <t>Z801460501733066</t>
  </si>
  <si>
    <t>NiiHost - 账单编号 #76546</t>
  </si>
  <si>
    <t>Z803317469652038</t>
  </si>
  <si>
    <t>NiiHost - 账单编号 #69356</t>
  </si>
  <si>
    <t>Z803117931992261</t>
  </si>
  <si>
    <t>NiiHost - 账单编号 #78538</t>
  </si>
  <si>
    <t>Z803944365059993</t>
  </si>
  <si>
    <t>NiiHost - 账单编号 #79258</t>
  </si>
  <si>
    <t>Z806791729135189</t>
  </si>
  <si>
    <t>NiiHost - Invoice #79030</t>
  </si>
  <si>
    <t>Z808420280115446</t>
  </si>
  <si>
    <t>NiiHost - 账单编号 #80074</t>
  </si>
  <si>
    <t>Z811885837426959</t>
  </si>
  <si>
    <t>NiiHost - Invoice #79750</t>
  </si>
  <si>
    <t>8/14/2025 6:38</t>
  </si>
  <si>
    <t>Z814534982033847</t>
  </si>
  <si>
    <t>NiiHost - 账单编号 #80434</t>
  </si>
  <si>
    <t>8/16/2025 3:49</t>
  </si>
  <si>
    <t>Z816161623147025</t>
  </si>
  <si>
    <t>NiiHost - 账单编号 #81082</t>
  </si>
  <si>
    <t>8/19/2025 14:25</t>
  </si>
  <si>
    <t>Z819135360413803</t>
  </si>
  <si>
    <t>NiiHost - 账单编号 #79714</t>
  </si>
  <si>
    <t>8/19/2025 4:24</t>
  </si>
  <si>
    <t>Z819774404868081</t>
  </si>
  <si>
    <t>NiiHost - 账单编号 #79582</t>
  </si>
  <si>
    <t>8/22/2025 13:43</t>
  </si>
  <si>
    <t>Z822702259581126</t>
  </si>
  <si>
    <t>NiiHost - 账单编号 #82162</t>
  </si>
  <si>
    <t>8/23/2025 22:55</t>
  </si>
  <si>
    <t>Z823897181135356</t>
  </si>
  <si>
    <t>NiiHost - 账单编号 #82342</t>
  </si>
  <si>
    <t>8/24/2025 0:11</t>
  </si>
  <si>
    <t>Z824942862403918</t>
  </si>
  <si>
    <t>NiiHost - 账单编号 #82354</t>
  </si>
  <si>
    <t>8/25/2025 17:18</t>
  </si>
  <si>
    <t>Z825423293525521</t>
  </si>
  <si>
    <t>NiiHost - 账单编号 #82102</t>
  </si>
  <si>
    <t>UA</t>
  </si>
  <si>
    <t>8/29/2025 13:59</t>
  </si>
  <si>
    <t>Z829759928472476</t>
  </si>
  <si>
    <t>NiiHost - 账单编号 #81670</t>
  </si>
  <si>
    <t>MY</t>
  </si>
  <si>
    <t>8/31/2025 12:23</t>
  </si>
  <si>
    <t>Z831430271367071</t>
  </si>
  <si>
    <t>NiiHost - 账单编号 #80470</t>
  </si>
  <si>
    <t>IR</t>
  </si>
  <si>
    <t>8/19/2025 15:30</t>
  </si>
  <si>
    <t>W819174300866932</t>
  </si>
  <si>
    <t>Z901309410422711</t>
  </si>
  <si>
    <t>NiiHost - 账单编号 #83326</t>
  </si>
  <si>
    <t>Z902264813788615</t>
  </si>
  <si>
    <t>NiiHost - 账单编号 #83482</t>
  </si>
  <si>
    <t>Z902062851737761</t>
  </si>
  <si>
    <t>NiiHost - 账单编号 #83470</t>
  </si>
  <si>
    <t>Z902041980438374</t>
  </si>
  <si>
    <t>NiiHost - 账单编号 #83458</t>
  </si>
  <si>
    <t>Z902959768601755</t>
  </si>
  <si>
    <t>NiiHost - 账单编号 #83446</t>
  </si>
  <si>
    <t>TW</t>
  </si>
  <si>
    <t>Z903109538324596</t>
  </si>
  <si>
    <t>NiiHost - 账单编号 #82582</t>
  </si>
  <si>
    <t>Z903952515477073</t>
  </si>
  <si>
    <t>NiiHost - 账单编号 #83626</t>
  </si>
  <si>
    <t>Z903913379373369</t>
  </si>
  <si>
    <t>NiiHost - 账单编号 #83614</t>
  </si>
  <si>
    <t>Z903835556285719</t>
  </si>
  <si>
    <t>NiiHost - 账单编号 #83602</t>
  </si>
  <si>
    <t>Z904990293456638</t>
  </si>
  <si>
    <t>NiiHost - 账单编号 #83782</t>
  </si>
  <si>
    <t>Z904978061608533</t>
  </si>
  <si>
    <t>NiiHost - 账单编号 #83770</t>
  </si>
  <si>
    <t>Z904492323724193</t>
  </si>
  <si>
    <t>NiiHost - 账单编号 #83758</t>
  </si>
  <si>
    <t>Z905570565718032</t>
  </si>
  <si>
    <t>NiiHost - Invoice #83866</t>
  </si>
  <si>
    <t>Z906338746144605</t>
  </si>
  <si>
    <t>NiiHost - 账单编号 #84070</t>
  </si>
  <si>
    <t>Z906240359947705</t>
  </si>
  <si>
    <t>NiiHost - 账单编号 #84058</t>
  </si>
  <si>
    <t>Z907883198915310</t>
  </si>
  <si>
    <t>NiiHost - 账单编号 #84154</t>
  </si>
  <si>
    <t>Z908203443557124</t>
  </si>
  <si>
    <t>NiiHost - 账单编号 #84238</t>
  </si>
  <si>
    <t>Z909402972634044</t>
  </si>
  <si>
    <t>NiiHost - 账单编号 #84454</t>
  </si>
  <si>
    <t>Z909390243869956</t>
  </si>
  <si>
    <t>NiiHost - 账单编号 #84442</t>
  </si>
  <si>
    <t>Z909181525904792</t>
  </si>
  <si>
    <t>NiiHost - 账单编号 #84430</t>
  </si>
  <si>
    <t>SC</t>
  </si>
  <si>
    <t>Z909883834314959</t>
  </si>
  <si>
    <t>NiiHost - 账单编号 #84370</t>
  </si>
  <si>
    <t>Z909854993773089</t>
  </si>
  <si>
    <t>NiiHost - 账单编号 #84358</t>
  </si>
  <si>
    <t>Z910665536519925</t>
  </si>
  <si>
    <t>NiiHost - 账单编号 #82774</t>
  </si>
  <si>
    <t>Z912896192885689</t>
  </si>
  <si>
    <t>NiiHost - 账单编号 #84730</t>
  </si>
  <si>
    <t>Z912402256831099</t>
  </si>
  <si>
    <t>NiiHost - 账单编号 #84718</t>
  </si>
  <si>
    <t>9/13/2025 6:33</t>
  </si>
  <si>
    <t>Z913452355707378</t>
  </si>
  <si>
    <t>NiiHost - 账单编号 #84814</t>
  </si>
  <si>
    <t>9/14/2025 10:06</t>
  </si>
  <si>
    <t>Z914443985522391</t>
  </si>
  <si>
    <t>NiiHost - 账单编号 #84970</t>
  </si>
  <si>
    <t>9/14/2025 3:26</t>
  </si>
  <si>
    <t>Z914203992752857</t>
  </si>
  <si>
    <t>NiiHost - 账单编号 #82906</t>
  </si>
  <si>
    <t>9/15/2025 12:16</t>
  </si>
  <si>
    <t>Z915385698227956</t>
  </si>
  <si>
    <t>NiiHost - 账单编号 #85018</t>
  </si>
  <si>
    <t>9/16/2025 23:34</t>
  </si>
  <si>
    <t>Z916656757533064</t>
  </si>
  <si>
    <t>NiiHost - 账单编号 #85126</t>
  </si>
  <si>
    <t>9/16/2025 18:15</t>
  </si>
  <si>
    <t>Z916465514412195</t>
  </si>
  <si>
    <t>NiiHost - 账单编号 #85114</t>
  </si>
  <si>
    <t>9/16/2025 9:07</t>
  </si>
  <si>
    <t>Z916136293675176</t>
  </si>
  <si>
    <t>NiiHost - 账单编号 #85102</t>
  </si>
  <si>
    <t>9/16/2025 2:06</t>
  </si>
  <si>
    <t>Z916883720704538</t>
  </si>
  <si>
    <t>NiiHost - Invoice #83434</t>
  </si>
  <si>
    <t>9/16/2025 1:41</t>
  </si>
  <si>
    <t>Z916868698968967</t>
  </si>
  <si>
    <t>NiiHost - 账单编号 #85090</t>
  </si>
  <si>
    <t>9/17/2025 23:17</t>
  </si>
  <si>
    <t>Z917510522479111</t>
  </si>
  <si>
    <t>NiiHost - 账单编号 #85318</t>
  </si>
  <si>
    <t>9/17/2025 20:16</t>
  </si>
  <si>
    <t>Z917401970220451</t>
  </si>
  <si>
    <t>NiiHost - 账单编号 #85306</t>
  </si>
  <si>
    <t>9/17/2025 19:56</t>
  </si>
  <si>
    <t>Z917389696624373</t>
  </si>
  <si>
    <t>NiiHost - 账单编号 #85294</t>
  </si>
  <si>
    <t>9/17/2025 14:51</t>
  </si>
  <si>
    <t>Z917206968417898</t>
  </si>
  <si>
    <t>NiiHost - 账单编号 #85270</t>
  </si>
  <si>
    <t>9/18/2025 13:23</t>
  </si>
  <si>
    <t>Z918018320800467</t>
  </si>
  <si>
    <t>NiiHost - 账单编号 #84466</t>
  </si>
  <si>
    <t>9/18/2025 9:12</t>
  </si>
  <si>
    <t>Z918867576962954</t>
  </si>
  <si>
    <t>NiiHost - 账单编号 #85450</t>
  </si>
  <si>
    <t>9/18/2025 7:26</t>
  </si>
  <si>
    <t>Z918803617598808</t>
  </si>
  <si>
    <t>NiiHost - 账单编号 #85438</t>
  </si>
  <si>
    <t>9/18/2025 3:06</t>
  </si>
  <si>
    <t>Z918647881302503</t>
  </si>
  <si>
    <t>NiiHost - Invoice #85402</t>
  </si>
  <si>
    <t>9/19/2025 15:29</t>
  </si>
  <si>
    <t>Z919957745647073</t>
  </si>
  <si>
    <t>NiiHost - 账单编号 #85558</t>
  </si>
  <si>
    <t>9/19/2025 13:11</t>
  </si>
  <si>
    <t>Z919875064109021</t>
  </si>
  <si>
    <t>NiiHost - 账单编号 #83818</t>
  </si>
  <si>
    <t>9/19/2025 0:49</t>
  </si>
  <si>
    <t>Z919429709801543</t>
  </si>
  <si>
    <t>NiiHost - 账单编号 #85474</t>
  </si>
  <si>
    <t>9/20/2025 15:24</t>
  </si>
  <si>
    <t>R920818457607530</t>
  </si>
  <si>
    <t>refund Z913452355707378</t>
  </si>
  <si>
    <t>9/20/2025 8:53</t>
  </si>
  <si>
    <t>Z920584381437526</t>
  </si>
  <si>
    <t>NiiHost - 账单编号 #85666</t>
  </si>
  <si>
    <t>9/21/2025 23:52</t>
  </si>
  <si>
    <t>Z921987574106641</t>
  </si>
  <si>
    <t>NiiHost - 账单编号 #85042</t>
  </si>
  <si>
    <t>9/21/2025 11:04</t>
  </si>
  <si>
    <t>Z921526808875299</t>
  </si>
  <si>
    <t>NiiHost - 账单编号 #85774</t>
  </si>
  <si>
    <t>9/21/2025 0:09</t>
  </si>
  <si>
    <t>Z921133429459046</t>
  </si>
  <si>
    <t>NiiHost - 账单编号 #85690</t>
  </si>
  <si>
    <t>9/22/2025 9:29</t>
  </si>
  <si>
    <t>Z922333507566015</t>
  </si>
  <si>
    <t>NiiHost - 账单编号 #85906</t>
  </si>
  <si>
    <t>9/22/2025 0:08</t>
  </si>
  <si>
    <t>Z922997362399862</t>
  </si>
  <si>
    <t>NiiHost - 账单编号 #85786</t>
  </si>
  <si>
    <t>9/23/2025 14:18</t>
  </si>
  <si>
    <t>Z923371241332501</t>
  </si>
  <si>
    <t>NiiHost - 账单编号 #86014</t>
  </si>
  <si>
    <t>9/23/2025 1:27</t>
  </si>
  <si>
    <t>Z923908644940878</t>
  </si>
  <si>
    <t>NiiHost - 账单编号 #85978</t>
  </si>
  <si>
    <t>9/24/2025 13:01</t>
  </si>
  <si>
    <t>Z924188668034243</t>
  </si>
  <si>
    <t>NiiHost - 账单编号 #86074</t>
  </si>
  <si>
    <t>9/24/2025 12:46</t>
  </si>
  <si>
    <t>Z924179813140100</t>
  </si>
  <si>
    <t>NiiHost - 账单编号 #86062</t>
  </si>
  <si>
    <t>9/25/2025 17:35</t>
  </si>
  <si>
    <t>Z925217297880958</t>
  </si>
  <si>
    <t>NiiHost - 账单编号 #86206</t>
  </si>
  <si>
    <t>9/25/2025 5:18</t>
  </si>
  <si>
    <t>Z925775092593856</t>
  </si>
  <si>
    <t>NiiHost - 账单编号 #86194</t>
  </si>
  <si>
    <t>9/25/2025 3:37</t>
  </si>
  <si>
    <t>Z925714570858958</t>
  </si>
  <si>
    <t>NiiHost - 账单编号 #86182</t>
  </si>
  <si>
    <t>9/26/2025 17:31</t>
  </si>
  <si>
    <t>Z926079068055568</t>
  </si>
  <si>
    <t>NiiHost - 账单编号 #86314</t>
  </si>
  <si>
    <t>9/26/2025 8:18</t>
  </si>
  <si>
    <t>Z926746895134986</t>
  </si>
  <si>
    <t>NiiHost - 账单编号 #86302</t>
  </si>
  <si>
    <t>9/26/2025 7:07</t>
  </si>
  <si>
    <t>Z926704516704264</t>
  </si>
  <si>
    <t>NiiHost - 账单编号 #86290</t>
  </si>
  <si>
    <t>Z926704278845301</t>
  </si>
  <si>
    <t>error</t>
  </si>
  <si>
    <t>9/26/2025 1:46</t>
  </si>
  <si>
    <t>Z926511768989111</t>
  </si>
  <si>
    <t>NiiHost - 账单编号 #86278</t>
  </si>
  <si>
    <t>9/27/2025 7:24</t>
  </si>
  <si>
    <t>Z927578611117335</t>
  </si>
  <si>
    <t>NiiHost - 账单编号 #86398</t>
  </si>
  <si>
    <t>9/27/2025 3:43</t>
  </si>
  <si>
    <t>Z927446193491181</t>
  </si>
  <si>
    <t>NiiHost - 账单编号 #86386</t>
  </si>
  <si>
    <t>9/28/2025 11:10</t>
  </si>
  <si>
    <t>Z928578516544054</t>
  </si>
  <si>
    <t>NiiHost - 账单编号 #86494</t>
  </si>
  <si>
    <t>9/29/2025 15:12</t>
  </si>
  <si>
    <t>Z929587578395729</t>
  </si>
  <si>
    <t>NiiHost - 账单编号 #86542</t>
  </si>
  <si>
    <t>9/29/2025 9:57</t>
  </si>
  <si>
    <t>Z929398503772694</t>
  </si>
  <si>
    <t>NiiHost - 账单编号 #85354</t>
  </si>
  <si>
    <t>9/30/2025 10:27</t>
  </si>
  <si>
    <t>Z930280497777065</t>
  </si>
  <si>
    <t>NiiHost - 账单编号 #86638</t>
  </si>
  <si>
    <t>9/30/2025 9:57</t>
  </si>
  <si>
    <t>Z930262685612785</t>
  </si>
  <si>
    <t>NiiHost - 账单编号 #85390</t>
  </si>
  <si>
    <t>9/30/2025 8:56</t>
  </si>
  <si>
    <t>Z930225748733295</t>
  </si>
  <si>
    <t>NiiHost - 账单编号 #85486</t>
  </si>
  <si>
    <t>9/30/2025 8:20</t>
  </si>
  <si>
    <t>Z930204167571928</t>
  </si>
  <si>
    <t>NiiHost - Invoice #85222</t>
  </si>
  <si>
    <t>9/25/2025 4:22</t>
  </si>
  <si>
    <t>W925741355833068</t>
  </si>
  <si>
    <t>ZA01138796403284</t>
  </si>
  <si>
    <t>NiiHost - Invoice #86686</t>
  </si>
  <si>
    <t>ZA02106510713374</t>
  </si>
  <si>
    <t>NiiHost - 账单编号 #86878</t>
  </si>
  <si>
    <t>ZA02039100571281</t>
  </si>
  <si>
    <t>NiiHost - 账单编号 #86866</t>
  </si>
  <si>
    <t>ZA02916322617702</t>
  </si>
  <si>
    <t>NiiHost - Invoice #86830</t>
  </si>
  <si>
    <t>ZA02894945950664</t>
  </si>
  <si>
    <t>NiiHost - 账单编号 #86854</t>
  </si>
  <si>
    <t>ZA03954500121310</t>
  </si>
  <si>
    <t>NiiHost - 账单编号 #87022</t>
  </si>
  <si>
    <t>ES</t>
  </si>
  <si>
    <t>ZA03873165698184</t>
  </si>
  <si>
    <t>NiiHost - 账单编号 #87010</t>
  </si>
  <si>
    <t>ZA04819778004212</t>
  </si>
  <si>
    <t>NiiHost - 账单编号 #87202</t>
  </si>
  <si>
    <t>ZA04806976494235</t>
  </si>
  <si>
    <t>NiiHost - 账单编号 #87190</t>
  </si>
  <si>
    <t>ZA04400287120441</t>
  </si>
  <si>
    <t>NiiHost - 账单编号 #85858</t>
  </si>
  <si>
    <t>ZA05687477908857</t>
  </si>
  <si>
    <t>NiiHost - 账单编号 #87310</t>
  </si>
  <si>
    <t>ZA05679487681241</t>
  </si>
  <si>
    <t>NiiHost - 账单编号 #87298</t>
  </si>
  <si>
    <t>ZA05613861358511</t>
  </si>
  <si>
    <t>NiiHost - 账单编号 #87286</t>
  </si>
  <si>
    <t>ZA06560258949527</t>
  </si>
  <si>
    <t>NiiHost - 账单编号 #87478</t>
  </si>
  <si>
    <t>ZA07515613868357</t>
  </si>
  <si>
    <t>NiiHost - 账单编号 #86650</t>
  </si>
  <si>
    <t>ZA07391583817585</t>
  </si>
  <si>
    <t>NiiHost - Invoice #87562</t>
  </si>
  <si>
    <t>ZA07313187357512</t>
  </si>
  <si>
    <t>NiiHost - 账单编号 #87538</t>
  </si>
  <si>
    <t>ZA07250763153619</t>
  </si>
  <si>
    <t>NiiHost - 账单编号 #87526</t>
  </si>
  <si>
    <t>ZA08404812753496</t>
  </si>
  <si>
    <t>NiiHost - 账单编号 #87682</t>
  </si>
  <si>
    <t>ZA08343797573737</t>
  </si>
  <si>
    <t>NiiHost - 账单编号 #87670</t>
  </si>
  <si>
    <t>RA08319094209503</t>
  </si>
  <si>
    <t>refund ZA07313187357512</t>
  </si>
  <si>
    <t>RA08314899615412</t>
  </si>
  <si>
    <t>refund ZA07250763153619</t>
  </si>
  <si>
    <t>ZA08282588156063</t>
  </si>
  <si>
    <t>NiiHost - 账单编号 #86038</t>
  </si>
  <si>
    <t>ZA08140016057632</t>
  </si>
  <si>
    <t>NiiHost - 账单编号 #87658</t>
  </si>
  <si>
    <t>ZA10970314758414</t>
  </si>
  <si>
    <t>NiiHost - 账单编号 #87826</t>
  </si>
  <si>
    <t>ZA10594005088823</t>
  </si>
  <si>
    <t>NiiHost - 账单编号 #86230</t>
  </si>
  <si>
    <t>ZA10591371553994</t>
  </si>
  <si>
    <t>NiiHost - 账单编号 #87802</t>
  </si>
  <si>
    <t>ZA11719965791924</t>
  </si>
  <si>
    <t>NiiHost - Invoice #87142</t>
  </si>
  <si>
    <t>ZA11607461977318</t>
  </si>
  <si>
    <t>NiiHost - 账单编号 #87910</t>
  </si>
  <si>
    <t>ZA12926530337707</t>
  </si>
  <si>
    <t>NiiHost - 账单编号 #88150</t>
  </si>
  <si>
    <t>ZA12861650468138</t>
  </si>
  <si>
    <t>NiiHost - 账单编号 #88138</t>
  </si>
  <si>
    <t>ZA12799404550970</t>
  </si>
  <si>
    <t>NiiHost - 账单编号 #88126</t>
  </si>
  <si>
    <t>ZA12768206204021</t>
  </si>
  <si>
    <t>NiiHost - 账单编号 #88114</t>
  </si>
  <si>
    <t>ZA12577563498466</t>
  </si>
  <si>
    <t>NiiHost - 账单编号 #86410</t>
  </si>
  <si>
    <t>ZA12427863154885</t>
  </si>
  <si>
    <t>NiiHost - 账单编号 #88102</t>
  </si>
  <si>
    <t>10/13/2025 14:29</t>
  </si>
  <si>
    <t>ZA13657951135624</t>
  </si>
  <si>
    <t>NiiHost - 账单编号 #88294</t>
  </si>
  <si>
    <t>10/13/2025 8:25</t>
  </si>
  <si>
    <t>ZA13439331604356</t>
  </si>
  <si>
    <t>NiiHost - 账单编号 #88270</t>
  </si>
  <si>
    <t>10/13/2025 6:22</t>
  </si>
  <si>
    <t>ZA13365702240431</t>
  </si>
  <si>
    <t>NiiHost - 账单编号 #88258</t>
  </si>
  <si>
    <t>10/14/2025 18:52</t>
  </si>
  <si>
    <t>ZA14679636936837</t>
  </si>
  <si>
    <t>NiiHost - 账单编号 #88426</t>
  </si>
  <si>
    <t>10/14/2025 2:32</t>
  </si>
  <si>
    <t>ZA14091742254068</t>
  </si>
  <si>
    <t>NiiHost - 账单编号 #88414</t>
  </si>
  <si>
    <t>10/16/2025 17:12</t>
  </si>
  <si>
    <t>ZA16347549443223</t>
  </si>
  <si>
    <t>NiiHost - 账单编号 #88714</t>
  </si>
  <si>
    <t>10/16/2025 10:16</t>
  </si>
  <si>
    <t>ZA16097916858990</t>
  </si>
  <si>
    <t>NiiHost - 账单编号 #88690</t>
  </si>
  <si>
    <t>10/16/2025 3:53</t>
  </si>
  <si>
    <t>ZA16868355093676</t>
  </si>
  <si>
    <t>NiiHost - 账单编号 #88654</t>
  </si>
  <si>
    <t>10/16/2025 1:35</t>
  </si>
  <si>
    <t>ZA16785080446950</t>
  </si>
  <si>
    <t>NiiHost - 账单编号 #88642</t>
  </si>
  <si>
    <t>10/16/2025 1:30</t>
  </si>
  <si>
    <t>ZA16782514190982</t>
  </si>
  <si>
    <t>NiiHost - 账单编号 #86818</t>
  </si>
  <si>
    <t>10/17/2025 17:58</t>
  </si>
  <si>
    <t>ZA17239270787530</t>
  </si>
  <si>
    <t>NiiHost - 账单编号 #88846</t>
  </si>
  <si>
    <t>10/17/2025 6:19</t>
  </si>
  <si>
    <t>ZA17819608787642</t>
  </si>
  <si>
    <t>NiiHost - 账单编号 #88810</t>
  </si>
  <si>
    <t>10/17/2025 6:15</t>
  </si>
  <si>
    <t>ZA17817216953486</t>
  </si>
  <si>
    <t>NiiHost - 账单编号 #88798</t>
  </si>
  <si>
    <t>10/17/2025 5:44</t>
  </si>
  <si>
    <t>ZA17798973402931</t>
  </si>
  <si>
    <t>NiiHost - 账单编号 #88786</t>
  </si>
  <si>
    <t>10/17/2025 5:11</t>
  </si>
  <si>
    <t>ZA17778825592708</t>
  </si>
  <si>
    <t>NiiHost - 账单编号 #88774</t>
  </si>
  <si>
    <t>10/18/2025 5:50</t>
  </si>
  <si>
    <t>ZA18666597383310</t>
  </si>
  <si>
    <t>NiiHost - Invoice #89050</t>
  </si>
  <si>
    <t>10/18/2025 3:57</t>
  </si>
  <si>
    <t>ZA18598798133538</t>
  </si>
  <si>
    <t>NiiHost - 账单编号 #89038</t>
  </si>
  <si>
    <t>10/18/2025 2:27</t>
  </si>
  <si>
    <t>ZA18544558745054</t>
  </si>
  <si>
    <t>NiiHost - 账单编号 #87130</t>
  </si>
  <si>
    <t>10/19/2025 19:16</t>
  </si>
  <si>
    <t>ZA19014152726520</t>
  </si>
  <si>
    <t>NiiHost - 账单编号 #87370</t>
  </si>
  <si>
    <t>10/20/2025 14:54</t>
  </si>
  <si>
    <t>ZA20720488550923</t>
  </si>
  <si>
    <t>NiiHost - 账单编号 #89447</t>
  </si>
  <si>
    <t>10/20/2025 14:50</t>
  </si>
  <si>
    <t>ZA20718227520497</t>
  </si>
  <si>
    <t>NiiHost - Invoice #88210</t>
  </si>
  <si>
    <t>10/20/2025 13:07</t>
  </si>
  <si>
    <t>ZA20656613546329</t>
  </si>
  <si>
    <t>NiiHost - 账单编号 #89423</t>
  </si>
  <si>
    <t>10/20/2025 11:06</t>
  </si>
  <si>
    <t>ZA20584037536773</t>
  </si>
  <si>
    <t>NiiHost - 账单编号 #89387</t>
  </si>
  <si>
    <t>10/20/2025 8:29</t>
  </si>
  <si>
    <t>ZA20489726048014</t>
  </si>
  <si>
    <t>NiiHost - 账单编号 #89363</t>
  </si>
  <si>
    <t>10/21/2025 15:25</t>
  </si>
  <si>
    <t>ZA21603081167509</t>
  </si>
  <si>
    <t>NiiHost - 账单编号 #87622</t>
  </si>
  <si>
    <t>10/21/2025 7:27</t>
  </si>
  <si>
    <t>ZA21316344457298</t>
  </si>
  <si>
    <t>NiiHost - 账单编号 #89543</t>
  </si>
  <si>
    <t>10/22/2025 16:43</t>
  </si>
  <si>
    <t>RA22514095828360</t>
  </si>
  <si>
    <t>refund ZA22219187916155</t>
  </si>
  <si>
    <t>ZA22219187916155</t>
  </si>
  <si>
    <t>10/22/2025 8:31</t>
  </si>
  <si>
    <t>NiiHost - 账单编号 #89711</t>
  </si>
  <si>
    <t>10/22/2025 2:31</t>
  </si>
  <si>
    <t>ZA22002787622690</t>
  </si>
  <si>
    <t>NiiHost - 账单编号 #89687</t>
  </si>
  <si>
    <t>10/23/2025 15:58</t>
  </si>
  <si>
    <t>ZA23351119032913</t>
  </si>
  <si>
    <t>NiiHost - 账单编号 #89855</t>
  </si>
  <si>
    <t>BE</t>
  </si>
  <si>
    <t>10/23/2025 10:20</t>
  </si>
  <si>
    <t>ZA23148367299815</t>
  </si>
  <si>
    <t>NiiHost - 账单编号 #89843</t>
  </si>
  <si>
    <t>10/24/2025 16:47</t>
  </si>
  <si>
    <t>ZA24244318140086</t>
  </si>
  <si>
    <t>NiiHost - 账单编号 #90023</t>
  </si>
  <si>
    <t>10/24/2025 12:07</t>
  </si>
  <si>
    <t>ZA24076423854831</t>
  </si>
  <si>
    <t>NiiHost - 账单编号 #89999</t>
  </si>
  <si>
    <t>TH</t>
  </si>
  <si>
    <t>10/24/2025 11:29</t>
  </si>
  <si>
    <t>ZA24053800549918</t>
  </si>
  <si>
    <t>NiiHost - 账单编号 #89987</t>
  </si>
  <si>
    <t>10/24/2025 8:51</t>
  </si>
  <si>
    <t>ZA24958600553954</t>
  </si>
  <si>
    <t>NiiHost - 账单编号 #89975</t>
  </si>
  <si>
    <t>10/24/2025 5:13</t>
  </si>
  <si>
    <t>ZA24828314083549</t>
  </si>
  <si>
    <t>NiiHost - 账单编号 #89951</t>
  </si>
  <si>
    <t>10/25/2025 6:27</t>
  </si>
  <si>
    <t>ZA25736428996544</t>
  </si>
  <si>
    <t>NiiHost - 账单编号 #90143</t>
  </si>
  <si>
    <t>10/25/2025 2:39</t>
  </si>
  <si>
    <t>RA25599686233976</t>
  </si>
  <si>
    <t>refund ZA24053800549918</t>
  </si>
  <si>
    <t>10/25/2025 1:01</t>
  </si>
  <si>
    <t>ZA25540946583176</t>
  </si>
  <si>
    <t>NiiHost - 账单编号 #90131</t>
  </si>
  <si>
    <t>10/26/2025 16:02</t>
  </si>
  <si>
    <t>ZA26945242515912</t>
  </si>
  <si>
    <t>NiiHost - 账单编号 #90287</t>
  </si>
  <si>
    <t>10/26/2025 3:16</t>
  </si>
  <si>
    <t>ZA26485690723644</t>
  </si>
  <si>
    <t>NiiHost - 账单编号 #90263</t>
  </si>
  <si>
    <t>10/27/2025 16:11</t>
  </si>
  <si>
    <t>ZA27815173656621</t>
  </si>
  <si>
    <t>NiiHost - 账单编号 #90455</t>
  </si>
  <si>
    <t>10/27/2025 5:33</t>
  </si>
  <si>
    <t>ZA27432247377661</t>
  </si>
  <si>
    <t>NiiHost - 账单编号 #90419</t>
  </si>
  <si>
    <t>10/27/2025 3:05</t>
  </si>
  <si>
    <t>ZA27343124327880</t>
  </si>
  <si>
    <t>NiiHost - 账单编号 #90395</t>
  </si>
  <si>
    <t>10/27/2025 2:42</t>
  </si>
  <si>
    <t>ZA27329310457081</t>
  </si>
  <si>
    <t>NiiHost - 账单编号 #90383</t>
  </si>
  <si>
    <t>10/27/2025 2:36</t>
  </si>
  <si>
    <t>ZA27326060858395</t>
  </si>
  <si>
    <t>NiiHost - 账单编号 #88222</t>
  </si>
  <si>
    <t>10/28/2025 16:28</t>
  </si>
  <si>
    <t>ZA28689064772080</t>
  </si>
  <si>
    <t>NiiHost - 账单编号 #90611</t>
  </si>
  <si>
    <t>10/28/2025 9:47</t>
  </si>
  <si>
    <t>ZA28448791998425</t>
  </si>
  <si>
    <t>NiiHost - 账单编号 #90563</t>
  </si>
  <si>
    <t>10/28/2025 0:06</t>
  </si>
  <si>
    <t>ZA28099633707480</t>
  </si>
  <si>
    <t>NiiHost - 账单编号 #90467</t>
  </si>
  <si>
    <t>10/29/2025 10:25</t>
  </si>
  <si>
    <t>ZA29335059159271</t>
  </si>
  <si>
    <t>NiiHost - 账单编号 #90731</t>
  </si>
  <si>
    <t>10/29/2025 6:22</t>
  </si>
  <si>
    <t>ZA29189420991564</t>
  </si>
  <si>
    <t>NiiHost - 账单编号 #88618</t>
  </si>
  <si>
    <t>10/29/2025 1:05</t>
  </si>
  <si>
    <t>ZA29999462710264</t>
  </si>
  <si>
    <t>NiiHost - 账单编号 #90707</t>
  </si>
  <si>
    <t>10/30/2025 18:44</t>
  </si>
  <si>
    <t>ZA30498812468363</t>
  </si>
  <si>
    <t>NiiHost - 账单编号 #90899</t>
  </si>
  <si>
    <t>10/30/2025 6:37</t>
  </si>
  <si>
    <t>ZA30062278317234</t>
  </si>
  <si>
    <t>NiiHost - 账单编号 #90863</t>
  </si>
  <si>
    <t>10/30/2025 5:38</t>
  </si>
  <si>
    <t>ZA30027133428298</t>
  </si>
  <si>
    <t>NiiHost - 账单编号 #90839</t>
  </si>
  <si>
    <t>10/31/2025 13:51</t>
  </si>
  <si>
    <t>ZA31186859390553</t>
  </si>
  <si>
    <t>NiiHost - 账单编号 #91103</t>
  </si>
  <si>
    <t>10/31/2025 9:05</t>
  </si>
  <si>
    <t>ZA31015021690654</t>
  </si>
  <si>
    <t>NiiHost - 账单编号 #91079</t>
  </si>
  <si>
    <t>10/31/2025 8:30</t>
  </si>
  <si>
    <t>ZA31994126092580</t>
  </si>
  <si>
    <t>NiiHost - Invoice #91067</t>
  </si>
  <si>
    <t>10/31/2025 8:05</t>
  </si>
  <si>
    <t>ZA31979556454867</t>
  </si>
  <si>
    <t>NiiHost - Invoice #89014</t>
  </si>
  <si>
    <t>10/22/2025 16:48</t>
  </si>
  <si>
    <t>ZB01241699327783</t>
  </si>
  <si>
    <t>NiiHost - 账单编号 #91235</t>
  </si>
  <si>
    <t>ZB01003538834543</t>
  </si>
  <si>
    <t>NiiHost - 账单编号 #91211</t>
  </si>
  <si>
    <t>ZB01662040027858</t>
  </si>
  <si>
    <t>NiiHost - 账单编号 #91175</t>
  </si>
  <si>
    <t>ZB02916923234556</t>
  </si>
  <si>
    <t>NiiHost - 账单编号 #91379</t>
  </si>
  <si>
    <t>ZB02816622306639</t>
  </si>
  <si>
    <t>NiiHost - 账单编号 #89170</t>
  </si>
  <si>
    <t>ZB02593759874948</t>
  </si>
  <si>
    <t>NiiHost - 账单编号 #91331</t>
  </si>
  <si>
    <t>ZB02553382448122</t>
  </si>
  <si>
    <t>NiiHost - 账单编号 #91223</t>
  </si>
  <si>
    <t>ZB02540233402528</t>
  </si>
  <si>
    <t>NiiHost - Invoice #91319</t>
  </si>
  <si>
    <t>ZB03802823100092</t>
  </si>
  <si>
    <t>NiiHost - 账单编号 #91643</t>
  </si>
  <si>
    <t>ZB03705030560213</t>
  </si>
  <si>
    <t>NiiHost - Invoice #90515</t>
  </si>
  <si>
    <t>ZB03556114669188</t>
  </si>
  <si>
    <t>NiiHost - 账单编号 #91631</t>
  </si>
  <si>
    <t>ZB03505803547949</t>
  </si>
  <si>
    <t>NiiHost - 账单编号 #91619</t>
  </si>
  <si>
    <t>ZB03423282834908</t>
  </si>
  <si>
    <t>NiiHost - 账单编号 #91595</t>
  </si>
  <si>
    <t>ZB03398413615123</t>
  </si>
  <si>
    <t>NiiHost - 账单编号 #91571</t>
  </si>
  <si>
    <t>ZB03390120142478</t>
  </si>
  <si>
    <t>NiiHost - 账单编号 #91523</t>
  </si>
  <si>
    <t>ZB04633676148652</t>
  </si>
  <si>
    <t>NiiHost - 账单编号 #89495</t>
  </si>
  <si>
    <t>ZB04558232418252</t>
  </si>
  <si>
    <t>NiiHost - 账单编号 #91499</t>
  </si>
  <si>
    <t>ZB04366588714330</t>
  </si>
  <si>
    <t>NiiHost - Invoice #91871</t>
  </si>
  <si>
    <t>ZB04274873545425</t>
  </si>
  <si>
    <t>NiiHost - 账单编号 #91859</t>
  </si>
  <si>
    <t>ZB05639897141389</t>
  </si>
  <si>
    <t>NiiHost - 账单编号 #92159</t>
  </si>
  <si>
    <t>ZB05601358826966</t>
  </si>
  <si>
    <t>NiiHost - 账单编号 #92147</t>
  </si>
  <si>
    <t>ZB05569416324825</t>
  </si>
  <si>
    <t>NiiHost - 账单编号 #92099</t>
  </si>
  <si>
    <t>ZB05492348337809</t>
  </si>
  <si>
    <t>NiiHost - 账单编号 #92051</t>
  </si>
  <si>
    <t>ZB05392731768635</t>
  </si>
  <si>
    <t>NiiHost - 账单编号 #92039</t>
  </si>
  <si>
    <t>ZB05375847039410</t>
  </si>
  <si>
    <t>NiiHost - 账单编号 #92027</t>
  </si>
  <si>
    <t>ZB05367647681175</t>
  </si>
  <si>
    <t>NiiHost - 账单编号 #92015</t>
  </si>
  <si>
    <t>ZB05314668598156</t>
  </si>
  <si>
    <t>NiiHost - 账单编号 #91991</t>
  </si>
  <si>
    <t>ZB05247334649549</t>
  </si>
  <si>
    <t>NiiHost - 账单编号 #91979</t>
  </si>
  <si>
    <t>ZB05236265184683</t>
  </si>
  <si>
    <t>NiiHost - 账单编号 #91967</t>
  </si>
  <si>
    <t>ZB05211693035169</t>
  </si>
  <si>
    <t>NiiHost - 账单编号 #90227</t>
  </si>
  <si>
    <t>RB05128700933553</t>
  </si>
  <si>
    <t>refund ZB05114121246837</t>
  </si>
  <si>
    <t>ZB05114121246837</t>
  </si>
  <si>
    <t>NiiHost - 账单编号 #91955</t>
  </si>
  <si>
    <t>ZB05095528256552</t>
  </si>
  <si>
    <t>NiiHost - Invoice #91823</t>
  </si>
  <si>
    <t>ZB05090680437804</t>
  </si>
  <si>
    <t>NiiHost - 账单编号 #90107</t>
  </si>
  <si>
    <t>ZB05046393256270</t>
  </si>
  <si>
    <t>NiiHost - 账单编号 #91943</t>
  </si>
  <si>
    <t>ZB06516869514147</t>
  </si>
  <si>
    <t>NiiHost - 账单编号 #92447</t>
  </si>
  <si>
    <t>ZB06509702351379</t>
  </si>
  <si>
    <t>NiiHost - 账单编号 #90311</t>
  </si>
  <si>
    <t>ZB06433243757502</t>
  </si>
  <si>
    <t>NiiHost - 账单编号 #92411</t>
  </si>
  <si>
    <t>ZB06388289911309</t>
  </si>
  <si>
    <t>NiiHost - 账单编号 #92399</t>
  </si>
  <si>
    <t>ZB06260362806589</t>
  </si>
  <si>
    <t>NiiHost - 账单编号 #92387</t>
  </si>
  <si>
    <t>ZB07454066951004</t>
  </si>
  <si>
    <t>NiiHost - 账单编号 #92795</t>
  </si>
  <si>
    <t>ZB07368866658074</t>
  </si>
  <si>
    <t>NiiHost - 账单编号 #92771</t>
  </si>
  <si>
    <t>ZB07269731044342</t>
  </si>
  <si>
    <t>NiiHost - 账单编号 #92735</t>
  </si>
  <si>
    <t>TR</t>
  </si>
  <si>
    <t>ZB07201581282546</t>
  </si>
  <si>
    <t>NiiHost - 账单编号 #92723</t>
  </si>
  <si>
    <t>ZB07052935828162</t>
  </si>
  <si>
    <t>NiiHost - 账单编号 #92711</t>
  </si>
  <si>
    <t>ZB07977480705923</t>
  </si>
  <si>
    <t>NiiHost - 账单编号 #90083</t>
  </si>
  <si>
    <t>ZB07839039381022</t>
  </si>
  <si>
    <t>NiiHost - 账单编号 #92663</t>
  </si>
  <si>
    <t>ZB08238156241854</t>
  </si>
  <si>
    <t>NiiHost - 账单编号 #90179</t>
  </si>
  <si>
    <t>ZB08167684515293</t>
  </si>
  <si>
    <t>NiiHost - 账单编号 #93071</t>
  </si>
  <si>
    <t>ZB08009060086090</t>
  </si>
  <si>
    <t>NiiHost - 账单编号 #93059</t>
  </si>
  <si>
    <t>ZB08830720047011</t>
  </si>
  <si>
    <t>NiiHost - 账单编号 #93011</t>
  </si>
  <si>
    <t>ZB08816537697531</t>
  </si>
  <si>
    <t>NiiHost - 账单编号 #92999</t>
  </si>
  <si>
    <t>ZB09235643775843</t>
  </si>
  <si>
    <t>NiiHost - 账单编号 #93323</t>
  </si>
  <si>
    <t>ZB09046429367590</t>
  </si>
  <si>
    <t>NiiHost - 账单编号 #93287</t>
  </si>
  <si>
    <t>ZB09023481243986</t>
  </si>
  <si>
    <t>NiiHost - 账单编号 #93275</t>
  </si>
  <si>
    <t>ZB09946307970090</t>
  </si>
  <si>
    <t>NiiHost - Invoice #90983</t>
  </si>
  <si>
    <t>ZB10733775074316</t>
  </si>
  <si>
    <t>NiiHost - 账单编号 #93623</t>
  </si>
  <si>
    <t>ZB10480225139341</t>
  </si>
  <si>
    <t>NiiHost - 账单编号 #90347</t>
  </si>
  <si>
    <t>ZB10448457828113</t>
  </si>
  <si>
    <t>NiiHost - 账单编号 #93563</t>
  </si>
  <si>
    <t>ZB11903657116668</t>
  </si>
  <si>
    <t>NiiHost - 账单编号 #93863</t>
  </si>
  <si>
    <t>ZB11734439688280</t>
  </si>
  <si>
    <t>NiiHost - 账单编号 #92375</t>
  </si>
  <si>
    <t>ZB11723250931001</t>
  </si>
  <si>
    <t>NiiHost - 账单编号 #93851</t>
  </si>
  <si>
    <t>ZB11624965378835</t>
  </si>
  <si>
    <t>NiiHost - 账单编号 #93839</t>
  </si>
  <si>
    <t>ZB11353037343562</t>
  </si>
  <si>
    <t>NiiHost - 账单编号 #93767</t>
  </si>
  <si>
    <t>ZB11314932202249</t>
  </si>
  <si>
    <t>NiiHost - 账单编号 #93755</t>
  </si>
  <si>
    <t>ZB11261548338080</t>
  </si>
  <si>
    <t>NiiHost - 账单编号 #90491</t>
  </si>
  <si>
    <t>ZB11246431299356</t>
  </si>
  <si>
    <t>NiiHost - 账单编号 #93743</t>
  </si>
  <si>
    <t>ZB12432360042490</t>
  </si>
  <si>
    <t>NiiHost - 账单编号 #94139</t>
  </si>
  <si>
    <t>ZB12222809248016</t>
  </si>
  <si>
    <t>NiiHost - 账单编号 #94103</t>
  </si>
  <si>
    <t>RB12151492453607</t>
  </si>
  <si>
    <t>refund ZB07201581282546</t>
  </si>
  <si>
    <t>11/13/2025 4:28</t>
  </si>
  <si>
    <t>ZB13081080516145</t>
  </si>
  <si>
    <t>NiiHost - 账单编号 #92459</t>
  </si>
  <si>
    <t>11/13/2025 1:15</t>
  </si>
  <si>
    <t>ZB13965162305590</t>
  </si>
  <si>
    <t>NiiHost - 账单编号 #94247</t>
  </si>
  <si>
    <t>11/14/2025 8:12</t>
  </si>
  <si>
    <t>ZB14079534711149</t>
  </si>
  <si>
    <t>NiiHost - 账单编号 #94559</t>
  </si>
  <si>
    <t>11/17/2025 0:44</t>
  </si>
  <si>
    <t>ZB17402496330472</t>
  </si>
  <si>
    <t>NiiHost - Invoice #94811</t>
  </si>
  <si>
    <t>11/19/2025 16:41</t>
  </si>
  <si>
    <t>ZB19704700350818</t>
  </si>
  <si>
    <t>NiiHost - 账单编号 #95268</t>
  </si>
  <si>
    <t>11/19/2025 9:02</t>
  </si>
  <si>
    <t>ZB19429253862622</t>
  </si>
  <si>
    <t>NiiHost - 账单编号 #95196</t>
  </si>
  <si>
    <t>11/19/2025 8:37</t>
  </si>
  <si>
    <t>ZB19414245329688</t>
  </si>
  <si>
    <t>11/19/2025 4:07</t>
  </si>
  <si>
    <t>ZB19252793978834</t>
  </si>
  <si>
    <t>NiiHost - 账单编号 #92207</t>
  </si>
  <si>
    <t>11/20/2025 18:40</t>
  </si>
  <si>
    <t>ZB20640235825217</t>
  </si>
  <si>
    <t>NiiHost - 账单编号 #95388</t>
  </si>
  <si>
    <t>11/20/2025 16:01</t>
  </si>
  <si>
    <t>ZB20544853459038</t>
  </si>
  <si>
    <t>NiiHost - 账单编号 #95352</t>
  </si>
  <si>
    <t>11/20/2025 13:57</t>
  </si>
  <si>
    <t>ZB20470362508333</t>
  </si>
  <si>
    <t>NiiHost - 账单编号 #90683</t>
  </si>
  <si>
    <t>11/20/2025 9:48</t>
  </si>
  <si>
    <t>ZB20321285044347</t>
  </si>
  <si>
    <t>NiiHost - 账单编号 #95100</t>
  </si>
  <si>
    <t>11/20/2025 3:11</t>
  </si>
  <si>
    <t>ZB20082838057946</t>
  </si>
  <si>
    <t>NiiHost - 账单编号 #95340</t>
  </si>
  <si>
    <t>11/20/2025 1:09</t>
  </si>
  <si>
    <t>ZB20009737172055</t>
  </si>
  <si>
    <t>NiiHost - 账单编号 #95304</t>
  </si>
  <si>
    <t>11/21/2025 17:17</t>
  </si>
  <si>
    <t>ZB21454221071273</t>
  </si>
  <si>
    <t>NiiHost - 账单编号 #95604</t>
  </si>
  <si>
    <t>AU</t>
  </si>
  <si>
    <t>11/21/2025 16:29</t>
  </si>
  <si>
    <t>ZB21425509490279</t>
  </si>
  <si>
    <t>NiiHost - 账单编号 #95592</t>
  </si>
  <si>
    <t>11/21/2025 2:47</t>
  </si>
  <si>
    <t>ZB21932286263122</t>
  </si>
  <si>
    <t>NiiHost - 账单编号 #95580</t>
  </si>
  <si>
    <t>11/22/2025 18:17</t>
  </si>
  <si>
    <t>ZB22354634055259</t>
  </si>
  <si>
    <t>NiiHost - 账单编号 #95784</t>
  </si>
  <si>
    <t>11/22/2025 16:44</t>
  </si>
  <si>
    <t>ZB22298561500182</t>
  </si>
  <si>
    <t>NiiHost - 账单编号 #95772</t>
  </si>
  <si>
    <t>11/22/2025 1:20</t>
  </si>
  <si>
    <t>ZB22744278562359</t>
  </si>
  <si>
    <t>NiiHost - 账单编号 #92951</t>
  </si>
  <si>
    <t>11/23/2025 10:53</t>
  </si>
  <si>
    <t>ZB23952240566305</t>
  </si>
  <si>
    <t>NiiHost - 账单编号 #93491</t>
  </si>
  <si>
    <t>11/23/2025 10:41</t>
  </si>
  <si>
    <t>ZB23944693003585</t>
  </si>
  <si>
    <t>NiiHost - 账单编号 #95892</t>
  </si>
  <si>
    <t>11/23/2025 8:18</t>
  </si>
  <si>
    <t>ZB23859273351476</t>
  </si>
  <si>
    <t>NiiHost - 账单编号 #93215</t>
  </si>
  <si>
    <t>11/23/2025 4:05</t>
  </si>
  <si>
    <t>ZB23707487725381</t>
  </si>
  <si>
    <t>NiiHost - Invoice #94319</t>
  </si>
  <si>
    <t>11/24/2025 15:43</t>
  </si>
  <si>
    <t>ZB24990215661512</t>
  </si>
  <si>
    <t>NiiHost - 账单编号 #96000</t>
  </si>
  <si>
    <t>11/25/2025 18:16</t>
  </si>
  <si>
    <t>RB25946151892949</t>
  </si>
  <si>
    <t>refund ZB20470362508333</t>
  </si>
  <si>
    <t>11/25/2025 5:49</t>
  </si>
  <si>
    <t>ZB25497926932033</t>
  </si>
  <si>
    <t>NiiHost - Invoice #96228</t>
  </si>
  <si>
    <t>11/25/2025 3:15</t>
  </si>
  <si>
    <t>ZB25405125248164</t>
  </si>
  <si>
    <t>NiiHost - 账单编号 #96156</t>
  </si>
  <si>
    <t>11/26/2025 15:23</t>
  </si>
  <si>
    <t>ZB26706206240823</t>
  </si>
  <si>
    <t>NiiHost - 账单编号 #96468</t>
  </si>
  <si>
    <t>11/26/2025 6:56</t>
  </si>
  <si>
    <t>ZB26401904613565</t>
  </si>
  <si>
    <t>NiiHost - 账单编号 #94295</t>
  </si>
  <si>
    <t>11/26/2025 6:30</t>
  </si>
  <si>
    <t>ZB26386097388629</t>
  </si>
  <si>
    <t>NiiHost - 账单编号 #94763</t>
  </si>
  <si>
    <t>11/26/2025 6:11</t>
  </si>
  <si>
    <t>ZB26374752303255</t>
  </si>
  <si>
    <t>NiiHost - 账单编号 #95952</t>
  </si>
  <si>
    <t>11/26/2025 5:33</t>
  </si>
  <si>
    <t>ZB26351917247514</t>
  </si>
  <si>
    <t>NiiHost - 账单编号 #96420</t>
  </si>
  <si>
    <t>11/27/2025 13:00</t>
  </si>
  <si>
    <t>ZB27484083052590</t>
  </si>
  <si>
    <t>NiiHost - 账单编号 #96600</t>
  </si>
  <si>
    <t>11/27/2025 10:13</t>
  </si>
  <si>
    <t>ZB27383854492774</t>
  </si>
  <si>
    <t>NiiHost - 账单编号 #96588</t>
  </si>
  <si>
    <t>11/27/2025 7:59</t>
  </si>
  <si>
    <t>ZB27303639591416</t>
  </si>
  <si>
    <t>NiiHost - 账单编号 #96576</t>
  </si>
  <si>
    <t>11/28/2025 14:36</t>
  </si>
  <si>
    <t>ZB28405723596931</t>
  </si>
  <si>
    <t>NiiHost - 账单编号 #96732</t>
  </si>
  <si>
    <t>11/28/2025 13:24</t>
  </si>
  <si>
    <t>ZB28362968165660</t>
  </si>
  <si>
    <t>NiiHost - Invoice #94895</t>
  </si>
  <si>
    <t>11/28/2025 10:33</t>
  </si>
  <si>
    <t>ZB28260328787051</t>
  </si>
  <si>
    <t>NiiHost - 账单编号 #96720</t>
  </si>
  <si>
    <t>11/28/2025 8:35</t>
  </si>
  <si>
    <t>ZB28189403980469</t>
  </si>
  <si>
    <t>NiiHost - 账单编号 #96708</t>
  </si>
  <si>
    <t>11/28/2025 2:10</t>
  </si>
  <si>
    <t>ZB28958393664016</t>
  </si>
  <si>
    <t>NiiHost - 账单编号 #96696</t>
  </si>
  <si>
    <t>11/29/2025 16:07</t>
  </si>
  <si>
    <t>ZB29324424508518</t>
  </si>
  <si>
    <t>NiiHost - 账单编号 #96780</t>
  </si>
  <si>
    <t>11/29/2025 11:31</t>
  </si>
  <si>
    <t>ZB29159187472386</t>
  </si>
  <si>
    <t>NiiHost - 账单编号 #94547</t>
  </si>
  <si>
    <t>11/29/2025 6:38</t>
  </si>
  <si>
    <t>ZB29982913564388</t>
  </si>
  <si>
    <t>NiiHost - Invoice #96756</t>
  </si>
  <si>
    <t>11/30/2025 5:25</t>
  </si>
  <si>
    <t>ZB30803014912257</t>
  </si>
  <si>
    <t>NiiHost - 账单编号 #96888</t>
  </si>
  <si>
    <t>11/27/2025 3:43</t>
  </si>
  <si>
    <t>ZC01033442388572</t>
  </si>
  <si>
    <t>NiiHost - 账单编号 #97032</t>
  </si>
  <si>
    <t>ZC01998200916322</t>
  </si>
  <si>
    <t>NiiHost - 账单编号 #97020</t>
  </si>
  <si>
    <t>ZC01880110797424</t>
  </si>
  <si>
    <t>NiiHost - 账单编号 #96996</t>
  </si>
  <si>
    <t>ZC01877208197296</t>
  </si>
  <si>
    <t>NiiHost - 账单编号 #96984</t>
  </si>
  <si>
    <t>ZC01699820091871</t>
  </si>
  <si>
    <t>NiiHost - 账单编号 #96120</t>
  </si>
  <si>
    <t>ZC01582824232017</t>
  </si>
  <si>
    <t>NiiHost - Invoice #96564</t>
  </si>
  <si>
    <t>ZC02895883997466</t>
  </si>
  <si>
    <t>NiiHost - 账单编号 #97188</t>
  </si>
  <si>
    <t>ZC02686136935824</t>
  </si>
  <si>
    <t>NiiHost - 账单编号 #97176</t>
  </si>
  <si>
    <t>ZC02672693476462</t>
  </si>
  <si>
    <t>NiiHost - Invoice #97164</t>
  </si>
  <si>
    <t>ZC03658738672206</t>
  </si>
  <si>
    <t>NiiHost - 账单编号 #97380</t>
  </si>
  <si>
    <t>ZC04218897521799</t>
  </si>
  <si>
    <t>NiiHost - 账单编号 #85366</t>
  </si>
  <si>
    <t>ZC05763898627657</t>
  </si>
  <si>
    <t>NiiHost - 账单编号 #97572</t>
  </si>
  <si>
    <t>ZC05437408918641</t>
  </si>
  <si>
    <t>NiiHost - 账单编号 #97560</t>
  </si>
  <si>
    <t>ZC05301033534961</t>
  </si>
  <si>
    <t>NiiHost - 账单编号 #97548</t>
  </si>
  <si>
    <t>ZC05010641945718</t>
  </si>
  <si>
    <t>NiiHost - 账单编号 #95568</t>
  </si>
  <si>
    <t>ZC06383839456938</t>
  </si>
  <si>
    <t>NiiHost - 账单编号 #97752</t>
  </si>
  <si>
    <t>ZC06311147232324</t>
  </si>
  <si>
    <t>NiiHost - 账单编号 #97728</t>
  </si>
  <si>
    <t>ZC06281260615295</t>
  </si>
  <si>
    <t>NiiHost - 账单编号 #97704</t>
  </si>
  <si>
    <t>ZC06248412545739</t>
  </si>
  <si>
    <t>NiiHost - 账单编号 #97692</t>
  </si>
  <si>
    <t>ZC06232880000669</t>
  </si>
  <si>
    <t>NiiHost - Invoice #97680</t>
  </si>
  <si>
    <t>ZC06183093687726</t>
  </si>
  <si>
    <t>NiiHost - 账单编号 #97668</t>
  </si>
  <si>
    <t>ZC07130728909149</t>
  </si>
  <si>
    <t>NiiHost - Invoice #96816</t>
  </si>
  <si>
    <t>ZC07120748740764</t>
  </si>
  <si>
    <t>NiiHost - 账单编号 #95844</t>
  </si>
  <si>
    <t>ZC07808356800425</t>
  </si>
  <si>
    <t>NiiHost - 账单编号 #97896</t>
  </si>
  <si>
    <t>ZC07756272146028</t>
  </si>
  <si>
    <t>NiiHost - Invoice #96864</t>
  </si>
  <si>
    <t>ZC08896010599485</t>
  </si>
  <si>
    <t>NiiHost - 账单编号 #98028</t>
  </si>
  <si>
    <t>ZC08735073996253</t>
  </si>
  <si>
    <t>NiiHost - 账单编号 #98016</t>
  </si>
  <si>
    <t>ZC08627666123308</t>
  </si>
  <si>
    <t>NiiHost - 账单编号 #97992</t>
  </si>
  <si>
    <t>ZC09796974595900</t>
  </si>
  <si>
    <t>NiiHost - 账单编号 #98100</t>
  </si>
  <si>
    <t>ZC09555216868960</t>
  </si>
  <si>
    <t>NiiHost - 账单编号 #98088</t>
  </si>
  <si>
    <t>ZC10842815024100</t>
  </si>
  <si>
    <t>NiiHost - Invoice #98244</t>
  </si>
  <si>
    <t>ZC10739149998937</t>
  </si>
  <si>
    <t>NiiHost - 账单编号 #96852</t>
  </si>
  <si>
    <t>ZC10734355608173</t>
  </si>
  <si>
    <t>NiiHost - 账单编号 #98232</t>
  </si>
  <si>
    <t>ZC11640187015830</t>
  </si>
  <si>
    <t>NiiHost - 账单编号 #96660</t>
  </si>
  <si>
    <t>ZC11569337021972</t>
  </si>
  <si>
    <t>NiiHost - 账单编号 #98376</t>
  </si>
  <si>
    <t>ZC11480633847347</t>
  </si>
  <si>
    <t>NiiHost - 账单编号 #98364</t>
  </si>
  <si>
    <t>RC11244251306563</t>
  </si>
  <si>
    <t>refund ZC06248412545739</t>
  </si>
  <si>
    <t>RC11242906335348</t>
  </si>
  <si>
    <t>refund ZC06281260615295</t>
  </si>
  <si>
    <t>RC11242018030652</t>
  </si>
  <si>
    <t>refund ZC06383839456938</t>
  </si>
  <si>
    <t>ZC11233500064171</t>
  </si>
  <si>
    <t>NiiHost - 账单编号 #98352</t>
  </si>
  <si>
    <t>ZC11177847932315</t>
  </si>
  <si>
    <t>NiiHost - 账单编号 #98340</t>
  </si>
  <si>
    <t>ZC12454548828968</t>
  </si>
  <si>
    <t>NiiHost - 账单编号 #98556</t>
  </si>
  <si>
    <t>ZC12416002084730</t>
  </si>
  <si>
    <t>NiiHost - 账单编号 #98544</t>
  </si>
  <si>
    <t>ZC12374530688152</t>
  </si>
  <si>
    <t>NiiHost - 账单编号 #98532</t>
  </si>
  <si>
    <t>12/13/2025 10:33</t>
  </si>
  <si>
    <t>ZC13219835381607</t>
  </si>
  <si>
    <t>NiiHost - 账单编号 #98916</t>
  </si>
  <si>
    <t>12/13/2025 5:39</t>
  </si>
  <si>
    <t>ZC13043887324319</t>
  </si>
  <si>
    <t>NiiHost - 账单编号 #98868</t>
  </si>
  <si>
    <t>12/14/2025 1:53</t>
  </si>
  <si>
    <t>RC14772359954740</t>
  </si>
  <si>
    <t>refund ZB19414245329688</t>
  </si>
  <si>
    <t>12/14/2025 1:24</t>
  </si>
  <si>
    <t>ZC14754582005601</t>
  </si>
  <si>
    <t>NiiHost - Invoice #99180</t>
  </si>
  <si>
    <t>12/16/2025 15:15</t>
  </si>
  <si>
    <t>ZC16981142822858</t>
  </si>
  <si>
    <t>NiiHost - 账单编号 #99744</t>
  </si>
  <si>
    <t>12/18/2025 12:11</t>
  </si>
  <si>
    <t>ZC18599081683840</t>
  </si>
  <si>
    <t>NiiHost - 账单编号 #97452</t>
  </si>
  <si>
    <t>12/19/2025 8:21</t>
  </si>
  <si>
    <t>ZC19324951516338</t>
  </si>
  <si>
    <t>NiiHost - 账单编号 #100644</t>
  </si>
  <si>
    <t>12/20/2025 2:28</t>
  </si>
  <si>
    <t>ZC20977109734558</t>
  </si>
  <si>
    <t>NiiHost - 账单编号 #97596</t>
  </si>
  <si>
    <t>12/21/2025 14:59</t>
  </si>
  <si>
    <t>ZC21291646736582</t>
  </si>
  <si>
    <t>NiiHost - 账单编号 #100896</t>
  </si>
  <si>
    <t>12/23/2025 1:26</t>
  </si>
  <si>
    <t>ZC23532181348279</t>
  </si>
  <si>
    <t>NiiHost - 账单编号 #101112</t>
  </si>
  <si>
    <t>12/23/2025 1:25</t>
  </si>
  <si>
    <t>ZC23531502863089</t>
  </si>
  <si>
    <t>NiiHost - 账单编号 #101100</t>
  </si>
  <si>
    <t>12/24/2025 12:52</t>
  </si>
  <si>
    <t>ZC24807251096123</t>
  </si>
  <si>
    <t>NiiHost - Invoice #98844</t>
  </si>
  <si>
    <t>12/24/2025 8:48</t>
  </si>
  <si>
    <t>ZC24660937593789</t>
  </si>
  <si>
    <t>NiiHost - 账单编号 #101340</t>
  </si>
  <si>
    <t>12/28/2025 9:00</t>
  </si>
  <si>
    <t>ZC28124016461758</t>
  </si>
  <si>
    <t>NiiHost - 账单编号 #102036</t>
  </si>
  <si>
    <t>12/30/2025 13:40</t>
  </si>
  <si>
    <t>ZC30020474874976</t>
  </si>
  <si>
    <t>NiiHost - 账单编号 #100428</t>
  </si>
  <si>
    <t>12/30/2025 3:59</t>
  </si>
  <si>
    <t>ZC30671857001768</t>
  </si>
  <si>
    <t>NiiHost - 账单编号 #99624</t>
  </si>
  <si>
    <t>12/30/2025 3:13</t>
  </si>
  <si>
    <t>ZC30644386231399</t>
  </si>
  <si>
    <t>NiiHost - 账单编号 #102516</t>
  </si>
  <si>
    <t>12/30/2025 1:30</t>
  </si>
  <si>
    <t>ZC30582416289935</t>
  </si>
  <si>
    <t>NiiHost - 账单编号 #99156</t>
  </si>
  <si>
    <t>12/31/2025 15:09</t>
  </si>
  <si>
    <t>ZC31937938388462</t>
  </si>
  <si>
    <t>NiiHost - 账单编号 #102948</t>
  </si>
  <si>
    <t>12/31/2025 9:47</t>
  </si>
  <si>
    <t>ZC31744487747769</t>
  </si>
  <si>
    <t>NiiHost - 账单编号 #102480</t>
  </si>
  <si>
    <t>详情</t>
  </si>
  <si>
    <t>收入日期</t>
  </si>
  <si>
    <t>支出日期</t>
  </si>
  <si>
    <t>核实</t>
  </si>
  <si>
    <t>经手人</t>
  </si>
  <si>
    <t>快车道服务费INV-001874</t>
  </si>
  <si>
    <t>Peter</t>
  </si>
  <si>
    <t>已核查</t>
  </si>
  <si>
    <t>Thuny</t>
  </si>
  <si>
    <t>快车道服务费INV-001891</t>
  </si>
  <si>
    <t>快车道服务费INV-002005</t>
  </si>
  <si>
    <t>快车道服务费INV-002135</t>
  </si>
  <si>
    <t>快车道服务费INV-002275</t>
  </si>
  <si>
    <t>快车道服务费INV-002435</t>
  </si>
  <si>
    <t>快车道服务费INV-002603</t>
  </si>
  <si>
    <t>快车道服务费INV-002759</t>
  </si>
  <si>
    <t>快车道服务费INV-002927</t>
  </si>
  <si>
    <t>快车道服务费INV-003095</t>
  </si>
  <si>
    <t>快车道服务费INV-003276</t>
  </si>
  <si>
    <t>快车道服务费INV-003479</t>
  </si>
  <si>
    <t>快车道服务费INV-003674</t>
  </si>
  <si>
    <t>$395.10</t>
  </si>
  <si>
    <t>快车道服务费INV-003861</t>
  </si>
  <si>
    <t>快车道服务费INV-004066</t>
  </si>
  <si>
    <t>快车道服务费INV-004278</t>
  </si>
  <si>
    <t>快车道服务费INV-004512</t>
  </si>
  <si>
    <t>快车道服务费INV-004765</t>
  </si>
  <si>
    <t>快车道服务费INV-004988</t>
  </si>
  <si>
    <t>KURUN 18684，18685</t>
  </si>
  <si>
    <t>快车道服务费INV-005233</t>
  </si>
  <si>
    <t>合计</t>
  </si>
  <si>
    <t>商户</t>
  </si>
  <si>
    <t>账单号</t>
  </si>
  <si>
    <t>Year</t>
  </si>
  <si>
    <t>Due Date</t>
  </si>
  <si>
    <t>Balance Due</t>
  </si>
  <si>
    <t>power-T</t>
  </si>
  <si>
    <t>power-N</t>
  </si>
  <si>
    <t>IPV4-T</t>
  </si>
  <si>
    <t>IPV4-N</t>
  </si>
  <si>
    <t>BW</t>
  </si>
  <si>
    <t>BW-T</t>
  </si>
  <si>
    <t>BWH-N</t>
  </si>
  <si>
    <t>罚金及其它</t>
  </si>
  <si>
    <t>SUM</t>
  </si>
  <si>
    <t>TuTu</t>
  </si>
  <si>
    <t>支付方式</t>
  </si>
  <si>
    <t>支付日期</t>
  </si>
  <si>
    <t>支付情况</t>
  </si>
  <si>
    <t>KCD-HK</t>
  </si>
  <si>
    <t>INV-001874</t>
  </si>
  <si>
    <t>水星</t>
  </si>
  <si>
    <t>已支付</t>
  </si>
  <si>
    <t>INV-001891</t>
  </si>
  <si>
    <t>INV-002005</t>
  </si>
  <si>
    <t>INV-002135</t>
  </si>
  <si>
    <t>INV-002275</t>
  </si>
  <si>
    <t>PQ</t>
  </si>
  <si>
    <t>INV-002435</t>
  </si>
  <si>
    <t>INV-002603</t>
  </si>
  <si>
    <t>通过WISE已支付</t>
  </si>
  <si>
    <t>INV-002759</t>
  </si>
  <si>
    <t>INV-002927</t>
  </si>
  <si>
    <t>INV-003010</t>
  </si>
  <si>
    <t>KCD-JP</t>
  </si>
  <si>
    <t>INV-003025</t>
  </si>
  <si>
    <t>KCD-IEPL</t>
  </si>
  <si>
    <t>INV-003029</t>
  </si>
  <si>
    <t>通过水星已支付</t>
  </si>
  <si>
    <t>INV-003029+</t>
  </si>
  <si>
    <t>USTD</t>
  </si>
  <si>
    <t>通过USTD支付</t>
  </si>
  <si>
    <t>INV-003030</t>
  </si>
  <si>
    <t>ALIPAY</t>
  </si>
  <si>
    <t>通过支付宝已支付</t>
  </si>
  <si>
    <t>INV-003170</t>
  </si>
  <si>
    <t>通过USTD支付1400美金，水星支付380美金，水星支付500</t>
  </si>
  <si>
    <t>INV-003095</t>
  </si>
  <si>
    <t>INV-003169</t>
  </si>
  <si>
    <t>通过水星支付</t>
  </si>
  <si>
    <t>通过支付宝已支付866元</t>
  </si>
  <si>
    <t>通过支付宝已支付3100元</t>
  </si>
  <si>
    <t>INV-003276</t>
  </si>
  <si>
    <t>INV-003345</t>
  </si>
  <si>
    <t>INV-003407</t>
  </si>
  <si>
    <t>押金</t>
  </si>
  <si>
    <t>INV-003479</t>
  </si>
  <si>
    <t>本月账单扣除INV-003276当中的230.86，实为1156.57</t>
  </si>
  <si>
    <t>INV-003610</t>
  </si>
  <si>
    <t>通过水星支付，-0.76为对方计算的汇率差，找平账单</t>
  </si>
  <si>
    <t>INV-003407+</t>
  </si>
  <si>
    <t>通过水星支付，4月份新增加的IP</t>
  </si>
  <si>
    <t>INV-003736</t>
  </si>
  <si>
    <t>通过wise支付367.26，2025年7月9日通过wise支付$170</t>
  </si>
  <si>
    <t>INV-003674</t>
  </si>
  <si>
    <t>通过wise支付728.4，另外的395.1通过水星</t>
  </si>
  <si>
    <t>INV-003737</t>
  </si>
  <si>
    <t>通过wise支付</t>
  </si>
  <si>
    <t>INV-003861</t>
  </si>
  <si>
    <t>INV-003920</t>
  </si>
  <si>
    <t>QZ-IEPL</t>
  </si>
  <si>
    <t>7.10-7.31预付</t>
  </si>
  <si>
    <t>2025-7010</t>
  </si>
  <si>
    <t>通过USDT支付</t>
  </si>
  <si>
    <t>INV-004124</t>
  </si>
  <si>
    <t>2025年8月2日wise支付2600.29（18,752.75），2025年8月13日水星支付3,959.95（28,428.71）</t>
  </si>
  <si>
    <t>INV-004066</t>
  </si>
  <si>
    <t>INV-004123</t>
  </si>
  <si>
    <t>7.10-7.31实销</t>
  </si>
  <si>
    <t>冲抵</t>
  </si>
  <si>
    <t>7.10-7.31预付还剩余486.18</t>
  </si>
  <si>
    <t>8月预付</t>
  </si>
  <si>
    <t>7.10-7.31预付还剩余486.18，仅需支付1204USDT</t>
  </si>
  <si>
    <t>8.01-1.31实销</t>
  </si>
  <si>
    <t>8月预付还剩余1412.46人民币</t>
  </si>
  <si>
    <t>9月预付</t>
  </si>
  <si>
    <t>9月预付仅需支付1204USDT</t>
  </si>
  <si>
    <t>INV-004333</t>
  </si>
  <si>
    <t>INV-004278</t>
  </si>
  <si>
    <t>有一个IP滥用，罚48 USD</t>
  </si>
  <si>
    <t>INV-004562</t>
  </si>
  <si>
    <t>WISE支付了3200，USDT支付了727,又在USDT支付了1101.11</t>
  </si>
  <si>
    <t>通过水星SWIFT支付</t>
  </si>
  <si>
    <t>INV-004561</t>
  </si>
  <si>
    <t>INV-004512</t>
  </si>
  <si>
    <t>通过加密货币支付</t>
  </si>
  <si>
    <t>9.01-9.30实销</t>
  </si>
  <si>
    <t>10月预付</t>
  </si>
  <si>
    <t>INV-004811</t>
  </si>
  <si>
    <t>INV-004765</t>
  </si>
  <si>
    <t>INV-004921</t>
  </si>
  <si>
    <t>10.01-10.31实销</t>
  </si>
  <si>
    <t>11月预付</t>
  </si>
  <si>
    <t>通过加密货币支付，新增加2条线路</t>
  </si>
  <si>
    <t>11.01-11.30实销</t>
  </si>
  <si>
    <t>12月预付</t>
  </si>
  <si>
    <t>INV-005035</t>
  </si>
  <si>
    <t>INV-004988</t>
  </si>
  <si>
    <t>INV-005182</t>
  </si>
  <si>
    <t>KURUN</t>
  </si>
  <si>
    <t>18684，18685</t>
  </si>
  <si>
    <t>100美金是购买交换机</t>
  </si>
  <si>
    <t>通过加密货币支付，奶姐的独线退回</t>
  </si>
  <si>
    <t>INV-005274</t>
  </si>
  <si>
    <t>INV-005233</t>
  </si>
  <si>
    <t>12.01-12.31实销</t>
  </si>
  <si>
    <t>01月预付</t>
  </si>
  <si>
    <t>INV-005536</t>
  </si>
  <si>
    <t>Total()</t>
  </si>
  <si>
    <t>Null</t>
  </si>
  <si>
    <t>Total(￥)</t>
  </si>
  <si>
    <t>User ID</t>
  </si>
  <si>
    <t>Client Name</t>
  </si>
  <si>
    <t>Payment Method</t>
  </si>
  <si>
    <t>Invoice ID</t>
  </si>
  <si>
    <t>Amount In</t>
  </si>
  <si>
    <t>Fees</t>
  </si>
  <si>
    <t>Amount Out</t>
  </si>
  <si>
    <t>Exchange Rate</t>
  </si>
  <si>
    <t>Income</t>
  </si>
  <si>
    <t>Income ($)</t>
  </si>
  <si>
    <t>ec Al</t>
  </si>
  <si>
    <t>Alipay ????????? (QR+APP)</t>
  </si>
  <si>
    <t>Invoice Payment</t>
  </si>
  <si>
    <t>pi_3Qc8bYRxxun8okeS0Pytn5Xo</t>
  </si>
  <si>
    <t>Wataru Ko</t>
  </si>
  <si>
    <t>pi_3QcAC6Rxxun8okeS0FlHXm8i</t>
  </si>
  <si>
    <t>ye duo</t>
  </si>
  <si>
    <t>pi_3QcJzcRxxun8okeS0CxcLmtX</t>
  </si>
  <si>
    <t>Ge Yi Ge</t>
  </si>
  <si>
    <t>pi_3QcPk3Rxxun8okeS1WssHLO1</t>
  </si>
  <si>
    <t>snarls defunct</t>
  </si>
  <si>
    <t>baobhan sith</t>
  </si>
  <si>
    <t>pi_3QcSQkRxxun8okeS0A51SRNY</t>
  </si>
  <si>
    <t>mingjie sheng</t>
  </si>
  <si>
    <t>Ian Lee</t>
  </si>
  <si>
    <t>pi_3QcU0nRxxun8okeS1cFOyUfG</t>
  </si>
  <si>
    <t>tom Johnson</t>
  </si>
  <si>
    <t>Crypto ????????????</t>
  </si>
  <si>
    <t>03c1a42eca546d1679f1316533a7d2d3b1d889d177dad08559b670813480a994</t>
  </si>
  <si>
    <t>ShengChe Lin</t>
  </si>
  <si>
    <t>??? ???</t>
  </si>
  <si>
    <t>default chen</t>
  </si>
  <si>
    <t>pi_3QcecHRxxun8okeS0fPgWFff</t>
  </si>
  <si>
    <t>Rick Lee</t>
  </si>
  <si>
    <t>pi_3QcjbORxxun8okeS1VY42ix9</t>
  </si>
  <si>
    <t>leticis ???</t>
  </si>
  <si>
    <t>pi_3QcmGsRxxun8okeS1aFEKv87</t>
  </si>
  <si>
    <t>CNY</t>
  </si>
  <si>
    <t>pi_3Qcq50Rxxun8okeS0zw5aVSH</t>
  </si>
  <si>
    <t>liu liu</t>
  </si>
  <si>
    <t>pi_3Qd6SMRxxun8okeS1jQOq7Z1</t>
  </si>
  <si>
    <t>pi_3Qd71zRxxun8okeS1xWfn9ww</t>
  </si>
  <si>
    <t>pi_3Qd7etRxxun8okeS04MeEz0w</t>
  </si>
  <si>
    <t>bowen Tian</t>
  </si>
  <si>
    <t>pi_3QdC6WRxxun8okeS1lMrtnBv</t>
  </si>
  <si>
    <t>XIAOBAI GUO</t>
  </si>
  <si>
    <t>pi_3QdCSbRxxun8okeS1gDhRDAb</t>
  </si>
  <si>
    <t>pi_3QdFGyRxxun8okeS0tiLstYB</t>
  </si>
  <si>
    <t>pi_3QdMPZRxxun8okeS1haP7qYn</t>
  </si>
  <si>
    <t>Colin Kahn</t>
  </si>
  <si>
    <t>pi_3QdMZHRxxun8okeS0CX2hzpb</t>
  </si>
  <si>
    <t>qui min</t>
  </si>
  <si>
    <t>pi_3QdNeARxxun8okeS0nXOjnJw</t>
  </si>
  <si>
    <t>?????? ???</t>
  </si>
  <si>
    <t>pi_3QdP5jRxxun8okeS0asOz4fI</t>
  </si>
  <si>
    <t>pi_3QdPA3Rxxun8okeS1Ey9QUrX</t>
  </si>
  <si>
    <t>pi_3QdPASRxxun8okeS1PwbaH2S</t>
  </si>
  <si>
    <t>Elizabeth Russell</t>
  </si>
  <si>
    <t>Beverly Walsh</t>
  </si>
  <si>
    <t>MING MA</t>
  </si>
  <si>
    <t>pi_3Qda2HRxxun8okeS1EtDfZdH</t>
  </si>
  <si>
    <t>qinghuan huan</t>
  </si>
  <si>
    <t>pi_3QdjMPRxxun8okeS19kKnupl</t>
  </si>
  <si>
    <t>krono pol</t>
  </si>
  <si>
    <t>pi_3QdkuQRxxun8okeS1FGOC5en</t>
  </si>
  <si>
    <t>pi_3QdlfSRxxun8okeS0brIaFYl</t>
  </si>
  <si>
    <t>Refund of Transaction ID pi_3Qd6SMRxxun8okeS1jQOq7Z1</t>
  </si>
  <si>
    <t>Vincent Young</t>
  </si>
  <si>
    <t>99a3d7cc86cbf6a550de2cf9e85fe24c24c1c17c4d3a0e11e5766114f91141fc</t>
  </si>
  <si>
    <t>sola sola</t>
  </si>
  <si>
    <t>pi_3Qe43IRxxun8okeS0Maf6cam</t>
  </si>
  <si>
    <t>shell shell</t>
  </si>
  <si>
    <t>pi_3Qe4YYRxxun8okeS1YxndoJz</t>
  </si>
  <si>
    <t>Willy Willy</t>
  </si>
  <si>
    <t>pi_3Qe4mwRxxun8okeS0OYEUJEX</t>
  </si>
  <si>
    <t>Buddy  Finley</t>
  </si>
  <si>
    <t>pi_3Qe4vcRxxun8okeS0ptDb6W0</t>
  </si>
  <si>
    <t>pi_3Qe78TRxxun8okeS1LVQGas6</t>
  </si>
  <si>
    <t>2131qeq dsdsaa</t>
  </si>
  <si>
    <t>pi_3QeCLORxxun8okeS1K456Www</t>
  </si>
  <si>
    <t>chen chen</t>
  </si>
  <si>
    <t>pi_3QeCRiRxxun8okeS1gAxLwwM</t>
  </si>
  <si>
    <t>Yu Chen</t>
  </si>
  <si>
    <t>Reversed Transaction ID: 7FC79867RW773361X</t>
  </si>
  <si>
    <t>7.35E+16</t>
  </si>
  <si>
    <t>jinghai wang</t>
  </si>
  <si>
    <t>pi_3QeWxFRxxun8okeS1EZP9GFK</t>
  </si>
  <si>
    <t>pi_3QeWz8Rxxun8okeS0oDWbLEA</t>
  </si>
  <si>
    <t>49898854d3fd334694d26f9fc69f24b764d231652de9941221cee1896b7db168</t>
  </si>
  <si>
    <t>zhaowu cang</t>
  </si>
  <si>
    <t>pi_3QebRrRxxun8okeS0F978Tvn</t>
  </si>
  <si>
    <t>Jesse shi</t>
  </si>
  <si>
    <t>pi_3QeohORxxun8okeS0lsBMony</t>
  </si>
  <si>
    <t>pi_3Qerr1Rxxun8okeS0ctzriYn</t>
  </si>
  <si>
    <t>Ryan li</t>
  </si>
  <si>
    <t>pi_3QevrfRxxun8okeS0qFm5Bp2</t>
  </si>
  <si>
    <t>WingTim Yip</t>
  </si>
  <si>
    <t>pi_3QfFpuRxxun8okeS09mqoWsi</t>
  </si>
  <si>
    <t>chun coo</t>
  </si>
  <si>
    <t>Christopher Frost</t>
  </si>
  <si>
    <t>pi_3QfZMnRxxun8okeS1byKIjjq</t>
  </si>
  <si>
    <t>leton Car</t>
  </si>
  <si>
    <t>joey lee</t>
  </si>
  <si>
    <t>pi_3Qfbs0Rxxun8okeS1miyUlSb</t>
  </si>
  <si>
    <t>392141c7803868d1557046f83507a1ce360f1bbce258d3f34799fd7a59f4f464</t>
  </si>
  <si>
    <t>hao yu</t>
  </si>
  <si>
    <t>pi_3QfcZQRxxun8okeS08sULVYK</t>
  </si>
  <si>
    <t>xin huang</t>
  </si>
  <si>
    <t>pi_3QfcddRxxun8okeS1egB1B6P</t>
  </si>
  <si>
    <t>he xiao</t>
  </si>
  <si>
    <t>pi_3QfhfzRxxun8okeS0vnTdxRX</t>
  </si>
  <si>
    <t>weijie zhang</t>
  </si>
  <si>
    <t>pi_3QfiqNRxxun8okeS08E1XIml</t>
  </si>
  <si>
    <t>plus plus</t>
  </si>
  <si>
    <t>pi_3QfzNeRxxun8okeS1dWgPHq5</t>
  </si>
  <si>
    <t>??? MorrowMaria</t>
  </si>
  <si>
    <t>pi_3Qg1e2Rxxun8okeS1YySiYRu</t>
  </si>
  <si>
    <t>pi_3Qg2ORRxxun8okeS0or8cnUo</t>
  </si>
  <si>
    <t>Qingyu Xing</t>
  </si>
  <si>
    <t>pi_3Qg4OvRxxun8okeS0UKG2eNO</t>
  </si>
  <si>
    <t>tuman ao</t>
  </si>
  <si>
    <t>9c468ab7b67d25c6dc6cc32967b90c676b579e751a38c0971ff73fafe263ba2e</t>
  </si>
  <si>
    <t>John Smith</t>
  </si>
  <si>
    <t>pi_3QgG4MRxxun8okeS1wpBwhWf</t>
  </si>
  <si>
    <t>dd asd</t>
  </si>
  <si>
    <t>pi_3QgHVYRxxun8okeS1wdVlkMc</t>
  </si>
  <si>
    <t>pi_3QgIMxRxxun8okeS0BtwK6lD</t>
  </si>
  <si>
    <t>Phyllis Johnson</t>
  </si>
  <si>
    <t>pi_3QgL5LRxxun8okeS0iysiI5z</t>
  </si>
  <si>
    <t>All me</t>
  </si>
  <si>
    <t>wind lee</t>
  </si>
  <si>
    <t>pi_3QgNk1Rxxun8okeS0RfUDUWk</t>
  </si>
  <si>
    <t>kkk lucky</t>
  </si>
  <si>
    <t>pi_3QgPDORxxun8okeS0o1PryAi</t>
  </si>
  <si>
    <t>pi_3QgQKDRxxun8okeS1jmHXS0R</t>
  </si>
  <si>
    <t>Todd Sumrall</t>
  </si>
  <si>
    <t>pi_3QgQaNRxxun8okeS0aC0zegL</t>
  </si>
  <si>
    <t>July 0663</t>
  </si>
  <si>
    <t>pi_3QgRcVRxxun8okeS0HqPtQCZ</t>
  </si>
  <si>
    <t>xinpeng xiao</t>
  </si>
  <si>
    <t>zhou mao</t>
  </si>
  <si>
    <t>pi_3QgUqoRxxun8okeS0qFBl3ne</t>
  </si>
  <si>
    <t>xin z</t>
  </si>
  <si>
    <t>pi_3Qgfx6Rxxun8okeS13YGJfiI</t>
  </si>
  <si>
    <t>Daisy Johonson</t>
  </si>
  <si>
    <t>pi_3QggyiRxxun8okeS0XCjOmTQ</t>
  </si>
  <si>
    <t>Fergie Welish</t>
  </si>
  <si>
    <t>pi_3QglLoRxxun8okeS0iiAfpHX</t>
  </si>
  <si>
    <t>Akshayan Jani</t>
  </si>
  <si>
    <t>pi_3QgpY9Rxxun8okeS1rmthVQv</t>
  </si>
  <si>
    <t>pi_3Qh98bRxxun8okeS1sWbyf4i</t>
  </si>
  <si>
    <t>pi_3QhQ0BRxxun8okeS06UvIY4k</t>
  </si>
  <si>
    <t>pi_3QhQ45Rxxun8okeS1tpeydpn</t>
  </si>
  <si>
    <t>bo caibang</t>
  </si>
  <si>
    <t>pi_3QhUwrRxxun8okeS0EISrLMX</t>
  </si>
  <si>
    <t>wei sheng</t>
  </si>
  <si>
    <t>pi_3QhVzBRxxun8okeS1zJbUmaA</t>
  </si>
  <si>
    <t>leng yue</t>
  </si>
  <si>
    <t>pi_3QhWkWRxxun8okeS0hT4URTm</t>
  </si>
  <si>
    <t>dfga ada</t>
  </si>
  <si>
    <t>Bear Smith</t>
  </si>
  <si>
    <t>pi_3QhZK4Rxxun8okeS04PxTgWf</t>
  </si>
  <si>
    <t>xukun cai</t>
  </si>
  <si>
    <t>E S</t>
  </si>
  <si>
    <t>pi_3QhrQZRxxun8okeS0kx1yn5l</t>
  </si>
  <si>
    <t>ss qq</t>
  </si>
  <si>
    <t>a3661e1258086583617581618f33941cd2a4b885156a38a523305ce6735fc272</t>
  </si>
  <si>
    <t>xiao hei</t>
  </si>
  <si>
    <t>pi_3QhsCWRxxun8okeS1sHSOdrh</t>
  </si>
  <si>
    <t>jams band</t>
  </si>
  <si>
    <t>6100a8f7b71809539647cad74d1cd503f51244189cb6b9e094b03f57f94f600b</t>
  </si>
  <si>
    <t>fan xi</t>
  </si>
  <si>
    <t>pi_3QhsrZRxxun8okeS0Kq3E6C8</t>
  </si>
  <si>
    <t>lucky kkk</t>
  </si>
  <si>
    <t>pi_3Qhtw5Rxxun8okeS1AO88jMN</t>
  </si>
  <si>
    <t>Brian Guo</t>
  </si>
  <si>
    <t>pi_3Qhu8fRxxun8okeS1WcYxHQM</t>
  </si>
  <si>
    <t>Tang Joe</t>
  </si>
  <si>
    <t>pi_3Qhua4Rxxun8okeS1tMqViPP</t>
  </si>
  <si>
    <t>Emelia Abernathy</t>
  </si>
  <si>
    <t>gbu viie</t>
  </si>
  <si>
    <t>pi_3Qhz5mRxxun8okeS1jwvRuCb</t>
  </si>
  <si>
    <t>Ray Yang</t>
  </si>
  <si>
    <t>pi_3Qi5o9Rxxun8okeS1fJOlsgZ</t>
  </si>
  <si>
    <t>q q</t>
  </si>
  <si>
    <t>chenxin pan</t>
  </si>
  <si>
    <t>pi_3Qi8q8Rxxun8okeS0i4iK6rR</t>
  </si>
  <si>
    <t>Refund of Transaction ID pi_3QhsrZRxxun8okeS0Kq3E6C8</t>
  </si>
  <si>
    <t>k k</t>
  </si>
  <si>
    <t>pi_3QiHReRxxun8okeS1Egkt9hN</t>
  </si>
  <si>
    <t>pi_3QiHnpRxxun8okeS1alehclB</t>
  </si>
  <si>
    <t>None Chan</t>
  </si>
  <si>
    <t>pi_3QiI7TRxxun8okeS1cLOqqvx</t>
  </si>
  <si>
    <t>bean cat</t>
  </si>
  <si>
    <t>s t</t>
  </si>
  <si>
    <t>nie wanting</t>
  </si>
  <si>
    <t>pi_3QiQtFRxxun8okeS0RXb653t</t>
  </si>
  <si>
    <t>WELL PLUSS</t>
  </si>
  <si>
    <t>pi_3QiVbrRxxun8okeS1RlQoeeR</t>
  </si>
  <si>
    <t>pi_3QiXToRxxun8okeS0ZMc973p</t>
  </si>
  <si>
    <t>Daniel Chien</t>
  </si>
  <si>
    <t>pi_3QiXnnRxxun8okeS0wkoJb91</t>
  </si>
  <si>
    <t>pi_3QiZ8DRxxun8okeS1eOEo6Sp</t>
  </si>
  <si>
    <t>Reversed Transaction ID: 2VY73060GL141715U</t>
  </si>
  <si>
    <t>Steve Sun</t>
  </si>
  <si>
    <t>pi_3QiadPRxxun8okeS1hHfodv7</t>
  </si>
  <si>
    <t>xiao zhang</t>
  </si>
  <si>
    <t>pi_3QirBkRxxun8okeS1K6vRkd9</t>
  </si>
  <si>
    <t>?€???? ???</t>
  </si>
  <si>
    <t>pi_3QivOJRxxun8okeS1vP2286k</t>
  </si>
  <si>
    <t>Len Xu</t>
  </si>
  <si>
    <t>pi_3Qj1tWRxxun8okeS0fUa1NdK</t>
  </si>
  <si>
    <t>pi_3QjJDYRxxun8okeS0Nt90Yr3</t>
  </si>
  <si>
    <t>pi_3QjJEHRxxun8okeS0MivC2eF</t>
  </si>
  <si>
    <t>lyj ??????</t>
  </si>
  <si>
    <t>tik tok</t>
  </si>
  <si>
    <t>pi_3QjVqDRxxun8okeS0D2bb50L</t>
  </si>
  <si>
    <t>Waer san</t>
  </si>
  <si>
    <t>pi_3QjXmxRxxun8okeS1KEqyfbR</t>
  </si>
  <si>
    <t>pi_3QjYunRxxun8okeS1iieie5n</t>
  </si>
  <si>
    <t>pi_3QjaT5Rxxun8okeS0Zfafd5Y</t>
  </si>
  <si>
    <t>pi_3Qjc2WRxxun8okeS1YkZJoq6</t>
  </si>
  <si>
    <t>pi_3QjdTQRxxun8okeS0LTpuwCk</t>
  </si>
  <si>
    <t>Joseph Reynolds</t>
  </si>
  <si>
    <t>Conny Hao</t>
  </si>
  <si>
    <t>pi_3QjhqbRxxun8okeS0C6LDCYv</t>
  </si>
  <si>
    <t>Andy Zhao</t>
  </si>
  <si>
    <t>pi_3QjiKzRxxun8okeS0uF4quFh</t>
  </si>
  <si>
    <t>Star ???</t>
  </si>
  <si>
    <t>pi_3QjjOsRxxun8okeS1vjJ5zVa</t>
  </si>
  <si>
    <t>confuse liu</t>
  </si>
  <si>
    <t>pi_3QjlwvRxxun8okeS18Z8e4r0</t>
  </si>
  <si>
    <t>pi_3QjzU8Rxxun8okeS0YNZE06c</t>
  </si>
  <si>
    <t>lee dindin</t>
  </si>
  <si>
    <t>pi_3Qk0yPRxxun8okeS1l3NTV9m</t>
  </si>
  <si>
    <t>pi_3Qk6EfRxxun8okeS16uEfhsV</t>
  </si>
  <si>
    <t>ou ximei</t>
  </si>
  <si>
    <t>pi_3Qk8hPRxxun8okeS0dGEYXVe</t>
  </si>
  <si>
    <t>tick a</t>
  </si>
  <si>
    <t>Orange King</t>
  </si>
  <si>
    <t>pi_3QkFBhRxxun8okeS0jCEjDgw</t>
  </si>
  <si>
    <t>hua shao</t>
  </si>
  <si>
    <t>pi_3QkGjuRxxun8okeS1WnCVpSy</t>
  </si>
  <si>
    <t>tels star</t>
  </si>
  <si>
    <t>pi_3QkGxhRxxun8okeS1dEjA9f2</t>
  </si>
  <si>
    <t>gavin jiang</t>
  </si>
  <si>
    <t>pi_3QkIg7Rxxun8okeS0BRRN7XL</t>
  </si>
  <si>
    <t>pi_3QkMpiRxxun8okeS1ntMfSnA</t>
  </si>
  <si>
    <t>pi_3QkQEqRxxun8okeS0TGu9OXd</t>
  </si>
  <si>
    <t>bys ss</t>
  </si>
  <si>
    <t>Edgar Hettinger</t>
  </si>
  <si>
    <t>f78d0900bca103eb38e7fa0dac0fd0aaa771cc7c92cb6fd2faa6a7bdc4b4dbcd</t>
  </si>
  <si>
    <t>Chaim Martin</t>
  </si>
  <si>
    <t>pi_3QkW7ERxxun8okeS1nOnXaUb</t>
  </si>
  <si>
    <t>q7 software</t>
  </si>
  <si>
    <t>nfn qqq</t>
  </si>
  <si>
    <t>pi_3Qknq2Rxxun8okeS1uyfxynq</t>
  </si>
  <si>
    <t>pi_3Qkpu1Rxxun8okeS16tGjaoW</t>
  </si>
  <si>
    <t>pi_3Ql23HRxxun8okeS1AQ2eMo6</t>
  </si>
  <si>
    <t>Refund of Transaction ID pi_3QkIg7Rxxun8okeS0BRRN7XL</t>
  </si>
  <si>
    <t>Han Li</t>
  </si>
  <si>
    <t>pi_3QlABtRxxun8okeS15kaHAcs</t>
  </si>
  <si>
    <t>nis ios</t>
  </si>
  <si>
    <t>pi_3QlBAzRxxun8okeS1z8iKLr7</t>
  </si>
  <si>
    <t>pi_3QlBEuRxxun8okeS1tifnIZU</t>
  </si>
  <si>
    <t>pi_3QlBZqRxxun8okeS1eI4B6om</t>
  </si>
  <si>
    <t>pi_3QlBz8Rxxun8okeS1Pj8wRsc</t>
  </si>
  <si>
    <t>pi_3QlC6eRxxun8okeS0uT3PgQa</t>
  </si>
  <si>
    <t>junfeng zhu</t>
  </si>
  <si>
    <t>pi_3QlCEJRxxun8okeS0YvJHoU7</t>
  </si>
  <si>
    <t>Yenhsi Lung</t>
  </si>
  <si>
    <t>pi_3QlFr3Rxxun8okeS1xG7j8qF</t>
  </si>
  <si>
    <t>pi_3QlixORxxun8okeS0h8xRuC0</t>
  </si>
  <si>
    <t>pi_3QlpRhRxxun8okeS0DphOt5I</t>
  </si>
  <si>
    <t>pi_3QlpSkRxxun8okeS18QJqdcq</t>
  </si>
  <si>
    <t>kkk yyy</t>
  </si>
  <si>
    <t>pi_3QlpiuRxxun8okeS1eZQOkRC</t>
  </si>
  <si>
    <t>xavier chen</t>
  </si>
  <si>
    <t>pi_3QlvupRxxun8okeS0OO0U5eX</t>
  </si>
  <si>
    <t>pi_3QlxsURxxun8okeS0NwPu29B</t>
  </si>
  <si>
    <t>Panda Z</t>
  </si>
  <si>
    <t>pi_3Qm1eSRxxun8okeS1XSv5LLw</t>
  </si>
  <si>
    <t>mjj mjj</t>
  </si>
  <si>
    <t>pi_3Qm41LRxxun8okeS1p3uHk5m</t>
  </si>
  <si>
    <t>x x</t>
  </si>
  <si>
    <t>pi_3QmCUeRxxun8okeS0emoMseH</t>
  </si>
  <si>
    <t>FINSE F</t>
  </si>
  <si>
    <t>a544e9d87f62d1981ee28f2dd0f7c15b7fb55b09db27bf6887560dffcc0c5b15</t>
  </si>
  <si>
    <t>long ming</t>
  </si>
  <si>
    <t>f7300e29b4aca6d76b0090e0f36fa6acda91da38f7df472212f7a259afe1be62</t>
  </si>
  <si>
    <t>Ruixi Xiao</t>
  </si>
  <si>
    <t>yuu lee</t>
  </si>
  <si>
    <t>Jeffery Zheng</t>
  </si>
  <si>
    <t>pi_3QmIhGRxxun8okeS02ULJIn2</t>
  </si>
  <si>
    <t>pi_3QmS8WRxxun8okeS0UwkWU4f</t>
  </si>
  <si>
    <t>pi_3QmUFkRxxun8okeS0QIJ1UGK</t>
  </si>
  <si>
    <t>pi_3QmWVcRxxun8okeS1eaMoTdi</t>
  </si>
  <si>
    <t>lan haiyi</t>
  </si>
  <si>
    <t>pi_3QmtSeRxxun8okeS1X3BFQGR</t>
  </si>
  <si>
    <t>joey kini</t>
  </si>
  <si>
    <t>pi_3QmzMTRxxun8okeS19dp91Yp</t>
  </si>
  <si>
    <t>pi_3QmzVMRxxun8okeS0K4RdzBs</t>
  </si>
  <si>
    <t>Yuan Hua</t>
  </si>
  <si>
    <t>pi_3Qn060Rxxun8okeS1GyCdVwv</t>
  </si>
  <si>
    <t>b63da4071ec165efd29a3730c94be74d9ce50a0acbf54b67a80dfd1b296ce832</t>
  </si>
  <si>
    <t>pi_3Qn8gPRxxun8okeS1vMVQO0p</t>
  </si>
  <si>
    <t>pi_3Qn8hKRxxun8okeS0HRviNxl</t>
  </si>
  <si>
    <t>Met Nat</t>
  </si>
  <si>
    <t>pi_3QnAAvRxxun8okeS0sL70RiT</t>
  </si>
  <si>
    <t>cheng k</t>
  </si>
  <si>
    <t>pi_3QnAquRxxun8okeS0cXr7ROB</t>
  </si>
  <si>
    <t>Sam Lam</t>
  </si>
  <si>
    <t>pi_3QnFPDRxxun8okeS1VlWq4lw</t>
  </si>
  <si>
    <t>YuKi Tam</t>
  </si>
  <si>
    <t>pi_3QnKtARxxun8okeS02dnVWPl</t>
  </si>
  <si>
    <t>Alipay 支付宝 (QR+APP)</t>
  </si>
  <si>
    <t>pi_3QnZ0fRxxun8okeS06uO9A5C</t>
  </si>
  <si>
    <t>pi_3QnZ1uRxxun8okeS0PXNKKkV</t>
  </si>
  <si>
    <t>pi_3QnZ2ZRxxun8okeS0wUuTr1I</t>
  </si>
  <si>
    <t>yyy yyy</t>
  </si>
  <si>
    <t>pi_3QnhXpRxxun8okeS1LEw9Mw1</t>
  </si>
  <si>
    <t>唐奈德 特朗普</t>
  </si>
  <si>
    <t>pi_3QnivoRxxun8okeS0155c7u5</t>
  </si>
  <si>
    <t>john fang</t>
  </si>
  <si>
    <t>werner dreyfus</t>
  </si>
  <si>
    <t>pi_3QnjjDRxxun8okeS1awf6MM9</t>
  </si>
  <si>
    <t>权 周</t>
  </si>
  <si>
    <t>egsegeg ehertjtrk</t>
  </si>
  <si>
    <t>pi_3QnrCQRxxun8okeS1h5PXAsy</t>
  </si>
  <si>
    <t>Crypto 加密货币</t>
  </si>
  <si>
    <t>afa627c8fea85371444188627bde8fcab38243ad537a29896d9be3d4f67ea712</t>
  </si>
  <si>
    <t>maike li</t>
  </si>
  <si>
    <t>leticis 灰</t>
  </si>
  <si>
    <t>pi_3QoFfZRxxun8okeS0Cc3lxcQ</t>
  </si>
  <si>
    <t>Len Gorrio</t>
  </si>
  <si>
    <t>pi_3QoGO4Rxxun8okeS1S9xF3yV</t>
  </si>
  <si>
    <t>pi_3QoH5PRxxun8okeS1zKYIVVT</t>
  </si>
  <si>
    <t>春宇 熊</t>
  </si>
  <si>
    <t>pi_3QoakTRxxun8okeS1ZRXl6gQ</t>
  </si>
  <si>
    <t>liang he</t>
  </si>
  <si>
    <t>pi_3Qoc7jRxxun8okeS1dPmY6eV</t>
  </si>
  <si>
    <t>ss ss</t>
  </si>
  <si>
    <t>pi_3QocaoRxxun8okeS1MvpVJTo</t>
  </si>
  <si>
    <t>Jason Tsang</t>
  </si>
  <si>
    <t>Reversed Transaction ID: 16531129L39844635</t>
  </si>
  <si>
    <t>Gransson Isra</t>
  </si>
  <si>
    <t>pi_3QpAW0Rxxun8okeS1nWAp8Iy</t>
  </si>
  <si>
    <t>智燊 邝</t>
  </si>
  <si>
    <t>pi_3QpLrsRxxun8okeS0QUHmyFE</t>
  </si>
  <si>
    <t>l x</t>
  </si>
  <si>
    <t>pi_3QpQ9URxxun8okeS1bBn9WZH</t>
  </si>
  <si>
    <t>Gray Fox</t>
  </si>
  <si>
    <t>pi_3QpTO7Rxxun8okeS0cKlhQ7g</t>
  </si>
  <si>
    <t>YIQIAN XIAO</t>
  </si>
  <si>
    <t>pi_3QpXBYRxxun8okeS0VWBRt84</t>
  </si>
  <si>
    <t>transfer Zhu</t>
  </si>
  <si>
    <t>pi_3QpsGoRxxun8okeS0gYcri0s</t>
  </si>
  <si>
    <t>O SIN</t>
  </si>
  <si>
    <t>pi_3QpvntRxxun8okeS11df5L6J</t>
  </si>
  <si>
    <t>pi_3Qpw0NRxxun8okeS1K3aaK7C</t>
  </si>
  <si>
    <t>a ze</t>
  </si>
  <si>
    <t>pi_3QqB4yRxxun8okeS1VgrGn3V</t>
  </si>
  <si>
    <t>pi_3QqQZoRxxun8okeS0dD6ad7c</t>
  </si>
  <si>
    <t>Refund of Transaction ID pi_3QpXBYRxxun8okeS0VWBRt84</t>
  </si>
  <si>
    <t>Refund of Transaction ID pi_3QnFPDRxxun8okeS1VlWq4lw</t>
  </si>
  <si>
    <t>Refund of Transaction ID 8E965186YT6513427</t>
  </si>
  <si>
    <t>超君 谭</t>
  </si>
  <si>
    <t>pi_3QqVaPRxxun8okeS0KnAS503</t>
  </si>
  <si>
    <t>嘉禾 汪</t>
  </si>
  <si>
    <t>pi_3Qqb1vRxxun8okeS14PWX0wj</t>
  </si>
  <si>
    <t>Tom Tionmon</t>
  </si>
  <si>
    <t>pi_3QqdGRRxxun8okeS0667Mf1k</t>
  </si>
  <si>
    <t>pi_3Qqov5Rxxun8okeS1TCTz9Bk</t>
  </si>
  <si>
    <t>KHUU VAN DOAN</t>
  </si>
  <si>
    <t>pi_3Qqu0PRxxun8okeS1BbiFPSy</t>
  </si>
  <si>
    <t>leo cc</t>
  </si>
  <si>
    <t>maso maso</t>
  </si>
  <si>
    <t>Thomas Van</t>
  </si>
  <si>
    <t>pi_3QrFuxRxxun8okeS1niVO5aQ</t>
  </si>
  <si>
    <t>e2599248e08f1a309e2d738d93b60075766db38ca9636c881bbe15d865fcb275</t>
  </si>
  <si>
    <t>pi_3QrIHeRxxun8okeS0rzq4VCs</t>
  </si>
  <si>
    <t>pi_3QrVDxRxxun8okeS1rc8A4nH</t>
  </si>
  <si>
    <t>先生 汤</t>
  </si>
  <si>
    <t>pi_3QrVhbRxxun8okeS1SgVVzVy</t>
  </si>
  <si>
    <t>pi_3QrVj2Rxxun8okeS103y0cR2</t>
  </si>
  <si>
    <t>we aee</t>
  </si>
  <si>
    <t>pi_3QrdSJRxxun8okeS0fuIWygK</t>
  </si>
  <si>
    <t>pi_3Qrft4Rxxun8okeS06vd0NpO</t>
  </si>
  <si>
    <t>Niskakowski John</t>
  </si>
  <si>
    <t>pi_3QrxwNRxxun8okeS1cdeLjyM</t>
  </si>
  <si>
    <t>rayon C</t>
  </si>
  <si>
    <t>pi_3Qs2deRxxun8okeS1WDBcOpA</t>
  </si>
  <si>
    <t>pi_3QsElZRxxun8okeS0rmYoDwG</t>
  </si>
  <si>
    <t>pi_3QsLjBRxxun8okeS0p2Tro2i</t>
  </si>
  <si>
    <t>pi_3QsLmoRxxun8okeS1GGoYgIj</t>
  </si>
  <si>
    <t>1111 2222</t>
  </si>
  <si>
    <t>pi_3QsbsuRxxun8okeS06fIp6TJ</t>
  </si>
  <si>
    <t>pi_3QscK0Rxxun8okeS1mFXS0Hn</t>
  </si>
  <si>
    <t>pi_3QscKqRxxun8okeS0bJE0CR5</t>
  </si>
  <si>
    <t>pi_3QsxylRxxun8okeS12QB6HIO</t>
  </si>
  <si>
    <t>pi_3Qt0jrRxxun8okeS1zDEPf5p</t>
  </si>
  <si>
    <t>kdwiwya kdwiwya</t>
  </si>
  <si>
    <t>pi_3Qt22nRxxun8okeS0S2u2RVa</t>
  </si>
  <si>
    <t>Carlos Jin</t>
  </si>
  <si>
    <t>pi_3QtHldRxxun8okeS0a27wNNi</t>
  </si>
  <si>
    <t>asa one</t>
  </si>
  <si>
    <t>pi_3QtKk7Rxxun8okeS1QGBcCv3</t>
  </si>
  <si>
    <t>b794fdfdae85af4b68cbeadc535565ac3d00f90fca58056b17541c9bb9b5f0db</t>
  </si>
  <si>
    <t>pi_3QtVD0Rxxun8okeS0eOKOy04</t>
  </si>
  <si>
    <t>pi_3QtfQJRxxun8okeS0G3PuFcy</t>
  </si>
  <si>
    <t>sweet raggedy</t>
  </si>
  <si>
    <t>pi_3QtjYtRxxun8okeS17y4MYWP</t>
  </si>
  <si>
    <t>pi_3QtjaXRxxun8okeS1hZktFIW</t>
  </si>
  <si>
    <t>pi_3Qto8xRxxun8okeS0D9DPAtX</t>
  </si>
  <si>
    <t>pi_3QtqdtRxxun8okeS1BFMRjCH</t>
  </si>
  <si>
    <t>pi_3QtqrkRxxun8okeS1pyztUTS</t>
  </si>
  <si>
    <t>pi_3QttftRxxun8okeS0Nb6SWsX</t>
  </si>
  <si>
    <t>Gerald Lavallee</t>
  </si>
  <si>
    <t>pi_3Qu5UNRxxun8okeS1kUndBbF</t>
  </si>
  <si>
    <t>Buddy Finley</t>
  </si>
  <si>
    <t>pi_3Qu6ENRxxun8okeS0BYNmDY7</t>
  </si>
  <si>
    <t>Mana Motohashi</t>
  </si>
  <si>
    <t>aground rhymes</t>
  </si>
  <si>
    <t>lyj 大大</t>
  </si>
  <si>
    <t>pi_3Qu9FORxxun8okeS0LtYfnyR</t>
  </si>
  <si>
    <t>mengxue work</t>
  </si>
  <si>
    <t>pi_3QuGdjRxxun8okeS0mU0NvI8</t>
  </si>
  <si>
    <t>z a</t>
  </si>
  <si>
    <t>pi_3QuIMsRxxun8okeS1lJGj8It</t>
  </si>
  <si>
    <t>pi_3QuQ4rRxxun8okeS1kWvQOLR</t>
  </si>
  <si>
    <t>erbiao huo</t>
  </si>
  <si>
    <t>pi_3QuTXXRxxun8okeS1liV0H4M</t>
  </si>
  <si>
    <t>Xiao Qing</t>
  </si>
  <si>
    <t>pi_3QuTfCRxxun8okeS1DUwznHn</t>
  </si>
  <si>
    <t>峰 青</t>
  </si>
  <si>
    <t>pi_3QuTiuRxxun8okeS1881q2MN</t>
  </si>
  <si>
    <t>ming wu</t>
  </si>
  <si>
    <t>b93bfdf31c129b8b7c76027ca7b24968cf2b5e81192152d2f23f03319992bbab</t>
  </si>
  <si>
    <t>Lin Chen</t>
  </si>
  <si>
    <t>pi_3QuUYbRxxun8okeS1tgQlYiM</t>
  </si>
  <si>
    <t>kenven li</t>
  </si>
  <si>
    <t>pi_3QuUaiRxxun8okeS0fCvI9WW</t>
  </si>
  <si>
    <t>pi_3QuUxxRxxun8okeS0ev8Ts52</t>
  </si>
  <si>
    <t>Refund of Transaction ID pi_3QuUaiRxxun8okeS0fCvI9WW</t>
  </si>
  <si>
    <t>pi_3QuVk0Rxxun8okeS169yFGrW</t>
  </si>
  <si>
    <t>pi_3QuVm7Rxxun8okeS1Qm9pDb2</t>
  </si>
  <si>
    <t>Zack Zhang</t>
  </si>
  <si>
    <t>pi_3QuWDPRxxun8okeS11EOENc4</t>
  </si>
  <si>
    <t>Eduardo Kopievic</t>
  </si>
  <si>
    <t>x l</t>
  </si>
  <si>
    <t>pi_3QucJpRxxun8okeS122j3fa6</t>
  </si>
  <si>
    <t>Lite Gong</t>
  </si>
  <si>
    <t>pi_3QucXDRxxun8okeS0IHnKCI5</t>
  </si>
  <si>
    <t>天澍 王</t>
  </si>
  <si>
    <t>pi_3QucaNRxxun8okeS1pSbX1Xx</t>
  </si>
  <si>
    <t>灿然 彭</t>
  </si>
  <si>
    <t>pi_3QudTcRxxun8okeS1pLJq6Ol</t>
  </si>
  <si>
    <t>思雨 韩</t>
  </si>
  <si>
    <t>pi_3Que9JRxxun8okeS1ojuXYp7</t>
  </si>
  <si>
    <t>john guan</t>
  </si>
  <si>
    <t>pi_3QumFLRxxun8okeS1x5bkh9V</t>
  </si>
  <si>
    <t>Kur tolo</t>
  </si>
  <si>
    <t>pi_3QuneTRxxun8okeS0OSitr3O</t>
  </si>
  <si>
    <t>pi_3QuokhRxxun8okeS14Fjgh5Y</t>
  </si>
  <si>
    <t>pool Venom</t>
  </si>
  <si>
    <t>pi_3Quot6Rxxun8okeS0spL989W</t>
  </si>
  <si>
    <t>pi_3Qupt2Rxxun8okeS0xKD7R2t</t>
  </si>
  <si>
    <t>Vino Janno</t>
  </si>
  <si>
    <t>pi_3Quq30Rxxun8okeS1XIpY0mZ</t>
  </si>
  <si>
    <t>terry kang</t>
  </si>
  <si>
    <t>pi_3Qury9Rxxun8okeS0OSwatsc</t>
  </si>
  <si>
    <t>pi_3Qus3PRxxun8okeS1ktrIGoO</t>
  </si>
  <si>
    <t>pi_3QuufaRxxun8okeS1oHaCmFg</t>
  </si>
  <si>
    <t>xxx xxxx</t>
  </si>
  <si>
    <t>pi_3QuwBuRxxun8okeS0dklPsSr</t>
  </si>
  <si>
    <t>Matrix Lau</t>
  </si>
  <si>
    <t>pi_3QuwVlRxxun8okeS0pYmxAlY</t>
  </si>
  <si>
    <t>off dao</t>
  </si>
  <si>
    <t>pi_3Qv01uRxxun8okeS09n731AQ</t>
  </si>
  <si>
    <t>pi_3Qv07ORxxun8okeS0nmRVRwG</t>
  </si>
  <si>
    <t>yi huang</t>
  </si>
  <si>
    <t>pi_3Qv0JfRxxun8okeS1uDzakMY</t>
  </si>
  <si>
    <t>pi_3Qv0jDRxxun8okeS0nkJRzeo</t>
  </si>
  <si>
    <t>Tianyu Liu</t>
  </si>
  <si>
    <t>赫数 马</t>
  </si>
  <si>
    <t>pi_3Qv3dCRxxun8okeS0p9Eh6ML</t>
  </si>
  <si>
    <t>Josh Cheng</t>
  </si>
  <si>
    <t>ji zhang</t>
  </si>
  <si>
    <t>pi_3Qv5czRxxun8okeS1vT3tgZc</t>
  </si>
  <si>
    <t>claud simon</t>
  </si>
  <si>
    <t>aofa liu</t>
  </si>
  <si>
    <t>pi_3QvB2BRxxun8okeS1M5RFfYR</t>
  </si>
  <si>
    <t>三 张</t>
  </si>
  <si>
    <t>pi_3QvDKBRxxun8okeS0TbKR6NX</t>
  </si>
  <si>
    <t>大胖 胡</t>
  </si>
  <si>
    <t>pi_3QvIUBRxxun8okeS0gnOPjzY</t>
  </si>
  <si>
    <t>xiansheng liu</t>
  </si>
  <si>
    <t>pi_3QvJpeRxxun8okeS1RtOpJ0x</t>
  </si>
  <si>
    <t>yuki li</t>
  </si>
  <si>
    <t>pi_3QvKsTRxxun8okeS1HmaiY1k</t>
  </si>
  <si>
    <t>Juanita Howe</t>
  </si>
  <si>
    <t>pi_3QvMRoRxxun8okeS0EWTDIkS</t>
  </si>
  <si>
    <t>hytron gogogo</t>
  </si>
  <si>
    <t>pi_3QvW3RRxxun8okeS1WdsWhCi</t>
  </si>
  <si>
    <t>有翔 于</t>
  </si>
  <si>
    <t>pi_3QvbiXRxxun8okeS1IeYP2Na</t>
  </si>
  <si>
    <t>degjgg iggj</t>
  </si>
  <si>
    <t>pi_3QvczARxxun8okeS0JMQnmZl</t>
  </si>
  <si>
    <t>pi_3QvfKqRxxun8okeS0hij7rQp</t>
  </si>
  <si>
    <t>pi_3QvpMSRxxun8okeS1M4PaEAT</t>
  </si>
  <si>
    <t>pi_3QvqCJRxxun8okeS09cngM3f</t>
  </si>
  <si>
    <t>leo lu</t>
  </si>
  <si>
    <t>pi_3QvuoERxxun8okeS1bYiuZt1</t>
  </si>
  <si>
    <t>qew dewd</t>
  </si>
  <si>
    <t>11fd2290fd8012d3c4a8450e1c39fb88ebf54639eb9b88c591c4d1441d547800</t>
  </si>
  <si>
    <t>abc efd</t>
  </si>
  <si>
    <t>pi_3QvwcSRxxun8okeS0U2CeJWa</t>
  </si>
  <si>
    <t>pi_3Qvx43Rxxun8okeS0AgvO9Av</t>
  </si>
  <si>
    <t>丽霞 李</t>
  </si>
  <si>
    <t>pi_3QvxxSRxxun8okeS1AVjqwHI</t>
  </si>
  <si>
    <t>Jason Bourne</t>
  </si>
  <si>
    <t>pi_3QvyJvRxxun8okeS1bmcvEhL</t>
  </si>
  <si>
    <t>pi_3Qw1P9Rxxun8okeS0K5fG0vZ</t>
  </si>
  <si>
    <t>tuy ling</t>
  </si>
  <si>
    <t>pi_3QwCx8Rxxun8okeS0rbblDvW</t>
  </si>
  <si>
    <t>zhong huhe</t>
  </si>
  <si>
    <t>pi_3QwE6rRxxun8okeS05NgGNGn</t>
  </si>
  <si>
    <t>pi_3QwG3uRxxun8okeS14dkMm30</t>
  </si>
  <si>
    <t>pi_3QwGqZRxxun8okeS1Pv03Ihs</t>
  </si>
  <si>
    <t>铭彻 李</t>
  </si>
  <si>
    <t>pi_3QwK7lRxxun8okeS1RJXDOPs</t>
  </si>
  <si>
    <t>pi_3QwXo1Rxxun8okeS0rbXGTlZ</t>
  </si>
  <si>
    <t>23e083c3810dbc8967ceb5eba759a2f3e231a642861b8d71997257d4f4f8ce37</t>
  </si>
  <si>
    <t>双超 吴</t>
  </si>
  <si>
    <t>pi_3QwghURxxun8okeS10ExHxD6</t>
  </si>
  <si>
    <t>Drittooo Yu</t>
  </si>
  <si>
    <t>pi_3QwjVmRxxun8okeS0ftR0FVT</t>
  </si>
  <si>
    <t>codion chou</t>
  </si>
  <si>
    <t>pi_3QwjZIRxxun8okeS1rWHK79U</t>
  </si>
  <si>
    <t>peng Hu</t>
  </si>
  <si>
    <t>pi_3QwkB4Rxxun8okeS0RC2LMDc</t>
  </si>
  <si>
    <t>pi_3QwlMURxxun8okeS0inngOg3</t>
  </si>
  <si>
    <t>Tom Clancy</t>
  </si>
  <si>
    <t>pi_3Qwlh7Rxxun8okeS1HCU4h2p</t>
  </si>
  <si>
    <t>cenksn liu</t>
  </si>
  <si>
    <t>pi_3QwlvqRxxun8okeS0yrtWmyp</t>
  </si>
  <si>
    <t>Aatu Waisanen</t>
  </si>
  <si>
    <t>nash crona</t>
  </si>
  <si>
    <t>pi_3QwnD3Rxxun8okeS0jvofEAu</t>
  </si>
  <si>
    <t>Kevin Austin</t>
  </si>
  <si>
    <t>pi_3QwwRURxxun8okeS085EFR94</t>
  </si>
  <si>
    <t>woo mio</t>
  </si>
  <si>
    <t>pi_3QwyLiRxxun8okeS0rSIzrbx</t>
  </si>
  <si>
    <t>adas qq</t>
  </si>
  <si>
    <t>pi_3QxGq6Rxxun8okeS0yRRr99e</t>
  </si>
  <si>
    <t>leo vitrolworld</t>
  </si>
  <si>
    <t>pi_3QxKBmRxxun8okeS1SSY7Z4B</t>
  </si>
  <si>
    <t>pi_3QxN10Rxxun8okeS0BHvm9g4</t>
  </si>
  <si>
    <t>pi_3QxN39Rxxun8okeS1xDMtSS1</t>
  </si>
  <si>
    <t>pi_3QxPSkRxxun8okeS0smAYGe2</t>
  </si>
  <si>
    <t>pi_3QxfLpRxxun8okeS0CltgXab</t>
  </si>
  <si>
    <t>Will Smith</t>
  </si>
  <si>
    <t>pi_3Qxfo8Rxxun8okeS0E93PVuA</t>
  </si>
  <si>
    <t>pi_3QxpttRxxun8okeS1wGZP4vU</t>
  </si>
  <si>
    <t>Luo Max</t>
  </si>
  <si>
    <t>pi_3Qy1cXRxxun8okeS1KPAWTZC</t>
  </si>
  <si>
    <t>pi_3Qy2svRxxun8okeS0OQKnGw4</t>
  </si>
  <si>
    <t>Touhou Network</t>
  </si>
  <si>
    <t>69e88a5dc9b13db16c2eae7bffc2917386a9ca2494ff48aee9b36954dcb37a03</t>
  </si>
  <si>
    <t>2535077487f5313db046f5cf884578c72ab4ef458365faf767267dbcdfc26b63</t>
  </si>
  <si>
    <t>pi_3QyQY0Rxxun8okeS1IenrmTm</t>
  </si>
  <si>
    <t>ershiyi LAYUE</t>
  </si>
  <si>
    <t>3342387e97d52dd238bb31131a5d33f6e5b07d8e3c5cc86d524b36238407cc47</t>
  </si>
  <si>
    <t>pi_3QycJjRxxun8okeS0LFjGOjq</t>
  </si>
  <si>
    <t>cz czz</t>
  </si>
  <si>
    <t>97bbcf03034fbf3b95e19dadbabf01c2b3b6d38d71048c674ce8b8b1d98babf0</t>
  </si>
  <si>
    <t>252c079dbba8e0e4541c95dc6d2268c1fba522e469683240e7573b5895aeb748</t>
  </si>
  <si>
    <t>tao guo</t>
  </si>
  <si>
    <t>pi_3QytT0Rxxun8okeS0iSTAaBt</t>
  </si>
  <si>
    <t>pi_3QytTcRxxun8okeS1DJV67nn</t>
  </si>
  <si>
    <t>pi_3QytTeRxxun8okeS1X4In5YP</t>
  </si>
  <si>
    <t>Nagareboshi Nagareboshi</t>
  </si>
  <si>
    <t>pi_3QytUTRxxun8okeS0dj9c76T</t>
  </si>
  <si>
    <t>Chenhan Zhao</t>
  </si>
  <si>
    <t>pi_3QytWmRxxun8okeS05Cwioaq</t>
  </si>
  <si>
    <t>pi_3QytZwRxxun8okeS0iBbeHig</t>
  </si>
  <si>
    <t>len en</t>
  </si>
  <si>
    <t>pi_3QytWCRxxun8okeS0Xz8Rj0q</t>
  </si>
  <si>
    <t>pi_3Qyu0wRxxun8okeS1OnAmcQe</t>
  </si>
  <si>
    <t>pi_3Qyu5wRxxun8okeS1CtaTKXt</t>
  </si>
  <si>
    <t>sjsjs jejdhd</t>
  </si>
  <si>
    <t>pi_3Qyu7FRxxun8okeS1eWy4njW</t>
  </si>
  <si>
    <t>ji wang</t>
  </si>
  <si>
    <t>pi_3QyucQRxxun8okeS0iP0c9WP</t>
  </si>
  <si>
    <t>pi_3Qyue3Rxxun8okeS09uIbedD</t>
  </si>
  <si>
    <t>pi_3QyumpRxxun8okeS0ClAiKtR</t>
  </si>
  <si>
    <t>pi_3QyurzRxxun8okeS16lc3izz</t>
  </si>
  <si>
    <t>pi_3QyvRIRxxun8okeS0HKNp1AX</t>
  </si>
  <si>
    <t>855ce0d2390cbc92567b2fb623b0579bce5ea8d9473a28e9e9b075a9d243f954</t>
  </si>
  <si>
    <t>le hai hoa</t>
  </si>
  <si>
    <t>y x</t>
  </si>
  <si>
    <t>pi_3QyxXxRxxun8okeS01K5ZdUq</t>
  </si>
  <si>
    <t>dd bd</t>
  </si>
  <si>
    <t>pi_3QyxhnRxxun8okeS0OTeP5lA</t>
  </si>
  <si>
    <t>pi_3QyxpuRxxun8okeS1WaFDxO0</t>
  </si>
  <si>
    <t>pi_3Qyxq3Rxxun8okeS0k7fN3gT</t>
  </si>
  <si>
    <t>zn tao</t>
  </si>
  <si>
    <t>pi_3QyyoXRxxun8okeS1IUVTx9F</t>
  </si>
  <si>
    <t>xiao zixi</t>
  </si>
  <si>
    <t>pi_3Qz78FRxxun8okeS1P9dsMyC</t>
  </si>
  <si>
    <t>pi_3QzAYkRxxun8okeS1BkrY1OJ</t>
  </si>
  <si>
    <t>barrybellal barrybellal</t>
  </si>
  <si>
    <t>6b053118c4970fc7a3e71e347bb88c882a50218907c90407c6be37d250f6d40f</t>
  </si>
  <si>
    <t>zhao yong</t>
  </si>
  <si>
    <t>pi_3QzEPWRxxun8okeS1NY8mX5B</t>
  </si>
  <si>
    <t>dd562aecbe01f18562146566cf746f5be719ed6607e0bd86efb6ea50a8698e16</t>
  </si>
  <si>
    <t>393d6f4635903e111a79263314951df2a7091371ac4b09a33111b232119cea0f</t>
  </si>
  <si>
    <t>pi_3QzI1QRxxun8okeS1O35kCsf</t>
  </si>
  <si>
    <t>pi_3QzZTiRxxun8okeS0aozGGzS</t>
  </si>
  <si>
    <t>pi_3QzZUdRxxun8okeS1WrzlT6s</t>
  </si>
  <si>
    <t>long wangg</t>
  </si>
  <si>
    <t>pi_3QzdWhRxxun8okeS0C1wqNym</t>
  </si>
  <si>
    <t>pi_3QzguQRxxun8okeS0OxXjHQ5</t>
  </si>
  <si>
    <t>pi_3QzjwfRxxun8okeS04vZYSoF</t>
  </si>
  <si>
    <t>peter chen</t>
  </si>
  <si>
    <t>pi_3Qzzz6Rxxun8okeS0SxAatEi</t>
  </si>
  <si>
    <t>Tom Lee</t>
  </si>
  <si>
    <t>hello rock</t>
  </si>
  <si>
    <t>zack cai</t>
  </si>
  <si>
    <t>Ruben Friley</t>
  </si>
  <si>
    <t>pi_3R0JN3Rxxun8okeS0acryfFT</t>
  </si>
  <si>
    <t>Yi Su</t>
  </si>
  <si>
    <t>pi_3R0fMeRxxun8okeS1Zui4tFX</t>
  </si>
  <si>
    <t>pi_3R0ve4Rxxun8okeS15WtYulX</t>
  </si>
  <si>
    <t>pi_3R0vlARxxun8okeS1jGQuXGA</t>
  </si>
  <si>
    <t>??? yang</t>
  </si>
  <si>
    <t>pi_3R10kmRxxun8okeS0s20M7V2</t>
  </si>
  <si>
    <t>xin xin</t>
  </si>
  <si>
    <t>Mr HMU</t>
  </si>
  <si>
    <t>pi_3R1FWoRxxun8okeS1SXsynr7</t>
  </si>
  <si>
    <t>jinmin zhou</t>
  </si>
  <si>
    <t>pi_3R1G7ORxxun8okeS1UzFQhX7</t>
  </si>
  <si>
    <t>Jiajiang Tang</t>
  </si>
  <si>
    <t>pi_3R1L7WRxxun8okeS0GDjbxi3</t>
  </si>
  <si>
    <t>pi_3R1NpFRxxun8okeS1NmUnTHR</t>
  </si>
  <si>
    <t>dao dd</t>
  </si>
  <si>
    <t>pi_3R1SoGRxxun8okeS0D5AxRJy</t>
  </si>
  <si>
    <t>pi_3R1Ta8Rxxun8okeS1BNwtT1V</t>
  </si>
  <si>
    <t>pi_3R1UxyRxxun8okeS1TQcH647</t>
  </si>
  <si>
    <t>pi_3R1nAsRxxun8okeS1l16oRh4</t>
  </si>
  <si>
    <t>pi_3R1oHYRxxun8okeS0zpm3YH1</t>
  </si>
  <si>
    <t>pi_3R1oljRxxun8okeS1vB2kgJq</t>
  </si>
  <si>
    <t>Mason Dye</t>
  </si>
  <si>
    <t>3/13/2025 10:50</t>
  </si>
  <si>
    <t>pi_3R21qiRxxun8okeS0cqsqpAk</t>
  </si>
  <si>
    <t>tao li</t>
  </si>
  <si>
    <t>3/13/2025 17:44</t>
  </si>
  <si>
    <t>pi_3R28IsRxxun8okeS05bvvFGJ</t>
  </si>
  <si>
    <t>3/13/2025 19:23</t>
  </si>
  <si>
    <t>pi_3R29pARxxun8okeS0SSUfGNH</t>
  </si>
  <si>
    <t>3/13/2025 20:15</t>
  </si>
  <si>
    <t>3/13/2025 23:28</t>
  </si>
  <si>
    <t>pi_3R2DfKRxxun8okeS13gq6wZB</t>
  </si>
  <si>
    <t>3/13/2025 23:44</t>
  </si>
  <si>
    <t>mc mc</t>
  </si>
  <si>
    <t>3/13/2025 23:51</t>
  </si>
  <si>
    <t>pi_3R2E2TRxxun8okeS1zbiXclp</t>
  </si>
  <si>
    <t>3/14/2025 0:11</t>
  </si>
  <si>
    <t>Ted Lu</t>
  </si>
  <si>
    <t>3/14/2025 5:54</t>
  </si>
  <si>
    <t>pi_3R2JhNRxxun8okeS1a2Bus2q</t>
  </si>
  <si>
    <t>3/14/2025 15:20</t>
  </si>
  <si>
    <t>02a85f634096137d21d469e6c6d43b44b09489cc08a5800bd459e2f64e66e66d</t>
  </si>
  <si>
    <t>3/14/2025 15:43</t>
  </si>
  <si>
    <t>pi_3R2StZRxxun8okeS0vjUqLIU</t>
  </si>
  <si>
    <t>3/14/2025 17:23</t>
  </si>
  <si>
    <t>pi_3R2USbRxxun8okeS1w6h3Lqd</t>
  </si>
  <si>
    <t>3/14/2025 17:39</t>
  </si>
  <si>
    <t>pi_3R2UhyRxxun8okeS1UpLCJVc</t>
  </si>
  <si>
    <t>3/14/2025 17:59</t>
  </si>
  <si>
    <t>3/14/2025 18:41</t>
  </si>
  <si>
    <t>pi_3R2VfRRxxun8okeS1BMaOFhp</t>
  </si>
  <si>
    <t>Yi Fang</t>
  </si>
  <si>
    <t>3/14/2025 22:13</t>
  </si>
  <si>
    <t>pi_3R2YzNRxxun8okeS1KGadG4W</t>
  </si>
  <si>
    <t>Nur  Buick</t>
  </si>
  <si>
    <t>3/15/2025 1:03</t>
  </si>
  <si>
    <t>pi_3R2bdCRxxun8okeS0CKTlw6W</t>
  </si>
  <si>
    <t>Faure Katie</t>
  </si>
  <si>
    <t>3/15/2025 3:02</t>
  </si>
  <si>
    <t>pi_3R2dUgRxxun8okeS0jcav3Wi</t>
  </si>
  <si>
    <t>HenryH FPWUZM</t>
  </si>
  <si>
    <t>3/15/2025 8:52</t>
  </si>
  <si>
    <t>pi_3R2ixJRxxun8okeS1dbNIc0B</t>
  </si>
  <si>
    <t>3/15/2025 9:49</t>
  </si>
  <si>
    <t>xin chenmi</t>
  </si>
  <si>
    <t>3/15/2025 12:23</t>
  </si>
  <si>
    <t>pi_3R2mFZRxxun8okeS1P5JvWRD</t>
  </si>
  <si>
    <t>Yang Xi</t>
  </si>
  <si>
    <t>3/15/2025 12:28</t>
  </si>
  <si>
    <t>pi_3R2mKmRxxun8okeS1pbrYGjL</t>
  </si>
  <si>
    <t>DAT DIBERT</t>
  </si>
  <si>
    <t>3/15/2025 18:01</t>
  </si>
  <si>
    <t>pi_3R2rWkRxxun8okeS0siuUfpQ</t>
  </si>
  <si>
    <t>malen Lu</t>
  </si>
  <si>
    <t>3/15/2025 18:50</t>
  </si>
  <si>
    <t>pi_3R2sIERxxun8okeS1vjF6wdS</t>
  </si>
  <si>
    <t>Andy Lin</t>
  </si>
  <si>
    <t>3/15/2025 19:03</t>
  </si>
  <si>
    <t>pi_3R2sUpRxxun8okeS1q0q5C9i</t>
  </si>
  <si>
    <t>3/15/2025 19:18</t>
  </si>
  <si>
    <t>pi_3R2sitRxxun8okeS1VJhaaxX</t>
  </si>
  <si>
    <t>3/15/2025 20:05</t>
  </si>
  <si>
    <t>pi_3R2tSiRxxun8okeS1n91ljor</t>
  </si>
  <si>
    <t>Yang fhjj</t>
  </si>
  <si>
    <t>3/15/2025 21:14</t>
  </si>
  <si>
    <t>pi_3R2uXXRxxun8okeS0sz4dv7U</t>
  </si>
  <si>
    <t>3/16/2025 0:00</t>
  </si>
  <si>
    <t>yu aa</t>
  </si>
  <si>
    <t>3/16/2025 1:10</t>
  </si>
  <si>
    <t>pi_3R2yDhRxxun8okeS01THOHdR</t>
  </si>
  <si>
    <t>3/16/2025 9:44</t>
  </si>
  <si>
    <t>pi_3R36FeRxxun8okeS1SGAtFFP</t>
  </si>
  <si>
    <t>3/16/2025 10:33</t>
  </si>
  <si>
    <t>023b04345f574b061be86725f94b7747a18e047df7340368f53ffc020997cdd0</t>
  </si>
  <si>
    <t>ZVIIII vvvv</t>
  </si>
  <si>
    <t>3/16/2025 13:24</t>
  </si>
  <si>
    <t>pi_3R39eSRxxun8okeS1QLGIYHa</t>
  </si>
  <si>
    <t>Zheng Chenghao</t>
  </si>
  <si>
    <t>3/16/2025 14:05</t>
  </si>
  <si>
    <t>pi_3R3AK9Rxxun8okeS1siKMynZ</t>
  </si>
  <si>
    <t>June Will</t>
  </si>
  <si>
    <t>3/16/2025 17:18</t>
  </si>
  <si>
    <t>pi_3R3DKVRxxun8okeS11DtUY5w</t>
  </si>
  <si>
    <t>3/16/2025 17:46</t>
  </si>
  <si>
    <t>3/16/2025 18:44</t>
  </si>
  <si>
    <t>Jay George</t>
  </si>
  <si>
    <t>3/16/2025 23:36</t>
  </si>
  <si>
    <t>GAOYI LIN</t>
  </si>
  <si>
    <t>3/17/2025 0:28</t>
  </si>
  <si>
    <t>pi_3R3K2DRxxun8okeS1SSm7f1h</t>
  </si>
  <si>
    <t>3/17/2025 10:23</t>
  </si>
  <si>
    <t>pi_3R3TKKRxxun8okeS0bOKxvTm</t>
  </si>
  <si>
    <t>Atlee Zhong</t>
  </si>
  <si>
    <t>3/17/2025 10:35</t>
  </si>
  <si>
    <t>pi_3R3TVuRxxun8okeS1RTgFHns</t>
  </si>
  <si>
    <t>Chichikushvili Bar</t>
  </si>
  <si>
    <t>3/17/2025 12:39</t>
  </si>
  <si>
    <t>pi_3R3VRtRxxun8okeS1RYLx43A</t>
  </si>
  <si>
    <t>Ruijin Zhang</t>
  </si>
  <si>
    <t>3/17/2025 12:53</t>
  </si>
  <si>
    <t>pi_3R3Vf7Rxxun8okeS0EKbxPcr</t>
  </si>
  <si>
    <t>3/17/2025 15:34</t>
  </si>
  <si>
    <t>pi_3R3YBTRxxun8okeS1fp27JaY</t>
  </si>
  <si>
    <t>3/17/2025 16:04</t>
  </si>
  <si>
    <t>pi_3R3YeARxxun8okeS0R6ldzUx</t>
  </si>
  <si>
    <t>3/17/2025 16:54</t>
  </si>
  <si>
    <t>pi_3R3ZMNRxxun8okeS1wz00oeV</t>
  </si>
  <si>
    <t>3/17/2025 16:58</t>
  </si>
  <si>
    <t>ffee co</t>
  </si>
  <si>
    <t>3/17/2025 17:02</t>
  </si>
  <si>
    <t>3/17/2025 17:22</t>
  </si>
  <si>
    <t>pi_3R3ZsHRxxun8okeS0I8WSmWa</t>
  </si>
  <si>
    <t>San San Zhang</t>
  </si>
  <si>
    <t>3/17/2025 17:26</t>
  </si>
  <si>
    <t>pi_3R3ZvdRxxun8okeS1dVPhXWc</t>
  </si>
  <si>
    <t>3/17/2025 17:31</t>
  </si>
  <si>
    <t>pi_3R3a0nRxxun8okeS1dnZ6c1q</t>
  </si>
  <si>
    <t>Akvicor Kayuki</t>
  </si>
  <si>
    <t>3/17/2025 19:40</t>
  </si>
  <si>
    <t>pi_3R3c1BRxxun8okeS0lloBWBu</t>
  </si>
  <si>
    <t>3/17/2025 22:14</t>
  </si>
  <si>
    <t>3/17/2025 22:28</t>
  </si>
  <si>
    <t>Refund of Transaction ID 52F64606DC091081C</t>
  </si>
  <si>
    <t>3/17/2025 23:34</t>
  </si>
  <si>
    <t>pi_3R3fftRxxun8okeS1e7tmYNQ</t>
  </si>
  <si>
    <t>3/18/2025 0:00</t>
  </si>
  <si>
    <t>rxp xp</t>
  </si>
  <si>
    <t>3/18/2025 3:02</t>
  </si>
  <si>
    <t>pi_3R3itpRxxun8okeS19sEBP5U</t>
  </si>
  <si>
    <t>3/18/2025 12:27</t>
  </si>
  <si>
    <t>pi_3R3rkNRxxun8okeS01VUuvNk</t>
  </si>
  <si>
    <t>3/18/2025 12:29</t>
  </si>
  <si>
    <t>Refund of Transaction ID pi_3R3itpRxxun8okeS19sEBP5U</t>
  </si>
  <si>
    <t>3/18/2025 16:07</t>
  </si>
  <si>
    <t>pi_3R3vB8Rxxun8okeS02C0FKZB</t>
  </si>
  <si>
    <t>Daniel Law</t>
  </si>
  <si>
    <t>3/18/2025 16:10</t>
  </si>
  <si>
    <t>pi_3R3vDlRxxun8okeS1uQpDbaF</t>
  </si>
  <si>
    <t>3/18/2025 18:32</t>
  </si>
  <si>
    <t>pi_3R3xQqRxxun8okeS1OwkQkb1</t>
  </si>
  <si>
    <t>3/18/2025 18:39</t>
  </si>
  <si>
    <t>pi_3R3xXdRxxun8okeS0H9EofJr</t>
  </si>
  <si>
    <t>3/18/2025 23:31</t>
  </si>
  <si>
    <t>pi_3R425GRxxun8okeS07o3s3F9</t>
  </si>
  <si>
    <t>3/18/2025 23:45</t>
  </si>
  <si>
    <t>3/18/2025 23:54</t>
  </si>
  <si>
    <t>pi_3R42TJRxxun8okeS1JEmFJov</t>
  </si>
  <si>
    <t>li daix</t>
  </si>
  <si>
    <t>3/19/2025 0:00</t>
  </si>
  <si>
    <t>daniel liao</t>
  </si>
  <si>
    <t>Kum Ruecker</t>
  </si>
  <si>
    <t>3/19/2025 3:48</t>
  </si>
  <si>
    <t>pi_3R465xRxxun8okeS0RcgkGrM</t>
  </si>
  <si>
    <t>3/19/2025 6:22</t>
  </si>
  <si>
    <t>pi_3R48VzRxxun8okeS0GCNt7zd</t>
  </si>
  <si>
    <t>KE ZAHNG</t>
  </si>
  <si>
    <t>3/19/2025 8:34</t>
  </si>
  <si>
    <t>pi_3R4AahRxxun8okeS0o2xUzVO</t>
  </si>
  <si>
    <t>3/19/2025 11:25</t>
  </si>
  <si>
    <t>3/19/2025 12:13</t>
  </si>
  <si>
    <t>pi_3R4DyURxxun8okeS1nIzLd0z</t>
  </si>
  <si>
    <t>3/19/2025 12:43</t>
  </si>
  <si>
    <t>Refund of Transaction ID pi_3R1FWoRxxun8okeS1SXsynr7</t>
  </si>
  <si>
    <t>3/19/2025 12:44</t>
  </si>
  <si>
    <t>Refund of Transaction ID pi_3R3vDlRxxun8okeS1uQpDbaF</t>
  </si>
  <si>
    <t>3/19/2025 14:23</t>
  </si>
  <si>
    <t>pi_3R4G1IRxxun8okeS1uNOf6YV</t>
  </si>
  <si>
    <t>3/19/2025 14:33</t>
  </si>
  <si>
    <t>pi_3R4GAsRxxun8okeS0FpDdnxu</t>
  </si>
  <si>
    <t>Armstrong Chen</t>
  </si>
  <si>
    <t>3/19/2025 21:12</t>
  </si>
  <si>
    <t>pi_3R4MOSRxxun8okeS0nNW3h9j</t>
  </si>
  <si>
    <t>yixiang sun</t>
  </si>
  <si>
    <t>3/19/2025 22:37</t>
  </si>
  <si>
    <t>pi_3R4NjNRxxun8okeS0VwzFAeR</t>
  </si>
  <si>
    <t>villa ye</t>
  </si>
  <si>
    <t>3/19/2025 23:44</t>
  </si>
  <si>
    <t>pi_3R4OnCRxxun8okeS1uCr5rIx</t>
  </si>
  <si>
    <t>3/20/2025 5:29</t>
  </si>
  <si>
    <t>pi_3R4UAqRxxun8okeS1aJmBYXb</t>
  </si>
  <si>
    <t>3/20/2025 11:43</t>
  </si>
  <si>
    <t>pi_3R4a0HRxxun8okeS1r0R7XPt</t>
  </si>
  <si>
    <t>3/20/2025 14:00</t>
  </si>
  <si>
    <t>pi_3R4c9DRxxun8okeS0vrnAgFx</t>
  </si>
  <si>
    <t>amyas evelyn</t>
  </si>
  <si>
    <t>3/20/2025 16:04</t>
  </si>
  <si>
    <t>pi_3R4e4gRxxun8okeS1qyxtwv3</t>
  </si>
  <si>
    <t>3/20/2025 16:05</t>
  </si>
  <si>
    <t>pi_3R4e5DRxxun8okeS1D9yFeiT</t>
  </si>
  <si>
    <t>3/20/2025 16:07</t>
  </si>
  <si>
    <t>pi_3R4e84Rxxun8okeS0abZtjsz</t>
  </si>
  <si>
    <t>3/20/2025 22:10</t>
  </si>
  <si>
    <t>pi_3R4jkiRxxun8okeS14WSAoNr</t>
  </si>
  <si>
    <t>3/20/2025 22:29</t>
  </si>
  <si>
    <t>pi_3R4k5RRxxun8okeS0uFHbnIt</t>
  </si>
  <si>
    <t>3/20/2025 22:46</t>
  </si>
  <si>
    <t>pi_3R4kM9Rxxun8okeS1BVRYYH4</t>
  </si>
  <si>
    <t>3/20/2025 22:57</t>
  </si>
  <si>
    <t>John Doe</t>
  </si>
  <si>
    <t>3/20/2025 23:33</t>
  </si>
  <si>
    <t>pi_3R4koNRxxun8okeS0C6FaapK</t>
  </si>
  <si>
    <t>z zz</t>
  </si>
  <si>
    <t>3/21/2025 0:00</t>
  </si>
  <si>
    <t>Jack Black</t>
  </si>
  <si>
    <t>3/21/2025 3:26</t>
  </si>
  <si>
    <t>pi_3R4oisRxxun8okeS1hBs1qg2</t>
  </si>
  <si>
    <t>3/21/2025 3:34</t>
  </si>
  <si>
    <t>pi_3R4or4Rxxun8okeS050ianyG</t>
  </si>
  <si>
    <t>Brown Howe</t>
  </si>
  <si>
    <t>3/21/2025 8:15</t>
  </si>
  <si>
    <t>pi_3R4tF4Rxxun8okeS0e5o1vnQ</t>
  </si>
  <si>
    <t>dgg dkl</t>
  </si>
  <si>
    <t>3/21/2025 11:19</t>
  </si>
  <si>
    <t>pi_3R4w7JRxxun8okeS12p7PvIJ</t>
  </si>
  <si>
    <t>3/21/2025 11:37</t>
  </si>
  <si>
    <t>pi_3R4wO1Rxxun8okeS1WaeEP93</t>
  </si>
  <si>
    <t>User User</t>
  </si>
  <si>
    <t>3/21/2025 16:17</t>
  </si>
  <si>
    <t>623d27bde3cdfae251e33d282602e9a6affe65ca00805c77f63b88c7de9ff3d7</t>
  </si>
  <si>
    <t>3/21/2025 19:36</t>
  </si>
  <si>
    <t>3/21/2025 22:46</t>
  </si>
  <si>
    <t>Refund of Transaction ID pi_3R4koNRxxun8okeS0C6FaapK</t>
  </si>
  <si>
    <t>3/22/2025 10:57</t>
  </si>
  <si>
    <t>pi_3R5IEvRxxun8okeS07aWhwHH</t>
  </si>
  <si>
    <t>3/22/2025 14:08</t>
  </si>
  <si>
    <t>dc65760b93c9cafd959b67c7bf5820c92cfa65135e057d0c6da6587d50a117c6</t>
  </si>
  <si>
    <t>steven G</t>
  </si>
  <si>
    <t>3/22/2025 17:41</t>
  </si>
  <si>
    <t>pi_3R5OY5Rxxun8okeS1lwWJbGJ</t>
  </si>
  <si>
    <t>allen he</t>
  </si>
  <si>
    <t>3/22/2025 17:44</t>
  </si>
  <si>
    <t>pi_3R5Ob6Rxxun8okeS0I8sAsfO</t>
  </si>
  <si>
    <t>3/22/2025 20:10</t>
  </si>
  <si>
    <t>pi_3R5Qs2Rxxun8okeS0tM8SbvT</t>
  </si>
  <si>
    <t>RAY ZHANG</t>
  </si>
  <si>
    <t>3/22/2025 20:12</t>
  </si>
  <si>
    <t>pi_3R5QtNRxxun8okeS0GZ5HdTR</t>
  </si>
  <si>
    <t>rui hu</t>
  </si>
  <si>
    <t>3/22/2025 20:54</t>
  </si>
  <si>
    <t>pi_3R5RYSRxxun8okeS1DuhlKTb</t>
  </si>
  <si>
    <t>San Zhang</t>
  </si>
  <si>
    <t>3/22/2025 21:43</t>
  </si>
  <si>
    <t>pi_3R5SKJRxxun8okeS0ePzAIgC</t>
  </si>
  <si>
    <t>3/22/2025 22:30</t>
  </si>
  <si>
    <t>pi_3R5T48Rxxun8okeS12m8n2Mf</t>
  </si>
  <si>
    <t>red gl</t>
  </si>
  <si>
    <t>3/23/2025 0:00</t>
  </si>
  <si>
    <t>Nate John</t>
  </si>
  <si>
    <t>Shichao Tang</t>
  </si>
  <si>
    <t>3/23/2025 0:20</t>
  </si>
  <si>
    <t>pi_3R5Um0Rxxun8okeS0re7yU94</t>
  </si>
  <si>
    <t>3/23/2025 2:16</t>
  </si>
  <si>
    <t>pi_3R5Wa6Rxxun8okeS1lYl0wzk</t>
  </si>
  <si>
    <t>Hdb Sgsg</t>
  </si>
  <si>
    <t>3/23/2025 2:47</t>
  </si>
  <si>
    <t>pi_3R5X4BRxxun8okeS116CusPI</t>
  </si>
  <si>
    <t>3/23/2025 10:30</t>
  </si>
  <si>
    <t>pi_3R5eIORxxun8okeS1TgY09Mu</t>
  </si>
  <si>
    <t>- -</t>
  </si>
  <si>
    <t>3/23/2025 11:02</t>
  </si>
  <si>
    <t>pi_3R5enORxxun8okeS1GOJfmvV</t>
  </si>
  <si>
    <t>3/23/2025 11:36</t>
  </si>
  <si>
    <t>Clarissa Halvorson</t>
  </si>
  <si>
    <t>3/23/2025 16:33</t>
  </si>
  <si>
    <t>pi_3R5juyRxxun8okeS0fRwWrtY</t>
  </si>
  <si>
    <t>3/23/2025 17:28</t>
  </si>
  <si>
    <t>pi_3R5knCRxxun8okeS0bAbTfLk</t>
  </si>
  <si>
    <t>Pli IC</t>
  </si>
  <si>
    <t>3/23/2025 17:53</t>
  </si>
  <si>
    <t>pi_3R5lD9Rxxun8okeS1rlk0vON</t>
  </si>
  <si>
    <t>Zano Boni</t>
  </si>
  <si>
    <t>3/23/2025 18:57</t>
  </si>
  <si>
    <t>pi_3R5mBURxxun8okeS1izBmHaF</t>
  </si>
  <si>
    <t>Peng Li</t>
  </si>
  <si>
    <t>3/23/2025 19:20</t>
  </si>
  <si>
    <t>3/23/2025 19:22</t>
  </si>
  <si>
    <t>3/23/2025 20:40</t>
  </si>
  <si>
    <t>pi_3R5nogRxxun8okeS05mdrEhJ</t>
  </si>
  <si>
    <t>3/23/2025 20:41</t>
  </si>
  <si>
    <t>pi_3R5npuRxxun8okeS1Y6jY20I</t>
  </si>
  <si>
    <t>Nwok Bdi</t>
  </si>
  <si>
    <t>3/23/2025 21:03</t>
  </si>
  <si>
    <t>pi_3R5oBCRxxun8okeS1AtOLBVW</t>
  </si>
  <si>
    <t>kj hs</t>
  </si>
  <si>
    <t>3/24/2025 7:43</t>
  </si>
  <si>
    <t>pi_3R5y9gRxxun8okeS16P9wBLF</t>
  </si>
  <si>
    <t>3/24/2025 9:51</t>
  </si>
  <si>
    <t>pi_3R609qRxxun8okeS1MyYr5DY</t>
  </si>
  <si>
    <t>pi_3R60AxRxxun8okeS1rNH1y6d</t>
  </si>
  <si>
    <t>ReyReyy Meow</t>
  </si>
  <si>
    <t>3/24/2025 11:20</t>
  </si>
  <si>
    <t>pi_3R61Y5Rxxun8okeS1n8FBSxm</t>
  </si>
  <si>
    <t>ggggg gggggg</t>
  </si>
  <si>
    <t>3/24/2025 15:46</t>
  </si>
  <si>
    <t>pi_3R65fERxxun8okeS0fxUjhfZ</t>
  </si>
  <si>
    <t>3/24/2025 17:32</t>
  </si>
  <si>
    <t>pi_3R67LvRxxun8okeS0PhY0oHi</t>
  </si>
  <si>
    <t>3/24/2025 17:48</t>
  </si>
  <si>
    <t>pi_3R67c7Rxxun8okeS1IgSUb3G</t>
  </si>
  <si>
    <t>Yaira Jef</t>
  </si>
  <si>
    <t>3/24/2025 18:27</t>
  </si>
  <si>
    <t>pi_3R68DNRxxun8okeS0KODjxI4</t>
  </si>
  <si>
    <t>luyang zhang</t>
  </si>
  <si>
    <t>3/24/2025 23:49</t>
  </si>
  <si>
    <t>pi_3R6DFIRxxun8okeS18JupBbH</t>
  </si>
  <si>
    <t>Siyeon Park</t>
  </si>
  <si>
    <t>3/25/2025 2:02</t>
  </si>
  <si>
    <t>pi_3R6FJcRxxun8okeS00G2kuPH</t>
  </si>
  <si>
    <t>kzkz jsmd</t>
  </si>
  <si>
    <t>3/25/2025 17:36</t>
  </si>
  <si>
    <t>16ec2b7ea2e9bb78619e097b8ed4ac02030010771a9209728ac915b78ebd3669</t>
  </si>
  <si>
    <t>3/26/2025 10:58</t>
  </si>
  <si>
    <t>pi_3R6k7IRxxun8okeS1Uo1sVBP</t>
  </si>
  <si>
    <t>espoir wang</t>
  </si>
  <si>
    <t>3/26/2025 23:06</t>
  </si>
  <si>
    <t>pi_3R6vWtRxxun8okeS0yp20780</t>
  </si>
  <si>
    <t>3/26/2025 23:59</t>
  </si>
  <si>
    <t>pi_3R6wMJRxxun8okeS0GQMVQEZ</t>
  </si>
  <si>
    <t>Westfield Westfield</t>
  </si>
  <si>
    <t>3/27/2025 0:00</t>
  </si>
  <si>
    <t>Storm Yummy</t>
  </si>
  <si>
    <t>li hu</t>
  </si>
  <si>
    <t>3/27/2025 10:33</t>
  </si>
  <si>
    <t>pi_3R76FKRxxun8okeS1UjTifTH</t>
  </si>
  <si>
    <t>jams wang</t>
  </si>
  <si>
    <t>3/27/2025 13:26</t>
  </si>
  <si>
    <t>pi_3R78wMRxxun8okeS0el4t0rM</t>
  </si>
  <si>
    <t>3/27/2025 19:35</t>
  </si>
  <si>
    <t>b62da2d8c08c3d1b870a31a9b45fcd08f846a4395731e2188cf5be562515eefa</t>
  </si>
  <si>
    <t>3/27/2025 23:40</t>
  </si>
  <si>
    <t>pi_3R7IX9Rxxun8okeS1EXFpyaf</t>
  </si>
  <si>
    <t>telegram cia</t>
  </si>
  <si>
    <t>3/28/2025 0:00</t>
  </si>
  <si>
    <t>3/28/2025 0:47</t>
  </si>
  <si>
    <t>pi_3R7Ja7Rxxun8okeS1DM2JucG</t>
  </si>
  <si>
    <t>hyu tgt</t>
  </si>
  <si>
    <t>3/28/2025 1:22</t>
  </si>
  <si>
    <t>pi_3R7K5kRxxun8okeS0FL5qUWT</t>
  </si>
  <si>
    <t>3/28/2025 11:23</t>
  </si>
  <si>
    <t>pi_3R7TVARxxun8okeS0KTQynKt</t>
  </si>
  <si>
    <t>3/28/2025 13:57</t>
  </si>
  <si>
    <t>pi_3R7VuMRxxun8okeS0ELPfQnn</t>
  </si>
  <si>
    <t>3/28/2025 14:01</t>
  </si>
  <si>
    <t>3/28/2025 14:17</t>
  </si>
  <si>
    <t>pi_3R7WDjRxxun8okeS1oxkW8ez</t>
  </si>
  <si>
    <t>Joseh Dan</t>
  </si>
  <si>
    <t>3/28/2025 15:02</t>
  </si>
  <si>
    <t>Yukai Zeng</t>
  </si>
  <si>
    <t>3/28/2025 15:38</t>
  </si>
  <si>
    <t>pi_3R7XTiRxxun8okeS0sfxXceW</t>
  </si>
  <si>
    <t>3/28/2025 16:52</t>
  </si>
  <si>
    <t>pi_3R7YeDRxxun8okeS1fZ5JgZA</t>
  </si>
  <si>
    <t>Shaq Li</t>
  </si>
  <si>
    <t>3/28/2025 17:52</t>
  </si>
  <si>
    <t>pi_3R7ZZSRxxun8okeS1A7yq1RS</t>
  </si>
  <si>
    <t>xiao xiao</t>
  </si>
  <si>
    <t>3/28/2025 18:18</t>
  </si>
  <si>
    <t>pi_3R7ZzCRxxun8okeS0DTBO2En</t>
  </si>
  <si>
    <t>3/28/2025 18:25</t>
  </si>
  <si>
    <t>9e7da7c9ce8d4c1bc3bd11cf43b53a2d6ca4e83bf6fc64c78953a692fabdd9c7</t>
  </si>
  <si>
    <t>3/28/2025 18:39</t>
  </si>
  <si>
    <t>pi_3R7aJTRxxun8okeS1HVoR2wY</t>
  </si>
  <si>
    <t>p kov</t>
  </si>
  <si>
    <t>3/28/2025 21:52</t>
  </si>
  <si>
    <t>pi_3R7dKURxxun8okeS1H4tUtLJ</t>
  </si>
  <si>
    <t>3/29/2025 0:00</t>
  </si>
  <si>
    <t>3/29/2025 13:41</t>
  </si>
  <si>
    <t>pi_3R7s8vRxxun8okeS0i2oRCXx</t>
  </si>
  <si>
    <t>hot dog</t>
  </si>
  <si>
    <t>3/29/2025 17:08</t>
  </si>
  <si>
    <t>pi_3R7vM2Rxxun8okeS0cwIQzjd</t>
  </si>
  <si>
    <t>3/29/2025 18:22</t>
  </si>
  <si>
    <t>pi_3R7wWqRxxun8okeS1dnjYWbj</t>
  </si>
  <si>
    <t>3/29/2025 18:34</t>
  </si>
  <si>
    <t>Luo Lin</t>
  </si>
  <si>
    <t>3/29/2025 21:37</t>
  </si>
  <si>
    <t>pi_3R7zZbRxxun8okeS04ZyIhWP</t>
  </si>
  <si>
    <t>EAT WHAT TO</t>
  </si>
  <si>
    <t>3/30/2025 10:43</t>
  </si>
  <si>
    <t>pi_3R8BpiRxxun8okeS05503yTK</t>
  </si>
  <si>
    <t>3/30/2025 18:41</t>
  </si>
  <si>
    <t>3/30/2025 18:49</t>
  </si>
  <si>
    <t>pi_3R8JQRRxxun8okeS1X4GF3lC</t>
  </si>
  <si>
    <t>3/30/2025 19:07</t>
  </si>
  <si>
    <t>pi_3R8JhVRxxun8okeS0kxwayj7</t>
  </si>
  <si>
    <t>3/30/2025 21:00</t>
  </si>
  <si>
    <t>65c7de68d949eacf90d0901093be2e617b5a1728e947275a3397ea0d38f1f54c</t>
  </si>
  <si>
    <t>3/30/2025 21:07</t>
  </si>
  <si>
    <t>pi_3R8LZCRxxun8okeS1ge3P7iP</t>
  </si>
  <si>
    <t>Frank Jackson</t>
  </si>
  <si>
    <t>3/31/2025 0:00</t>
  </si>
  <si>
    <t>White Seven</t>
  </si>
  <si>
    <t>3/31/2025 0:37</t>
  </si>
  <si>
    <t>pi_3R8Or6Rxxun8okeS0JEIVhzB</t>
  </si>
  <si>
    <t>YAMONEY VIRTUAL</t>
  </si>
  <si>
    <t>3/31/2025 0:59</t>
  </si>
  <si>
    <t>pi_3R8PBjRxxun8okeS115cU7Ok</t>
  </si>
  <si>
    <t>lemo may</t>
  </si>
  <si>
    <t>3/31/2025 1:07</t>
  </si>
  <si>
    <t>pi_3R8PJMRxxun8okeS1ujddbc7</t>
  </si>
  <si>
    <t>3/31/2025 12:45</t>
  </si>
  <si>
    <t>pi_3R8a9SRxxun8okeS0Tz8NOna</t>
  </si>
  <si>
    <t>ZHI BRO</t>
  </si>
  <si>
    <t>3/31/2025 18:51</t>
  </si>
  <si>
    <t>pi_3R8fuiRxxun8okeS1Ys0u8Vx</t>
  </si>
  <si>
    <t>Jiahao Zhou</t>
  </si>
  <si>
    <t>3/31/2025 21:39</t>
  </si>
  <si>
    <t>pi_3R8iYoRxxun8okeS1rv70yhj</t>
  </si>
  <si>
    <t>pi_3R8sTyRxxun8okeS1YrQ3Bbg</t>
  </si>
  <si>
    <t>pi_3R8wNKRxxun8okeS0om4MtGs</t>
  </si>
  <si>
    <t>Medivh MK</t>
  </si>
  <si>
    <t>c5eb3a43b30e4ba03747309848beb300cac16dc93d7fc2b299aceae6e408c41a</t>
  </si>
  <si>
    <t>pi_3R91hgRxxun8okeS1XQsHdsS</t>
  </si>
  <si>
    <t>pi_3R91inRxxun8okeS14pjzx65</t>
  </si>
  <si>
    <t>pi_3R91jbRxxun8okeS0d4UCH6e</t>
  </si>
  <si>
    <t>huat x</t>
  </si>
  <si>
    <t>ZHANG HUA</t>
  </si>
  <si>
    <t>821012b363f0e0048cb0b34d85996204241a2e6c1ff74227efc5f4c1fdb9e547</t>
  </si>
  <si>
    <t>berry wall</t>
  </si>
  <si>
    <t>pi_3R98vFRxxun8okeS0g8a7FSN</t>
  </si>
  <si>
    <t>cc sss</t>
  </si>
  <si>
    <t>pi_3R9G2MRxxun8okeS1DPBqb3p</t>
  </si>
  <si>
    <t>XIAOHUI YIN</t>
  </si>
  <si>
    <t>pi_3R9HLoRxxun8okeS0M7CnouG</t>
  </si>
  <si>
    <t>pi_3R9J7iRxxun8okeS0hmJEohd</t>
  </si>
  <si>
    <t>海悦 蓝</t>
  </si>
  <si>
    <t>pi_3R9K5kRxxun8okeS0wzab2UI</t>
  </si>
  <si>
    <t>烨 刘</t>
  </si>
  <si>
    <t>pi_3R9N6HRxxun8okeS13SVmp9Q</t>
  </si>
  <si>
    <t>meng my</t>
  </si>
  <si>
    <t>pi_3R9PZvRxxun8okeS1hSMgusN</t>
  </si>
  <si>
    <t>Bretton Ye</t>
  </si>
  <si>
    <t>pi_3R9QFQRxxun8okeS1hoUHMCt</t>
  </si>
  <si>
    <t>a sd</t>
  </si>
  <si>
    <t>Master Ayanami</t>
  </si>
  <si>
    <t>pi_3RA85MRxxun8okeS06JMp4xm</t>
  </si>
  <si>
    <t>pi_3RA9VQRxxun8okeS13YszXkA</t>
  </si>
  <si>
    <t>pi_3RA9f1Rxxun8okeS0MRieVgN</t>
  </si>
  <si>
    <t>4c396a43f47a13dd1bda494e6d0e8833fc1310ae0ae586c3ba92933bf16b7f76</t>
  </si>
  <si>
    <t>k d</t>
  </si>
  <si>
    <t>pi_3RALzfRxxun8okeS0Wounpxx</t>
  </si>
  <si>
    <t>jackson jim</t>
  </si>
  <si>
    <t>pi_3RAMHIRxxun8okeS0BofD6r3</t>
  </si>
  <si>
    <t>CHEN ZHICHAO</t>
  </si>
  <si>
    <t>pi_3RANNERxxun8okeS1a0uVG0z</t>
  </si>
  <si>
    <t>li sx</t>
  </si>
  <si>
    <t>pi_3RAPqPRxxun8okeS1JeAI4OC</t>
  </si>
  <si>
    <t>gwyn yan</t>
  </si>
  <si>
    <t>pi_3RAVNXRxxun8okeS0tTBDOiG</t>
  </si>
  <si>
    <t>从前 从</t>
  </si>
  <si>
    <t>pi_3RAVujRxxun8okeS0obpSAxd</t>
  </si>
  <si>
    <t>Matata Hakuna</t>
  </si>
  <si>
    <t>pi_3RAWyuRxxun8okeS1B56IPNJ</t>
  </si>
  <si>
    <t>ming wang</t>
  </si>
  <si>
    <t>pi_3RAXeJRxxun8okeS0qggJG4a</t>
  </si>
  <si>
    <t>pi_3RAYLDRxxun8okeS0TcOVUi4</t>
  </si>
  <si>
    <t>pi_3RAYX9Rxxun8okeS1iBWzS0I</t>
  </si>
  <si>
    <t>pi_3RAYbsRxxun8okeS0BXj7DJj</t>
  </si>
  <si>
    <t>Yixiang Sun</t>
  </si>
  <si>
    <t>Mail In Payment</t>
  </si>
  <si>
    <t>bgz Wh</t>
  </si>
  <si>
    <t>pi_3RAZlGRxxun8okeS1TRPSccO</t>
  </si>
  <si>
    <t>mail In Payment</t>
  </si>
  <si>
    <t>zhen liu</t>
  </si>
  <si>
    <t>pi_3RAf8XRxxun8okeS0X6499Eo</t>
  </si>
  <si>
    <t>niu niu</t>
  </si>
  <si>
    <t>pi_3RAmHORxxun8okeS0nk4Zc2f</t>
  </si>
  <si>
    <t>zhaolong chen</t>
  </si>
  <si>
    <t>pi_3RAoScRxxun8okeS1Y4f8zS6</t>
  </si>
  <si>
    <t>健鹏 罗</t>
  </si>
  <si>
    <t>pi_3RApLvRxxun8okeS09Y5oZ0y</t>
  </si>
  <si>
    <t>mi yin</t>
  </si>
  <si>
    <t>pi_3RAqFRRxxun8okeS0Udl4RXM</t>
  </si>
  <si>
    <t>yijie li</t>
  </si>
  <si>
    <t>pi_3RAthlRxxun8okeS0mgyukYn</t>
  </si>
  <si>
    <t>pi_3RAtxsRxxun8okeS0qoa5EaV</t>
  </si>
  <si>
    <t>pi_3RAuLARxxun8okeS1GkwpLz6</t>
  </si>
  <si>
    <t>pi_3RAvnfRxxun8okeS1RTeFIk9</t>
  </si>
  <si>
    <t>pi_3RAvwtRxxun8okeS1Tw930o0</t>
  </si>
  <si>
    <t>yiwei guo</t>
  </si>
  <si>
    <t>pi_3RAwPtRxxun8okeS0QKCezHn</t>
  </si>
  <si>
    <t>pi_3RAyKnRxxun8okeS19AfXQX2</t>
  </si>
  <si>
    <t>cy dione</t>
  </si>
  <si>
    <t>pi_3RB4kqRxxun8okeS1a3coodp</t>
  </si>
  <si>
    <t>af0c24865f424add3210c6a8a5039be60f687ffaffe4a46802c89644aad4bdb5</t>
  </si>
  <si>
    <t>pi_3RB7LmRxxun8okeS1v3TM6Rc</t>
  </si>
  <si>
    <t>pi_3RB7MvRxxun8okeS1qgWX7sL</t>
  </si>
  <si>
    <t>Refund of Transaction ID pi_3RApLvRxxun8okeS09Y5oZ0y</t>
  </si>
  <si>
    <t>pi_3RBD0yRxxun8okeS0KNlnbef</t>
  </si>
  <si>
    <t>Evelyn Richter</t>
  </si>
  <si>
    <t>c370667a30826083216d1efb2a1c55d38ccee62954bf3bac93ee2ae4928ff676</t>
  </si>
  <si>
    <t>pi_3RBDtjRxxun8okeS1140nLnp</t>
  </si>
  <si>
    <t>Alan Walks</t>
  </si>
  <si>
    <t>pi_3RBGF8Rxxun8okeS1Q7bss5N</t>
  </si>
  <si>
    <t>facai gongxi</t>
  </si>
  <si>
    <t>pi_3RBIAyRxxun8okeS0yEaGjiL</t>
  </si>
  <si>
    <t>pi_3RBIJARxxun8okeS0YSrL7sh</t>
  </si>
  <si>
    <t>ZHENG NAN</t>
  </si>
  <si>
    <t>pi_3RBPWtRxxun8okeS1XfD3bxl</t>
  </si>
  <si>
    <t>春 杨</t>
  </si>
  <si>
    <t>pi_3RBR3MRxxun8okeS0JjBjYG2</t>
  </si>
  <si>
    <t>pi_3RBTTxRxxun8okeS1jWpdZkB</t>
  </si>
  <si>
    <t>kala xiao</t>
  </si>
  <si>
    <t>c6361bff805cbc0747975dfe6202a706b2506e3b0e8a875396255228af5f42c0</t>
  </si>
  <si>
    <t>uncle blackface</t>
  </si>
  <si>
    <t>pi_3RBaV5Rxxun8okeS0O4fz2eJ</t>
  </si>
  <si>
    <t>iqboost iqboost</t>
  </si>
  <si>
    <t>pi_3RBd11Rxxun8okeS0JKaHn9x</t>
  </si>
  <si>
    <t>bieguan li</t>
  </si>
  <si>
    <t>pi_3RBdjoRxxun8okeS1P1Vsn5i</t>
  </si>
  <si>
    <t>pei cs</t>
  </si>
  <si>
    <t>pi_3RBeNFRxxun8okeS1pvvXrhj</t>
  </si>
  <si>
    <t>bai kong</t>
  </si>
  <si>
    <t>pi_3RBx6ARxxun8okeS1pVhlLOZ</t>
  </si>
  <si>
    <t>pi_3RC0ubRxxun8okeS1ufe4I4a</t>
  </si>
  <si>
    <t>培强 杨</t>
  </si>
  <si>
    <t>Moretti Klein</t>
  </si>
  <si>
    <t>pi_3RCEeQRxxun8okeS0f6hVPNK</t>
  </si>
  <si>
    <t>ZHI LI</t>
  </si>
  <si>
    <t>pi_3RCF9yRxxun8okeS0ebDA5e4</t>
  </si>
  <si>
    <t>qingchao tang</t>
  </si>
  <si>
    <t>pi_3RCH52Rxxun8okeS0wjgV1Yo</t>
  </si>
  <si>
    <t>涛 吕</t>
  </si>
  <si>
    <t>pi_3RCKv2Rxxun8okeS0QR8B7fN</t>
  </si>
  <si>
    <t>ogesa moteda</t>
  </si>
  <si>
    <t>pi_3RCLa9Rxxun8okeS1QyJFofO</t>
  </si>
  <si>
    <t>wenjun zeng</t>
  </si>
  <si>
    <t>pi_3RCONYRxxun8okeS049S9WUB</t>
  </si>
  <si>
    <t>pi_3RCWZORxxun8okeS1aoFV8A0</t>
  </si>
  <si>
    <t>pi_3RCbHoRxxun8okeS0JNjHy5f</t>
  </si>
  <si>
    <t>Jia hui Luo</t>
  </si>
  <si>
    <t>pi_3RCgTSRxxun8okeS05ACoOsu</t>
  </si>
  <si>
    <t>剑 唐</t>
  </si>
  <si>
    <t>pi_3RCorJRxxun8okeS0ebqDgtY</t>
  </si>
  <si>
    <t>pi_3RCsUsRxxun8okeS1JEgfPp6</t>
  </si>
  <si>
    <t>pi_3RCu3jRxxun8okeS0lG1G9gm</t>
  </si>
  <si>
    <t>wolke km</t>
  </si>
  <si>
    <t>pi_3RCxJoRxxun8okeS1iOO4gpt</t>
  </si>
  <si>
    <t>7b2b51b7acf8df1a828d1d793b6c994d875ce16c3e72192e6a554963e94865f7</t>
  </si>
  <si>
    <t>pi_3RD34hRxxun8okeS0WY3Nm47</t>
  </si>
  <si>
    <t>Qiang Wang</t>
  </si>
  <si>
    <t>苹果 黑</t>
  </si>
  <si>
    <t>pi_3RD4S8Rxxun8okeS1iOYNMHx</t>
  </si>
  <si>
    <t>pi_3RD55URxxun8okeS074eDWBJ</t>
  </si>
  <si>
    <t>feather ming</t>
  </si>
  <si>
    <t>pi_3RD5foRxxun8okeS1ecwEPu6</t>
  </si>
  <si>
    <t>4/13/2025 10:57</t>
  </si>
  <si>
    <t>pi_3RDGjDRxxun8okeS0JAbvHhV</t>
  </si>
  <si>
    <t>冰浩 陈</t>
  </si>
  <si>
    <t>4/13/2025 12:14</t>
  </si>
  <si>
    <t>pi_3RDHw3Rxxun8okeS1NhOKLWj</t>
  </si>
  <si>
    <t>4/13/2025 17:50</t>
  </si>
  <si>
    <t>pi_3RDNARRxxun8okeS16UE1n7X</t>
  </si>
  <si>
    <t>4/13/2025 20:28</t>
  </si>
  <si>
    <t>pi_3RDPdaRxxun8okeS0IYfMuZ8</t>
  </si>
  <si>
    <t>zhan mei</t>
  </si>
  <si>
    <t>4/13/2025 22:03</t>
  </si>
  <si>
    <t>4/13/2025 22:05</t>
  </si>
  <si>
    <t>4/14/2025 9:44</t>
  </si>
  <si>
    <t>pi_3RDc4HRxxun8okeS1UYx9vhn</t>
  </si>
  <si>
    <t>4/14/2025 10:30</t>
  </si>
  <si>
    <t>pi_3RDcmVRxxun8okeS1m2dgCYk</t>
  </si>
  <si>
    <t>4/14/2025 14:30</t>
  </si>
  <si>
    <t>pi_3RDgWLRxxun8okeS18RdguvV</t>
  </si>
  <si>
    <t>Joe Lui</t>
  </si>
  <si>
    <t>4/14/2025 15:49</t>
  </si>
  <si>
    <t>pi_3RDhllRxxun8okeS11LgmhSz</t>
  </si>
  <si>
    <t>4/14/2025 17:07</t>
  </si>
  <si>
    <t>pi_3RDiyXRxxun8okeS0Y1Ykc8I</t>
  </si>
  <si>
    <t>4/14/2025 17:09</t>
  </si>
  <si>
    <t>pi_3RDj0cRxxun8okeS07yUz3Xn</t>
  </si>
  <si>
    <t>tu Pedro</t>
  </si>
  <si>
    <t>4/14/2025 17:37</t>
  </si>
  <si>
    <t>pi_3RDjRYRxxun8okeS1zY9tH6x</t>
  </si>
  <si>
    <t>4/14/2025 18:16</t>
  </si>
  <si>
    <t>pi_3RDk3oRxxun8okeS1YD4yj05</t>
  </si>
  <si>
    <t>4/14/2025 18:41</t>
  </si>
  <si>
    <t>pi_3RDkQxRxxun8okeS1LBNeiim</t>
  </si>
  <si>
    <t>Mraz Jason</t>
  </si>
  <si>
    <t>4/14/2025 19:30</t>
  </si>
  <si>
    <t>pi_3RDlCuRxxun8okeS1MIOVGsB</t>
  </si>
  <si>
    <t>y L</t>
  </si>
  <si>
    <t>4/14/2025 20:35</t>
  </si>
  <si>
    <t>pi_3RDmDSRxxun8okeS1TB9Uee7</t>
  </si>
  <si>
    <t>四 李</t>
  </si>
  <si>
    <t>4/14/2025 21:09</t>
  </si>
  <si>
    <t>pi_3RDmkERxxun8okeS039J40N7</t>
  </si>
  <si>
    <t>4/14/2025 21:37</t>
  </si>
  <si>
    <t>Bo Kurkovva</t>
  </si>
  <si>
    <t>pi_3RDnBiRxxun8okeS19IjnfZ0</t>
  </si>
  <si>
    <t>Hide Z</t>
  </si>
  <si>
    <t>4/14/2025 22:30</t>
  </si>
  <si>
    <t>pi_3RDo1LRxxun8okeS0676Ioq9</t>
  </si>
  <si>
    <t>搬运工 油管</t>
  </si>
  <si>
    <t>4/15/2025 0:01</t>
  </si>
  <si>
    <t>pi_3RDpRaRxxun8okeS181LeROy</t>
  </si>
  <si>
    <t>4/15/2025 4:42</t>
  </si>
  <si>
    <t>pi_3RDtp6Rxxun8okeS1BDP3C7y</t>
  </si>
  <si>
    <t>4/15/2025 9:50</t>
  </si>
  <si>
    <t>pi_3RDydARxxun8okeS1Qfxt0Vk</t>
  </si>
  <si>
    <t>bingxiu wang</t>
  </si>
  <si>
    <t>4/15/2025 11:24</t>
  </si>
  <si>
    <t>pi_3RE05uRxxun8okeS07DViBxM</t>
  </si>
  <si>
    <t>4/15/2025 11:40</t>
  </si>
  <si>
    <t>pi_3RE0M0Rxxun8okeS0QCqDa7B</t>
  </si>
  <si>
    <t>4/15/2025 16:02</t>
  </si>
  <si>
    <t>Refund of Transaction ID pi_3RDo1LRxxun8okeS0676Ioq9</t>
  </si>
  <si>
    <t>shuai tong</t>
  </si>
  <si>
    <t>4/15/2025 19:47</t>
  </si>
  <si>
    <t>pi_3RE7xRRxxun8okeS1ldA0Uap</t>
  </si>
  <si>
    <t>4/15/2025 20:58</t>
  </si>
  <si>
    <t>pi_3RE94QRxxun8okeS0tdvD0wx</t>
  </si>
  <si>
    <t>SiHan Lee</t>
  </si>
  <si>
    <t>Serious Ru</t>
  </si>
  <si>
    <t>4/16/2025 0:28</t>
  </si>
  <si>
    <t>pi_3RECKhRxxun8okeS04bg6uY6</t>
  </si>
  <si>
    <t>Hana Zhang</t>
  </si>
  <si>
    <t>4/16/2025 10:05</t>
  </si>
  <si>
    <t>pi_3RELLDRxxun8okeS09b6BtA0</t>
  </si>
  <si>
    <t>4/16/2025 10:26</t>
  </si>
  <si>
    <t>pi_3RELfHRxxun8okeS1ND4WIYI</t>
  </si>
  <si>
    <t>pi_3RELgHRxxun8okeS0Il0CPou</t>
  </si>
  <si>
    <t>Ching Shing Lui</t>
  </si>
  <si>
    <t>4/16/2025 13:58</t>
  </si>
  <si>
    <t>pi_3REOzVRxxun8okeS142L1aqW</t>
  </si>
  <si>
    <t>SHAUNDEREK BYRNE</t>
  </si>
  <si>
    <t>4/16/2025 15:16</t>
  </si>
  <si>
    <t>pi_3REQCjRxxun8okeS0ny2EKje</t>
  </si>
  <si>
    <t>4/16/2025 18:42</t>
  </si>
  <si>
    <t>4/16/2025 18:43</t>
  </si>
  <si>
    <t>71fc7a2f78d77227f771b54bd5fc345d1a057222ce0aaf0feff2330281438dec</t>
  </si>
  <si>
    <t>REV REV</t>
  </si>
  <si>
    <t>4/16/2025 22:33</t>
  </si>
  <si>
    <t>pi_3REWzRRxxun8okeS1afzLW2x</t>
  </si>
  <si>
    <t>4/17/2025 1:05</t>
  </si>
  <si>
    <t>pi_3REZOeRxxun8okeS0dlwVaZz</t>
  </si>
  <si>
    <t>文峰 陈</t>
  </si>
  <si>
    <t>4/17/2025 2:18</t>
  </si>
  <si>
    <t>pi_3REaWrRxxun8okeS08apO2ha</t>
  </si>
  <si>
    <t>Gavin Wang</t>
  </si>
  <si>
    <t>4/17/2025 10:49</t>
  </si>
  <si>
    <t>pi_3REiIiRxxun8okeS0i2rAWxK</t>
  </si>
  <si>
    <t>99ea39c90c80669a9c3af58663c9f58d73c3a653088b4476e6226a4eb898f2f2</t>
  </si>
  <si>
    <t>He Lingtao</t>
  </si>
  <si>
    <t>4/17/2025 14:01</t>
  </si>
  <si>
    <t>pi_3RElUhRxxun8okeS0o7iyy1J</t>
  </si>
  <si>
    <t>4/17/2025 14:56</t>
  </si>
  <si>
    <t>4/17/2025 18:11</t>
  </si>
  <si>
    <t>pi_3REpPZRxxun8okeS1J2TSxCd</t>
  </si>
  <si>
    <t>4/17/2025 19:25</t>
  </si>
  <si>
    <t>pi_3REqZ7Rxxun8okeS0yPRrr6X</t>
  </si>
  <si>
    <t>4/17/2025 20:56</t>
  </si>
  <si>
    <t>pi_3RErwsRxxun8okeS125NrhNs</t>
  </si>
  <si>
    <t>1fe59d99af9aeb1074dbf0a106e96d2ef34792497cee260f881af26623d16c5e</t>
  </si>
  <si>
    <t>4/17/2025 21:29</t>
  </si>
  <si>
    <t>pi_3REsUsRxxun8okeS0pG4fjJH</t>
  </si>
  <si>
    <t>Xiyanyang Sun</t>
  </si>
  <si>
    <t>4/17/2025 23:27</t>
  </si>
  <si>
    <t>pi_3REuL2Rxxun8okeS0WuumMYq</t>
  </si>
  <si>
    <t>PerezPerez Adam</t>
  </si>
  <si>
    <t>d9e5cf3195f3b62280441946839815c5e94e3e92dff1ce16eb22b06fde142a2f</t>
  </si>
  <si>
    <t>沐 张</t>
  </si>
  <si>
    <t>4/18/2025 0:09</t>
  </si>
  <si>
    <t>pi_3REuzXRxxun8okeS1tl3tCDz</t>
  </si>
  <si>
    <t>4/18/2025 9:15</t>
  </si>
  <si>
    <t>pi_3RF3WNRxxun8okeS0hGfoHrV</t>
  </si>
  <si>
    <t>09a71cffd820cfd8248660e7bd8f375f3f9221665fecd19d5163ffbacbf404a7</t>
  </si>
  <si>
    <t>4/18/2025 22:37</t>
  </si>
  <si>
    <t>pi_3RFG2gRxxun8okeS0ZFAjXTU</t>
  </si>
  <si>
    <t>d1979f6310ba9eaf9bf55803efbb50fe32eb2ca6e19ff7bac8b37deff2c7dec7</t>
  </si>
  <si>
    <t>现锋 周</t>
  </si>
  <si>
    <t>4/19/2025 0:13</t>
  </si>
  <si>
    <t>pi_3RFHWxRxxun8okeS1lCzF2d2</t>
  </si>
  <si>
    <t>4/19/2025 0:14</t>
  </si>
  <si>
    <t>fengyang liang</t>
  </si>
  <si>
    <t>4/19/2025 2:14</t>
  </si>
  <si>
    <t>pi_3RFJQIRxxun8okeS0yq5xbtX</t>
  </si>
  <si>
    <t>4/19/2025 3:47</t>
  </si>
  <si>
    <t>pi_3RFKraRxxun8okeS1ESgvDq2</t>
  </si>
  <si>
    <t>4/19/2025 4:46</t>
  </si>
  <si>
    <t>pi_3RFLmrRxxun8okeS1vWOAcIA</t>
  </si>
  <si>
    <t>4/19/2025 5:56</t>
  </si>
  <si>
    <t>pi_3RFMshRxxun8okeS1rdOZUjL</t>
  </si>
  <si>
    <t>4/19/2025 11:24</t>
  </si>
  <si>
    <t>坚伟 姚</t>
  </si>
  <si>
    <t>4/19/2025 17:14</t>
  </si>
  <si>
    <t>pi_3RFXSuRxxun8okeS0sLRkiqp</t>
  </si>
  <si>
    <t>suisei hoshimachi</t>
  </si>
  <si>
    <t>4/19/2025 20:31</t>
  </si>
  <si>
    <t>pi_3RFaXBRxxun8okeS0T1gaQG6</t>
  </si>
  <si>
    <t>4/20/2025 11:34</t>
  </si>
  <si>
    <t>pi_3RFodbRxxun8okeS0KeFAZVf</t>
  </si>
  <si>
    <t>Y Y</t>
  </si>
  <si>
    <t>4/20/2025 19:27</t>
  </si>
  <si>
    <t>pi_3RFw0NRxxun8okeS0HHzFUbG</t>
  </si>
  <si>
    <t>lucas tyn</t>
  </si>
  <si>
    <t>4/20/2025 22:35</t>
  </si>
  <si>
    <t>hgg NN</t>
  </si>
  <si>
    <t>4/21/2025 0:03</t>
  </si>
  <si>
    <t>pi_3RG0JlRxxun8okeS1sl4CFuW</t>
  </si>
  <si>
    <t>4/21/2025 3:20</t>
  </si>
  <si>
    <t>pi_3RG3OhRxxun8okeS0vpvVSim</t>
  </si>
  <si>
    <t>4/21/2025 9:15</t>
  </si>
  <si>
    <t>pi_3RG8wmRxxun8okeS0VIrx7Wv</t>
  </si>
  <si>
    <t>4/21/2025 10:01</t>
  </si>
  <si>
    <t>pi_3RG9f0Rxxun8okeS1uc2GZV6</t>
  </si>
  <si>
    <t>4/21/2025 10:58</t>
  </si>
  <si>
    <t>4/21/2025 11:10</t>
  </si>
  <si>
    <t>Refund of Transaction ID 9UG74009MJ814782V</t>
  </si>
  <si>
    <t>Ha sum</t>
  </si>
  <si>
    <t>4efcf0395fc4dc316ff3e79125a06e002dc7980495d37611c6383aa1547db1c5</t>
  </si>
  <si>
    <t>jasmine young</t>
  </si>
  <si>
    <t>4/21/2025 17:30</t>
  </si>
  <si>
    <t>pi_3RGGfzRxxun8okeS0FataClT</t>
  </si>
  <si>
    <t>4/21/2025 18:47</t>
  </si>
  <si>
    <t>4/21/2025 18:49</t>
  </si>
  <si>
    <t>pi_3RGHuHRxxun8okeS1wYSkJWq</t>
  </si>
  <si>
    <t>4/22/2025 10:21</t>
  </si>
  <si>
    <t>pi_3RGWRdRxxun8okeS1MXimJ0x</t>
  </si>
  <si>
    <t>Kai Yang</t>
  </si>
  <si>
    <t>4/22/2025 11:15</t>
  </si>
  <si>
    <t>pi_3RGXIkRxxun8okeS1hko0aEU</t>
  </si>
  <si>
    <t>MrShrimp .</t>
  </si>
  <si>
    <t>4/22/2025 14:03</t>
  </si>
  <si>
    <t>善 本</t>
  </si>
  <si>
    <t>4/22/2025 14:59</t>
  </si>
  <si>
    <t>pi_3RGanlRxxun8okeS1wHLoDMU</t>
  </si>
  <si>
    <t>yeye La</t>
  </si>
  <si>
    <t>4/22/2025 17:31</t>
  </si>
  <si>
    <t>pi_3RGdAJRxxun8okeS0ux342Rk</t>
  </si>
  <si>
    <t>qiao duan</t>
  </si>
  <si>
    <t>4/23/2025 5:53</t>
  </si>
  <si>
    <t>pi_3RGoIWRxxun8okeS1Zu6a0vx</t>
  </si>
  <si>
    <t>有雲 王</t>
  </si>
  <si>
    <t>4/23/2025 5:59</t>
  </si>
  <si>
    <t>4/23/2025 7:34</t>
  </si>
  <si>
    <t>pi_3RGqJlRxxun8okeS0B8HfG7n</t>
  </si>
  <si>
    <t>4/23/2025 11:14</t>
  </si>
  <si>
    <t>pi_3RGtl1Rxxun8okeS0UVOtOWW</t>
  </si>
  <si>
    <t>hao lio</t>
  </si>
  <si>
    <t>4/23/2025 11:24</t>
  </si>
  <si>
    <t>pi_3RGtutRxxun8okeS0uQBAZ58</t>
  </si>
  <si>
    <t>yo yo</t>
  </si>
  <si>
    <t>4/23/2025 11:32</t>
  </si>
  <si>
    <t>pi_3RGu2nRxxun8okeS0FCqiGz4</t>
  </si>
  <si>
    <t>4/23/2025 12:34</t>
  </si>
  <si>
    <t>pi_3RGuyRRxxun8okeS0CqRRK9b</t>
  </si>
  <si>
    <t>wang yitong</t>
  </si>
  <si>
    <t>4/23/2025 16:55</t>
  </si>
  <si>
    <t>pi_3RGz4dRxxun8okeS1IRTj4W3</t>
  </si>
  <si>
    <t>Brown Dan</t>
  </si>
  <si>
    <t>4/23/2025 21:10</t>
  </si>
  <si>
    <t>pi_3RH33NRxxun8okeS04XS8rLr</t>
  </si>
  <si>
    <t>Deep Seek</t>
  </si>
  <si>
    <t>4/23/2025 21:35</t>
  </si>
  <si>
    <t>pi_3RH3RpRxxun8okeS1qbLArPk</t>
  </si>
  <si>
    <t>Xie Blom</t>
  </si>
  <si>
    <t>4/24/2025 1:05</t>
  </si>
  <si>
    <t>pi_3RH6j5Rxxun8okeS0X9tAniL</t>
  </si>
  <si>
    <t>快 快</t>
  </si>
  <si>
    <t>4/24/2025 9:26</t>
  </si>
  <si>
    <t>pi_3RHEXDRxxun8okeS06onTq14</t>
  </si>
  <si>
    <t>4/25/2025 2:47</t>
  </si>
  <si>
    <t>pi_3RHUnPRxxun8okeS1B5OqE83</t>
  </si>
  <si>
    <t>4/25/2025 10:19</t>
  </si>
  <si>
    <t>pi_3RHboIRxxun8okeS0c0mPO5T</t>
  </si>
  <si>
    <t>4/25/2025 13:07</t>
  </si>
  <si>
    <t>pi_3RHeTGRxxun8okeS08Ol3wus</t>
  </si>
  <si>
    <t>4/25/2025 13:08</t>
  </si>
  <si>
    <t>pi_3RHeUBRxxun8okeS0H9T8F1A</t>
  </si>
  <si>
    <t>4/25/2025 13:35</t>
  </si>
  <si>
    <t>Refund of Transaction ID pi_3RGu2nRxxun8okeS0FCqiGz4</t>
  </si>
  <si>
    <t>4/25/2025 15:12</t>
  </si>
  <si>
    <t>pi_3RHgQJRxxun8okeS0HLE5nhy</t>
  </si>
  <si>
    <t>4/25/2025 15:13</t>
  </si>
  <si>
    <t>pi_3RHgR4Rxxun8okeS1eJhozsO</t>
  </si>
  <si>
    <t>sam sam</t>
  </si>
  <si>
    <t>4/25/2025 18:48</t>
  </si>
  <si>
    <t>pi_3RHjnBRxxun8okeS1KWVIbDP</t>
  </si>
  <si>
    <t>Jang Tom</t>
  </si>
  <si>
    <t>4/25/2025 23:48</t>
  </si>
  <si>
    <t>pi_3RHoU4Rxxun8okeS0zDwVgpT</t>
  </si>
  <si>
    <t>soao gbim</t>
  </si>
  <si>
    <t>baddecf1940f6f4b24cda46532a1128b97fe3a34ec5c48545eeb741a879ddbc3</t>
  </si>
  <si>
    <t>Lisa Rogers</t>
  </si>
  <si>
    <t>4/26/2025 4:13</t>
  </si>
  <si>
    <t>pi_3RHscvRxxun8okeS1pc4svAS</t>
  </si>
  <si>
    <t>john smith</t>
  </si>
  <si>
    <t>4/26/2025 7:32</t>
  </si>
  <si>
    <t>pi_3RHvibRxxun8okeS13o79qiV</t>
  </si>
  <si>
    <t>HU MR.</t>
  </si>
  <si>
    <t>4/26/2025 16:18</t>
  </si>
  <si>
    <t>pi_3RI3vxRxxun8okeS11TnWJ2x</t>
  </si>
  <si>
    <t>3ae9dd8e86c7ff785788a58249766cd85b01479d5eff130ff17d6f279da33046</t>
  </si>
  <si>
    <t>4/27/2025 11:21</t>
  </si>
  <si>
    <t>4/27/2025 12:23</t>
  </si>
  <si>
    <t>4/27/2025 14:52</t>
  </si>
  <si>
    <t>pi_3RIP3nRxxun8okeS0t7vc84f</t>
  </si>
  <si>
    <t>4/27/2025 15:08</t>
  </si>
  <si>
    <t>4/27/2025 15:09</t>
  </si>
  <si>
    <t>4/27/2025 19:27</t>
  </si>
  <si>
    <t>pi_3RITM5Rxxun8okeS0zCJqDD9</t>
  </si>
  <si>
    <t>jeremy wang</t>
  </si>
  <si>
    <t>4/27/2025 21:44</t>
  </si>
  <si>
    <t>pi_3RIVUaRxxun8okeS0P4i95uk</t>
  </si>
  <si>
    <t>4/27/2025 23:56</t>
  </si>
  <si>
    <t>4/28/2025 1:21</t>
  </si>
  <si>
    <t>pi_3RIYsgRxxun8okeS1v4SyeYc</t>
  </si>
  <si>
    <t>4/28/2025 11:14</t>
  </si>
  <si>
    <t>pi_3RIi9FRxxun8okeS1hBjJZuR</t>
  </si>
  <si>
    <t>开心 锤锤</t>
  </si>
  <si>
    <t>4/28/2025 20:55</t>
  </si>
  <si>
    <t>pi_3RIrCnRxxun8okeS0MyyRSqP</t>
  </si>
  <si>
    <t>4/28/2025 21:25</t>
  </si>
  <si>
    <t>pi_3RIrg9Rxxun8okeS1gTWtqjm</t>
  </si>
  <si>
    <t>Clippinger Oldsmobile</t>
  </si>
  <si>
    <t>YA LU</t>
  </si>
  <si>
    <t>4/28/2025 23:15</t>
  </si>
  <si>
    <t>pi_3RItOBRxxun8okeS00F4kTXB</t>
  </si>
  <si>
    <t>1406d8e360bdadd3e31d716d6299d7b167a0cd030b8e69efa3a079f360b36359</t>
  </si>
  <si>
    <t>Geek Cyber</t>
  </si>
  <si>
    <t>4/29/2025 8:30</t>
  </si>
  <si>
    <t>pi_3RJ23wRxxun8okeS1PLMaxdO</t>
  </si>
  <si>
    <t>sky lee</t>
  </si>
  <si>
    <t>4/29/2025 8:39</t>
  </si>
  <si>
    <t>pi_3RJ2CARxxun8okeS0NDxQd9L</t>
  </si>
  <si>
    <t>4/29/2025 12:26</t>
  </si>
  <si>
    <t>pi_3RJ5k0Rxxun8okeS0X3Qi3sg</t>
  </si>
  <si>
    <t>4/29/2025 12:35</t>
  </si>
  <si>
    <t>pi_3RJ5rJRxxun8okeS1oaLP9wz</t>
  </si>
  <si>
    <t>hn ay</t>
  </si>
  <si>
    <t>4/29/2025 16:16</t>
  </si>
  <si>
    <t>pi_3RJ9K9Rxxun8okeS1phCpYxp</t>
  </si>
  <si>
    <t>Peck Bernard</t>
  </si>
  <si>
    <t>4/29/2025 16:40</t>
  </si>
  <si>
    <t>pi_3RJ9hrRxxun8okeS1QRBhT25</t>
  </si>
  <si>
    <t>4/29/2025 22:40</t>
  </si>
  <si>
    <t>pi_3RJFKhRxxun8okeS00Szhq6y</t>
  </si>
  <si>
    <t>4/30/2025 0:09</t>
  </si>
  <si>
    <t>pi_3RJGiCRxxun8okeS18vcKxn3</t>
  </si>
  <si>
    <t>4/30/2025 0:10</t>
  </si>
  <si>
    <t>pi_3RJGj3Rxxun8okeS0GbQbJPZ</t>
  </si>
  <si>
    <t>4/30/2025 10:53</t>
  </si>
  <si>
    <t>Panda ZPanda</t>
  </si>
  <si>
    <t>pi_3RJnTCRxxun8okeS1DrQq9cs</t>
  </si>
  <si>
    <t>pi_3RJqusRxxun8okeS1ex4Jw8E</t>
  </si>
  <si>
    <t>pi_3RK8MwRxxun8okeS05jOLiOD</t>
  </si>
  <si>
    <t>hhh aaa</t>
  </si>
  <si>
    <t>pi_3RK8PARxxun8okeS14zXxbKe</t>
  </si>
  <si>
    <t>pi_3RK8zfRxxun8okeS0SaC46zR</t>
  </si>
  <si>
    <t>pi_3RKD67Rxxun8okeS1h8I2egJ</t>
  </si>
  <si>
    <t>pi_3RKJlgRxxun8okeS1BJbsDXq</t>
  </si>
  <si>
    <t>pi_3RKL35Rxxun8okeS1uMJeUDe</t>
  </si>
  <si>
    <t>看海 了吗</t>
  </si>
  <si>
    <t>pi_3RKabORxxun8okeS1x1634zy</t>
  </si>
  <si>
    <t>69629bfe957cbdb15a1eccdbd67aeca4a351a6c8a38350e048d94bd771febfac</t>
  </si>
  <si>
    <t>Chris Wylie</t>
  </si>
  <si>
    <t>pi_3RKd53Rxxun8okeS1cTt9PQ0</t>
  </si>
  <si>
    <t>w w</t>
  </si>
  <si>
    <t>99bec5a3a962ea93cbd94418f74af41d760885b7ae02430ee6b4731ca3d42693</t>
  </si>
  <si>
    <t>pi_3RKjBCRxxun8okeS0yedmX06</t>
  </si>
  <si>
    <t>pi_3RKz2vRxxun8okeS0yW3Hukv</t>
  </si>
  <si>
    <t>pi_3RKzAFRxxun8okeS0hAPoHAw</t>
  </si>
  <si>
    <t>c64c372ba998e182c87a30f73185f0b68a592cbfbbacaa0e4a929011d934b351</t>
  </si>
  <si>
    <t>zizi chen</t>
  </si>
  <si>
    <t>pi_3RL53fRxxun8okeS0TmpCINt</t>
  </si>
  <si>
    <t>Philip M. Arroyo</t>
  </si>
  <si>
    <t>pi_3RL6FrRxxun8okeS1H5c0l8f</t>
  </si>
  <si>
    <t>z z</t>
  </si>
  <si>
    <t>pi_3RLAOCRxxun8okeS16G7wlwn</t>
  </si>
  <si>
    <t>枫灵 史</t>
  </si>
  <si>
    <t>pi_3RLDhaRxxun8okeS0XxrRY9R</t>
  </si>
  <si>
    <t>pi_3RLG4dRxxun8okeS11qu9uFm</t>
  </si>
  <si>
    <t>pi_3RLGCCRxxun8okeS11Gwa295</t>
  </si>
  <si>
    <t>65d1adb494cf30b005734c3637352f78f7a41cada03ddaae535c81ead5f3ec9b</t>
  </si>
  <si>
    <t>847b39c519a85e41a0e753a1f09f4d99355f4957ac566ecbd25f07e0fcfaf5e9</t>
  </si>
  <si>
    <t>潘 信廷</t>
  </si>
  <si>
    <t>pi_3RLarKRxxun8okeS0NlK5u7e</t>
  </si>
  <si>
    <t>pi_3RLbwKRxxun8okeS0P8xL7QF</t>
  </si>
  <si>
    <t>pi_3RLibpRxxun8okeS0lffE2Pe</t>
  </si>
  <si>
    <t>pi_3RLidCRxxun8okeS1d7Vz2np</t>
  </si>
  <si>
    <t>pi_3RLidxRxxun8okeS1fja6G6b</t>
  </si>
  <si>
    <t>pi_3RLieoRxxun8okeS1Jpxp3eE</t>
  </si>
  <si>
    <t>pi_3RLim8Rxxun8okeS0AKnAHQm</t>
  </si>
  <si>
    <t>pi_3RLjIbRxxun8okeS0DgXsNp9</t>
  </si>
  <si>
    <t>pi_3RLlGQRxxun8okeS1GbjOWIu</t>
  </si>
  <si>
    <t>pi_3RLmuhRxxun8okeS1u3raG8O</t>
  </si>
  <si>
    <t>pi_3RLn8NRxxun8okeS02NGs3Pd</t>
  </si>
  <si>
    <t>cloud soar</t>
  </si>
  <si>
    <t>pi_3RM1YkRxxun8okeS06380SAk</t>
  </si>
  <si>
    <t>pi_3RM1xORxxun8okeS0oOG9K0h</t>
  </si>
  <si>
    <t>CHEN Karen E Wiley</t>
  </si>
  <si>
    <t>pi_3RM3pmRxxun8okeS0qEwKvxe</t>
  </si>
  <si>
    <t>bruce damen</t>
  </si>
  <si>
    <t>pi_3RM7i2Rxxun8okeS14iIH1DN</t>
  </si>
  <si>
    <t>pi_3RMAbaRxxun8okeS1YwUPdh6</t>
  </si>
  <si>
    <t>gray grubbs</t>
  </si>
  <si>
    <t>Jason h</t>
  </si>
  <si>
    <t>pi_3RMOFnRxxun8okeS0usKd4lu</t>
  </si>
  <si>
    <t>飞 王</t>
  </si>
  <si>
    <t>pi_3RMUiJRxxun8okeS0mKondW1</t>
  </si>
  <si>
    <t>pi_3RMUkIRxxun8okeS0F99FFYZ</t>
  </si>
  <si>
    <t>pi_3RMVI8Rxxun8okeS0TdoR2Sk</t>
  </si>
  <si>
    <t>pi_3RMrUTRxxun8okeS17GJYyuq</t>
  </si>
  <si>
    <t>YUN ZHONG</t>
  </si>
  <si>
    <t>pi_3RMsniRxxun8okeS0uElzQ7y</t>
  </si>
  <si>
    <t>pi_3RMt7NRxxun8okeS0hjfWKIn</t>
  </si>
  <si>
    <t>ainet wo</t>
  </si>
  <si>
    <t>pi_3RN1LHRxxun8okeS0tfQZfGD</t>
  </si>
  <si>
    <t>pi_3RN1hZRxxun8okeS1P93i6Xv</t>
  </si>
  <si>
    <t>liu ye</t>
  </si>
  <si>
    <t>pi_3RN2cRRxxun8okeS1kKTnvQV</t>
  </si>
  <si>
    <t>pi_3RNCWBRxxun8okeS0zsHSTUR</t>
  </si>
  <si>
    <t>Jin Jin</t>
  </si>
  <si>
    <t>pi_3RND16Rxxun8okeS1liTo2Sr</t>
  </si>
  <si>
    <t>Nian797 Yan</t>
  </si>
  <si>
    <t>7b811bd6b801eefc7c975df467c6c1b990948f47fe70dd25348477fe480268ae</t>
  </si>
  <si>
    <t>pi_3RNPMgRxxun8okeS186wk9Xq</t>
  </si>
  <si>
    <t>pi_3RNQUqRxxun8okeS0VWRJXDy</t>
  </si>
  <si>
    <t>pi_3RNRnaRxxun8okeS1nQ8gdvR</t>
  </si>
  <si>
    <t>Yang Huang</t>
  </si>
  <si>
    <t>pi_3RNW4hRxxun8okeS1gfEyckK</t>
  </si>
  <si>
    <t>qiya he</t>
  </si>
  <si>
    <t>pi_3RNbVqRxxun8okeS0XZAuirj</t>
  </si>
  <si>
    <t>yu moon</t>
  </si>
  <si>
    <t>pi_3RNmSTRxxun8okeS1sabESdB</t>
  </si>
  <si>
    <t>Stephen Jccsion</t>
  </si>
  <si>
    <t>pi_3RNrYaRxxun8okeS0Op9NBR1</t>
  </si>
  <si>
    <t>Peter Wong</t>
  </si>
  <si>
    <t>pi_3RNtXfRxxun8okeS1oz5vG4p</t>
  </si>
  <si>
    <t>pi_3RNtg4Rxxun8okeS1KVhCX25</t>
  </si>
  <si>
    <t>xhj x</t>
  </si>
  <si>
    <t>pi_3RNuyWRxxun8okeS0fLDZFpK</t>
  </si>
  <si>
    <t>MaiKer Fru</t>
  </si>
  <si>
    <t>pi_3RNvBERxxun8okeS1QuwXRTF</t>
  </si>
  <si>
    <t>5/13/2025 1:38</t>
  </si>
  <si>
    <t>49da60017b28fd5e7f38544a8a03266116fa428dd23187abdf7a424eb535951d</t>
  </si>
  <si>
    <t>Qiang Xu</t>
  </si>
  <si>
    <t>5/13/2025 15:30</t>
  </si>
  <si>
    <t>pi_3RODHdRxxun8okeS0iHVj5XQ</t>
  </si>
  <si>
    <t>5/13/2025 20:37</t>
  </si>
  <si>
    <t>pi_3ROI4VRxxun8okeS1GIT4bn1</t>
  </si>
  <si>
    <t>5/14/2025 10:00</t>
  </si>
  <si>
    <t>pi_3ROUbfRxxun8okeS1627KZbr</t>
  </si>
  <si>
    <t>于晏 彭</t>
  </si>
  <si>
    <t>5/14/2025 10:40</t>
  </si>
  <si>
    <t>pi_3ROVEDRxxun8okeS0gAsZlLF</t>
  </si>
  <si>
    <t>xin S</t>
  </si>
  <si>
    <t>5/14/2025 12:52</t>
  </si>
  <si>
    <t>pi_3ROXIVRxxun8okeS1dNkMJqu</t>
  </si>
  <si>
    <t>5/14/2025 13:06</t>
  </si>
  <si>
    <t>pi_3ROXVrRxxun8okeS1uOKAnG8</t>
  </si>
  <si>
    <t>5/14/2025 17:04</t>
  </si>
  <si>
    <t>Karl Tan</t>
  </si>
  <si>
    <t>5/14/2025 17:11</t>
  </si>
  <si>
    <t>pi_3RObLGRxxun8okeS1fbnTD7p</t>
  </si>
  <si>
    <t>5/14/2025 19:57</t>
  </si>
  <si>
    <t>pi_3ROdw7Rxxun8okeS0V0sxYpC</t>
  </si>
  <si>
    <t>5/14/2025 20:10</t>
  </si>
  <si>
    <t>sam seah</t>
  </si>
  <si>
    <t>5/14/2025 21:22</t>
  </si>
  <si>
    <t>pi_3ROfDgRxxun8okeS1TaFRjGh</t>
  </si>
  <si>
    <t>5/14/2025 23:15</t>
  </si>
  <si>
    <t>Kevin S</t>
  </si>
  <si>
    <t>5/14/2025 23:45</t>
  </si>
  <si>
    <t>pi_3ROhU5Rxxun8okeS0jT4oKlo</t>
  </si>
  <si>
    <t>hq l</t>
  </si>
  <si>
    <t>5/14/2025 23:52</t>
  </si>
  <si>
    <t>pi_3ROhaiRxxun8okeS01GP0ew5</t>
  </si>
  <si>
    <t>5/15/2025 9:59</t>
  </si>
  <si>
    <t>pi_3ROr4ERxxun8okeS1rne2VR8</t>
  </si>
  <si>
    <t>Tyler Francois</t>
  </si>
  <si>
    <t>5/15/2025 11:37</t>
  </si>
  <si>
    <t>pi_3ROsahRxxun8okeS1LzKyrMP</t>
  </si>
  <si>
    <t>5/15/2025 11:41</t>
  </si>
  <si>
    <t>七 三</t>
  </si>
  <si>
    <t>5/15/2025 15:18</t>
  </si>
  <si>
    <t>pi_3ROw2ZRxxun8okeS0l0qVdKG</t>
  </si>
  <si>
    <t>5/15/2025 19:26</t>
  </si>
  <si>
    <t>5/15/2025 22:53</t>
  </si>
  <si>
    <t>pi_3RP39vRxxun8okeS1M6JtzqZ</t>
  </si>
  <si>
    <t>5/16/2025 0:54</t>
  </si>
  <si>
    <t>pi_3RP52wRxxun8okeS0RNypAEp</t>
  </si>
  <si>
    <t>5/16/2025 5:39</t>
  </si>
  <si>
    <t>pi_3RP9TURxxun8okeS0fqhoYwm</t>
  </si>
  <si>
    <t>5/16/2025 18:50</t>
  </si>
  <si>
    <t>5/16/2025 22:01</t>
  </si>
  <si>
    <t>pi_3RPOojRxxun8okeS1EvLVUDk</t>
  </si>
  <si>
    <t>5/16/2025 23:59</t>
  </si>
  <si>
    <t>steve kaven</t>
  </si>
  <si>
    <t>5/17/2025 7:04</t>
  </si>
  <si>
    <t>3356c3b140c3b0d0e3c96440eaf02e18ebbfcf5d4754e8c3f5aa66b637a1e5ad</t>
  </si>
  <si>
    <t>5/17/2025 9:12</t>
  </si>
  <si>
    <t>pi_3RPZI1Rxxun8okeS03GovqS3</t>
  </si>
  <si>
    <t>Chenqian Wang</t>
  </si>
  <si>
    <t>5/17/2025 9:50</t>
  </si>
  <si>
    <t>pi_3RPZsxRxxun8okeS1xw2NyNd</t>
  </si>
  <si>
    <t>Barry Allen</t>
  </si>
  <si>
    <t>5/17/2025 11:46</t>
  </si>
  <si>
    <t>pi_3RPbh5Rxxun8okeS046q7KyP</t>
  </si>
  <si>
    <t>5/17/2025 15:19</t>
  </si>
  <si>
    <t>37047ae296492537880a8128d496231e8c67d2699b4f06dccca7990c45bbcc1c</t>
  </si>
  <si>
    <t>5/17/2025 18:23</t>
  </si>
  <si>
    <t>5/18/2025 5:31</t>
  </si>
  <si>
    <t>pi_3RPsK6Rxxun8okeS0w4qgTNX</t>
  </si>
  <si>
    <t>5/18/2025 13:42</t>
  </si>
  <si>
    <t>5/18/2025 15:03</t>
  </si>
  <si>
    <t>pi_3RQ1EiRxxun8okeS1CBNujKw</t>
  </si>
  <si>
    <t>os car</t>
  </si>
  <si>
    <t>5/18/2025 19:10</t>
  </si>
  <si>
    <t>pi_3RQ56gRxxun8okeS0EWHbnJW</t>
  </si>
  <si>
    <t>Checo Tom</t>
  </si>
  <si>
    <t>5/18/2025 22:55</t>
  </si>
  <si>
    <t>pi_3RQ8bbRxxun8okeS0Nz2KDuk</t>
  </si>
  <si>
    <t>EN R</t>
  </si>
  <si>
    <t>5/18/2025 23:39</t>
  </si>
  <si>
    <t>pi_3RQ9IDRxxun8okeS0YBY46vn</t>
  </si>
  <si>
    <t>5/19/2025 2:07</t>
  </si>
  <si>
    <t>pi_3RQBcVRxxun8okeS1QqihXvJ</t>
  </si>
  <si>
    <t>5/19/2025 10:51</t>
  </si>
  <si>
    <t>pi_3RQJmvRxxun8okeS0Nj2eP6a</t>
  </si>
  <si>
    <t>puca griffin</t>
  </si>
  <si>
    <t>5/19/2025 11:13</t>
  </si>
  <si>
    <t>pi_3RQK8WRxxun8okeS1XwlN42i</t>
  </si>
  <si>
    <t>Marva Ryles</t>
  </si>
  <si>
    <t>5/19/2025 18:11</t>
  </si>
  <si>
    <t>pi_3RQQeWRxxun8okeS02hYLhrw</t>
  </si>
  <si>
    <t>niihost hinet</t>
  </si>
  <si>
    <t>5/19/2025 19:45</t>
  </si>
  <si>
    <t>pi_3RQS81Rxxun8okeS1GQu6d5j</t>
  </si>
  <si>
    <t>5/19/2025 23:22</t>
  </si>
  <si>
    <t>pi_3RQVVwRxxun8okeS0YImIlMu</t>
  </si>
  <si>
    <t>5/19/2025 23:23</t>
  </si>
  <si>
    <t>pi_3RQVXKRxxun8okeS1l5MnRf8</t>
  </si>
  <si>
    <t>5/19/2025 23:41</t>
  </si>
  <si>
    <t>pi_3RQVo8Rxxun8okeS0q5rgKm4</t>
  </si>
  <si>
    <t>Haoran Meng</t>
  </si>
  <si>
    <t>5/20/2025 0:06</t>
  </si>
  <si>
    <t>pi_3RQWBdRxxun8okeS0qWyEhPN</t>
  </si>
  <si>
    <t>Peter Wang</t>
  </si>
  <si>
    <t>5/20/2025 0:16</t>
  </si>
  <si>
    <t>zhou li</t>
  </si>
  <si>
    <t>5/20/2025 10:15</t>
  </si>
  <si>
    <t>pi_3RQfg3Rxxun8okeS1n3mhJ8L</t>
  </si>
  <si>
    <t>5/20/2025 17:03</t>
  </si>
  <si>
    <t>pi_3RQm4PRxxun8okeS1FWPGUVK</t>
  </si>
  <si>
    <t>5/20/2025 19:17</t>
  </si>
  <si>
    <t>5/20/2025 19:45</t>
  </si>
  <si>
    <t>强 陈</t>
  </si>
  <si>
    <t>5/20/2025 20:14</t>
  </si>
  <si>
    <t>pi_3RQp40Rxxun8okeS0nUIh09f</t>
  </si>
  <si>
    <t>5/20/2025 21:30</t>
  </si>
  <si>
    <t>pi_3RQqFIRxxun8okeS0LZF4001</t>
  </si>
  <si>
    <t>Weil Camp</t>
  </si>
  <si>
    <t>5/20/2025 21:35</t>
  </si>
  <si>
    <t>2d13308e3f605da23fc49b4330441d1ee8b1131d9488b38cd3bf99e812e1c2bb</t>
  </si>
  <si>
    <t>zhao deng</t>
  </si>
  <si>
    <t>5/21/2025 9:27</t>
  </si>
  <si>
    <t>pi_3RR1PzRxxun8okeS1Yfo3aS9</t>
  </si>
  <si>
    <t>5/21/2025 10:16</t>
  </si>
  <si>
    <t>pi_3RR2CaRxxun8okeS1TvuYySi</t>
  </si>
  <si>
    <t>王咸亨 汉</t>
  </si>
  <si>
    <t>5/21/2025 11:14</t>
  </si>
  <si>
    <t>pi_3RR35jRxxun8okeS1JHVwNtT</t>
  </si>
  <si>
    <t>之痕 水</t>
  </si>
  <si>
    <t>5/21/2025 13:46</t>
  </si>
  <si>
    <t>pi_3RR5TKRxxun8okeS0vnRLzg6</t>
  </si>
  <si>
    <t>5/21/2025 18:24</t>
  </si>
  <si>
    <t>5/21/2025 21:22</t>
  </si>
  <si>
    <t>pi_3RRCaBRxxun8okeS0ArKPhR0</t>
  </si>
  <si>
    <t>Lionel Wick</t>
  </si>
  <si>
    <t>5/21/2025 21:30</t>
  </si>
  <si>
    <t>pi_3RRCirRxxun8okeS0EKsLKh8</t>
  </si>
  <si>
    <t>5/22/2025 9:49</t>
  </si>
  <si>
    <t>5/22/2025 12:58</t>
  </si>
  <si>
    <t>pi_3RRRCuRxxun8okeS0kpFDTWN</t>
  </si>
  <si>
    <t>5/22/2025 13:57</t>
  </si>
  <si>
    <t>Vincent Lv</t>
  </si>
  <si>
    <t>5/22/2025 14:02</t>
  </si>
  <si>
    <t>pi_3RRSCURxxun8okeS1UUC2H3F</t>
  </si>
  <si>
    <t>5/22/2025 14:06</t>
  </si>
  <si>
    <t>44224d8e81ac5b88ab3cc168cfe841ba268b1e3d12f44384f3ad558b15b67d4b</t>
  </si>
  <si>
    <t>shaowei sun</t>
  </si>
  <si>
    <t>5/22/2025 19:24</t>
  </si>
  <si>
    <t>pi_3RRXCMRxxun8okeS1Y0h06H6</t>
  </si>
  <si>
    <t>5/22/2025 22:53</t>
  </si>
  <si>
    <t>Mark Fedor</t>
  </si>
  <si>
    <t>5/23/2025 0:22</t>
  </si>
  <si>
    <t>pi_3RRbsLRxxun8okeS0qDzAoHI</t>
  </si>
  <si>
    <t>5/23/2025 9:36</t>
  </si>
  <si>
    <t>pi_3RRkX8Rxxun8okeS1BpLs83p</t>
  </si>
  <si>
    <t>5/23/2025 10:37</t>
  </si>
  <si>
    <t>pi_3RRlTCRxxun8okeS0X8elP4e</t>
  </si>
  <si>
    <t>5/23/2025 11:23</t>
  </si>
  <si>
    <t>pi_3RRmC1Rxxun8okeS0MVU3EpL</t>
  </si>
  <si>
    <t>Samur Abusweileim</t>
  </si>
  <si>
    <t>5/24/2025 12:22</t>
  </si>
  <si>
    <t>5/24/2025 13:16</t>
  </si>
  <si>
    <t>pi_3RSARFRxxun8okeS0q4At35M</t>
  </si>
  <si>
    <t>5/24/2025 13:20</t>
  </si>
  <si>
    <t>5/24/2025 15:37</t>
  </si>
  <si>
    <t>pi_3RSCd1Rxxun8okeS0En2s0gm</t>
  </si>
  <si>
    <t>kou zl</t>
  </si>
  <si>
    <t>5/24/2025 17:58</t>
  </si>
  <si>
    <t>pi_3RSEpYRxxun8okeS0VcC2F0K</t>
  </si>
  <si>
    <t>5/24/2025 18:05</t>
  </si>
  <si>
    <t>pi_3RSEwyRxxun8okeS1DOOB5Bu</t>
  </si>
  <si>
    <t>耀威 彭</t>
  </si>
  <si>
    <t>5/24/2025 18:19</t>
  </si>
  <si>
    <t>pi_3RSFAuRxxun8okeS1nVSsVff</t>
  </si>
  <si>
    <t>5/24/2025 21:52</t>
  </si>
  <si>
    <t>pi_3RSIUNRxxun8okeS1x3ZYIhy</t>
  </si>
  <si>
    <t>Mason Xiong</t>
  </si>
  <si>
    <t>5/24/2025 22:29</t>
  </si>
  <si>
    <t>deng deng</t>
  </si>
  <si>
    <t>5/25/2025 1:13</t>
  </si>
  <si>
    <t>pi_3RSLdJRxxun8okeS1HiygRIa</t>
  </si>
  <si>
    <t>5/25/2025 1:14</t>
  </si>
  <si>
    <t>Zen Chen</t>
  </si>
  <si>
    <t>5/25/2025 11:14</t>
  </si>
  <si>
    <t>pi_3RSUznRxxun8okeS0dZDYEiJ</t>
  </si>
  <si>
    <t>harry wang</t>
  </si>
  <si>
    <t>5/25/2025 13:01</t>
  </si>
  <si>
    <t>pi_3RSWYURxxun8okeS17Ng1ZtO</t>
  </si>
  <si>
    <t>5/25/2025 16:06</t>
  </si>
  <si>
    <t>pi_3RSZYrRxxun8okeS0rufnR1y</t>
  </si>
  <si>
    <t>5/26/2025 9:08</t>
  </si>
  <si>
    <t>pi_3RSpW4Rxxun8okeS19WisGH0</t>
  </si>
  <si>
    <t>5/26/2025 18:37</t>
  </si>
  <si>
    <t>刘涛 刘</t>
  </si>
  <si>
    <t>5/26/2025 21:46</t>
  </si>
  <si>
    <t>pi_3RT1LIRxxun8okeS0CtWkiO4</t>
  </si>
  <si>
    <t>5/27/2025 10:17</t>
  </si>
  <si>
    <t>pi_3RTD56Rxxun8okeS006jRN6l</t>
  </si>
  <si>
    <t>5/27/2025 10:48</t>
  </si>
  <si>
    <t>pi_3RTDYkRxxun8okeS0Ghbd51i</t>
  </si>
  <si>
    <t>5/27/2025 15:50</t>
  </si>
  <si>
    <t>pi_3RTIFfRxxun8okeS0IEMuY7F</t>
  </si>
  <si>
    <t>5/27/2025 15:56</t>
  </si>
  <si>
    <t>5/27/2025 17:37</t>
  </si>
  <si>
    <t>pi_3RTJvmRxxun8okeS1h9LoSzb</t>
  </si>
  <si>
    <t>Jam MAN</t>
  </si>
  <si>
    <t>5/27/2025 17:43</t>
  </si>
  <si>
    <t>5/27/2025 18:38</t>
  </si>
  <si>
    <t>pi_3RTKshRxxun8okeS1zPFFGfH</t>
  </si>
  <si>
    <t>5/27/2025 19:23</t>
  </si>
  <si>
    <t>pi_3RTLbLRxxun8okeS1OBYES89</t>
  </si>
  <si>
    <t>zeming h</t>
  </si>
  <si>
    <t>5/27/2025 19:29</t>
  </si>
  <si>
    <t>pi_3RTLgKRxxun8okeS05NwKBlZ</t>
  </si>
  <si>
    <t>5/27/2025 19:46</t>
  </si>
  <si>
    <t>pi_3RTLx1Rxxun8okeS1266fAlU</t>
  </si>
  <si>
    <t>Victor Lee</t>
  </si>
  <si>
    <t>5/27/2025 23:11</t>
  </si>
  <si>
    <t>pi_3RTP8kRxxun8okeS0O1GCrBR</t>
  </si>
  <si>
    <t>5/27/2025 23:31</t>
  </si>
  <si>
    <t>pi_3RTPT9Rxxun8okeS0hebzLwp</t>
  </si>
  <si>
    <t>5/27/2025 23:33</t>
  </si>
  <si>
    <t>Beetle Funnels</t>
  </si>
  <si>
    <t>5/28/2025 1:38</t>
  </si>
  <si>
    <t>pi_3RTRS4Rxxun8okeS0ocFM6fS</t>
  </si>
  <si>
    <t>Wesley Chen</t>
  </si>
  <si>
    <t>5/28/2025 1:52</t>
  </si>
  <si>
    <t>pi_3RTRfgRxxun8okeS0aIeJ1uy</t>
  </si>
  <si>
    <t>5/28/2025 4:49</t>
  </si>
  <si>
    <t>pi_3RTURARxxun8okeS0RquwyVn</t>
  </si>
  <si>
    <t>5/28/2025 7:26</t>
  </si>
  <si>
    <t>pi_3RTWqaRxxun8okeS1wtBLAvL</t>
  </si>
  <si>
    <t>5/28/2025 7:40</t>
  </si>
  <si>
    <t>pi_3RTX6WRxxun8okeS1Ma44Ztv</t>
  </si>
  <si>
    <t>Cco Li</t>
  </si>
  <si>
    <t>5/28/2025 7:43</t>
  </si>
  <si>
    <t>pi_3RTX8nRxxun8okeS1rPoS1Dl</t>
  </si>
  <si>
    <t>5/28/2025 8:41</t>
  </si>
  <si>
    <t>pi_3RTY2JRxxun8okeS1wDYy6k3</t>
  </si>
  <si>
    <t>Ricky Ren</t>
  </si>
  <si>
    <t>5/28/2025 10:02</t>
  </si>
  <si>
    <t>pi_3RTZJ8Rxxun8okeS186ZRipb</t>
  </si>
  <si>
    <t>Robert Eyler</t>
  </si>
  <si>
    <t>5/28/2025 10:26</t>
  </si>
  <si>
    <t>pi_3RTZgFRxxun8okeS0LJLtpMm</t>
  </si>
  <si>
    <t>兆伦 王</t>
  </si>
  <si>
    <t>pi_3RTZfpRxxun8okeS0KoXI5bQ</t>
  </si>
  <si>
    <t>5/28/2025 10:35</t>
  </si>
  <si>
    <t>5/28/2025 10:37</t>
  </si>
  <si>
    <t>pi_3RTZqxRxxun8okeS0Gl10FWk</t>
  </si>
  <si>
    <t>5/28/2025 10:38</t>
  </si>
  <si>
    <t>xing miao</t>
  </si>
  <si>
    <t>5/28/2025 10:48</t>
  </si>
  <si>
    <t>pi_3RTa1kRxxun8okeS1RsYXVTs</t>
  </si>
  <si>
    <t>WEI SIR.</t>
  </si>
  <si>
    <t>5/28/2025 10:56</t>
  </si>
  <si>
    <t>pi_3RTa9kRxxun8okeS1GLCK4ia</t>
  </si>
  <si>
    <t>5/28/2025 12:19</t>
  </si>
  <si>
    <t>pi_3RTbRzRxxun8okeS0WgFAZrJ</t>
  </si>
  <si>
    <t>5/28/2025 12:25</t>
  </si>
  <si>
    <t>pi_3RTbXPRxxun8okeS0Cm4m0ak</t>
  </si>
  <si>
    <t>川 刘</t>
  </si>
  <si>
    <t>pi_3RTbYCRxxun8okeS0r1k49h3</t>
  </si>
  <si>
    <t>zongcai sun</t>
  </si>
  <si>
    <t>5/28/2025 12:51</t>
  </si>
  <si>
    <t>pi_3RTbxARxxun8okeS0C32i1JB</t>
  </si>
  <si>
    <t>xiaolong xu</t>
  </si>
  <si>
    <t>5/28/2025 12:56</t>
  </si>
  <si>
    <t>pi_3RTc1tRxxun8okeS0hCD0BNs</t>
  </si>
  <si>
    <t>5/28/2025 13:02</t>
  </si>
  <si>
    <t>jj jj</t>
  </si>
  <si>
    <t>5/28/2025 13:49</t>
  </si>
  <si>
    <t>top i</t>
  </si>
  <si>
    <t>5/28/2025 14:06</t>
  </si>
  <si>
    <t>pi_3RTd8IRxxun8okeS12u50JTr</t>
  </si>
  <si>
    <t>5/28/2025 14:17</t>
  </si>
  <si>
    <t>pi_3RTdILRxxun8okeS0cQuQO3e</t>
  </si>
  <si>
    <t>5/28/2025 14:44</t>
  </si>
  <si>
    <t>pi_3RTdhIRxxun8okeS0tLN9Nvv</t>
  </si>
  <si>
    <t>robin la</t>
  </si>
  <si>
    <t>5/28/2025 14:47</t>
  </si>
  <si>
    <t>pi_3RTdkpRxxun8okeS0giZg5Tw</t>
  </si>
  <si>
    <t>yo na</t>
  </si>
  <si>
    <t>5/28/2025 14:55</t>
  </si>
  <si>
    <t>pi_3RTdshRxxun8okeS0HzLVOaL</t>
  </si>
  <si>
    <t>5/28/2025 15:00</t>
  </si>
  <si>
    <t>pi_3RTdyRRxxun8okeS1SUFuNNU</t>
  </si>
  <si>
    <t>5/28/2025 15:03</t>
  </si>
  <si>
    <t>Lagune Jan</t>
  </si>
  <si>
    <t>5/28/2025 15:17</t>
  </si>
  <si>
    <t>pi_3RTeEiRxxun8okeS1w2zJTky</t>
  </si>
  <si>
    <t>凯 郑</t>
  </si>
  <si>
    <t>5/28/2025 15:45</t>
  </si>
  <si>
    <t>pi_3RTeftRxxun8okeS0g9BQai3</t>
  </si>
  <si>
    <t>Tood Tood</t>
  </si>
  <si>
    <t>5/28/2025 17:24</t>
  </si>
  <si>
    <t>pi_3RTgDORxxun8okeS1uss0HcW</t>
  </si>
  <si>
    <t>5/28/2025 17:48</t>
  </si>
  <si>
    <t>MO KI</t>
  </si>
  <si>
    <t>5/28/2025 19:23</t>
  </si>
  <si>
    <t>pi_3RTi3mRxxun8okeS1Cnq322V</t>
  </si>
  <si>
    <t>5/28/2025 21:05</t>
  </si>
  <si>
    <t>pi_3RTjZDRxxun8okeS03C8uZtb</t>
  </si>
  <si>
    <t>DASHAN LUO</t>
  </si>
  <si>
    <t>5/28/2025 22:06</t>
  </si>
  <si>
    <t>dylan lee</t>
  </si>
  <si>
    <t>5/28/2025 22:33</t>
  </si>
  <si>
    <t>pi_3RTl2MRxxun8okeS1tvOSA6K</t>
  </si>
  <si>
    <t>5/29/2025 0:00</t>
  </si>
  <si>
    <t>ev zt</t>
  </si>
  <si>
    <t>5/29/2025 2:22</t>
  </si>
  <si>
    <t>pi_3RTobbRxxun8okeS0Kp15Bl5</t>
  </si>
  <si>
    <t>5/29/2025 10:24</t>
  </si>
  <si>
    <t>Evan Mo</t>
  </si>
  <si>
    <t>5/29/2025 11:40</t>
  </si>
  <si>
    <t>pi_3RTxK2Rxxun8okeS0YmP1Hbm</t>
  </si>
  <si>
    <t>lyq ray</t>
  </si>
  <si>
    <t>5/29/2025 12:40</t>
  </si>
  <si>
    <t>pi_3RTyG8Rxxun8okeS0k3pxSXT</t>
  </si>
  <si>
    <t>Qiunn Shaun</t>
  </si>
  <si>
    <t>5/29/2025 14:04</t>
  </si>
  <si>
    <t>pi_3RTzYvRxxun8okeS1VTUza0D</t>
  </si>
  <si>
    <t>5/29/2025 14:54</t>
  </si>
  <si>
    <t>Refund of Transaction ID pi_3RTxK2Rxxun8okeS0YmP1Hbm</t>
  </si>
  <si>
    <t>fumiama minamoto</t>
  </si>
  <si>
    <t>5/29/2025 16:27</t>
  </si>
  <si>
    <t>pi_3RU1nmRxxun8okeS1Yhq089f</t>
  </si>
  <si>
    <t>weijie maweijie</t>
  </si>
  <si>
    <t>5/29/2025 17:16</t>
  </si>
  <si>
    <t>pi_3RU2YmRxxun8okeS0D0nHpJF</t>
  </si>
  <si>
    <t>Kul Dashi</t>
  </si>
  <si>
    <t>5/29/2025 17:18</t>
  </si>
  <si>
    <t>pi_3RU2YFRxxun8okeS1Zcn4pd9</t>
  </si>
  <si>
    <t>5/29/2025 17:25</t>
  </si>
  <si>
    <t>Kid Nanaya</t>
  </si>
  <si>
    <t>5/29/2025 18:03</t>
  </si>
  <si>
    <t>pi_3RU3IVRxxun8okeS0J0edlbW</t>
  </si>
  <si>
    <t>5/29/2025 18:58</t>
  </si>
  <si>
    <t>michael fox</t>
  </si>
  <si>
    <t>5/29/2025 20:14</t>
  </si>
  <si>
    <t>pi_3RU5KGRxxun8okeS0fyYQI0X</t>
  </si>
  <si>
    <t>5/29/2025 21:03</t>
  </si>
  <si>
    <t>pi_3RU671Rxxun8okeS0ZBuCgIc</t>
  </si>
  <si>
    <t>5/29/2025 21:04</t>
  </si>
  <si>
    <t>家建 黃</t>
  </si>
  <si>
    <t>5/29/2025 22:06</t>
  </si>
  <si>
    <t>5/29/2025 23:56</t>
  </si>
  <si>
    <t>pi_3RU8oTRxxun8okeS1K8WteW8</t>
  </si>
  <si>
    <t>5/30/2025 0:29</t>
  </si>
  <si>
    <t>pi_3RU9JqRxxun8okeS0dZahO9C</t>
  </si>
  <si>
    <t>jascon kin</t>
  </si>
  <si>
    <t>5/30/2025 3:04</t>
  </si>
  <si>
    <t>pi_3RUBkdRxxun8okeS0HBzmaCg</t>
  </si>
  <si>
    <t>5/30/2025 3:49</t>
  </si>
  <si>
    <t>pi_3RUCS2Rxxun8okeS1gg9bPa9</t>
  </si>
  <si>
    <t>Jing Lin</t>
  </si>
  <si>
    <t>5/30/2025 6:57</t>
  </si>
  <si>
    <t>pi_3RUFMlRxxun8okeS1ggyTZCw</t>
  </si>
  <si>
    <t>5/30/2025 9:05</t>
  </si>
  <si>
    <t>5/30/2025 9:12</t>
  </si>
  <si>
    <t>pi_3RUHTnRxxun8okeS1GX0L82z</t>
  </si>
  <si>
    <t>5/30/2025 9:46</t>
  </si>
  <si>
    <t>pi_3RUI1ARxxun8okeS1SeAGb2X</t>
  </si>
  <si>
    <t>wwq231 aawda</t>
  </si>
  <si>
    <t>5/30/2025 11:02</t>
  </si>
  <si>
    <t>pi_3RUJCpRxxun8okeS07D0jrYB</t>
  </si>
  <si>
    <t>Lin Yu</t>
  </si>
  <si>
    <t>5/30/2025 12:35</t>
  </si>
  <si>
    <t>pi_3RUKeqRxxun8okeS0QlGwzs3</t>
  </si>
  <si>
    <t>dd ss</t>
  </si>
  <si>
    <t>5/30/2025 12:39</t>
  </si>
  <si>
    <t>pi_3RUKisRxxun8okeS0qMtrdiv</t>
  </si>
  <si>
    <t>5/30/2025 13:12</t>
  </si>
  <si>
    <t>5/30/2025 13:55</t>
  </si>
  <si>
    <t>Refund of Transaction ID pi_3RUBkdRxxun8okeS0HBzmaCg</t>
  </si>
  <si>
    <t>5/30/2025 14:10</t>
  </si>
  <si>
    <t>Refund of Transaction ID</t>
  </si>
  <si>
    <t>5/30/2025 14:11</t>
  </si>
  <si>
    <t>Refund of Transaction ID pi_3RUCS2Rxxun8okeS1gg9bPa9</t>
  </si>
  <si>
    <t>5/30/2025 15:32</t>
  </si>
  <si>
    <t>5/30/2025 15:34</t>
  </si>
  <si>
    <t>yucheng liu</t>
  </si>
  <si>
    <t>5/30/2025 15:56</t>
  </si>
  <si>
    <t>pi_3RUNmkRxxun8okeS13JxaVwp</t>
  </si>
  <si>
    <t>Xuyang Chen</t>
  </si>
  <si>
    <t>5/30/2025 16:00</t>
  </si>
  <si>
    <t>pi_3RUNr0Rxxun8okeS1Gyrd5cq</t>
  </si>
  <si>
    <t>5/30/2025 16:17</t>
  </si>
  <si>
    <t>pi_3RUO7RRxxun8okeS1G7V5etS</t>
  </si>
  <si>
    <t>松 MorrowMaria</t>
  </si>
  <si>
    <t>5/30/2025 20:42</t>
  </si>
  <si>
    <t>pi_3RUSGYRxxun8okeS0XGt81Rx</t>
  </si>
  <si>
    <t>qing feng</t>
  </si>
  <si>
    <t>5/30/2025 21:23</t>
  </si>
  <si>
    <t>pi_3RUStKRxxun8okeS0dovKLFm</t>
  </si>
  <si>
    <t>ted mashell</t>
  </si>
  <si>
    <t>5/30/2025 21:37</t>
  </si>
  <si>
    <t>pi_3RUT5iRxxun8okeS1JIW3ieW</t>
  </si>
  <si>
    <t>5/30/2025 22:23</t>
  </si>
  <si>
    <t>lee xiao</t>
  </si>
  <si>
    <t>5/30/2025 23:04</t>
  </si>
  <si>
    <t>pi_3RUUSnRxxun8okeS1MUZv7f0</t>
  </si>
  <si>
    <t>5/31/2025 0:06</t>
  </si>
  <si>
    <t>pi_3RUVRMRxxun8okeS19klL9UW</t>
  </si>
  <si>
    <t>opaoai zizi</t>
  </si>
  <si>
    <t>5/31/2025 1:06</t>
  </si>
  <si>
    <t>yong ZhouRong</t>
  </si>
  <si>
    <t>5/31/2025 2:44</t>
  </si>
  <si>
    <t>pi_3RUXttRxxun8okeS0SreRi2w</t>
  </si>
  <si>
    <t>Manistee Kline</t>
  </si>
  <si>
    <t>5/31/2025 4:56</t>
  </si>
  <si>
    <t>pi_3RUZybRxxun8okeS0qvsTL6C</t>
  </si>
  <si>
    <t>jie kdosl</t>
  </si>
  <si>
    <t>5/31/2025 7:03</t>
  </si>
  <si>
    <t>pi_3RUbwNRxxun8okeS1h9Tj9KB</t>
  </si>
  <si>
    <t>5/31/2025 10:02</t>
  </si>
  <si>
    <t>pi_3RUejDRxxun8okeS0jMGBl31</t>
  </si>
  <si>
    <t>5/31/2025 10:12</t>
  </si>
  <si>
    <t>Elon Musk</t>
  </si>
  <si>
    <t>5/31/2025 12:46</t>
  </si>
  <si>
    <t>pi_3RUhJCRxxun8okeS11vdmxFK</t>
  </si>
  <si>
    <t>Chi Okocha</t>
  </si>
  <si>
    <t>5/31/2025 17:57</t>
  </si>
  <si>
    <t>pi_3RUm9RRxxun8okeS12vXLk3y</t>
  </si>
  <si>
    <t>5/31/2025 18:05</t>
  </si>
  <si>
    <t>Refund of Transaction ID pi_3RUXttRxxun8okeS0SreRi2w</t>
  </si>
  <si>
    <t>Kotori Minami</t>
  </si>
  <si>
    <t>5/31/2025 18:24</t>
  </si>
  <si>
    <t>5/31/2025 18:50</t>
  </si>
  <si>
    <t>b6c6a1d741de61de232d4ccebb1cae32fc56cebd544836d1c03bb085d40db7ac</t>
  </si>
  <si>
    <t>G O</t>
  </si>
  <si>
    <t>5/31/2025 20:03</t>
  </si>
  <si>
    <t>pi_3RUo7SRxxun8okeS0q74oNvW</t>
  </si>
  <si>
    <t>5/31/2025 21:11</t>
  </si>
  <si>
    <t>pi_3RUpBtRxxun8okeS0exYs9Jm</t>
  </si>
  <si>
    <t>chong zhong</t>
  </si>
  <si>
    <t>5/31/2025 22:43</t>
  </si>
  <si>
    <t>5/31/2025 22:51</t>
  </si>
  <si>
    <t>pi_3RUqkyRxxun8okeS1DSjkmui</t>
  </si>
  <si>
    <t>nii host</t>
  </si>
  <si>
    <t>pi_3RUuJVRxxun8okeS0UFiT1Y9</t>
  </si>
  <si>
    <t>ying li</t>
  </si>
  <si>
    <t>pi_3RUyNXRxxun8okeS1rPKkuGI</t>
  </si>
  <si>
    <t>pi_3RV0hnRxxun8okeS1fS7POeb</t>
  </si>
  <si>
    <t>1cff4dc0404e24641eaede3e438b638079c5114681ca26b24fdda13a7deee986</t>
  </si>
  <si>
    <t>pi_3RV2EeRxxun8okeS0HmP6e84</t>
  </si>
  <si>
    <t>a8563a2317a866e5bbde67cb6a584cf5d97bc79089d4107e2c17d92a9f0e825b</t>
  </si>
  <si>
    <t>pi_3RV3jdRxxun8okeS0Qlp45Og</t>
  </si>
  <si>
    <t>pi_3RV3zfRxxun8okeS0jD5Fx2g</t>
  </si>
  <si>
    <t>pi_3RV5NSRxxun8okeS04UKz75v</t>
  </si>
  <si>
    <t>pi_3RV6zdRxxun8okeS1S83mYjp</t>
  </si>
  <si>
    <t>yier lv</t>
  </si>
  <si>
    <t>pi_3RV7HYRxxun8okeS1dv6Oq71</t>
  </si>
  <si>
    <t>jason hsui</t>
  </si>
  <si>
    <t>pi_3RV7W1Rxxun8okeS1JVrHriO</t>
  </si>
  <si>
    <t>Dave John</t>
  </si>
  <si>
    <t>pi_3RV8Z5Rxxun8okeS0z5DO005</t>
  </si>
  <si>
    <t>Tony C</t>
  </si>
  <si>
    <t>3721347244b53f8dad3afb9ca2c2afe41eb3f0ee452f76847c23dbb6fca97c61</t>
  </si>
  <si>
    <t>pi_3RV94ERxxun8okeS1uyorX8U</t>
  </si>
  <si>
    <t>pi_3RV9s1Rxxun8okeS1gAZt4Iy</t>
  </si>
  <si>
    <t>pi_3RVB0rRxxun8okeS0uBJfB7u</t>
  </si>
  <si>
    <t>ka ming cheung</t>
  </si>
  <si>
    <t>pi_3RVB9vRxxun8okeS0U4YMbBw</t>
  </si>
  <si>
    <t>pi_3RVHv1Rxxun8okeS02hldW5N</t>
  </si>
  <si>
    <t>Nozz Lo</t>
  </si>
  <si>
    <t>pi_3RVJgORxxun8okeS12MKlYzN</t>
  </si>
  <si>
    <t>pi_3RVNIZRxxun8okeS1A1HGoHE</t>
  </si>
  <si>
    <t>水星银行</t>
  </si>
  <si>
    <t>Yang Liu</t>
  </si>
  <si>
    <t>pi_3RVQqbRxxun8okeS1dszg4Q5</t>
  </si>
  <si>
    <t>caiyi luo</t>
  </si>
  <si>
    <t>pi_3RVSlLRxxun8okeS1kPX7M8l</t>
  </si>
  <si>
    <t>DaDa Zhang</t>
  </si>
  <si>
    <t>pi_3RVTpqRxxun8okeS0RzqP5OH</t>
  </si>
  <si>
    <t>Mondo Lin</t>
  </si>
  <si>
    <t>pi_3RVVvuRxxun8okeS0bzoRrjj</t>
  </si>
  <si>
    <t>shaofei ma</t>
  </si>
  <si>
    <t>pi_3RVWm9Rxxun8okeS0pWWb0ee</t>
  </si>
  <si>
    <t>omen xu</t>
  </si>
  <si>
    <t>pi_3RVWnKRxxun8okeS0EwByyCF</t>
  </si>
  <si>
    <t>yu hei</t>
  </si>
  <si>
    <t>pi_3RVXZ2Rxxun8okeS1JIjHbDD</t>
  </si>
  <si>
    <t>e ds</t>
  </si>
  <si>
    <t>pi_3RVaiMRxxun8okeS07ammv3L</t>
  </si>
  <si>
    <t>pi_3RVdYGRxxun8okeS0dvpTkwK</t>
  </si>
  <si>
    <t>pi_3RVjuPRxxun8okeS1S8LPNkC</t>
  </si>
  <si>
    <t>pi_3RVlQRRxxun8okeS0xyAHrTP</t>
  </si>
  <si>
    <t>pi_3RVpLSRxxun8okeS11S7VOWa</t>
  </si>
  <si>
    <t>ssfd asdfsad</t>
  </si>
  <si>
    <t>pi_3RVuSDRxxun8okeS0iVJ0mWW</t>
  </si>
  <si>
    <t>Yon Cove</t>
  </si>
  <si>
    <t>pi_3RVv1HRxxun8okeS0hTqhaWP</t>
  </si>
  <si>
    <t>pi_3RW6xrRxxun8okeS0BzdkDRy</t>
  </si>
  <si>
    <t>林 林</t>
  </si>
  <si>
    <t>pi_3RW8D7Rxxun8okeS1SwNYsRG</t>
  </si>
  <si>
    <t>Richard Warner Warner</t>
  </si>
  <si>
    <t>pi_3RWAruRxxun8okeS0mysE2Rc</t>
  </si>
  <si>
    <t>pi_3RWGbFRxxun8okeS1s8DH0In</t>
  </si>
  <si>
    <t>pi_3RWHLeRxxun8okeS16mF8sq8</t>
  </si>
  <si>
    <t>pi_3RWI7KRxxun8okeS0qSDmMQX</t>
  </si>
  <si>
    <t>0722c4a16003564411c6e17bf34d26aad418fc49ee68efda59a97feda32a5bcb</t>
  </si>
  <si>
    <t>能 罗</t>
  </si>
  <si>
    <t>pi_3RWJR8Rxxun8okeS1XPjpdGp</t>
  </si>
  <si>
    <t>d3cc6da792853dcb16d582d5ec7f44bba0161059549b99a4b15109e1e84e8560</t>
  </si>
  <si>
    <t>pi_3RWSe1Rxxun8okeS0Hpu1Kum</t>
  </si>
  <si>
    <t>pi_3RWSk5Rxxun8okeS0gnmBUwr</t>
  </si>
  <si>
    <t>pi_3RWUZ5Rxxun8okeS1TG1Y2C9</t>
  </si>
  <si>
    <t>a008cbe3fdfa10c0d2d021efa432365a8ce66ae6ee53d8576a149291b863fdb5</t>
  </si>
  <si>
    <t>6abacf45de08be26f3059d0b4691701cc2b54c2c870b5f9024f4ca5cea6162c5</t>
  </si>
  <si>
    <t>Cyber Geek</t>
  </si>
  <si>
    <t>pi_3RWWLxRxxun8okeS0OBTNw8e</t>
  </si>
  <si>
    <t>Anthony Leung</t>
  </si>
  <si>
    <t>pi_3RWXw0Rxxun8okeS0ZeNiqSz</t>
  </si>
  <si>
    <t>eef7f67aaea00ec0a86ad9eddb19ca23543aa37ceab314fa3a36be3fb2daf66d</t>
  </si>
  <si>
    <t>pi_3RWYGFRxxun8okeS1RQtjHZT</t>
  </si>
  <si>
    <t>pi_3RWZncRxxun8okeS0ih5L6FL</t>
  </si>
  <si>
    <t>pi_3RWZwDRxxun8okeS05TYKaoI</t>
  </si>
  <si>
    <t>zhijun chen</t>
  </si>
  <si>
    <t>pi_3RWdrNRxxun8okeS0k7hHxCk</t>
  </si>
  <si>
    <t>pi_3RWf2xRxxun8okeS1MzXD2MU</t>
  </si>
  <si>
    <t>Christine Modyix</t>
  </si>
  <si>
    <t>pi_3RWg3IRxxun8okeS0dkc1ie4</t>
  </si>
  <si>
    <t>pi_3RWgY7Rxxun8okeS1xdLWPgE</t>
  </si>
  <si>
    <t>pi_3RWglFRxxun8okeS1joBdpE4</t>
  </si>
  <si>
    <t>pi_3RWgyNRxxun8okeS1oNC3oPv</t>
  </si>
  <si>
    <t>pi_3RWhVWRxxun8okeS0eJgJaiS</t>
  </si>
  <si>
    <t>pi_3RWqavRxxun8okeS1xxXB4uS</t>
  </si>
  <si>
    <t>pi_3RWquERxxun8okeS05K5bKTy</t>
  </si>
  <si>
    <t>pi_3RWtVXRxxun8okeS15zfPCax</t>
  </si>
  <si>
    <t>pi_3RWwL8Rxxun8okeS0gs3qOOe</t>
  </si>
  <si>
    <t>Darny Don</t>
  </si>
  <si>
    <t>pi_3RWzzARxxun8okeS1tAZ8rLZ</t>
  </si>
  <si>
    <t>Lucy Mash</t>
  </si>
  <si>
    <t>pi_3RX1pXRxxun8okeS1a52OKpf</t>
  </si>
  <si>
    <t>quintu li</t>
  </si>
  <si>
    <t>pi_3RX2RVRxxun8okeS0V3XhNbn</t>
  </si>
  <si>
    <t>cbbcf3d86da7c7fd001e03c1c85acecb4f06f253e55caf6faa92f1d77b54cd8f</t>
  </si>
  <si>
    <t>久龍 安</t>
  </si>
  <si>
    <t>pi_3RX4HgRxxun8okeS19N57RGO</t>
  </si>
  <si>
    <t>hanks Wang</t>
  </si>
  <si>
    <t>pi_3RXCN6Rxxun8okeS0OGxkJgD</t>
  </si>
  <si>
    <t>XIN FENG</t>
  </si>
  <si>
    <t>pi_3RXHjGRxxun8okeS1Q03MZaB</t>
  </si>
  <si>
    <t>YIBO CHEN</t>
  </si>
  <si>
    <t>3e3b6c6551bbd365d1a1d3c130183852a7ac21ce5db27a44135b1974f4fe53ab</t>
  </si>
  <si>
    <t>pi_3RXK2SRxxun8okeS1jx4nvu8</t>
  </si>
  <si>
    <t>pi_3RXLl4Rxxun8okeS1y05Vv7q</t>
  </si>
  <si>
    <t>YIBIN PANG</t>
  </si>
  <si>
    <t>c849550f1a1d6c21e28b30a27c52ad7331e0e7f9cfe584de8da4b9c8f256d90c</t>
  </si>
  <si>
    <t>Hen1 Evanof</t>
  </si>
  <si>
    <t>pi_3RXbpXRxxun8okeS0vGCrVCu</t>
  </si>
  <si>
    <t>Kim show</t>
  </si>
  <si>
    <t>pi_3RXfRARxxun8okeS1ZJv8YaM</t>
  </si>
  <si>
    <t>in R</t>
  </si>
  <si>
    <t>pi_3RXg0nRxxun8okeS1UYXioxx</t>
  </si>
  <si>
    <t>pi_3RXgY8Rxxun8okeS0jnWqe19</t>
  </si>
  <si>
    <t>sam john</t>
  </si>
  <si>
    <t>pi_3RXhWpRxxun8okeS1ZBuCp4S</t>
  </si>
  <si>
    <t>long xiansheng</t>
  </si>
  <si>
    <t>pi_3RXj6ORxxun8okeS1Nqun5VX</t>
  </si>
  <si>
    <t>pi_3RXjklRxxun8okeS00dZAZI3</t>
  </si>
  <si>
    <t>Refund of Transaction ID pi_3RX4HgRxxun8okeS19N57RGO</t>
  </si>
  <si>
    <t>浪浪 汤</t>
  </si>
  <si>
    <t>pi_3RXnYeRxxun8okeS0wRqV4zf</t>
  </si>
  <si>
    <t>seg etwq</t>
  </si>
  <si>
    <t>pi_3RXvhRRxxun8okeS1R8LsVLv</t>
  </si>
  <si>
    <t>Misk Lin</t>
  </si>
  <si>
    <t>Refund of Transaction ID pi_3RVJgORxxun8okeS12MKlYzN</t>
  </si>
  <si>
    <t>pi_3RY27TRxxun8okeS0QjvB5fB</t>
  </si>
  <si>
    <t>婷婷 陈</t>
  </si>
  <si>
    <t>d25c59ba8e6a99c641384b2181bc9261b79e9e47b5acc992a1857f886326c37e</t>
  </si>
  <si>
    <t>pi_3RY5nPRxxun8okeS1O5bHDgR</t>
  </si>
  <si>
    <t>Crystal Baker</t>
  </si>
  <si>
    <t>8c2bc4cca97978b7f3b14ef3efd11e6f4b2ead52f5b097f55caa310f49dabfdf</t>
  </si>
  <si>
    <t>Jason Chen</t>
  </si>
  <si>
    <t>pi_3RYIelRxxun8okeS10YbvsT8</t>
  </si>
  <si>
    <t>er pow</t>
  </si>
  <si>
    <t>pi_3RYJQNRxxun8okeS0HkHZx7V</t>
  </si>
  <si>
    <t>pi_3RYJt5Rxxun8okeS1EQJub8J</t>
  </si>
  <si>
    <t>Jack Lim</t>
  </si>
  <si>
    <t>pi_3RYMCARxxun8okeS0vgbupUO</t>
  </si>
  <si>
    <t>pi_3RYMXTRxxun8okeS0hqvXW1N</t>
  </si>
  <si>
    <t>feifei yang</t>
  </si>
  <si>
    <t>pi_3RYRNHRxxun8okeS10lzZUWn</t>
  </si>
  <si>
    <t>Darren yang</t>
  </si>
  <si>
    <t>pi_3RYRSpRxxun8okeS1SbuXNlP</t>
  </si>
  <si>
    <t>6703467468e178186b3aa5f69d7692c219d4ccc9af9145d529f942ef7c95d13f</t>
  </si>
  <si>
    <t>f56aef74417554d7f5bc5c38bc484a9fbb7d04984a0aa93b08ec3fa210bcae7c</t>
  </si>
  <si>
    <t>jim ji</t>
  </si>
  <si>
    <t>pi_3RYUnkRxxun8okeS1HAmXMjs</t>
  </si>
  <si>
    <t>jie liu</t>
  </si>
  <si>
    <t>pi_3RYeVbRxxun8okeS1ypyvqbx</t>
  </si>
  <si>
    <t>dawdab bdfbdf</t>
  </si>
  <si>
    <t>pi_3RYfaFRxxun8okeS1TA1rpom</t>
  </si>
  <si>
    <t>Kotori Kotori</t>
  </si>
  <si>
    <t>pi_3RYhEORxxun8okeS14lOtyVv</t>
  </si>
  <si>
    <t>Refund of Transaction ID pi_3RYUnkRxxun8okeS1HAmXMjs</t>
  </si>
  <si>
    <t>pi_3RYihgRxxun8okeS1JV7qcip</t>
  </si>
  <si>
    <t>pi_3RYilQRxxun8okeS1PM2ssVX</t>
  </si>
  <si>
    <t>Refund of Transaction ID pi_3RYhEORxxun8okeS14lOtyVv</t>
  </si>
  <si>
    <t>pi_3RYjn4Rxxun8okeS0UpegXAT</t>
  </si>
  <si>
    <t>A A</t>
  </si>
  <si>
    <t>pi_3RYjqiRxxun8okeS19OjgChj</t>
  </si>
  <si>
    <t>pi_3RYl7URxxun8okeS0h9MpQpU</t>
  </si>
  <si>
    <t>xw h</t>
  </si>
  <si>
    <t>pi_3RYm1FRxxun8okeS1yTVYWXI</t>
  </si>
  <si>
    <t>pi_3RYoBeRxxun8okeS0Ah4419R</t>
  </si>
  <si>
    <t>pi_3RYoEmRxxun8okeS0be2UF3G</t>
  </si>
  <si>
    <t>Hello Hey</t>
  </si>
  <si>
    <t>pi_3RYydbRxxun8okeS09bqJTM5</t>
  </si>
  <si>
    <t>sss 马</t>
  </si>
  <si>
    <t>pi_3RZ1JZRxxun8okeS0JQ1Hw8P</t>
  </si>
  <si>
    <t>pi_3RZ7dWRxxun8okeS09X1zdhY</t>
  </si>
  <si>
    <t>eewe rtrr</t>
  </si>
  <si>
    <t>pi_3RZBewRxxun8okeS0aOCTC6s</t>
  </si>
  <si>
    <t>Jesse Mccree</t>
  </si>
  <si>
    <t>pi_3RZDMnRxxun8okeS16DS4cZG</t>
  </si>
  <si>
    <t>志宽 王</t>
  </si>
  <si>
    <t>6/13/2025 9:38</t>
  </si>
  <si>
    <t>pi_3RZMZ0Rxxun8okeS1YEPTqLC</t>
  </si>
  <si>
    <t>David Song</t>
  </si>
  <si>
    <t>6/13/2025 10:06</t>
  </si>
  <si>
    <t>6/13/2025 20:45</t>
  </si>
  <si>
    <t>pi_3RZWytRxxun8okeS1FpXYXId</t>
  </si>
  <si>
    <t>6/14/2025 2:08</t>
  </si>
  <si>
    <t>pi_3RZc11Rxxun8okeS0YNgVbgh</t>
  </si>
  <si>
    <t>d f</t>
  </si>
  <si>
    <t>6/14/2025 2:47</t>
  </si>
  <si>
    <t>pi_3RZccoRxxun8okeS0vdAe1yG</t>
  </si>
  <si>
    <t>6/14/2025 9:11</t>
  </si>
  <si>
    <t>6/14/2025 15:29</t>
  </si>
  <si>
    <t>pi_3RZoVxRxxun8okeS0o9e3saq</t>
  </si>
  <si>
    <t>6/14/2025 16:36</t>
  </si>
  <si>
    <t>pi_3RZpYmRxxun8okeS0nBuRR49</t>
  </si>
  <si>
    <t>6/14/2025 18:12</t>
  </si>
  <si>
    <t>pi_3RZqYoRxxun8okeS1In56aG8</t>
  </si>
  <si>
    <t>6/15/2025 11:54</t>
  </si>
  <si>
    <t>pi_3Ra7dhRxxun8okeS0jZVoELP</t>
  </si>
  <si>
    <t>6/15/2025 17:14</t>
  </si>
  <si>
    <t>Alipay | 支付宝</t>
  </si>
  <si>
    <t>6/15/2025 22:04</t>
  </si>
  <si>
    <t>6/15/2025 23:11</t>
  </si>
  <si>
    <t>pi_3RaICJRxxun8okeS1WOFqvZZ</t>
  </si>
  <si>
    <t>6/15/2025 23:26</t>
  </si>
  <si>
    <t>6/16/2025 0:26</t>
  </si>
  <si>
    <t>pi_3RaJNdRxxun8okeS1VsigQFr</t>
  </si>
  <si>
    <t>Martin Edwin</t>
  </si>
  <si>
    <t>6/16/2025 0:54</t>
  </si>
  <si>
    <t>Mencia Francis</t>
  </si>
  <si>
    <t>6/16/2025 1:05</t>
  </si>
  <si>
    <t>6/16/2025 12:32</t>
  </si>
  <si>
    <t>pi_3RaUiERxxun8okeS05zQD97O</t>
  </si>
  <si>
    <t>6/16/2025 19:34</t>
  </si>
  <si>
    <t>Rayleigh Silvers</t>
  </si>
  <si>
    <t>6/16/2025 22:09</t>
  </si>
  <si>
    <t>6/16/2025 22:31</t>
  </si>
  <si>
    <t>的笨蛋 撒谎</t>
  </si>
  <si>
    <t>6/16/2025 23:55</t>
  </si>
  <si>
    <t>6/17/2025 12:37</t>
  </si>
  <si>
    <t>6/17/2025 16:30</t>
  </si>
  <si>
    <t>pi_3RautdRxxun8okeS1Ebz342Q</t>
  </si>
  <si>
    <t>6/17/2025 20:09</t>
  </si>
  <si>
    <t>pi_3RayJiRxxun8okeS0I9OaxHC</t>
  </si>
  <si>
    <t>huey yang</t>
  </si>
  <si>
    <t>6/17/2025 21:46</t>
  </si>
  <si>
    <t>youyu xiao</t>
  </si>
  <si>
    <t>6/17/2025 23:45</t>
  </si>
  <si>
    <t>6/18/2025 0:00</t>
  </si>
  <si>
    <t>Nx Tang</t>
  </si>
  <si>
    <t>6/18/2025 6:58</t>
  </si>
  <si>
    <t>6/18/2025 9:04</t>
  </si>
  <si>
    <t>6/18/2025 10:33</t>
  </si>
  <si>
    <t>pi_3RbBnvRxxun8okeS1LPn36qO</t>
  </si>
  <si>
    <t>t tang</t>
  </si>
  <si>
    <t>6/18/2025 12:42</t>
  </si>
  <si>
    <t>you changming</t>
  </si>
  <si>
    <t>6/18/2025 13:04</t>
  </si>
  <si>
    <t>6/18/2025 13:16</t>
  </si>
  <si>
    <t>Refund of Transaction ID Z618217457125554</t>
  </si>
  <si>
    <t>6/18/2025 14:06</t>
  </si>
  <si>
    <t>6/18/2025 14:37</t>
  </si>
  <si>
    <t>6/18/2025 15:49</t>
  </si>
  <si>
    <t>6/18/2025 17:07</t>
  </si>
  <si>
    <t>pi_3RbHx8Rxxun8okeS10ufEUtB</t>
  </si>
  <si>
    <t>hu yizhi</t>
  </si>
  <si>
    <t>6/18/2025 18:28</t>
  </si>
  <si>
    <t>6/18/2025 19:11</t>
  </si>
  <si>
    <t>6/18/2025 20:27</t>
  </si>
  <si>
    <t>pi_3RbL4VRxxun8okeS1vvrxdIf</t>
  </si>
  <si>
    <t>6/18/2025 21:02</t>
  </si>
  <si>
    <t>tom zeng</t>
  </si>
  <si>
    <t>6/18/2025 21:03</t>
  </si>
  <si>
    <t>6/18/2025 21:16</t>
  </si>
  <si>
    <t>pi_3RbLm8Rxxun8okeS16Nawlz6</t>
  </si>
  <si>
    <t>6/18/2025 21:23</t>
  </si>
  <si>
    <t>pi_3RbLxJRxxun8okeS0Dt6x3hu</t>
  </si>
  <si>
    <t>6/18/2025 23:52</t>
  </si>
  <si>
    <t>6/19/2025 0:00</t>
  </si>
  <si>
    <t>6/19/2025 0:21</t>
  </si>
  <si>
    <t>835d45bf2882da7ac53c51a519707377b27b9df84fca90ddcc70eb243e38a783</t>
  </si>
  <si>
    <t>Tian Gu</t>
  </si>
  <si>
    <t>6/19/2025 0:31</t>
  </si>
  <si>
    <t>6/19/2025 0:59</t>
  </si>
  <si>
    <t>ss sc</t>
  </si>
  <si>
    <t>6/19/2025 3:55</t>
  </si>
  <si>
    <t>kun xiao</t>
  </si>
  <si>
    <t>6/19/2025 9:03</t>
  </si>
  <si>
    <t>pi_3RbWs1Rxxun8okeS1YoyXy4r</t>
  </si>
  <si>
    <t>6/19/2025 9:09</t>
  </si>
  <si>
    <t>72f0968d4a3e04c3ebce817b0b81ec36d74a7978fee1501f184f79043362b72a</t>
  </si>
  <si>
    <t>zhang hua</t>
  </si>
  <si>
    <t>6/19/2025 11:48</t>
  </si>
  <si>
    <t>6/19/2025 12:11</t>
  </si>
  <si>
    <t>6/19/2025 12:50</t>
  </si>
  <si>
    <t>f58ecba327dafd7430a9ca933b44c0c0984279c437fa92e21e8fa83135b972b3</t>
  </si>
  <si>
    <t>6/19/2025 14:33</t>
  </si>
  <si>
    <t>s s</t>
  </si>
  <si>
    <t>6/19/2025 16:06</t>
  </si>
  <si>
    <t>7863c1f670a1447cb8b0baa85ff92edf28519b757d86b1f33ce3ac07ef78c20d</t>
  </si>
  <si>
    <t>6/19/2025 18:13</t>
  </si>
  <si>
    <t>dfe2fbcda8cadb7d057760e5cd6b1a4955c45032e5d14be0e6414060ac46544c</t>
  </si>
  <si>
    <t>Lucius7 nya</t>
  </si>
  <si>
    <t>6/19/2025 18:22</t>
  </si>
  <si>
    <t>6/19/2025 20:09</t>
  </si>
  <si>
    <t>pi_3RbhGYRxxun8okeS1XvjxDnu</t>
  </si>
  <si>
    <t>6/19/2025 22:04</t>
  </si>
  <si>
    <t>9b29dd4a498879c336336e0a8e900f6c71c3c18b5b2f897ff0be2a9016526e7e</t>
  </si>
  <si>
    <t>Qiang 163</t>
  </si>
  <si>
    <t>6/19/2025 22:23</t>
  </si>
  <si>
    <t>abc def</t>
  </si>
  <si>
    <t>6/20/2025 9:36</t>
  </si>
  <si>
    <t>Tao Jiang</t>
  </si>
  <si>
    <t>6/20/2025 10:06</t>
  </si>
  <si>
    <t>6/20/2025 11:08</t>
  </si>
  <si>
    <t>6/20/2025 11:27</t>
  </si>
  <si>
    <t>pi_3RbvbERxxun8okeS0lo8OxrE</t>
  </si>
  <si>
    <t>6/20/2025 11:28</t>
  </si>
  <si>
    <t>pi_3RbvcURxxun8okeS1af5FjcS</t>
  </si>
  <si>
    <t>6/20/2025 14:54</t>
  </si>
  <si>
    <t>pi_3RbypVRxxun8okeS12fLpAAn</t>
  </si>
  <si>
    <t>6/20/2025 15:52</t>
  </si>
  <si>
    <t>Thank Lol</t>
  </si>
  <si>
    <t>6/20/2025 16:37</t>
  </si>
  <si>
    <t>Love I'm</t>
  </si>
  <si>
    <t>6/20/2025 16:39</t>
  </si>
  <si>
    <t>Sir. WEI</t>
  </si>
  <si>
    <t>6/20/2025 18:23</t>
  </si>
  <si>
    <t>6/20/2025 20:14</t>
  </si>
  <si>
    <t>6/20/2025 20:41</t>
  </si>
  <si>
    <t>pi_3Rc4FKRxxun8okeS1XutHkfg</t>
  </si>
  <si>
    <t>6/20/2025 21:12</t>
  </si>
  <si>
    <t>pi_3Rc4jsRxxun8okeS0shf4HJA</t>
  </si>
  <si>
    <t>6/21/2025 9:36</t>
  </si>
  <si>
    <t>aaa bbb</t>
  </si>
  <si>
    <t>6/21/2025 11:06</t>
  </si>
  <si>
    <t>pi_3RcHjeRxxun8okeS0NEgy1EG</t>
  </si>
  <si>
    <t>6/21/2025 14:21</t>
  </si>
  <si>
    <t>pi_3RcKm4Rxxun8okeS1M2LgaWd</t>
  </si>
  <si>
    <t>6/21/2025 14:57</t>
  </si>
  <si>
    <t>pi_3RcLLmRxxun8okeS1sREDmNS</t>
  </si>
  <si>
    <t>6/21/2025 17:47</t>
  </si>
  <si>
    <t>6/21/2025 19:03</t>
  </si>
  <si>
    <t>Chengchen Zhu</t>
  </si>
  <si>
    <t>6/21/2025 19:25</t>
  </si>
  <si>
    <t>6/21/2025 19:31</t>
  </si>
  <si>
    <t>鹏安 谢</t>
  </si>
  <si>
    <t>6/22/2025 4:43</t>
  </si>
  <si>
    <t>Mark Jamenz</t>
  </si>
  <si>
    <t>6/22/2025 18:52</t>
  </si>
  <si>
    <t>pi_3RclUkRxxun8okeS0WC1ZCdn</t>
  </si>
  <si>
    <t>6/22/2025 20:22</t>
  </si>
  <si>
    <t>pi_3RcmuARxxun8okeS1X19KZHo</t>
  </si>
  <si>
    <t>zhao yu</t>
  </si>
  <si>
    <t>6/22/2025 21:21</t>
  </si>
  <si>
    <t>生亚 李</t>
  </si>
  <si>
    <t>6/23/2025 0:12</t>
  </si>
  <si>
    <t>6/23/2025 10:15</t>
  </si>
  <si>
    <t>pi_3RczuVRxxun8okeS0kLvUMVv</t>
  </si>
  <si>
    <t>azusa azusa</t>
  </si>
  <si>
    <t>6/23/2025 13:26</t>
  </si>
  <si>
    <t>6/23/2025 19:46</t>
  </si>
  <si>
    <t>6/23/2025 20:50</t>
  </si>
  <si>
    <t>J L</t>
  </si>
  <si>
    <t>6/23/2025 22:49</t>
  </si>
  <si>
    <t>wu chen</t>
  </si>
  <si>
    <t>6/23/2025 23:43</t>
  </si>
  <si>
    <t>6/24/2025 0:13</t>
  </si>
  <si>
    <t>pi_3RdCzRRxxun8okeS01vCwWaL</t>
  </si>
  <si>
    <t>6/24/2025 1:59</t>
  </si>
  <si>
    <t>pi_3RdEdwRxxun8okeS1oNJmf7V</t>
  </si>
  <si>
    <t>jack lee</t>
  </si>
  <si>
    <t>6/24/2025 10:15</t>
  </si>
  <si>
    <t>6/24/2025 13:22</t>
  </si>
  <si>
    <t>6/24/2025 14:05</t>
  </si>
  <si>
    <t>6/24/2025 14:20</t>
  </si>
  <si>
    <t>pi_3RdQClRxxun8okeS0fO5Vrbw</t>
  </si>
  <si>
    <t>fan qing</t>
  </si>
  <si>
    <t>6/24/2025 15:51</t>
  </si>
  <si>
    <t>6/24/2025 21:00</t>
  </si>
  <si>
    <t>Refund of Transaction ID 0HB50320VT9878716</t>
  </si>
  <si>
    <t>6/25/2025 11:28</t>
  </si>
  <si>
    <t>Refund of Transaction ID Z624424338785248</t>
  </si>
  <si>
    <t>laohu ma</t>
  </si>
  <si>
    <t>6/25/2025 11:29</t>
  </si>
  <si>
    <t>pi_3Rdk0lRxxun8okeS1fI9HmeH</t>
  </si>
  <si>
    <t>6/25/2025 11:31</t>
  </si>
  <si>
    <t>pi_3Rdk2yRxxun8okeS0YNFkjTd</t>
  </si>
  <si>
    <t>6/25/2025 14:26</t>
  </si>
  <si>
    <t>pi_3RdmmCRxxun8okeS1MJjDj3N</t>
  </si>
  <si>
    <t>6/25/2025 17:46</t>
  </si>
  <si>
    <t>pi_3RdptzRxxun8okeS0Nbn2qmF</t>
  </si>
  <si>
    <t>sb l</t>
  </si>
  <si>
    <t>6/25/2025 20:19</t>
  </si>
  <si>
    <t>6/25/2025 22:34</t>
  </si>
  <si>
    <t>hh huch</t>
  </si>
  <si>
    <t>6/26/2025 2:06</t>
  </si>
  <si>
    <t>6/26/2025 9:09</t>
  </si>
  <si>
    <t>pi_3Re4JNRxxun8okeS13bMnj4N</t>
  </si>
  <si>
    <t>fewaegg fwagwe</t>
  </si>
  <si>
    <t>6/26/2025 9:17</t>
  </si>
  <si>
    <t>金虎 许</t>
  </si>
  <si>
    <t>6/26/2025 12:08</t>
  </si>
  <si>
    <t>6/26/2025 13:31</t>
  </si>
  <si>
    <t>pi_3Re8MiRxxun8okeS0umJTpZv</t>
  </si>
  <si>
    <t>6/26/2025 13:38</t>
  </si>
  <si>
    <t>pi_3Re8VQRxxun8okeS1RZ41hl1</t>
  </si>
  <si>
    <t>6/26/2025 19:16</t>
  </si>
  <si>
    <t>6/26/2025 20:23</t>
  </si>
  <si>
    <t>Albert Tim</t>
  </si>
  <si>
    <t>6/27/2025 18:07</t>
  </si>
  <si>
    <t>36749e347a13d1b3facdde492d6905ca7df4d4e11f9259d545e879dc66a43ab1</t>
  </si>
  <si>
    <t>6/28/2025 2:03</t>
  </si>
  <si>
    <t>8a13f8d9d8708f454196c67ee4e25697fb6c0ff3af88e31ea0c8b4f1e21b4607</t>
  </si>
  <si>
    <t>6/28/2025 16:09</t>
  </si>
  <si>
    <t>456 123</t>
  </si>
  <si>
    <t>6/28/2025 16:50</t>
  </si>
  <si>
    <t>pi_3ReuS5Rxxun8okeS0VWdZfsA</t>
  </si>
  <si>
    <t>rin jim</t>
  </si>
  <si>
    <t>6/28/2025 19:39</t>
  </si>
  <si>
    <t>6/28/2025 22:31</t>
  </si>
  <si>
    <t>pi_3Rezj5Rxxun8okeS0FhHLnhp</t>
  </si>
  <si>
    <t>ZHIBAO ZHOU</t>
  </si>
  <si>
    <t>6/28/2025 23:24</t>
  </si>
  <si>
    <t>pi_3Rf0blRxxun8okeS1idJhOSm</t>
  </si>
  <si>
    <t>guy jiang</t>
  </si>
  <si>
    <t>6/29/2025 16:10</t>
  </si>
  <si>
    <t>pi_3RfGJFRxxun8okeS1sgS6rZ7</t>
  </si>
  <si>
    <t>6/29/2025 20:25</t>
  </si>
  <si>
    <t>6/29/2025 20:46</t>
  </si>
  <si>
    <t>6/29/2025 21:01</t>
  </si>
  <si>
    <t>6/29/2025 21:15</t>
  </si>
  <si>
    <t>pi_3RfL4SRxxun8okeS1aMPGAfc</t>
  </si>
  <si>
    <t>6/29/2025 21:40</t>
  </si>
  <si>
    <t>pi_3RfLRfRxxun8okeS1MgFQouB</t>
  </si>
  <si>
    <t>6/29/2025 21:41</t>
  </si>
  <si>
    <t>6/30/2025 9:00</t>
  </si>
  <si>
    <t>Benny X</t>
  </si>
  <si>
    <t>6/30/2025 9:11</t>
  </si>
  <si>
    <t>6/30/2025 10:07</t>
  </si>
  <si>
    <t>6/30/2025 11:49</t>
  </si>
  <si>
    <t>6/30/2025 12:09</t>
  </si>
  <si>
    <t>6/30/2025 12:19</t>
  </si>
  <si>
    <t>6/30/2025 17:16</t>
  </si>
  <si>
    <t>pi_3RfdoVRxxun8okeS0qcIfiu8</t>
  </si>
  <si>
    <t>6/30/2025 18:52</t>
  </si>
  <si>
    <t>cc cc</t>
  </si>
  <si>
    <t>6/30/2025 19:15</t>
  </si>
  <si>
    <t>6/30/2025 23:15</t>
  </si>
  <si>
    <t>pi_3RfjQJRxxun8okeS0gXBfspy</t>
  </si>
  <si>
    <t>Wan Ops</t>
  </si>
  <si>
    <t>pi_3RfxmGRxxun8okeS1JvRALbE</t>
  </si>
  <si>
    <t>yang yang</t>
  </si>
  <si>
    <t>miles cj</t>
  </si>
  <si>
    <t>X X</t>
  </si>
  <si>
    <t>jiacheng wang</t>
  </si>
  <si>
    <t>pi_3Rg5uaRxxun8okeS0tCqzOUm</t>
  </si>
  <si>
    <t>pi_3Rg6FyRxxun8okeS1COplqfJ</t>
  </si>
  <si>
    <t>舜川 郑</t>
  </si>
  <si>
    <t>xun xun</t>
  </si>
  <si>
    <t>yinghui yan</t>
  </si>
  <si>
    <t>81eae903c48e7ac516a2e254027acfd9ca8c02e77b5a11787b11517c887e6910</t>
  </si>
  <si>
    <t>pi_3RgF5lRxxun8okeS0m0vOpXP</t>
  </si>
  <si>
    <t>7f23ba37f6fe74a5318f9c4d9a27e909e73e6a724848499c943081d5cd9a0d7a</t>
  </si>
  <si>
    <t>Refund of Transaction ID pi_3RgF5lRxxun8okeS0m0vOpXP</t>
  </si>
  <si>
    <t>帆 yang</t>
  </si>
  <si>
    <t>扫码 扫</t>
  </si>
  <si>
    <t>Wei Guo</t>
  </si>
  <si>
    <t>Smile Delux</t>
  </si>
  <si>
    <t>pi_3RgdZ9Rxxun8okeS1BkjOf9r</t>
  </si>
  <si>
    <t>asdas dasda</t>
  </si>
  <si>
    <t>pi_3RgmnpRxxun8okeS1KSQNfkW</t>
  </si>
  <si>
    <t>Bo Zeng</t>
  </si>
  <si>
    <t>pi_3RgqgPRxxun8okeS1hO1kAuL</t>
  </si>
  <si>
    <t>pi_3Rgy4VRxxun8okeS1HcpSsLv</t>
  </si>
  <si>
    <t>jo jo</t>
  </si>
  <si>
    <t>pi_3RgyLURxxun8okeS0UIM5LV6</t>
  </si>
  <si>
    <t>Donghua Gu</t>
  </si>
  <si>
    <t>先生 张</t>
  </si>
  <si>
    <t>cx m</t>
  </si>
  <si>
    <t>df1b3ceaf94d308aee8eec6bfddf3f27d568e13a8a86482184321dab73bc401f</t>
  </si>
  <si>
    <t>b4ac0f1e8c7cb8ce9300ac82ffb591bfad093d76222787fa0e865ed33b12aed3</t>
  </si>
  <si>
    <t>pi_3RhMgcRxxun8okeS0dwtd614</t>
  </si>
  <si>
    <t>Refund of Transaction ID Z701714059864003</t>
  </si>
  <si>
    <t>Refund of Transaction ID Z701550709359034</t>
  </si>
  <si>
    <t>瑾 朝</t>
  </si>
  <si>
    <t>pi_3RhkfmRxxun8okeS1ItL6agn</t>
  </si>
  <si>
    <t>Refund of Transaction ID Z704332300843799</t>
  </si>
  <si>
    <t>阳阳 徐</t>
  </si>
  <si>
    <t>pi_3Rhn2iRxxun8okeS01QDqOpP</t>
  </si>
  <si>
    <t>pi_3RhnR3Rxxun8okeS05iGF8RT</t>
  </si>
  <si>
    <t>pi_3RhnSRRxxun8okeS1hZLHVed</t>
  </si>
  <si>
    <t>pi_3RhqTZRxxun8okeS0r60uYOo</t>
  </si>
  <si>
    <t>pi_3RhqoSRxxun8okeS0Lcx5S0L</t>
  </si>
  <si>
    <t>Jackie Jordon</t>
  </si>
  <si>
    <t>601d620457bc781945d5a501932541cdc43a2ae004380034fdbf069632022916</t>
  </si>
  <si>
    <t>pi_3Ri3hsRxxun8okeS1yr0E1nZ</t>
  </si>
  <si>
    <t>pi_3Ri4hgRxxun8okeS1fwiWTAW</t>
  </si>
  <si>
    <t>pi_3Ri5wlRxxun8okeS1R2XQ2kC</t>
  </si>
  <si>
    <t>pi_3Ri9jfRxxun8okeS1QYlMbqP</t>
  </si>
  <si>
    <t>pi_3RiG2ZRxxun8okeS1cxVI1PV</t>
  </si>
  <si>
    <t>Quinson Cai</t>
  </si>
  <si>
    <t>pi_3RiSTBRxxun8okeS0gaD6sc6</t>
  </si>
  <si>
    <t>pi_3RiTh5Rxxun8okeS1NF8tAkp</t>
  </si>
  <si>
    <t>z xd</t>
  </si>
  <si>
    <t>pi_3RiXf3Rxxun8okeS1rybapWZ</t>
  </si>
  <si>
    <t>Chad Li</t>
  </si>
  <si>
    <t>pi_3RifLORxxun8okeS0y7KLgV0</t>
  </si>
  <si>
    <t>pi_3RimViRxxun8okeS0ecHFb95</t>
  </si>
  <si>
    <t>Refund of Transaction ID pi_3RiXf3Rxxun8okeS1rybapWZ</t>
  </si>
  <si>
    <t>pi_3RixrHRxxun8okeS0LL89TEC</t>
  </si>
  <si>
    <t>qing bao</t>
  </si>
  <si>
    <t>efc74a109c16b770a8e559fb7d3ead0f764a4193b34a34d2cdcc889faf59e341</t>
  </si>
  <si>
    <t>奇珍 蔡</t>
  </si>
  <si>
    <t>pi_3Rj1hQRxxun8okeS1iSQOrEN</t>
  </si>
  <si>
    <t>91b8d1aa69196d8f901f1a94bed54b7c95dbe5fb1264780c3465121f6b0d0575</t>
  </si>
  <si>
    <t>solaire h3</t>
  </si>
  <si>
    <t>pi_3Rj8grRxxun8okeS1touBv35</t>
  </si>
  <si>
    <t>2ac6458894dc9b2f4cb033f7c1aff6f4aa1c3986dcdc49688918d98506295f15</t>
  </si>
  <si>
    <t>pi_3Rj97wRxxun8okeS1i7TGQjC</t>
  </si>
  <si>
    <t>sh lu</t>
  </si>
  <si>
    <t>pi_3RjActRxxun8okeS1mGHNVGk</t>
  </si>
  <si>
    <t>Refund of Transaction ID Z708868865858392</t>
  </si>
  <si>
    <t>洋 博</t>
  </si>
  <si>
    <t>pi_3RjF9TRxxun8okeS1wNpcXqK</t>
  </si>
  <si>
    <t>pi_3RjGoHRxxun8okeS1hL4quFI</t>
  </si>
  <si>
    <t>pi_3RjHv9Rxxun8okeS04doXIfs</t>
  </si>
  <si>
    <t>pi_3RjJhvRxxun8okeS0eZFZKdh</t>
  </si>
  <si>
    <t>pi_3RjLU1Rxxun8okeS0ERWxIBW</t>
  </si>
  <si>
    <t>c130bb67fd4f7689e333acb1e36bb66dce74f22df46108d327b6d18d88553a52</t>
  </si>
  <si>
    <t>pi_3RjY03Rxxun8okeS0ucIAZAM</t>
  </si>
  <si>
    <t>pi_3RjYp9Rxxun8okeS0xfYeQBC</t>
  </si>
  <si>
    <t>pi_3RjZWQRxxun8okeS1rCU0y2I</t>
  </si>
  <si>
    <t>Dakota Kidd</t>
  </si>
  <si>
    <t>pi_3RjhIcRxxun8okeS0C7wFWX9</t>
  </si>
  <si>
    <t>wang araspet</t>
  </si>
  <si>
    <t>pi_3RjhxGRxxun8okeS0PIipYHF</t>
  </si>
  <si>
    <t>San zhang</t>
  </si>
  <si>
    <t>93bed79e2f60c88dfca884e4d8ada6f5dc40972de48e3a99523c3b5da769e5cf</t>
  </si>
  <si>
    <t>maike mei</t>
  </si>
  <si>
    <t>pi_3RjyJhRxxun8okeS197QOJ5w</t>
  </si>
  <si>
    <t>黄 陈</t>
  </si>
  <si>
    <t>pi_3Rk37DRxxun8okeS1VJtqg3u</t>
  </si>
  <si>
    <t>苏打 庄</t>
  </si>
  <si>
    <t>7/13/2025 2:13</t>
  </si>
  <si>
    <t>sang liu</t>
  </si>
  <si>
    <t>7/13/2025 7:27</t>
  </si>
  <si>
    <t>pi_3RkCpJRxxun8okeS0BasTczf</t>
  </si>
  <si>
    <t>Gasless Ching</t>
  </si>
  <si>
    <t>7/13/2025 8:21</t>
  </si>
  <si>
    <t>pi_3RkDdtRxxun8okeS0StFni2M</t>
  </si>
  <si>
    <t>7/13/2025 11:03</t>
  </si>
  <si>
    <t>pi_3RkGBwRxxun8okeS1RttmQGT</t>
  </si>
  <si>
    <t>Hogan Lin</t>
  </si>
  <si>
    <t>7/13/2025 17:47</t>
  </si>
  <si>
    <t>pi_3RkMUZRxxun8okeS0dZusjme</t>
  </si>
  <si>
    <t>7/13/2025 21:06</t>
  </si>
  <si>
    <t>7/14/2025 1:08</t>
  </si>
  <si>
    <t>7/14/2025 1:15</t>
  </si>
  <si>
    <t>e6ca7bff904fc7b8b7551dabfb7f9e57f5ebe2361ff30005e124a3c928d8ce79</t>
  </si>
  <si>
    <t>7/14/2025 1:16</t>
  </si>
  <si>
    <t>2e7ef1fc2ce9e8b4bb41730b5317a769308854ebee5fc9e39e094ffec0541929</t>
  </si>
  <si>
    <t>7/14/2025 12:47</t>
  </si>
  <si>
    <t>pi_3RkeHXRxxun8okeS0Xc081zq</t>
  </si>
  <si>
    <t>7/14/2025 13:59</t>
  </si>
  <si>
    <t>xixi zhang</t>
  </si>
  <si>
    <t>7/14/2025 14:02</t>
  </si>
  <si>
    <t>pi_3RkfS5Rxxun8okeS0XshOfTc</t>
  </si>
  <si>
    <t>7/14/2025 15:57</t>
  </si>
  <si>
    <t>pi_3RkhFkRxxun8okeS1wmdm6cA</t>
  </si>
  <si>
    <t>7/14/2025 16:00</t>
  </si>
  <si>
    <t>7/14/2025 17:12</t>
  </si>
  <si>
    <t>pi_3RkiPDRxxun8okeS0GRCmCmr</t>
  </si>
  <si>
    <t>Zan Wang</t>
  </si>
  <si>
    <t>7/14/2025 20:00</t>
  </si>
  <si>
    <t>Kim Jamie</t>
  </si>
  <si>
    <t>7/14/2025 21:54</t>
  </si>
  <si>
    <t>pi_3RkmpFRxxun8okeS1U1zHAYt</t>
  </si>
  <si>
    <t>7/14/2025 22:00</t>
  </si>
  <si>
    <t>7/14/2025 23:01</t>
  </si>
  <si>
    <t>pi_3RknrtRxxun8okeS1UXVxP8G</t>
  </si>
  <si>
    <t>MAHIR ORABI</t>
  </si>
  <si>
    <t>7/15/2025 0:20</t>
  </si>
  <si>
    <t>7/15/2025 1:26</t>
  </si>
  <si>
    <t>Refund of Transaction ID Z714099657760580</t>
  </si>
  <si>
    <t>wu wen</t>
  </si>
  <si>
    <t>7/15/2025 8:45</t>
  </si>
  <si>
    <t>pi_3Rkwz1Rxxun8okeS1d7IOZ1J</t>
  </si>
  <si>
    <t>Cliff Tang</t>
  </si>
  <si>
    <t>7/15/2025 14:55</t>
  </si>
  <si>
    <t>pi_3Rl2l2Rxxun8okeS1FXRfK9w</t>
  </si>
  <si>
    <t>7/15/2025 15:24</t>
  </si>
  <si>
    <t>pi_3Rl3D0Rxxun8okeS0cdWLDP2</t>
  </si>
  <si>
    <t>7/15/2025 18:38</t>
  </si>
  <si>
    <t>pi_3Rl6F2Rxxun8okeS1qiZhNjS</t>
  </si>
  <si>
    <t>7/15/2025 21:31</t>
  </si>
  <si>
    <t>pi_3Rl8wvRxxun8okeS0efLDNMj</t>
  </si>
  <si>
    <t>E baifen</t>
  </si>
  <si>
    <t>7/16/2025 0:12</t>
  </si>
  <si>
    <t>pi_3RlBRuRxxun8okeS04DnqDRX</t>
  </si>
  <si>
    <t>J T</t>
  </si>
  <si>
    <t>7/16/2025 0:25</t>
  </si>
  <si>
    <t>pi_3RlBfGRxxun8okeS1r3flDJz</t>
  </si>
  <si>
    <t>7/16/2025 1:22</t>
  </si>
  <si>
    <t>7/16/2025 12:45</t>
  </si>
  <si>
    <t>pi_3RlNDXRxxun8okeS1fIwMgKx</t>
  </si>
  <si>
    <t>7/16/2025 12:50</t>
  </si>
  <si>
    <t>pi_3RlNGpRxxun8okeS0AlijO5V</t>
  </si>
  <si>
    <t>7/16/2025 13:39</t>
  </si>
  <si>
    <t>pi_3RlO3KRxxun8okeS1qrzdCSV</t>
  </si>
  <si>
    <t>DE DE</t>
  </si>
  <si>
    <t>7/16/2025 14:22</t>
  </si>
  <si>
    <t>pi_3RlOjbRxxun8okeS16dzGJPM</t>
  </si>
  <si>
    <t>7/16/2025 15:32</t>
  </si>
  <si>
    <t>7/16/2025 17:15</t>
  </si>
  <si>
    <t>pi_3RlRQKRxxun8okeS0tXfxsRA</t>
  </si>
  <si>
    <t>lee die</t>
  </si>
  <si>
    <t>7/16/2025 18:09</t>
  </si>
  <si>
    <t>7/16/2025 18:22</t>
  </si>
  <si>
    <t>7/16/2025 20:06</t>
  </si>
  <si>
    <t>pi_3RlU5YRxxun8okeS1Yi1BxdL</t>
  </si>
  <si>
    <t>7/16/2025 20:16</t>
  </si>
  <si>
    <t>pi_3RlUFvRxxun8okeS13ZSntwr</t>
  </si>
  <si>
    <t>7/16/2025 20:33</t>
  </si>
  <si>
    <t>7/16/2025 20:49</t>
  </si>
  <si>
    <t>lin li</t>
  </si>
  <si>
    <t>7/17/2025 0:20</t>
  </si>
  <si>
    <t>7/17/2025 0:34</t>
  </si>
  <si>
    <t>904e2765bf0923697a1983aa9f5d6b451a2d696c3d4d9d2da6562fdd0a0c5e7f</t>
  </si>
  <si>
    <t>Hank He</t>
  </si>
  <si>
    <t>7/17/2025 0:38</t>
  </si>
  <si>
    <t>wang xuchu</t>
  </si>
  <si>
    <t>7/17/2025 9:58</t>
  </si>
  <si>
    <t>pi_3Rlh5BRxxun8okeS1oXhvnGo</t>
  </si>
  <si>
    <t>ben ben</t>
  </si>
  <si>
    <t>7/17/2025 10:16</t>
  </si>
  <si>
    <t>pi_3RlhMURxxun8okeS0owtXKLg</t>
  </si>
  <si>
    <t>7/17/2025 10:29</t>
  </si>
  <si>
    <t>pi_3RlhZJRxxun8okeS0MK89kjf</t>
  </si>
  <si>
    <t>7/17/2025 12:44</t>
  </si>
  <si>
    <t>xie x</t>
  </si>
  <si>
    <t>7/17/2025 16:18</t>
  </si>
  <si>
    <t>luo 陈</t>
  </si>
  <si>
    <t>7/17/2025 16:32</t>
  </si>
  <si>
    <t>pi_3RlnDPRxxun8okeS0S0PuqkH</t>
  </si>
  <si>
    <t>pi_3RlnEtRxxun8okeS1B4thcVl</t>
  </si>
  <si>
    <t>7/17/2025 16:33</t>
  </si>
  <si>
    <t>Perry Wally</t>
  </si>
  <si>
    <t>7/17/2025 19:12</t>
  </si>
  <si>
    <t>88c9ba565f8192218e3b46a95963b50b414221c213b85c9d5994fe8226e4e78f</t>
  </si>
  <si>
    <t>7/17/2025 20:51</t>
  </si>
  <si>
    <t>pi_3RlrHHRxxun8okeS0WfDZtJ6</t>
  </si>
  <si>
    <t>7/17/2025 21:42</t>
  </si>
  <si>
    <t>0294db95b16a3ee061cd03d925828a37f46234c28d329705523b2df478ad863a</t>
  </si>
  <si>
    <t>学元 崔</t>
  </si>
  <si>
    <t>7/17/2025 22:20</t>
  </si>
  <si>
    <t>pi_3RlsfRRxxun8okeS1JdkUOSD</t>
  </si>
  <si>
    <t>7/18/2025 0:00</t>
  </si>
  <si>
    <t>7/18/2025 1:30</t>
  </si>
  <si>
    <t>Refund of Transaction ID pi_3RlBRuRxxun8okeS04DnqDRX</t>
  </si>
  <si>
    <t>Weiliang Jiang</t>
  </si>
  <si>
    <t>7/18/2025 10:14</t>
  </si>
  <si>
    <t>pi_3Rm3o5Rxxun8okeS0obXZYxL</t>
  </si>
  <si>
    <t>7/18/2025 14:13</t>
  </si>
  <si>
    <t>Refund of Transaction ID pi_3RlNGpRxxun8okeS0AlijO5V</t>
  </si>
  <si>
    <t>7/18/2025 14:19</t>
  </si>
  <si>
    <t>Refund of Transaction ID Z712439933472443</t>
  </si>
  <si>
    <t>7/18/2025 14:58</t>
  </si>
  <si>
    <t>pi_3Rm8EXRxxun8okeS1mK7dDox</t>
  </si>
  <si>
    <t>7/18/2025 15:20</t>
  </si>
  <si>
    <t>7/18/2025 16:34</t>
  </si>
  <si>
    <t>pi_3Rm9jdRxxun8okeS00zRzs9U</t>
  </si>
  <si>
    <t>7/18/2025 16:40</t>
  </si>
  <si>
    <t>dlgump kam</t>
  </si>
  <si>
    <t>7/18/2025 17:55</t>
  </si>
  <si>
    <t>MeiNeng YE</t>
  </si>
  <si>
    <t>7/18/2025 20:12</t>
  </si>
  <si>
    <t>pi_3RmD7XRxxun8okeS0vSkMsur</t>
  </si>
  <si>
    <t>7/18/2025 20:31</t>
  </si>
  <si>
    <t>pi_3RmDRJRxxun8okeS0vl5S93I</t>
  </si>
  <si>
    <t>7/18/2025 20:44</t>
  </si>
  <si>
    <t>Jennifer F Nguyen Jennifer</t>
  </si>
  <si>
    <t>7/18/2025 21:04</t>
  </si>
  <si>
    <t>7/19/2025 0:00</t>
  </si>
  <si>
    <t>Refund of Transaction ID pi_3RmD7XRxxun8okeS0vSkMsur转至余额</t>
  </si>
  <si>
    <t>Refund of Transaction ID pi_3RmDRJRxxun8okeS0vl5S93I转至余额</t>
  </si>
  <si>
    <t>7/19/2025 8:30</t>
  </si>
  <si>
    <t>pi_3RmOecRxxun8okeS1jehgK5D</t>
  </si>
  <si>
    <t>7/19/2025 16:04</t>
  </si>
  <si>
    <t>pi_3RmVkuRxxun8okeS0LLCfSlB</t>
  </si>
  <si>
    <t>7/19/2025 16:35</t>
  </si>
  <si>
    <t>Neo Z</t>
  </si>
  <si>
    <t>7/19/2025 23:24</t>
  </si>
  <si>
    <t>pi_3RmcYcRxxun8okeS0OR9VXmx</t>
  </si>
  <si>
    <t>7/20/2025 3:11</t>
  </si>
  <si>
    <t>pi_3Rmg9uRxxun8okeS1ctCU4JY</t>
  </si>
  <si>
    <t>7/20/2025 11:41</t>
  </si>
  <si>
    <t>pi_3Rmo7pRxxun8okeS0r7zYhFi</t>
  </si>
  <si>
    <t>Mai douqing</t>
  </si>
  <si>
    <t>7/20/2025 17:00</t>
  </si>
  <si>
    <t>7c549b1d6db61ace877dcf53c866d55339af40d0039fb5449346e70230451816</t>
  </si>
  <si>
    <t>JIAHUA XU</t>
  </si>
  <si>
    <t>7/20/2025 17:04</t>
  </si>
  <si>
    <t>pi_3Rmt9yRxxun8okeS1IXQKl4v</t>
  </si>
  <si>
    <t>7/20/2025 17:53</t>
  </si>
  <si>
    <t>pi_3RmtteRxxun8okeS13AUk8E7</t>
  </si>
  <si>
    <t>7/20/2025 20:55</t>
  </si>
  <si>
    <t>7/21/2025 0:28</t>
  </si>
  <si>
    <t>7/21/2025 15:00</t>
  </si>
  <si>
    <t>pi_3RnDhXRxxun8okeS1TzUGGnu</t>
  </si>
  <si>
    <t>Chao Xu</t>
  </si>
  <si>
    <t>7/21/2025 16:05</t>
  </si>
  <si>
    <t>pi_3RnEiHRxxun8okeS1sMnIzwg</t>
  </si>
  <si>
    <t>7/21/2025 16:28</t>
  </si>
  <si>
    <t>105b6a457cd3c3334b1adff27a334dcaaed7d6a2e77f6774336df3741837d87f</t>
  </si>
  <si>
    <t>姜山 陈</t>
  </si>
  <si>
    <t>7/21/2025 18:33</t>
  </si>
  <si>
    <t>7/21/2025 18:45</t>
  </si>
  <si>
    <t>R L</t>
  </si>
  <si>
    <t>7/21/2025 18:58</t>
  </si>
  <si>
    <t>pi_3RnHQWRxxun8okeS0L3uxYOE</t>
  </si>
  <si>
    <t>7/21/2025 19:12</t>
  </si>
  <si>
    <t>mhh xy</t>
  </si>
  <si>
    <t>7/22/2025 8:50</t>
  </si>
  <si>
    <t>pi_3RnUPDRxxun8okeS0iD4Me0C</t>
  </si>
  <si>
    <t>YANNI YEH</t>
  </si>
  <si>
    <t>7/22/2025 9:16</t>
  </si>
  <si>
    <t>7/22/2025 10:29</t>
  </si>
  <si>
    <t>Refund of Transaction ID 9WY88273HJ5250149</t>
  </si>
  <si>
    <t>7/22/2025 12:10</t>
  </si>
  <si>
    <t>pi_3RnXWiRxxun8okeS0jPAhnOH</t>
  </si>
  <si>
    <t>7/22/2025 13:05</t>
  </si>
  <si>
    <t>pi_3RnYNdRxxun8okeS1jwUMxSU</t>
  </si>
  <si>
    <t>7/22/2025 16:05</t>
  </si>
  <si>
    <t>4ea8fd4ff516e5daef092c616d4fd6664a10794ea01a866a28e771dbcff554db</t>
  </si>
  <si>
    <t>7/22/2025 16:59</t>
  </si>
  <si>
    <t>pi_3Rnc1fRxxun8okeS0Jhj4EaR</t>
  </si>
  <si>
    <t>朱迪 朱迪</t>
  </si>
  <si>
    <t>7/22/2025 18:01</t>
  </si>
  <si>
    <t>e49fbc3856dad95cd28052ef97ae18e22b2764728b8f5a989dfd6b507cb0030a</t>
  </si>
  <si>
    <t>7/22/2025 19:29</t>
  </si>
  <si>
    <t>用户多充值了一次99.99，已经核实到账，hash最后：5a8c</t>
  </si>
  <si>
    <t>7/22/2025 20:46</t>
  </si>
  <si>
    <t>pi_3RnfZSRxxun8okeS1oqznPaz</t>
  </si>
  <si>
    <t>青意 袁</t>
  </si>
  <si>
    <t>7/23/2025 0:00</t>
  </si>
  <si>
    <t>dc495c0dd700b765529a380a43bab07268aa5c1e0350f2cf35f0e3bdf32afde1</t>
  </si>
  <si>
    <t>7/23/2025 9:33</t>
  </si>
  <si>
    <t>7/23/2025 9:38</t>
  </si>
  <si>
    <t>pi_3RnrdQRxxun8okeS1MIoEQl1</t>
  </si>
  <si>
    <t>7/23/2025 21:06</t>
  </si>
  <si>
    <t>pi_3Ro2MnRxxun8okeS1IJ0BYBm</t>
  </si>
  <si>
    <t>7/23/2025 22:52</t>
  </si>
  <si>
    <t>pi_3Ro41VRxxun8okeS1JDAIDIE</t>
  </si>
  <si>
    <t>shisan man</t>
  </si>
  <si>
    <t>7/23/2025 23:56</t>
  </si>
  <si>
    <t>pi_3Ro51NRxxun8okeS1Wy7bldo</t>
  </si>
  <si>
    <t>wang qi</t>
  </si>
  <si>
    <t>7/24/2025 9:45</t>
  </si>
  <si>
    <t>pi_3RoEDaRxxun8okeS0t3omurH</t>
  </si>
  <si>
    <t>7/24/2025 10:58</t>
  </si>
  <si>
    <t>pi_3RoFLVRxxun8okeS0LrugrO6</t>
  </si>
  <si>
    <t>fei fei</t>
  </si>
  <si>
    <t>7/24/2025 16:09</t>
  </si>
  <si>
    <t>pi_3RoKC8Rxxun8okeS1IEwf0Ls</t>
  </si>
  <si>
    <t>7/24/2025 16:19</t>
  </si>
  <si>
    <t>pi_3RoKMdRxxun8okeS0ElniuQN</t>
  </si>
  <si>
    <t>li kai</t>
  </si>
  <si>
    <t>7/24/2025 20:09</t>
  </si>
  <si>
    <t>8baa17ffd0b2779d90085c49dcf74fdf36697fcb2ab2cf95264f1a77210ccf5b</t>
  </si>
  <si>
    <t>7/24/2025 22:06</t>
  </si>
  <si>
    <t>pi_3RoPm9Rxxun8okeS1UAyHWpB</t>
  </si>
  <si>
    <t>7/25/2025 8:45</t>
  </si>
  <si>
    <t>pi_3RoZk1Rxxun8okeS0UFqdulf</t>
  </si>
  <si>
    <t>king cat</t>
  </si>
  <si>
    <t>7/25/2025 9:04</t>
  </si>
  <si>
    <t>pi_3Roa3eRxxun8okeS0Cwwu8tu</t>
  </si>
  <si>
    <t>7/25/2025 11:17</t>
  </si>
  <si>
    <t>pi_3Roc6GRxxun8okeS157brFO1</t>
  </si>
  <si>
    <t>7/25/2025 15:37</t>
  </si>
  <si>
    <t>pi_3Rog8vRxxun8okeS1AXEtfK5</t>
  </si>
  <si>
    <t>7/25/2025 16:18</t>
  </si>
  <si>
    <t>d05ce721d68de3d4412dfe7e1474386cdda625ad65dc9b0c254f1681414dd764</t>
  </si>
  <si>
    <t>7/25/2025 16:48</t>
  </si>
  <si>
    <t>pi_3RohHyRxxun8okeS1KjqrqtR</t>
  </si>
  <si>
    <t>浩 王</t>
  </si>
  <si>
    <t>7/25/2025 18:31</t>
  </si>
  <si>
    <t>pi_3Roit9Rxxun8okeS0nMmTqhS</t>
  </si>
  <si>
    <t>7/25/2025 18:49</t>
  </si>
  <si>
    <t>40ab6f2be1472ec7861b02f1d5350115df44a08c5fc8d7a9df60802b52d19e99</t>
  </si>
  <si>
    <t>7/25/2025 21:44</t>
  </si>
  <si>
    <t>pi_3RoluhRxxun8okeS0P49CZSZ</t>
  </si>
  <si>
    <t>7/26/2025 0:51</t>
  </si>
  <si>
    <t>longbin peng</t>
  </si>
  <si>
    <t>7/26/2025 9:28</t>
  </si>
  <si>
    <t>pi_3RowtkRxxun8okeS1arPacdG</t>
  </si>
  <si>
    <t>7/26/2025 9:59</t>
  </si>
  <si>
    <t>pi_3RoxODRxxun8okeS1PlWXtvu</t>
  </si>
  <si>
    <t>7/26/2025 10:26</t>
  </si>
  <si>
    <t>James Brown</t>
  </si>
  <si>
    <t>7/26/2025 12:41</t>
  </si>
  <si>
    <t>qiu chun</t>
  </si>
  <si>
    <t>7/26/2025 17:51</t>
  </si>
  <si>
    <t>pi_3Rp4kgRxxun8okeS0OskZNO7</t>
  </si>
  <si>
    <t>7/26/2025 18:06</t>
  </si>
  <si>
    <t>pi_3Rp4zBRxxun8okeS0yTaO707</t>
  </si>
  <si>
    <t>7/26/2025 18:27</t>
  </si>
  <si>
    <t>45859f72a0f9561ec26f95019de17faa974567748d541a5222561d95bb2b04d0</t>
  </si>
  <si>
    <t>7/26/2025 19:22</t>
  </si>
  <si>
    <t>7/26/2025 19:24</t>
  </si>
  <si>
    <t>7/26/2025 21:20</t>
  </si>
  <si>
    <t>7/26/2025 22:31</t>
  </si>
  <si>
    <t>ze xu</t>
  </si>
  <si>
    <t>7/27/2025 1:09</t>
  </si>
  <si>
    <t>ask Mask</t>
  </si>
  <si>
    <t>7/27/2025 1:47</t>
  </si>
  <si>
    <t>pi_3RpCBfRxxun8okeS0qFXPUU0</t>
  </si>
  <si>
    <t>Ken Deng</t>
  </si>
  <si>
    <t>7/27/2025 9:05</t>
  </si>
  <si>
    <t>pi_3RpJ1CRxxun8okeS1u1K43ub</t>
  </si>
  <si>
    <t>wdw dw</t>
  </si>
  <si>
    <t>7/27/2025 12:55</t>
  </si>
  <si>
    <t>pi_3RpMZYRxxun8okeS0UwEZvfK</t>
  </si>
  <si>
    <t>7/27/2025 18:05</t>
  </si>
  <si>
    <t>vn cnvip</t>
  </si>
  <si>
    <t>7/27/2025 20:00</t>
  </si>
  <si>
    <t>7/27/2025 20:03</t>
  </si>
  <si>
    <t>pi_3RpTIORxxun8okeS1rRCKpX2</t>
  </si>
  <si>
    <t>Tok Tik</t>
  </si>
  <si>
    <t>7/28/2025 1:52</t>
  </si>
  <si>
    <t>7/28/2025 11:49</t>
  </si>
  <si>
    <t>pi_3Rpi3eRxxun8okeS1tRppPrU</t>
  </si>
  <si>
    <t>7/28/2025 20:19</t>
  </si>
  <si>
    <t>pi_3Rpq1WRxxun8okeS1WD3kjuQ</t>
  </si>
  <si>
    <t>7/28/2025 22:01</t>
  </si>
  <si>
    <t>pi_3RprbNRxxun8okeS1v0YzpSV</t>
  </si>
  <si>
    <t>7/28/2025 23:19</t>
  </si>
  <si>
    <t>Refund of Transaction ID Z715000481464956</t>
  </si>
  <si>
    <t>Refund of Transaction ID Z702624992036235</t>
  </si>
  <si>
    <t>7/28/2025 23:55</t>
  </si>
  <si>
    <t>15b3cb34ae74edc4e59683260cc3e811aa61be3b2885057f5d9e840f12dd8d38</t>
  </si>
  <si>
    <t>林 格</t>
  </si>
  <si>
    <t>7/29/2025 0:21</t>
  </si>
  <si>
    <t>pi_3RptmIRxxun8okeS0GhPlcTv</t>
  </si>
  <si>
    <t>7/29/2025 10:14</t>
  </si>
  <si>
    <t>xiaobao wei</t>
  </si>
  <si>
    <t>7/29/2025 10:28</t>
  </si>
  <si>
    <t>pi_3Rq3FuRxxun8okeS1U2bSkvJ</t>
  </si>
  <si>
    <t>7/29/2025 10:44</t>
  </si>
  <si>
    <t>pi_3Rq3VjRxxun8okeS0E24Cpxn</t>
  </si>
  <si>
    <t>7/29/2025 11:42</t>
  </si>
  <si>
    <t>evane kou</t>
  </si>
  <si>
    <t>7/29/2025 14:17</t>
  </si>
  <si>
    <t>pi_3Rq6peRxxun8okeS0EnQRarO</t>
  </si>
  <si>
    <t>SICHUAN HUIFENG</t>
  </si>
  <si>
    <t>7/29/2025 15:03</t>
  </si>
  <si>
    <t>pi_3Rq7YLRxxun8okeS10DTKF9F</t>
  </si>
  <si>
    <t>7/29/2025 15:17</t>
  </si>
  <si>
    <t>pi_3Rq7mhRxxun8okeS1tAHM6SH</t>
  </si>
  <si>
    <t>Huam H</t>
  </si>
  <si>
    <t>7/29/2025 16:25</t>
  </si>
  <si>
    <t>pi_3Rq8qARxxun8okeS0a1Gjhtu</t>
  </si>
  <si>
    <t>7/29/2025 17:55</t>
  </si>
  <si>
    <t>pi_3RqAEwRxxun8okeS0Mjzukzs</t>
  </si>
  <si>
    <t>7/29/2025 18:18</t>
  </si>
  <si>
    <t>7/30/2025 0:30</t>
  </si>
  <si>
    <t>pi_3RqGOsRxxun8okeS0Mg5BRjN</t>
  </si>
  <si>
    <t>7/30/2025 10:14</t>
  </si>
  <si>
    <t>pi_3RqPWuRxxun8okeS1tiHz1rQ</t>
  </si>
  <si>
    <t>7/30/2025 13:04</t>
  </si>
  <si>
    <t>pi_3RqSBCRxxun8okeS1j18Pdka</t>
  </si>
  <si>
    <t>7/30/2025 17:06</t>
  </si>
  <si>
    <t>d d</t>
  </si>
  <si>
    <t>7/30/2025 17:27</t>
  </si>
  <si>
    <t>pi_3RqWHaRxxun8okeS1JaCgczs</t>
  </si>
  <si>
    <t>7/30/2025 18:53</t>
  </si>
  <si>
    <t>7/30/2025 21:33</t>
  </si>
  <si>
    <t>pi_3Rqa7nRxxun8okeS1rVHIBA8</t>
  </si>
  <si>
    <t>7/30/2025 22:05</t>
  </si>
  <si>
    <t>7/30/2025 22:48</t>
  </si>
  <si>
    <t>c335c1fdce06d06921fd3346bb01d494007070c406da432a5a082e0b40fb976f</t>
  </si>
  <si>
    <t>7/31/2025 0:30</t>
  </si>
  <si>
    <t>pi_3RqcrzRxxun8okeS1vTw6rx7</t>
  </si>
  <si>
    <t>7/31/2025 0:32</t>
  </si>
  <si>
    <t>pi_3RqcuxRxxun8okeS1YEpJCZ9</t>
  </si>
  <si>
    <t>7/31/2025 9:21</t>
  </si>
  <si>
    <t>pi_3Rql9tRxxun8okeS00o0EHB1</t>
  </si>
  <si>
    <t>fengliang rao</t>
  </si>
  <si>
    <t>7/31/2025 11:09</t>
  </si>
  <si>
    <t>pi_3RqmqBRxxun8okeS1SabjPz5</t>
  </si>
  <si>
    <t>VPS xServ</t>
  </si>
  <si>
    <t>7/31/2025 14:16</t>
  </si>
  <si>
    <t>pi_3RqpldRxxun8okeS0ZjtOXmZ</t>
  </si>
  <si>
    <t>7/31/2025 14:49</t>
  </si>
  <si>
    <t>pi_3RqqIYRxxun8okeS1DhuEZoL</t>
  </si>
  <si>
    <t>Joey Chan</t>
  </si>
  <si>
    <t>7/31/2025 15:07</t>
  </si>
  <si>
    <t>pi_3RqqZjRxxun8okeS1OxSYvx2</t>
  </si>
  <si>
    <t>xhb111 合</t>
  </si>
  <si>
    <t>7/31/2025 21:53</t>
  </si>
  <si>
    <t>pi_3RqwuzRxxun8okeS0iBbkyDO</t>
  </si>
  <si>
    <t>平 李</t>
  </si>
  <si>
    <t>pi_3Rr0BERxxun8okeS1ekVOXUB</t>
  </si>
  <si>
    <t>pi_3RrBXaRxxun8okeS0uM11mtY</t>
  </si>
  <si>
    <t>pi_3RrO0NRxxun8okeS1mU0nPJK</t>
  </si>
  <si>
    <t>pi_3RrUevRxxun8okeS1dwSdk5X</t>
  </si>
  <si>
    <t>wei zhou</t>
  </si>
  <si>
    <t>pi_3RrX0bRxxun8okeS1zo0jI7S</t>
  </si>
  <si>
    <t>d9b2f7ad7cf0b792da137a49cec3d7355090dc84134deed5b2bc9184884c2972</t>
  </si>
  <si>
    <t>pi_3RracWRxxun8okeS0mwBLWZB</t>
  </si>
  <si>
    <t>pi_3Rrg6VRxxun8okeS1KiQPMzu</t>
  </si>
  <si>
    <t>pi_3Rrw4dRxxun8okeS0UFmIpF1</t>
  </si>
  <si>
    <t>pi_3RrwC2Rxxun8okeS1MIAObuV</t>
  </si>
  <si>
    <t>pi_3Rs1oQRxxun8okeS1VUPsxWT</t>
  </si>
  <si>
    <t>e kin</t>
  </si>
  <si>
    <t>li huang</t>
  </si>
  <si>
    <t>pi_3RsJmvRxxun8okeS0IssVeqK</t>
  </si>
  <si>
    <t>Maritin Zhang</t>
  </si>
  <si>
    <t>pi_3RsKEURxxun8okeS1mFAPMjP</t>
  </si>
  <si>
    <t>217781b24e7ee0ffe3923f53013dc61cbbf2deb1c282fae9703da4d716142006</t>
  </si>
  <si>
    <t>Yang Zhao</t>
  </si>
  <si>
    <t>pi_3RseuSRxxun8okeS1nmqHnPw</t>
  </si>
  <si>
    <t>pi_3RshKqRxxun8okeS0ckIEX81</t>
  </si>
  <si>
    <t>tory khoh</t>
  </si>
  <si>
    <t>pi_3RshNmRxxun8okeS0DsMtRmU</t>
  </si>
  <si>
    <t>pi_3RshlyRxxun8okeS0WkESTV4</t>
  </si>
  <si>
    <t>JOSHUA CASSILL</t>
  </si>
  <si>
    <t>pi_3RsmxXRxxun8okeS0QRhqxRw</t>
  </si>
  <si>
    <t>wl w</t>
  </si>
  <si>
    <t>pi_3Rswl4Rxxun8okeS0iqbJyjI</t>
  </si>
  <si>
    <t>pi_3RszoeRxxun8okeS1XLrxOTV</t>
  </si>
  <si>
    <t>pi_3Rt2ywRxxun8okeS1pXkpNws</t>
  </si>
  <si>
    <t>帆 袁</t>
  </si>
  <si>
    <t>pi_3Rt9HrRxxun8okeS0Zwzk8EB</t>
  </si>
  <si>
    <t>sjsk sksk</t>
  </si>
  <si>
    <t>aa4cc1fcfa4599f2e24949dcd216c583e33b025f1ffd293ccaacd3843a573084</t>
  </si>
  <si>
    <t>276af2363c58f7a75cb16472e6230360fc205fe96e70a1e6eba65d4917bb93ed</t>
  </si>
  <si>
    <t>NAN WANG</t>
  </si>
  <si>
    <t>pi_3RtQfJRxxun8okeS1ZlzUgaA</t>
  </si>
  <si>
    <t>xi lomusive</t>
  </si>
  <si>
    <t>pi_3RtQx0Rxxun8okeS1PIgoV96</t>
  </si>
  <si>
    <t>pi_3Rtkz6Rxxun8okeS1ykdncoP</t>
  </si>
  <si>
    <t>pi_3RtlQHRxxun8okeS1PW5dBsm</t>
  </si>
  <si>
    <t>唐 唐</t>
  </si>
  <si>
    <t>pi_3RtvJ1Rxxun8okeS01KQjkda</t>
  </si>
  <si>
    <t>pi_3Rtwb4Rxxun8okeS1fFphVXY</t>
  </si>
  <si>
    <t>雨桥 刘</t>
  </si>
  <si>
    <t>pi_3Ru3lURxxun8okeS1izRBtxX</t>
  </si>
  <si>
    <t>pi_3Ru3rBRxxun8okeS04CP3F5v</t>
  </si>
  <si>
    <t>pi_3Ru5TeRxxun8okeS1P0aVCFu</t>
  </si>
  <si>
    <t>pi_3Ru6WmRxxun8okeS1ZL1kvqm</t>
  </si>
  <si>
    <t>pi_3Ru8DNRxxun8okeS1San4Djc</t>
  </si>
  <si>
    <t>pi_3Ru8QJRxxun8okeS0QlpwjiP</t>
  </si>
  <si>
    <t>yz nie</t>
  </si>
  <si>
    <t>pi_3RuCUzRxxun8okeS1q9tsnJR</t>
  </si>
  <si>
    <t>38260a2782e304c5472e9bdd5f9f3394f86c454d2f9e2150e582d41dd17b51ad</t>
  </si>
  <si>
    <t>Cran May</t>
  </si>
  <si>
    <t>pi_3RuPbqRxxun8okeS0lInlu1a</t>
  </si>
  <si>
    <t>pi_3RuYGrRxxun8okeS0bJrLh1t</t>
  </si>
  <si>
    <t>pi_3RuaVZRxxun8okeS0xOXB5MH</t>
  </si>
  <si>
    <t>pi_3RuakmRxxun8okeS1oc5T6yH</t>
  </si>
  <si>
    <t>f5b1b3c61486825ca3737142e58e42723f77827f51649c9ed6aec49328e891f1</t>
  </si>
  <si>
    <t>SI YIN</t>
  </si>
  <si>
    <t>pi_3RujdPRxxun8okeS1qlE0Flg</t>
  </si>
  <si>
    <t>pi_3Ruo0rRxxun8okeS0iBqpyjD</t>
  </si>
  <si>
    <t>ecd2963083203690545df5f894aad19184b5a536e1ac3ec375179e82f82a6d99</t>
  </si>
  <si>
    <t>pi_3RuqmpRxxun8okeS1cSrowFE</t>
  </si>
  <si>
    <t>pi_3RuyjlRxxun8okeS04hX2i0Q</t>
  </si>
  <si>
    <t>pi_3Rv7ivRxxun8okeS1sIT38CM</t>
  </si>
  <si>
    <t>pi_3Rv81wRxxun8okeS0Y7pYwQO</t>
  </si>
  <si>
    <t>永发 周</t>
  </si>
  <si>
    <t>pi_3Rv8WIRxxun8okeS145ITfWo</t>
  </si>
  <si>
    <t>pi_3RvBYmRxxun8okeS0UqUhaGZ</t>
  </si>
  <si>
    <t>8/13/2025 13:34</t>
  </si>
  <si>
    <t>pi_3RvXJvRxxun8okeS04pzSXoz</t>
  </si>
  <si>
    <t>8/13/2025 13:39</t>
  </si>
  <si>
    <t>8/13/2025 14:14</t>
  </si>
  <si>
    <t>pi_3RvXvoRxxun8okeS0kdZ5K5E</t>
  </si>
  <si>
    <t>zhang chao</t>
  </si>
  <si>
    <t>8/13/2025 22:10</t>
  </si>
  <si>
    <t>pi_3RvfMiRxxun8okeS1RTuoIK7</t>
  </si>
  <si>
    <t>8/13/2025 22:26</t>
  </si>
  <si>
    <t>pi_3RvfciRxxun8okeS07DsvsmL</t>
  </si>
  <si>
    <t>Zheng Peter</t>
  </si>
  <si>
    <t>8/13/2025 22:40</t>
  </si>
  <si>
    <t>pi_3RvfqrRxxun8okeS1Izi12bf</t>
  </si>
  <si>
    <t>8/14/2025 1:33</t>
  </si>
  <si>
    <t>8/14/2025 11:32</t>
  </si>
  <si>
    <t>pi_3RvrszRxxun8okeS0px3msow</t>
  </si>
  <si>
    <t>8/14/2025 12:36</t>
  </si>
  <si>
    <t>pi_3Rvst7Rxxun8okeS0UjgziOM</t>
  </si>
  <si>
    <t>8/14/2025 14:39</t>
  </si>
  <si>
    <t>8/14/2025 15:00</t>
  </si>
  <si>
    <t>pi_3Rvv8DRxxun8okeS1j9smn9D</t>
  </si>
  <si>
    <t>sai hu</t>
  </si>
  <si>
    <t>8/14/2025 16:25</t>
  </si>
  <si>
    <t>pi_3RvwSZRxxun8okeS1GFHejC2</t>
  </si>
  <si>
    <t>8/15/2025 1:29</t>
  </si>
  <si>
    <t>pi_3Rw4w0Rxxun8okeS1EJTOV1j</t>
  </si>
  <si>
    <t>8/15/2025 13:36</t>
  </si>
  <si>
    <t>Cheung Yuk Lee</t>
  </si>
  <si>
    <t>8/15/2025 22:35</t>
  </si>
  <si>
    <t>8/16/2025 8:31</t>
  </si>
  <si>
    <t>pi_3RwY1PRxxun8okeS05wjeDsR</t>
  </si>
  <si>
    <t>hua zou</t>
  </si>
  <si>
    <t>8/16/2025 11:49</t>
  </si>
  <si>
    <t>8/16/2025 12:43</t>
  </si>
  <si>
    <t>pi_3RwbwkRxxun8okeS01ka7pEs</t>
  </si>
  <si>
    <t>8/16/2025 13:32</t>
  </si>
  <si>
    <t>60409f63e24a450eded654d3934b733d3f9c2123c8f0ec52869fa91d13747a89</t>
  </si>
  <si>
    <t>8/16/2025 15:39</t>
  </si>
  <si>
    <t>pi_3RwegqRxxun8okeS1A6tj7pU</t>
  </si>
  <si>
    <t>8/16/2025 19:31</t>
  </si>
  <si>
    <t>david martin</t>
  </si>
  <si>
    <t>8/16/2025 20:58</t>
  </si>
  <si>
    <t>pi_3RwjgCRxxun8okeS0DHkJ2s2</t>
  </si>
  <si>
    <t>8/16/2025 23:37</t>
  </si>
  <si>
    <t>pi_3RwmADRxxun8okeS1YlvHRqk</t>
  </si>
  <si>
    <t>8/17/2025 0:44</t>
  </si>
  <si>
    <t>pi_3RwnD2Rxxun8okeS1tT9SqNW</t>
  </si>
  <si>
    <t>8/17/2025 20:21</t>
  </si>
  <si>
    <t>pi_3Rx5aBRxxun8okeS0UKKA2If</t>
  </si>
  <si>
    <t>8/17/2025 21:47</t>
  </si>
  <si>
    <t>pi_3Rx6t5Rxxun8okeS0ciZXz3T</t>
  </si>
  <si>
    <t>8/17/2025 23:00</t>
  </si>
  <si>
    <t>pi_3Rx83dRxxun8okeS1TilD9sF</t>
  </si>
  <si>
    <t>8/17/2025 23:31</t>
  </si>
  <si>
    <t>15487d2dea40757d8b71c1f6a5d7bb37beb739e3f600e5d057e8da98e5b4b271</t>
  </si>
  <si>
    <t>8/18/2025 10:01</t>
  </si>
  <si>
    <t>pi_3RxINrRxxun8okeS0lvroLzF</t>
  </si>
  <si>
    <t>HUA CHEN</t>
  </si>
  <si>
    <t>8/18/2025 10:43</t>
  </si>
  <si>
    <t>pi_3RxJ1zRxxun8okeS1KS6FH83</t>
  </si>
  <si>
    <t>8/18/2025 10:48</t>
  </si>
  <si>
    <t>pi_3RxJ5sRxxun8okeS0vjKMpDG</t>
  </si>
  <si>
    <t>mxroute mx</t>
  </si>
  <si>
    <t>8/18/2025 12:35</t>
  </si>
  <si>
    <t>6196f4fc53d6d3f9264f74fa387a6991f98b7afd4522a3af947a9b863b3475df</t>
  </si>
  <si>
    <t>8/18/2025 13:32</t>
  </si>
  <si>
    <t>73ba6b25f00f4ba9c1a4fd8c7cda21bd0855c4df580a3937bfa13f3610744350</t>
  </si>
  <si>
    <t>8/18/2025 15:21</t>
  </si>
  <si>
    <t>pi_3RxNM6Rxxun8okeS0fzLlcjt</t>
  </si>
  <si>
    <t>8/18/2025 16:01</t>
  </si>
  <si>
    <t>pi_3RxNzaRxxun8okeS0aIPW1TD</t>
  </si>
  <si>
    <t>华园 金</t>
  </si>
  <si>
    <t>8/18/2025 17:12</t>
  </si>
  <si>
    <t>pi_3RxP5GRxxun8okeS175Eazc4</t>
  </si>
  <si>
    <t>8/18/2025 17:39</t>
  </si>
  <si>
    <t>8/18/2025 22:56</t>
  </si>
  <si>
    <t>pi_3RxUTJRxxun8okeS0vt15zXl</t>
  </si>
  <si>
    <t>8/19/2025 12:24</t>
  </si>
  <si>
    <t>zhu wu</t>
  </si>
  <si>
    <t>8/19/2025 18:59</t>
  </si>
  <si>
    <t>pi_3RxnFQRxxun8okeS1dDoZtEg</t>
  </si>
  <si>
    <t>8/19/2025 21:24</t>
  </si>
  <si>
    <t>c4f3cdcd2da4915baa6dffd877306dfcdaba92e3cd9c6f6eeac2797a2b925cc7</t>
  </si>
  <si>
    <t>8/19/2025 22:25</t>
  </si>
  <si>
    <t>8/19/2025 23:00</t>
  </si>
  <si>
    <t>Jincheng Li</t>
  </si>
  <si>
    <t>8/20/2025 2:44</t>
  </si>
  <si>
    <t>pi_3RxuVTRxxun8okeS19pIwEQ9</t>
  </si>
  <si>
    <t>8/20/2025 3:29</t>
  </si>
  <si>
    <t>jie cao</t>
  </si>
  <si>
    <t>8/20/2025 14:00</t>
  </si>
  <si>
    <t>pi_3Ry547Rxxun8okeS0RzcWlM9</t>
  </si>
  <si>
    <t>8/20/2025 14:49</t>
  </si>
  <si>
    <t>8/20/2025 15:11</t>
  </si>
  <si>
    <t>pi_3Ry6A1Rxxun8okeS1M1MyLJ0</t>
  </si>
  <si>
    <t>8/20/2025 16:24</t>
  </si>
  <si>
    <t>pi_3Ry7HzRxxun8okeS1LHk8Nqu</t>
  </si>
  <si>
    <t>8/20/2025 19:15</t>
  </si>
  <si>
    <t>8/20/2025 20:55</t>
  </si>
  <si>
    <t>pi_3RyBXnRxxun8okeS0ZosK4UO</t>
  </si>
  <si>
    <t>8/21/2025 9:06</t>
  </si>
  <si>
    <t>pi_3RyMwyRxxun8okeS1zDKiUDT</t>
  </si>
  <si>
    <t>8/21/2025 9:16</t>
  </si>
  <si>
    <t>pi_3RyN76Rxxun8okeS1L21Bkog</t>
  </si>
  <si>
    <t>8/21/2025 11:36</t>
  </si>
  <si>
    <t>pi_3RyPI2Rxxun8okeS0iBxNEE3</t>
  </si>
  <si>
    <t>8/21/2025 11:53</t>
  </si>
  <si>
    <t>pi_3RyPYCRxxun8okeS0nH63RF3</t>
  </si>
  <si>
    <t>8/21/2025 16:01</t>
  </si>
  <si>
    <t>Refund of Transaction ID 6N056950F8768710L</t>
  </si>
  <si>
    <t>8/21/2025 16:57</t>
  </si>
  <si>
    <t>pi_3RyUIyRxxun8okeS0p70Ep7A</t>
  </si>
  <si>
    <t>8/21/2025 18:55</t>
  </si>
  <si>
    <t>8/21/2025 19:02</t>
  </si>
  <si>
    <t>Ezra P</t>
  </si>
  <si>
    <t>8/22/2025 1:17</t>
  </si>
  <si>
    <t>pi_3Ryc6pRxxun8okeS1I8VsDhi</t>
  </si>
  <si>
    <t>fixcololol fixcololol0</t>
  </si>
  <si>
    <t>8/22/2025 1:42</t>
  </si>
  <si>
    <t>pi_3RycUVRxxun8okeS1Rslfcma</t>
  </si>
  <si>
    <t>8/22/2025 10:13</t>
  </si>
  <si>
    <t>pi_3RykTPRxxun8okeS05XfmeVy</t>
  </si>
  <si>
    <t>8/22/2025 15:26</t>
  </si>
  <si>
    <t>pi_3RypK5Rxxun8okeS00qmpe0h</t>
  </si>
  <si>
    <t>8/22/2025 18:04</t>
  </si>
  <si>
    <t>pi_3RyroaRxxun8okeS1znggu0d</t>
  </si>
  <si>
    <t>8/22/2025 18:07</t>
  </si>
  <si>
    <t>pi_3RyrrbRxxun8okeS0DMiaxkB</t>
  </si>
  <si>
    <t>8/22/2025 21:22</t>
  </si>
  <si>
    <t>jimmy chu</t>
  </si>
  <si>
    <t>8/22/2025 21:44</t>
  </si>
  <si>
    <t>anonymous anonymous</t>
  </si>
  <si>
    <t>8/23/2025 14:41</t>
  </si>
  <si>
    <t>pi_3RzB7URxxun8okeS1Gu7MxC1</t>
  </si>
  <si>
    <t>8/23/2025 17:48</t>
  </si>
  <si>
    <t>pi_3RzE1NRxxun8okeS03VEclSa</t>
  </si>
  <si>
    <t>TONGWEI YANG</t>
  </si>
  <si>
    <t>8/23/2025 18:05</t>
  </si>
  <si>
    <t>pi_3RzEJvRxxun8okeS1hg4WUJH</t>
  </si>
  <si>
    <t>8/23/2025 20:32</t>
  </si>
  <si>
    <t>pi_3RzGbMRxxun8okeS1iqVHQet</t>
  </si>
  <si>
    <t>8/23/2025 21:40</t>
  </si>
  <si>
    <t>pi_3RzHaqRxxun8okeS0x0xrmyh</t>
  </si>
  <si>
    <t>8/23/2025 21:44</t>
  </si>
  <si>
    <t>pi_3RzHjSRxxun8okeS0DRV1CLS</t>
  </si>
  <si>
    <t>lan77 lan77</t>
  </si>
  <si>
    <t>8/23/2025 22:31</t>
  </si>
  <si>
    <t>pi_3RzITARxxun8okeS0nV2g3mW</t>
  </si>
  <si>
    <t>matthews wong</t>
  </si>
  <si>
    <t>8/24/2025 0:07</t>
  </si>
  <si>
    <t>pi_3RzJy2Rxxun8okeS1s30O3N0</t>
  </si>
  <si>
    <t>yiman li</t>
  </si>
  <si>
    <t>8/24/2025 6:55</t>
  </si>
  <si>
    <t>lei Li</t>
  </si>
  <si>
    <t>8/24/2025 8:12</t>
  </si>
  <si>
    <t>su su</t>
  </si>
  <si>
    <t>8/24/2025 11:24</t>
  </si>
  <si>
    <t>pi_3RzUWyRxxun8okeS0N610keH</t>
  </si>
  <si>
    <t>泰 臻</t>
  </si>
  <si>
    <t>8/24/2025 13:48</t>
  </si>
  <si>
    <t>pi_3RzWmGRxxun8okeS14QUWhR3</t>
  </si>
  <si>
    <t>8/25/2025 0:31</t>
  </si>
  <si>
    <t>pi_3RzgmvRxxun8okeS1IDfl39M</t>
  </si>
  <si>
    <t>8/25/2025 8:41</t>
  </si>
  <si>
    <t>pi_3RzoTARxxun8okeS1CTzLC9o</t>
  </si>
  <si>
    <t>8/25/2025 9:51</t>
  </si>
  <si>
    <t>pi_3RzpYjRxxun8okeS0BfJeRUr</t>
  </si>
  <si>
    <t>8/25/2025 10:27</t>
  </si>
  <si>
    <t>Refund of Transaction ID pi_3RzJy2Rxxun8okeS1s30O3N0</t>
  </si>
  <si>
    <t>Alex Lawther</t>
  </si>
  <si>
    <t>8/26/2025 0:36</t>
  </si>
  <si>
    <t>pi_3S03MbRxxun8okeS0Ka9XT8Q</t>
  </si>
  <si>
    <t>8/26/2025 1:20</t>
  </si>
  <si>
    <t>8/26/2025 11:53</t>
  </si>
  <si>
    <t>8/26/2025 12:11</t>
  </si>
  <si>
    <t>pi_3S0EDTRxxun8okeS1V25HAmZ</t>
  </si>
  <si>
    <t>bin xian</t>
  </si>
  <si>
    <t>8/26/2025 13:52</t>
  </si>
  <si>
    <t>pi_3S0FlxRxxun8okeS16NCHxfw</t>
  </si>
  <si>
    <t>8/26/2025 13:53</t>
  </si>
  <si>
    <t>8/26/2025 15:21</t>
  </si>
  <si>
    <t>pi_3S0HBaRxxun8okeS1o4hVeZS</t>
  </si>
  <si>
    <t>8/26/2025 17:12</t>
  </si>
  <si>
    <t>pi_3S0IugRxxun8okeS0ozZEYrN</t>
  </si>
  <si>
    <t>8/26/2025 20:11</t>
  </si>
  <si>
    <t>pi_3S0LicRxxun8okeS0gKYsZ73</t>
  </si>
  <si>
    <t>8/26/2025 21:22</t>
  </si>
  <si>
    <t>pi_3S0MjRRxxun8okeS0QEQjjTT</t>
  </si>
  <si>
    <t>8/27/2025 3:38</t>
  </si>
  <si>
    <t>90c306de67cdc5a964d8a023538295bcf6b4ad0d06cc8aebbf1bcc837faafa58</t>
  </si>
  <si>
    <t>8/27/2025 4:33</t>
  </si>
  <si>
    <t>Refund of Transaction ID pi_3RlO3KRxxun8okeS1qrzdCSV</t>
  </si>
  <si>
    <t>8/27/2025 10:49</t>
  </si>
  <si>
    <t>pi_3S0ZQ6Rxxun8okeS1Xukglcb</t>
  </si>
  <si>
    <t>8/27/2025 18:06</t>
  </si>
  <si>
    <t>Mei An</t>
  </si>
  <si>
    <t>8/27/2025 18:16</t>
  </si>
  <si>
    <t>pi_3S0gP1Rxxun8okeS08oRcjhX</t>
  </si>
  <si>
    <t>8/27/2025 20:27</t>
  </si>
  <si>
    <t>pi_3S0iRcRxxun8okeS1a7v2EyI</t>
  </si>
  <si>
    <t>8/27/2025 20:33</t>
  </si>
  <si>
    <t>8/28/2025 0:42</t>
  </si>
  <si>
    <t>pi_3S0mPwRxxun8okeS1IRX6lmF</t>
  </si>
  <si>
    <t>vilson lin</t>
  </si>
  <si>
    <t>8/28/2025 1:55</t>
  </si>
  <si>
    <t>pi_3S0nZARxxun8okeS1K1v1dz7</t>
  </si>
  <si>
    <t>8/28/2025 11:00</t>
  </si>
  <si>
    <t>pi_3S0w43Rxxun8okeS118dRW3s</t>
  </si>
  <si>
    <t>sigerma chen</t>
  </si>
  <si>
    <t>8/28/2025 11:34</t>
  </si>
  <si>
    <t>pi_3S0waqRxxun8okeS1uey7tY8</t>
  </si>
  <si>
    <t>8/28/2025 15:03</t>
  </si>
  <si>
    <t>pi_3S0zrORxxun8okeS1jvZmHy5</t>
  </si>
  <si>
    <t>8/28/2025 16:09</t>
  </si>
  <si>
    <t>pi_3S10sXRxxun8okeS1F5PU0qw</t>
  </si>
  <si>
    <t>8/28/2025 19:06</t>
  </si>
  <si>
    <t>8/28/2025 19:25</t>
  </si>
  <si>
    <t>pi_3S13w8Rxxun8okeS0TqvvaRb</t>
  </si>
  <si>
    <t>8/28/2025 20:16</t>
  </si>
  <si>
    <t>991ad8b00daa2112eafc70886bfc076e9ecd278b5a4e7fc01c3603869ed28f90</t>
  </si>
  <si>
    <t>8/28/2025 20:21</t>
  </si>
  <si>
    <t>pi_3S14oCRxxun8okeS0oCE6z8U</t>
  </si>
  <si>
    <t>8/29/2025 12:03</t>
  </si>
  <si>
    <t>8/29/2025 16:15</t>
  </si>
  <si>
    <t>pi_3S1NS6Rxxun8okeS0PjSIDCt</t>
  </si>
  <si>
    <t>陈 晓</t>
  </si>
  <si>
    <t>8/29/2025 17:13</t>
  </si>
  <si>
    <t>pi_3S1OMnRxxun8okeS0e366L6F</t>
  </si>
  <si>
    <t>Le ko</t>
  </si>
  <si>
    <t>8/29/2025 18:06</t>
  </si>
  <si>
    <t>8/29/2025 18:53</t>
  </si>
  <si>
    <t>8/29/2025 19:40</t>
  </si>
  <si>
    <t>pi_3S1QcERxxun8okeS1rlEK7zH</t>
  </si>
  <si>
    <t>8/29/2025 20:40</t>
  </si>
  <si>
    <t>pi_3S1RadRxxun8okeS0X4WknDG</t>
  </si>
  <si>
    <t>8/29/2025 22:00</t>
  </si>
  <si>
    <t>8/29/2025 22:21</t>
  </si>
  <si>
    <t>pi_3S1TALRxxun8okeS0WcOc7rj</t>
  </si>
  <si>
    <t>8/31/2025 0:00</t>
  </si>
  <si>
    <t>8/31/2025 20:24</t>
  </si>
  <si>
    <t>f1cec5718860c34385426389843a9d4f69d944f7e193530327b11a7b20b2bf09</t>
  </si>
  <si>
    <t>志林 赵</t>
  </si>
  <si>
    <t>chen xiao</t>
  </si>
  <si>
    <t>pi_3S2kdZRxxun8okeS0gSarFmb</t>
  </si>
  <si>
    <t>pi_3S2qCWRxxun8okeS1p39TceC</t>
  </si>
  <si>
    <t>Kimliu 刘</t>
  </si>
  <si>
    <t>pi_3S2w6NRxxun8okeS1qY9f5Ko</t>
  </si>
  <si>
    <t>Furina QwQ</t>
  </si>
  <si>
    <t>pi_3S32ZQRxxun8okeS03dApW73</t>
  </si>
  <si>
    <t>LieKong LieKong</t>
  </si>
  <si>
    <t>牛 吊吊</t>
  </si>
  <si>
    <t>GAN ZHANG</t>
  </si>
  <si>
    <t>pi_3S3SEERxxun8okeS15LSPhbP</t>
  </si>
  <si>
    <t>johnson ding</t>
  </si>
  <si>
    <t>pi_3S3t4tRxxun8okeS0qn1ZOZo</t>
  </si>
  <si>
    <t>LIU WEI</t>
  </si>
  <si>
    <t>pi_3S4Ab4Rxxun8okeS10MG91Ip</t>
  </si>
  <si>
    <t>e5014834450366d76231a57a8d08038ecb3aaccfc59e7e2bb7332f95957d16d5</t>
  </si>
  <si>
    <t>pi_3S4HSDRxxun8okeS1NZ4NWon</t>
  </si>
  <si>
    <t>Refund of Transaction ID pi_3S0EDTRxxun8okeS1V25HAmZ</t>
  </si>
  <si>
    <t>pi_3S4abnRxxun8okeS1m19Xfcs</t>
  </si>
  <si>
    <t>pi_3S4dAaRxxun8okeS0yS2QyQs</t>
  </si>
  <si>
    <t>Beth Steffan</t>
  </si>
  <si>
    <t>WH T</t>
  </si>
  <si>
    <t>pi_3S50QRRxxun8okeS14S2LOGz</t>
  </si>
  <si>
    <t>LE LE</t>
  </si>
  <si>
    <t>jack chen</t>
  </si>
  <si>
    <t>csad cre</t>
  </si>
  <si>
    <t>pi_3S59oXRxxun8okeS1nyT5vHq</t>
  </si>
  <si>
    <t>希顿 汪</t>
  </si>
  <si>
    <t>jierry tom</t>
  </si>
  <si>
    <t>bfede10c484718d9c632b544b6a6db1152dec711dd8e86cee9c2b7f6bbe12773</t>
  </si>
  <si>
    <t>pi_3S5SVZRxxun8okeS1c12X5MI</t>
  </si>
  <si>
    <t>MiFJun SXSY</t>
  </si>
  <si>
    <t>pi_3S5i2JRxxun8okeS0UBNvTIV</t>
  </si>
  <si>
    <t>Samuel Cho</t>
  </si>
  <si>
    <t>dfc2df7e72ec32d528d082144fad5eb1d995b2e7a09891bcf53766eeb4ee3388</t>
  </si>
  <si>
    <t>pi_3S65kZRxxun8okeS1R57PJ3O</t>
  </si>
  <si>
    <t>3c3634e563e0e5b091d383e5304a1f93ca56ff290043b8052e011d0c29799e63</t>
  </si>
  <si>
    <t>SSH Sc</t>
  </si>
  <si>
    <t>pi_3S6CXbRxxun8okeS0KMSoAlS</t>
  </si>
  <si>
    <t>qiujiebi Megpw</t>
  </si>
  <si>
    <t>pi_3S6OlaRxxun8okeS0DFmlyrg</t>
  </si>
  <si>
    <t>陈翊 里</t>
  </si>
  <si>
    <t>9/13/2025 12:30</t>
  </si>
  <si>
    <t>80e8f90b4e894d7ff919e1f8d30f65dbd453d0427191c14899c647eec110a00c</t>
  </si>
  <si>
    <t>Richard Wang</t>
  </si>
  <si>
    <t>9/13/2025 14:34</t>
  </si>
  <si>
    <t>9/13/2025 21:11</t>
  </si>
  <si>
    <t>pi_3S6tEIRxxun8okeS00CpkXPI</t>
  </si>
  <si>
    <t>9/13/2025 23:22</t>
  </si>
  <si>
    <t>pi_3S6vGVRxxun8okeS0dP3DOce</t>
  </si>
  <si>
    <t>9/14/2025 0:25</t>
  </si>
  <si>
    <t>Refund of Transaction ID pi_3S6vGVRxxun8okeS0dP3DOce</t>
  </si>
  <si>
    <t>yiha qin</t>
  </si>
  <si>
    <t>9/14/2025 0:39</t>
  </si>
  <si>
    <t>pi_3S6wSGRxxun8okeS1K63q2zE</t>
  </si>
  <si>
    <t>9/14/2025 11:19</t>
  </si>
  <si>
    <t>pi_3S76OXRxxun8okeS1zkmYLZ5</t>
  </si>
  <si>
    <t>9/14/2025 11:27</t>
  </si>
  <si>
    <t>9/14/2025 18:07</t>
  </si>
  <si>
    <t>9/14/2025 21:40</t>
  </si>
  <si>
    <t>pi_3S7GAGRxxun8okeS0Q2Kv9My</t>
  </si>
  <si>
    <t>9/14/2025 22:26</t>
  </si>
  <si>
    <t>pi_3S7GrfRxxun8okeS04nBb1Tf</t>
  </si>
  <si>
    <t>9/14/2025 23:00</t>
  </si>
  <si>
    <t>pi_3S7HOdRxxun8okeS0AWNFFSH</t>
  </si>
  <si>
    <t>9/14/2025 23:25</t>
  </si>
  <si>
    <t>9/15/2025 9:02</t>
  </si>
  <si>
    <t>pi_3S7QnbRxxun8okeS02Li9kz2</t>
  </si>
  <si>
    <t>9/15/2025 15:18</t>
  </si>
  <si>
    <t>pi_3S7WfBRxxun8okeS0B3feFlq</t>
  </si>
  <si>
    <t>9/15/2025 20:17</t>
  </si>
  <si>
    <t>9/15/2025 21:05</t>
  </si>
  <si>
    <t>46ba611493241d8d2c097b9223d5bcf93ace880e20aeb4130a9b4d17a9719467</t>
  </si>
  <si>
    <t>9/16/2025 9:42</t>
  </si>
  <si>
    <t>9/16/2025 10:06</t>
  </si>
  <si>
    <t>9/16/2025 12:23</t>
  </si>
  <si>
    <t>pi_3S7qQLRxxun8okeS0N3X2zXT</t>
  </si>
  <si>
    <t>老 登</t>
  </si>
  <si>
    <t>9/16/2025 17:07</t>
  </si>
  <si>
    <t>9/16/2025 18:16</t>
  </si>
  <si>
    <t>pi_3S7vr4Rxxun8okeS04pyKXAh</t>
  </si>
  <si>
    <t>9/16/2025 18:22</t>
  </si>
  <si>
    <t>dagang wang</t>
  </si>
  <si>
    <t>9/17/2025 2:16</t>
  </si>
  <si>
    <t>9/17/2025 7:34</t>
  </si>
  <si>
    <t>9/17/2025 9:28</t>
  </si>
  <si>
    <t>9/17/2025 9:51</t>
  </si>
  <si>
    <t>pi_3S8AWMRxxun8okeS0MZfo29w</t>
  </si>
  <si>
    <t>9/17/2025 9:52</t>
  </si>
  <si>
    <t>9/17/2025 14:16</t>
  </si>
  <si>
    <t>pi_3S8Ee4Rxxun8okeS0jOqb1nI</t>
  </si>
  <si>
    <t>9/17/2025 16:24</t>
  </si>
  <si>
    <t>a52a0b7db400c19b9bed5b8c833715ba7b9a4ba209e9e5a9b2c6b8efa9528b2c</t>
  </si>
  <si>
    <t>正恩 金</t>
  </si>
  <si>
    <t>9/17/2025 20:44</t>
  </si>
  <si>
    <t>665946fbffa1b22af5a79bd8fdf25b7436646ed9d635cce0902c58054007524b</t>
  </si>
  <si>
    <t>9/17/2025 22:06</t>
  </si>
  <si>
    <t>9ff227e9d829bd44d35bb1bc7d0d14f094e5917bf9156978d9c4ae1571f51ce1</t>
  </si>
  <si>
    <t>Sua Liu</t>
  </si>
  <si>
    <t>9/17/2025 22:52</t>
  </si>
  <si>
    <t>9/18/2025 0:10</t>
  </si>
  <si>
    <t>pi_3S8NuwRxxun8okeS0Zak9xOY</t>
  </si>
  <si>
    <t>9/18/2025 0:11</t>
  </si>
  <si>
    <t>9/18/2025 0:28</t>
  </si>
  <si>
    <t>pi_3S8OCZRxxun8okeS1TUex1Ix</t>
  </si>
  <si>
    <t>9/18/2025 3:56</t>
  </si>
  <si>
    <t>9/18/2025 4:16</t>
  </si>
  <si>
    <t>9/18/2025 7:19</t>
  </si>
  <si>
    <t>9/18/2025 11:07</t>
  </si>
  <si>
    <t>9/18/2025 13:35</t>
  </si>
  <si>
    <t>9/18/2025 14:34</t>
  </si>
  <si>
    <t>pi_3S8bPJRxxun8okeS1frA9pZx</t>
  </si>
  <si>
    <t>9/18/2025 15:26</t>
  </si>
  <si>
    <t>9/18/2025 17:14</t>
  </si>
  <si>
    <t>9/18/2025 21:21</t>
  </si>
  <si>
    <t>pi_3S8hlSRxxun8okeS199AXlrL</t>
  </si>
  <si>
    <t>9/18/2025 21:24</t>
  </si>
  <si>
    <t>9/18/2025 21:26</t>
  </si>
  <si>
    <t>pi_3S8hpVRxxun8okeS18kX9EFu</t>
  </si>
  <si>
    <t>一 徐</t>
  </si>
  <si>
    <t>9/19/2025 8:49</t>
  </si>
  <si>
    <t>9/19/2025 16:08</t>
  </si>
  <si>
    <t>pi_3S8zMXRxxun8okeS161C8jWH</t>
  </si>
  <si>
    <t>Paul James</t>
  </si>
  <si>
    <t>9/19/2025 17:06</t>
  </si>
  <si>
    <t>714585666accec44cbcc7abea6498553536f349a3544f7e284c5b76f18e38346</t>
  </si>
  <si>
    <t>9/19/2025 21:12</t>
  </si>
  <si>
    <t>9/19/2025 23:31</t>
  </si>
  <si>
    <t>9/20/2025 10:52</t>
  </si>
  <si>
    <t>9/20/2025 14:40</t>
  </si>
  <si>
    <t>pi_3S9KTDRxxun8okeS03ixViyR</t>
  </si>
  <si>
    <t>HUANG PINGPING</t>
  </si>
  <si>
    <t>9/20/2025 16:54</t>
  </si>
  <si>
    <t>9/20/2025 21:06</t>
  </si>
  <si>
    <t>pi_3S9QUkRxxun8okeS13lyhxeh</t>
  </si>
  <si>
    <t>9/20/2025 23:24</t>
  </si>
  <si>
    <t>Refund of Transaction ID Z913452355707378</t>
  </si>
  <si>
    <t>9/21/2025 0:37</t>
  </si>
  <si>
    <t>pi_3S9TlORxxun8okeS0EaIrdhl</t>
  </si>
  <si>
    <t>9/21/2025 8:11</t>
  </si>
  <si>
    <t>9/21/2025 18:54</t>
  </si>
  <si>
    <t>ning m</t>
  </si>
  <si>
    <t>9/21/2025 19:05</t>
  </si>
  <si>
    <t>9/21/2025 19:06</t>
  </si>
  <si>
    <t>9/21/2025 21:59</t>
  </si>
  <si>
    <t>pi_3S9nmdRxxun8okeS0VpGPltA</t>
  </si>
  <si>
    <t>9/22/2025 7:53</t>
  </si>
  <si>
    <t>bin abcd</t>
  </si>
  <si>
    <t>9/22/2025 8:09</t>
  </si>
  <si>
    <t>9/22/2025 12:35</t>
  </si>
  <si>
    <t>pi_3SA1RoRxxun8okeS00ayjOeE</t>
  </si>
  <si>
    <t>9/22/2025 14:12</t>
  </si>
  <si>
    <t>a7fdd28a6670b125a18b6194c4e00868eb489af6061435aeaced08bb038a7706</t>
  </si>
  <si>
    <t>大圣 孙</t>
  </si>
  <si>
    <t>9/22/2025 17:29</t>
  </si>
  <si>
    <t>鹿 白</t>
  </si>
  <si>
    <t>9/22/2025 18:09</t>
  </si>
  <si>
    <t>pi_3SA6eyRxxun8okeS1xq2OG5J</t>
  </si>
  <si>
    <t>9/23/2025 0:00</t>
  </si>
  <si>
    <t>9/23/2025 9:30</t>
  </si>
  <si>
    <t>9/23/2025 22:19</t>
  </si>
  <si>
    <t>9/24/2025 8:06</t>
  </si>
  <si>
    <t>d9fe666a03013359c808644aa4e427cacdafc0108f2d136f8fcd3666e4bfc695</t>
  </si>
  <si>
    <t>9/24/2025 9:32</t>
  </si>
  <si>
    <t>0d2050a15ddc18785ea08a54a2ab19ef0ea4d97e7b528cdf7aee6126d3fe5243</t>
  </si>
  <si>
    <t>9/24/2025 10:38</t>
  </si>
  <si>
    <t>pi_3SAiaKRxxun8okeS0czF2lkZ</t>
  </si>
  <si>
    <t>9/24/2025 14:18</t>
  </si>
  <si>
    <t>babbd3e296017abce2f5332aaab443148567c155e6ab44bdb5f51f0c555f2a92</t>
  </si>
  <si>
    <t>9/24/2025 15:45</t>
  </si>
  <si>
    <t>pi_3SAnNbRxxun8okeS06KeBVKb</t>
  </si>
  <si>
    <t>岩 张</t>
  </si>
  <si>
    <t>9/24/2025 20:46</t>
  </si>
  <si>
    <t>9/24/2025 21:01</t>
  </si>
  <si>
    <t>9/25/2025 9:17</t>
  </si>
  <si>
    <t>pi_3SB3muRxxun8okeS0sVCC3kq</t>
  </si>
  <si>
    <t>9/25/2025 11:24</t>
  </si>
  <si>
    <t>ac4c313fe831ff124daefd0ec043f36b742b5942a28ba4aaa1438fc4aeb9f496</t>
  </si>
  <si>
    <t>9/25/2025 11:38</t>
  </si>
  <si>
    <t>9/25/2025 11:55</t>
  </si>
  <si>
    <t>pi_3SB6H4Rxxun8okeS007NsNky</t>
  </si>
  <si>
    <t>9/25/2025 13:18</t>
  </si>
  <si>
    <t>9/25/2025 21:24</t>
  </si>
  <si>
    <t>9/25/2025 21:48</t>
  </si>
  <si>
    <t>pi_3SBFWvRxxun8okeS0ikGaRX6</t>
  </si>
  <si>
    <t>9/25/2025 22:45</t>
  </si>
  <si>
    <t>e6f3177fb8f3e0e2484068936ddaa36858fe8c32af54a218c2ab27b4f38b40c4</t>
  </si>
  <si>
    <t>9/26/2025 1:35</t>
  </si>
  <si>
    <t>9/26/2025 9:46</t>
  </si>
  <si>
    <t>9/26/2025 15:08</t>
  </si>
  <si>
    <t>9/26/2025 16:20</t>
  </si>
  <si>
    <t>9/26/2025 17:15</t>
  </si>
  <si>
    <t>pi_3SBXk3Rxxun8okeS0U58XLbz</t>
  </si>
  <si>
    <t>9/26/2025 19:59</t>
  </si>
  <si>
    <t>pi_3SBaI0Rxxun8okeS1uSMYP6R</t>
  </si>
  <si>
    <t>9/27/2025 1:32</t>
  </si>
  <si>
    <t>9/27/2025 11:22</t>
  </si>
  <si>
    <t>pi_3SBoh5Rxxun8okeS1dSZuYS1</t>
  </si>
  <si>
    <t>9/27/2025 11:43</t>
  </si>
  <si>
    <t>9/27/2025 11:58</t>
  </si>
  <si>
    <t>pi_3SBpGFRxxun8okeS0dLQovZa</t>
  </si>
  <si>
    <t>9/27/2025 15:24</t>
  </si>
  <si>
    <t>9/27/2025 19:18</t>
  </si>
  <si>
    <t>9/28/2025 15:59</t>
  </si>
  <si>
    <t>46a797013fea608a0fb6758cb6188c113ece37113aa413b42006633e1e96e671</t>
  </si>
  <si>
    <t>9/28/2025 18:59</t>
  </si>
  <si>
    <t>JYJ d</t>
  </si>
  <si>
    <t>9/28/2025 19:11</t>
  </si>
  <si>
    <t>9/29/2025 13:24</t>
  </si>
  <si>
    <t>pi_3SCZYvRxxun8okeS1yH3JZDw</t>
  </si>
  <si>
    <t>9/29/2025 17:58</t>
  </si>
  <si>
    <t>9/29/2025 23:13</t>
  </si>
  <si>
    <t>9/30/2025 9:12</t>
  </si>
  <si>
    <t>9/30/2025 12:11</t>
  </si>
  <si>
    <t>9/30/2025 14:46</t>
  </si>
  <si>
    <t>pi_3SCxJiRxxun8okeS0srJo8fU</t>
  </si>
  <si>
    <t>9/30/2025 16:22</t>
  </si>
  <si>
    <t>9/30/2025 16:56</t>
  </si>
  <si>
    <t>9/30/2025 17:57</t>
  </si>
  <si>
    <t>pi_3SD0IDRxxun8okeS1NUMzMzo</t>
  </si>
  <si>
    <t>9/30/2025 17:58</t>
  </si>
  <si>
    <t>dalin tan</t>
  </si>
  <si>
    <t>9/30/2025 18:27</t>
  </si>
  <si>
    <t>9/30/2025 21:35</t>
  </si>
  <si>
    <t>b263e164b7368d103ed6e8c1058b0d42ada8a4de8f8ef0752c5315dbef8ed4eb</t>
  </si>
  <si>
    <t>Tom Zhou</t>
  </si>
  <si>
    <t>ae1255ef474e17adc7b4dffb41cf397b7fa379f4d03edeee4cd020372a55f79a</t>
  </si>
  <si>
    <t>2dd5235d73b13b69fb995cee145480ed6418578a0d624c22cbfcc404289fb571</t>
  </si>
  <si>
    <t>lingdong zn</t>
  </si>
  <si>
    <t>daniel wu</t>
  </si>
  <si>
    <t>hua zhu</t>
  </si>
  <si>
    <t>shiki Kiyo</t>
  </si>
  <si>
    <t>pi_3SETruRxxun8okeS1BIWlukD</t>
  </si>
  <si>
    <t>12ee4d75c13066ed3a131fc2e9d25da4c6a9c3fe5be3b0ba84e91c733e4f8557</t>
  </si>
  <si>
    <t>pi_3SEomTRxxun8okeS09H5ajPS</t>
  </si>
  <si>
    <t>liam lee</t>
  </si>
  <si>
    <t>仁笑 苏</t>
  </si>
  <si>
    <t>pi_3SFEJlRxxun8okeS1JgMRkC6</t>
  </si>
  <si>
    <t>pi_3SFSc6Rxxun8okeS1tg0JEyE</t>
  </si>
  <si>
    <t>xiao jiaai</t>
  </si>
  <si>
    <t>pi_3SFZhGRxxun8okeS0zyJveBf</t>
  </si>
  <si>
    <t>pi_3SFlVNRxxun8okeS030S0y7E</t>
  </si>
  <si>
    <t>pi_3SFok9Rxxun8okeS1ij5bi5N</t>
  </si>
  <si>
    <t>Refund of Transaction ID ZA07250763153619</t>
  </si>
  <si>
    <t>Refund of Transaction ID ZA07313187357512</t>
  </si>
  <si>
    <t>MCN Out</t>
  </si>
  <si>
    <t>pi_3SG3uJRxxun8okeS13hiEa36</t>
  </si>
  <si>
    <t>pi_3SG8eLRxxun8okeS1qPufSJo</t>
  </si>
  <si>
    <t>mike huang</t>
  </si>
  <si>
    <t>pi_3SGJQoRxxun8okeS0ajPNBje</t>
  </si>
  <si>
    <t>7e5cce633cf6b8306a7dc7c7d4695fc6af53a51364f930fde471d0af1ffb7b6a</t>
  </si>
  <si>
    <t>pi_3SGWD3Rxxun8okeS0ggJ8ZkB</t>
  </si>
  <si>
    <t>ks lz</t>
  </si>
  <si>
    <t>7aa58ddfae86eef2b24b439fb79f9984d84b29a33c3ef848bf50c1f655d2976b</t>
  </si>
  <si>
    <t>pi_3SGeHFRxxun8okeS0WWT1Bbz</t>
  </si>
  <si>
    <t>pi_3SGeILRxxun8okeS0oV0oShT</t>
  </si>
  <si>
    <t>min huang</t>
  </si>
  <si>
    <t>pi_3SGhrKRxxun8okeS1JjvhpfM</t>
  </si>
  <si>
    <t>pi_3SGrn6Rxxun8okeS0kBX1ltD</t>
  </si>
  <si>
    <t>a9247d752ae7da85fa4f5143483db0158e121a89c7b15d6d0734f81cf00bed51</t>
  </si>
  <si>
    <t>雪松 万</t>
  </si>
  <si>
    <t>pi_3SHNGZRxxun8okeS1zIwydji</t>
  </si>
  <si>
    <t>pi_3SHNVCRxxun8okeS14mWtf8t</t>
  </si>
  <si>
    <t>pi_3SHNdhRxxun8okeS1ncnuCcq</t>
  </si>
  <si>
    <t>pi_3SHNu2Rxxun8okeS0R3RxPCh</t>
  </si>
  <si>
    <t>Johns Alfred</t>
  </si>
  <si>
    <t>hulucc hulucc</t>
  </si>
  <si>
    <t>mingyu li</t>
  </si>
  <si>
    <t>10/13/2025 0:23</t>
  </si>
  <si>
    <t>1927996870 cc</t>
  </si>
  <si>
    <t>10/13/2025 2:11</t>
  </si>
  <si>
    <t>10/13/2025 14:23</t>
  </si>
  <si>
    <t>ding guagua</t>
  </si>
  <si>
    <t>10/13/2025 14:25</t>
  </si>
  <si>
    <t>03023adeac70dcea96d58532f12c3331de26252f02bfe3747d9c04a6ff307643</t>
  </si>
  <si>
    <t>angenet qiong</t>
  </si>
  <si>
    <t>10/13/2025 16:26</t>
  </si>
  <si>
    <t>chang wong</t>
  </si>
  <si>
    <t>10/13/2025 19:46</t>
  </si>
  <si>
    <t>10/13/2025 20:45</t>
  </si>
  <si>
    <t>pi_3SHl7RRxxun8okeS0Bgg5TRf</t>
  </si>
  <si>
    <t>10/13/2025 20:53</t>
  </si>
  <si>
    <t>Eiffel Chen</t>
  </si>
  <si>
    <t>10/13/2025 22:30</t>
  </si>
  <si>
    <t>10/14/2025 10:33</t>
  </si>
  <si>
    <t>10/14/2025 11:50</t>
  </si>
  <si>
    <t>pi_3SHzFZRxxun8okeS0xFEGX0Y</t>
  </si>
  <si>
    <t>10/14/2025 12:25</t>
  </si>
  <si>
    <t>10/14/2025 22:11</t>
  </si>
  <si>
    <t>pi_3SI8wYRxxun8okeS0IOJXgxb</t>
  </si>
  <si>
    <t>10/14/2025 22:39</t>
  </si>
  <si>
    <t>pi_3SI9JCRxxun8okeS1hWB4JA0</t>
  </si>
  <si>
    <t>10/15/2025 2:53</t>
  </si>
  <si>
    <t>10/15/2025 16:36</t>
  </si>
  <si>
    <t>10/15/2025 17:52</t>
  </si>
  <si>
    <t>pi_3SIRMwRxxun8okeS1wGes4zb</t>
  </si>
  <si>
    <t>10/16/2025 9:31</t>
  </si>
  <si>
    <t>10/16/2025 9:35</t>
  </si>
  <si>
    <t>pengwei wang</t>
  </si>
  <si>
    <t>10/16/2025 11:54</t>
  </si>
  <si>
    <t>10/16/2025 13:47</t>
  </si>
  <si>
    <t>pi_3SIk21Rxxun8okeS0kRPvEnD</t>
  </si>
  <si>
    <t>colebi shsj937</t>
  </si>
  <si>
    <t>10/16/2025 17:10</t>
  </si>
  <si>
    <t>a1a93d2839175bb70ed4e35b038614525cdc45623741d4953ec37edbc93c8073</t>
  </si>
  <si>
    <t>10/16/2025 18:01</t>
  </si>
  <si>
    <t>10/16/2025 18:12</t>
  </si>
  <si>
    <t>pi_3SIo9mRxxun8okeS0QSEiC85</t>
  </si>
  <si>
    <t>10/16/2025 18:16</t>
  </si>
  <si>
    <t>10/16/2025 19:06</t>
  </si>
  <si>
    <t>pi_3SIp0XRxxun8okeS0EHlCBHD</t>
  </si>
  <si>
    <t>10/16/2025 22:42</t>
  </si>
  <si>
    <t>pi_3SIsNmRxxun8okeS0wVLLARp</t>
  </si>
  <si>
    <t>stuart forbes</t>
  </si>
  <si>
    <t>10/17/2025 1:13</t>
  </si>
  <si>
    <t>10/17/2025 11:08</t>
  </si>
  <si>
    <t>cd9585c4f36730a02b485ee3aad1ea455ef4908a7dc652c0439bf4705b592192</t>
  </si>
  <si>
    <t>10/17/2025 12:05</t>
  </si>
  <si>
    <t>8bdc377976ccfae74abace74da7450d8f6e8101a89e2d36d67b06abd9b392b93</t>
  </si>
  <si>
    <t>qiang luo</t>
  </si>
  <si>
    <t>10/17/2025 13:11</t>
  </si>
  <si>
    <t>10/17/2025 13:45</t>
  </si>
  <si>
    <t>10/17/2025 14:15</t>
  </si>
  <si>
    <t>10/17/2025 14:19</t>
  </si>
  <si>
    <t>10/17/2025 15:36</t>
  </si>
  <si>
    <t>9ea18778ac583a6d58562fc6e55e18250238eb8739ac7078a37e5fe542accb1b</t>
  </si>
  <si>
    <t>10/18/2025 1:59</t>
  </si>
  <si>
    <t>10/18/2025 10:28</t>
  </si>
  <si>
    <t>10/18/2025 11:04</t>
  </si>
  <si>
    <t>pi_3SJQRIRxxun8okeS0Is52n5w</t>
  </si>
  <si>
    <t>马 建军</t>
  </si>
  <si>
    <t>10/18/2025 11:59</t>
  </si>
  <si>
    <t>10/18/2025 13:51</t>
  </si>
  <si>
    <t>10/18/2025 19:37</t>
  </si>
  <si>
    <t>10/18/2025 22:05</t>
  </si>
  <si>
    <t>66a98cd048af3aa353d8eae14e9f2802dc3ad58117ec13386bc94c292a2e9719</t>
  </si>
  <si>
    <t>10/19/2025 9:40</t>
  </si>
  <si>
    <t>pi_3SJlalRxxun8okeS1lWbdaFk</t>
  </si>
  <si>
    <t>10/19/2025 10:19</t>
  </si>
  <si>
    <t>pi_3SJmDARxxun8okeS0DViHiQB</t>
  </si>
  <si>
    <t>10/19/2025 14:54</t>
  </si>
  <si>
    <t>pi_3SJqVERxxun8okeS1ote1eDZ</t>
  </si>
  <si>
    <t>10/20/2025 1:01</t>
  </si>
  <si>
    <t>1bed30730fc71a0126f5c5ac0456b0601a0966c302c4f04f06f1ef322a958640</t>
  </si>
  <si>
    <t>10/20/2025 3:17</t>
  </si>
  <si>
    <t>10/20/2025 9:13</t>
  </si>
  <si>
    <t>pi_3SK7eoRxxun8okeS0V4w4fGZ</t>
  </si>
  <si>
    <t>10/20/2025 16:29</t>
  </si>
  <si>
    <t>有驰 张</t>
  </si>
  <si>
    <t>10/20/2025 19:07</t>
  </si>
  <si>
    <t>10/20/2025 20:49</t>
  </si>
  <si>
    <t>pi_3SKIVaRxxun8okeS1PeREBwz</t>
  </si>
  <si>
    <t>10/20/2025 22:50</t>
  </si>
  <si>
    <t>10/20/2025 22:54</t>
  </si>
  <si>
    <t>10/21/2025 9:20</t>
  </si>
  <si>
    <t>pi_3SKUFVRxxun8okeS0lP3Mvcz</t>
  </si>
  <si>
    <t>10/21/2025 15:28</t>
  </si>
  <si>
    <t>leo leo</t>
  </si>
  <si>
    <t>10/21/2025 15:31</t>
  </si>
  <si>
    <t>pi_3SKa2XRxxun8okeS1tlfQana</t>
  </si>
  <si>
    <t>10/21/2025 18:47</t>
  </si>
  <si>
    <t>10/21/2025 19:17</t>
  </si>
  <si>
    <t>10/21/2025 23:26</t>
  </si>
  <si>
    <t>10/22/2025 0:55</t>
  </si>
  <si>
    <t>超 谭</t>
  </si>
  <si>
    <t>10/22/2025 10:31</t>
  </si>
  <si>
    <t>Peter Zhang</t>
  </si>
  <si>
    <t>10/22/2025 12:50</t>
  </si>
  <si>
    <t>273aa2b5b8e501732e7557bc84187d4aae48be72bf0f5fabbad2f5aeafb72944</t>
  </si>
  <si>
    <t>10/22/2025 16:32</t>
  </si>
  <si>
    <t>张 晓峰</t>
  </si>
  <si>
    <t>10/22/2025 17:56</t>
  </si>
  <si>
    <t>pi_3SKyjlRxxun8okeS14r8G83f</t>
  </si>
  <si>
    <t>10/23/2025 0:44</t>
  </si>
  <si>
    <t>Refund of Transaction ID ZA22219187916155</t>
  </si>
  <si>
    <t>10/23/2025 13:30</t>
  </si>
  <si>
    <t>e9bc4205eb4c14af96d7ac670c793a8cea628c09d929ba7d8882d95e6e57e7fa</t>
  </si>
  <si>
    <t>zihan zhou</t>
  </si>
  <si>
    <t>10/23/2025 18:07</t>
  </si>
  <si>
    <t>luk chung</t>
  </si>
  <si>
    <t>10/23/2025 18:21</t>
  </si>
  <si>
    <t>10/23/2025 22:51</t>
  </si>
  <si>
    <t>53c24abcd70c398b07db305902761d7c6b7d8bc6a63557d7a2017778b37d740b</t>
  </si>
  <si>
    <t>10/23/2025 23:59</t>
  </si>
  <si>
    <t>10/24/2025 12:00</t>
  </si>
  <si>
    <t>Yu ZHANG</t>
  </si>
  <si>
    <t>10/24/2025 13:14</t>
  </si>
  <si>
    <t>10/24/2025 15:51</t>
  </si>
  <si>
    <t>pi_3SLflhRxxun8okeS0ViUwIcy</t>
  </si>
  <si>
    <t>拓 長谷川</t>
  </si>
  <si>
    <t>10/24/2025 16:51</t>
  </si>
  <si>
    <t>安 盛</t>
  </si>
  <si>
    <t>10/24/2025 19:30</t>
  </si>
  <si>
    <t>li lifuan</t>
  </si>
  <si>
    <t>10/24/2025 20:07</t>
  </si>
  <si>
    <t>10/24/2025 22:02</t>
  </si>
  <si>
    <t>e7440002d7b421b3037cb7f22c685372684d28689172f35e5d037defcc1196bd</t>
  </si>
  <si>
    <t>Sena Kiriki</t>
  </si>
  <si>
    <t>10/25/2025 0:47</t>
  </si>
  <si>
    <t>hey lf</t>
  </si>
  <si>
    <t>10/25/2025 9:02</t>
  </si>
  <si>
    <t>10/25/2025 10:39</t>
  </si>
  <si>
    <t>Refund of Transaction ID ZA24053800549918</t>
  </si>
  <si>
    <t>xu cai</t>
  </si>
  <si>
    <t>10/25/2025 14:27</t>
  </si>
  <si>
    <t>10/26/2025 10:20</t>
  </si>
  <si>
    <t>pi_3SMJYnRxxun8okeS0kpHpmyo</t>
  </si>
  <si>
    <t>10/26/2025 10:32</t>
  </si>
  <si>
    <t>yong qiu</t>
  </si>
  <si>
    <t>10/26/2025 11:16</t>
  </si>
  <si>
    <t>Feng Lin</t>
  </si>
  <si>
    <t>10/26/2025 19:29</t>
  </si>
  <si>
    <t>pi_3SMS8JRxxun8okeS0FrkWOJc</t>
  </si>
  <si>
    <t>Ziyang Sun</t>
  </si>
  <si>
    <t>10/27/2025 0:02</t>
  </si>
  <si>
    <t>10/27/2025 10:37</t>
  </si>
  <si>
    <t>10/27/2025 10:43</t>
  </si>
  <si>
    <t>10/27/2025 11:05</t>
  </si>
  <si>
    <t>10/27/2025 13:34</t>
  </si>
  <si>
    <t>jkun online</t>
  </si>
  <si>
    <t>10/27/2025 15:22</t>
  </si>
  <si>
    <t>fd6419a661e05d6ce10616cc48824d6fe54e0408dde9145e315d0e6e24a75189</t>
  </si>
  <si>
    <t>Duncan Zat</t>
  </si>
  <si>
    <t>10/27/2025 21:48</t>
  </si>
  <si>
    <t>pi_3SMqmERxxun8okeS0ykMS0Eg</t>
  </si>
  <si>
    <t>bvvd cgebnf</t>
  </si>
  <si>
    <t>10/28/2025 0:12</t>
  </si>
  <si>
    <t>10/28/2025 0:24</t>
  </si>
  <si>
    <t>pi_3SMtDLRxxun8okeS0s2PnCbW</t>
  </si>
  <si>
    <t>10/28/2025 0:31</t>
  </si>
  <si>
    <t>10/28/2025 8:06</t>
  </si>
  <si>
    <t>10/28/2025 11:54</t>
  </si>
  <si>
    <t>f7b4955557669e56b9d175daa9391a34db246ca86500b701e6ace0c18cb694d1</t>
  </si>
  <si>
    <t>荣江 郑</t>
  </si>
  <si>
    <t>10/28/2025 17:48</t>
  </si>
  <si>
    <t>10/28/2025 18:37</t>
  </si>
  <si>
    <t>10/29/2025 0:28</t>
  </si>
  <si>
    <t>10/29/2025 9:06</t>
  </si>
  <si>
    <t>10/29/2025 10:31</t>
  </si>
  <si>
    <t>Refund of Transaction ID 5WG194445P026362U</t>
  </si>
  <si>
    <t>10/29/2025 10:32</t>
  </si>
  <si>
    <t>Refund of Transaction ID 5GL58299MD4100512</t>
  </si>
  <si>
    <t>10/29/2025 10:34</t>
  </si>
  <si>
    <t>Refund of Transaction ID 7dd173316ee7ae56542cb0ad448763fc0265c47fcc6407f8fdf7525b23f29ef2</t>
  </si>
  <si>
    <t>10/29/2025 13:23</t>
  </si>
  <si>
    <t>659cffcad0665e5eee207e5c3ba390bf40739735c74ecd99c58438e9b843925e</t>
  </si>
  <si>
    <t>10/29/2025 14:23</t>
  </si>
  <si>
    <t>10/29/2025 18:08</t>
  </si>
  <si>
    <t>lunye super</t>
  </si>
  <si>
    <t>10/29/2025 18:25</t>
  </si>
  <si>
    <t>10/30/2025 1:59</t>
  </si>
  <si>
    <t>c5d55d48e8af81dca25986aea5a54aae5f4dbcadfbf118a605101975fed7c91b</t>
  </si>
  <si>
    <t>10/30/2025 10:45</t>
  </si>
  <si>
    <t>10/30/2025 13:39</t>
  </si>
  <si>
    <t>JIAQUAN YANG</t>
  </si>
  <si>
    <t>10/30/2025 14:37</t>
  </si>
  <si>
    <t>10/30/2025 19:57</t>
  </si>
  <si>
    <t>pi_3SNuTTRxxun8okeS1ujvdavH</t>
  </si>
  <si>
    <t>10/31/2025 2:48</t>
  </si>
  <si>
    <t>34ae24c203a473cc18b9af8f21f41288b070d1cc30fbde21921431dc167474b0</t>
  </si>
  <si>
    <t>长生 龙</t>
  </si>
  <si>
    <t>10/31/2025 10:49</t>
  </si>
  <si>
    <t>f81239a492dcb2b196d9c1041bc67576acbe3872befaa3a8f551b47eda0d963b</t>
  </si>
  <si>
    <t>10/31/2025 11:42</t>
  </si>
  <si>
    <t>10/31/2025 15:59</t>
  </si>
  <si>
    <t>10/31/2025 16:06</t>
  </si>
  <si>
    <t>Surge Surge</t>
  </si>
  <si>
    <t>10/31/2025 16:30</t>
  </si>
  <si>
    <t>10/31/2025 17:05</t>
  </si>
  <si>
    <t>10/31/2025 18:28</t>
  </si>
  <si>
    <t>John Lee</t>
  </si>
  <si>
    <t>10/31/2025 21:52</t>
  </si>
  <si>
    <t>3bae11b0f152faee5418628aa8ed341bd6b0d80533df685b82d4a06270f11f88</t>
  </si>
  <si>
    <t>pi_3SOaPaRxxun8okeS0VsrQQki</t>
  </si>
  <si>
    <t>top dan</t>
  </si>
  <si>
    <t>龙 信</t>
  </si>
  <si>
    <t>jiewu ma</t>
  </si>
  <si>
    <t>jun ma</t>
  </si>
  <si>
    <t>pi_3SP0UzRxxun8okeS1RAxqnZ1</t>
  </si>
  <si>
    <t>pi_3SP9A6Rxxun8okeS1rRGWMoi</t>
  </si>
  <si>
    <t>may 250501</t>
  </si>
  <si>
    <t>Refund of Transaction ID 82247627U9843245H</t>
  </si>
  <si>
    <t>Cold Sword</t>
  </si>
  <si>
    <t>Wang Li</t>
  </si>
  <si>
    <t>pi_3SPGRgRxxun8okeS1qe9g7DQ</t>
  </si>
  <si>
    <t>pi_3SPI4kRxxun8okeS0IcU8uCB</t>
  </si>
  <si>
    <t>Dwight Tyles</t>
  </si>
  <si>
    <t>692c8d194065e15e3b1cb1e71673473e89081fd14fde0e0776cca01c24da5e0e</t>
  </si>
  <si>
    <t>Jack bauer</t>
  </si>
  <si>
    <t>cc c</t>
  </si>
  <si>
    <t>zhijian zhang</t>
  </si>
  <si>
    <t>Refund of Transaction ID ZB05114121246837</t>
  </si>
  <si>
    <t>e63d8ec02253963dca8804c3031a11ffa9dbbdcf29dbe6f75e364948f41e5a2c</t>
  </si>
  <si>
    <t>pi_3SQ1nERxxun8okeS0fUnEXkD</t>
  </si>
  <si>
    <t>Vincent woon</t>
  </si>
  <si>
    <t>H ai</t>
  </si>
  <si>
    <t>pi_3SQ6guRxxun8okeS0cv4soly</t>
  </si>
  <si>
    <t>Tedd kay</t>
  </si>
  <si>
    <t>2dcced76cedcb4497b7fd60922516c92d799a0775de0d2ead9fd519d2c5fad25</t>
  </si>
  <si>
    <t>a9d373129525d8a9408bfea37cc360a4c22262535034660927c287dae734bb94</t>
  </si>
  <si>
    <t>pi_3SQ8uMRxxun8okeS0K8b4rdu</t>
  </si>
  <si>
    <t>Knight Jeff</t>
  </si>
  <si>
    <t>James Avila</t>
  </si>
  <si>
    <t>pi_3SQB3CRxxun8okeS1SNHbNwp</t>
  </si>
  <si>
    <t>pi_3SQJHMRxxun8okeS0ITucwaa</t>
  </si>
  <si>
    <t>pi_3SQJe7Rxxun8okeS0s5xrZcj</t>
  </si>
  <si>
    <t>69c82fe24e72ff00074d82279ebdbdb89930f340895087583694df80e7cd3ee7</t>
  </si>
  <si>
    <t>zalp lee</t>
  </si>
  <si>
    <t>杰 杰</t>
  </si>
  <si>
    <t>Arthur K Watson</t>
  </si>
  <si>
    <t>aaa aaa</t>
  </si>
  <si>
    <t>jack Lee</t>
  </si>
  <si>
    <t>pi_3SQmExRxxun8okeS1DPXZA4N</t>
  </si>
  <si>
    <t>pi_3SQqknRxxun8okeS1kNWGYbq</t>
  </si>
  <si>
    <t>Refund of Transaction ID pi_3SGWD3Rxxun8okeS0ggJ8ZkB</t>
  </si>
  <si>
    <t>Refund of Transaction ID pi_3SP0UzRxxun8okeS1RAxqnZ1</t>
  </si>
  <si>
    <t>一杰 胡</t>
  </si>
  <si>
    <t>苏 苏</t>
  </si>
  <si>
    <t>Zikang Fu</t>
  </si>
  <si>
    <t>Cv Bob</t>
  </si>
  <si>
    <t>pi_3SR8uHRxxun8okeS0iiMj9UH</t>
  </si>
  <si>
    <t>pi_3SRPVXRxxun8okeS0sO1POnZ</t>
  </si>
  <si>
    <t>Hiddify Gui</t>
  </si>
  <si>
    <t>6fd886add2c17d67496ab15280bb2555b534a21ccc9e8d3471af7189279d801f</t>
  </si>
  <si>
    <t>chan edison</t>
  </si>
  <si>
    <t>pi_3SRjc8Rxxun8okeS16mzaxGy</t>
  </si>
  <si>
    <t>jia su</t>
  </si>
  <si>
    <t>9ca20455f0c4182c8cfdc6f1b53e6294063758a331b41e9f73bb26962e6b8903</t>
  </si>
  <si>
    <t>Joe Lee</t>
  </si>
  <si>
    <t>Keiko Nishimata</t>
  </si>
  <si>
    <t>pi_3SRqEPRxxun8okeS08v7c6nU</t>
  </si>
  <si>
    <t>qiuxiuya ...</t>
  </si>
  <si>
    <t>pi_3SRwYaRxxun8okeS0GzcS52f</t>
  </si>
  <si>
    <t>37c10945d73903cb252d0f7467ef754216add74298988c3f7a92254786542c77</t>
  </si>
  <si>
    <t>nima wang</t>
  </si>
  <si>
    <t>Fei T</t>
  </si>
  <si>
    <t>pi_3SS5VHRxxun8okeS12t1UZ8a</t>
  </si>
  <si>
    <t>chaowei chen</t>
  </si>
  <si>
    <t>晓云 金</t>
  </si>
  <si>
    <t>dssxds xd</t>
  </si>
  <si>
    <t>梓潼 赵</t>
  </si>
  <si>
    <t>jacky fei</t>
  </si>
  <si>
    <t>pi_3SSSKBRxxun8okeS0aV8W5EN</t>
  </si>
  <si>
    <t>pi_3SSSZORxxun8okeS1wHTrjnU</t>
  </si>
  <si>
    <t>Refund of Transaction ID ZB07201581282546</t>
  </si>
  <si>
    <t>MK Way</t>
  </si>
  <si>
    <t>pi_3SSWetRxxun8okeS0U4wRElO</t>
  </si>
  <si>
    <t>tracer Tracer</t>
  </si>
  <si>
    <t>pi_3SSYieRxxun8okeS0bwgALht</t>
  </si>
  <si>
    <t>HT HT</t>
  </si>
  <si>
    <t>Orchi Liao</t>
  </si>
  <si>
    <t>11/13/2025 9:15</t>
  </si>
  <si>
    <t>11/13/2025 10:01</t>
  </si>
  <si>
    <t>pi_3SSpq9Rxxun8okeS145Dgq2D</t>
  </si>
  <si>
    <t>11/13/2025 12:29</t>
  </si>
  <si>
    <t>11/13/2025 15:06</t>
  </si>
  <si>
    <t>11/13/2025 15:09</t>
  </si>
  <si>
    <t>11/13/2025 22:56</t>
  </si>
  <si>
    <t>pi_3ST1vlRxxun8okeS0A5J3y2S</t>
  </si>
  <si>
    <t>11/14/2025 1:04</t>
  </si>
  <si>
    <t>Paula Brown</t>
  </si>
  <si>
    <t>11/14/2025 4:19</t>
  </si>
  <si>
    <t>11/14/2025 4:30</t>
  </si>
  <si>
    <t>Refund of Transaction ID pi_3SSWetRxxun8okeS0U4wRElO</t>
  </si>
  <si>
    <t>11/14/2025 9:07</t>
  </si>
  <si>
    <t>pi_3STBTcRxxun8okeS0wYcmnN7</t>
  </si>
  <si>
    <t>11/14/2025 9:20</t>
  </si>
  <si>
    <t>Alpha Tango</t>
  </si>
  <si>
    <t>11/14/2025 9:24</t>
  </si>
  <si>
    <t>11/14/2025 16:13</t>
  </si>
  <si>
    <t>Edward cvv</t>
  </si>
  <si>
    <t>11/15/2025 11:03</t>
  </si>
  <si>
    <t>pi_3STZklRxxun8okeS0VNU3HR7</t>
  </si>
  <si>
    <t>shawn li</t>
  </si>
  <si>
    <t>11/15/2025 16:37</t>
  </si>
  <si>
    <t>pi_3STeyrRxxun8okeS0utC3WXP</t>
  </si>
  <si>
    <t>11/15/2025 16:47</t>
  </si>
  <si>
    <t>pi_3STf8pRxxun8okeS1Qb5yBEJ</t>
  </si>
  <si>
    <t>暮春 林</t>
  </si>
  <si>
    <t>11/15/2025 18:30</t>
  </si>
  <si>
    <t>connie baker</t>
  </si>
  <si>
    <t>11/15/2025 23:35</t>
  </si>
  <si>
    <t>Ryan Huang</t>
  </si>
  <si>
    <t>11/16/2025 17:37</t>
  </si>
  <si>
    <t>11/16/2025 19:05</t>
  </si>
  <si>
    <t>huan zou</t>
  </si>
  <si>
    <t>11/17/2025 8:45</t>
  </si>
  <si>
    <t>fan fan</t>
  </si>
  <si>
    <t>11/17/2025 15:00</t>
  </si>
  <si>
    <t>11/18/2025 10:09</t>
  </si>
  <si>
    <t>pi_3SUeL3Rxxun8okeS0FTbeUK6</t>
  </si>
  <si>
    <t>11/18/2025 11:53</t>
  </si>
  <si>
    <t>11/18/2025 13:42</t>
  </si>
  <si>
    <t>11/18/2025 14:27</t>
  </si>
  <si>
    <t>Na Lai Ke</t>
  </si>
  <si>
    <t>11/18/2025 23:54</t>
  </si>
  <si>
    <t>11/19/2025 9:51</t>
  </si>
  <si>
    <t>pi_3SV0XSRxxun8okeS0NavUgca</t>
  </si>
  <si>
    <t>11/19/2025 9:52</t>
  </si>
  <si>
    <t>11/19/2025 10:03</t>
  </si>
  <si>
    <t>pi_3SV0jARxxun8okeS1qm8uQQX</t>
  </si>
  <si>
    <t>林 焦</t>
  </si>
  <si>
    <t>11/19/2025 12:18</t>
  </si>
  <si>
    <t>11/19/2025 14:35</t>
  </si>
  <si>
    <t>11/19/2025 17:03</t>
  </si>
  <si>
    <t>simons uu</t>
  </si>
  <si>
    <t>11/19/2025 20:41</t>
  </si>
  <si>
    <t>pi_3SVAdDRxxun8okeS1rDvfHcE</t>
  </si>
  <si>
    <t>11/19/2025 23:13</t>
  </si>
  <si>
    <t>pi_3SVD45Rxxun8okeS0iafj533</t>
  </si>
  <si>
    <t>11/19/2025 23:43</t>
  </si>
  <si>
    <t>11/20/2025 0:48</t>
  </si>
  <si>
    <t>11/20/2025 7:52</t>
  </si>
  <si>
    <t>Huiying Ling</t>
  </si>
  <si>
    <t>11/20/2025 8:44</t>
  </si>
  <si>
    <t>pi_3SVLyjRxxun8okeS0ua1bMzS</t>
  </si>
  <si>
    <t>11/20/2025 9:07</t>
  </si>
  <si>
    <t>11/20/2025 9:10</t>
  </si>
  <si>
    <t>11/20/2025 11:40</t>
  </si>
  <si>
    <t>11/20/2025 14:43</t>
  </si>
  <si>
    <t>pi_3SVRZdRxxun8okeS17goKld6</t>
  </si>
  <si>
    <t>11/20/2025 21:57</t>
  </si>
  <si>
    <t>11/21/2025 0:27</t>
  </si>
  <si>
    <t>pi_3SVahTRxxun8okeS1487gvyG</t>
  </si>
  <si>
    <t>shiyan huang</t>
  </si>
  <si>
    <t>11/21/2025 0:29</t>
  </si>
  <si>
    <t>zong chen</t>
  </si>
  <si>
    <t>11/21/2025 2:41</t>
  </si>
  <si>
    <t>11/21/2025 10:47</t>
  </si>
  <si>
    <t>11/21/2025 19:05</t>
  </si>
  <si>
    <t>Zhiqiang Yu</t>
  </si>
  <si>
    <t>11/22/2025 0:29</t>
  </si>
  <si>
    <t>11/22/2025 1:17</t>
  </si>
  <si>
    <t>11/22/2025 9:07</t>
  </si>
  <si>
    <t>pi_3SW5HERxxun8okeS18Us1XG8</t>
  </si>
  <si>
    <t>11/22/2025 9:20</t>
  </si>
  <si>
    <t>11/22/2025 11:53</t>
  </si>
  <si>
    <t>tmin t</t>
  </si>
  <si>
    <t>11/23/2025 0:00</t>
  </si>
  <si>
    <t>Kiss Kim</t>
  </si>
  <si>
    <t>11/23/2025 0:45</t>
  </si>
  <si>
    <t>染 年化</t>
  </si>
  <si>
    <t>11/23/2025 2:18</t>
  </si>
  <si>
    <t>Jacky law</t>
  </si>
  <si>
    <t>11/23/2025 8:46</t>
  </si>
  <si>
    <t>pi_3SWRRKRxxun8okeS0hxvNyJT</t>
  </si>
  <si>
    <t>11/23/2025 12:06</t>
  </si>
  <si>
    <t>11/23/2025 12:07</t>
  </si>
  <si>
    <t>pi_3SWUZZRxxun8okeS1OOZADrx</t>
  </si>
  <si>
    <t>11/23/2025 16:19</t>
  </si>
  <si>
    <t>11/23/2025 16:45</t>
  </si>
  <si>
    <t>chocolate galaxy</t>
  </si>
  <si>
    <t>11/23/2025 18:41</t>
  </si>
  <si>
    <t>11/23/2025 18:52</t>
  </si>
  <si>
    <t>11/23/2025 18:54</t>
  </si>
  <si>
    <t>11/24/2025 0:00</t>
  </si>
  <si>
    <t>59ae8c010a8ad999851e27cf961600140909a4abaaaecb927d72aa03e3a33476</t>
  </si>
  <si>
    <t>6027125f4fbe38c5cdb142b77c35d94e4b2bfabe5866ddbeefc7896906714255</t>
  </si>
  <si>
    <t>bookkeji@bookkeji.xyz bookkeji@bookkeji.xyz</t>
  </si>
  <si>
    <t>7b7def74ea4f2eec12707bfa78fc598bb29da3d2f2a9b86a46d4799d566047e6</t>
  </si>
  <si>
    <t>11/24/2025 0:58</t>
  </si>
  <si>
    <t>raven x</t>
  </si>
  <si>
    <t>11/24/2025 10:08</t>
  </si>
  <si>
    <t>Bank Card</t>
  </si>
  <si>
    <t>11/24/2025 22:12</t>
  </si>
  <si>
    <t>lee r</t>
  </si>
  <si>
    <t>11/24/2025 23:44</t>
  </si>
  <si>
    <t>Syaine Shen</t>
  </si>
  <si>
    <t>11/24/2025 23:58</t>
  </si>
  <si>
    <t>凤 易</t>
  </si>
  <si>
    <t>11/25/2025 11:17</t>
  </si>
  <si>
    <t>jie li</t>
  </si>
  <si>
    <t>11/25/2025 13:50</t>
  </si>
  <si>
    <t>11/25/2025 14:55</t>
  </si>
  <si>
    <t>11/25/2025 15:16</t>
  </si>
  <si>
    <t>Ediany Ediany</t>
  </si>
  <si>
    <t>11/25/2025 19:19</t>
  </si>
  <si>
    <t>fang fanshu</t>
  </si>
  <si>
    <t>11/25/2025 21:19</t>
  </si>
  <si>
    <t>pi_3SXM8kRxxun8okeS1f8QBBRw</t>
  </si>
  <si>
    <t>11/26/2025 2:14</t>
  </si>
  <si>
    <t>Refund of Transaction ID 9E6456122W616393H</t>
  </si>
  <si>
    <t>11/26/2025 2:17</t>
  </si>
  <si>
    <t>Refund of Transaction ID ZB20470362508333</t>
  </si>
  <si>
    <t>11/26/2025 10:13</t>
  </si>
  <si>
    <t>pi_3SXYEDRxxun8okeS1EtqJ6tX</t>
  </si>
  <si>
    <t>robin 1</t>
  </si>
  <si>
    <t>11/26/2025 10:17</t>
  </si>
  <si>
    <t>pi_3SXYG6Rxxun8okeS1MKfEHIi</t>
  </si>
  <si>
    <t>11/26/2025 13:25</t>
  </si>
  <si>
    <t>pi_3SXbDqRxxun8okeS155YX79y</t>
  </si>
  <si>
    <t>11/26/2025 13:31</t>
  </si>
  <si>
    <t>11/26/2025 13:32</t>
  </si>
  <si>
    <t>Goods Good</t>
  </si>
  <si>
    <t>11/26/2025 13:33</t>
  </si>
  <si>
    <t>11/26/2025 14:11</t>
  </si>
  <si>
    <t>11/26/2025 14:30</t>
  </si>
  <si>
    <t>11/26/2025 14:57</t>
  </si>
  <si>
    <t>mu mu</t>
  </si>
  <si>
    <t>11/26/2025 15:51</t>
  </si>
  <si>
    <t>pi_3SXdV2Rxxun8okeS1noZVkBq</t>
  </si>
  <si>
    <t>11/26/2025 17:34</t>
  </si>
  <si>
    <t>pi_3SXf5mRxxun8okeS1sezmxbV</t>
  </si>
  <si>
    <t>LIU XINGGUO</t>
  </si>
  <si>
    <t>11/26/2025 18:39</t>
  </si>
  <si>
    <t>11/26/2025 18:47</t>
  </si>
  <si>
    <t>11/26/2025 19:59</t>
  </si>
  <si>
    <t>Reversed Transaction ID: 6RT05802AM485293S</t>
  </si>
  <si>
    <t>11/26/2025 21:02</t>
  </si>
  <si>
    <t>pi_3SXiKPRxxun8okeS0o22dmcR</t>
  </si>
  <si>
    <t>11/26/2025 23:24</t>
  </si>
  <si>
    <t>11/27/2025 0:46</t>
  </si>
  <si>
    <t>11/27/2025 2:09</t>
  </si>
  <si>
    <t>11/27/2025 11:22</t>
  </si>
  <si>
    <t>11/27/2025 11:50</t>
  </si>
  <si>
    <t>Refund of Transaction ID 0ES76821GS863350W</t>
  </si>
  <si>
    <t>11/27/2025 15:59</t>
  </si>
  <si>
    <t>111 111</t>
  </si>
  <si>
    <t>11/27/2025 18:13</t>
  </si>
  <si>
    <t>伟峰 洪</t>
  </si>
  <si>
    <t>11/27/2025 21:00</t>
  </si>
  <si>
    <t>Ninong Wei</t>
  </si>
  <si>
    <t>11/28/2025 10:11</t>
  </si>
  <si>
    <t>11/28/2025 16:36</t>
  </si>
  <si>
    <t>11/28/2025 18:20</t>
  </si>
  <si>
    <t>wong allen</t>
  </si>
  <si>
    <t>11/28/2025 18:34</t>
  </si>
  <si>
    <t>11/28/2025 21:26</t>
  </si>
  <si>
    <t>dylan yeung</t>
  </si>
  <si>
    <t>11/28/2025 22:36</t>
  </si>
  <si>
    <t>涛 姜</t>
  </si>
  <si>
    <t>11/29/2025 14:38</t>
  </si>
  <si>
    <t>11/29/2025 18:38</t>
  </si>
  <si>
    <t>Jackson Chou</t>
  </si>
  <si>
    <t>11/29/2025 18:59</t>
  </si>
  <si>
    <t>ren jun</t>
  </si>
  <si>
    <t>11/29/2025 19:32</t>
  </si>
  <si>
    <t>bushi xiaoyin</t>
  </si>
  <si>
    <t>11/30/2025 0:08</t>
  </si>
  <si>
    <t>Elio Elio</t>
  </si>
  <si>
    <t>11/30/2025 1:13</t>
  </si>
  <si>
    <t>11/30/2025 13:25</t>
  </si>
  <si>
    <t>11/30/2025 17:34</t>
  </si>
  <si>
    <t>pi_3SZ6wdRxxun8okeS0Su5m5qt</t>
  </si>
  <si>
    <t>_ Lin</t>
  </si>
  <si>
    <t>11/30/2025 22:14</t>
  </si>
  <si>
    <t>pi_3SZBMVRxxun8okeS19a5ncBa</t>
  </si>
  <si>
    <t>dav m</t>
  </si>
  <si>
    <t>pi_3SZUBURxxun8okeS0xlKhO9o</t>
  </si>
  <si>
    <t>Tong La Female</t>
  </si>
  <si>
    <t>靖 郭</t>
  </si>
  <si>
    <t>tuoni laoshi</t>
  </si>
  <si>
    <t>小杨 高</t>
  </si>
  <si>
    <t>Martin Fan</t>
  </si>
  <si>
    <t>Reversed Transaction ID: 8VM37681CA6679227</t>
  </si>
  <si>
    <t>Y J</t>
  </si>
  <si>
    <t>Chris yang</t>
  </si>
  <si>
    <t>pi_3SaRMzRxxun8okeS090opd8z</t>
  </si>
  <si>
    <t>haoze guan</t>
  </si>
  <si>
    <t>a bb</t>
  </si>
  <si>
    <t>ling xiao</t>
  </si>
  <si>
    <t>ruihk eyjck</t>
  </si>
  <si>
    <t>pi_3SbCu1Rxxun8okeS1LzE4Guo</t>
  </si>
  <si>
    <t>sadfw sdfw</t>
  </si>
  <si>
    <t>zhenxi shen</t>
  </si>
  <si>
    <t>Shin Weng</t>
  </si>
  <si>
    <t>aa5bbc042637eb74e4c884f87c7aed4c9c45aac347838ad1164ce1ab332979ee</t>
  </si>
  <si>
    <t>pi_3SbOu2Rxxun8okeS1n3ZDfKu</t>
  </si>
  <si>
    <t>pi_3SbuD4Rxxun8okeS0OupgPSf</t>
  </si>
  <si>
    <t>Out MCN</t>
  </si>
  <si>
    <t>lu wang</t>
  </si>
  <si>
    <t>l y</t>
  </si>
  <si>
    <t>pi_3ScPcKRxxun8okeS0RJXvdLL</t>
  </si>
  <si>
    <t>pi_3ScPdRRxxun8okeS0wwTMMtn</t>
  </si>
  <si>
    <t>pi_3ScQAJRxxun8okeS091TYh0I</t>
  </si>
  <si>
    <t>pi_3Scd16Rxxun8okeS0Gzey7bo</t>
  </si>
  <si>
    <t>SUN SUN</t>
  </si>
  <si>
    <t>Alice Lin</t>
  </si>
  <si>
    <t>ni ihost</t>
  </si>
  <si>
    <t>Refund of Transaction ID ZC06383839456938</t>
  </si>
  <si>
    <t>Refund of Transaction ID ZC06281260615295</t>
  </si>
  <si>
    <t>Refund of Transaction ID ZC06248412545739</t>
  </si>
  <si>
    <t>qwer 1234</t>
  </si>
  <si>
    <t>lksub fxlbmkn</t>
  </si>
  <si>
    <t>pi_3SdCHFRxxun8okeS0uF6jYJm</t>
  </si>
  <si>
    <t>HONGKUN JIANG</t>
  </si>
  <si>
    <t>12/13/2025 12:39</t>
  </si>
  <si>
    <t>pi_3SdkbaRxxun8okeS0jMXMUGx</t>
  </si>
  <si>
    <t>12/13/2025 13:40</t>
  </si>
  <si>
    <t>12/13/2025 14:15</t>
  </si>
  <si>
    <t>12/13/2025 18:33</t>
  </si>
  <si>
    <t>黎明 张</t>
  </si>
  <si>
    <t>12/14/2025 4:33</t>
  </si>
  <si>
    <t>pi_3SdzS9Rxxun8okeS0JtdZSWK</t>
  </si>
  <si>
    <t>12/14/2025 9:24</t>
  </si>
  <si>
    <t>12/14/2025 11:06</t>
  </si>
  <si>
    <t>tui huo</t>
  </si>
  <si>
    <t>12/14/2025 18:46</t>
  </si>
  <si>
    <t>pi_3SeCoIRxxun8okeS0EjpCX2E</t>
  </si>
  <si>
    <t>b b</t>
  </si>
  <si>
    <t>12/14/2025 18:51</t>
  </si>
  <si>
    <t>Yaroslav Savenkov</t>
  </si>
  <si>
    <t>12/14/2025 19:29</t>
  </si>
  <si>
    <t>12/14/2025 19:42</t>
  </si>
  <si>
    <t>12/15/2025 2:23</t>
  </si>
  <si>
    <t>wang hao</t>
  </si>
  <si>
    <t>12/15/2025 17:34</t>
  </si>
  <si>
    <t>Gu Chao Yi</t>
  </si>
  <si>
    <t>12/15/2025 19:05</t>
  </si>
  <si>
    <t>pi_3SeZa5Rxxun8okeS1c1r1KYM</t>
  </si>
  <si>
    <t>12/15/2025 19:08</t>
  </si>
  <si>
    <t>pi_3SeZczRxxun8okeS13i46VPX</t>
  </si>
  <si>
    <t>Jianxin Zheng</t>
  </si>
  <si>
    <t>12/15/2025 20:43</t>
  </si>
  <si>
    <t>pi_3Seb7ARxxun8okeS03vQd3Dj</t>
  </si>
  <si>
    <t>12/15/2025 23:15</t>
  </si>
  <si>
    <t>pi_3SedTxRxxun8okeS1pfvYL4u</t>
  </si>
  <si>
    <t>Eirc Pong</t>
  </si>
  <si>
    <t>12/16/2025 0:52</t>
  </si>
  <si>
    <t>pi_3Sef0BRxxun8okeS02muzeCO</t>
  </si>
  <si>
    <t>12/16/2025 1:39</t>
  </si>
  <si>
    <t>12/16/2025 7:21</t>
  </si>
  <si>
    <t>Sofia Joe</t>
  </si>
  <si>
    <t>12/16/2025 7:57</t>
  </si>
  <si>
    <t>pi_3SeldRRxxun8okeS02BugtPg</t>
  </si>
  <si>
    <t>12/16/2025 8:09</t>
  </si>
  <si>
    <t>Reversed Transaction ID: 1AB417672U812410A</t>
  </si>
  <si>
    <t>Thomas Wein</t>
  </si>
  <si>
    <t>12/16/2025 11:14</t>
  </si>
  <si>
    <t>pi_3SeohvRxxun8okeS1lREA24l</t>
  </si>
  <si>
    <t>hai hoa</t>
  </si>
  <si>
    <t>12/16/2025 15:44</t>
  </si>
  <si>
    <t>12/16/2025 17:06</t>
  </si>
  <si>
    <t>pi_3SeuCvRxxun8okeS0M1ngUqx</t>
  </si>
  <si>
    <t>12/16/2025 18:00</t>
  </si>
  <si>
    <t>pi_3Sev3FRxxun8okeS1R7KfonZ</t>
  </si>
  <si>
    <t>12/16/2025 18:49</t>
  </si>
  <si>
    <t>Liam Chen</t>
  </si>
  <si>
    <t>12/16/2025 21:57</t>
  </si>
  <si>
    <t>pi_3SeykdRxxun8okeS0mDCi2Xi</t>
  </si>
  <si>
    <t>12/16/2025 22:15</t>
  </si>
  <si>
    <t>pi_3Sez18Rxxun8okeS0aQLA3PK</t>
  </si>
  <si>
    <t>Cody Doby</t>
  </si>
  <si>
    <t>12/16/2025 23:15</t>
  </si>
  <si>
    <t>theresa chavez</t>
  </si>
  <si>
    <t>12/17/2025 2:29</t>
  </si>
  <si>
    <t>pi_3Sf2z8Rxxun8okeS0mIC0mBI</t>
  </si>
  <si>
    <t>12/17/2025 2:34</t>
  </si>
  <si>
    <t>cong huang</t>
  </si>
  <si>
    <t>12/17/2025 15:30</t>
  </si>
  <si>
    <t>pi_3SfFB5Rxxun8okeS1lDvMHpy</t>
  </si>
  <si>
    <t>12/17/2025 18:16</t>
  </si>
  <si>
    <t>pi_3SfHmARxxun8okeS0uLTu3zh</t>
  </si>
  <si>
    <t>fc chan</t>
  </si>
  <si>
    <t>12/17/2025 22:35</t>
  </si>
  <si>
    <t>lin ds</t>
  </si>
  <si>
    <t>12/18/2025 0:05</t>
  </si>
  <si>
    <t>dong 烽</t>
  </si>
  <si>
    <t>12/18/2025 5:01</t>
  </si>
  <si>
    <t>pi_3SfRoVRxxun8okeS1X0jncaR</t>
  </si>
  <si>
    <t>Alvin chen</t>
  </si>
  <si>
    <t>12/18/2025 12:53</t>
  </si>
  <si>
    <t>pi_3SfZCPRxxun8okeS0kYhmL8x</t>
  </si>
  <si>
    <t>12/18/2025 14:40</t>
  </si>
  <si>
    <t>DeBiao Liu</t>
  </si>
  <si>
    <t>12/18/2025 17:28</t>
  </si>
  <si>
    <t>pi_3SfdUzRxxun8okeS0pfyG5dh</t>
  </si>
  <si>
    <t>12/18/2025 20:12</t>
  </si>
  <si>
    <t>da yao</t>
  </si>
  <si>
    <t>12/18/2025 22:32</t>
  </si>
  <si>
    <t>pi_3SfiExRxxun8okeS1wCKXQKy</t>
  </si>
  <si>
    <t>12/18/2025 23:52</t>
  </si>
  <si>
    <t>12/19/2025 0:08</t>
  </si>
  <si>
    <t>12/19/2025 0:09</t>
  </si>
  <si>
    <t>12/19/2025 12:01</t>
  </si>
  <si>
    <t>pi_3SfuqhRxxun8okeS0BOU3WJp</t>
  </si>
  <si>
    <t>12/19/2025 13:02</t>
  </si>
  <si>
    <t>12/19/2025 13:04</t>
  </si>
  <si>
    <t>12/19/2025 13:18</t>
  </si>
  <si>
    <t>pi_3Sfw4gRxxun8okeS0SgMxE4L</t>
  </si>
  <si>
    <t>12/19/2025 13:19</t>
  </si>
  <si>
    <t>12/19/2025 14:04</t>
  </si>
  <si>
    <t>pi_3SfwmtRxxun8okeS13GKzUQM</t>
  </si>
  <si>
    <t>Jhon T</t>
  </si>
  <si>
    <t>12/19/2025 16:23</t>
  </si>
  <si>
    <t>LAO NING</t>
  </si>
  <si>
    <t>12/20/2025 8:31</t>
  </si>
  <si>
    <t>pi_3SgE4QRxxun8okeS17MzXdxO</t>
  </si>
  <si>
    <t>12/20/2025 8:36</t>
  </si>
  <si>
    <t>12/20/2025 10:29</t>
  </si>
  <si>
    <t>12/20/2025 14:26</t>
  </si>
  <si>
    <t>ty y</t>
  </si>
  <si>
    <t>12/20/2025 15:35</t>
  </si>
  <si>
    <t>pi_3SgKgYRxxun8okeS1qvjGqkJ</t>
  </si>
  <si>
    <t>Eric Huang</t>
  </si>
  <si>
    <t>12/20/2025 19:09</t>
  </si>
  <si>
    <t>pi_3SgO1yRxxun8okeS07IZQ6Al</t>
  </si>
  <si>
    <t>12/20/2025 23:14</t>
  </si>
  <si>
    <t>pi_3SgRqgRxxun8okeS0GtVi2sI</t>
  </si>
  <si>
    <t>12/21/2025 2:53</t>
  </si>
  <si>
    <t>pi_3SgVGlRxxun8okeS1UUF2iVr</t>
  </si>
  <si>
    <t>w y</t>
  </si>
  <si>
    <t>12/21/2025 4:32</t>
  </si>
  <si>
    <t>pi_3SgWofRxxun8okeS0KKWRN9z</t>
  </si>
  <si>
    <t>12/21/2025 9:28</t>
  </si>
  <si>
    <t>12/21/2025 10:44</t>
  </si>
  <si>
    <t>pi_3SgccmRxxun8okeS0prysejW</t>
  </si>
  <si>
    <t>12/21/2025 19:12</t>
  </si>
  <si>
    <t>文璋 汪</t>
  </si>
  <si>
    <t>12/21/2025 21:54</t>
  </si>
  <si>
    <t>pi_3Sgn4fRxxun8okeS13rQh5E8</t>
  </si>
  <si>
    <t>Hi Visa</t>
  </si>
  <si>
    <t>12/21/2025 23:00</t>
  </si>
  <si>
    <t>12/22/2025 9:25</t>
  </si>
  <si>
    <t>pi_3Sgxs2Rxxun8okeS1OGWsLid</t>
  </si>
  <si>
    <t>12/22/2025 9:36</t>
  </si>
  <si>
    <t>pi_3Sgy2hRxxun8okeS1E4trF8H</t>
  </si>
  <si>
    <t>Charles Hopkins</t>
  </si>
  <si>
    <t>12/22/2025 13:26</t>
  </si>
  <si>
    <t>12/22/2025 17:04</t>
  </si>
  <si>
    <t>ef3cb1fe0498b8176468ecf36a35242ed409217384d9f425f5036d60516e0b7f</t>
  </si>
  <si>
    <t>Liu fuzhu</t>
  </si>
  <si>
    <t>12/22/2025 21:40</t>
  </si>
  <si>
    <t>12/22/2025 22:03</t>
  </si>
  <si>
    <t>pi_3Sh9hNRxxun8okeS1xP1NX66</t>
  </si>
  <si>
    <t>12/22/2025 22:22</t>
  </si>
  <si>
    <t>Reversed Transaction ID: 5WU52067EG238725X</t>
  </si>
  <si>
    <t>12/23/2025 2:50</t>
  </si>
  <si>
    <t>Refund of Transaction ID pi_3SfdUzRxxun8okeS0pfyG5dh</t>
  </si>
  <si>
    <t>12/23/2025 9:25</t>
  </si>
  <si>
    <t>pi_3ShKLgRxxun8okeS0tHuplo5</t>
  </si>
  <si>
    <t>12/23/2025 9:26</t>
  </si>
  <si>
    <t>12/23/2025 9:27</t>
  </si>
  <si>
    <t>12/24/2025 12:03</t>
  </si>
  <si>
    <t>pi_3ShjHhRxxun8okeS1GF6DxCN</t>
  </si>
  <si>
    <t>12/24/2025 13:15</t>
  </si>
  <si>
    <t>pi_3ShkP6Rxxun8okeS0ebZMyuc</t>
  </si>
  <si>
    <t>lee brason</t>
  </si>
  <si>
    <t>12/24/2025 16:48</t>
  </si>
  <si>
    <t>12/24/2025 20:52</t>
  </si>
  <si>
    <t>12/24/2025 20:53</t>
  </si>
  <si>
    <t>pi_3ShrYiRxxun8okeS01jJK9nj</t>
  </si>
  <si>
    <t>Jo Hen</t>
  </si>
  <si>
    <t>12/24/2025 23:40</t>
  </si>
  <si>
    <t>pi_3Shu9fRxxun8okeS1xJqBiDi</t>
  </si>
  <si>
    <t>12/24/2025 23:49</t>
  </si>
  <si>
    <t>磊磊 fuc</t>
  </si>
  <si>
    <t>12/25/2025 1:17</t>
  </si>
  <si>
    <t>pi_3ShvgLRxxun8okeS1ZJyRV9H</t>
  </si>
  <si>
    <t>12/25/2025 17:34</t>
  </si>
  <si>
    <t>haiyue haiyue</t>
  </si>
  <si>
    <t>12/25/2025 19:31</t>
  </si>
  <si>
    <t>pi_3SiCkkRxxun8okeS0BLoddws</t>
  </si>
  <si>
    <t>Chee Lee</t>
  </si>
  <si>
    <t>12/25/2025 20:40</t>
  </si>
  <si>
    <t>pi_3SiDp3Rxxun8okeS1AzvtDAl</t>
  </si>
  <si>
    <t>12/26/2025 9:55</t>
  </si>
  <si>
    <t>12/26/2025 11:39</t>
  </si>
  <si>
    <t>pi_3SiRqvRxxun8okeS1J65VZDd</t>
  </si>
  <si>
    <t>12/26/2025 15:28</t>
  </si>
  <si>
    <t>12/26/2025 16:18</t>
  </si>
  <si>
    <t>pi_3SiWDqRxxun8okeS0aIxBtHj</t>
  </si>
  <si>
    <t>12/26/2025 16:43</t>
  </si>
  <si>
    <t>Reversed Transaction ID: 72N80238TP5953645</t>
  </si>
  <si>
    <t>12/26/2025 21:35</t>
  </si>
  <si>
    <t>pi_3SibA7Rxxun8okeS0LJINAIE</t>
  </si>
  <si>
    <t>12/26/2025 23:01</t>
  </si>
  <si>
    <t>c72e8e88c9089c64f75cb079a0e89e0b0387dffbc6b5827f5afc52cb2cc3ab93</t>
  </si>
  <si>
    <t>Ray Liu</t>
  </si>
  <si>
    <t>12/27/2025 16:33</t>
  </si>
  <si>
    <t>pi_3SisvrRxxun8okeS1t7bdkpI</t>
  </si>
  <si>
    <t>12/27/2025 19:27</t>
  </si>
  <si>
    <t>Anh Tuấn</t>
  </si>
  <si>
    <t>12/27/2025 20:58</t>
  </si>
  <si>
    <t>c4b99e15c36d05db176e769d26f4068f0c469c0e4f16d31ef654226b0fb6522e</t>
  </si>
  <si>
    <t>Van T</t>
  </si>
  <si>
    <t>12/27/2025 21:44</t>
  </si>
  <si>
    <t>pi_3SixmNRxxun8okeS1e2ZgfFx</t>
  </si>
  <si>
    <t>12/27/2025 22:31</t>
  </si>
  <si>
    <t>pi_3SiyWHRxxun8okeS1QGiztlf</t>
  </si>
  <si>
    <t>Dani Luke DS</t>
  </si>
  <si>
    <t>12/27/2025 23:27</t>
  </si>
  <si>
    <t>pi_3SizOWRxxun8okeS16yOxbLW</t>
  </si>
  <si>
    <t>12/27/2025 23:44</t>
  </si>
  <si>
    <t>8116ed91a35652eca7e35d161241440ddce54f2425554a61da1d35f99805380c</t>
  </si>
  <si>
    <t>12/28/2025 3:53</t>
  </si>
  <si>
    <t>pi_3Sj3YHRxxun8okeS0nvosxkz</t>
  </si>
  <si>
    <t>an wang</t>
  </si>
  <si>
    <t>12/28/2025 17:08</t>
  </si>
  <si>
    <t>y y</t>
  </si>
  <si>
    <t>12/28/2025 17:18</t>
  </si>
  <si>
    <t>pi_3SjG79Rxxun8okeS08xNXWB0</t>
  </si>
  <si>
    <t>12/28/2025 18:59</t>
  </si>
  <si>
    <t>12/29/2025 1:40</t>
  </si>
  <si>
    <t>12/29/2025 5:25</t>
  </si>
  <si>
    <t>pi_3SjRSJRxxun8okeS1M15wXGj</t>
  </si>
  <si>
    <t>Litian Chow</t>
  </si>
  <si>
    <t>12/29/2025 7:35</t>
  </si>
  <si>
    <t>pi_3SjTUSRxxun8okeS0jMLVHVO</t>
  </si>
  <si>
    <t>jian sun</t>
  </si>
  <si>
    <t>12/29/2025 17:05</t>
  </si>
  <si>
    <t>pi_3SjcLjRxxun8okeS0KKIJYpd</t>
  </si>
  <si>
    <t>Tim Yao</t>
  </si>
  <si>
    <t>12/29/2025 17:06</t>
  </si>
  <si>
    <t>pi_3SjcPFRxxun8okeS0ehEfV7d</t>
  </si>
  <si>
    <t>12/29/2025 17:55</t>
  </si>
  <si>
    <t>pi_3SjdA0Rxxun8okeS0uxq5A5N</t>
  </si>
  <si>
    <t>12/30/2025 0:44</t>
  </si>
  <si>
    <t>pi_3SjjXpRxxun8okeS1GhdM64w</t>
  </si>
  <si>
    <t>12/30/2025 3:02</t>
  </si>
  <si>
    <t>12/30/2025 9:31</t>
  </si>
  <si>
    <t>jin 模</t>
  </si>
  <si>
    <t>12/30/2025 10:38</t>
  </si>
  <si>
    <t>pi_3SjspCRxxun8okeS0hAhouzm</t>
  </si>
  <si>
    <t>12/30/2025 11:14</t>
  </si>
  <si>
    <t>12/30/2025 12:00</t>
  </si>
  <si>
    <t>Fox Croft</t>
  </si>
  <si>
    <t>12/30/2025 12:15</t>
  </si>
  <si>
    <t>pi_3SjuHnRxxun8okeS1e2sPl2p</t>
  </si>
  <si>
    <t>Rigel Falcon</t>
  </si>
  <si>
    <t>12/30/2025 15:08</t>
  </si>
  <si>
    <t>pi_3Sjwu9Rxxun8okeS1lmJXqk4</t>
  </si>
  <si>
    <t>zhang san</t>
  </si>
  <si>
    <t>12/30/2025 17:09</t>
  </si>
  <si>
    <t>pi_3SjyuoRxxun8okeS03si48bQ</t>
  </si>
  <si>
    <t>158 aisha</t>
  </si>
  <si>
    <t>12/30/2025 17:20</t>
  </si>
  <si>
    <t>pi_3Sjz5ZRxxun8okeS1BrdkOH4</t>
  </si>
  <si>
    <t>Qi Puer</t>
  </si>
  <si>
    <t>12/30/2025 20:55</t>
  </si>
  <si>
    <t>pi_3Sk2RxRxxun8okeS0uE3eKK7</t>
  </si>
  <si>
    <t>12/30/2025 21:45</t>
  </si>
  <si>
    <t>12/30/2025 23:19</t>
  </si>
  <si>
    <t>pi_3Sk4hkRxxun8okeS1hG9BfMx</t>
  </si>
  <si>
    <t>12/31/2025 8:25</t>
  </si>
  <si>
    <t>DEVIN LEE HILL</t>
  </si>
  <si>
    <t>12/31/2025 9:26</t>
  </si>
  <si>
    <t>12/31/2025 10:29</t>
  </si>
  <si>
    <t>pi_3SkF9aRxxun8okeS0p1HHerW</t>
  </si>
  <si>
    <t>12/31/2025 10:39</t>
  </si>
  <si>
    <t>pi_3SkFJlRxxun8okeS0TGlMUsQ</t>
  </si>
  <si>
    <t>Patrick CHANG</t>
  </si>
  <si>
    <t>12/31/2025 14:50</t>
  </si>
  <si>
    <t>pi_3SkJEmRxxun8okeS02WqeJbT</t>
  </si>
  <si>
    <t>Jack luo</t>
  </si>
  <si>
    <t>12/31/2025 15:18</t>
  </si>
  <si>
    <t>pi_3SkJfORxxun8okeS0O6bm39n</t>
  </si>
  <si>
    <t>12/31/2025 15:23</t>
  </si>
  <si>
    <t>pi_3SkJk3Rxxun8okeS00RCW30t</t>
  </si>
  <si>
    <t>12/31/2025 15:27</t>
  </si>
  <si>
    <t>pi_3SkJnjRxxun8okeS05R4HKGy</t>
  </si>
  <si>
    <t>dsf fsafsa</t>
  </si>
  <si>
    <t>12/31/2025 16:22</t>
  </si>
  <si>
    <t>pi_3SkKfZRxxun8okeS0dOOt3y5</t>
  </si>
  <si>
    <t>12/31/2025 16:35</t>
  </si>
  <si>
    <t>pi_3SkKrKRxxun8okeS0HWDV7om</t>
  </si>
  <si>
    <t>12/31/2025 17:48</t>
  </si>
  <si>
    <t>12/31/2025 21:35</t>
  </si>
  <si>
    <t>3ef42b6be0fc927b9a8fc59a6597a6e18cec67daa87ec61cbf62035914c1ea80</t>
  </si>
  <si>
    <t>dy mh</t>
  </si>
  <si>
    <t>12/31/2025 22:15</t>
  </si>
  <si>
    <t>pi_3SkQ98Rxxun8okeS1RtoxFXJ</t>
  </si>
  <si>
    <t>Yves Yan</t>
  </si>
  <si>
    <t>12/31/2025 22:32</t>
  </si>
  <si>
    <t>Alan Hudson</t>
  </si>
  <si>
    <t>12/31/2025 23:10</t>
  </si>
  <si>
    <t>类别</t>
  </si>
  <si>
    <t>支出本币</t>
  </si>
  <si>
    <t>收入本币</t>
  </si>
  <si>
    <t>收入$</t>
  </si>
  <si>
    <t>支出$</t>
  </si>
  <si>
    <t>结算</t>
  </si>
  <si>
    <t>Peter直接将上一笔款转给我个人</t>
  </si>
  <si>
    <t>ZA Bank</t>
  </si>
  <si>
    <t>已查收</t>
  </si>
  <si>
    <t>购买Vision电话卡</t>
  </si>
  <si>
    <t>水星-jiao xiang</t>
  </si>
  <si>
    <t>购买教材，统计学课程</t>
  </si>
  <si>
    <t>交美国房租</t>
  </si>
  <si>
    <t>wise-jiao xiang</t>
  </si>
  <si>
    <t>Chase银行</t>
  </si>
  <si>
    <t>销售运营</t>
  </si>
  <si>
    <t>皮老板</t>
  </si>
  <si>
    <t>支付给皮老板台湾1，73341</t>
  </si>
  <si>
    <t>支付给皮老板台湾1，75927</t>
  </si>
  <si>
    <t>支付给皮老板台湾2，77753</t>
  </si>
  <si>
    <t>采购</t>
  </si>
  <si>
    <t>淘宝</t>
  </si>
  <si>
    <t>香港主机</t>
  </si>
  <si>
    <t>京东</t>
  </si>
  <si>
    <t>两块三星硬盘</t>
  </si>
  <si>
    <t>DMIT</t>
  </si>
  <si>
    <t>支付宝W系统插件</t>
  </si>
  <si>
    <t>日本主机</t>
  </si>
  <si>
    <t>日本三块硬盘，2*1TB，1*4TB</t>
  </si>
  <si>
    <t>日本主机导轨</t>
  </si>
  <si>
    <t>U2硬盘线</t>
  </si>
  <si>
    <t>日本主机电源</t>
  </si>
  <si>
    <t>SSD SATA 480G MLC</t>
  </si>
  <si>
    <t>支付给皮老板台湾2，80033</t>
  </si>
  <si>
    <t>支付给皮老板台湾1，80913</t>
  </si>
  <si>
    <t>支付给皮老板台湾2，81559</t>
  </si>
  <si>
    <t>支付给皮老板台湾2，82617</t>
  </si>
  <si>
    <t>支付给皮老板台湾1，82251</t>
  </si>
  <si>
    <t>香港服务器和内存</t>
  </si>
  <si>
    <t>香港主机硬盘，2块960G，2块1.92T，2块3.84T</t>
  </si>
  <si>
    <t>支付给皮老板台湾2，82947</t>
  </si>
  <si>
    <t>公司管理</t>
  </si>
  <si>
    <t>陈敏</t>
  </si>
  <si>
    <t>公司管理增加股东</t>
  </si>
  <si>
    <t>支付给皮老板台湾1，83731</t>
  </si>
  <si>
    <t>支付给皮老板台湾2，84333</t>
  </si>
  <si>
    <t>三丰云</t>
  </si>
  <si>
    <t>北京BGP台湾机器DDNS检测（三年）</t>
  </si>
  <si>
    <t>支付给皮老板台湾2，85819</t>
  </si>
  <si>
    <t>5G模块</t>
  </si>
  <si>
    <t>台湾用硬盘4块2TB</t>
  </si>
  <si>
    <t>支付给皮老板台湾1，86579</t>
  </si>
  <si>
    <t>成都千智云的两台主机R640</t>
  </si>
  <si>
    <t>支付给皮老板台湾2，87423</t>
  </si>
  <si>
    <t>支付给皮老板台湾三条线整合</t>
  </si>
  <si>
    <t>两块2TB硬盘，加到IEPL的主机</t>
  </si>
  <si>
    <t>全新华硕RS500A-E10-RS12U（香港EQ）</t>
  </si>
  <si>
    <t>华项服务器配件 512GDDR+网卡</t>
  </si>
  <si>
    <t>三星TF卡 128G 高端用于 5G 路由美国</t>
  </si>
  <si>
    <t>移动云20M IPV6代理和转发服务器通讯(一年)</t>
  </si>
  <si>
    <t>优肯 光纤X4+光模块X8</t>
  </si>
  <si>
    <t>闲鱼</t>
  </si>
  <si>
    <t>DELL 小黑盒</t>
  </si>
  <si>
    <t>AI</t>
  </si>
  <si>
    <t>cursor 1 年 AI code</t>
  </si>
  <si>
    <t>$192</t>
  </si>
  <si>
    <t>微信</t>
  </si>
  <si>
    <t>购买纸箱</t>
  </si>
  <si>
    <t>购买TW的网卡</t>
  </si>
  <si>
    <t>顺丰</t>
  </si>
  <si>
    <t>寄往TW中转苏州</t>
  </si>
  <si>
    <t>支付给皮老板台湾两台合并，89013</t>
  </si>
  <si>
    <t>支付给皮老板台湾两台合并，90469</t>
  </si>
  <si>
    <t>Hike</t>
  </si>
  <si>
    <t>Hike Global Supply Chain Ltd</t>
  </si>
  <si>
    <t>公司转出账户</t>
  </si>
  <si>
    <t>个人收入账户</t>
  </si>
  <si>
    <t>结算方式</t>
  </si>
  <si>
    <t>结算年</t>
  </si>
  <si>
    <t>结算月</t>
  </si>
  <si>
    <t>已支付至-水星SF</t>
  </si>
  <si>
    <t>KCD</t>
  </si>
  <si>
    <t>快车道INV-002135</t>
  </si>
  <si>
    <t>快车道INV-002275</t>
  </si>
  <si>
    <t>NiiHost-AFF</t>
  </si>
  <si>
    <t xml:space="preserve">支付给张雨萱
</t>
  </si>
  <si>
    <t>转至水星</t>
  </si>
  <si>
    <t>05-25-2024</t>
  </si>
  <si>
    <t>05-25-2024 00:34:01</t>
  </si>
  <si>
    <t>05-27-2024</t>
  </si>
  <si>
    <t>05-27-2024 11:48:20</t>
  </si>
  <si>
    <t>06-22-2024</t>
  </si>
  <si>
    <t>06-22-2024 03:32:59</t>
  </si>
  <si>
    <t>WISE US INC; idc fee; XIANG JIAO</t>
  </si>
  <si>
    <t>From PENG YUAN Via WISE</t>
  </si>
  <si>
    <t>IDC service fee</t>
  </si>
  <si>
    <t>Ovh US</t>
  </si>
  <si>
    <t>OVH US LLC</t>
  </si>
  <si>
    <t>07-22-2024</t>
  </si>
  <si>
    <t>07-22-2024 04:24:17</t>
  </si>
  <si>
    <t>07-31-2024</t>
  </si>
  <si>
    <t>WISE US INC; tutu-nii; XIANG JIAO</t>
  </si>
  <si>
    <t>07-31-2024 21:49:54</t>
  </si>
  <si>
    <t>The service fee for August.</t>
  </si>
  <si>
    <t>08-14-2024</t>
  </si>
  <si>
    <t>08-14-2024 12:32:15</t>
  </si>
  <si>
    <t>08-16-2024</t>
  </si>
  <si>
    <t>08-16-2024 12:31:35</t>
  </si>
  <si>
    <t>08-21-2024</t>
  </si>
  <si>
    <t>08-21-2024 12:31:15</t>
  </si>
  <si>
    <t>08-22-2024</t>
  </si>
  <si>
    <t>08-22-2024 03:22:07</t>
  </si>
  <si>
    <t>08-23-2024</t>
  </si>
  <si>
    <t>08-23-2024 12:30:40</t>
  </si>
  <si>
    <t>08-29-2024</t>
  </si>
  <si>
    <t>08-29-2024 12:31:24</t>
  </si>
  <si>
    <t>08-30-2024</t>
  </si>
  <si>
    <t>08-30-2024 12:31:49</t>
  </si>
  <si>
    <t>09-13-2024</t>
  </si>
  <si>
    <t>09-13-2024 12:30:34</t>
  </si>
  <si>
    <t>09-16-2024</t>
  </si>
  <si>
    <t>09-16-2024 12:40:22</t>
  </si>
  <si>
    <t>09-16-2024 07:12:10</t>
  </si>
  <si>
    <t>09-17-2024</t>
  </si>
  <si>
    <t>09-17-2024 14:41:20</t>
  </si>
  <si>
    <t>09-17-2024 12:36:38</t>
  </si>
  <si>
    <t>09-18-2024</t>
  </si>
  <si>
    <t>09-18-2024 12:30:55</t>
  </si>
  <si>
    <t>09-20-2024</t>
  </si>
  <si>
    <t>09-20-2024 12:31:37</t>
  </si>
  <si>
    <t>09-22-2024</t>
  </si>
  <si>
    <t>09-22-2024 03:38:07</t>
  </si>
  <si>
    <t>09-23-2024</t>
  </si>
  <si>
    <t>09-23-2024 12:37:58</t>
  </si>
  <si>
    <t>09-24-2024</t>
  </si>
  <si>
    <t>09-24-2024 12:32:37</t>
  </si>
  <si>
    <t>09-25-2024</t>
  </si>
  <si>
    <t>09-25-2024 12:32:01</t>
  </si>
  <si>
    <t>09-26-2024</t>
  </si>
  <si>
    <t>09-26-2024 12:31:27</t>
  </si>
  <si>
    <t>09-27-2024</t>
  </si>
  <si>
    <t>09-27-2024 12:31:41</t>
  </si>
  <si>
    <t>10-16-2024</t>
  </si>
  <si>
    <t>10-16-2024 12:31:35</t>
  </si>
  <si>
    <t>OVH</t>
  </si>
  <si>
    <t>10-16-2024 07:26:07</t>
  </si>
  <si>
    <t>10-17-2024</t>
  </si>
  <si>
    <t>10-17-2024 12:32:02</t>
  </si>
  <si>
    <t>10-18-2024</t>
  </si>
  <si>
    <t>10-18-2024 12:36:03</t>
  </si>
  <si>
    <t>10-21-2024</t>
  </si>
  <si>
    <t>10-21-2024 12:37:53</t>
  </si>
  <si>
    <t>10-22-2024</t>
  </si>
  <si>
    <t>10-22-2024 07:28:16</t>
  </si>
  <si>
    <t>10-23-2024</t>
  </si>
  <si>
    <t>10-23-2024 12:31:29</t>
  </si>
  <si>
    <t>10-24-2024</t>
  </si>
  <si>
    <t>10-24-2024 12:31:47</t>
  </si>
  <si>
    <t>10-25-2024</t>
  </si>
  <si>
    <t>10-25-2024 12:30:54</t>
  </si>
  <si>
    <t>10-28-2024</t>
  </si>
  <si>
    <t>10-28-2024 12:35:38</t>
  </si>
  <si>
    <t>10-28-2024 12:17:13</t>
  </si>
  <si>
    <t>10-29-2024</t>
  </si>
  <si>
    <t>10-29-2024 12:31:56</t>
  </si>
  <si>
    <t>10-30-2024</t>
  </si>
  <si>
    <t>From Stars Flying Inc via mercury.com, 2024-09, Network</t>
  </si>
  <si>
    <t>2024-09, Network</t>
  </si>
  <si>
    <t>10-30-2024 14:35:17</t>
  </si>
  <si>
    <t>10-30-2024 12:30:52</t>
  </si>
  <si>
    <t>10-31-2024</t>
  </si>
  <si>
    <t>10-31-2024 12:31:28</t>
  </si>
  <si>
    <t>WISE US INC; Business; Stars Flying Inc</t>
  </si>
  <si>
    <t>From Stars Flying Inc via mercury.com, pay for network fee.</t>
  </si>
  <si>
    <t>11-13-2024</t>
  </si>
  <si>
    <t>11-13-2024 13:31:29</t>
  </si>
  <si>
    <t>11-14-2024</t>
  </si>
  <si>
    <t>11-14-2024 13:32:47</t>
  </si>
  <si>
    <t>11-15-2024</t>
  </si>
  <si>
    <t>11-15-2024 13:31:03</t>
  </si>
  <si>
    <t>11-18-2024</t>
  </si>
  <si>
    <t>11-18-2024 13:34:55</t>
  </si>
  <si>
    <t>11-19-2024</t>
  </si>
  <si>
    <t>11-19-2024 13:31:33</t>
  </si>
  <si>
    <t>11-20-2024</t>
  </si>
  <si>
    <t>11-20-2024 13:30:53</t>
  </si>
  <si>
    <t>11-21-2024</t>
  </si>
  <si>
    <t>11-21-2024 13:31:26</t>
  </si>
  <si>
    <t>11-22-2024</t>
  </si>
  <si>
    <t>11-22-2024 13:30:43</t>
  </si>
  <si>
    <t>11-22-2024 04:27:04</t>
  </si>
  <si>
    <t>11-25-2024</t>
  </si>
  <si>
    <t>11-25-2024 13:33:50</t>
  </si>
  <si>
    <t>11-26-2024</t>
  </si>
  <si>
    <t>11-26-2024 13:35:25</t>
  </si>
  <si>
    <t>11-26-2024 13:06:07</t>
  </si>
  <si>
    <t>11-26-2024 13:03:07</t>
  </si>
  <si>
    <t>11-27-2024</t>
  </si>
  <si>
    <t>11-27-2024 13:34:31</t>
  </si>
  <si>
    <t>11-29-2024</t>
  </si>
  <si>
    <t>11-29-2024 16:00:39</t>
  </si>
  <si>
    <t>2024-10 network fee</t>
  </si>
  <si>
    <t>11-29-2024 15:35:56</t>
  </si>
  <si>
    <t>Monthly fee for service.</t>
  </si>
  <si>
    <t>12-22-2024</t>
  </si>
  <si>
    <t>12-22-2024 05:01:05</t>
  </si>
  <si>
    <t>12-24-2024</t>
  </si>
  <si>
    <t>12-24-2024 03:12:03</t>
  </si>
  <si>
    <t>12-26-2024</t>
  </si>
  <si>
    <t>12-26-2024 13:16:13</t>
  </si>
  <si>
    <t>YEAR</t>
  </si>
  <si>
    <t>MONTH</t>
  </si>
  <si>
    <t>SmartBuildGo INC</t>
  </si>
  <si>
    <t>Subscription Payment</t>
  </si>
  <si>
    <t>Completed</t>
  </si>
  <si>
    <t>6SA86333G1026454P</t>
  </si>
  <si>
    <t>二彪 霍</t>
  </si>
  <si>
    <t>4V966760172259421</t>
  </si>
  <si>
    <t>General Hold</t>
  </si>
  <si>
    <t>1XF790710M9837837</t>
  </si>
  <si>
    <t>通 王</t>
  </si>
  <si>
    <t>Website Payment</t>
  </si>
  <si>
    <t>2S540797GN5972229</t>
  </si>
  <si>
    <t>6ND393327Y100180S</t>
  </si>
  <si>
    <t>天佑 许</t>
  </si>
  <si>
    <t>0B84322254060342E</t>
  </si>
  <si>
    <t>4P5038244E940961P</t>
  </si>
  <si>
    <t>20689685GC475644C</t>
  </si>
  <si>
    <t>1ME82617LC209891P</t>
  </si>
  <si>
    <t>General Hold Release</t>
  </si>
  <si>
    <t>3JT01132WA668090P</t>
  </si>
  <si>
    <t>96P47753B7272521C</t>
  </si>
  <si>
    <t>3GV77413G55833007</t>
  </si>
  <si>
    <t>3BW038740S659873Y</t>
  </si>
  <si>
    <t>ChengZhun Luo</t>
  </si>
  <si>
    <t>6VD29465UV793973Y</t>
  </si>
  <si>
    <t>Payment Hold</t>
  </si>
  <si>
    <t>2BU58566545338746</t>
  </si>
  <si>
    <t>5GH13922UD586221S</t>
  </si>
  <si>
    <t>7EL354877U6004836</t>
  </si>
  <si>
    <t>YinLong Liu</t>
  </si>
  <si>
    <t>65M736465N9088725</t>
  </si>
  <si>
    <t>9SU34917JW487314T</t>
  </si>
  <si>
    <t>Express Checkout Payment</t>
  </si>
  <si>
    <t>21M63463JF122742F</t>
  </si>
  <si>
    <t>マユリ 勾坂</t>
  </si>
  <si>
    <t>84W70913RG565894W</t>
  </si>
  <si>
    <t>3BC696993S761090G</t>
  </si>
  <si>
    <t>1DV02479AB5079732</t>
  </si>
  <si>
    <t>7F9674973K915954L</t>
  </si>
  <si>
    <t>3JF46818ET561134M</t>
  </si>
  <si>
    <t>5VT16629A7267613B</t>
  </si>
  <si>
    <t>兴凯 卞</t>
  </si>
  <si>
    <t>30320851KF6315818</t>
  </si>
  <si>
    <t>04N90702J8050600Y</t>
  </si>
  <si>
    <t>Ashish Satish Pandya</t>
  </si>
  <si>
    <t>3G492530LW657035E</t>
  </si>
  <si>
    <t>Hold on Balance for Dispute Investigation</t>
  </si>
  <si>
    <t>21G13064CM4692729</t>
  </si>
  <si>
    <t>Cancellation of Hold for Dispute Resolution</t>
  </si>
  <si>
    <t>Denied</t>
  </si>
  <si>
    <t>Payment Release</t>
  </si>
  <si>
    <t>7CK09455FE892592J</t>
  </si>
  <si>
    <t>niu qiuchen</t>
  </si>
  <si>
    <t>3VF12464KY494004S</t>
  </si>
  <si>
    <t>mushroom uncle</t>
  </si>
  <si>
    <t>3WP35380DY702302P</t>
  </si>
  <si>
    <t>欣珩 麥</t>
  </si>
  <si>
    <t>82F84038WK506410G</t>
  </si>
  <si>
    <t>1RD22522057378628</t>
  </si>
  <si>
    <t>天明 吴</t>
  </si>
  <si>
    <t>3GK229700C273873S</t>
  </si>
  <si>
    <t>7LU45916N2476093X</t>
  </si>
  <si>
    <t>7DF59548BL9076639</t>
  </si>
  <si>
    <t>鴻昇 江</t>
  </si>
  <si>
    <t>57383945YS631623K</t>
  </si>
  <si>
    <t>7GA75580RC017904X</t>
  </si>
  <si>
    <t>6SH16690JA8097116</t>
  </si>
  <si>
    <t>Chung Tong</t>
  </si>
  <si>
    <t>69K39947A2965142F</t>
  </si>
  <si>
    <t>6RF36608A16241456</t>
  </si>
  <si>
    <t>晓晖 潘</t>
  </si>
  <si>
    <t>3FJ36487SH236084G</t>
  </si>
  <si>
    <t>Payment Refund</t>
  </si>
  <si>
    <t>20H28570GJ452944U</t>
  </si>
  <si>
    <t>斌 易</t>
  </si>
  <si>
    <t>7C3925993C1520333</t>
  </si>
  <si>
    <t>惠玲 吴</t>
  </si>
  <si>
    <t>9WY45645EW354741S</t>
  </si>
  <si>
    <t>2J069439FM973380H</t>
  </si>
  <si>
    <t>岩 王</t>
  </si>
  <si>
    <t>6NA225145A008853R</t>
  </si>
  <si>
    <t>5NL077728L640622W</t>
  </si>
  <si>
    <t>47133231D24290023</t>
  </si>
  <si>
    <t>7RS255719F590274T</t>
  </si>
  <si>
    <t>4FY73657783567730</t>
  </si>
  <si>
    <t>乃铭 王</t>
  </si>
  <si>
    <t>1DK04605TA2740513</t>
  </si>
  <si>
    <t>ZOHO Corporation</t>
  </si>
  <si>
    <t>PreApproved Payment Bill User Payment</t>
  </si>
  <si>
    <t>40M37313580619624</t>
  </si>
  <si>
    <t>薄豪 黄</t>
  </si>
  <si>
    <t>02B36635MS7021254</t>
  </si>
  <si>
    <t>亦之 胡</t>
  </si>
  <si>
    <t>7FV372175U5389614</t>
  </si>
  <si>
    <t>志飞 许</t>
  </si>
  <si>
    <t>67D29953NJ180041W</t>
  </si>
  <si>
    <t>8TP83290KG5806326</t>
  </si>
  <si>
    <t>斌 任</t>
  </si>
  <si>
    <t>5UN95401S0383830K</t>
  </si>
  <si>
    <t>07H869111T984322N</t>
  </si>
  <si>
    <t>7P341739195841248</t>
  </si>
  <si>
    <t>杰 郝</t>
  </si>
  <si>
    <t>3VJ25020AX245774X</t>
  </si>
  <si>
    <t>4MG377887H088312J</t>
  </si>
  <si>
    <t>培旺 林</t>
  </si>
  <si>
    <t>42B265848T3319047</t>
  </si>
  <si>
    <t>强 刘</t>
  </si>
  <si>
    <t>77K20240TF554522F</t>
  </si>
  <si>
    <t>07L458511U6325614</t>
  </si>
  <si>
    <t>3D783339BH986260N</t>
  </si>
  <si>
    <t>3JY132336B753425J</t>
  </si>
  <si>
    <t>2MF70762KF657484T</t>
  </si>
  <si>
    <t>User Initiated Withdrawal</t>
  </si>
  <si>
    <t>3X430435XY012144W</t>
  </si>
  <si>
    <t>威龙 陈</t>
  </si>
  <si>
    <t>36L61136KM172923J</t>
  </si>
  <si>
    <t>9NF917151A290793G</t>
  </si>
  <si>
    <t>昊然 葛</t>
  </si>
  <si>
    <t>8RG90648UA7382414</t>
  </si>
  <si>
    <t>9G580334X5180005X</t>
  </si>
  <si>
    <t>耀培 马</t>
  </si>
  <si>
    <t>2XE71822A42334319</t>
  </si>
  <si>
    <t>84C18079R7404105K</t>
  </si>
  <si>
    <t>先生 林</t>
  </si>
  <si>
    <t>0PW96725HB379620C</t>
  </si>
  <si>
    <t>阅 时</t>
  </si>
  <si>
    <t>40T6598269606603R</t>
  </si>
  <si>
    <t>2MV027849B281412D</t>
  </si>
  <si>
    <t>Selina Ward</t>
  </si>
  <si>
    <t>66A15645AF698502V</t>
  </si>
  <si>
    <t>6MA77067JG087515V</t>
  </si>
  <si>
    <t>涛 陈</t>
  </si>
  <si>
    <t>1U068762EH842430C</t>
  </si>
  <si>
    <t>4L2537082Y048834P</t>
  </si>
  <si>
    <t>Feiyue Gu</t>
  </si>
  <si>
    <t>43D86063WW9816927</t>
  </si>
  <si>
    <t>鎏 何</t>
  </si>
  <si>
    <t>28R44500X2636081X</t>
  </si>
  <si>
    <t>王坤</t>
  </si>
  <si>
    <t>47V665252G593511C</t>
  </si>
  <si>
    <t>2HK50783M9322724L</t>
  </si>
  <si>
    <t>邢宇 张</t>
  </si>
  <si>
    <t>9KY73206DF7092806</t>
  </si>
  <si>
    <t>朗 陈</t>
  </si>
  <si>
    <t>2KW09693C2973370R</t>
  </si>
  <si>
    <t>永斌 马</t>
  </si>
  <si>
    <t>7RJ75806AF927160T</t>
  </si>
  <si>
    <t>Wenhuan Chen</t>
  </si>
  <si>
    <t>1DP34398VE1496927</t>
  </si>
  <si>
    <t>Tsz Wa Cheung</t>
  </si>
  <si>
    <t>32A04754V2390013D</t>
  </si>
  <si>
    <t>芝宝 周</t>
  </si>
  <si>
    <t>8TW08548SG303782H</t>
  </si>
  <si>
    <t>1FR62181J7333620U</t>
  </si>
  <si>
    <t>xinglong na</t>
  </si>
  <si>
    <t>5KF319607J6247443</t>
  </si>
  <si>
    <t>铎 王</t>
  </si>
  <si>
    <t>3NG20585A7904724F</t>
  </si>
  <si>
    <t>0WK55044TC508313H</t>
  </si>
  <si>
    <t>6PU62633VN0241929</t>
  </si>
  <si>
    <t>旭 段</t>
  </si>
  <si>
    <t>2AW28813W1811260N</t>
  </si>
  <si>
    <t>0ES76821GS863350W</t>
  </si>
  <si>
    <t>Megan Maliczak</t>
  </si>
  <si>
    <t>4J716186R73251150</t>
  </si>
  <si>
    <t>8ER12184R63057746</t>
  </si>
  <si>
    <t>25C854092Y721314Y</t>
  </si>
  <si>
    <t>韩松 张</t>
  </si>
  <si>
    <t>3NC13082915705620</t>
  </si>
  <si>
    <t>7LJ57134U9445103H</t>
  </si>
  <si>
    <t>陈俊霖</t>
  </si>
  <si>
    <t>0EB24091J7420210K</t>
  </si>
  <si>
    <t>Lin ZeChao</t>
  </si>
  <si>
    <t>7HV24672PL714001P</t>
  </si>
  <si>
    <t>0AS29648VJ433013F</t>
  </si>
  <si>
    <t>63T44825V5891823D</t>
  </si>
  <si>
    <t>维锐 孔</t>
  </si>
  <si>
    <t>5KD437999S6804242</t>
  </si>
  <si>
    <t>46R32006R4482940G</t>
  </si>
  <si>
    <t>Efraim Kyle</t>
  </si>
  <si>
    <t>6GL478211M5732639</t>
  </si>
  <si>
    <t>Jeandenis Fardella</t>
  </si>
  <si>
    <t>8WA90646DW396254L</t>
  </si>
  <si>
    <t>Rong Wang</t>
  </si>
  <si>
    <t>00E11523W8692024N</t>
  </si>
  <si>
    <t>7H472244YB047921M</t>
  </si>
  <si>
    <t>Hui He</t>
  </si>
  <si>
    <t>6N250760H8635210T</t>
  </si>
  <si>
    <t>8YH52055N06831526</t>
  </si>
  <si>
    <t>晨航 师</t>
  </si>
  <si>
    <t>8RR644291E728005K</t>
  </si>
  <si>
    <t>玉坤 秦</t>
  </si>
  <si>
    <t>9G063934DV047891M</t>
  </si>
  <si>
    <t>6CD652955B894780W</t>
  </si>
  <si>
    <t>ni zhenhua</t>
  </si>
  <si>
    <t>31371697TG4353008</t>
  </si>
  <si>
    <t>8K06905923647281X</t>
  </si>
  <si>
    <t>3LA04485YP731811F</t>
  </si>
  <si>
    <t>6EG153785V5175132</t>
  </si>
  <si>
    <t>69A39904WP3141409</t>
  </si>
  <si>
    <t>冬 韩</t>
  </si>
  <si>
    <t>08S48469HL998564V</t>
  </si>
  <si>
    <t>Xu Sun</t>
  </si>
  <si>
    <t>4ES37510KS8967648</t>
  </si>
  <si>
    <t>0WL84549KM460291U</t>
  </si>
  <si>
    <t>7AJ22876CX381241T</t>
  </si>
  <si>
    <t>11T56437CL0740721</t>
  </si>
  <si>
    <t>8JD503935L443905H</t>
  </si>
  <si>
    <t>烨炘 肖</t>
  </si>
  <si>
    <t>60380469WV963433R</t>
  </si>
  <si>
    <t>1AB91194V6961952H</t>
  </si>
  <si>
    <t>8DU34793NP344712J</t>
  </si>
  <si>
    <t>沅武 姚</t>
  </si>
  <si>
    <t>62U89692AX5446025</t>
  </si>
  <si>
    <t>2PU89917P9567280J</t>
  </si>
  <si>
    <t>9EG069213K5529342</t>
  </si>
  <si>
    <t>kay kay</t>
  </si>
  <si>
    <t>4BN68207TL2888415</t>
  </si>
  <si>
    <t>8E965186YT6513427</t>
  </si>
  <si>
    <t>316206902V189271J</t>
  </si>
  <si>
    <t>8PL81363FA8416451</t>
  </si>
  <si>
    <t>0TD02874CJ6045719</t>
  </si>
  <si>
    <t>旭峰 李</t>
  </si>
  <si>
    <t>3AY14754TA685240X</t>
  </si>
  <si>
    <t>12/14/2024</t>
  </si>
  <si>
    <t>12/15/2024</t>
  </si>
  <si>
    <t>4PW51904E7809870K</t>
  </si>
  <si>
    <t>99N29676556130056</t>
  </si>
  <si>
    <t>12/16/2024</t>
  </si>
  <si>
    <t>98U273723V8505639</t>
  </si>
  <si>
    <t>鑫 喻</t>
  </si>
  <si>
    <t>4FL092058W615633A</t>
  </si>
  <si>
    <t>松 陈</t>
  </si>
  <si>
    <t>2N9362491H041143N</t>
  </si>
  <si>
    <t>89R66285EB3995810</t>
  </si>
  <si>
    <t>安耀 何</t>
  </si>
  <si>
    <t>9MP09192DG172864X</t>
  </si>
  <si>
    <t>037667207Y968352G</t>
  </si>
  <si>
    <t>12/17/2024</t>
  </si>
  <si>
    <t>08A99071E23711152</t>
  </si>
  <si>
    <t>为 罗</t>
  </si>
  <si>
    <t>6LA875790G682745G</t>
  </si>
  <si>
    <t>6GB73911HY950915Y</t>
  </si>
  <si>
    <t>12/18/2024</t>
  </si>
  <si>
    <t>谱贺 尤</t>
  </si>
  <si>
    <t>8YL49919U9229232V</t>
  </si>
  <si>
    <t>12/20/2024</t>
  </si>
  <si>
    <t>3BD82413UX5227925</t>
  </si>
  <si>
    <t>12/21/2024</t>
  </si>
  <si>
    <t>8BM94133K2959993J</t>
  </si>
  <si>
    <t>4YT628922N319721D</t>
  </si>
  <si>
    <t>锦栋 刘</t>
  </si>
  <si>
    <t>50U21686S7383333V</t>
  </si>
  <si>
    <t>4UT621738L1042129</t>
  </si>
  <si>
    <t>徐琼</t>
  </si>
  <si>
    <t>64N645919N324951D</t>
  </si>
  <si>
    <t>12/23/2024</t>
  </si>
  <si>
    <t>铭炜 欧</t>
  </si>
  <si>
    <t>4V429827T1221724U</t>
  </si>
  <si>
    <t>12/24/2024</t>
  </si>
  <si>
    <t>Khanh Nguyen</t>
  </si>
  <si>
    <t>2KT590599R6427908</t>
  </si>
  <si>
    <t>12/25/2024</t>
  </si>
  <si>
    <t>2PN43255V1467990F</t>
  </si>
  <si>
    <t>87B19531NG932773L</t>
  </si>
  <si>
    <t>HAIZHI ZHANG</t>
  </si>
  <si>
    <t>0MT82971N5569620C</t>
  </si>
  <si>
    <t>12/26/2024</t>
  </si>
  <si>
    <t>超 轶 尹</t>
  </si>
  <si>
    <t>2KN99617H88887749</t>
  </si>
  <si>
    <t>31U43039UX761661C</t>
  </si>
  <si>
    <t>98G04998HY133200D</t>
  </si>
  <si>
    <t>浩斌 丁</t>
  </si>
  <si>
    <t>1S041945BS681553P</t>
  </si>
  <si>
    <t>50430532XB434200M</t>
  </si>
  <si>
    <t>3LV93040D9537603A</t>
  </si>
  <si>
    <t>12/27/2024</t>
  </si>
  <si>
    <t>7WT02323F2093991C</t>
  </si>
  <si>
    <t>Ning Chen</t>
  </si>
  <si>
    <t>4V509211723720845</t>
  </si>
  <si>
    <t>ZHIJIE NING</t>
  </si>
  <si>
    <t>4RM05008CX0006345</t>
  </si>
  <si>
    <t>利恩 刘</t>
  </si>
  <si>
    <t>77S890919F499144N</t>
  </si>
  <si>
    <t>12/28/2024</t>
  </si>
  <si>
    <t>佳哲 韩</t>
  </si>
  <si>
    <t>72D924850B438493W</t>
  </si>
  <si>
    <t>思彧 林</t>
  </si>
  <si>
    <t>9CU9743953721102F</t>
  </si>
  <si>
    <t>4FC805929H409852W</t>
  </si>
  <si>
    <t>80W77024UM804410C</t>
  </si>
  <si>
    <t>607684805S618943A</t>
  </si>
  <si>
    <t>12/29/2024</t>
  </si>
  <si>
    <t>5SM438844S9014037</t>
  </si>
  <si>
    <t>Chen Lei</t>
  </si>
  <si>
    <t>6XJ88372B17001455</t>
  </si>
  <si>
    <t>Gu Adlar</t>
  </si>
  <si>
    <t>6JJ00053SY564704H</t>
  </si>
  <si>
    <t>12/30/2024</t>
  </si>
  <si>
    <t>嘉成 崔</t>
  </si>
  <si>
    <t>6GL98762XW894323A</t>
  </si>
  <si>
    <t>4Y209796U0285063B</t>
  </si>
  <si>
    <t>12/31/2024</t>
  </si>
  <si>
    <t>6UH74478JB953843P</t>
  </si>
  <si>
    <t>TRANSFER-1283436847</t>
  </si>
  <si>
    <t>TRANSFER-1283682886</t>
  </si>
  <si>
    <t>TRANSFER-1285373229</t>
  </si>
  <si>
    <t>PENG YUAN</t>
  </si>
  <si>
    <t>TRANSFER-1285376180</t>
  </si>
  <si>
    <t>Business</t>
  </si>
  <si>
    <t>TRANSFER-1318697596</t>
  </si>
  <si>
    <t>TRANSFER-1328505866</t>
  </si>
  <si>
    <t>TRANSFER-1328512218</t>
  </si>
  <si>
    <t>PITTQIAO LLC</t>
  </si>
  <si>
    <t>TRANSFER-1329253608</t>
  </si>
  <si>
    <t>TRANSFER-1330073045</t>
  </si>
  <si>
    <t>TRANSFER-1331579487</t>
  </si>
  <si>
    <t>TRANSFER-1332974675</t>
  </si>
  <si>
    <t>TRANSFER-1334392410</t>
  </si>
  <si>
    <t>TRANSFER-1338387864</t>
  </si>
  <si>
    <t>TRANSFER-1339198751</t>
  </si>
  <si>
    <t>TRANSFER-1340629194</t>
  </si>
  <si>
    <t>TRANSFER-1342056150</t>
  </si>
  <si>
    <t>TRANSFER-1343588103</t>
  </si>
  <si>
    <t>TRANSFER-1348196684</t>
  </si>
  <si>
    <t>TRANSFER-1348754016</t>
  </si>
  <si>
    <t>2024-12 network fees</t>
  </si>
  <si>
    <t>TRANSFER-1348780200</t>
  </si>
  <si>
    <t>TRANSFER-1351268236</t>
  </si>
  <si>
    <t>TRANSFER-1351943488</t>
  </si>
  <si>
    <t>TRANSFER-1356001319</t>
  </si>
  <si>
    <t>TRANSFER-1356849215</t>
  </si>
  <si>
    <t>70M06181MN227831E</t>
  </si>
  <si>
    <t>txn_3PSKScLC1qWai2Wk13QMwtxU</t>
  </si>
  <si>
    <t>pi_3PSWoeLC1qWai2Wk0Fy4D0qs</t>
  </si>
  <si>
    <t>qi mr</t>
  </si>
  <si>
    <t>raiders 168</t>
  </si>
  <si>
    <t>dow wan</t>
  </si>
  <si>
    <t>joys feng</t>
  </si>
  <si>
    <t>pi_3PThRyLC1qWai2Wk0hoQ0vJ8</t>
  </si>
  <si>
    <t>blade dao</t>
  </si>
  <si>
    <t>hello hey</t>
  </si>
  <si>
    <t>8KK8846671967620X</t>
  </si>
  <si>
    <t>Al CA Al CA</t>
  </si>
  <si>
    <t>pi_3PWFRYLC1qWai2Wk06AsQoH1</t>
  </si>
  <si>
    <t>pi_3PWFT9LC1qWai2Wk0xA2i1pO</t>
  </si>
  <si>
    <t>Tauretta Mccray</t>
  </si>
  <si>
    <t>pi_3PWFSaLC1qWai2Wk0e8fz6kJ</t>
  </si>
  <si>
    <t>2WR491628Y735060L</t>
  </si>
  <si>
    <t>pi_3PWFXuLC1qWai2Wk1TjjA1Hf</t>
  </si>
  <si>
    <t>Alexandra Adams</t>
  </si>
  <si>
    <t>4X210966XM120514P</t>
  </si>
  <si>
    <t>1HW89316YC536430A</t>
  </si>
  <si>
    <t>Hale Eric R</t>
  </si>
  <si>
    <t>pi_3PWFgmLC1qWai2Wk08Z2QVYy</t>
  </si>
  <si>
    <t>Monkey Ray</t>
  </si>
  <si>
    <t>6TP43758SN755703K</t>
  </si>
  <si>
    <t>Jew Trump</t>
  </si>
  <si>
    <t>pi_3PWFmZLC1qWai2Wk12sNLKC6</t>
  </si>
  <si>
    <t>bo mo</t>
  </si>
  <si>
    <t>pi_3PWH1LLC1qWai2Wk1V18Cu4p</t>
  </si>
  <si>
    <t>pi_3PWIhhLC1qWai2Wk1hUOzm0L</t>
  </si>
  <si>
    <t>Kusuo Saiki</t>
  </si>
  <si>
    <t>pi_3PWXfKLC1qWai2Wk1vL1I1Ry</t>
  </si>
  <si>
    <t>9DF28969VM0591221</t>
  </si>
  <si>
    <t>jb ok</t>
  </si>
  <si>
    <t>pi_3PWXkkLC1qWai2Wk0f5CrByF</t>
  </si>
  <si>
    <t>4PF87572H2576661C</t>
  </si>
  <si>
    <t>L L</t>
  </si>
  <si>
    <t>6B2788068P4813916</t>
  </si>
  <si>
    <t>94R75013YC870621F</t>
  </si>
  <si>
    <t>pi_3PWYIhLC1qWai2Wk1XREabMg</t>
  </si>
  <si>
    <t>pi_3PWYdhLC1qWai2Wk0UmM7fHn</t>
  </si>
  <si>
    <t>SERV EN</t>
  </si>
  <si>
    <t>pi_3PWZ3ULC1qWai2Wk1gYsKHoP</t>
  </si>
  <si>
    <t>Andres Nava</t>
  </si>
  <si>
    <t>pi_3PWZJRLC1qWai2Wk1S4nj8WA</t>
  </si>
  <si>
    <t>7FN98044702356611</t>
  </si>
  <si>
    <t>shihohg xu</t>
  </si>
  <si>
    <t>pi_3PWZMoLC1qWai2Wk14LSLYmA</t>
  </si>
  <si>
    <t>Ytxiaoxiao 1</t>
  </si>
  <si>
    <t>pi_3PWZP8LC1qWai2Wk1FDQt46s</t>
  </si>
  <si>
    <t>sss ???</t>
  </si>
  <si>
    <t>pi_3PWbXiLC1qWai2Wk1t8AFgst</t>
  </si>
  <si>
    <t>96M62513F77716235</t>
  </si>
  <si>
    <t>Alipay ????????? GO</t>
  </si>
  <si>
    <t>py_3PWgpULC1qWai2Wk0sJHniW6</t>
  </si>
  <si>
    <t>py_3PWh8BLC1qWai2Wk02yDikOL</t>
  </si>
  <si>
    <t>a6201ddbd623d7140861f1e4d142fada59e10af7350e072cdfbe4373eec8a03c</t>
  </si>
  <si>
    <t>shanghai xuhui</t>
  </si>
  <si>
    <t>48P14773J23242913</t>
  </si>
  <si>
    <t>Reversed Transaction ID: 48P14773J23242913</t>
  </si>
  <si>
    <t>1HE40025EX219142A</t>
  </si>
  <si>
    <t>Tom Smith</t>
  </si>
  <si>
    <t>Frank White</t>
  </si>
  <si>
    <t>70B17261BH9932101</t>
  </si>
  <si>
    <t>??????- ??????</t>
  </si>
  <si>
    <t>pi_3PXkmFB0NNhXczIK1WTTqQQj</t>
  </si>
  <si>
    <t>en san</t>
  </si>
  <si>
    <t>pi_3PY7rBB0NNhXczIK0bJPVsnI</t>
  </si>
  <si>
    <t>William Arcuri</t>
  </si>
  <si>
    <t>pi_3PYS57B0NNhXczIK1TeSSJiq</t>
  </si>
  <si>
    <t>7DP66106SU837635T</t>
  </si>
  <si>
    <t>95G759662K103391B</t>
  </si>
  <si>
    <t>Zara Stanly</t>
  </si>
  <si>
    <t>7BS50984J01442549</t>
  </si>
  <si>
    <t>Lili Zhu</t>
  </si>
  <si>
    <t>pi_3PYTcgB0NNhXczIK1Z2wMesx</t>
  </si>
  <si>
    <t>ceshi a2a</t>
  </si>
  <si>
    <t>3M71982362251450X</t>
  </si>
  <si>
    <t>42651296DR122644H</t>
  </si>
  <si>
    <t>Darrell Ice</t>
  </si>
  <si>
    <t>pi_3PYU4SB0NNhXczIK0OO6J0iW</t>
  </si>
  <si>
    <t>Autuk Kanon</t>
  </si>
  <si>
    <t>pi_3PYVGAB0NNhXczIK1D5P5GwC</t>
  </si>
  <si>
    <t>Michael Ritter</t>
  </si>
  <si>
    <t>pi_3PYVHfB0NNhXczIK18ZkUfyF</t>
  </si>
  <si>
    <t>N ???</t>
  </si>
  <si>
    <t>pi_3PYVHkB0NNhXczIK1VYeEv8y</t>
  </si>
  <si>
    <t>pi_3PYVIFB0NNhXczIK0lKHM1jq</t>
  </si>
  <si>
    <t>pi_3PYVJIB0NNhXczIK0RMLarOS</t>
  </si>
  <si>
    <t>sun cha</t>
  </si>
  <si>
    <t>pi_3PYVJBB0NNhXczIK1se2dIHM</t>
  </si>
  <si>
    <t>pi_3PYVIMB0NNhXczIK03hYW1hE</t>
  </si>
  <si>
    <t>xing yun</t>
  </si>
  <si>
    <t>benjamin benjamin</t>
  </si>
  <si>
    <t>Yunlin Xie</t>
  </si>
  <si>
    <t>4AT22900EM7351828</t>
  </si>
  <si>
    <t>txn_3PYqVRB0NNhXczIK0CdeuWYa</t>
  </si>
  <si>
    <t>9W459117SK748924W</t>
  </si>
  <si>
    <t>8P287232AE295160W</t>
  </si>
  <si>
    <t>41E670351H810404V</t>
  </si>
  <si>
    <t>6R359676D0020084D</t>
  </si>
  <si>
    <t>8J431320AG027484U</t>
  </si>
  <si>
    <t>dandy api</t>
  </si>
  <si>
    <t>3GL27659T4872183U</t>
  </si>
  <si>
    <t>5S361987JS191202B</t>
  </si>
  <si>
    <t>pi_3PZDrxB0NNhXczIK0rLEPp6c</t>
  </si>
  <si>
    <t>se ya</t>
  </si>
  <si>
    <t>pi_3PZGZQB0NNhXczIK0nZRIPQD</t>
  </si>
  <si>
    <t>6CK25837JG3899727</t>
  </si>
  <si>
    <t>hongye liu</t>
  </si>
  <si>
    <t>pi_3PZbL6B0NNhXczIK0G7aSz9v</t>
  </si>
  <si>
    <t>5TH16457W3070153W</t>
  </si>
  <si>
    <t>Qiang qq</t>
  </si>
  <si>
    <t>pi_3PZiogB0NNhXczIK1iJtQGcX</t>
  </si>
  <si>
    <t>lin wang</t>
  </si>
  <si>
    <t>6SF9393816691922Y</t>
  </si>
  <si>
    <t>7L523226370702943</t>
  </si>
  <si>
    <t>8FB56309PY913425L</t>
  </si>
  <si>
    <t>0GN86225N4050563P</t>
  </si>
  <si>
    <t>jack wang</t>
  </si>
  <si>
    <t>pi_3PZoOLB0NNhXczIK02YhxKdu</t>
  </si>
  <si>
    <t>pi_3PZoT0B0NNhXczIK0vsPSpY3</t>
  </si>
  <si>
    <t>He He</t>
  </si>
  <si>
    <t>pi_3PZol9B0NNhXczIK0D6tqbog</t>
  </si>
  <si>
    <t>abod golden</t>
  </si>
  <si>
    <t>pi_3PZpVlB0NNhXczIK1bvNXOk1</t>
  </si>
  <si>
    <t>Lin Wang</t>
  </si>
  <si>
    <t>pi_3PZpwmB0NNhXczIK0okNGUhH</t>
  </si>
  <si>
    <t>ameal S</t>
  </si>
  <si>
    <t>pi_3PZu2rB0NNhXczIK04GBicGB</t>
  </si>
  <si>
    <t>flixe les</t>
  </si>
  <si>
    <t>pi_3PZu3RB0NNhXczIK0XtZ9p2H</t>
  </si>
  <si>
    <t>xsd asdsa</t>
  </si>
  <si>
    <t>pi_3PZu4WB0NNhXczIK0k7Qsndg</t>
  </si>
  <si>
    <t>yui ie</t>
  </si>
  <si>
    <t>pi_3PZu5eB0NNhXczIK15cy8MYm</t>
  </si>
  <si>
    <t>pi_3PZuEQB0NNhXczIK19AjneLM</t>
  </si>
  <si>
    <t>1VA94210PM793344M</t>
  </si>
  <si>
    <t>pi_3Pa9hrB0NNhXczIK12SNt5Nt</t>
  </si>
  <si>
    <t>yizhuo li</t>
  </si>
  <si>
    <t>pi_3PaCj1B0NNhXczIK0CBp8uDR</t>
  </si>
  <si>
    <t>pi_3PaCl2B0NNhXczIK0R6EvdUs</t>
  </si>
  <si>
    <t>feng li</t>
  </si>
  <si>
    <t>pi_3PaCuRB0NNhXczIK0Dii6QRA</t>
  </si>
  <si>
    <t>Ye La</t>
  </si>
  <si>
    <t>pi_3PaD6fB0NNhXczIK1qFJHvSd</t>
  </si>
  <si>
    <t>TeaYang Jong</t>
  </si>
  <si>
    <t>pi_3PaD9kB0NNhXczIK0ULOAukf</t>
  </si>
  <si>
    <t>mou chen</t>
  </si>
  <si>
    <t>81N509736T857542X</t>
  </si>
  <si>
    <t>Kathy Jackson</t>
  </si>
  <si>
    <t>pi_3PaDafB0NNhXczIK0zwna6P4</t>
  </si>
  <si>
    <t>Rawwiin Rawwiin</t>
  </si>
  <si>
    <t>pi_3PaEpIB0NNhXczIK028QqwtL</t>
  </si>
  <si>
    <t>herr li</t>
  </si>
  <si>
    <t>9UW249683B641934S</t>
  </si>
  <si>
    <t>pi_3PaFeAB0NNhXczIK0VLHYzVj</t>
  </si>
  <si>
    <t>Joyce Uecker</t>
  </si>
  <si>
    <t>pi_3PaHGKB0NNhXczIK145QWS0D</t>
  </si>
  <si>
    <t>kang jian</t>
  </si>
  <si>
    <t>pi_3PaHNBB0NNhXczIK17xTSjb7</t>
  </si>
  <si>
    <t>441520908E406302N</t>
  </si>
  <si>
    <t>pi_3PaHQXB0NNhXczIK1zUrdtTo</t>
  </si>
  <si>
    <t>4HM0847012465513K</t>
  </si>
  <si>
    <t>1DL54954TA313291P</t>
  </si>
  <si>
    <t>chen yu</t>
  </si>
  <si>
    <t>pi_3PaIY1B0NNhXczIK1z7AIxp3</t>
  </si>
  <si>
    <t>pi_3PaIhIB0NNhXczIK1VhjbSES</t>
  </si>
  <si>
    <t>nothon pang</t>
  </si>
  <si>
    <t>pi_3PaIt3B0NNhXczIK0t6Ilz0V</t>
  </si>
  <si>
    <t>Jim Mike</t>
  </si>
  <si>
    <t>4N81767583862730T</t>
  </si>
  <si>
    <t>afaf afgvas</t>
  </si>
  <si>
    <t>pi_3PaIvUB0NNhXczIK1PdpBeUQ</t>
  </si>
  <si>
    <t>huaitao jin</t>
  </si>
  <si>
    <t>pi_3PaIwLB0NNhXczIK1YlgDlpk</t>
  </si>
  <si>
    <t>0K336381FY1014517</t>
  </si>
  <si>
    <t>78M69848RV354521S</t>
  </si>
  <si>
    <t>Starlight X</t>
  </si>
  <si>
    <t>pi_3PaJ7LB0NNhXczIK0eijTQH1</t>
  </si>
  <si>
    <t>Pamela M Seals Pamela</t>
  </si>
  <si>
    <t>pi_3PaJ82B0NNhXczIK1buB3yDM</t>
  </si>
  <si>
    <t>Sarah Polli</t>
  </si>
  <si>
    <t>9PN244114P178363T</t>
  </si>
  <si>
    <t>Le strac</t>
  </si>
  <si>
    <t>pi_3PaJn5B0NNhXczIK1ZPJpbLY</t>
  </si>
  <si>
    <t>luo ???</t>
  </si>
  <si>
    <t>pi_3PaLYCB0NNhXczIK1TFXpHDN</t>
  </si>
  <si>
    <t>geng yang</t>
  </si>
  <si>
    <t>8FJ00258D9912350U</t>
  </si>
  <si>
    <t>pi_3PafaLB0NNhXczIK0OJ0OxMZ</t>
  </si>
  <si>
    <t>92W8810757200153C</t>
  </si>
  <si>
    <t>pi_3PafsgB0NNhXczIK1gakjVJJ</t>
  </si>
  <si>
    <t>liang wang</t>
  </si>
  <si>
    <t>pi_3Pah1gB0NNhXczIK1ylr31jv</t>
  </si>
  <si>
    <t>pi_3PauZCB0NNhXczIK13IYRKBb</t>
  </si>
  <si>
    <t>Cayden Jone</t>
  </si>
  <si>
    <t>pi_3PauZEB0NNhXczIK0sIw1i1u</t>
  </si>
  <si>
    <t>Bob Qu</t>
  </si>
  <si>
    <t>2VA54347MV291523M</t>
  </si>
  <si>
    <t>lei yuchu</t>
  </si>
  <si>
    <t>pi_3PaulUB0NNhXczIK0ZyYamGS</t>
  </si>
  <si>
    <t>pi_3PaulYB0NNhXczIK0FxxrlBv</t>
  </si>
  <si>
    <t>pi_3PauvDB0NNhXczIK1QX2qJEZ</t>
  </si>
  <si>
    <t>jakan leung</t>
  </si>
  <si>
    <t>pi_3PauzjB0NNhXczIK0NCvxoMQ</t>
  </si>
  <si>
    <t>Joseph Wang</t>
  </si>
  <si>
    <t>pi_3Pav4PB0NNhXczIK0AeJ7vxU</t>
  </si>
  <si>
    <t>bie nao</t>
  </si>
  <si>
    <t>pi_3PavGMB0NNhXczIK0ZZ56E50</t>
  </si>
  <si>
    <t>Mason cli</t>
  </si>
  <si>
    <t>52721762BE230073N</t>
  </si>
  <si>
    <t>sa tona</t>
  </si>
  <si>
    <t>pi_3PavYcB0NNhXczIK0t9U55AY</t>
  </si>
  <si>
    <t>pi_3PavftB0NNhXczIK0njTzJsY</t>
  </si>
  <si>
    <t>TIAN QIU</t>
  </si>
  <si>
    <t>pi_3PavmEB0NNhXczIK0X3MXNQE</t>
  </si>
  <si>
    <t>Solaipandian Vijayaram</t>
  </si>
  <si>
    <t>txn_3PavxqB0NNhXczIK0fVHvkdi</t>
  </si>
  <si>
    <t>pi_3PavzKB0NNhXczIK17M33YnZ</t>
  </si>
  <si>
    <t>txn_3Paw1cB0NNhXczIK0LAbLyYe</t>
  </si>
  <si>
    <t>Alivia Hermann</t>
  </si>
  <si>
    <t>txn_3PawS5B0NNhXczIK072kLBXI</t>
  </si>
  <si>
    <t>lyh axx</t>
  </si>
  <si>
    <t>txn_3PawXeB0NNhXczIK1Odku50P</t>
  </si>
  <si>
    <t>txn_3PawewB0NNhXczIK0pLKgjDk</t>
  </si>
  <si>
    <t>rongdong ding</t>
  </si>
  <si>
    <t>pi_3PawiuB0NNhXczIK0hBcpDt9</t>
  </si>
  <si>
    <t>txn_3Pax3vB0NNhXczIK07VQbvOQ</t>
  </si>
  <si>
    <t>txn_3Pax7LB0NNhXczIK0XOlEZZl</t>
  </si>
  <si>
    <t>xi jin</t>
  </si>
  <si>
    <t>pi_3Pay2IB0NNhXczIK1qa971m8</t>
  </si>
  <si>
    <t>txn_3PayWtB0NNhXczIK1omj0AiP</t>
  </si>
  <si>
    <t>pi_3Pb3LRB0NNhXczIK1dndsoGj</t>
  </si>
  <si>
    <t>txn_3Pb5qNB0NNhXczIK0Gz9MTq7</t>
  </si>
  <si>
    <t>xia jiao</t>
  </si>
  <si>
    <t>pi_3Pb8W2B0NNhXczIK0ZZP2O1z</t>
  </si>
  <si>
    <t>pi_3PbEduB0NNhXczIK1uqVDnMk</t>
  </si>
  <si>
    <t>pi_3PbGDBB0NNhXczIK1qdfNuCz</t>
  </si>
  <si>
    <t>zinc hitomi</t>
  </si>
  <si>
    <t>pi_3PbGGGB0NNhXczIK1au3tRCG</t>
  </si>
  <si>
    <t>zhu xu</t>
  </si>
  <si>
    <t>pi_3PbGSXB0NNhXczIK0joZNtbx</t>
  </si>
  <si>
    <t>a cc</t>
  </si>
  <si>
    <t>pi_3PbGXCB0NNhXczIK1sRXlM89</t>
  </si>
  <si>
    <t>Von Demir</t>
  </si>
  <si>
    <t>pi_3PbHXwB0NNhXczIK1bm6HqKR</t>
  </si>
  <si>
    <t>pi_3PbJZtB0NNhXczIK19VZte4r</t>
  </si>
  <si>
    <t>pi_3PbKygB0NNhXczIK1JSiY9SR</t>
  </si>
  <si>
    <t>Alexander Williams</t>
  </si>
  <si>
    <t>pi_3PbLqqB0NNhXczIK1zcBHwJH</t>
  </si>
  <si>
    <t>ni ko</t>
  </si>
  <si>
    <t>3SG715870S936041K</t>
  </si>
  <si>
    <t>pi_3PbQRoB0NNhXczIK1ap4TasO</t>
  </si>
  <si>
    <t>junwu jiang</t>
  </si>
  <si>
    <t>pi_3PbZCLB0NNhXczIK1Em6qgRX</t>
  </si>
  <si>
    <t>pi_3PbhRuB0NNhXczIK0aWhPrKJ</t>
  </si>
  <si>
    <t>pi_3PbkUpB0NNhXczIK1buPelTt</t>
  </si>
  <si>
    <t>wenfen lv</t>
  </si>
  <si>
    <t>pi_3PbleeB0NNhXczIK1OkZtCw7</t>
  </si>
  <si>
    <t>pi_3PcxoCB0NNhXczIK0Cy7EefX</t>
  </si>
  <si>
    <t>pi_3Pd6e4B0NNhXczIK1K7Va8ln</t>
  </si>
  <si>
    <t>stille ioiox</t>
  </si>
  <si>
    <t>Reversed Transaction ID: 92W8810757200153C</t>
  </si>
  <si>
    <t>9G727544T89579502</t>
  </si>
  <si>
    <t>31B024213P309712F</t>
  </si>
  <si>
    <t>pi_3PgSmCRxxun8okeS18La7ZmP</t>
  </si>
  <si>
    <t>h h</t>
  </si>
  <si>
    <t>pi_3PjfXaRxxun8okeS1bJ3rmlN</t>
  </si>
  <si>
    <t>pi_3PmKssRxxun8okeS0LVvSUOM</t>
  </si>
  <si>
    <t>pi_3PnXboRxxun8okeS1HsDp0nm</t>
  </si>
  <si>
    <t>pi_3PndGqRxxun8okeS0TpBlD4E</t>
  </si>
  <si>
    <t>pi_3PndM7Rxxun8okeS0QLoHlQT</t>
  </si>
  <si>
    <t>Refund of Transaction ID pi_3Pd6e4B0NNhXczIK1K7Va8ln</t>
  </si>
  <si>
    <t>noboru takahashi</t>
  </si>
  <si>
    <t>pi_3PonGPRxxun8okeS1QCi9XzA</t>
  </si>
  <si>
    <t>Wenyu Long</t>
  </si>
  <si>
    <t>pi_3PopjdRxxun8okeS1vNjBn9c</t>
  </si>
  <si>
    <t>Fire SonZ</t>
  </si>
  <si>
    <t>pi_3PorGnRxxun8okeS0jGpbkDZ</t>
  </si>
  <si>
    <t>kuang chu</t>
  </si>
  <si>
    <t>pi_3Pp4VwRxxun8okeS0E9eKvdm</t>
  </si>
  <si>
    <t>pi_3PpFdzRxxun8okeS1Nq4taLE</t>
  </si>
  <si>
    <t>Li Hu</t>
  </si>
  <si>
    <t>pi_3PpHpsRxxun8okeS1k7Jvn4m</t>
  </si>
  <si>
    <t>tao tao</t>
  </si>
  <si>
    <t>pi_3PpLMdRxxun8okeS0TBkVlH4</t>
  </si>
  <si>
    <t>pi_3Pq3XwRxxun8okeS1Em5ttYn</t>
  </si>
  <si>
    <t>pi_3Pq4LVRxxun8okeS0jElEKU1</t>
  </si>
  <si>
    <t>okx a</t>
  </si>
  <si>
    <t>zhuzhuer886 zhuzhu</t>
  </si>
  <si>
    <t>pi_3PsR7IRxxun8okeS11FIke3r</t>
  </si>
  <si>
    <t>att wy</t>
  </si>
  <si>
    <t>Hao Zhang</t>
  </si>
  <si>
    <t>Goli Shani</t>
  </si>
  <si>
    <t>rad qq</t>
  </si>
  <si>
    <t>pi_3PspXJRxxun8okeS0AwpwiLV</t>
  </si>
  <si>
    <t>hengchen liu</t>
  </si>
  <si>
    <t>pi_3Pt4LrRxxun8okeS0dyeWWwi</t>
  </si>
  <si>
    <t>Macoos Li</t>
  </si>
  <si>
    <t>zui xuanhong</t>
  </si>
  <si>
    <t>pi_3PtRajRxxun8okeS0euMuRDK</t>
  </si>
  <si>
    <t>hei yu</t>
  </si>
  <si>
    <t>pi_3PtuNXRxxun8okeS1IuMUk7V</t>
  </si>
  <si>
    <t>pi_3Pu66LRxxun8okeS0AKfL4CX</t>
  </si>
  <si>
    <t>Zhi Qiu</t>
  </si>
  <si>
    <t>pi_3PuAQpRxxun8okeS1Ebfkd47</t>
  </si>
  <si>
    <t>Damin Leonard</t>
  </si>
  <si>
    <t>pi_3PuDkWRxxun8okeS1UEP5xBv</t>
  </si>
  <si>
    <t>Sam John</t>
  </si>
  <si>
    <t>robin chen</t>
  </si>
  <si>
    <t>pi_3PuWQ5Rxxun8okeS1Q8ioCak</t>
  </si>
  <si>
    <t>Nichole Hutsell</t>
  </si>
  <si>
    <t>pi_3PuZopRxxun8okeS0eN3AqC4</t>
  </si>
  <si>
    <t>luo luo</t>
  </si>
  <si>
    <t>FF FF</t>
  </si>
  <si>
    <t>jin zhu</t>
  </si>
  <si>
    <t>pi_3PudWWRxxun8okeS0KKJ7Q5M</t>
  </si>
  <si>
    <t>Li Ruisa</t>
  </si>
  <si>
    <t>pi_3Puk27Rxxun8okeS16br6Apx</t>
  </si>
  <si>
    <t>sunkoda sz</t>
  </si>
  <si>
    <t>pi_3PunleRxxun8okeS1zPPiHT9</t>
  </si>
  <si>
    <t>pi_3Put3pRxxun8okeS0X2LTOGc</t>
  </si>
  <si>
    <t>wangzi wang</t>
  </si>
  <si>
    <t>pi_3Puvo9Rxxun8okeS0vBedYFL</t>
  </si>
  <si>
    <t>Xru ruan</t>
  </si>
  <si>
    <t>pi_3PuxClRxxun8okeS0y9vROCA</t>
  </si>
  <si>
    <t>t l</t>
  </si>
  <si>
    <t>pi_3PuxjbRxxun8okeS1NSfqHvs</t>
  </si>
  <si>
    <t>Xm xm</t>
  </si>
  <si>
    <t>Janyce Boehm</t>
  </si>
  <si>
    <t>jerry kali</t>
  </si>
  <si>
    <t>pi_3PuzvWRxxun8okeS1KprgVjl</t>
  </si>
  <si>
    <t>pi_3Pv9IHRxxun8okeS0616wqmG</t>
  </si>
  <si>
    <t>pi_3PvGb0Rxxun8okeS1tBr1Ocs</t>
  </si>
  <si>
    <t>bigjj399 tan</t>
  </si>
  <si>
    <t>pi_3PvGfPRxxun8okeS1teTpweE</t>
  </si>
  <si>
    <t>Hu Li</t>
  </si>
  <si>
    <t>pi_3PvIlzRxxun8okeS0BddH3iV</t>
  </si>
  <si>
    <t>jack W</t>
  </si>
  <si>
    <t>pi_3PvJ9ERxxun8okeS1qZd9M5D</t>
  </si>
  <si>
    <t>pi_3PvJS8Rxxun8okeS1MWoMJbU</t>
  </si>
  <si>
    <t>q1 liang</t>
  </si>
  <si>
    <t>xxx haotian</t>
  </si>
  <si>
    <t>??? ??????</t>
  </si>
  <si>
    <t>pi_3PvbH0Rxxun8okeS0JaCdAJ5</t>
  </si>
  <si>
    <t>pi_3PvfynRxxun8okeS102Z7w8K</t>
  </si>
  <si>
    <t>006lp us</t>
  </si>
  <si>
    <t>san zhang</t>
  </si>
  <si>
    <t>Ni Ming</t>
  </si>
  <si>
    <t>pi_3PvjZgRxxun8okeS17jZa3nt</t>
  </si>
  <si>
    <t>sizuku saki</t>
  </si>
  <si>
    <t>Dawayne w</t>
  </si>
  <si>
    <t>pi_3PvscXRxxun8okeS0zHnnZtN</t>
  </si>
  <si>
    <t>pi_3PvzPBRxxun8okeS13nQX6bc</t>
  </si>
  <si>
    <t>mao da</t>
  </si>
  <si>
    <t>pi_3Pw0TqRxxun8okeS02er91HS</t>
  </si>
  <si>
    <t>abc abc</t>
  </si>
  <si>
    <t>pi_3Pw11nRxxun8okeS0RkGTJm3</t>
  </si>
  <si>
    <t>K K</t>
  </si>
  <si>
    <t>pi_3PwCc8Rxxun8okeS1iX7mAFo</t>
  </si>
  <si>
    <t>pi_3PwFGRRxxun8okeS0OLTIKKj</t>
  </si>
  <si>
    <t>pi_3PwLOvRxxun8okeS07RfMiMJ</t>
  </si>
  <si>
    <t>hsuan dean</t>
  </si>
  <si>
    <t>pi_3PwOnZRxxun8okeS0VMUQEml</t>
  </si>
  <si>
    <t>ysyy yy</t>
  </si>
  <si>
    <t>pax sun</t>
  </si>
  <si>
    <t>pi_3PweKyRxxun8okeS0miLPoq8</t>
  </si>
  <si>
    <t>CCC CCC</t>
  </si>
  <si>
    <t>Tryanks Tryanks</t>
  </si>
  <si>
    <t>pi_3Pwoa2Rxxun8okeS1IVIPySp</t>
  </si>
  <si>
    <t>jeff helel</t>
  </si>
  <si>
    <t>pi_3Pww5nRxxun8okeS1V42TL9Z</t>
  </si>
  <si>
    <t>gdfg gdfg</t>
  </si>
  <si>
    <t>pi_3PwzhKRxxun8okeS1GEUDWkO</t>
  </si>
  <si>
    <t>pi_3Px1UcRxxun8okeS1AdLpwSj</t>
  </si>
  <si>
    <t>Node Seek</t>
  </si>
  <si>
    <t>pi_3Px8i4Rxxun8okeS0oeTmJES</t>
  </si>
  <si>
    <t>666 999</t>
  </si>
  <si>
    <t>myvm wang</t>
  </si>
  <si>
    <t>pi_3PxAenRxxun8okeS0pWzbRCk</t>
  </si>
  <si>
    <t>t w</t>
  </si>
  <si>
    <t>pi_3PxCAjRxxun8okeS0ao7uFso</t>
  </si>
  <si>
    <t>KENT KING</t>
  </si>
  <si>
    <t>pi_3PxFeIRxxun8okeS0S0xDS3c</t>
  </si>
  <si>
    <t>pi_3PxMTYRxxun8okeS0Tle6xQh</t>
  </si>
  <si>
    <t>pi_3PxMkJRxxun8okeS0KInAZik</t>
  </si>
  <si>
    <t>Qing Lee</t>
  </si>
  <si>
    <t>pi_3PxO7ERxxun8okeS1hEG3n42</t>
  </si>
  <si>
    <t>pi_3PxTpCRxxun8okeS1ZqLu1zJ</t>
  </si>
  <si>
    <t>LI Chen</t>
  </si>
  <si>
    <t>yin ma</t>
  </si>
  <si>
    <t>pi_3Pxk3rRxxun8okeS1lA4Z8wJ</t>
  </si>
  <si>
    <t>luo xingzhe</t>
  </si>
  <si>
    <t>pi_3PxnTHRxxun8okeS0Mn1lw32</t>
  </si>
  <si>
    <t>NI NI</t>
  </si>
  <si>
    <t>pi_3PxqmCRxxun8okeS04sAMx7O</t>
  </si>
  <si>
    <t>Refund of Transaction ID pi_3Pwoa2Rxxun8okeS1IVIPySp</t>
  </si>
  <si>
    <t>pi_3Pxu5qRxxun8okeS1jC6i3o6</t>
  </si>
  <si>
    <t>Doby LIU</t>
  </si>
  <si>
    <t>pi_3Py6rzRxxun8okeS1oeEJmC6</t>
  </si>
  <si>
    <t>xu dongodng</t>
  </si>
  <si>
    <t>pi_3Py73TRxxun8okeS0nET4lvg</t>
  </si>
  <si>
    <t>pi_3Py7ItRxxun8okeS0jQijGRi</t>
  </si>
  <si>
    <t>pi_3PyCLBRxxun8okeS0V1cH27C</t>
  </si>
  <si>
    <t>xuanyuan zimo</t>
  </si>
  <si>
    <t>pi_3PyDQTRxxun8okeS1drVZrpJ</t>
  </si>
  <si>
    <t>Pao Da</t>
  </si>
  <si>
    <t>pi_3PyDlBRxxun8okeS0ChVZ68V</t>
  </si>
  <si>
    <t>Edward Bian</t>
  </si>
  <si>
    <t>O E</t>
  </si>
  <si>
    <t>Theresa Chavez</t>
  </si>
  <si>
    <t>pi_3PyFuJRxxun8okeS1kRhh3Ai</t>
  </si>
  <si>
    <t>Nanyun YI</t>
  </si>
  <si>
    <t>pi_3PyKj2Rxxun8okeS1Ux8Te9L</t>
  </si>
  <si>
    <t>pi_3PyQ3xRxxun8okeS1HqNe8TD</t>
  </si>
  <si>
    <t>Vanye Bruce</t>
  </si>
  <si>
    <t>pi_3PyTBBRxxun8okeS00tdknNr</t>
  </si>
  <si>
    <t>pi_3PyZlORxxun8okeS0NP8A1Da</t>
  </si>
  <si>
    <t>new soul</t>
  </si>
  <si>
    <t>pi_3PybO5Rxxun8okeS03LtKHwr</t>
  </si>
  <si>
    <t>fqrec fqre</t>
  </si>
  <si>
    <t>pi_3PydO7Rxxun8okeS1BqXEQa1</t>
  </si>
  <si>
    <t>pi_3PyihXRxxun8okeS14C5qeMW</t>
  </si>
  <si>
    <t>chase king</t>
  </si>
  <si>
    <t>pi_3Pyq7MRxxun8okeS0ulT8GYf</t>
  </si>
  <si>
    <t>xiao guang</t>
  </si>
  <si>
    <t>Irma Reddy</t>
  </si>
  <si>
    <t>Zhuoyang Li</t>
  </si>
  <si>
    <t>pi_3PzC0lRxxun8okeS1QAodnH9</t>
  </si>
  <si>
    <t>guiyang hao</t>
  </si>
  <si>
    <t>pi_3PzGBqRxxun8okeS11JFcCWG</t>
  </si>
  <si>
    <t>pi_3PzNmeRxxun8okeS107LkyiI</t>
  </si>
  <si>
    <t>pi_3PzgMZRxxun8okeS1APXV90m</t>
  </si>
  <si>
    <t>Kusanagi KW</t>
  </si>
  <si>
    <t>pi_3Q0KhVRxxun8okeS1sqApl0S</t>
  </si>
  <si>
    <t>pi_3Q0MwJRxxun8okeS1OczQkGk</t>
  </si>
  <si>
    <t>Zhang Liu</t>
  </si>
  <si>
    <t>pi_3Q0OS4Rxxun8okeS0xkTZakU</t>
  </si>
  <si>
    <t>Reversed Transaction ID: 3G492530LW657035E</t>
  </si>
  <si>
    <t>fei mo</t>
  </si>
  <si>
    <t>pi_3Q0PjDRxxun8okeS0Z7aWWsf</t>
  </si>
  <si>
    <t>pi_3Q0Q9MRxxun8okeS0BTp4KQD</t>
  </si>
  <si>
    <t>big tree</t>
  </si>
  <si>
    <t>?????? ??????</t>
  </si>
  <si>
    <t>Invoice Payment?????????????????????????????????????????????????????????????????????????????????2??????</t>
  </si>
  <si>
    <t>pi_3Q0l56Rxxun8okeS0thBSdIO</t>
  </si>
  <si>
    <t>pi_3Q0QKHRxxun8okeS1uDBRNv8</t>
  </si>
  <si>
    <t>mc gee</t>
  </si>
  <si>
    <t>pi_3Q0QrbRxxun8okeS168y99hr</t>
  </si>
  <si>
    <t>pi_3Q0deURxxun8okeS0TkQLRBA</t>
  </si>
  <si>
    <t>pi_3Q0eO0Rxxun8okeS1UyNoz3J</t>
  </si>
  <si>
    <t>li chen</t>
  </si>
  <si>
    <t>pi_3Q0kXtRxxun8okeS0OvZ4Urb</t>
  </si>
  <si>
    <t>Seiko G</t>
  </si>
  <si>
    <t>pi_3Q0mE7Rxxun8okeS1ygZWO0V</t>
  </si>
  <si>
    <t>pi_3Q0mKCRxxun8okeS0VSrVZRv</t>
  </si>
  <si>
    <t>pi_3Q0n3DRxxun8okeS0fM7U3Wc</t>
  </si>
  <si>
    <t>pi_3Q0wg4Rxxun8okeS1wrXr7W6</t>
  </si>
  <si>
    <t>pi_3Q0xSqRxxun8okeS0GCwHAa0</t>
  </si>
  <si>
    <t>pi_3Q113GRxxun8okeS10Wk24j0</t>
  </si>
  <si>
    <t>Yulin Zhang</t>
  </si>
  <si>
    <t>pi_3Q16BZRxxun8okeS08mZK84H</t>
  </si>
  <si>
    <t>pi_3Q1HlnRxxun8okeS0CqkgVeh</t>
  </si>
  <si>
    <t>XINHANG MAI</t>
  </si>
  <si>
    <t>pi_3Q1N99Rxxun8okeS0impZAYZ</t>
  </si>
  <si>
    <t>Zahi Zhao</t>
  </si>
  <si>
    <t>pi_3Q1RToRxxun8okeS0ituHQ6m</t>
  </si>
  <si>
    <t>pi_3Q1RWCRxxun8okeS1mEu3ila</t>
  </si>
  <si>
    <t>Rodion Sadoviy</t>
  </si>
  <si>
    <t>pi_3Q1Rf6Rxxun8okeS0TcAscAe</t>
  </si>
  <si>
    <t>Lei Xiong Jun</t>
  </si>
  <si>
    <t>pi_3Q1RyBRxxun8okeS0MMWCzHP</t>
  </si>
  <si>
    <t>j alone</t>
  </si>
  <si>
    <t>pi_3Q1S03Rxxun8okeS0N3aTgbI</t>
  </si>
  <si>
    <t>pi_3Q1S3RRxxun8okeS0NhfC1r5</t>
  </si>
  <si>
    <t>pi_3Q1UICRxxun8okeS0Mq1cJpR</t>
  </si>
  <si>
    <t>Erba Maher</t>
  </si>
  <si>
    <t>loser man</t>
  </si>
  <si>
    <t>pi_3Q1pw7Rxxun8okeS0X2mIber</t>
  </si>
  <si>
    <t>Nick So</t>
  </si>
  <si>
    <t>pi_3Q1q0SRxxun8okeS1rONx7QW</t>
  </si>
  <si>
    <t>John Summit</t>
  </si>
  <si>
    <t>xiao li</t>
  </si>
  <si>
    <t>pi_3Q1sRDRxxun8okeS06Pd2dyy</t>
  </si>
  <si>
    <t>pi_3Q1swyRxxun8okeS1HR0GTbr</t>
  </si>
  <si>
    <t>h jie</t>
  </si>
  <si>
    <t>pi_3Q2R0aRxxun8okeS03Kch5SA</t>
  </si>
  <si>
    <t>pi_3Q2WTZRxxun8okeS01c1lsog</t>
  </si>
  <si>
    <t>pi_3Q2Zp2Rxxun8okeS1BKt7Qke</t>
  </si>
  <si>
    <t>Jack Rune</t>
  </si>
  <si>
    <t>Ya W</t>
  </si>
  <si>
    <t>pi_3Q2lO9Rxxun8okeS1PjgVmfb</t>
  </si>
  <si>
    <t>pi_3Q2pA6Rxxun8okeS12vNrbv7</t>
  </si>
  <si>
    <t>pi_3Q2xusRxxun8okeS1vlM3RTT</t>
  </si>
  <si>
    <t>vayne hunter</t>
  </si>
  <si>
    <t>pi_3Q3al6Rxxun8okeS0ExdJcVi</t>
  </si>
  <si>
    <t>jg w</t>
  </si>
  <si>
    <t>pi_3Q3d99Rxxun8okeS0OhEY6ou</t>
  </si>
  <si>
    <t>FeiYang Zhang</t>
  </si>
  <si>
    <t>6d7d0429a1def05ae7bd116afbe8319594d02d062bebc1a9a8d9b161d41a5d8c</t>
  </si>
  <si>
    <t>qyyyds ???</t>
  </si>
  <si>
    <t>pi_3Q3vNqRxxun8okeS1l9OFVlE</t>
  </si>
  <si>
    <t>pi_3Q3zVlRxxun8okeS1JMrEfd3</t>
  </si>
  <si>
    <t>MI Niming</t>
  </si>
  <si>
    <t>pi_3Q3zxCRxxun8okeS0dz7A3GN</t>
  </si>
  <si>
    <t>Stiff Doe</t>
  </si>
  <si>
    <t>pi_3Q41ZjRxxun8okeS0AWXYVMV</t>
  </si>
  <si>
    <t>opc 662</t>
  </si>
  <si>
    <t>pi_3Q41e0Rxxun8okeS0uwN5VI8</t>
  </si>
  <si>
    <t>pi_3Q4HWXRxxun8okeS0bUEfUkC</t>
  </si>
  <si>
    <t>json green</t>
  </si>
  <si>
    <t>pi_3Q4N4XRxxun8okeS0p0YHJsz</t>
  </si>
  <si>
    <t>pi_3Q4bfLRxxun8okeS0vPyQcFQ</t>
  </si>
  <si>
    <t>Taylor Johnston</t>
  </si>
  <si>
    <t>822494ecc253b467edaa88702ff2ab9d6c16cb7ff57857eb3106d6754c39bcf0</t>
  </si>
  <si>
    <t>pi_3Q4eDbRxxun8okeS0ifKt55h</t>
  </si>
  <si>
    <t>pi_3Q577ZRxxun8okeS1APvNzvO</t>
  </si>
  <si>
    <t>le hung</t>
  </si>
  <si>
    <t>pi_3Q5DJ4Rxxun8okeS1Wkbz0P9</t>
  </si>
  <si>
    <t>pi_3Q5N0DRxxun8okeS1CFS09s0</t>
  </si>
  <si>
    <t>Refund of Transaction ID pi_3Q577ZRxxun8okeS1APvNzvO</t>
  </si>
  <si>
    <t>St Raden</t>
  </si>
  <si>
    <t>wangshi wwe</t>
  </si>
  <si>
    <t>pi_3Q5acnRxxun8okeS1VRYB6nQ</t>
  </si>
  <si>
    <t>jet jet</t>
  </si>
  <si>
    <t>cnmdnews c</t>
  </si>
  <si>
    <t>pi_3Q5sfaRxxun8okeS1T04ELZd</t>
  </si>
  <si>
    <t>pi_3Q67dGRxxun8okeS1WzvzO4S</t>
  </si>
  <si>
    <t>pi_3Q6Cg7Rxxun8okeS1ldjOb5H</t>
  </si>
  <si>
    <t>yuxin lei</t>
  </si>
  <si>
    <t>pi_3Q6DM0Rxxun8okeS0seKyJDT</t>
  </si>
  <si>
    <t>kr a</t>
  </si>
  <si>
    <t>c1d73d04cb991407c818fcd39ec4111a54f1b17a40b029b6508b89ffcd9f072c</t>
  </si>
  <si>
    <t>Refund of Transaction ID 3FJ36487SH236084G</t>
  </si>
  <si>
    <t>pi_3Q6kdmRxxun8okeS08rkAtp3</t>
  </si>
  <si>
    <t>yee bin</t>
  </si>
  <si>
    <t>pi_3Q6m4WRxxun8okeS00FwiELn</t>
  </si>
  <si>
    <t>pi_3Q6majRxxun8okeS0LKV7wxh</t>
  </si>
  <si>
    <t>yee mr</t>
  </si>
  <si>
    <t>a b</t>
  </si>
  <si>
    <t>pi_3Q6wkxRxxun8okeS0PUp8Iul</t>
  </si>
  <si>
    <t>pi_3Q6xkPRxxun8okeS0RUnk0dJ</t>
  </si>
  <si>
    <t>ze chen</t>
  </si>
  <si>
    <t>pi_3Q78v4Rxxun8okeS1G59n6yc</t>
  </si>
  <si>
    <t>jack ma</t>
  </si>
  <si>
    <t>pi_3Q7AWwRxxun8okeS0mutv7CA</t>
  </si>
  <si>
    <t>pi_3Q7RiaRxxun8okeS1GlGLHau</t>
  </si>
  <si>
    <t>zx ddadadff</t>
  </si>
  <si>
    <t>pi_3Q7cqTRxxun8okeS19bv1zRO</t>
  </si>
  <si>
    <t>zhao peng</t>
  </si>
  <si>
    <t>pi_3Q7hkDRxxun8okeS1kWs4d5l</t>
  </si>
  <si>
    <t>kayo li</t>
  </si>
  <si>
    <t>pi_3Q7tc1Rxxun8okeS0EqtoGnH</t>
  </si>
  <si>
    <t>pi_3Q8BzsRxxun8okeS0ujEzDCA</t>
  </si>
  <si>
    <t>Refund of Transaction ID pi_3Q7tc1Rxxun8okeS0EqtoGnH</t>
  </si>
  <si>
    <t>chen zuxi</t>
  </si>
  <si>
    <t>pi_3Q8YwoRxxun8okeS0uFSO1hH</t>
  </si>
  <si>
    <t>pi_3Q8i1VRxxun8okeS00B8s5Uh</t>
  </si>
  <si>
    <t>b1caf18a0cfae4e5fc9da74063480f57f7a067d426aca1496682dfefec61a886</t>
  </si>
  <si>
    <t>buyi wang</t>
  </si>
  <si>
    <t>pi_3Q8tsURxxun8okeS0xHd6zqI</t>
  </si>
  <si>
    <t>zwer ZHIWEI</t>
  </si>
  <si>
    <t>pi_3Q8y6DRxxun8okeS0MTXkedR</t>
  </si>
  <si>
    <t>pi_3Q8yTCRxxun8okeS1uD22eR0</t>
  </si>
  <si>
    <t>yongle yin</t>
  </si>
  <si>
    <t>XIN ZHANG</t>
  </si>
  <si>
    <t>d h</t>
  </si>
  <si>
    <t>ge long</t>
  </si>
  <si>
    <t>pi_3Q9R6MRxxun8okeS1uedUW7F</t>
  </si>
  <si>
    <t>Leon Chini</t>
  </si>
  <si>
    <t>yuan wang</t>
  </si>
  <si>
    <t>pi_3Q9duzRxxun8okeS1h5Y6WBt</t>
  </si>
  <si>
    <t>Lisa Flores</t>
  </si>
  <si>
    <t>pi_3Q9qWvRxxun8okeS0cqHS0RB</t>
  </si>
  <si>
    <t>Ray Anderson</t>
  </si>
  <si>
    <t>3b5bd464bc67c977d7eeffb837044d6e53591fb55a83ec07c78e069b40fa6195</t>
  </si>
  <si>
    <t>iron www</t>
  </si>
  <si>
    <t>pi_3QATt9Rxxun8okeS16awVOQz</t>
  </si>
  <si>
    <t>pi_3QAi83Rxxun8okeS1VmA6ipZ</t>
  </si>
  <si>
    <t>Jason Yao</t>
  </si>
  <si>
    <t>pi_3QAp0yRxxun8okeS1XCvQPvZ</t>
  </si>
  <si>
    <t>pi_3QBZgyRxxun8okeS0ZBHpvsA</t>
  </si>
  <si>
    <t>pi_3QBxNrRxxun8okeS0cxfmYwI</t>
  </si>
  <si>
    <t>pi_3QC9aURxxun8okeS0AyKpslC</t>
  </si>
  <si>
    <t>pi_3QCBjaRxxun8okeS1xxMtnuy</t>
  </si>
  <si>
    <t>pi_3QCBnCRxxun8okeS0y8HvZDc</t>
  </si>
  <si>
    <t>pi_3QCHe5Rxxun8okeS1pYvE9Pn</t>
  </si>
  <si>
    <t>wang Chenhui</t>
  </si>
  <si>
    <t>pi_3QCL0IRxxun8okeS1ET9hsxL</t>
  </si>
  <si>
    <t>Reversed Transaction ID: 6NA225145A008853R</t>
  </si>
  <si>
    <t>pi_3QCWaMRxxun8okeS0bmXDgD4</t>
  </si>
  <si>
    <t>pi_3QCxW9Rxxun8okeS0kcY3Rp5</t>
  </si>
  <si>
    <t>wwq qwe</t>
  </si>
  <si>
    <t>pi_3QD6o7Rxxun8okeS0THnz0v9</t>
  </si>
  <si>
    <t>Zhai Bolis</t>
  </si>
  <si>
    <t>pi_3QD7n8Rxxun8okeS0rkc8eFW</t>
  </si>
  <si>
    <t>David Nicholas</t>
  </si>
  <si>
    <t>pi_3QDHzIRxxun8okeS0Nj5ysaJ</t>
  </si>
  <si>
    <t>keke deng</t>
  </si>
  <si>
    <t>pi_3QDIfzRxxun8okeS1xfrSiwB</t>
  </si>
  <si>
    <t>xiaobing liu</t>
  </si>
  <si>
    <t>pi_3QDPsiRxxun8okeS1B7uAfJ7</t>
  </si>
  <si>
    <t>xiao cai</t>
  </si>
  <si>
    <t>pi_3QDQ7qRxxun8okeS1NfN3Fat</t>
  </si>
  <si>
    <t>Refund of Transaction ID pi_3QDQ7qRxxun8okeS1NfN3Fat</t>
  </si>
  <si>
    <t>mofei te</t>
  </si>
  <si>
    <t>pi_3QDonyRxxun8okeS1nnpt9WB</t>
  </si>
  <si>
    <t>pi_3QDtCqRxxun8okeS07tKg2hc</t>
  </si>
  <si>
    <t>pi_3QDuNVRxxun8okeS1jsGnhpk</t>
  </si>
  <si>
    <t>pi_3QE1rIRxxun8okeS1D8KZLg6</t>
  </si>
  <si>
    <t>pi_3QE3tNRxxun8okeS1hRJgPhr</t>
  </si>
  <si>
    <t>lin xixu</t>
  </si>
  <si>
    <t>pi_3QE5vNRxxun8okeS0BDMsGTB</t>
  </si>
  <si>
    <t>hunter zuo</t>
  </si>
  <si>
    <t>pi_3QE6QXRxxun8okeS1Ue5qLDR</t>
  </si>
  <si>
    <t>pi_3QE8g5Rxxun8okeS0QQWRMu8</t>
  </si>
  <si>
    <t>pi_3QEMzsRxxun8okeS0HpBuXoB</t>
  </si>
  <si>
    <t>li li</t>
  </si>
  <si>
    <t>7dd173316ee7ae56542cb0ad448763fc0265c47fcc6407f8fdf7525b23f29ef2</t>
  </si>
  <si>
    <t>pi_3QESuERxxun8okeS0BtKHqFm</t>
  </si>
  <si>
    <t>?€? ??????</t>
  </si>
  <si>
    <t>pi_3QEWAeRxxun8okeS0qu25h2D</t>
  </si>
  <si>
    <t>jianjian ren</t>
  </si>
  <si>
    <t>yin lin</t>
  </si>
  <si>
    <t>pi_3QEmHDRxxun8okeS1h5baNPE</t>
  </si>
  <si>
    <t>Refund of Transaction ID 5UN95401S0383830K</t>
  </si>
  <si>
    <t>pi_3QEnuuRxxun8okeS0g3oQW6i</t>
  </si>
  <si>
    <t>Antoniaa Lu</t>
  </si>
  <si>
    <t>pi_3QEpEVRxxun8okeS1STdrcG4</t>
  </si>
  <si>
    <t>pi_3QErhWRxxun8okeS0mwCxvHX</t>
  </si>
  <si>
    <t>pi_3QEvdsRxxun8okeS0Jcw0RvR</t>
  </si>
  <si>
    <t>pi_3QF5sBRxxun8okeS0pnjj5bS</t>
  </si>
  <si>
    <t>pi_3QF89yRxxun8okeS1NYAmQ86</t>
  </si>
  <si>
    <t>pi_3QFBesRxxun8okeS0zVrA5ZI</t>
  </si>
  <si>
    <t>pi_3QFFfeRxxun8okeS19ptKDmT</t>
  </si>
  <si>
    <t>ivan Hao</t>
  </si>
  <si>
    <t>loop doop</t>
  </si>
  <si>
    <t>pi_3QFT6URxxun8okeS1AKLPaZp</t>
  </si>
  <si>
    <t>pi_3QFU1wRxxun8okeS0M83P6Ij</t>
  </si>
  <si>
    <t>pi_3QFU5cRxxun8okeS1cJzyN4f</t>
  </si>
  <si>
    <t>pi_3QFVOaRxxun8okeS1hAYNbxc</t>
  </si>
  <si>
    <t>muzi li</t>
  </si>
  <si>
    <t>pi_3QFVdxRxxun8okeS0HY6zAA2</t>
  </si>
  <si>
    <t>pi_3QFaMlRxxun8okeS0Czujamp</t>
  </si>
  <si>
    <t>davie tom</t>
  </si>
  <si>
    <t>Frank Christopher</t>
  </si>
  <si>
    <t>pi_3QFn4WRxxun8okeS0OzWUZSo</t>
  </si>
  <si>
    <t>Baby Zhu</t>
  </si>
  <si>
    <t>pi_3QFoH3Rxxun8okeS1d4pI94E</t>
  </si>
  <si>
    <t>pi_3QFoecRxxun8okeS1T81h1Um</t>
  </si>
  <si>
    <t>pi_3QFrCARxxun8okeS1DO6Mwh1</t>
  </si>
  <si>
    <t>pi_3QFszgRxxun8okeS0BgDGdVM</t>
  </si>
  <si>
    <t>pi_3QFtYsRxxun8okeS1L3WISB2</t>
  </si>
  <si>
    <t>jorh hooy</t>
  </si>
  <si>
    <t>32ea126636e72e811ae656df6861c9fe059fbbf5a3466fa0440b807ba53faca9</t>
  </si>
  <si>
    <t>ren 1</t>
  </si>
  <si>
    <t>pi_3QFxyqRxxun8okeS0ZaHXgdb</t>
  </si>
  <si>
    <t>Joye Lau</t>
  </si>
  <si>
    <t>Sunny Utzc</t>
  </si>
  <si>
    <t>Hshv Hsh</t>
  </si>
  <si>
    <t>HEE SOO</t>
  </si>
  <si>
    <t>F ???</t>
  </si>
  <si>
    <t>pi_3QFzYaRxxun8okeS1mmlWSh3</t>
  </si>
  <si>
    <t>aier miao</t>
  </si>
  <si>
    <t>vc vc</t>
  </si>
  <si>
    <t>zam zhang</t>
  </si>
  <si>
    <t>kkz kjzjz</t>
  </si>
  <si>
    <t>pi_3QG0mlRxxun8okeS0DIePLAG</t>
  </si>
  <si>
    <t>zhang sihan</t>
  </si>
  <si>
    <t>pi_3QG0qfRxxun8okeS1hZYbMxS</t>
  </si>
  <si>
    <t>pi_3QG8gkRxxun8okeS04TpcsbG</t>
  </si>
  <si>
    <t>pi_3QG8oeRxxun8okeS0FX6vqWY</t>
  </si>
  <si>
    <t>Wake Y</t>
  </si>
  <si>
    <t>51bb4e24d71aed645487260d840c06ed25259ff0d708a84060f71fe85646a526</t>
  </si>
  <si>
    <t>jiawen qian</t>
  </si>
  <si>
    <t>pi_3QGFHLRxxun8okeS0uahautq</t>
  </si>
  <si>
    <t>John Ruiz</t>
  </si>
  <si>
    <t>pi_3QGHITRxxun8okeS10hy62X4</t>
  </si>
  <si>
    <t>zz rr</t>
  </si>
  <si>
    <t>pi_3QGI6aRxxun8okeS0fvSozdp</t>
  </si>
  <si>
    <t>pi_3QGMAyRxxun8okeS08ONWFky</t>
  </si>
  <si>
    <t>ted free</t>
  </si>
  <si>
    <t>pi_3QGNbkRxxun8okeS1hQmAFk5</t>
  </si>
  <si>
    <t>yuess omks</t>
  </si>
  <si>
    <t>pi_3QGNo1Rxxun8okeS07GYvctx</t>
  </si>
  <si>
    <t>pi_3QGNq4Rxxun8okeS1qIncpMV</t>
  </si>
  <si>
    <t>cheng zi</t>
  </si>
  <si>
    <t>pi_3QGNyPRxxun8okeS1gAFR4Mr</t>
  </si>
  <si>
    <t>pi_3QGWDbRxxun8okeS0rz6kKG3</t>
  </si>
  <si>
    <t>Refund of Transaction ID pi_3QFzYaRxxun8okeS1mmlWSh3</t>
  </si>
  <si>
    <t>pi_3QGbjjRxxun8okeS1ihy0Qvp</t>
  </si>
  <si>
    <t>pi_3QGdXERxxun8okeS1YIu7SbS</t>
  </si>
  <si>
    <t>Jesse Pinkman</t>
  </si>
  <si>
    <t>ask zhou</t>
  </si>
  <si>
    <t>pi_3QGjnpRxxun8okeS0SVxScYl</t>
  </si>
  <si>
    <t>vission lu</t>
  </si>
  <si>
    <t>pi_3QGkfGRxxun8okeS1KGtepWb</t>
  </si>
  <si>
    <t>pi_3QGva7Rxxun8okeS1RUBdZoA</t>
  </si>
  <si>
    <t>Terry Zhong</t>
  </si>
  <si>
    <t>pi_3QGvsrRxxun8okeS0uBYMs8d</t>
  </si>
  <si>
    <t>pi_3QGw6nRxxun8okeS08j3mLuJ</t>
  </si>
  <si>
    <t>Penang sunshine</t>
  </si>
  <si>
    <t>pi_3QGx0VRxxun8okeS0tRJAiPL</t>
  </si>
  <si>
    <t>pi_3QGxBSRxxun8okeS0xz9IP0L</t>
  </si>
  <si>
    <t>pi_3QGxCdRxxun8okeS1SiE3Qtw</t>
  </si>
  <si>
    <t>leo chang</t>
  </si>
  <si>
    <t>pi_3QGyPrRxxun8okeS1frzCCqP</t>
  </si>
  <si>
    <t>pi_3QGz3fRxxun8okeS1ypiRmFs</t>
  </si>
  <si>
    <t>Refund of Transaction ID 3JY132336B753425J</t>
  </si>
  <si>
    <t>ye hu</t>
  </si>
  <si>
    <t>pi_3QH2LwRxxun8okeS131mctcR</t>
  </si>
  <si>
    <t>pi_3QH30bRxxun8okeS1xPyfAzw</t>
  </si>
  <si>
    <t>pi_3QH3J0Rxxun8okeS1rCsqIYo</t>
  </si>
  <si>
    <t>pi_3QH3hcRxxun8okeS1BjQBAnP</t>
  </si>
  <si>
    <t>Francis Liu</t>
  </si>
  <si>
    <t>pi_3QHHxIRxxun8okeS10IW9kK6</t>
  </si>
  <si>
    <t>Aira Halo</t>
  </si>
  <si>
    <t>pi_3QHIm8Rxxun8okeS1rLmhK09</t>
  </si>
  <si>
    <t>pi_3QHJLkRxxun8okeS0pgXPjRK</t>
  </si>
  <si>
    <t>pi_3QHJUqRxxun8okeS12nF6cRF</t>
  </si>
  <si>
    <t>pi_3QHRTNRxxun8okeS1jFGtiv7</t>
  </si>
  <si>
    <t>pi_3QHSFoRxxun8okeS1qVPNYvF</t>
  </si>
  <si>
    <t>liu ming</t>
  </si>
  <si>
    <t>pi_3QHSW6Rxxun8okeS1qLBNpdC</t>
  </si>
  <si>
    <t>pi_3QHYZVRxxun8okeS1itlqhmF</t>
  </si>
  <si>
    <t>pi_3QHgUnRxxun8okeS1c45Md6R</t>
  </si>
  <si>
    <t>pi_3QHgl6Rxxun8okeS0zHBzq8F</t>
  </si>
  <si>
    <t>pi_3QHi9ZRxxun8okeS1Ysee5cj</t>
  </si>
  <si>
    <t>pi_3QHlP7Rxxun8okeS0QLXRyML</t>
  </si>
  <si>
    <t>pi_3QHnSCRxxun8okeS1FEXJy2E</t>
  </si>
  <si>
    <t>Classmate Shen</t>
  </si>
  <si>
    <t>Yuen loong</t>
  </si>
  <si>
    <t>pi_3QI9wKRxxun8okeS0zKdUDWZ</t>
  </si>
  <si>
    <t>fei li</t>
  </si>
  <si>
    <t>zhu mei</t>
  </si>
  <si>
    <t>testee humano</t>
  </si>
  <si>
    <t>pi_3QIPiaRxxun8okeS0Zx2loKV</t>
  </si>
  <si>
    <t>pi_3QIUPfRxxun8okeS0gDw5zTs</t>
  </si>
  <si>
    <t>pi_3QIaCMRxxun8okeS0ppJuZrs</t>
  </si>
  <si>
    <t>pi_3QIdXgRxxun8okeS0AvRJQJU</t>
  </si>
  <si>
    <t>ddd ddddd</t>
  </si>
  <si>
    <t>pi_3QImrpRxxun8okeS0rQdqB1z</t>
  </si>
  <si>
    <t>a a</t>
  </si>
  <si>
    <t>pi_3QIpZhRxxun8okeS1Zt88cLj</t>
  </si>
  <si>
    <t>mao mao</t>
  </si>
  <si>
    <t>pi_3QIskmRxxun8okeS1TcoW5ea</t>
  </si>
  <si>
    <t>Alex LiAo</t>
  </si>
  <si>
    <t>pi_3QIw6TRxxun8okeS1FDPqilv</t>
  </si>
  <si>
    <t>cao wo</t>
  </si>
  <si>
    <t>pi_3QIyXeRxxun8okeS1WdY8xPl</t>
  </si>
  <si>
    <t>SIYA XU</t>
  </si>
  <si>
    <t>pi_3QJ5KGRxxun8okeS0j7NGvh8</t>
  </si>
  <si>
    <t>yao pei</t>
  </si>
  <si>
    <t>tioman chen</t>
  </si>
  <si>
    <t>pi_3QJAxSRxxun8okeS1NptUzEA</t>
  </si>
  <si>
    <t>pi_3QJEKURxxun8okeS1jpIAbsB</t>
  </si>
  <si>
    <t>pi_3QJFi9Rxxun8okeS1x4CKcvA</t>
  </si>
  <si>
    <t>Tata Lake</t>
  </si>
  <si>
    <t>pi_3QJT2PRxxun8okeS0MXQ7er3</t>
  </si>
  <si>
    <t>f408d27f986443c432b485540a5dfe4ea612542907ed060a0be904c15e1d7867</t>
  </si>
  <si>
    <t>pi_3QJqWwRxxun8okeS0NLuAtMw</t>
  </si>
  <si>
    <t>pi_3QK05ZRxxun8okeS0Wpmoa6S</t>
  </si>
  <si>
    <t>pi_3QKArsRxxun8okeS004VUe8e</t>
  </si>
  <si>
    <t>pi_3QKL8PRxxun8okeS0TmDs0sY</t>
  </si>
  <si>
    <t>SHEN HE</t>
  </si>
  <si>
    <t>pi_3QKMOTRxxun8okeS092FLEtb</t>
  </si>
  <si>
    <t>pi_3QKWctRxxun8okeS0gwjJNwF</t>
  </si>
  <si>
    <t>pi_3QKc4YRxxun8okeS1kky3Saf</t>
  </si>
  <si>
    <t>Lunchun Tan</t>
  </si>
  <si>
    <t>pi_3QKj07Rxxun8okeS1DWARfxx</t>
  </si>
  <si>
    <t>pi_3QKt9LRxxun8okeS0tov4jpU</t>
  </si>
  <si>
    <t>Jia Xin tang</t>
  </si>
  <si>
    <t>lisa li</t>
  </si>
  <si>
    <t>pi_3QKwJaRxxun8okeS0CdaD4pv</t>
  </si>
  <si>
    <t>pi_3QL0QKRxxun8okeS08thEjuk</t>
  </si>
  <si>
    <t>zhang lin</t>
  </si>
  <si>
    <t>pi_3QL3sPRxxun8okeS1xh8IbrK</t>
  </si>
  <si>
    <t>dada wu</t>
  </si>
  <si>
    <t>pi_3QL5U4Rxxun8okeS0U9kDmlZ</t>
  </si>
  <si>
    <t>pi_3QL7uxRxxun8okeS1jxf9QbA</t>
  </si>
  <si>
    <t>pi_3QLLJ3Rxxun8okeS1MyRsRPj</t>
  </si>
  <si>
    <t>pi_3QLfHxRxxun8okeS09mAyZeI</t>
  </si>
  <si>
    <t>sergio rodriguez</t>
  </si>
  <si>
    <t>pi_3QM2EvRxxun8okeS0cg3unAf</t>
  </si>
  <si>
    <t>pi_3QM390Rxxun8okeS1RFg0TgL</t>
  </si>
  <si>
    <t>pi_3QMJwrRxxun8okeS0kOoqMRh</t>
  </si>
  <si>
    <t>Lee Yates</t>
  </si>
  <si>
    <t>pi_3QMMgBRxxun8okeS0X9F1y8w</t>
  </si>
  <si>
    <t>LU YANG</t>
  </si>
  <si>
    <t>pi_3QMSG2Rxxun8okeS0QsYtE8h</t>
  </si>
  <si>
    <t>York Kor</t>
  </si>
  <si>
    <t>pi_3QMSWARxxun8okeS0QAwXcdd</t>
  </si>
  <si>
    <t>pi_3QMl8pRxxun8okeS0YeX1sXp</t>
  </si>
  <si>
    <t>pi_3QN2bhRxxun8okeS0ZnvTdoI</t>
  </si>
  <si>
    <t>maturity P</t>
  </si>
  <si>
    <t>fe le</t>
  </si>
  <si>
    <t>pi_3QNFAARxxun8okeS1K1cTR5m</t>
  </si>
  <si>
    <t>Co Co</t>
  </si>
  <si>
    <t>pi_3QNFXqRxxun8okeS1TBoWAxj</t>
  </si>
  <si>
    <t>pi_3QNFb9Rxxun8okeS0cn5lBxh</t>
  </si>
  <si>
    <t>pi_3QNGEoRxxun8okeS0FRrHyyR</t>
  </si>
  <si>
    <t>pi_3QNJ60Rxxun8okeS1fRe4scu</t>
  </si>
  <si>
    <t>pi_3QNTf3Rxxun8okeS1PqihrJQ</t>
  </si>
  <si>
    <t>pi_3QNVDZRxxun8okeS0CBwHcIv</t>
  </si>
  <si>
    <t>J J</t>
  </si>
  <si>
    <t>pi_3QNVaGRxxun8okeS0985iBdO</t>
  </si>
  <si>
    <t>Josh Longuet</t>
  </si>
  <si>
    <t>pi_3QNWLiRxxun8okeS0CdQ8GyE</t>
  </si>
  <si>
    <t>pi_3QNWNeRxxun8okeS1ZtgTSD7</t>
  </si>
  <si>
    <t>xx x</t>
  </si>
  <si>
    <t>pi_3QNZZLRxxun8okeS0HXQTsE6</t>
  </si>
  <si>
    <t>LIANG BIN</t>
  </si>
  <si>
    <t>pi_3QNatBRxxun8okeS0HlWgAbR</t>
  </si>
  <si>
    <t>jakin lee</t>
  </si>
  <si>
    <t>pi_3QNb0rRxxun8okeS0jHlEEw2</t>
  </si>
  <si>
    <t>pi_3QNb7cRxxun8okeS0859fBwZ</t>
  </si>
  <si>
    <t>Mingfang Wei</t>
  </si>
  <si>
    <t>John Quiroz</t>
  </si>
  <si>
    <t>pi_3QNbH9Rxxun8okeS0oibxFhu</t>
  </si>
  <si>
    <t>pi_3QNbJVRxxun8okeS0Egqvt9M</t>
  </si>
  <si>
    <t>karel Go</t>
  </si>
  <si>
    <t>pi_3QNbQjRxxun8okeS0Uq1lytT</t>
  </si>
  <si>
    <t>pi_3QNbxSRxxun8okeS1b56Vyrq</t>
  </si>
  <si>
    <t>pi_3QNc3BRxxun8okeS0g8j6Ace</t>
  </si>
  <si>
    <t>yolo lee</t>
  </si>
  <si>
    <t>5d702c22c935e1c18a69829bde9b8c4c9feac5cddf879148a852545be331e787</t>
  </si>
  <si>
    <t>Lucifer MorningStar</t>
  </si>
  <si>
    <t>pi_3QNfJTRxxun8okeS14sWEOUm</t>
  </si>
  <si>
    <t>callipus brigton</t>
  </si>
  <si>
    <t>f191353093fdebb351ce42e4c8013e76f0119a3a434ec6a61f6b47efa17c550d</t>
  </si>
  <si>
    <t>pi_3QNlkURxxun8okeS1ivD9hf3</t>
  </si>
  <si>
    <t>Hosea Ho</t>
  </si>
  <si>
    <t>kow gow</t>
  </si>
  <si>
    <t>pi_3QNsDJRxxun8okeS0YNGVGaT</t>
  </si>
  <si>
    <t>pi_3QNsvVRxxun8okeS1TNYH95b</t>
  </si>
  <si>
    <t>si li</t>
  </si>
  <si>
    <t>pi_3QNv4NRxxun8okeS1UX3usQS</t>
  </si>
  <si>
    <t>Refund of Transaction ID pi_3QNFAARxxun8okeS1K1cTR5m</t>
  </si>
  <si>
    <t>lin feng</t>
  </si>
  <si>
    <t>pi_3QNwQLRxxun8okeS0e3CMEZF</t>
  </si>
  <si>
    <t>pi_3QNwZwRxxun8okeS0SDjkpk5</t>
  </si>
  <si>
    <t>Katana Yolo</t>
  </si>
  <si>
    <t>pi_3QNwoLRxxun8okeS13fdOxee</t>
  </si>
  <si>
    <t>pi_3QNxVBRxxun8okeS011BmfXi</t>
  </si>
  <si>
    <t>zhang bo</t>
  </si>
  <si>
    <t>pi_3QNxWiRxxun8okeS0HTN2Yfq</t>
  </si>
  <si>
    <t>pi_3QNxXGRxxun8okeS0hd3wd4A</t>
  </si>
  <si>
    <t>Mh Z</t>
  </si>
  <si>
    <t>pi_3QNxgVRxxun8okeS1erXpdzy</t>
  </si>
  <si>
    <t>pi_3QNxwwRxxun8okeS0ZmusvUc</t>
  </si>
  <si>
    <t>pi_3QNxxERxxun8okeS1CXU2BQE</t>
  </si>
  <si>
    <t>pi_3QNyRkRxxun8okeS0AayJGef</t>
  </si>
  <si>
    <t>Gavin Leon</t>
  </si>
  <si>
    <t>kalala kal</t>
  </si>
  <si>
    <t>pi_3QNzDURxxun8okeS0GR3FXmb</t>
  </si>
  <si>
    <t>Zheng Wu</t>
  </si>
  <si>
    <t>jack zhao</t>
  </si>
  <si>
    <t>pi_3QO8ziRxxun8okeS0zTt4k53</t>
  </si>
  <si>
    <t>pi_3QOASERxxun8okeS1N2VQOcw</t>
  </si>
  <si>
    <t>Xiang Liu</t>
  </si>
  <si>
    <t>pi_3QOBByRxxun8okeS0kzvjriH</t>
  </si>
  <si>
    <t>pi_3QOBOsRxxun8okeS0AdmDUMG</t>
  </si>
  <si>
    <t>pi_3QODIXRxxun8okeS1njeQJW0</t>
  </si>
  <si>
    <t>ghjkl tyuio</t>
  </si>
  <si>
    <t>pi_3QODnzRxxun8okeS0k1cUlLH</t>
  </si>
  <si>
    <t>pi_3QOGPDRxxun8okeS02FvzyJR</t>
  </si>
  <si>
    <t>pi_3QOIm2Rxxun8okeS0HsnNEIV</t>
  </si>
  <si>
    <t>fa fi</t>
  </si>
  <si>
    <t>pi_3QOIscRxxun8okeS1mfZULJu</t>
  </si>
  <si>
    <t>pi_3QOJ2VRxxun8okeS0htCZU3O</t>
  </si>
  <si>
    <t>Philip House</t>
  </si>
  <si>
    <t>pi_3QOJAKRxxun8okeS07i0ZmHU</t>
  </si>
  <si>
    <t>pi_3QOJweRxxun8okeS1YKtDTFU</t>
  </si>
  <si>
    <t>pi_3QOJwkRxxun8okeS07veZP0Y</t>
  </si>
  <si>
    <t>6ec3876f67628dfe0aa81f9142d3df7d96d8078beabbbe13f08685ea033be64d</t>
  </si>
  <si>
    <t>pi_3QOMvmRxxun8okeS1yDr8VQj</t>
  </si>
  <si>
    <t>weiwei li</t>
  </si>
  <si>
    <t>pi_3QOPsgRxxun8okeS0vsNtYsO</t>
  </si>
  <si>
    <t>yuan yuan</t>
  </si>
  <si>
    <t>pi_3QOTC6Rxxun8okeS0ur9yLGI</t>
  </si>
  <si>
    <t>pi_3QOTQWRxxun8okeS1bT5QVOg</t>
  </si>
  <si>
    <t>pi_3QOVOgRxxun8okeS1rPcOeja</t>
  </si>
  <si>
    <t>pi_3QOVTHRxxun8okeS05dM6DWI</t>
  </si>
  <si>
    <t>Nan July</t>
  </si>
  <si>
    <t>pi_3QOVmcRxxun8okeS08151SyK</t>
  </si>
  <si>
    <t>Alex du</t>
  </si>
  <si>
    <t>pi_3QOWeoRxxun8okeS1VZ46DaV</t>
  </si>
  <si>
    <t>pi_3QOYvlRxxun8okeS0VNma5Io</t>
  </si>
  <si>
    <t>pi_3QObPqRxxun8okeS0erRs8A4</t>
  </si>
  <si>
    <t>pi_3QOd1CRxxun8okeS157WTrvM</t>
  </si>
  <si>
    <t>REN SOLE</t>
  </si>
  <si>
    <t>pi_3QOgvORxxun8okeS0J3C0Cx6</t>
  </si>
  <si>
    <t>pi_3QOh79Rxxun8okeS0AY8ORmn</t>
  </si>
  <si>
    <t>l yy</t>
  </si>
  <si>
    <t>pi_3QOhtxRxxun8okeS1ZlsaCoW</t>
  </si>
  <si>
    <t>pi_3QOkGYRxxun8okeS0btsv9ff</t>
  </si>
  <si>
    <t>pi_3QOsUCRxxun8okeS0yGzfcaN</t>
  </si>
  <si>
    <t>Wisdom Devil</t>
  </si>
  <si>
    <t>pi_3QOz58Rxxun8okeS0sUPMEe7</t>
  </si>
  <si>
    <t>pi_3QP4yrRxxun8okeS0fRuN5H9</t>
  </si>
  <si>
    <t>HAO LIANG</t>
  </si>
  <si>
    <t>pi_3QP59uRxxun8okeS1AnvABOx</t>
  </si>
  <si>
    <t>Ah win</t>
  </si>
  <si>
    <t>pi_3QPDLYRxxun8okeS1aP3HgoH</t>
  </si>
  <si>
    <t>zong wu</t>
  </si>
  <si>
    <t>pi_3QPDUgRxxun8okeS0DEutfEm</t>
  </si>
  <si>
    <t>pi_3QPDb4Rxxun8okeS0jq33MQU</t>
  </si>
  <si>
    <t>luo chao</t>
  </si>
  <si>
    <t>pi_3QPEBkRxxun8okeS0foqfpR4</t>
  </si>
  <si>
    <t>pi_3QPFK1Rxxun8okeS0I9ZbSt8</t>
  </si>
  <si>
    <t>pi_3QPH0tRxxun8okeS04Te3E6r</t>
  </si>
  <si>
    <t>pi_3QPH1nRxxun8okeS1UohAMml</t>
  </si>
  <si>
    <t>pi_3QPHu9Rxxun8okeS15ODzGaM</t>
  </si>
  <si>
    <t>fox hu</t>
  </si>
  <si>
    <t>pi_3QPJp3Rxxun8okeS080caXaU</t>
  </si>
  <si>
    <t>pi_3QPK00Rxxun8okeS1Wxn54Vv</t>
  </si>
  <si>
    <t>wayne elikez</t>
  </si>
  <si>
    <t>pi_3QPMfxRxxun8okeS0OuNL9Yu</t>
  </si>
  <si>
    <t>CC CC</t>
  </si>
  <si>
    <t>pi_3QPOKnRxxun8okeS1csdRZTb</t>
  </si>
  <si>
    <t>CAI LI</t>
  </si>
  <si>
    <t>pi_3QPOauRxxun8okeS02Qj2PLn</t>
  </si>
  <si>
    <t>pi_3QPPUMRxxun8okeS17IPW4vl</t>
  </si>
  <si>
    <t>pi_3QPQN4Rxxun8okeS12JSLyYn</t>
  </si>
  <si>
    <t>pi_3QPQhRRxxun8okeS0gFDkczR</t>
  </si>
  <si>
    <t>bff08cf665944809d444e4de8cb30761610c7cdfff3c8e4b53003051c07eb54d</t>
  </si>
  <si>
    <t>pi_3QPdUtRxxun8okeS1mRANv51</t>
  </si>
  <si>
    <t>pi_3QPeY3Rxxun8okeS0PVtdFsE</t>
  </si>
  <si>
    <t>me luo</t>
  </si>
  <si>
    <t>pi_3QPfHnRxxun8okeS02Ovt43A</t>
  </si>
  <si>
    <t>pi_3QPjzoRxxun8okeS0T6HhyWz</t>
  </si>
  <si>
    <t>pi_3QPk1QRxxun8okeS1P1piLbL</t>
  </si>
  <si>
    <t>kevin zeng</t>
  </si>
  <si>
    <t>pi_3QPkUbRxxun8okeS19tYNuQG</t>
  </si>
  <si>
    <t>pi_3QPlK8Rxxun8okeS04WAeLLF</t>
  </si>
  <si>
    <t>Corinne Baker</t>
  </si>
  <si>
    <t>pi_3QPlMxRxxun8okeS0H4AK9fs</t>
  </si>
  <si>
    <t>dan ni</t>
  </si>
  <si>
    <t>rex xie</t>
  </si>
  <si>
    <t>pi_3QPnUwRxxun8okeS1zBPFuiv</t>
  </si>
  <si>
    <t>pi_3QPo3aRxxun8okeS1vXnMyZa</t>
  </si>
  <si>
    <t>????€? ???</t>
  </si>
  <si>
    <t>pi_3QPopgRxxun8okeS1r1CfqxO</t>
  </si>
  <si>
    <t>pi_3QPrTlRxxun8okeS06I2vvQc</t>
  </si>
  <si>
    <t>Bug O</t>
  </si>
  <si>
    <t>pi_3QPvmhRxxun8okeS1plhQCTM</t>
  </si>
  <si>
    <t>pi_3QPy3DRxxun8okeS1jXIZGty</t>
  </si>
  <si>
    <t>pi_3QPyKPRxxun8okeS1cWaOeyD</t>
  </si>
  <si>
    <t>pi_3QPySXRxxun8okeS1MscZJ54</t>
  </si>
  <si>
    <t>pi_3QPyUQRxxun8okeS19hCpJ5L</t>
  </si>
  <si>
    <t>pi_3QPyfJRxxun8okeS1AEUhHNA</t>
  </si>
  <si>
    <t>zhuan tu</t>
  </si>
  <si>
    <t>pi_3QPz9uRxxun8okeS1DPs8m5P</t>
  </si>
  <si>
    <t>pi_3QQ1SiRxxun8okeS0Or6w3d1</t>
  </si>
  <si>
    <t>adolfogolauoi65 Hoshneyvesan</t>
  </si>
  <si>
    <t>pi_3QQ1U6Rxxun8okeS0rwTJzfR</t>
  </si>
  <si>
    <t>Chris Forde</t>
  </si>
  <si>
    <t>pi_3QQ2CnRxxun8okeS0U6EpuqB</t>
  </si>
  <si>
    <t>pi_3QQ2LkRxxun8okeS1PHsHMHO</t>
  </si>
  <si>
    <t>weisheng nii</t>
  </si>
  <si>
    <t>11127ddb1c55634de5fb8be8464ad87cf3775bf4f94dd69a3268a0ca62bd57fd</t>
  </si>
  <si>
    <t>pi_3QQ4NCRxxun8okeS08a9p0y4</t>
  </si>
  <si>
    <t>pi_3QQ7BHRxxun8okeS1CTSU6S6</t>
  </si>
  <si>
    <t>lipstick hew</t>
  </si>
  <si>
    <t>pi_3QQ8wVRxxun8okeS155vjKwr</t>
  </si>
  <si>
    <t>pi_3QQ92cRxxun8okeS184b7jFL</t>
  </si>
  <si>
    <t>w sx</t>
  </si>
  <si>
    <t>pi_3QQJmMRxxun8okeS16hug3PH</t>
  </si>
  <si>
    <t>811f81dcdbe27e3a698ca5585f97117ac76751642931d3e69a2e3cbb965a3ae7</t>
  </si>
  <si>
    <t>pi_3QQMzRRxxun8okeS0CWowUC2</t>
  </si>
  <si>
    <t>bql pfy</t>
  </si>
  <si>
    <t>pi_3QQOLbRxxun8okeS1IWXCQ3I</t>
  </si>
  <si>
    <t>pi_3QQOfgRxxun8okeS0Os9EV0n</t>
  </si>
  <si>
    <t>pi_3QQSMGRxxun8okeS139Mn9HW</t>
  </si>
  <si>
    <t>Christa Frederick</t>
  </si>
  <si>
    <t>pi_3QQUPcRxxun8okeS0BHOMTI0</t>
  </si>
  <si>
    <t>Diana yae</t>
  </si>
  <si>
    <t>pi_3QQUB5Rxxun8okeS1tZ6UMB1</t>
  </si>
  <si>
    <t>DD DD</t>
  </si>
  <si>
    <t>pi_3QQWIaRxxun8okeS1vJugR5y</t>
  </si>
  <si>
    <t>wu di</t>
  </si>
  <si>
    <t>pi_3QQhF7Rxxun8okeS0XaWgndR</t>
  </si>
  <si>
    <t>pi_3QQqCRRxxun8okeS1YAmg4HB</t>
  </si>
  <si>
    <t>pi_3QQv5ARxxun8okeS1z4ABUlZ</t>
  </si>
  <si>
    <t>Bob Smith</t>
  </si>
  <si>
    <t>pi_3QR1SfRxxun8okeS02EiFuGj</t>
  </si>
  <si>
    <t>zhijie chen</t>
  </si>
  <si>
    <t>pi_3QR3SNRxxun8okeS1DZCLXNu</t>
  </si>
  <si>
    <t>wj z</t>
  </si>
  <si>
    <t>pi_3QR6T9Rxxun8okeS1VA2JiY2</t>
  </si>
  <si>
    <t>pi_3QRFEFRxxun8okeS1VuFyytl</t>
  </si>
  <si>
    <t>??? kn</t>
  </si>
  <si>
    <t>pi_3QRFi7Rxxun8okeS1Co3sJyS</t>
  </si>
  <si>
    <t>pi_3QRHz6Rxxun8okeS1zZA9NHZ</t>
  </si>
  <si>
    <t>pi_3QRRtWRxxun8okeS1LKb4Or3</t>
  </si>
  <si>
    <t>Refund of Transaction ID pi_3QRHz6Rxxun8okeS1zZA9NHZ</t>
  </si>
  <si>
    <t>pi_3QRaArRxxun8okeS0P7KNS25</t>
  </si>
  <si>
    <t>pi_3QRcqwRxxun8okeS1SxnhccA</t>
  </si>
  <si>
    <t>pi_3QRlhzRxxun8okeS1S9OdbEg</t>
  </si>
  <si>
    <t>izumi sagiri</t>
  </si>
  <si>
    <t>pi_3QRuXCRxxun8okeS1pgUPdG6</t>
  </si>
  <si>
    <t>pi_3QRuolRxxun8okeS0zPlTrxf</t>
  </si>
  <si>
    <t>Kun kun</t>
  </si>
  <si>
    <t>pi_3QRusRRxxun8okeS0uFfTqgy</t>
  </si>
  <si>
    <t>pi_3QRw6wRxxun8okeS1ykezp83</t>
  </si>
  <si>
    <t>DE ED</t>
  </si>
  <si>
    <t>pi_3QRwhwRxxun8okeS134U3re3</t>
  </si>
  <si>
    <t>Izayoi Sakuya</t>
  </si>
  <si>
    <t>pi_3QRwhkRxxun8okeS1ZGE4Byr</t>
  </si>
  <si>
    <t>li wang</t>
  </si>
  <si>
    <t>xxx xxx</t>
  </si>
  <si>
    <t>26c9490d24a450126b3ee2f7e52382b330f44be389773749e0f2c711b3ac33fc</t>
  </si>
  <si>
    <t>pi_3QRyHtRxxun8okeS0uwjQfGw</t>
  </si>
  <si>
    <t>pi_3QRyu0Rxxun8okeS0DsbrXhA</t>
  </si>
  <si>
    <t>pi_3QS7QYRxxun8okeS1BiaSBUk</t>
  </si>
  <si>
    <t>pi_3QSD0YRxxun8okeS0w2rBjrV</t>
  </si>
  <si>
    <t>sion sylphs</t>
  </si>
  <si>
    <t>pi_3QSFXXRxxun8okeS0EEYRd2l</t>
  </si>
  <si>
    <t>pi_3QSGXqRxxun8okeS0RIXG45g</t>
  </si>
  <si>
    <t>overload stock</t>
  </si>
  <si>
    <t>MAX MAX</t>
  </si>
  <si>
    <t>pi_3QSMfXRxxun8okeS0Csf7TCk</t>
  </si>
  <si>
    <t>pi_3QSTgmRxxun8okeS18qSPIiA</t>
  </si>
  <si>
    <t>pi_3QSTq0Rxxun8okeS0ynUfP4w</t>
  </si>
  <si>
    <t>yasui woo</t>
  </si>
  <si>
    <t>pi_3QSVahRxxun8okeS0gRsU78I</t>
  </si>
  <si>
    <t>feeeee dssfs</t>
  </si>
  <si>
    <t>pi_3QSXB1Rxxun8okeS14z4v0OP</t>
  </si>
  <si>
    <t>nomad wang</t>
  </si>
  <si>
    <t>pi_3QSZXQRxxun8okeS0mhhtn60</t>
  </si>
  <si>
    <t>pi_3QSa2cRxxun8okeS1MMWYAO8</t>
  </si>
  <si>
    <t>pi_3QSb82Rxxun8okeS0dzTOP9k</t>
  </si>
  <si>
    <t>pi_3QSbryRxxun8okeS1irpWYYu</t>
  </si>
  <si>
    <t>liu dehua</t>
  </si>
  <si>
    <t>qin wei</t>
  </si>
  <si>
    <t>pi_3QSfa9Rxxun8okeS1liFZkc1</t>
  </si>
  <si>
    <t>pi_3QSiLORxxun8okeS1DLeI3jg</t>
  </si>
  <si>
    <t>Prompan Goldsen</t>
  </si>
  <si>
    <t>pi_3QSnPoRxxun8okeS06YCOrvN</t>
  </si>
  <si>
    <t>luo ye</t>
  </si>
  <si>
    <t>ryoukenn kinn</t>
  </si>
  <si>
    <t>pi_3QSsJbRxxun8okeS0cgLxOLs</t>
  </si>
  <si>
    <t>cf7edf7e96390f67f65a8cb8c40b4be9120748957f2ae80f8399555a6f273bb6</t>
  </si>
  <si>
    <t>Shi Wen chen</t>
  </si>
  <si>
    <t>pi_3QSyINRxxun8okeS1wpts2mX</t>
  </si>
  <si>
    <t>pi_3QSz2IRxxun8okeS049cFkyd</t>
  </si>
  <si>
    <t>pi_3QT1jURxxun8okeS0EamUBR9</t>
  </si>
  <si>
    <t>vmliu wang</t>
  </si>
  <si>
    <t>pi_3QT2OzRxxun8okeS0OLplheO</t>
  </si>
  <si>
    <t>mxr muimui</t>
  </si>
  <si>
    <t>pi_3QT47yRxxun8okeS1kpA08V7</t>
  </si>
  <si>
    <t>yuong chang</t>
  </si>
  <si>
    <t>pi_3QT9rWRxxun8okeS1r2yID6b</t>
  </si>
  <si>
    <t>pi_3QTCkRRxxun8okeS0orO92aC</t>
  </si>
  <si>
    <t>pi_3QTGXERxxun8okeS1V1BpL7O</t>
  </si>
  <si>
    <t>pi_3QTK2kRxxun8okeS0okBpU8F</t>
  </si>
  <si>
    <t>Yexin Xiao</t>
  </si>
  <si>
    <t>nico gnaw</t>
  </si>
  <si>
    <t>pi_3QTUh2Rxxun8okeS1wDFukei</t>
  </si>
  <si>
    <t>pi_3QTaPlRxxun8okeS1P8uwGrk</t>
  </si>
  <si>
    <t>Refund of Transaction ID 7AJ22876CX381241T</t>
  </si>
  <si>
    <t>Refund of Transaction ID 8JD503935L443905H</t>
  </si>
  <si>
    <t>Nick Luo</t>
  </si>
  <si>
    <t>pi_3QU3z1Rxxun8okeS1Vnk4qFD</t>
  </si>
  <si>
    <t>glady james</t>
  </si>
  <si>
    <t>pi_3QU5SvRxxun8okeS1vX3G1BK</t>
  </si>
  <si>
    <t>pi_3QU5giRxxun8okeS1VXXLoVY</t>
  </si>
  <si>
    <t>pi_3QU7A9Rxxun8okeS0MvFy8P6</t>
  </si>
  <si>
    <t>pi_3QU8egRxxun8okeS0zCo3eKK</t>
  </si>
  <si>
    <t>pi_3QUB5sRxxun8okeS1bHYBVql</t>
  </si>
  <si>
    <t>kmay kay</t>
  </si>
  <si>
    <t>pi_3QUKJIRxxun8okeS1P2AMboZ</t>
  </si>
  <si>
    <t>Kloter M Kloter M</t>
  </si>
  <si>
    <t>655746176686b90d5e605a216fab03dd63128416f084cf18b86e6d8591671aeb</t>
  </si>
  <si>
    <t>pi_3QULg2Rxxun8okeS0Yq6wvgY</t>
  </si>
  <si>
    <t>hang ke</t>
  </si>
  <si>
    <t>pi_3QUTAbRxxun8okeS0HdX5VSf</t>
  </si>
  <si>
    <t>pi_3QUTPrRxxun8okeS0AaRTz2k</t>
  </si>
  <si>
    <t>pi_3QUUUSRxxun8okeS0lLH2NDv</t>
  </si>
  <si>
    <t>SHUAI ZHANG</t>
  </si>
  <si>
    <t>pi_3QUZOMRxxun8okeS0rqt2TlH</t>
  </si>
  <si>
    <t>Reversed Transaction ID: 8WA90646DW396254L</t>
  </si>
  <si>
    <t>Refund of Transaction ID 31371697TG4353008</t>
  </si>
  <si>
    <t>peng bu</t>
  </si>
  <si>
    <t>pi_3QUlKbRxxun8okeS1u9Hm0ms</t>
  </si>
  <si>
    <t>pi_3QUnA6Rxxun8okeS1QMtoP9L</t>
  </si>
  <si>
    <t>pi_3QUolXRxxun8okeS1d15G2VV</t>
  </si>
  <si>
    <t>pi_3QUrigRxxun8okeS0tsly5vR</t>
  </si>
  <si>
    <t>s1ck boy</t>
  </si>
  <si>
    <t>pi_3QUtyGRxxun8okeS0eTXlcMR</t>
  </si>
  <si>
    <t>Joe Fong</t>
  </si>
  <si>
    <t>pi_3QUzMERxxun8okeS02PHRGCF</t>
  </si>
  <si>
    <t>pi_3QV2M6Rxxun8okeS09wAP4Ca</t>
  </si>
  <si>
    <t>pi_3QV2mdRxxun8okeS0uKkzvM4</t>
  </si>
  <si>
    <t>Evin Leo</t>
  </si>
  <si>
    <t>pi_3QV5cMRxxun8okeS0rXdcWuW</t>
  </si>
  <si>
    <t>jim wen</t>
  </si>
  <si>
    <t>pi_3QV6YoRxxun8okeS0KHeDDMv</t>
  </si>
  <si>
    <t>pi_3QV6ZPRxxun8okeS1JQRHe7O</t>
  </si>
  <si>
    <t>pi_3QV6c4Rxxun8okeS0iQtNwSm</t>
  </si>
  <si>
    <t>hole La</t>
  </si>
  <si>
    <t>pi_3QVEgQRxxun8okeS0I4xdSb3</t>
  </si>
  <si>
    <t>pi_3QVGsmRxxun8okeS1NOK3d5C</t>
  </si>
  <si>
    <t>pi_3QVNHsRxxun8okeS1IrTTEHB</t>
  </si>
  <si>
    <t>guanxi chen</t>
  </si>
  <si>
    <t>pi_3QVZSDRxxun8okeS1eNgyxd3</t>
  </si>
  <si>
    <t>pi_3QVZmTRxxun8okeS1nFlmXuO</t>
  </si>
  <si>
    <t>pi_3QVrg7Rxxun8okeS0qp3uhbq</t>
  </si>
  <si>
    <t>pi_3QVwV8Rxxun8okeS0thJUlNn</t>
  </si>
  <si>
    <t>jg yan</t>
  </si>
  <si>
    <t>pi_3QW9rdRxxun8okeS0yBi0Xq4</t>
  </si>
  <si>
    <t>pi_3QWArVRxxun8okeS1pVRVFFE</t>
  </si>
  <si>
    <t>weidong wang</t>
  </si>
  <si>
    <t>pi_3QWE37Rxxun8okeS0NKLG63x</t>
  </si>
  <si>
    <t>pi_3QWNBCRxxun8okeS1i1DNIV2</t>
  </si>
  <si>
    <t>LIU DONG</t>
  </si>
  <si>
    <t>pi_3QWVFcRxxun8okeS1H7sNnhF</t>
  </si>
  <si>
    <t>pi_3QWdkQRxxun8okeS0e6vSdow</t>
  </si>
  <si>
    <t>pi_3QWeE5Rxxun8okeS1YEzpYcB</t>
  </si>
  <si>
    <t>pi_3QWeXxRxxun8okeS06yCyLK8</t>
  </si>
  <si>
    <t>kyo chan</t>
  </si>
  <si>
    <t>pi_3QWeuMRxxun8okeS0CZZzfOK</t>
  </si>
  <si>
    <t>Leo Liao</t>
  </si>
  <si>
    <t>pi_3QWfMhRxxun8okeS0eznZNT3</t>
  </si>
  <si>
    <t>mike paw</t>
  </si>
  <si>
    <t>Reversed Transaction ID: 9MP09192DG172864X</t>
  </si>
  <si>
    <t>pi_3QWpuwRxxun8okeS1oYmLnBW</t>
  </si>
  <si>
    <t>pi_3QWrkTRxxun8okeS0lTan22y</t>
  </si>
  <si>
    <t>John Ander</t>
  </si>
  <si>
    <t>hunter luo</t>
  </si>
  <si>
    <t>woo leo</t>
  </si>
  <si>
    <t>pi_3QX0sDRxxun8okeS1cPZUKIc</t>
  </si>
  <si>
    <t>Arthur Dailey</t>
  </si>
  <si>
    <t>pi_3QX1huRxxun8okeS1dFvs6Dx</t>
  </si>
  <si>
    <t>pi_3QXGHqRxxun8okeS0ZwdkA1h</t>
  </si>
  <si>
    <t>Conroy Georgine</t>
  </si>
  <si>
    <t>pi_3QXKiiRxxun8okeS0UKdMIzq</t>
  </si>
  <si>
    <t>pi_3QXNkuRxxun8okeS1A31fqXn</t>
  </si>
  <si>
    <t>pi_3QXPFpRxxun8okeS1QhqNiju</t>
  </si>
  <si>
    <t>pi_3QXZ4pRxxun8okeS1XbeKWBr</t>
  </si>
  <si>
    <t>733 PA</t>
  </si>
  <si>
    <t>pi_3QXlHuRxxun8okeS1N8ELsZY</t>
  </si>
  <si>
    <t>pi_3QXw0fRxxun8okeS0Ghjc0LF</t>
  </si>
  <si>
    <t>pi_3QXw3BRxxun8okeS0jdsiweE</t>
  </si>
  <si>
    <t>pi_3QXw4KRxxun8okeS1cxP0wSV</t>
  </si>
  <si>
    <t>pi_3QXw5ERxxun8okeS0hzoueYT</t>
  </si>
  <si>
    <t>pi_3QXw6LRxxun8okeS1iZMBR7a</t>
  </si>
  <si>
    <t>pi_3QXwN6Rxxun8okeS0WmR6FEO</t>
  </si>
  <si>
    <t>pi_3QYIRgRxxun8okeS1BmA7ilv</t>
  </si>
  <si>
    <t>pi_3QYIteRxxun8okeS05HTqFgA</t>
  </si>
  <si>
    <t>pi_3QYJI7Rxxun8okeS11dsr2C1</t>
  </si>
  <si>
    <t>pi_3QYKKvRxxun8okeS1yAohinN</t>
  </si>
  <si>
    <t>pi_3QYQMhRxxun8okeS0oKxfHbt</t>
  </si>
  <si>
    <t>pi_3QYQNDRxxun8okeS0lDf4lcT</t>
  </si>
  <si>
    <t>Logan lau</t>
  </si>
  <si>
    <t>pi_3QYRYyRxxun8okeS1TqNugTg</t>
  </si>
  <si>
    <t>PRD A</t>
  </si>
  <si>
    <t>pi_3QYTggRxxun8okeS1KFro3ew</t>
  </si>
  <si>
    <t>Star Chan</t>
  </si>
  <si>
    <t>pi_3QYyhhRxxun8okeS1zbTURDW</t>
  </si>
  <si>
    <t>Refund of Transaction ID pi_3QV6YoRxxun8okeS0KHeDDMv</t>
  </si>
  <si>
    <t>Glez Krissh</t>
  </si>
  <si>
    <t>pi_3QZF6QRxxun8okeS0SUWhKvX</t>
  </si>
  <si>
    <t>Ru sa</t>
  </si>
  <si>
    <t>pi_3QZF9YRxxun8okeS14GTeteE</t>
  </si>
  <si>
    <t>John Henkin</t>
  </si>
  <si>
    <t>linlin liu</t>
  </si>
  <si>
    <t>pi_3QZRzuRxxun8okeS0UrMVFuT</t>
  </si>
  <si>
    <t>Mr uzx</t>
  </si>
  <si>
    <t>pi_3QZSe8Rxxun8okeS05NIkPoW</t>
  </si>
  <si>
    <t>max king</t>
  </si>
  <si>
    <t>pi_3QZSrFRxxun8okeS1E55vczf</t>
  </si>
  <si>
    <t>pi_3QZUODRxxun8okeS0BUKqLcD</t>
  </si>
  <si>
    <t>pi_3QZVwSRxxun8okeS19nxOW7G</t>
  </si>
  <si>
    <t>jason wu</t>
  </si>
  <si>
    <t>pi_3QZYP4Rxxun8okeS1PS8qSCP</t>
  </si>
  <si>
    <t>pi_3QZZpXRxxun8okeS16mELZLA</t>
  </si>
  <si>
    <t>pi_3QZa4KRxxun8okeS05nyct3R</t>
  </si>
  <si>
    <t>pi_3QZbC3Rxxun8okeS1P0Qbsg6</t>
  </si>
  <si>
    <t>lnzu lnzu</t>
  </si>
  <si>
    <t>pi_3QZc2DRxxun8okeS0tMGY0Zx</t>
  </si>
  <si>
    <t>pi_3QZcadRxxun8okeS1vYYeiHX</t>
  </si>
  <si>
    <t>pi_3QZg7zRxxun8okeS0m8CUoDb</t>
  </si>
  <si>
    <t>Nguyen Khanh</t>
  </si>
  <si>
    <t>pi_3QZn6wRxxun8okeS1O3P0x03</t>
  </si>
  <si>
    <t>pi_3QZn7mRxxun8okeS078Qrpyl</t>
  </si>
  <si>
    <t>meeshao li</t>
  </si>
  <si>
    <t>pi_3QZw0sRxxun8okeS0cPoel13</t>
  </si>
  <si>
    <t>pi_3QZxrwRxxun8okeS1beHgFvp</t>
  </si>
  <si>
    <t>Reversed Transaction ID: 60380469WV963433R</t>
  </si>
  <si>
    <t>pi_3Qa9smRxxun8okeS1WuZ9A09</t>
  </si>
  <si>
    <t>pi_3QaD6iRxxun8okeS0ByD4Wf5</t>
  </si>
  <si>
    <t>dav liu</t>
  </si>
  <si>
    <t>pi_3QaDTXRxxun8okeS12TPM2nY</t>
  </si>
  <si>
    <t>asdrfga gwerg</t>
  </si>
  <si>
    <t>pi_3QaDsdRxxun8okeS0yhtlAmj</t>
  </si>
  <si>
    <t>pi_3QaHA3Rxxun8okeS0e7mdF7d</t>
  </si>
  <si>
    <t>pi_3QaK60Rxxun8okeS07vtuAVo</t>
  </si>
  <si>
    <t>mi koto</t>
  </si>
  <si>
    <t>pi_3QaK9XRxxun8okeS1phzghss</t>
  </si>
  <si>
    <t>Ding Xiao</t>
  </si>
  <si>
    <t>pi_3QaKDbRxxun8okeS1DFWIWAI</t>
  </si>
  <si>
    <t>aseor top</t>
  </si>
  <si>
    <t>ee99c04aa8dbbecb067ff37d5b65dddc25e9cd0efbe3896d7fbf95aa94f50174</t>
  </si>
  <si>
    <t>pi_3QaKEERxxun8okeS1SI0MwZ3</t>
  </si>
  <si>
    <t>pi_3QaSoyRxxun8okeS1RVC4orJ</t>
  </si>
  <si>
    <t>pi_3QaSxjRxxun8okeS1bZvI4Tu</t>
  </si>
  <si>
    <t>pi_3QaT0URxxun8okeS1wEdqDbQ</t>
  </si>
  <si>
    <t>CCC CC</t>
  </si>
  <si>
    <t>just me</t>
  </si>
  <si>
    <t>pi_3QaTZSRxxun8okeS0vREmNrb</t>
  </si>
  <si>
    <t>Refund of Transaction ID pi_3QaK60Rxxun8okeS07vtuAVo</t>
  </si>
  <si>
    <t>Costinoyu mack</t>
  </si>
  <si>
    <t>pi_3QaXGhRxxun8okeS1CUL2o4c</t>
  </si>
  <si>
    <t>Sprite Cola</t>
  </si>
  <si>
    <t>pi_3QaXUhRxxun8okeS0hFjb9Gs</t>
  </si>
  <si>
    <t>pi_3QaXnFRxxun8okeS1qTofXWj</t>
  </si>
  <si>
    <t>pi_3QaYdwRxxun8okeS1cKm7cTv</t>
  </si>
  <si>
    <t>pi_3QadOLRxxun8okeS1VjhYm3S</t>
  </si>
  <si>
    <t>pi_3QadbLRxxun8okeS1MgeRurK</t>
  </si>
  <si>
    <t>pi_3QadwgRxxun8okeS1xmU2V0j</t>
  </si>
  <si>
    <t>hu zhao</t>
  </si>
  <si>
    <t>pi_3QaekQRxxun8okeS17DeKpcc</t>
  </si>
  <si>
    <t>Stanasis Chan</t>
  </si>
  <si>
    <t>AI Ding Ding</t>
  </si>
  <si>
    <t>pi_3QafRCRxxun8okeS1TLJeOCd</t>
  </si>
  <si>
    <t>dsgd adsrh</t>
  </si>
  <si>
    <t>pi_3QafW6Rxxun8okeS05FJEjKR</t>
  </si>
  <si>
    <t>lin shan</t>
  </si>
  <si>
    <t>el y</t>
  </si>
  <si>
    <t>pi_3QagoqRxxun8okeS1dC5DxS4</t>
  </si>
  <si>
    <t>pi_3QahW0Rxxun8okeS0zNJzZRm</t>
  </si>
  <si>
    <t>lin zhu</t>
  </si>
  <si>
    <t>pi_3QaokhRxxun8okeS1IwNUUIR</t>
  </si>
  <si>
    <t>4f212280d78dbeb6750b1856e21c2dba567beea8e0d0955282a7e9614c4ed49d</t>
  </si>
  <si>
    <t>pi_3QasHjRxxun8okeS11x0vRZl</t>
  </si>
  <si>
    <t>che fan</t>
  </si>
  <si>
    <t>pi_3QatZPRxxun8okeS0frppvRp</t>
  </si>
  <si>
    <t>pi_3QatnMRxxun8okeS0oLeyQCh</t>
  </si>
  <si>
    <t>pi_3QavIDRxxun8okeS1dxlbbQT</t>
  </si>
  <si>
    <t>pi_3Qawd5Rxxun8okeS01J8IBOV</t>
  </si>
  <si>
    <t>burger Li</t>
  </si>
  <si>
    <t>pi_3QaybkRxxun8okeS10lAdYva</t>
  </si>
  <si>
    <t>pi_3Qb1ZpRxxun8okeS0B3pbX1U</t>
  </si>
  <si>
    <t>simon Lin</t>
  </si>
  <si>
    <t>Nii Nii</t>
  </si>
  <si>
    <t>pi_3Qb2IdRxxun8okeS0IlDWpAZ</t>
  </si>
  <si>
    <t>nl ww</t>
  </si>
  <si>
    <t>pi_3Qb2dmRxxun8okeS1BeMQhJN</t>
  </si>
  <si>
    <t>pi_3Qb546Rxxun8okeS0auuO2Ih</t>
  </si>
  <si>
    <t>xlm xlm</t>
  </si>
  <si>
    <t>pi_3Qb5BeRxxun8okeS00E6zpqK</t>
  </si>
  <si>
    <t>e qi</t>
  </si>
  <si>
    <t>pi_3QbBxZRxxun8okeS14gOrmSi</t>
  </si>
  <si>
    <t>pi_3QbHmcRxxun8okeS1HX4uAhT</t>
  </si>
  <si>
    <t>pi_3QbII5Rxxun8okeS0Wwak4ob</t>
  </si>
  <si>
    <t>wong korgo</t>
  </si>
  <si>
    <t>pi_3QbL37Rxxun8okeS0FfhO3fC</t>
  </si>
  <si>
    <t>mei li</t>
  </si>
  <si>
    <t>pi_3QbL4RRxxun8okeS14ifMh1p</t>
  </si>
  <si>
    <t>pi_3QbL58Rxxun8okeS1s2VD3CY</t>
  </si>
  <si>
    <t>Sun Tian</t>
  </si>
  <si>
    <t>pi_3QbLRORxxun8okeS0EpP88FY</t>
  </si>
  <si>
    <t>R W</t>
  </si>
  <si>
    <t>pi_3QbNd4Rxxun8okeS0vWuciQi</t>
  </si>
  <si>
    <t>pi_3QbNj5Rxxun8okeS1lTp9uwR</t>
  </si>
  <si>
    <t>pi_3QbPbVRxxun8okeS0Bmd6Aqx</t>
  </si>
  <si>
    <t>adl gu</t>
  </si>
  <si>
    <t>pi_3QbY24Rxxun8okeS13JIraOO</t>
  </si>
  <si>
    <t>pi_3QbZfCRxxun8okeS0thzxgYU</t>
  </si>
  <si>
    <t>pi_3QbaE8Rxxun8okeS0p1F0dNE</t>
  </si>
  <si>
    <t>pi_3QbaHrRxxun8okeS0PSH8sed</t>
  </si>
  <si>
    <t>Jam Choi</t>
  </si>
  <si>
    <t>Abigail Cooper</t>
  </si>
  <si>
    <t>pi_3Qbgp0Rxxun8okeS1ULCUUQY</t>
  </si>
  <si>
    <t>pi_3Qbh5qRxxun8okeS0gmVLE4k</t>
  </si>
  <si>
    <t>Tiffany Freund</t>
  </si>
  <si>
    <t>pi_3QbhARRxxun8okeS0oBrXoSJ</t>
  </si>
  <si>
    <t>Jun Lu</t>
  </si>
  <si>
    <t>pi_3QbhPXRxxun8okeS0tHyFyIf</t>
  </si>
  <si>
    <t>lu la</t>
  </si>
  <si>
    <t>pi_3QbiRsRxxun8okeS0qW3BAOa</t>
  </si>
  <si>
    <t>Demi Ding</t>
  </si>
  <si>
    <t>pi_3QbiYlRxxun8okeS1cRxXfcm</t>
  </si>
  <si>
    <t>pi_3QbjBjRxxun8okeS0eCctjad</t>
  </si>
  <si>
    <t>zhan chen</t>
  </si>
  <si>
    <t>pi_3QbjGFRxxun8okeS12Qxdexc</t>
  </si>
  <si>
    <t>pi_3QbugSRxxun8okeS0I4y8Jig</t>
  </si>
  <si>
    <t>pi_3Qbus3Rxxun8okeS16FOXGpv</t>
  </si>
  <si>
    <t>pi_3QbvNbRxxun8okeS0R9dN2Zv</t>
  </si>
  <si>
    <t>pi_3QbzaNRxxun8okeS1x4MA29I</t>
  </si>
  <si>
    <t>pi_3QbzbvRxxun8okeS17VguoWD</t>
  </si>
  <si>
    <t>pi_3Qc1YxRxxun8okeS0jhB4Owp</t>
  </si>
  <si>
    <t>Ryan Ou</t>
  </si>
  <si>
    <t>pi_3Qc1ypRxxun8okeS0OxOzlMD</t>
  </si>
  <si>
    <t>pi_3Qc3PkRxxun8okeS1BX2twcd</t>
  </si>
  <si>
    <t>wang bin</t>
  </si>
  <si>
    <t>pi_3Qc5yARxxun8okeS1VSNZubD</t>
  </si>
  <si>
    <t>zic h</t>
  </si>
  <si>
    <t>pi_3Qc6SZRxxun8okeS1KLctZDk</t>
  </si>
  <si>
    <t>pi_3Qc7e0Rxxun8okeS1i2LAP31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</si>
</sst>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[$$]#,##0.00"/>
    <numFmt numFmtId="165" formatCode="dd\-mm\-yyyy"/>
    <numFmt numFmtId="166" formatCode="dd\-mm\-yyyy\ hh:mm:ss"/>
    <numFmt numFmtId="167" formatCode="d/m/yyyy"/>
    <numFmt numFmtId="168" formatCode="d/m/yyyy\ hh:mm"/>
    <numFmt numFmtId="169" formatCode="yyyy\-m\-d"/>
    <numFmt numFmtId="170" formatCode="yyyy\-mm\-dd"/>
    <numFmt numFmtId="171" formatCode="hh:mm:ss"/>
    <numFmt numFmtId="172" formatCode="yyyy/m/d"/>
    <numFmt numFmtId="173" formatCode="0.0000"/>
    <numFmt numFmtId="174" formatCode="yyyy/mm/dd"/>
    <numFmt numFmtId="175" formatCode="#,##0.0000"/>
    <numFmt numFmtId="176" formatCode="yyyy&quot;-&quot;mm&quot;-&quot;dd"/>
    <numFmt numFmtId="177" formatCode="[$$]#,##0.0000"/>
    <numFmt numFmtId="178" formatCode="yyyy\-mm\-dd\ hh:mm"/>
    <numFmt numFmtId="179" formatCode="yyyy/m/d\ hh:mm"/>
    <numFmt numFmtId="180" formatCode="[$¥]#,##0.00"/>
    <numFmt numFmtId="181" formatCode="m\ d"/>
    <numFmt numFmtId="182" formatCode="[$￥-804]#,##0.00"/>
    <numFmt numFmtId="183" formatCode="d\-m\-yyyy\ hh:mm:ss"/>
    <numFmt numFmtId="184" formatCode="d\-m\-yyyy"/>
  </numFmts>
  <fonts count="37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rgb="FF000000"/>
      <name val="Arial"/>
      <scheme val="minor"/>
    </font>
    <font>
      <sz val="10"/>
      <color rgb="FFFF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等线"/>
    </font>
    <font>
      <sz val="10"/>
      <color theme="1"/>
      <name val="Arial"/>
      <scheme val="minor"/>
    </font>
    <font>
      <sz val="10"/>
      <color rgb="FF000000"/>
      <name val="等线"/>
    </font>
    <font>
      <sz val="10"/>
      <color rgb="FF000000"/>
      <name val="宋体"/>
    </font>
    <font>
      <sz val="11"/>
      <color rgb="FF000000"/>
      <name val="等线"/>
    </font>
    <font>
      <u/>
      <sz val="10"/>
      <color rgb="FF0000FF"/>
      <name val="Arial"/>
    </font>
    <font>
      <sz val="11"/>
      <color rgb="FF000000"/>
      <name val="&quot;Aptos Narrow&quot;"/>
    </font>
    <font>
      <sz val="11"/>
      <color theme="1"/>
      <name val="等线"/>
    </font>
    <font>
      <sz val="11"/>
      <color theme="1"/>
      <name val="Arial"/>
      <scheme val="minor"/>
    </font>
    <font>
      <sz val="11"/>
      <color rgb="FF000000"/>
      <name val="宋体"/>
    </font>
    <font>
      <sz val="10"/>
      <color theme="1"/>
      <name val="Arial"/>
    </font>
    <font>
      <sz val="10"/>
      <color rgb="FFFFFFFF"/>
      <name val="Arial"/>
    </font>
    <font>
      <sz val="10"/>
      <color rgb="FF000000"/>
      <name val="Arial"/>
    </font>
    <font>
      <sz val="10"/>
      <color rgb="FF434343"/>
      <name val="Arial"/>
    </font>
    <font>
      <sz val="10"/>
      <color theme="1"/>
      <name val="Arial"/>
    </font>
    <font>
      <sz val="10"/>
      <color rgb="FF333333"/>
      <name val="Arial"/>
    </font>
    <font>
      <sz val="10"/>
      <color rgb="FFE69138"/>
      <name val="Arial"/>
    </font>
    <font>
      <sz val="10"/>
      <color theme="1"/>
      <name val="等线"/>
    </font>
    <font>
      <sz val="10"/>
      <color rgb="FFFFFFFF"/>
      <name val="Arial"/>
      <scheme val="minor"/>
    </font>
    <font>
      <b/>
      <sz val="10"/>
      <color rgb="FFF3F3F3"/>
      <name val="等线"/>
    </font>
    <font>
      <sz val="10"/>
      <color rgb="FF000000"/>
      <name val="等线"/>
    </font>
    <font>
      <b/>
      <sz val="10"/>
      <color theme="1"/>
      <name val="Arial"/>
      <scheme val="minor"/>
    </font>
    <font>
      <sz val="9"/>
      <color rgb="FF000000"/>
      <name val="&quot;AR PL New Sung&quot;"/>
    </font>
    <font>
      <sz val="9"/>
      <color rgb="FF000000"/>
      <name val="Arial"/>
    </font>
    <font>
      <b/>
      <sz val="10"/>
      <color rgb="FF000000"/>
      <name val="Arial"/>
    </font>
    <font>
      <sz val="11"/>
      <color theme="1"/>
      <name val="宋体"/>
    </font>
    <font>
      <sz val="10"/>
      <color theme="1"/>
      <name val="等线"/>
    </font>
    <font>
      <sz val="11"/>
      <color rgb="FF333333"/>
      <name val="Arial"/>
    </font>
    <font>
      <b/>
      <sz val="10"/>
      <color rgb="FF000000"/>
      <name val="等线"/>
    </font>
    <font>
      <sz val="10"/>
      <color rgb="FF000000"/>
      <name val="Microsoft Yahei"/>
    </font>
    <font>
      <b/>
      <sz val="10"/>
      <color theme="1"/>
      <name val="等线"/>
    </font>
  </fonts>
  <fills count="2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434343"/>
        <bgColor rgb="FF434343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37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/>
    <xf numFmtId="0" fontId="2" fillId="4" borderId="1" xfId="0" applyFont="1" applyFill="1" applyBorder="1"/>
    <xf numFmtId="164" fontId="3" fillId="4" borderId="1" xfId="0" applyNumberFormat="1" applyFont="1" applyFill="1" applyBorder="1"/>
    <xf numFmtId="164" fontId="2" fillId="5" borderId="1" xfId="0" applyNumberFormat="1" applyFont="1" applyFill="1" applyBorder="1"/>
    <xf numFmtId="0" fontId="2" fillId="0" borderId="1" xfId="0" applyFont="1" applyBorder="1"/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49" fontId="7" fillId="0" borderId="1" xfId="0" applyNumberFormat="1" applyFont="1" applyBorder="1"/>
    <xf numFmtId="4" fontId="8" fillId="0" borderId="1" xfId="0" applyNumberFormat="1" applyFont="1" applyBorder="1"/>
    <xf numFmtId="165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/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right"/>
    </xf>
    <xf numFmtId="165" fontId="9" fillId="0" borderId="1" xfId="0" applyNumberFormat="1" applyFont="1" applyBorder="1" applyAlignment="1">
      <alignment horizontal="center"/>
    </xf>
    <xf numFmtId="166" fontId="9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5" fillId="0" borderId="1" xfId="0" applyNumberFormat="1" applyFont="1" applyBorder="1"/>
    <xf numFmtId="167" fontId="5" fillId="0" borderId="1" xfId="0" applyNumberFormat="1" applyFont="1" applyBorder="1" applyAlignment="1">
      <alignment horizontal="center"/>
    </xf>
    <xf numFmtId="168" fontId="5" fillId="0" borderId="1" xfId="0" applyNumberFormat="1" applyFont="1" applyBorder="1"/>
    <xf numFmtId="0" fontId="10" fillId="0" borderId="1" xfId="0" applyFont="1" applyBorder="1" applyAlignment="1">
      <alignment horizontal="right"/>
    </xf>
    <xf numFmtId="49" fontId="10" fillId="0" borderId="1" xfId="0" applyNumberFormat="1" applyFont="1" applyBorder="1"/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0" fontId="10" fillId="0" borderId="0" xfId="0" applyFont="1"/>
    <xf numFmtId="169" fontId="10" fillId="0" borderId="1" xfId="0" applyNumberFormat="1" applyFont="1" applyBorder="1" applyAlignment="1">
      <alignment horizontal="right"/>
    </xf>
    <xf numFmtId="0" fontId="11" fillId="0" borderId="1" xfId="0" applyFont="1" applyBorder="1"/>
    <xf numFmtId="0" fontId="12" fillId="0" borderId="1" xfId="0" applyFont="1" applyBorder="1" applyAlignment="1">
      <alignment horizontal="right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0" xfId="0" applyFont="1"/>
    <xf numFmtId="167" fontId="12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0" fontId="5" fillId="0" borderId="0" xfId="0" applyFont="1"/>
    <xf numFmtId="49" fontId="5" fillId="0" borderId="0" xfId="0" applyNumberFormat="1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1" xfId="0" applyFont="1" applyBorder="1"/>
    <xf numFmtId="170" fontId="10" fillId="0" borderId="1" xfId="0" applyNumberFormat="1" applyFont="1" applyBorder="1" applyAlignment="1">
      <alignment horizontal="center"/>
    </xf>
    <xf numFmtId="171" fontId="10" fillId="0" borderId="1" xfId="0" applyNumberFormat="1" applyFont="1" applyBorder="1" applyAlignment="1">
      <alignment horizontal="right"/>
    </xf>
    <xf numFmtId="0" fontId="14" fillId="0" borderId="1" xfId="0" applyFont="1" applyBorder="1"/>
    <xf numFmtId="172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171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171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4" fontId="14" fillId="0" borderId="1" xfId="0" applyNumberFormat="1" applyFont="1" applyBorder="1"/>
    <xf numFmtId="167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17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73" fontId="16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8" fillId="0" borderId="1" xfId="0" applyFont="1" applyBorder="1" applyAlignment="1">
      <alignment horizontal="center" vertical="center"/>
    </xf>
    <xf numFmtId="170" fontId="18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6" fillId="8" borderId="1" xfId="0" applyFont="1" applyFill="1" applyBorder="1" applyAlignment="1">
      <alignment vertical="center"/>
    </xf>
    <xf numFmtId="173" fontId="18" fillId="0" borderId="1" xfId="0" applyNumberFormat="1" applyFont="1" applyBorder="1" applyAlignment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73" fontId="16" fillId="0" borderId="2" xfId="0" applyNumberFormat="1" applyFont="1" applyBorder="1" applyAlignment="1">
      <alignment horizontal="center" vertical="center"/>
    </xf>
    <xf numFmtId="174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175" fontId="16" fillId="0" borderId="6" xfId="0" applyNumberFormat="1" applyFont="1" applyBorder="1" applyAlignment="1">
      <alignment horizontal="center" vertical="center"/>
    </xf>
    <xf numFmtId="174" fontId="16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169" fontId="18" fillId="0" borderId="7" xfId="0" applyNumberFormat="1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73" fontId="16" fillId="8" borderId="1" xfId="0" applyNumberFormat="1" applyFont="1" applyFill="1" applyBorder="1" applyAlignment="1">
      <alignment vertical="center"/>
    </xf>
    <xf numFmtId="170" fontId="18" fillId="0" borderId="7" xfId="0" applyNumberFormat="1" applyFont="1" applyBorder="1" applyAlignment="1">
      <alignment horizontal="center" vertical="center"/>
    </xf>
    <xf numFmtId="175" fontId="16" fillId="0" borderId="8" xfId="0" applyNumberFormat="1" applyFont="1" applyBorder="1" applyAlignment="1">
      <alignment horizontal="center" vertical="center"/>
    </xf>
    <xf numFmtId="174" fontId="16" fillId="0" borderId="8" xfId="0" applyNumberFormat="1" applyFont="1" applyBorder="1" applyAlignment="1">
      <alignment horizontal="center" vertical="center"/>
    </xf>
    <xf numFmtId="0" fontId="16" fillId="0" borderId="8" xfId="0" applyFont="1" applyBorder="1" applyAlignment="1">
      <alignment vertical="center"/>
    </xf>
    <xf numFmtId="0" fontId="16" fillId="7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8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173" fontId="16" fillId="11" borderId="1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170" fontId="16" fillId="3" borderId="9" xfId="0" applyNumberFormat="1" applyFont="1" applyFill="1" applyBorder="1" applyAlignment="1">
      <alignment horizontal="center"/>
    </xf>
    <xf numFmtId="0" fontId="19" fillId="3" borderId="1" xfId="0" applyFont="1" applyFill="1" applyBorder="1" applyAlignment="1">
      <alignment horizontal="right"/>
    </xf>
    <xf numFmtId="0" fontId="19" fillId="7" borderId="1" xfId="0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/>
    </xf>
    <xf numFmtId="173" fontId="16" fillId="12" borderId="1" xfId="0" applyNumberFormat="1" applyFont="1" applyFill="1" applyBorder="1" applyAlignment="1">
      <alignment horizontal="right"/>
    </xf>
    <xf numFmtId="173" fontId="16" fillId="3" borderId="1" xfId="0" applyNumberFormat="1" applyFont="1" applyFill="1" applyBorder="1"/>
    <xf numFmtId="0" fontId="16" fillId="3" borderId="1" xfId="0" applyFont="1" applyFill="1" applyBorder="1"/>
    <xf numFmtId="0" fontId="16" fillId="0" borderId="1" xfId="0" applyFont="1" applyBorder="1"/>
    <xf numFmtId="0" fontId="20" fillId="0" borderId="0" xfId="0" applyFont="1"/>
    <xf numFmtId="176" fontId="18" fillId="0" borderId="7" xfId="0" applyNumberFormat="1" applyFont="1" applyBorder="1" applyAlignment="1">
      <alignment horizontal="center" vertical="center"/>
    </xf>
    <xf numFmtId="176" fontId="18" fillId="13" borderId="7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vertical="center"/>
    </xf>
    <xf numFmtId="0" fontId="16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vertical="center"/>
    </xf>
    <xf numFmtId="173" fontId="18" fillId="13" borderId="1" xfId="0" applyNumberFormat="1" applyFont="1" applyFill="1" applyBorder="1" applyAlignment="1">
      <alignment vertical="center"/>
    </xf>
    <xf numFmtId="173" fontId="16" fillId="13" borderId="1" xfId="0" applyNumberFormat="1" applyFont="1" applyFill="1" applyBorder="1" applyAlignment="1">
      <alignment vertical="center"/>
    </xf>
    <xf numFmtId="170" fontId="21" fillId="3" borderId="8" xfId="0" applyNumberFormat="1" applyFont="1" applyFill="1" applyBorder="1" applyAlignment="1">
      <alignment horizontal="center" vertical="top"/>
    </xf>
    <xf numFmtId="177" fontId="18" fillId="0" borderId="1" xfId="0" applyNumberFormat="1" applyFont="1" applyBorder="1" applyAlignment="1">
      <alignment vertical="center"/>
    </xf>
    <xf numFmtId="170" fontId="21" fillId="14" borderId="8" xfId="0" applyNumberFormat="1" applyFont="1" applyFill="1" applyBorder="1" applyAlignment="1">
      <alignment horizontal="center" vertical="top"/>
    </xf>
    <xf numFmtId="0" fontId="16" fillId="14" borderId="1" xfId="0" applyFont="1" applyFill="1" applyBorder="1" applyAlignment="1">
      <alignment vertical="center"/>
    </xf>
    <xf numFmtId="0" fontId="18" fillId="14" borderId="1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vertical="center"/>
    </xf>
    <xf numFmtId="173" fontId="18" fillId="14" borderId="1" xfId="0" applyNumberFormat="1" applyFont="1" applyFill="1" applyBorder="1" applyAlignment="1">
      <alignment vertical="center"/>
    </xf>
    <xf numFmtId="173" fontId="16" fillId="14" borderId="1" xfId="0" applyNumberFormat="1" applyFont="1" applyFill="1" applyBorder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0" fontId="16" fillId="15" borderId="1" xfId="0" applyFont="1" applyFill="1" applyBorder="1" applyAlignment="1">
      <alignment vertical="center"/>
    </xf>
    <xf numFmtId="0" fontId="16" fillId="5" borderId="1" xfId="0" applyFont="1" applyFill="1" applyBorder="1" applyAlignment="1">
      <alignment vertical="center"/>
    </xf>
    <xf numFmtId="0" fontId="18" fillId="16" borderId="1" xfId="0" applyFont="1" applyFill="1" applyBorder="1" applyAlignment="1">
      <alignment horizontal="center" vertical="center"/>
    </xf>
    <xf numFmtId="170" fontId="21" fillId="16" borderId="1" xfId="0" applyNumberFormat="1" applyFont="1" applyFill="1" applyBorder="1" applyAlignment="1">
      <alignment horizontal="center" vertical="top"/>
    </xf>
    <xf numFmtId="0" fontId="16" fillId="16" borderId="1" xfId="0" applyFont="1" applyFill="1" applyBorder="1" applyAlignment="1">
      <alignment vertical="center"/>
    </xf>
    <xf numFmtId="0" fontId="16" fillId="1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vertical="center"/>
    </xf>
    <xf numFmtId="173" fontId="18" fillId="16" borderId="1" xfId="0" applyNumberFormat="1" applyFont="1" applyFill="1" applyBorder="1" applyAlignment="1">
      <alignment vertical="center"/>
    </xf>
    <xf numFmtId="173" fontId="16" fillId="16" borderId="1" xfId="0" applyNumberFormat="1" applyFont="1" applyFill="1" applyBorder="1" applyAlignment="1">
      <alignment vertical="center"/>
    </xf>
    <xf numFmtId="0" fontId="5" fillId="16" borderId="0" xfId="0" applyFont="1" applyFill="1" applyAlignment="1">
      <alignment vertical="center"/>
    </xf>
    <xf numFmtId="170" fontId="21" fillId="3" borderId="1" xfId="0" applyNumberFormat="1" applyFont="1" applyFill="1" applyBorder="1" applyAlignment="1">
      <alignment horizontal="center" vertical="top"/>
    </xf>
    <xf numFmtId="169" fontId="21" fillId="3" borderId="1" xfId="0" applyNumberFormat="1" applyFont="1" applyFill="1" applyBorder="1" applyAlignment="1">
      <alignment horizontal="center" vertical="top"/>
    </xf>
    <xf numFmtId="169" fontId="15" fillId="0" borderId="1" xfId="0" applyNumberFormat="1" applyFont="1" applyBorder="1" applyAlignment="1">
      <alignment horizontal="center"/>
    </xf>
    <xf numFmtId="175" fontId="18" fillId="0" borderId="1" xfId="0" applyNumberFormat="1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73" fontId="16" fillId="0" borderId="1" xfId="0" applyNumberFormat="1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173" fontId="23" fillId="0" borderId="0" xfId="0" applyNumberFormat="1" applyFont="1" applyAlignment="1">
      <alignment horizontal="center" vertical="center"/>
    </xf>
    <xf numFmtId="0" fontId="24" fillId="6" borderId="0" xfId="0" applyFont="1" applyFill="1" applyAlignment="1">
      <alignment horizontal="center" vertical="center"/>
    </xf>
    <xf numFmtId="0" fontId="24" fillId="6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164" fontId="8" fillId="0" borderId="1" xfId="0" applyNumberFormat="1" applyFont="1" applyBorder="1" applyAlignment="1">
      <alignment vertical="center"/>
    </xf>
    <xf numFmtId="173" fontId="8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7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75" fontId="5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9" fontId="9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49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168" fontId="8" fillId="0" borderId="1" xfId="0" applyNumberFormat="1" applyFont="1" applyBorder="1" applyAlignment="1">
      <alignment horizontal="right"/>
    </xf>
    <xf numFmtId="168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horizontal="center"/>
    </xf>
    <xf numFmtId="168" fontId="14" fillId="0" borderId="1" xfId="0" applyNumberFormat="1" applyFont="1" applyBorder="1"/>
    <xf numFmtId="168" fontId="10" fillId="0" borderId="1" xfId="0" applyNumberFormat="1" applyFont="1" applyBorder="1" applyAlignment="1">
      <alignment horizontal="right"/>
    </xf>
    <xf numFmtId="0" fontId="5" fillId="17" borderId="1" xfId="0" applyFont="1" applyFill="1" applyBorder="1"/>
    <xf numFmtId="0" fontId="25" fillId="18" borderId="1" xfId="0" applyFont="1" applyFill="1" applyBorder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0" fontId="26" fillId="19" borderId="1" xfId="0" applyFont="1" applyFill="1" applyBorder="1" applyAlignment="1">
      <alignment horizontal="center"/>
    </xf>
    <xf numFmtId="164" fontId="26" fillId="20" borderId="1" xfId="0" applyNumberFormat="1" applyFont="1" applyFill="1" applyBorder="1" applyAlignment="1">
      <alignment horizontal="right"/>
    </xf>
    <xf numFmtId="169" fontId="26" fillId="20" borderId="1" xfId="0" applyNumberFormat="1" applyFont="1" applyFill="1" applyBorder="1" applyAlignment="1">
      <alignment horizontal="center"/>
    </xf>
    <xf numFmtId="176" fontId="26" fillId="20" borderId="1" xfId="0" applyNumberFormat="1" applyFont="1" applyFill="1" applyBorder="1" applyAlignment="1">
      <alignment horizontal="left"/>
    </xf>
    <xf numFmtId="0" fontId="26" fillId="20" borderId="1" xfId="0" applyFont="1" applyFill="1" applyBorder="1" applyAlignment="1">
      <alignment horizontal="right"/>
    </xf>
    <xf numFmtId="0" fontId="26" fillId="19" borderId="1" xfId="0" applyFont="1" applyFill="1" applyBorder="1"/>
    <xf numFmtId="164" fontId="26" fillId="19" borderId="1" xfId="0" applyNumberFormat="1" applyFont="1" applyFill="1" applyBorder="1" applyAlignment="1">
      <alignment horizontal="right"/>
    </xf>
    <xf numFmtId="169" fontId="26" fillId="19" borderId="1" xfId="0" applyNumberFormat="1" applyFont="1" applyFill="1" applyBorder="1" applyAlignment="1">
      <alignment horizontal="center"/>
    </xf>
    <xf numFmtId="0" fontId="26" fillId="0" borderId="1" xfId="0" applyFont="1" applyBorder="1"/>
    <xf numFmtId="164" fontId="26" fillId="0" borderId="1" xfId="0" applyNumberFormat="1" applyFont="1" applyBorder="1" applyAlignment="1">
      <alignment horizontal="right"/>
    </xf>
    <xf numFmtId="169" fontId="26" fillId="0" borderId="1" xfId="0" applyNumberFormat="1" applyFont="1" applyBorder="1" applyAlignment="1">
      <alignment horizontal="center"/>
    </xf>
    <xf numFmtId="164" fontId="26" fillId="0" borderId="1" xfId="0" applyNumberFormat="1" applyFont="1" applyBorder="1" applyAlignment="1">
      <alignment horizontal="center"/>
    </xf>
    <xf numFmtId="164" fontId="26" fillId="19" borderId="1" xfId="0" applyNumberFormat="1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4" fontId="26" fillId="20" borderId="1" xfId="0" applyNumberFormat="1" applyFont="1" applyFill="1" applyBorder="1" applyAlignment="1">
      <alignment horizontal="right"/>
    </xf>
    <xf numFmtId="4" fontId="26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176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164" fontId="28" fillId="3" borderId="0" xfId="0" applyNumberFormat="1" applyFont="1" applyFill="1" applyAlignment="1">
      <alignment horizontal="right"/>
    </xf>
    <xf numFmtId="0" fontId="5" fillId="5" borderId="1" xfId="0" applyFont="1" applyFill="1" applyBorder="1" applyAlignment="1">
      <alignment horizontal="left"/>
    </xf>
    <xf numFmtId="164" fontId="29" fillId="3" borderId="0" xfId="0" applyNumberFormat="1" applyFont="1" applyFill="1" applyAlignment="1">
      <alignment horizontal="right"/>
    </xf>
    <xf numFmtId="169" fontId="5" fillId="0" borderId="1" xfId="0" applyNumberFormat="1" applyFont="1" applyBorder="1" applyAlignment="1">
      <alignment horizontal="center"/>
    </xf>
    <xf numFmtId="0" fontId="5" fillId="21" borderId="1" xfId="0" applyFont="1" applyFill="1" applyBorder="1"/>
    <xf numFmtId="180" fontId="5" fillId="22" borderId="1" xfId="0" applyNumberFormat="1" applyFont="1" applyFill="1" applyBorder="1"/>
    <xf numFmtId="180" fontId="5" fillId="0" borderId="1" xfId="0" applyNumberFormat="1" applyFont="1" applyBorder="1"/>
    <xf numFmtId="176" fontId="5" fillId="0" borderId="1" xfId="0" applyNumberFormat="1" applyFont="1" applyBorder="1"/>
    <xf numFmtId="49" fontId="5" fillId="0" borderId="1" xfId="0" applyNumberFormat="1" applyFont="1" applyBorder="1" applyAlignment="1">
      <alignment horizontal="left"/>
    </xf>
    <xf numFmtId="169" fontId="5" fillId="0" borderId="1" xfId="0" applyNumberFormat="1" applyFont="1" applyBorder="1"/>
    <xf numFmtId="164" fontId="30" fillId="0" borderId="1" xfId="0" applyNumberFormat="1" applyFont="1" applyBorder="1" applyAlignment="1">
      <alignment horizontal="right"/>
    </xf>
    <xf numFmtId="0" fontId="30" fillId="0" borderId="1" xfId="0" applyFont="1" applyBorder="1"/>
    <xf numFmtId="0" fontId="30" fillId="23" borderId="1" xfId="0" applyFont="1" applyFill="1" applyBorder="1" applyAlignment="1">
      <alignment horizontal="center" vertical="center"/>
    </xf>
    <xf numFmtId="180" fontId="30" fillId="0" borderId="1" xfId="0" applyNumberFormat="1" applyFont="1" applyBorder="1" applyAlignment="1">
      <alignment horizontal="right"/>
    </xf>
    <xf numFmtId="180" fontId="30" fillId="0" borderId="1" xfId="0" applyNumberFormat="1" applyFont="1" applyBorder="1"/>
    <xf numFmtId="0" fontId="5" fillId="0" borderId="0" xfId="0" applyFont="1" applyAlignment="1">
      <alignment horizontal="right"/>
    </xf>
    <xf numFmtId="164" fontId="23" fillId="0" borderId="1" xfId="0" applyNumberFormat="1" applyFont="1" applyBorder="1" applyAlignment="1">
      <alignment horizontal="center"/>
    </xf>
    <xf numFmtId="0" fontId="26" fillId="0" borderId="1" xfId="0" applyFont="1" applyBorder="1" applyAlignment="1">
      <alignment horizontal="right"/>
    </xf>
    <xf numFmtId="178" fontId="26" fillId="0" borderId="1" xfId="0" applyNumberFormat="1" applyFont="1" applyBorder="1" applyAlignment="1">
      <alignment horizontal="right"/>
    </xf>
    <xf numFmtId="49" fontId="26" fillId="0" borderId="1" xfId="0" applyNumberFormat="1" applyFont="1" applyBorder="1"/>
    <xf numFmtId="177" fontId="26" fillId="0" borderId="1" xfId="0" applyNumberFormat="1" applyFont="1" applyBorder="1"/>
    <xf numFmtId="178" fontId="8" fillId="0" borderId="1" xfId="0" applyNumberFormat="1" applyFont="1" applyBorder="1" applyAlignment="1">
      <alignment horizontal="right"/>
    </xf>
    <xf numFmtId="49" fontId="8" fillId="0" borderId="1" xfId="0" applyNumberFormat="1" applyFont="1" applyBorder="1"/>
    <xf numFmtId="177" fontId="8" fillId="0" borderId="1" xfId="0" applyNumberFormat="1" applyFont="1" applyBorder="1"/>
    <xf numFmtId="11" fontId="26" fillId="0" borderId="1" xfId="0" applyNumberFormat="1" applyFont="1" applyBorder="1" applyAlignment="1">
      <alignment horizontal="right"/>
    </xf>
    <xf numFmtId="181" fontId="26" fillId="0" borderId="1" xfId="0" applyNumberFormat="1" applyFont="1" applyBorder="1"/>
    <xf numFmtId="178" fontId="15" fillId="0" borderId="1" xfId="0" applyNumberFormat="1" applyFont="1" applyBorder="1" applyAlignment="1">
      <alignment horizontal="right"/>
    </xf>
    <xf numFmtId="49" fontId="15" fillId="0" borderId="1" xfId="0" applyNumberFormat="1" applyFont="1" applyBorder="1"/>
    <xf numFmtId="178" fontId="9" fillId="0" borderId="1" xfId="0" applyNumberFormat="1" applyFont="1" applyBorder="1" applyAlignment="1">
      <alignment horizontal="right"/>
    </xf>
    <xf numFmtId="49" fontId="9" fillId="0" borderId="1" xfId="0" applyNumberFormat="1" applyFont="1" applyBorder="1"/>
    <xf numFmtId="0" fontId="31" fillId="0" borderId="1" xfId="0" applyFont="1" applyBorder="1" applyAlignment="1">
      <alignment horizontal="right"/>
    </xf>
    <xf numFmtId="0" fontId="31" fillId="0" borderId="1" xfId="0" applyFont="1" applyBorder="1"/>
    <xf numFmtId="178" fontId="31" fillId="0" borderId="1" xfId="0" applyNumberFormat="1" applyFont="1" applyBorder="1" applyAlignment="1">
      <alignment horizontal="right"/>
    </xf>
    <xf numFmtId="49" fontId="31" fillId="0" borderId="1" xfId="0" applyNumberFormat="1" applyFont="1" applyBorder="1"/>
    <xf numFmtId="0" fontId="32" fillId="0" borderId="1" xfId="0" applyFont="1" applyBorder="1" applyAlignment="1">
      <alignment horizontal="right"/>
    </xf>
    <xf numFmtId="177" fontId="32" fillId="0" borderId="1" xfId="0" applyNumberFormat="1" applyFont="1" applyBorder="1"/>
    <xf numFmtId="176" fontId="15" fillId="0" borderId="1" xfId="0" applyNumberFormat="1" applyFont="1" applyBorder="1" applyAlignment="1">
      <alignment horizontal="right"/>
    </xf>
    <xf numFmtId="181" fontId="15" fillId="0" borderId="1" xfId="0" applyNumberFormat="1" applyFont="1" applyBorder="1"/>
    <xf numFmtId="178" fontId="15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177" fontId="26" fillId="0" borderId="1" xfId="0" applyNumberFormat="1" applyFont="1" applyBorder="1" applyAlignment="1">
      <alignment horizontal="center"/>
    </xf>
    <xf numFmtId="0" fontId="33" fillId="3" borderId="1" xfId="0" applyFont="1" applyFill="1" applyBorder="1" applyAlignment="1">
      <alignment horizontal="center" vertical="top"/>
    </xf>
    <xf numFmtId="178" fontId="33" fillId="3" borderId="1" xfId="0" applyNumberFormat="1" applyFont="1" applyFill="1" applyBorder="1" applyAlignment="1">
      <alignment horizontal="center" vertical="top"/>
    </xf>
    <xf numFmtId="49" fontId="33" fillId="3" borderId="1" xfId="0" applyNumberFormat="1" applyFont="1" applyFill="1" applyBorder="1" applyAlignment="1">
      <alignment horizontal="center" vertical="top"/>
    </xf>
    <xf numFmtId="181" fontId="33" fillId="3" borderId="1" xfId="0" applyNumberFormat="1" applyFont="1" applyFill="1" applyBorder="1" applyAlignment="1">
      <alignment horizontal="center" vertical="top"/>
    </xf>
    <xf numFmtId="168" fontId="15" fillId="0" borderId="1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49" fontId="15" fillId="0" borderId="0" xfId="0" applyNumberFormat="1" applyFont="1"/>
    <xf numFmtId="0" fontId="26" fillId="0" borderId="0" xfId="0" applyFont="1" applyAlignment="1">
      <alignment horizontal="center"/>
    </xf>
    <xf numFmtId="177" fontId="26" fillId="0" borderId="0" xfId="0" applyNumberFormat="1" applyFont="1" applyAlignment="1">
      <alignment horizontal="center"/>
    </xf>
    <xf numFmtId="170" fontId="26" fillId="0" borderId="1" xfId="0" applyNumberFormat="1" applyFont="1" applyBorder="1" applyAlignment="1">
      <alignment horizontal="center"/>
    </xf>
    <xf numFmtId="0" fontId="34" fillId="19" borderId="1" xfId="0" applyFont="1" applyFill="1" applyBorder="1" applyAlignment="1">
      <alignment horizontal="center"/>
    </xf>
    <xf numFmtId="180" fontId="26" fillId="20" borderId="1" xfId="0" applyNumberFormat="1" applyFont="1" applyFill="1" applyBorder="1" applyAlignment="1">
      <alignment horizontal="right"/>
    </xf>
    <xf numFmtId="182" fontId="26" fillId="20" borderId="1" xfId="0" applyNumberFormat="1" applyFont="1" applyFill="1" applyBorder="1" applyAlignment="1">
      <alignment horizontal="right"/>
    </xf>
    <xf numFmtId="0" fontId="26" fillId="20" borderId="1" xfId="0" applyFont="1" applyFill="1" applyBorder="1" applyAlignment="1">
      <alignment horizontal="center"/>
    </xf>
    <xf numFmtId="170" fontId="20" fillId="0" borderId="1" xfId="0" applyNumberFormat="1" applyFont="1" applyBorder="1" applyAlignment="1">
      <alignment horizontal="center"/>
    </xf>
    <xf numFmtId="0" fontId="20" fillId="0" borderId="1" xfId="0" applyFont="1" applyBorder="1"/>
    <xf numFmtId="182" fontId="26" fillId="0" borderId="1" xfId="0" applyNumberFormat="1" applyFont="1" applyBorder="1" applyAlignment="1">
      <alignment horizontal="right"/>
    </xf>
    <xf numFmtId="0" fontId="25" fillId="18" borderId="1" xfId="0" applyFont="1" applyFill="1" applyBorder="1" applyAlignment="1">
      <alignment horizontal="left" vertical="center"/>
    </xf>
    <xf numFmtId="0" fontId="25" fillId="18" borderId="1" xfId="0" applyFont="1" applyFill="1" applyBorder="1" applyAlignment="1">
      <alignment horizontal="left" vertical="center" wrapText="1"/>
    </xf>
    <xf numFmtId="182" fontId="25" fillId="18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left" vertical="center"/>
    </xf>
    <xf numFmtId="0" fontId="26" fillId="3" borderId="1" xfId="0" applyFont="1" applyFill="1" applyBorder="1" applyAlignment="1">
      <alignment horizontal="left" vertical="center" wrapText="1"/>
    </xf>
    <xf numFmtId="170" fontId="26" fillId="3" borderId="1" xfId="0" applyNumberFormat="1" applyFont="1" applyFill="1" applyBorder="1" applyAlignment="1">
      <alignment horizontal="left" vertical="center"/>
    </xf>
    <xf numFmtId="182" fontId="26" fillId="3" borderId="1" xfId="0" applyNumberFormat="1" applyFont="1" applyFill="1" applyBorder="1" applyAlignment="1">
      <alignment horizontal="center" vertical="center"/>
    </xf>
    <xf numFmtId="164" fontId="26" fillId="3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 wrapText="1"/>
    </xf>
    <xf numFmtId="170" fontId="26" fillId="4" borderId="1" xfId="0" applyNumberFormat="1" applyFont="1" applyFill="1" applyBorder="1" applyAlignment="1">
      <alignment horizontal="left" vertical="center"/>
    </xf>
    <xf numFmtId="182" fontId="26" fillId="4" borderId="1" xfId="0" applyNumberFormat="1" applyFont="1" applyFill="1" applyBorder="1" applyAlignment="1">
      <alignment horizontal="center" vertical="center"/>
    </xf>
    <xf numFmtId="164" fontId="2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170" fontId="5" fillId="4" borderId="1" xfId="0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wrapText="1"/>
    </xf>
    <xf numFmtId="169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170" fontId="5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82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182" fontId="5" fillId="3" borderId="1" xfId="0" applyNumberFormat="1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70" fontId="5" fillId="3" borderId="1" xfId="0" applyNumberFormat="1" applyFont="1" applyFill="1" applyBorder="1" applyAlignment="1">
      <alignment horizontal="left"/>
    </xf>
    <xf numFmtId="182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wrapText="1"/>
    </xf>
    <xf numFmtId="182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75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horizontal="right" vertical="center"/>
    </xf>
    <xf numFmtId="175" fontId="8" fillId="0" borderId="1" xfId="0" applyNumberFormat="1" applyFont="1" applyBorder="1" applyAlignment="1">
      <alignment horizontal="right" vertical="center"/>
    </xf>
    <xf numFmtId="176" fontId="3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3" fontId="35" fillId="0" borderId="1" xfId="0" applyNumberFormat="1" applyFont="1" applyBorder="1" applyAlignment="1">
      <alignment horizontal="right" vertical="center"/>
    </xf>
    <xf numFmtId="176" fontId="2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5" fontId="0" fillId="0" borderId="1" xfId="0" applyNumberFormat="1" applyBorder="1" applyAlignment="1">
      <alignment vertical="center"/>
    </xf>
    <xf numFmtId="173" fontId="18" fillId="0" borderId="1" xfId="0" applyNumberFormat="1" applyFont="1" applyBorder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8" borderId="7" xfId="0" applyFont="1" applyFill="1" applyBorder="1" applyAlignment="1">
      <alignment vertical="center"/>
    </xf>
    <xf numFmtId="175" fontId="5" fillId="8" borderId="1" xfId="0" applyNumberFormat="1" applyFont="1" applyFill="1" applyBorder="1" applyAlignment="1">
      <alignment vertical="center"/>
    </xf>
    <xf numFmtId="173" fontId="5" fillId="8" borderId="1" xfId="0" applyNumberFormat="1" applyFont="1" applyFill="1" applyBorder="1" applyAlignment="1">
      <alignment vertical="center"/>
    </xf>
    <xf numFmtId="173" fontId="5" fillId="8" borderId="1" xfId="0" applyNumberFormat="1" applyFont="1" applyFill="1" applyBorder="1"/>
    <xf numFmtId="0" fontId="5" fillId="8" borderId="1" xfId="0" applyFont="1" applyFill="1" applyBorder="1"/>
    <xf numFmtId="0" fontId="36" fillId="0" borderId="1" xfId="0" applyFont="1" applyBorder="1" applyAlignment="1">
      <alignment horizontal="center"/>
    </xf>
    <xf numFmtId="4" fontId="36" fillId="0" borderId="1" xfId="0" applyNumberFormat="1" applyFont="1" applyBorder="1" applyAlignment="1">
      <alignment horizontal="center"/>
    </xf>
    <xf numFmtId="4" fontId="26" fillId="0" borderId="1" xfId="0" applyNumberFormat="1" applyFont="1" applyBorder="1"/>
    <xf numFmtId="176" fontId="26" fillId="0" borderId="1" xfId="0" applyNumberFormat="1" applyFont="1" applyBorder="1" applyAlignment="1">
      <alignment horizontal="center"/>
    </xf>
    <xf numFmtId="166" fontId="26" fillId="0" borderId="1" xfId="0" applyNumberFormat="1" applyFont="1" applyBorder="1"/>
    <xf numFmtId="165" fontId="26" fillId="0" borderId="1" xfId="0" applyNumberFormat="1" applyFont="1" applyBorder="1" applyAlignment="1">
      <alignment horizontal="center"/>
    </xf>
    <xf numFmtId="183" fontId="26" fillId="0" borderId="1" xfId="0" applyNumberFormat="1" applyFont="1" applyBorder="1"/>
    <xf numFmtId="184" fontId="26" fillId="0" borderId="1" xfId="0" applyNumberFormat="1" applyFont="1" applyBorder="1" applyAlignment="1">
      <alignment horizontal="center"/>
    </xf>
    <xf numFmtId="165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169" fontId="7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17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9" fontId="5" fillId="0" borderId="1" xfId="0" applyNumberFormat="1" applyFont="1" applyBorder="1" applyAlignment="1">
      <alignment horizontal="center" vertical="center"/>
    </xf>
    <xf numFmtId="17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2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164" fontId="32" fillId="0" borderId="0" xfId="0" applyNumberFormat="1" applyFont="1" applyAlignment="1">
      <alignment horizontal="left"/>
    </xf>
    <xf numFmtId="0" fontId="26" fillId="0" borderId="8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178" fontId="26" fillId="0" borderId="7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12" fillId="0" borderId="0" xfId="0" applyFont="1"/>
    <xf numFmtId="0" fontId="0" fillId="0" borderId="0" xfId="0"/>
    <xf numFmtId="0" fontId="10" fillId="0" borderId="3" xfId="0" applyFont="1" applyBorder="1"/>
    <xf numFmtId="0" fontId="12" fillId="0" borderId="3" xfId="0" applyFont="1" applyBorder="1"/>
    <xf numFmtId="0" fontId="16" fillId="13" borderId="2" xfId="0" applyFont="1" applyFill="1" applyBorder="1" applyAlignment="1">
      <alignment vertical="center"/>
    </xf>
    <xf numFmtId="0" fontId="4" fillId="0" borderId="8" xfId="0" applyFont="1" applyBorder="1"/>
    <xf numFmtId="0" fontId="16" fillId="14" borderId="2" xfId="0" applyFont="1" applyFill="1" applyBorder="1" applyAlignment="1">
      <alignment vertical="center"/>
    </xf>
    <xf numFmtId="0" fontId="4" fillId="0" borderId="6" xfId="0" applyFont="1" applyBorder="1"/>
    <xf numFmtId="0" fontId="16" fillId="0" borderId="3" xfId="0" applyFont="1" applyBorder="1" applyAlignment="1">
      <alignment vertical="center"/>
    </xf>
    <xf numFmtId="0" fontId="8" fillId="0" borderId="3" xfId="0" applyFont="1" applyBorder="1"/>
    <xf numFmtId="0" fontId="5" fillId="17" borderId="3" xfId="0" applyFont="1" applyFill="1" applyBorder="1"/>
    <xf numFmtId="0" fontId="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0" borderId="3" xfId="0" applyFont="1" applyBorder="1"/>
    <xf numFmtId="0" fontId="30" fillId="23" borderId="2" xfId="0" applyFont="1" applyFill="1" applyBorder="1" applyAlignment="1">
      <alignment horizontal="center" vertical="center"/>
    </xf>
    <xf numFmtId="180" fontId="30" fillId="0" borderId="3" xfId="0" applyNumberFormat="1" applyFont="1" applyBorder="1"/>
    <xf numFmtId="0" fontId="5" fillId="8" borderId="3" xfId="0" applyFont="1" applyFill="1" applyBorder="1"/>
    <xf numFmtId="0" fontId="0" fillId="0" borderId="0" xfId="0" applyAlignment="1"/>
    <xf numFmtId="0" fontId="26" fillId="0" borderId="7" xfId="0" applyFont="1" applyBorder="1" applyAlignment="1"/>
    <xf numFmtId="177" fontId="26" fillId="0" borderId="7" xfId="0" applyNumberFormat="1" applyFont="1" applyBorder="1" applyAlignment="1"/>
    <xf numFmtId="181" fontId="26" fillId="0" borderId="7" xfId="0" applyNumberFormat="1" applyFont="1" applyBorder="1" applyAlignment="1"/>
  </cellXfs>
  <cellStyles count="1">
    <cellStyle name="Normal" xfId="0" builtinId="0"/>
  </cellStyles>
  <dxfs count="77"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alignment vertical="bottom" textRotation="0" wrapText="0" indent="0" justifyLastLine="0" shrinkToFit="0" readingOrder="0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FFF2CC"/>
          <bgColor rgb="FFFFF2C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1F3F4"/>
          <bgColor rgb="FFF1F3F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9">
    <tableStyle name="PayPal2025-style" pivot="0" count="4" xr9:uid="{00000000-0011-0000-FFFF-FFFF00000000}">
      <tableStyleElement type="wholeTable" size="0" dxfId="73"/>
      <tableStyleElement type="headerRow" dxfId="76"/>
      <tableStyleElement type="firstRowStripe" dxfId="75"/>
      <tableStyleElement type="secondRowStripe" dxfId="74"/>
    </tableStyle>
    <tableStyle name="TUTU账目-style" pivot="0" count="3" xr9:uid="{00000000-0011-0000-FFFF-FFFF01000000}">
      <tableStyleElement type="headerRow" dxfId="72"/>
      <tableStyleElement type="firstRowStripe" dxfId="71"/>
      <tableStyleElement type="secondRowStripe" dxfId="70"/>
    </tableStyle>
    <tableStyle name="其它流水2025-style" pivot="0" count="3" xr9:uid="{00000000-0011-0000-FFFF-FFFF02000000}">
      <tableStyleElement type="headerRow" dxfId="69"/>
      <tableStyleElement type="firstRowStripe" dxfId="68"/>
      <tableStyleElement type="secondRowStripe" dxfId="67"/>
    </tableStyle>
    <tableStyle name="其它流水2025-style 2" pivot="0" count="2" xr9:uid="{00000000-0011-0000-FFFF-FFFF03000000}">
      <tableStyleElement type="firstRowStripe" dxfId="66"/>
      <tableStyleElement type="secondRowStripe" dxfId="65"/>
    </tableStyle>
    <tableStyle name="USDT2024-style" pivot="0" count="5" xr9:uid="{00000000-0011-0000-FFFF-FFFF04000000}">
      <tableStyleElement type="wholeTable" size="0" dxfId="60"/>
      <tableStyleElement type="headerRow" dxfId="64"/>
      <tableStyleElement type="totalRow" dxfId="61"/>
      <tableStyleElement type="firstRowStripe" dxfId="63"/>
      <tableStyleElement type="secondRowStripe" dxfId="62"/>
    </tableStyle>
    <tableStyle name="Mercury2024-style" pivot="0" count="4" xr9:uid="{00000000-0011-0000-FFFF-FFFF05000000}">
      <tableStyleElement type="wholeTable" size="0" dxfId="56"/>
      <tableStyleElement type="headerRow" dxfId="59"/>
      <tableStyleElement type="firstRowStripe" dxfId="58"/>
      <tableStyleElement type="secondRowStripe" dxfId="57"/>
    </tableStyle>
    <tableStyle name="PayPal2024-style" pivot="0" count="4" xr9:uid="{00000000-0011-0000-FFFF-FFFF06000000}">
      <tableStyleElement type="wholeTable" size="0" dxfId="52"/>
      <tableStyleElement type="headerRow" dxfId="55"/>
      <tableStyleElement type="firstRowStripe" dxfId="54"/>
      <tableStyleElement type="secondRowStripe" dxfId="53"/>
    </tableStyle>
    <tableStyle name="Wise2024-style" pivot="0" count="4" xr9:uid="{00000000-0011-0000-FFFF-FFFF07000000}">
      <tableStyleElement type="wholeTable" size="0" dxfId="48"/>
      <tableStyleElement type="headerRow" dxfId="51"/>
      <tableStyleElement type="firstRowStripe" dxfId="50"/>
      <tableStyleElement type="secondRowStripe" dxfId="49"/>
    </tableStyle>
    <tableStyle name="W系统销售统计2024-style" pivot="0" count="4" xr9:uid="{00000000-0011-0000-FFFF-FFFF08000000}">
      <tableStyleElement type="wholeTable" size="0" dxfId="44"/>
      <tableStyleElement type="headerRow" dxfId="47"/>
      <tableStyleElement type="firstRowStripe" dxfId="46"/>
      <tableStyleElement type="secondRowStripe" dxfId="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OST NII" id="{1B485F48-A8B5-4C71-94BD-35F51D7E7808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_7" displayName="表格_7" ref="C1:C795">
  <tableColumns count="1">
    <tableColumn id="1" xr3:uid="{00000000-0010-0000-0000-000001000000}" name="M"/>
  </tableColumns>
  <tableStyleInfo name="PayPal2025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1:K25">
  <tableColumns count="11">
    <tableColumn id="1" xr3:uid="{00000000-0010-0000-0100-000001000000}" name="序号"/>
    <tableColumn id="2" xr3:uid="{00000000-0010-0000-0100-000002000000}" name="对象"/>
    <tableColumn id="3" xr3:uid="{00000000-0010-0000-0100-000003000000}" name="详情"/>
    <tableColumn id="4" xr3:uid="{00000000-0010-0000-0100-000004000000}" name="账户"/>
    <tableColumn id="5" xr3:uid="{00000000-0010-0000-0100-000005000000}" name="收入"/>
    <tableColumn id="6" xr3:uid="{00000000-0010-0000-0100-000006000000}" name="收入日期"/>
    <tableColumn id="7" xr3:uid="{00000000-0010-0000-0100-000007000000}" name="支出"/>
    <tableColumn id="8" xr3:uid="{00000000-0010-0000-0100-000008000000}" name="支出日期"/>
    <tableColumn id="9" xr3:uid="{00000000-0010-0000-0100-000009000000}" name="核实"/>
    <tableColumn id="10" xr3:uid="{00000000-0010-0000-0100-00000A000000}" name="经手人"/>
    <tableColumn id="11" xr3:uid="{00000000-0010-0000-0100-00000B000000}" name="备注"/>
  </tableColumns>
  <tableStyleInfo name="TUTU账目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" displayName="Table_2" ref="A1:M13">
  <tableColumns count="13">
    <tableColumn id="1" xr3:uid="{00000000-0010-0000-0200-000001000000}" name="序号"/>
    <tableColumn id="2" xr3:uid="{00000000-0010-0000-0200-000002000000}" name="类别"/>
    <tableColumn id="3" xr3:uid="{00000000-0010-0000-0200-000003000000}" name="对象"/>
    <tableColumn id="4" xr3:uid="{00000000-0010-0000-0200-000004000000}" name="详情"/>
    <tableColumn id="5" xr3:uid="{00000000-0010-0000-0200-000005000000}" name="日期"/>
    <tableColumn id="6" xr3:uid="{00000000-0010-0000-0200-000006000000}" name="账户"/>
    <tableColumn id="7" xr3:uid="{00000000-0010-0000-0200-000007000000}" name="经手人"/>
    <tableColumn id="8" xr3:uid="{00000000-0010-0000-0200-000008000000}" name="支出本币"/>
    <tableColumn id="9" xr3:uid="{00000000-0010-0000-0200-000009000000}" name="收入本币"/>
    <tableColumn id="10" xr3:uid="{00000000-0010-0000-0200-00000A000000}" name="收入$"/>
    <tableColumn id="11" xr3:uid="{00000000-0010-0000-0200-00000B000000}" name="支出$"/>
    <tableColumn id="12" xr3:uid="{00000000-0010-0000-0200-00000C000000}" name="结算"/>
    <tableColumn id="13" xr3:uid="{00000000-0010-0000-0200-00000D000000}" name="核实"/>
  </tableColumns>
  <tableStyleInfo name="其它流水2025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3" displayName="Table_3" ref="A14:D14" headerRowCount="0">
  <tableColumns count="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</tableColumns>
  <tableStyleInfo name="其它流水2025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表格_3" displayName="表格_3" ref="A1:M46" totalsRowCount="1">
  <tableColumns count="13">
    <tableColumn id="1" xr3:uid="{00000000-0010-0000-0400-000001000000}" name="#"/>
    <tableColumn id="2" xr3:uid="{00000000-0010-0000-0400-000002000000}" name="日期"/>
    <tableColumn id="3" xr3:uid="{00000000-0010-0000-0400-000003000000}" name="年"/>
    <tableColumn id="4" xr3:uid="{00000000-0010-0000-0400-000004000000}" name="月份"/>
    <tableColumn id="5" xr3:uid="{00000000-0010-0000-0400-000005000000}" name="对象"/>
    <tableColumn id="6" xr3:uid="{00000000-0010-0000-0400-000006000000}" name="描述"/>
    <tableColumn id="7" xr3:uid="{00000000-0010-0000-0400-000007000000}" name="收入"/>
    <tableColumn id="8" xr3:uid="{00000000-0010-0000-0400-000008000000}" name="支出"/>
    <tableColumn id="9" xr3:uid="{00000000-0010-0000-0400-000009000000}" name="结算否"/>
    <tableColumn id="10" xr3:uid="{00000000-0010-0000-0400-00000A000000}" name="结算方式"/>
    <tableColumn id="11" xr3:uid="{00000000-0010-0000-0400-00000B000000}" name="结算年"/>
    <tableColumn id="12" xr3:uid="{00000000-0010-0000-0400-00000C000000}" name="结算月"/>
    <tableColumn id="13" xr3:uid="{00000000-0010-0000-0400-00000D000000}" name="结算金额"/>
  </tableColumns>
  <tableStyleInfo name="USDT2024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表格_1" displayName="表格_1" ref="A1:S106">
  <tableColumns count="19">
    <tableColumn id="1" xr3:uid="{00000000-0010-0000-0500-000001000000}" name="Date (UTC)"/>
    <tableColumn id="2" xr3:uid="{00000000-0010-0000-0500-000002000000}" name="Y"/>
    <tableColumn id="3" xr3:uid="{00000000-0010-0000-0500-000003000000}" name="M"/>
    <tableColumn id="4" xr3:uid="{00000000-0010-0000-0500-000004000000}" name="Description"/>
    <tableColumn id="5" xr3:uid="{00000000-0010-0000-0500-000005000000}" name="Amount"/>
    <tableColumn id="6" xr3:uid="{00000000-0010-0000-0500-000006000000}" name="IN"/>
    <tableColumn id="7" xr3:uid="{00000000-0010-0000-0500-000007000000}" name="OUT"/>
    <tableColumn id="8" xr3:uid="{00000000-0010-0000-0500-000008000000}" name="Status"/>
    <tableColumn id="9" xr3:uid="{00000000-0010-0000-0500-000009000000}" name="Source Account"/>
    <tableColumn id="10" xr3:uid="{00000000-0010-0000-0500-00000A000000}" name="Bank Description"/>
    <tableColumn id="11" xr3:uid="{00000000-0010-0000-0500-00000B000000}" name="Reference"/>
    <tableColumn id="12" xr3:uid="{00000000-0010-0000-0500-00000C000000}" name="Note"/>
    <tableColumn id="13" xr3:uid="{00000000-0010-0000-0500-00000D000000}" name="Last Four Digits"/>
    <tableColumn id="14" xr3:uid="{00000000-0010-0000-0500-00000E000000}" name="Name On Card"/>
    <tableColumn id="15" xr3:uid="{00000000-0010-0000-0500-00000F000000}" name="Category"/>
    <tableColumn id="16" xr3:uid="{00000000-0010-0000-0500-000010000000}" name="GL Code"/>
    <tableColumn id="17" xr3:uid="{00000000-0010-0000-0500-000011000000}" name="Timestamp"/>
    <tableColumn id="18" xr3:uid="{00000000-0010-0000-0500-000012000000}" name="Original Currency"/>
    <tableColumn id="19" xr3:uid="{00000000-0010-0000-0500-000013000000}" name="Check Number"/>
  </tableColumns>
  <tableStyleInfo name="Mercury2024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表格_2" displayName="表格_2" ref="A1:P194">
  <tableColumns count="16">
    <tableColumn id="1" xr3:uid="{00000000-0010-0000-0600-000001000000}" name="Date"/>
    <tableColumn id="2" xr3:uid="{00000000-0010-0000-0600-000002000000}" name="YEAR"/>
    <tableColumn id="3" xr3:uid="{00000000-0010-0000-0600-000003000000}" name="MONTH"/>
    <tableColumn id="4" xr3:uid="{00000000-0010-0000-0600-000004000000}" name="Time"/>
    <tableColumn id="5" xr3:uid="{00000000-0010-0000-0600-000005000000}" name="TimeZone"/>
    <tableColumn id="6" xr3:uid="{00000000-0010-0000-0600-000006000000}" name="Name"/>
    <tableColumn id="7" xr3:uid="{00000000-0010-0000-0600-000007000000}" name="Type"/>
    <tableColumn id="8" xr3:uid="{00000000-0010-0000-0600-000008000000}" name="Status"/>
    <tableColumn id="9" xr3:uid="{00000000-0010-0000-0600-000009000000}" name="Currency"/>
    <tableColumn id="10" xr3:uid="{00000000-0010-0000-0600-00000A000000}" name="Gross"/>
    <tableColumn id="11" xr3:uid="{00000000-0010-0000-0600-00000B000000}" name="Fee"/>
    <tableColumn id="12" xr3:uid="{00000000-0010-0000-0600-00000C000000}" name="Net"/>
    <tableColumn id="13" xr3:uid="{00000000-0010-0000-0600-00000D000000}" name="IN"/>
    <tableColumn id="14" xr3:uid="{00000000-0010-0000-0600-00000E000000}" name="OUT"/>
    <tableColumn id="15" xr3:uid="{00000000-0010-0000-0600-00000F000000}" name="Transaction ID"/>
    <tableColumn id="16" xr3:uid="{00000000-0010-0000-0600-000010000000}" name="Balance"/>
  </tableColumns>
  <tableStyleInfo name="PayPal2024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表格_4" displayName="表格_4" ref="A1:W25">
  <tableColumns count="23">
    <tableColumn id="1" xr3:uid="{00000000-0010-0000-0700-000001000000}" name="YEAR"/>
    <tableColumn id="2" xr3:uid="{00000000-0010-0000-0700-000002000000}" name="MONTH"/>
    <tableColumn id="3" xr3:uid="{00000000-0010-0000-0700-000003000000}" name="ID"/>
    <tableColumn id="4" xr3:uid="{00000000-0010-0000-0700-000004000000}" name="Status"/>
    <tableColumn id="5" xr3:uid="{00000000-0010-0000-0700-000005000000}" name="Direction"/>
    <tableColumn id="6" xr3:uid="{00000000-0010-0000-0700-000006000000}" name="Created on"/>
    <tableColumn id="7" xr3:uid="{00000000-0010-0000-0700-000007000000}" name="Finished on"/>
    <tableColumn id="8" xr3:uid="{00000000-0010-0000-0700-000008000000}" name="Source fee amount"/>
    <tableColumn id="9" xr3:uid="{00000000-0010-0000-0700-000009000000}" name="Source fee currency"/>
    <tableColumn id="10" xr3:uid="{00000000-0010-0000-0700-00000A000000}" name="Target fee amount"/>
    <tableColumn id="11" xr3:uid="{00000000-0010-0000-0700-00000B000000}" name="Target fee currency"/>
    <tableColumn id="12" xr3:uid="{00000000-0010-0000-0700-00000C000000}" name="Source name"/>
    <tableColumn id="13" xr3:uid="{00000000-0010-0000-0700-00000D000000}" name="Source amount (after fees)"/>
    <tableColumn id="14" xr3:uid="{00000000-0010-0000-0700-00000E000000}" name="IN"/>
    <tableColumn id="15" xr3:uid="{00000000-0010-0000-0700-00000F000000}" name="OUT"/>
    <tableColumn id="16" xr3:uid="{00000000-0010-0000-0700-000010000000}" name="Source currency"/>
    <tableColumn id="17" xr3:uid="{00000000-0010-0000-0700-000011000000}" name="Target name"/>
    <tableColumn id="18" xr3:uid="{00000000-0010-0000-0700-000012000000}" name="Target amount (after fees)"/>
    <tableColumn id="19" xr3:uid="{00000000-0010-0000-0700-000013000000}" name="Target currency"/>
    <tableColumn id="20" xr3:uid="{00000000-0010-0000-0700-000014000000}" name="Exchange rate"/>
    <tableColumn id="21" xr3:uid="{00000000-0010-0000-0700-000015000000}" name="Reference"/>
    <tableColumn id="22" xr3:uid="{00000000-0010-0000-0700-000016000000}" name="Batch"/>
    <tableColumn id="23" xr3:uid="{00000000-0010-0000-0700-000017000000}" name="Created by"/>
  </tableColumns>
  <tableStyleInfo name="Wise2024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表格_5" displayName="表格_5" ref="A1:P1172" headerRowDxfId="2" dataDxfId="0" totalsRowDxfId="1">
  <autoFilter ref="A1:P1172" xr:uid="{00000000-0009-0000-0100-000009000000}"/>
  <tableColumns count="16">
    <tableColumn id="1" xr3:uid="{00000000-0010-0000-0800-000001000000}" name="ID" dataDxfId="18"/>
    <tableColumn id="2" xr3:uid="{00000000-0010-0000-0800-000002000000}" name="User ID" dataDxfId="17"/>
    <tableColumn id="3" xr3:uid="{00000000-0010-0000-0800-000003000000}" name="Client Name" dataDxfId="16"/>
    <tableColumn id="4" xr3:uid="{00000000-0010-0000-0800-000004000000}" name="Currency" dataDxfId="15"/>
    <tableColumn id="5" xr3:uid="{00000000-0010-0000-0800-000005000000}" name="Payment Method" dataDxfId="14"/>
    <tableColumn id="6" xr3:uid="{00000000-0010-0000-0800-000006000000}" name="Date" dataDxfId="13"/>
    <tableColumn id="7" xr3:uid="{00000000-0010-0000-0800-000007000000}" name="M" dataDxfId="12"/>
    <tableColumn id="8" xr3:uid="{00000000-0010-0000-0800-000008000000}" name="Description" dataDxfId="11"/>
    <tableColumn id="9" xr3:uid="{00000000-0010-0000-0800-000009000000}" name="Invoice ID" dataDxfId="10"/>
    <tableColumn id="10" xr3:uid="{00000000-0010-0000-0800-00000A000000}" name="Transaction ID" dataDxfId="9"/>
    <tableColumn id="11" xr3:uid="{00000000-0010-0000-0800-00000B000000}" name="Amount In" dataDxfId="8"/>
    <tableColumn id="12" xr3:uid="{00000000-0010-0000-0800-00000C000000}" name="Fees" dataDxfId="7"/>
    <tableColumn id="13" xr3:uid="{00000000-0010-0000-0800-00000D000000}" name="Amount Out" dataDxfId="6"/>
    <tableColumn id="14" xr3:uid="{00000000-0010-0000-0800-00000E000000}" name="Exchange Rate" dataDxfId="5"/>
    <tableColumn id="15" xr3:uid="{00000000-0010-0000-0800-00000F000000}" name="Income" dataDxfId="4"/>
    <tableColumn id="16" xr3:uid="{00000000-0010-0000-0800-000010000000}" name="Income ($)" dataDxfId="3"/>
  </tableColumns>
  <tableStyleInfo name="W系统销售统计20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2-05T02:31:05.00" personId="{1B485F48-A8B5-4C71-94BD-35F51D7E7808}" id="{0510448B-D2F9-40EC-A231-077D86F98DA0}">
    <text>同一笔1451.09转至水星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83" dT="2025-12-13T05:49:27.00" personId="{1B485F48-A8B5-4C71-94BD-35F51D7E7808}" id="{8ECD193F-59FF-4C77-AD9C-1EC6666D77A3}">
    <text>精品38.60.108.0/24-vlan1084
国际38.60.109.0/24-vlan1090
zelle : 707-722-2222 Kurun Cloud Inc
1000 包含：
4/1 机柜
2c Ip
国际网络
精品网络 50 含cn2 后续可换 不要cn2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1" dT="2025-10-06T04:06:09.00" personId="{1B485F48-A8B5-4C71-94BD-35F51D7E7808}" id="{1CB414C4-1ABF-4C56-9EC9-93EB9B51A750}">
    <text>此处记账在各个对应账户有统计流水并纳入公司汇总。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almart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88"/>
  <sheetViews>
    <sheetView workbookViewId="0">
      <pane ySplit="1" topLeftCell="A2" activePane="bottomLeft" state="frozen"/>
      <selection pane="bottomLeft" activeCell="O38" sqref="O38"/>
    </sheetView>
  </sheetViews>
  <sheetFormatPr defaultColWidth="12.5703125" defaultRowHeight="15.75" customHeight="1"/>
  <cols>
    <col min="1" max="3" width="9.28515625" bestFit="1" customWidth="1"/>
    <col min="4" max="4" width="10.28515625" bestFit="1" customWidth="1"/>
    <col min="5" max="6" width="11.140625" bestFit="1" customWidth="1"/>
    <col min="7" max="7" width="13" bestFit="1" customWidth="1"/>
    <col min="8" max="8" width="9.28515625" bestFit="1" customWidth="1"/>
  </cols>
  <sheetData>
    <row r="1" spans="1:8" ht="19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>
      <c r="A2" s="3">
        <v>1</v>
      </c>
      <c r="B2" s="3">
        <v>2024</v>
      </c>
      <c r="C2" s="3">
        <v>11</v>
      </c>
      <c r="D2" s="3" t="s">
        <v>8</v>
      </c>
      <c r="E2" s="4">
        <f>SUM(Mercury2024!F2:F97)</f>
        <v>6438.0500000000011</v>
      </c>
      <c r="F2" s="4">
        <f>SUM(Mercury2024!G2:G97)</f>
        <v>4848.6000000000004</v>
      </c>
      <c r="G2" s="4">
        <f t="shared" ref="G2:G22" si="0">E2-F2</f>
        <v>1589.4500000000007</v>
      </c>
      <c r="H2" s="5"/>
    </row>
    <row r="3" spans="1:8" ht="12.75">
      <c r="A3" s="6">
        <v>2</v>
      </c>
      <c r="B3" s="6">
        <v>2024</v>
      </c>
      <c r="C3" s="6">
        <v>11</v>
      </c>
      <c r="D3" s="6" t="s">
        <v>9</v>
      </c>
      <c r="E3" s="7">
        <f>SUM(PayPal2024!M2:M119)</f>
        <v>1128.18</v>
      </c>
      <c r="F3" s="7">
        <f>SUM(PayPal2024!N2:N119)</f>
        <v>518.94000000000005</v>
      </c>
      <c r="G3" s="7">
        <f t="shared" si="0"/>
        <v>609.24</v>
      </c>
      <c r="H3" s="8"/>
    </row>
    <row r="4" spans="1:8" ht="12.75">
      <c r="A4" s="3">
        <v>3</v>
      </c>
      <c r="B4" s="3">
        <v>2024</v>
      </c>
      <c r="C4" s="3">
        <v>11</v>
      </c>
      <c r="D4" s="3" t="s">
        <v>10</v>
      </c>
      <c r="E4" s="4">
        <f>SUM(USDT2024!G2:G34)</f>
        <v>2721.4654</v>
      </c>
      <c r="F4" s="4">
        <f>SUM(USDT2024!H2:H34)</f>
        <v>4709.2599999999993</v>
      </c>
      <c r="G4" s="4">
        <f t="shared" si="0"/>
        <v>-1987.7945999999993</v>
      </c>
      <c r="H4" s="5"/>
    </row>
    <row r="5" spans="1:8" ht="12.75">
      <c r="A5" s="6">
        <v>4</v>
      </c>
      <c r="B5" s="6">
        <v>2024</v>
      </c>
      <c r="C5" s="6">
        <v>11</v>
      </c>
      <c r="D5" s="6" t="s">
        <v>11</v>
      </c>
      <c r="E5" s="7">
        <f>SUM(Wise2024!N2:N5)</f>
        <v>743.17000000000007</v>
      </c>
      <c r="F5" s="7">
        <f>SUM(Wise2024!O2:O5)</f>
        <v>743</v>
      </c>
      <c r="G5" s="7">
        <f t="shared" si="0"/>
        <v>0.17000000000007276</v>
      </c>
      <c r="H5" s="8"/>
    </row>
    <row r="6" spans="1:8" ht="12.75">
      <c r="A6" s="3">
        <v>5</v>
      </c>
      <c r="B6" s="3">
        <v>2024</v>
      </c>
      <c r="C6" s="3">
        <v>11</v>
      </c>
      <c r="D6" s="3" t="s">
        <v>12</v>
      </c>
      <c r="E6" s="4">
        <f>SUM(TUTU账目!E2:E8)</f>
        <v>2336.08</v>
      </c>
      <c r="F6" s="4">
        <f>SUM(TUTU账目!G2:G8)</f>
        <v>2738.7599999999998</v>
      </c>
      <c r="G6" s="4">
        <f t="shared" si="0"/>
        <v>-402.67999999999984</v>
      </c>
      <c r="H6" s="5"/>
    </row>
    <row r="7" spans="1:8" ht="12.75">
      <c r="A7" s="6">
        <v>6</v>
      </c>
      <c r="B7" s="6">
        <v>2024</v>
      </c>
      <c r="C7" s="6">
        <v>12</v>
      </c>
      <c r="D7" s="6" t="s">
        <v>8</v>
      </c>
      <c r="E7" s="7">
        <f>SUM(Mercury2024!F98:F106)</f>
        <v>637.69999999999993</v>
      </c>
      <c r="F7" s="7">
        <f>SUM(Mercury2024!G98:G106)</f>
        <v>906.77</v>
      </c>
      <c r="G7" s="7">
        <f t="shared" si="0"/>
        <v>-269.07000000000005</v>
      </c>
      <c r="H7" s="8"/>
    </row>
    <row r="8" spans="1:8" ht="12.75">
      <c r="A8" s="3">
        <v>7</v>
      </c>
      <c r="B8" s="3">
        <v>2024</v>
      </c>
      <c r="C8" s="3">
        <v>12</v>
      </c>
      <c r="D8" s="3" t="s">
        <v>9</v>
      </c>
      <c r="E8" s="4">
        <f>SUM(PayPal2024!M120:M194)</f>
        <v>833.34000000000015</v>
      </c>
      <c r="F8" s="4">
        <f>SUM(PayPal2024!N120:N194)</f>
        <v>646.97</v>
      </c>
      <c r="G8" s="4">
        <f t="shared" si="0"/>
        <v>186.37000000000012</v>
      </c>
      <c r="H8" s="5"/>
    </row>
    <row r="9" spans="1:8" ht="12.75">
      <c r="A9" s="6">
        <v>8</v>
      </c>
      <c r="B9" s="6">
        <v>2024</v>
      </c>
      <c r="C9" s="6">
        <v>12</v>
      </c>
      <c r="D9" s="6" t="s">
        <v>10</v>
      </c>
      <c r="E9" s="7"/>
      <c r="F9" s="7"/>
      <c r="G9" s="7">
        <f t="shared" si="0"/>
        <v>0</v>
      </c>
      <c r="H9" s="8"/>
    </row>
    <row r="10" spans="1:8" ht="12.75">
      <c r="A10" s="3">
        <v>9</v>
      </c>
      <c r="B10" s="3">
        <v>2024</v>
      </c>
      <c r="C10" s="3">
        <v>12</v>
      </c>
      <c r="D10" s="3" t="s">
        <v>11</v>
      </c>
      <c r="E10" s="4">
        <f>SUM(Wise2024!N6:N25)</f>
        <v>2049.86</v>
      </c>
      <c r="F10" s="4">
        <f>SUM(Wise2024!O6:O25)</f>
        <v>453.11</v>
      </c>
      <c r="G10" s="4">
        <f t="shared" si="0"/>
        <v>1596.75</v>
      </c>
      <c r="H10" s="5"/>
    </row>
    <row r="11" spans="1:8" ht="12.75">
      <c r="A11" s="6">
        <v>10</v>
      </c>
      <c r="B11" s="6">
        <v>2024</v>
      </c>
      <c r="C11" s="6">
        <v>12</v>
      </c>
      <c r="D11" s="6" t="s">
        <v>12</v>
      </c>
      <c r="E11" s="7">
        <f>SUM(TUTU账目!E9)</f>
        <v>0</v>
      </c>
      <c r="F11" s="7">
        <f>SUM(TUTU账目!G9)</f>
        <v>409.14</v>
      </c>
      <c r="G11" s="7">
        <f t="shared" si="0"/>
        <v>-409.14</v>
      </c>
      <c r="H11" s="8"/>
    </row>
    <row r="12" spans="1:8" ht="12.75">
      <c r="A12" s="3">
        <v>11</v>
      </c>
      <c r="B12" s="3">
        <v>2025</v>
      </c>
      <c r="C12" s="3">
        <v>1</v>
      </c>
      <c r="D12" s="3" t="s">
        <v>8</v>
      </c>
      <c r="E12" s="4">
        <f>SUM(Mercury2025!F2:F7)</f>
        <v>0</v>
      </c>
      <c r="F12" s="4">
        <f>SUM(Mercury2025!G2:G7)</f>
        <v>1059.52</v>
      </c>
      <c r="G12" s="4">
        <f t="shared" si="0"/>
        <v>-1059.52</v>
      </c>
      <c r="H12" s="5"/>
    </row>
    <row r="13" spans="1:8" ht="12.75">
      <c r="A13" s="6">
        <v>12</v>
      </c>
      <c r="B13" s="6">
        <v>2025</v>
      </c>
      <c r="C13" s="6">
        <v>1</v>
      </c>
      <c r="D13" s="6" t="s">
        <v>9</v>
      </c>
      <c r="E13" s="7">
        <f>SUM(PayPal2025!M2:M43)</f>
        <v>316.52000000000004</v>
      </c>
      <c r="F13" s="7">
        <f>SUM(PayPal2025!N2:N43)</f>
        <v>566.7700000000001</v>
      </c>
      <c r="G13" s="7">
        <f t="shared" si="0"/>
        <v>-250.25000000000006</v>
      </c>
      <c r="H13" s="8"/>
    </row>
    <row r="14" spans="1:8" ht="12.75">
      <c r="A14" s="3">
        <v>13</v>
      </c>
      <c r="B14" s="3">
        <v>2025</v>
      </c>
      <c r="C14" s="3">
        <v>1</v>
      </c>
      <c r="D14" s="3" t="s">
        <v>10</v>
      </c>
      <c r="E14" s="4">
        <f>SUM(USDT2025!H20:H33)</f>
        <v>819.17509999999993</v>
      </c>
      <c r="F14" s="4">
        <f>SUM(USDT2025!I20:I33)</f>
        <v>1493.7251000000001</v>
      </c>
      <c r="G14" s="4">
        <f t="shared" si="0"/>
        <v>-674.55000000000018</v>
      </c>
      <c r="H14" s="5"/>
    </row>
    <row r="15" spans="1:8" ht="12.75">
      <c r="A15" s="6">
        <v>14</v>
      </c>
      <c r="B15" s="6">
        <v>2025</v>
      </c>
      <c r="C15" s="6">
        <v>1</v>
      </c>
      <c r="D15" s="6" t="s">
        <v>11</v>
      </c>
      <c r="E15" s="7">
        <f>SUM(Wise2025!N2:N26)</f>
        <v>2992.47</v>
      </c>
      <c r="F15" s="7">
        <f>SUM(Wise2025!O2:O26)</f>
        <v>2000.77</v>
      </c>
      <c r="G15" s="7">
        <f t="shared" si="0"/>
        <v>991.69999999999982</v>
      </c>
      <c r="H15" s="8"/>
    </row>
    <row r="16" spans="1:8" ht="12.75">
      <c r="A16" s="3">
        <v>15</v>
      </c>
      <c r="B16" s="3">
        <v>2025</v>
      </c>
      <c r="C16" s="3">
        <v>1</v>
      </c>
      <c r="D16" s="3" t="s">
        <v>12</v>
      </c>
      <c r="E16" s="4">
        <f>SUM(TUTU账目!E10)</f>
        <v>0</v>
      </c>
      <c r="F16" s="4">
        <f>SUM(TUTU账目!G10)</f>
        <v>411.79999999999995</v>
      </c>
      <c r="G16" s="4">
        <f t="shared" si="0"/>
        <v>-411.79999999999995</v>
      </c>
      <c r="H16" s="5"/>
    </row>
    <row r="17" spans="1:8" ht="12.75">
      <c r="A17" s="6">
        <v>16</v>
      </c>
      <c r="B17" s="6">
        <v>2025</v>
      </c>
      <c r="C17" s="6">
        <v>1</v>
      </c>
      <c r="D17" s="6" t="s">
        <v>13</v>
      </c>
      <c r="E17" s="7">
        <f>SUM(其它流水2025!J2)</f>
        <v>0</v>
      </c>
      <c r="F17" s="7">
        <f>SUM(其它流水2025!L2)*-1</f>
        <v>375.56</v>
      </c>
      <c r="G17" s="7">
        <f t="shared" si="0"/>
        <v>-375.56</v>
      </c>
      <c r="H17" s="8"/>
    </row>
    <row r="18" spans="1:8" ht="12.75">
      <c r="A18" s="3">
        <v>17</v>
      </c>
      <c r="B18" s="3">
        <v>2025</v>
      </c>
      <c r="C18" s="3">
        <v>2</v>
      </c>
      <c r="D18" s="3" t="s">
        <v>8</v>
      </c>
      <c r="E18" s="4">
        <f>SUM(Mercury2025!F8:F16)</f>
        <v>3325.31</v>
      </c>
      <c r="F18" s="4">
        <f>SUM(Mercury2025!G8:G16)</f>
        <v>1430.77</v>
      </c>
      <c r="G18" s="4">
        <f t="shared" si="0"/>
        <v>1894.54</v>
      </c>
      <c r="H18" s="5"/>
    </row>
    <row r="19" spans="1:8" ht="12.75">
      <c r="A19" s="6">
        <v>18</v>
      </c>
      <c r="B19" s="6">
        <v>2025</v>
      </c>
      <c r="C19" s="6">
        <v>2</v>
      </c>
      <c r="D19" s="6" t="s">
        <v>9</v>
      </c>
      <c r="E19" s="7">
        <f>SUM(PayPal2025!M44:M80)</f>
        <v>567.20000000000005</v>
      </c>
      <c r="F19" s="7">
        <f>SUM(PayPal2025!N44:N80)</f>
        <v>604.20999999999992</v>
      </c>
      <c r="G19" s="7">
        <f t="shared" si="0"/>
        <v>-37.009999999999877</v>
      </c>
      <c r="H19" s="8"/>
    </row>
    <row r="20" spans="1:8" ht="12.75">
      <c r="A20" s="3">
        <v>19</v>
      </c>
      <c r="B20" s="3">
        <v>2025</v>
      </c>
      <c r="C20" s="3">
        <v>2</v>
      </c>
      <c r="D20" s="3" t="s">
        <v>10</v>
      </c>
      <c r="E20" s="4">
        <f>SUM(USDT2025!H34:H39)</f>
        <v>882.09410000000003</v>
      </c>
      <c r="F20" s="4">
        <f>SUM(USDT2025!I34:I35)</f>
        <v>0</v>
      </c>
      <c r="G20" s="4">
        <f t="shared" si="0"/>
        <v>882.09410000000003</v>
      </c>
      <c r="H20" s="5"/>
    </row>
    <row r="21" spans="1:8" ht="12.75">
      <c r="A21" s="6">
        <v>20</v>
      </c>
      <c r="B21" s="6">
        <v>2025</v>
      </c>
      <c r="C21" s="6">
        <v>2</v>
      </c>
      <c r="D21" s="6" t="s">
        <v>11</v>
      </c>
      <c r="E21" s="7">
        <f>SUM(Wise2025!N27:N46)</f>
        <v>1332.5799999999997</v>
      </c>
      <c r="F21" s="7">
        <f>SUM(Wise2025!O27:O46)</f>
        <v>3979.7700000000004</v>
      </c>
      <c r="G21" s="7">
        <f t="shared" si="0"/>
        <v>-2647.1900000000005</v>
      </c>
      <c r="H21" s="8"/>
    </row>
    <row r="22" spans="1:8" ht="12.75">
      <c r="A22" s="3">
        <v>21</v>
      </c>
      <c r="B22" s="3">
        <v>2025</v>
      </c>
      <c r="C22" s="3">
        <v>2</v>
      </c>
      <c r="D22" s="3" t="s">
        <v>12</v>
      </c>
      <c r="E22" s="4">
        <f>SUM(TUTU账目!E11)</f>
        <v>0</v>
      </c>
      <c r="F22" s="4">
        <f>SUM(TUTU账目!G11)</f>
        <v>409.9</v>
      </c>
      <c r="G22" s="4">
        <f t="shared" si="0"/>
        <v>-409.9</v>
      </c>
      <c r="H22" s="5"/>
    </row>
    <row r="23" spans="1:8" ht="12.75">
      <c r="A23" s="6">
        <v>22</v>
      </c>
      <c r="B23" s="6">
        <v>2025</v>
      </c>
      <c r="C23" s="6">
        <v>2</v>
      </c>
      <c r="D23" s="6" t="s">
        <v>13</v>
      </c>
      <c r="E23" s="7">
        <v>0</v>
      </c>
      <c r="F23" s="7">
        <v>0</v>
      </c>
      <c r="G23" s="7">
        <v>0</v>
      </c>
      <c r="H23" s="8"/>
    </row>
    <row r="24" spans="1:8" ht="12.75">
      <c r="A24" s="3">
        <v>23</v>
      </c>
      <c r="B24" s="3">
        <v>2025</v>
      </c>
      <c r="C24" s="3">
        <v>3</v>
      </c>
      <c r="D24" s="3" t="s">
        <v>8</v>
      </c>
      <c r="E24" s="4">
        <f>SUM(Mercury2025!F17:F41)</f>
        <v>1672.78</v>
      </c>
      <c r="F24" s="4">
        <f>SUM(Mercury2025!G17:G41)</f>
        <v>1328.56</v>
      </c>
      <c r="G24" s="4">
        <f t="shared" ref="G24:G106" si="1">E24-F24</f>
        <v>344.22</v>
      </c>
      <c r="H24" s="5"/>
    </row>
    <row r="25" spans="1:8" ht="12.75">
      <c r="A25" s="6">
        <v>24</v>
      </c>
      <c r="B25" s="6">
        <v>2025</v>
      </c>
      <c r="C25" s="6">
        <v>3</v>
      </c>
      <c r="D25" s="6" t="s">
        <v>9</v>
      </c>
      <c r="E25" s="7">
        <f>SUM(PayPal2025!M81:M99)</f>
        <v>78.47</v>
      </c>
      <c r="F25" s="7">
        <f>SUM(PayPal2025!N81:N99)</f>
        <v>34.269999999999996</v>
      </c>
      <c r="G25" s="7">
        <f t="shared" si="1"/>
        <v>44.2</v>
      </c>
      <c r="H25" s="8"/>
    </row>
    <row r="26" spans="1:8" ht="12.75">
      <c r="A26" s="3">
        <v>25</v>
      </c>
      <c r="B26" s="3">
        <v>2025</v>
      </c>
      <c r="C26" s="3">
        <v>3</v>
      </c>
      <c r="D26" s="3" t="s">
        <v>10</v>
      </c>
      <c r="E26" s="4">
        <f>SUM(USDT2025!H39:H59)</f>
        <v>1573.9827999999998</v>
      </c>
      <c r="F26" s="4">
        <f>SUM(USDT2025!I36)</f>
        <v>0</v>
      </c>
      <c r="G26" s="4">
        <f t="shared" si="1"/>
        <v>1573.9827999999998</v>
      </c>
      <c r="H26" s="5"/>
    </row>
    <row r="27" spans="1:8" ht="12.75">
      <c r="A27" s="6">
        <v>26</v>
      </c>
      <c r="B27" s="6">
        <v>2025</v>
      </c>
      <c r="C27" s="6">
        <v>3</v>
      </c>
      <c r="D27" s="6" t="s">
        <v>11</v>
      </c>
      <c r="E27" s="7">
        <v>0</v>
      </c>
      <c r="F27" s="7">
        <v>0</v>
      </c>
      <c r="G27" s="7">
        <f t="shared" si="1"/>
        <v>0</v>
      </c>
      <c r="H27" s="8"/>
    </row>
    <row r="28" spans="1:8" ht="12.75">
      <c r="A28" s="3">
        <v>27</v>
      </c>
      <c r="B28" s="3">
        <v>2025</v>
      </c>
      <c r="C28" s="3">
        <v>3</v>
      </c>
      <c r="D28" s="3" t="s">
        <v>12</v>
      </c>
      <c r="E28" s="4">
        <f>SUM(TUTU账目!E12)</f>
        <v>0</v>
      </c>
      <c r="F28" s="4">
        <f>SUM(TUTU账目!G12)</f>
        <v>401.4</v>
      </c>
      <c r="G28" s="4">
        <f t="shared" si="1"/>
        <v>-401.4</v>
      </c>
      <c r="H28" s="5"/>
    </row>
    <row r="29" spans="1:8" ht="12.75">
      <c r="A29" s="6">
        <v>28</v>
      </c>
      <c r="B29" s="6">
        <v>2025</v>
      </c>
      <c r="C29" s="6">
        <v>3</v>
      </c>
      <c r="D29" s="6" t="s">
        <v>13</v>
      </c>
      <c r="E29" s="7">
        <v>0</v>
      </c>
      <c r="F29" s="7">
        <v>0</v>
      </c>
      <c r="G29" s="7">
        <f t="shared" si="1"/>
        <v>0</v>
      </c>
      <c r="H29" s="8"/>
    </row>
    <row r="30" spans="1:8" ht="12.75">
      <c r="A30" s="3">
        <v>29</v>
      </c>
      <c r="B30" s="3">
        <v>2025</v>
      </c>
      <c r="C30" s="3">
        <v>4</v>
      </c>
      <c r="D30" s="3" t="s">
        <v>8</v>
      </c>
      <c r="E30" s="4">
        <f>SUM(Mercury2025!F42:F58)</f>
        <v>3106.1099999999997</v>
      </c>
      <c r="F30" s="4">
        <f>SUM(Mercury2025!G42:G58)</f>
        <v>3860.84</v>
      </c>
      <c r="G30" s="4">
        <f t="shared" si="1"/>
        <v>-754.73000000000047</v>
      </c>
      <c r="H30" s="5"/>
    </row>
    <row r="31" spans="1:8" ht="12.75">
      <c r="A31" s="6">
        <v>30</v>
      </c>
      <c r="B31" s="6">
        <v>2025</v>
      </c>
      <c r="C31" s="6">
        <v>4</v>
      </c>
      <c r="D31" s="6" t="s">
        <v>9</v>
      </c>
      <c r="E31" s="7">
        <f>SUM(PayPal2025!M100:M125)</f>
        <v>128.82</v>
      </c>
      <c r="F31" s="7">
        <f>SUM(PayPal2025!N100:N125)</f>
        <v>10.91</v>
      </c>
      <c r="G31" s="7">
        <f t="shared" si="1"/>
        <v>117.91</v>
      </c>
      <c r="H31" s="8"/>
    </row>
    <row r="32" spans="1:8" ht="12.75">
      <c r="A32" s="3">
        <v>31</v>
      </c>
      <c r="B32" s="3">
        <v>2025</v>
      </c>
      <c r="C32" s="3">
        <v>4</v>
      </c>
      <c r="D32" s="3" t="s">
        <v>10</v>
      </c>
      <c r="E32" s="4">
        <f>SUM(USDT2025!H60:H84)</f>
        <v>2330.4373871165544</v>
      </c>
      <c r="F32" s="4">
        <v>0</v>
      </c>
      <c r="G32" s="4">
        <f t="shared" si="1"/>
        <v>2330.4373871165544</v>
      </c>
      <c r="H32" s="5"/>
    </row>
    <row r="33" spans="1:8" ht="12.75">
      <c r="A33" s="6">
        <v>32</v>
      </c>
      <c r="B33" s="6">
        <v>2025</v>
      </c>
      <c r="C33" s="6">
        <v>4</v>
      </c>
      <c r="D33" s="6" t="s">
        <v>11</v>
      </c>
      <c r="E33" s="7">
        <f>SUM(Wise2025!N47:N48)</f>
        <v>1262.5</v>
      </c>
      <c r="F33" s="7">
        <v>0</v>
      </c>
      <c r="G33" s="7">
        <f t="shared" si="1"/>
        <v>1262.5</v>
      </c>
      <c r="H33" s="8"/>
    </row>
    <row r="34" spans="1:8" ht="12.75">
      <c r="A34" s="3">
        <v>33</v>
      </c>
      <c r="B34" s="3">
        <v>2025</v>
      </c>
      <c r="C34" s="3">
        <v>4</v>
      </c>
      <c r="D34" s="3" t="s">
        <v>12</v>
      </c>
      <c r="E34" s="4">
        <f>SUM(TUTU账目!E28)</f>
        <v>0</v>
      </c>
      <c r="F34" s="4">
        <f>SUM(TUTU账目!G13)</f>
        <v>400.12</v>
      </c>
      <c r="G34" s="4">
        <f t="shared" si="1"/>
        <v>-400.12</v>
      </c>
      <c r="H34" s="5"/>
    </row>
    <row r="35" spans="1:8" ht="12.75">
      <c r="A35" s="6">
        <v>34</v>
      </c>
      <c r="B35" s="6">
        <v>2025</v>
      </c>
      <c r="C35" s="6">
        <v>4</v>
      </c>
      <c r="D35" s="6" t="s">
        <v>14</v>
      </c>
      <c r="E35" s="7">
        <f>SUM(支付宝!H2)</f>
        <v>836</v>
      </c>
      <c r="F35" s="7">
        <v>0</v>
      </c>
      <c r="G35" s="7">
        <f t="shared" si="1"/>
        <v>836</v>
      </c>
      <c r="H35" s="8"/>
    </row>
    <row r="36" spans="1:8" ht="12.75">
      <c r="A36" s="3">
        <v>35</v>
      </c>
      <c r="B36" s="3">
        <v>2025</v>
      </c>
      <c r="C36" s="3">
        <v>4</v>
      </c>
      <c r="D36" s="3" t="s">
        <v>13</v>
      </c>
      <c r="E36" s="4">
        <v>0</v>
      </c>
      <c r="F36" s="4">
        <v>0</v>
      </c>
      <c r="G36" s="4">
        <f t="shared" si="1"/>
        <v>0</v>
      </c>
      <c r="H36" s="5"/>
    </row>
    <row r="37" spans="1:8" ht="12.75">
      <c r="A37" s="6">
        <v>36</v>
      </c>
      <c r="B37" s="6">
        <v>2025</v>
      </c>
      <c r="C37" s="6">
        <v>5</v>
      </c>
      <c r="D37" s="6" t="s">
        <v>8</v>
      </c>
      <c r="E37" s="7">
        <f>SUM(Mercury2025!F59:F62)</f>
        <v>864.9</v>
      </c>
      <c r="F37" s="7">
        <f>SUM(Mercury2025!G59:G62)</f>
        <v>1945.5</v>
      </c>
      <c r="G37" s="7">
        <f t="shared" si="1"/>
        <v>-1080.5999999999999</v>
      </c>
      <c r="H37" s="8"/>
    </row>
    <row r="38" spans="1:8" ht="12.75">
      <c r="A38" s="3">
        <v>37</v>
      </c>
      <c r="B38" s="3">
        <v>2025</v>
      </c>
      <c r="C38" s="3">
        <v>5</v>
      </c>
      <c r="D38" s="3" t="s">
        <v>9</v>
      </c>
      <c r="E38" s="4">
        <f>SUM(PayPal2025!M126:M155)</f>
        <v>293.29999999999995</v>
      </c>
      <c r="F38" s="4">
        <f>SUM(PayPal2025!N126:N155)</f>
        <v>20.82</v>
      </c>
      <c r="G38" s="4">
        <f t="shared" si="1"/>
        <v>272.47999999999996</v>
      </c>
      <c r="H38" s="5"/>
    </row>
    <row r="39" spans="1:8" ht="12.75">
      <c r="A39" s="6">
        <v>38</v>
      </c>
      <c r="B39" s="6">
        <v>2025</v>
      </c>
      <c r="C39" s="6">
        <v>5</v>
      </c>
      <c r="D39" s="6" t="s">
        <v>10</v>
      </c>
      <c r="E39" s="7">
        <f>SUM(USDT2025!H85:H110)</f>
        <v>2415.27</v>
      </c>
      <c r="F39" s="7">
        <v>0</v>
      </c>
      <c r="G39" s="7">
        <f t="shared" si="1"/>
        <v>2415.27</v>
      </c>
      <c r="H39" s="8"/>
    </row>
    <row r="40" spans="1:8" ht="12.75">
      <c r="A40" s="3">
        <v>39</v>
      </c>
      <c r="B40" s="3">
        <v>2025</v>
      </c>
      <c r="C40" s="3">
        <v>5</v>
      </c>
      <c r="D40" s="3" t="s">
        <v>11</v>
      </c>
      <c r="E40" s="4">
        <f>SUM(Wise2025!N49:N52)</f>
        <v>2090.5499999999997</v>
      </c>
      <c r="F40" s="4">
        <v>0</v>
      </c>
      <c r="G40" s="4">
        <f t="shared" si="1"/>
        <v>2090.5499999999997</v>
      </c>
      <c r="H40" s="5"/>
    </row>
    <row r="41" spans="1:8" ht="12.75">
      <c r="A41" s="6">
        <v>40</v>
      </c>
      <c r="B41" s="6">
        <v>2025</v>
      </c>
      <c r="C41" s="6">
        <v>5</v>
      </c>
      <c r="D41" s="6" t="s">
        <v>12</v>
      </c>
      <c r="E41" s="7">
        <f>SUM(TUTU账目!E35)</f>
        <v>0</v>
      </c>
      <c r="F41" s="7">
        <f>SUM(TUTU账目!G35)</f>
        <v>0</v>
      </c>
      <c r="G41" s="7">
        <f t="shared" si="1"/>
        <v>0</v>
      </c>
      <c r="H41" s="8"/>
    </row>
    <row r="42" spans="1:8" ht="12.75">
      <c r="A42" s="3">
        <v>41</v>
      </c>
      <c r="B42" s="3">
        <v>2025</v>
      </c>
      <c r="C42" s="3">
        <v>5</v>
      </c>
      <c r="D42" s="3" t="s">
        <v>14</v>
      </c>
      <c r="E42" s="4">
        <f>SUM(支付宝!H3)</f>
        <v>300</v>
      </c>
      <c r="F42" s="4">
        <v>0</v>
      </c>
      <c r="G42" s="4">
        <f t="shared" si="1"/>
        <v>300</v>
      </c>
      <c r="H42" s="5"/>
    </row>
    <row r="43" spans="1:8" ht="12.75">
      <c r="A43" s="6">
        <v>42</v>
      </c>
      <c r="B43" s="6">
        <v>2025</v>
      </c>
      <c r="C43" s="6">
        <v>5</v>
      </c>
      <c r="D43" s="6" t="s">
        <v>13</v>
      </c>
      <c r="E43" s="7">
        <v>0</v>
      </c>
      <c r="F43" s="7">
        <v>0</v>
      </c>
      <c r="G43" s="7">
        <f t="shared" si="1"/>
        <v>0</v>
      </c>
      <c r="H43" s="8"/>
    </row>
    <row r="44" spans="1:8" ht="12.75">
      <c r="A44" s="3">
        <v>43</v>
      </c>
      <c r="B44" s="3">
        <v>2025</v>
      </c>
      <c r="C44" s="3">
        <v>6</v>
      </c>
      <c r="D44" s="3" t="s">
        <v>8</v>
      </c>
      <c r="E44" s="4">
        <f>SUM(Mercury2025!F63:F68)</f>
        <v>2138.9899999999998</v>
      </c>
      <c r="F44" s="4">
        <f>SUM(Mercury2025!G63:G68)</f>
        <v>1412.7500000000002</v>
      </c>
      <c r="G44" s="4">
        <f t="shared" si="1"/>
        <v>726.23999999999955</v>
      </c>
      <c r="H44" s="5"/>
    </row>
    <row r="45" spans="1:8" ht="12.75">
      <c r="A45" s="6">
        <v>44</v>
      </c>
      <c r="B45" s="6">
        <v>2025</v>
      </c>
      <c r="C45" s="6">
        <v>6</v>
      </c>
      <c r="D45" s="6" t="s">
        <v>9</v>
      </c>
      <c r="E45" s="7">
        <f>SUM(PayPal2025!M156:M187)</f>
        <v>102.82</v>
      </c>
      <c r="F45" s="7">
        <f>SUM(PayPal2025!N156:N187)</f>
        <v>348.54</v>
      </c>
      <c r="G45" s="7">
        <f t="shared" si="1"/>
        <v>-245.72000000000003</v>
      </c>
      <c r="H45" s="8"/>
    </row>
    <row r="46" spans="1:8" ht="12.75">
      <c r="A46" s="3">
        <v>45</v>
      </c>
      <c r="B46" s="3">
        <v>2025</v>
      </c>
      <c r="C46" s="3">
        <v>6</v>
      </c>
      <c r="D46" s="3" t="s">
        <v>10</v>
      </c>
      <c r="E46" s="4">
        <f>SUM(USDT2025!H111:H142)</f>
        <v>2241.6000531945615</v>
      </c>
      <c r="F46" s="4">
        <f>SUM(USDT2025!I110:I142)</f>
        <v>126.4675</v>
      </c>
      <c r="G46" s="4">
        <f t="shared" si="1"/>
        <v>2115.1325531945613</v>
      </c>
      <c r="H46" s="5"/>
    </row>
    <row r="47" spans="1:8" ht="12.75">
      <c r="A47" s="6">
        <v>46</v>
      </c>
      <c r="B47" s="6">
        <v>2025</v>
      </c>
      <c r="C47" s="6">
        <v>6</v>
      </c>
      <c r="D47" s="6" t="s">
        <v>11</v>
      </c>
      <c r="E47" s="7">
        <f>SUM(Wise2025!N53:N59)</f>
        <v>4141.6499999999996</v>
      </c>
      <c r="F47" s="7">
        <f>SUM(Wise2025!O53:O59)</f>
        <v>2264.08</v>
      </c>
      <c r="G47" s="7">
        <f t="shared" si="1"/>
        <v>1877.5699999999997</v>
      </c>
      <c r="H47" s="8"/>
    </row>
    <row r="48" spans="1:8" ht="12.75">
      <c r="A48" s="3">
        <v>47</v>
      </c>
      <c r="B48" s="3">
        <v>2025</v>
      </c>
      <c r="C48" s="3">
        <v>6</v>
      </c>
      <c r="D48" s="3" t="s">
        <v>12</v>
      </c>
      <c r="E48" s="4">
        <v>0</v>
      </c>
      <c r="F48" s="4">
        <v>395.1</v>
      </c>
      <c r="G48" s="4">
        <f t="shared" si="1"/>
        <v>-395.1</v>
      </c>
      <c r="H48" s="5"/>
    </row>
    <row r="49" spans="1:8" ht="12.75">
      <c r="A49" s="6">
        <v>48</v>
      </c>
      <c r="B49" s="6">
        <v>2025</v>
      </c>
      <c r="C49" s="6">
        <v>6</v>
      </c>
      <c r="D49" s="6" t="s">
        <v>14</v>
      </c>
      <c r="E49" s="7">
        <v>0</v>
      </c>
      <c r="F49" s="7">
        <v>0</v>
      </c>
      <c r="G49" s="7">
        <f t="shared" si="1"/>
        <v>0</v>
      </c>
      <c r="H49" s="8"/>
    </row>
    <row r="50" spans="1:8" ht="12.75">
      <c r="A50" s="3">
        <v>49</v>
      </c>
      <c r="B50" s="3">
        <v>2025</v>
      </c>
      <c r="C50" s="3">
        <v>6</v>
      </c>
      <c r="D50" s="3" t="s">
        <v>15</v>
      </c>
      <c r="E50" s="4">
        <f>SUM(Payssion!J2:J65)</f>
        <v>545.51000000000067</v>
      </c>
      <c r="F50" s="4">
        <v>0</v>
      </c>
      <c r="G50" s="4">
        <f t="shared" si="1"/>
        <v>545.51000000000067</v>
      </c>
      <c r="H50" s="5"/>
    </row>
    <row r="51" spans="1:8" ht="12.75">
      <c r="A51" s="6">
        <v>50</v>
      </c>
      <c r="B51" s="6">
        <v>2025</v>
      </c>
      <c r="C51" s="6">
        <v>6</v>
      </c>
      <c r="D51" s="6" t="s">
        <v>13</v>
      </c>
      <c r="E51" s="7">
        <v>0</v>
      </c>
      <c r="F51" s="7">
        <v>0</v>
      </c>
      <c r="G51" s="7">
        <f t="shared" si="1"/>
        <v>0</v>
      </c>
      <c r="H51" s="8"/>
    </row>
    <row r="52" spans="1:8" ht="12.75">
      <c r="A52" s="3">
        <v>51</v>
      </c>
      <c r="B52" s="3">
        <v>2025</v>
      </c>
      <c r="C52" s="3">
        <v>6</v>
      </c>
      <c r="D52" s="3" t="s">
        <v>16</v>
      </c>
      <c r="E52" s="4">
        <v>0</v>
      </c>
      <c r="F52" s="4">
        <f>SUM(工资表!H2:H3)</f>
        <v>3424</v>
      </c>
      <c r="G52" s="4">
        <f t="shared" si="1"/>
        <v>-3424</v>
      </c>
      <c r="H52" s="5"/>
    </row>
    <row r="53" spans="1:8" ht="12.75">
      <c r="A53" s="6">
        <v>52</v>
      </c>
      <c r="B53" s="6">
        <v>2025</v>
      </c>
      <c r="C53" s="6">
        <v>7</v>
      </c>
      <c r="D53" s="6" t="s">
        <v>8</v>
      </c>
      <c r="E53" s="7">
        <f>SUM(Mercury2025!F69:F71)</f>
        <v>2562.4899999999998</v>
      </c>
      <c r="F53" s="7">
        <f>SUM(Mercury2025!G69:G71)</f>
        <v>34</v>
      </c>
      <c r="G53" s="7">
        <f t="shared" si="1"/>
        <v>2528.4899999999998</v>
      </c>
      <c r="H53" s="8"/>
    </row>
    <row r="54" spans="1:8" ht="12.75">
      <c r="A54" s="3">
        <v>53</v>
      </c>
      <c r="B54" s="3">
        <v>2025</v>
      </c>
      <c r="C54" s="3">
        <v>7</v>
      </c>
      <c r="D54" s="3" t="s">
        <v>9</v>
      </c>
      <c r="E54" s="4">
        <f>SUM(PayPal2025!M188:M208)</f>
        <v>118.74</v>
      </c>
      <c r="F54" s="4">
        <f>SUM(PayPal2025!N188:N208)</f>
        <v>15.670000000000002</v>
      </c>
      <c r="G54" s="4">
        <f t="shared" si="1"/>
        <v>103.07</v>
      </c>
      <c r="H54" s="5"/>
    </row>
    <row r="55" spans="1:8" ht="12.75">
      <c r="A55" s="6">
        <v>54</v>
      </c>
      <c r="B55" s="6">
        <v>2025</v>
      </c>
      <c r="C55" s="6">
        <v>7</v>
      </c>
      <c r="D55" s="6" t="s">
        <v>10</v>
      </c>
      <c r="E55" s="9">
        <f>SUM(USDT2025!H149:H184)</f>
        <v>5515.283833158619</v>
      </c>
      <c r="F55" s="9">
        <f>SUM(USDT2025!I143:I184)</f>
        <v>1500.21</v>
      </c>
      <c r="G55" s="7">
        <f t="shared" si="1"/>
        <v>4015.073833158619</v>
      </c>
      <c r="H55" s="8"/>
    </row>
    <row r="56" spans="1:8" ht="12.75">
      <c r="A56" s="3">
        <v>55</v>
      </c>
      <c r="B56" s="3">
        <v>2025</v>
      </c>
      <c r="C56" s="3">
        <v>7</v>
      </c>
      <c r="D56" s="3" t="s">
        <v>11</v>
      </c>
      <c r="E56" s="4">
        <f>SUM(Wise2025!N60:N65)</f>
        <v>2649.77</v>
      </c>
      <c r="F56" s="4">
        <f>SUM(Wise2025!O60:O65)</f>
        <v>2787.65</v>
      </c>
      <c r="G56" s="4">
        <f t="shared" si="1"/>
        <v>-137.88000000000011</v>
      </c>
      <c r="H56" s="5"/>
    </row>
    <row r="57" spans="1:8" ht="12.75">
      <c r="A57" s="6">
        <v>56</v>
      </c>
      <c r="B57" s="6">
        <v>2025</v>
      </c>
      <c r="C57" s="6">
        <v>7</v>
      </c>
      <c r="D57" s="6" t="s">
        <v>12</v>
      </c>
      <c r="E57" s="7">
        <v>0</v>
      </c>
      <c r="F57" s="7">
        <v>374.7</v>
      </c>
      <c r="G57" s="7">
        <f t="shared" si="1"/>
        <v>-374.7</v>
      </c>
      <c r="H57" s="8"/>
    </row>
    <row r="58" spans="1:8" ht="12.75">
      <c r="A58" s="3">
        <v>57</v>
      </c>
      <c r="B58" s="3">
        <v>2025</v>
      </c>
      <c r="C58" s="3">
        <v>7</v>
      </c>
      <c r="D58" s="3" t="s">
        <v>14</v>
      </c>
      <c r="E58" s="4">
        <v>0</v>
      </c>
      <c r="F58" s="4">
        <v>0</v>
      </c>
      <c r="G58" s="4">
        <f t="shared" si="1"/>
        <v>0</v>
      </c>
      <c r="H58" s="5"/>
    </row>
    <row r="59" spans="1:8" ht="12.75">
      <c r="A59" s="6">
        <v>58</v>
      </c>
      <c r="B59" s="6">
        <v>2025</v>
      </c>
      <c r="C59" s="6">
        <v>7</v>
      </c>
      <c r="D59" s="6" t="s">
        <v>15</v>
      </c>
      <c r="E59" s="7">
        <f>SUM(Payssion!J66:J124)</f>
        <v>627.15</v>
      </c>
      <c r="F59" s="7">
        <v>1500</v>
      </c>
      <c r="G59" s="7">
        <f t="shared" si="1"/>
        <v>-872.85</v>
      </c>
      <c r="H59" s="8"/>
    </row>
    <row r="60" spans="1:8" ht="12.75">
      <c r="A60" s="3">
        <v>59</v>
      </c>
      <c r="B60" s="3">
        <v>2025</v>
      </c>
      <c r="C60" s="3">
        <v>7</v>
      </c>
      <c r="D60" s="3" t="s">
        <v>13</v>
      </c>
      <c r="E60" s="4">
        <v>0</v>
      </c>
      <c r="F60" s="4">
        <v>0</v>
      </c>
      <c r="G60" s="4">
        <f t="shared" si="1"/>
        <v>0</v>
      </c>
      <c r="H60" s="5"/>
    </row>
    <row r="61" spans="1:8" ht="12.75">
      <c r="A61" s="6">
        <v>60</v>
      </c>
      <c r="B61" s="6">
        <v>2025</v>
      </c>
      <c r="C61" s="6">
        <v>7</v>
      </c>
      <c r="D61" s="6" t="s">
        <v>16</v>
      </c>
      <c r="E61" s="7">
        <v>0</v>
      </c>
      <c r="F61" s="7">
        <v>0</v>
      </c>
      <c r="G61" s="7">
        <f t="shared" si="1"/>
        <v>0</v>
      </c>
      <c r="H61" s="8"/>
    </row>
    <row r="62" spans="1:8" ht="12.75">
      <c r="A62" s="3">
        <v>61</v>
      </c>
      <c r="B62" s="3">
        <v>2025</v>
      </c>
      <c r="C62" s="3">
        <v>8</v>
      </c>
      <c r="D62" s="3" t="s">
        <v>8</v>
      </c>
      <c r="E62" s="4">
        <f>SUM(Mercury2025!F72:F78)</f>
        <v>2037.5</v>
      </c>
      <c r="F62" s="4">
        <f>SUM(Mercury2025!G72:G78)</f>
        <v>4292.49</v>
      </c>
      <c r="G62" s="4">
        <f t="shared" si="1"/>
        <v>-2254.9899999999998</v>
      </c>
      <c r="H62" s="5"/>
    </row>
    <row r="63" spans="1:8" ht="12.75">
      <c r="A63" s="6">
        <v>62</v>
      </c>
      <c r="B63" s="6">
        <v>2025</v>
      </c>
      <c r="C63" s="6">
        <v>8</v>
      </c>
      <c r="D63" s="6" t="s">
        <v>9</v>
      </c>
      <c r="E63" s="7">
        <f>SUM(PayPal2025!M209:M223)</f>
        <v>77.759999999999991</v>
      </c>
      <c r="F63" s="7">
        <f>SUM(PayPal2025!N209:N223)</f>
        <v>20.440000000000001</v>
      </c>
      <c r="G63" s="7">
        <f t="shared" si="1"/>
        <v>57.319999999999993</v>
      </c>
      <c r="H63" s="8"/>
    </row>
    <row r="64" spans="1:8" ht="12.75">
      <c r="A64" s="3">
        <v>63</v>
      </c>
      <c r="B64" s="3">
        <v>2025</v>
      </c>
      <c r="C64" s="3">
        <v>8</v>
      </c>
      <c r="D64" s="3" t="s">
        <v>10</v>
      </c>
      <c r="E64" s="4">
        <f>SUM(USDT2025!H185:H211)</f>
        <v>12768.353761959412</v>
      </c>
      <c r="F64" s="4">
        <f>SUM(USDT2025!I185:I211)</f>
        <v>12955.93</v>
      </c>
      <c r="G64" s="4">
        <f t="shared" si="1"/>
        <v>-187.57623804058858</v>
      </c>
      <c r="H64" s="5"/>
    </row>
    <row r="65" spans="1:8" ht="12.75">
      <c r="A65" s="6">
        <v>64</v>
      </c>
      <c r="B65" s="6">
        <v>2025</v>
      </c>
      <c r="C65" s="6">
        <v>8</v>
      </c>
      <c r="D65" s="6" t="s">
        <v>11</v>
      </c>
      <c r="E65" s="7">
        <f>SUM(Wise2025!N66:N71)</f>
        <v>2044.04</v>
      </c>
      <c r="F65" s="7">
        <f>SUM(Wise2025!O66:O71)</f>
        <v>3978</v>
      </c>
      <c r="G65" s="7">
        <f t="shared" si="1"/>
        <v>-1933.96</v>
      </c>
      <c r="H65" s="8"/>
    </row>
    <row r="66" spans="1:8" ht="12.75">
      <c r="A66" s="3">
        <v>65</v>
      </c>
      <c r="B66" s="3">
        <v>2025</v>
      </c>
      <c r="C66" s="3">
        <v>8</v>
      </c>
      <c r="D66" s="3" t="s">
        <v>12</v>
      </c>
      <c r="E66" s="4">
        <v>0</v>
      </c>
      <c r="F66" s="4">
        <v>374.76</v>
      </c>
      <c r="G66" s="4">
        <f t="shared" si="1"/>
        <v>-374.76</v>
      </c>
      <c r="H66" s="5"/>
    </row>
    <row r="67" spans="1:8" ht="12.75">
      <c r="A67" s="6">
        <v>66</v>
      </c>
      <c r="B67" s="6">
        <v>2025</v>
      </c>
      <c r="C67" s="6">
        <v>8</v>
      </c>
      <c r="D67" s="6" t="s">
        <v>14</v>
      </c>
      <c r="E67" s="7">
        <v>0</v>
      </c>
      <c r="F67" s="7">
        <v>0</v>
      </c>
      <c r="G67" s="7">
        <f t="shared" si="1"/>
        <v>0</v>
      </c>
      <c r="H67" s="8"/>
    </row>
    <row r="68" spans="1:8" ht="12.75">
      <c r="A68" s="3">
        <v>67</v>
      </c>
      <c r="B68" s="3">
        <v>2025</v>
      </c>
      <c r="C68" s="3">
        <v>8</v>
      </c>
      <c r="D68" s="3" t="s">
        <v>15</v>
      </c>
      <c r="E68" s="4">
        <f>SUM(Payssion!J125:J142)</f>
        <v>-674.8</v>
      </c>
      <c r="F68" s="4">
        <v>1000</v>
      </c>
      <c r="G68" s="4">
        <f t="shared" si="1"/>
        <v>-1674.8</v>
      </c>
      <c r="H68" s="5"/>
    </row>
    <row r="69" spans="1:8" ht="12.75">
      <c r="A69" s="6">
        <v>68</v>
      </c>
      <c r="B69" s="6">
        <v>2025</v>
      </c>
      <c r="C69" s="6">
        <v>8</v>
      </c>
      <c r="D69" s="6" t="s">
        <v>13</v>
      </c>
      <c r="E69" s="7">
        <v>0</v>
      </c>
      <c r="F69" s="7">
        <f>SUM(其它流水2025!L3:L5)*-1</f>
        <v>953.38</v>
      </c>
      <c r="G69" s="7">
        <f t="shared" si="1"/>
        <v>-953.38</v>
      </c>
      <c r="H69" s="8"/>
    </row>
    <row r="70" spans="1:8" ht="12.75">
      <c r="A70" s="3">
        <v>69</v>
      </c>
      <c r="B70" s="3">
        <v>2025</v>
      </c>
      <c r="C70" s="3">
        <v>8</v>
      </c>
      <c r="D70" s="3" t="s">
        <v>16</v>
      </c>
      <c r="E70" s="4">
        <v>0</v>
      </c>
      <c r="F70" s="4">
        <v>0</v>
      </c>
      <c r="G70" s="4">
        <f t="shared" si="1"/>
        <v>0</v>
      </c>
      <c r="H70" s="5"/>
    </row>
    <row r="71" spans="1:8" ht="12.75">
      <c r="A71" s="6">
        <v>70</v>
      </c>
      <c r="B71" s="6">
        <v>2025</v>
      </c>
      <c r="C71" s="6">
        <v>9</v>
      </c>
      <c r="D71" s="6" t="s">
        <v>8</v>
      </c>
      <c r="E71" s="7">
        <f>SUM(Mercury2025!F79:F93)</f>
        <v>1058</v>
      </c>
      <c r="F71" s="7">
        <f>SUM(Mercury2025!G79:G93)</f>
        <v>2790.01</v>
      </c>
      <c r="G71" s="7">
        <f t="shared" si="1"/>
        <v>-1732.0100000000002</v>
      </c>
      <c r="H71" s="8"/>
    </row>
    <row r="72" spans="1:8" ht="12.75">
      <c r="A72" s="3">
        <v>71</v>
      </c>
      <c r="B72" s="3">
        <v>2025</v>
      </c>
      <c r="C72" s="3">
        <v>9</v>
      </c>
      <c r="D72" s="3" t="s">
        <v>9</v>
      </c>
      <c r="E72" s="4">
        <f>SUM(PayPal2025!M224:M238)</f>
        <v>275.33</v>
      </c>
      <c r="F72" s="4">
        <f>SUM(PayPal2025!N224:N238)</f>
        <v>23.78</v>
      </c>
      <c r="G72" s="4">
        <f t="shared" si="1"/>
        <v>251.54999999999998</v>
      </c>
      <c r="H72" s="5"/>
    </row>
    <row r="73" spans="1:8" ht="12.75">
      <c r="A73" s="6">
        <v>72</v>
      </c>
      <c r="B73" s="6">
        <v>2025</v>
      </c>
      <c r="C73" s="6">
        <v>9</v>
      </c>
      <c r="D73" s="6" t="s">
        <v>10</v>
      </c>
      <c r="E73" s="7">
        <f>SUM(USDT2025!H212:H240)</f>
        <v>7885.9105763370135</v>
      </c>
      <c r="F73" s="7">
        <f>SUM(USDT2025!I212:I240)</f>
        <v>3348.4328169014084</v>
      </c>
      <c r="G73" s="7">
        <f t="shared" si="1"/>
        <v>4537.4777594356055</v>
      </c>
      <c r="H73" s="8"/>
    </row>
    <row r="74" spans="1:8" ht="12.75">
      <c r="A74" s="3">
        <v>73</v>
      </c>
      <c r="B74" s="3">
        <v>2025</v>
      </c>
      <c r="C74" s="3">
        <v>9</v>
      </c>
      <c r="D74" s="3" t="s">
        <v>11</v>
      </c>
      <c r="E74" s="4">
        <f>SUM(Wise2025!N72:N78)</f>
        <v>1453.02</v>
      </c>
      <c r="F74" s="4">
        <f>SUM(Wise2025!O72:O78)</f>
        <v>3861.13</v>
      </c>
      <c r="G74" s="4">
        <f t="shared" si="1"/>
        <v>-2408.11</v>
      </c>
      <c r="H74" s="5"/>
    </row>
    <row r="75" spans="1:8" ht="12.75">
      <c r="A75" s="6">
        <v>74</v>
      </c>
      <c r="B75" s="6">
        <v>2025</v>
      </c>
      <c r="C75" s="6">
        <v>9</v>
      </c>
      <c r="D75" s="6" t="s">
        <v>12</v>
      </c>
      <c r="E75" s="7">
        <v>0</v>
      </c>
      <c r="F75" s="7">
        <v>374.75799999999998</v>
      </c>
      <c r="G75" s="7">
        <f t="shared" si="1"/>
        <v>-374.75799999999998</v>
      </c>
      <c r="H75" s="8"/>
    </row>
    <row r="76" spans="1:8" ht="12.75">
      <c r="A76" s="3">
        <v>75</v>
      </c>
      <c r="B76" s="3">
        <v>2025</v>
      </c>
      <c r="C76" s="3">
        <v>9</v>
      </c>
      <c r="D76" s="3" t="s">
        <v>14</v>
      </c>
      <c r="E76" s="4">
        <v>0</v>
      </c>
      <c r="F76" s="4">
        <v>0</v>
      </c>
      <c r="G76" s="4">
        <f t="shared" si="1"/>
        <v>0</v>
      </c>
      <c r="H76" s="5"/>
    </row>
    <row r="77" spans="1:8" ht="12.75">
      <c r="A77" s="6">
        <v>76</v>
      </c>
      <c r="B77" s="6">
        <v>2025</v>
      </c>
      <c r="C77" s="6">
        <v>9</v>
      </c>
      <c r="D77" s="6" t="s">
        <v>15</v>
      </c>
      <c r="E77" s="7">
        <f>SUM(Payssion!J143:J216)</f>
        <v>-73.069999999999709</v>
      </c>
      <c r="F77" s="7">
        <v>0</v>
      </c>
      <c r="G77" s="7">
        <f t="shared" si="1"/>
        <v>-73.069999999999709</v>
      </c>
      <c r="H77" s="8"/>
    </row>
    <row r="78" spans="1:8" ht="12.75">
      <c r="A78" s="3">
        <v>77</v>
      </c>
      <c r="B78" s="3">
        <v>2025</v>
      </c>
      <c r="C78" s="3">
        <v>9</v>
      </c>
      <c r="D78" s="3" t="s">
        <v>13</v>
      </c>
      <c r="E78" s="4">
        <v>0</v>
      </c>
      <c r="F78" s="4">
        <f>SUM(其它流水2025!L6:L11)*-1</f>
        <v>1322.93</v>
      </c>
      <c r="G78" s="4">
        <f t="shared" si="1"/>
        <v>-1322.93</v>
      </c>
      <c r="H78" s="5"/>
    </row>
    <row r="79" spans="1:8" ht="12.75">
      <c r="A79" s="6">
        <v>78</v>
      </c>
      <c r="B79" s="6">
        <v>2025</v>
      </c>
      <c r="C79" s="6">
        <v>9</v>
      </c>
      <c r="D79" s="6" t="s">
        <v>16</v>
      </c>
      <c r="E79" s="7">
        <v>0</v>
      </c>
      <c r="F79" s="7">
        <v>0</v>
      </c>
      <c r="G79" s="7">
        <f t="shared" si="1"/>
        <v>0</v>
      </c>
      <c r="H79" s="8"/>
    </row>
    <row r="80" spans="1:8" ht="12.75">
      <c r="A80" s="3">
        <v>79</v>
      </c>
      <c r="B80" s="3">
        <v>2025</v>
      </c>
      <c r="C80" s="3">
        <v>10</v>
      </c>
      <c r="D80" s="3" t="s">
        <v>8</v>
      </c>
      <c r="E80" s="4">
        <f>SUM(Mercury2025!F94:F102)</f>
        <v>2046.57</v>
      </c>
      <c r="F80" s="4">
        <f>SUM(Mercury2025!G94:G102)</f>
        <v>1635.2599999999998</v>
      </c>
      <c r="G80" s="4">
        <f t="shared" si="1"/>
        <v>411.31000000000017</v>
      </c>
      <c r="H80" s="5"/>
    </row>
    <row r="81" spans="1:8" ht="12.75">
      <c r="A81" s="6">
        <v>80</v>
      </c>
      <c r="B81" s="6">
        <v>2025</v>
      </c>
      <c r="C81" s="6">
        <v>10</v>
      </c>
      <c r="D81" s="6" t="s">
        <v>9</v>
      </c>
      <c r="E81" s="7">
        <f>SUM(PayPal2025!M239:M262)</f>
        <v>142.05000000000001</v>
      </c>
      <c r="F81" s="7">
        <f>SUM(PayPal2025!N239:N262)</f>
        <v>756.21999999999991</v>
      </c>
      <c r="G81" s="7">
        <f t="shared" si="1"/>
        <v>-614.16999999999985</v>
      </c>
      <c r="H81" s="8"/>
    </row>
    <row r="82" spans="1:8" ht="12.75">
      <c r="A82" s="3">
        <v>81</v>
      </c>
      <c r="B82" s="3">
        <v>2025</v>
      </c>
      <c r="C82" s="3">
        <v>10</v>
      </c>
      <c r="D82" s="3" t="s">
        <v>10</v>
      </c>
      <c r="E82" s="4">
        <f>SUM(USDT2025!H241:H272)</f>
        <v>9058.8329022842681</v>
      </c>
      <c r="F82" s="4">
        <f>SUM(USDT2025!I241:I272)</f>
        <v>7261.6949295774648</v>
      </c>
      <c r="G82" s="4">
        <f t="shared" si="1"/>
        <v>1797.1379727068033</v>
      </c>
      <c r="H82" s="5"/>
    </row>
    <row r="83" spans="1:8" ht="12.75">
      <c r="A83" s="6">
        <v>82</v>
      </c>
      <c r="B83" s="6">
        <v>2025</v>
      </c>
      <c r="C83" s="6">
        <v>10</v>
      </c>
      <c r="D83" s="6" t="s">
        <v>11</v>
      </c>
      <c r="E83" s="7">
        <f>SUM(Wise2025!N79:N85)</f>
        <v>1537.55</v>
      </c>
      <c r="F83" s="7">
        <f>SUM(Wise2025!O79:O85)</f>
        <v>966.5</v>
      </c>
      <c r="G83" s="7">
        <f t="shared" si="1"/>
        <v>571.04999999999995</v>
      </c>
      <c r="H83" s="8"/>
    </row>
    <row r="84" spans="1:8" ht="12.75">
      <c r="A84" s="3">
        <v>83</v>
      </c>
      <c r="B84" s="3">
        <v>2025</v>
      </c>
      <c r="C84" s="3">
        <v>10</v>
      </c>
      <c r="D84" s="3" t="s">
        <v>12</v>
      </c>
      <c r="E84" s="4">
        <v>0</v>
      </c>
      <c r="F84" s="4">
        <v>374.75799999999998</v>
      </c>
      <c r="G84" s="4">
        <f t="shared" si="1"/>
        <v>-374.75799999999998</v>
      </c>
      <c r="H84" s="5"/>
    </row>
    <row r="85" spans="1:8" ht="12.75">
      <c r="A85" s="6">
        <v>84</v>
      </c>
      <c r="B85" s="6">
        <v>2025</v>
      </c>
      <c r="C85" s="6">
        <v>10</v>
      </c>
      <c r="D85" s="6" t="s">
        <v>14</v>
      </c>
      <c r="E85" s="7">
        <v>0</v>
      </c>
      <c r="F85" s="7">
        <v>0</v>
      </c>
      <c r="G85" s="7">
        <f t="shared" si="1"/>
        <v>0</v>
      </c>
      <c r="H85" s="8"/>
    </row>
    <row r="86" spans="1:8" ht="12.75">
      <c r="A86" s="3">
        <v>85</v>
      </c>
      <c r="B86" s="3">
        <v>2025</v>
      </c>
      <c r="C86" s="3">
        <v>10</v>
      </c>
      <c r="D86" s="3" t="s">
        <v>15</v>
      </c>
      <c r="E86" s="4">
        <f>SUM(Payssion!J217:J310,Payssion!J311)</f>
        <v>331.3299999999997</v>
      </c>
      <c r="F86" s="4">
        <v>0</v>
      </c>
      <c r="G86" s="4">
        <f t="shared" si="1"/>
        <v>331.3299999999997</v>
      </c>
      <c r="H86" s="5"/>
    </row>
    <row r="87" spans="1:8" ht="12.75">
      <c r="A87" s="6">
        <v>86</v>
      </c>
      <c r="B87" s="6">
        <v>2025</v>
      </c>
      <c r="C87" s="6">
        <v>10</v>
      </c>
      <c r="D87" s="6" t="s">
        <v>13</v>
      </c>
      <c r="E87" s="7">
        <v>0</v>
      </c>
      <c r="F87" s="7">
        <f>SUM(其它流水2025!L12)*-1</f>
        <v>670</v>
      </c>
      <c r="G87" s="7">
        <f t="shared" si="1"/>
        <v>-670</v>
      </c>
      <c r="H87" s="8"/>
    </row>
    <row r="88" spans="1:8" ht="12.75">
      <c r="A88" s="3">
        <v>87</v>
      </c>
      <c r="B88" s="3">
        <v>2025</v>
      </c>
      <c r="C88" s="3">
        <v>10</v>
      </c>
      <c r="D88" s="3" t="s">
        <v>16</v>
      </c>
      <c r="E88" s="4">
        <v>0</v>
      </c>
      <c r="F88" s="4">
        <v>0</v>
      </c>
      <c r="G88" s="4">
        <f t="shared" si="1"/>
        <v>0</v>
      </c>
      <c r="H88" s="5"/>
    </row>
    <row r="89" spans="1:8" ht="12.75">
      <c r="A89" s="6">
        <v>88</v>
      </c>
      <c r="B89" s="6">
        <v>2025</v>
      </c>
      <c r="C89" s="6">
        <v>11</v>
      </c>
      <c r="D89" s="6" t="s">
        <v>8</v>
      </c>
      <c r="E89" s="7">
        <f>SUM(Mercury2025!F103:F112)</f>
        <v>4887.66</v>
      </c>
      <c r="F89" s="7">
        <f>SUM(Mercury2025!G103:G112)</f>
        <v>38.979999999999997</v>
      </c>
      <c r="G89" s="7">
        <f t="shared" si="1"/>
        <v>4848.68</v>
      </c>
      <c r="H89" s="8"/>
    </row>
    <row r="90" spans="1:8" ht="12.75">
      <c r="A90" s="3">
        <v>89</v>
      </c>
      <c r="B90" s="3">
        <v>2025</v>
      </c>
      <c r="C90" s="3">
        <v>11</v>
      </c>
      <c r="D90" s="3" t="s">
        <v>9</v>
      </c>
      <c r="E90" s="4">
        <f>SUM(PayPal2025!M263:M304)</f>
        <v>372</v>
      </c>
      <c r="F90" s="4">
        <f>SUM(PayPal2025!N263:N304)</f>
        <v>77.19</v>
      </c>
      <c r="G90" s="4">
        <f t="shared" si="1"/>
        <v>294.81</v>
      </c>
      <c r="H90" s="5"/>
    </row>
    <row r="91" spans="1:8" ht="12.75">
      <c r="A91" s="6">
        <v>90</v>
      </c>
      <c r="B91" s="6">
        <v>2025</v>
      </c>
      <c r="C91" s="6">
        <v>11</v>
      </c>
      <c r="D91" s="6" t="s">
        <v>10</v>
      </c>
      <c r="E91" s="7">
        <f>SUM(USDT2025!H273:H320)</f>
        <v>6391.3872726950967</v>
      </c>
      <c r="F91" s="7">
        <f>SUM(USDT2025!I273:I320)</f>
        <v>18238.8449</v>
      </c>
      <c r="G91" s="7">
        <f t="shared" si="1"/>
        <v>-11847.457627304902</v>
      </c>
      <c r="H91" s="8"/>
    </row>
    <row r="92" spans="1:8" ht="12.75">
      <c r="A92" s="3">
        <v>91</v>
      </c>
      <c r="B92" s="3">
        <v>2025</v>
      </c>
      <c r="C92" s="3">
        <v>11</v>
      </c>
      <c r="D92" s="3" t="s">
        <v>11</v>
      </c>
      <c r="E92" s="4">
        <f>SUM(Wise2025!N86:N91)</f>
        <v>2473.0100000000002</v>
      </c>
      <c r="F92" s="4">
        <f>SUM(Wise2025!O86:O91)</f>
        <v>1420</v>
      </c>
      <c r="G92" s="4">
        <f t="shared" si="1"/>
        <v>1053.0100000000002</v>
      </c>
      <c r="H92" s="5"/>
    </row>
    <row r="93" spans="1:8" ht="12.75">
      <c r="A93" s="6">
        <v>92</v>
      </c>
      <c r="B93" s="6">
        <v>2025</v>
      </c>
      <c r="C93" s="6">
        <v>11</v>
      </c>
      <c r="D93" s="6" t="s">
        <v>12</v>
      </c>
      <c r="E93" s="7">
        <v>0</v>
      </c>
      <c r="F93" s="7">
        <v>374.78699999999998</v>
      </c>
      <c r="G93" s="7">
        <f t="shared" si="1"/>
        <v>-374.78699999999998</v>
      </c>
      <c r="H93" s="8"/>
    </row>
    <row r="94" spans="1:8" ht="12.75">
      <c r="A94" s="3">
        <v>93</v>
      </c>
      <c r="B94" s="3">
        <v>2025</v>
      </c>
      <c r="C94" s="3">
        <v>11</v>
      </c>
      <c r="D94" s="3" t="s">
        <v>14</v>
      </c>
      <c r="E94" s="4">
        <f>SUM(支付宝!H4)</f>
        <v>460</v>
      </c>
      <c r="F94" s="4">
        <v>0</v>
      </c>
      <c r="G94" s="4">
        <f t="shared" si="1"/>
        <v>460</v>
      </c>
      <c r="H94" s="5"/>
    </row>
    <row r="95" spans="1:8" ht="12.75">
      <c r="A95" s="6">
        <v>94</v>
      </c>
      <c r="B95" s="6">
        <v>2025</v>
      </c>
      <c r="C95" s="6">
        <v>11</v>
      </c>
      <c r="D95" s="6" t="s">
        <v>15</v>
      </c>
      <c r="E95" s="7">
        <f>SUM(Payssion!J312:J429)</f>
        <v>81.210000000000946</v>
      </c>
      <c r="F95" s="7">
        <v>0</v>
      </c>
      <c r="G95" s="7">
        <f t="shared" si="1"/>
        <v>81.210000000000946</v>
      </c>
      <c r="H95" s="8"/>
    </row>
    <row r="96" spans="1:8" ht="12.75">
      <c r="A96" s="3">
        <v>95</v>
      </c>
      <c r="B96" s="3">
        <v>2025</v>
      </c>
      <c r="C96" s="3">
        <v>11</v>
      </c>
      <c r="D96" s="3" t="s">
        <v>13</v>
      </c>
      <c r="E96" s="4">
        <v>0</v>
      </c>
      <c r="F96" s="4">
        <f>SUM(其它流水2025!L13:L14)*-1</f>
        <v>760</v>
      </c>
      <c r="G96" s="4">
        <f t="shared" si="1"/>
        <v>-760</v>
      </c>
      <c r="H96" s="5"/>
    </row>
    <row r="97" spans="1:8" ht="12.75">
      <c r="A97" s="6">
        <v>96</v>
      </c>
      <c r="B97" s="6">
        <v>2025</v>
      </c>
      <c r="C97" s="6">
        <v>11</v>
      </c>
      <c r="D97" s="6" t="s">
        <v>16</v>
      </c>
      <c r="E97" s="7">
        <v>0</v>
      </c>
      <c r="F97" s="7">
        <v>0</v>
      </c>
      <c r="G97" s="7">
        <f t="shared" si="1"/>
        <v>0</v>
      </c>
      <c r="H97" s="8"/>
    </row>
    <row r="98" spans="1:8" ht="12.75">
      <c r="A98" s="3">
        <v>97</v>
      </c>
      <c r="B98" s="3">
        <v>2025</v>
      </c>
      <c r="C98" s="3">
        <v>12</v>
      </c>
      <c r="D98" s="3" t="s">
        <v>8</v>
      </c>
      <c r="E98" s="4">
        <f>SUM(Mercury2025!F113:F123)</f>
        <v>3287.52</v>
      </c>
      <c r="F98" s="4">
        <f>SUM(Mercury2025!G113:G123)</f>
        <v>1438.26</v>
      </c>
      <c r="G98" s="4">
        <f t="shared" si="1"/>
        <v>1849.26</v>
      </c>
      <c r="H98" s="5"/>
    </row>
    <row r="99" spans="1:8" ht="12.75">
      <c r="A99" s="6">
        <v>98</v>
      </c>
      <c r="B99" s="6">
        <v>2025</v>
      </c>
      <c r="C99" s="6">
        <v>12</v>
      </c>
      <c r="D99" s="6" t="s">
        <v>9</v>
      </c>
      <c r="E99" s="7">
        <f>SUM(PayPal2025!M305:M350)</f>
        <v>588.13</v>
      </c>
      <c r="F99" s="7">
        <f>SUM(PayPal2025!N305:N350)</f>
        <v>167.09</v>
      </c>
      <c r="G99" s="7">
        <f t="shared" si="1"/>
        <v>421.03999999999996</v>
      </c>
      <c r="H99" s="8"/>
    </row>
    <row r="100" spans="1:8" ht="12.75">
      <c r="A100" s="3">
        <v>99</v>
      </c>
      <c r="B100" s="3">
        <v>2025</v>
      </c>
      <c r="C100" s="3">
        <v>12</v>
      </c>
      <c r="D100" s="3" t="s">
        <v>10</v>
      </c>
      <c r="E100" s="4">
        <f>SUM(USDT2025!H320:H347)</f>
        <v>3021.7641065574412</v>
      </c>
      <c r="F100" s="4">
        <f>SUM(USDT2025!I320:I347)</f>
        <v>7536.2999999999993</v>
      </c>
      <c r="G100" s="4">
        <f t="shared" si="1"/>
        <v>-4514.5358934425585</v>
      </c>
      <c r="H100" s="5"/>
    </row>
    <row r="101" spans="1:8" ht="12.75">
      <c r="A101" s="6">
        <v>100</v>
      </c>
      <c r="B101" s="6">
        <v>2025</v>
      </c>
      <c r="C101" s="6">
        <v>12</v>
      </c>
      <c r="D101" s="6" t="s">
        <v>11</v>
      </c>
      <c r="E101" s="7">
        <f>SUM(Wise2025!N92:N98)</f>
        <v>978.31</v>
      </c>
      <c r="F101" s="7">
        <f>SUM(Wise2025!O92:O98)</f>
        <v>1501.13</v>
      </c>
      <c r="G101" s="7">
        <f t="shared" si="1"/>
        <v>-522.82000000000016</v>
      </c>
      <c r="H101" s="8"/>
    </row>
    <row r="102" spans="1:8" ht="12.75">
      <c r="A102" s="3">
        <v>101</v>
      </c>
      <c r="B102" s="3">
        <v>2025</v>
      </c>
      <c r="C102" s="3">
        <v>12</v>
      </c>
      <c r="D102" s="3" t="s">
        <v>12</v>
      </c>
      <c r="E102" s="4">
        <v>0</v>
      </c>
      <c r="F102" s="4">
        <f>SUM(TUTU账目!G20:G22)</f>
        <v>1028.105</v>
      </c>
      <c r="G102" s="4">
        <f t="shared" si="1"/>
        <v>-1028.105</v>
      </c>
      <c r="H102" s="5"/>
    </row>
    <row r="103" spans="1:8" ht="12.75">
      <c r="A103" s="6">
        <v>102</v>
      </c>
      <c r="B103" s="6">
        <v>2025</v>
      </c>
      <c r="C103" s="6">
        <v>12</v>
      </c>
      <c r="D103" s="6" t="s">
        <v>14</v>
      </c>
      <c r="E103" s="7">
        <v>0</v>
      </c>
      <c r="F103" s="7">
        <v>0</v>
      </c>
      <c r="G103" s="7">
        <f t="shared" si="1"/>
        <v>0</v>
      </c>
      <c r="H103" s="8"/>
    </row>
    <row r="104" spans="1:8" ht="12.75">
      <c r="A104" s="3">
        <v>103</v>
      </c>
      <c r="B104" s="3">
        <v>2025</v>
      </c>
      <c r="C104" s="3">
        <v>12</v>
      </c>
      <c r="D104" s="3" t="s">
        <v>15</v>
      </c>
      <c r="E104" s="4">
        <f>SUM(Payssion!J430:J494)</f>
        <v>32.170000000000059</v>
      </c>
      <c r="F104" s="4">
        <v>0</v>
      </c>
      <c r="G104" s="4">
        <f t="shared" si="1"/>
        <v>32.170000000000059</v>
      </c>
      <c r="H104" s="5"/>
    </row>
    <row r="105" spans="1:8" ht="12.75">
      <c r="A105" s="6">
        <v>104</v>
      </c>
      <c r="B105" s="6">
        <v>2025</v>
      </c>
      <c r="C105" s="6">
        <v>12</v>
      </c>
      <c r="D105" s="6" t="s">
        <v>13</v>
      </c>
      <c r="E105" s="7">
        <v>0</v>
      </c>
      <c r="F105" s="7">
        <v>0</v>
      </c>
      <c r="G105" s="7">
        <f t="shared" si="1"/>
        <v>0</v>
      </c>
      <c r="H105" s="8"/>
    </row>
    <row r="106" spans="1:8" ht="12.75">
      <c r="A106" s="3">
        <v>105</v>
      </c>
      <c r="B106" s="3">
        <v>2025</v>
      </c>
      <c r="C106" s="3">
        <v>12</v>
      </c>
      <c r="D106" s="3" t="s">
        <v>16</v>
      </c>
      <c r="E106" s="4"/>
      <c r="F106" s="4"/>
      <c r="G106" s="4">
        <f t="shared" si="1"/>
        <v>0</v>
      </c>
      <c r="H106" s="5"/>
    </row>
    <row r="107" spans="1:8" ht="12.75">
      <c r="A107" s="6"/>
      <c r="B107" s="8"/>
      <c r="C107" s="8"/>
      <c r="D107" s="8"/>
      <c r="E107" s="8"/>
      <c r="F107" s="8"/>
      <c r="G107" s="8"/>
      <c r="H107" s="8"/>
    </row>
    <row r="108" spans="1:8" ht="12.75">
      <c r="A108" s="351"/>
      <c r="B108" s="352"/>
      <c r="C108" s="352"/>
      <c r="D108" s="353"/>
      <c r="E108" s="10">
        <f t="shared" ref="E108:G108" si="2">SUM(E2:E107)</f>
        <v>127261.85729330299</v>
      </c>
      <c r="F108" s="10">
        <f t="shared" si="2"/>
        <v>130034.09324647886</v>
      </c>
      <c r="G108" s="10">
        <f t="shared" si="2"/>
        <v>-2772.2359531759103</v>
      </c>
      <c r="H108" s="11"/>
    </row>
    <row r="109" spans="1:8" ht="12.75">
      <c r="A109" s="12"/>
    </row>
    <row r="110" spans="1:8" ht="12.75">
      <c r="A110" s="12"/>
    </row>
    <row r="111" spans="1:8" ht="12.75">
      <c r="A111" s="12"/>
    </row>
    <row r="112" spans="1:8" ht="12.75">
      <c r="A112" s="12"/>
    </row>
    <row r="113" spans="1:1" ht="12.75">
      <c r="A113" s="12"/>
    </row>
    <row r="114" spans="1:1" ht="12.75">
      <c r="A114" s="12"/>
    </row>
    <row r="115" spans="1:1" ht="12.75">
      <c r="A115" s="12"/>
    </row>
    <row r="116" spans="1:1" ht="12.75">
      <c r="A116" s="12"/>
    </row>
    <row r="117" spans="1:1" ht="12.75">
      <c r="A117" s="12"/>
    </row>
    <row r="118" spans="1:1" ht="12.75">
      <c r="A118" s="12"/>
    </row>
    <row r="119" spans="1:1" ht="12.75">
      <c r="A119" s="12"/>
    </row>
    <row r="120" spans="1:1" ht="12.75">
      <c r="A120" s="12"/>
    </row>
    <row r="121" spans="1:1" ht="12.75">
      <c r="A121" s="12"/>
    </row>
    <row r="122" spans="1:1" ht="12.75">
      <c r="A122" s="12"/>
    </row>
    <row r="123" spans="1:1" ht="12.75">
      <c r="A123" s="12"/>
    </row>
    <row r="124" spans="1:1" ht="12.75">
      <c r="A124" s="12"/>
    </row>
    <row r="125" spans="1:1" ht="12.75">
      <c r="A125" s="12"/>
    </row>
    <row r="126" spans="1:1" ht="12.75">
      <c r="A126" s="12"/>
    </row>
    <row r="127" spans="1:1" ht="12.75">
      <c r="A127" s="12"/>
    </row>
    <row r="128" spans="1:1" ht="12.75">
      <c r="A128" s="12"/>
    </row>
    <row r="129" spans="1:1" ht="12.75">
      <c r="A129" s="12"/>
    </row>
    <row r="130" spans="1:1" ht="12.75">
      <c r="A130" s="12"/>
    </row>
    <row r="131" spans="1:1" ht="12.75">
      <c r="A131" s="12"/>
    </row>
    <row r="132" spans="1:1" ht="12.75">
      <c r="A132" s="12"/>
    </row>
    <row r="133" spans="1:1" ht="12.75">
      <c r="A133" s="12"/>
    </row>
    <row r="134" spans="1:1" ht="12.75">
      <c r="A134" s="12"/>
    </row>
    <row r="135" spans="1:1" ht="12.75">
      <c r="A135" s="12"/>
    </row>
    <row r="136" spans="1:1" ht="12.75">
      <c r="A136" s="12"/>
    </row>
    <row r="137" spans="1:1" ht="12.75">
      <c r="A137" s="12"/>
    </row>
    <row r="138" spans="1:1" ht="12.75">
      <c r="A138" s="12"/>
    </row>
    <row r="139" spans="1:1" ht="12.75">
      <c r="A139" s="12"/>
    </row>
    <row r="140" spans="1:1" ht="12.75">
      <c r="A140" s="12"/>
    </row>
    <row r="141" spans="1:1" ht="12.75">
      <c r="A141" s="12"/>
    </row>
    <row r="142" spans="1:1" ht="12.75">
      <c r="A142" s="12"/>
    </row>
    <row r="143" spans="1:1" ht="12.75">
      <c r="A143" s="12"/>
    </row>
    <row r="144" spans="1:1" ht="12.75">
      <c r="A144" s="12"/>
    </row>
    <row r="145" spans="1:1" ht="12.75">
      <c r="A145" s="12"/>
    </row>
    <row r="146" spans="1:1" ht="12.75">
      <c r="A146" s="12"/>
    </row>
    <row r="147" spans="1:1" ht="12.75">
      <c r="A147" s="12"/>
    </row>
    <row r="148" spans="1:1" ht="12.75">
      <c r="A148" s="12"/>
    </row>
    <row r="149" spans="1:1" ht="12.75">
      <c r="A149" s="12"/>
    </row>
    <row r="150" spans="1:1" ht="12.75">
      <c r="A150" s="12"/>
    </row>
    <row r="151" spans="1:1" ht="12.75">
      <c r="A151" s="12"/>
    </row>
    <row r="152" spans="1:1" ht="12.75">
      <c r="A152" s="12"/>
    </row>
    <row r="153" spans="1:1" ht="12.75">
      <c r="A153" s="12"/>
    </row>
    <row r="154" spans="1:1" ht="12.75">
      <c r="A154" s="12"/>
    </row>
    <row r="155" spans="1:1" ht="12.75">
      <c r="A155" s="12"/>
    </row>
    <row r="156" spans="1:1" ht="12.75">
      <c r="A156" s="12"/>
    </row>
    <row r="157" spans="1:1" ht="12.75">
      <c r="A157" s="12"/>
    </row>
    <row r="158" spans="1:1" ht="12.75">
      <c r="A158" s="12"/>
    </row>
    <row r="159" spans="1:1" ht="12.75">
      <c r="A159" s="12"/>
    </row>
    <row r="160" spans="1:1" ht="12.75">
      <c r="A160" s="12"/>
    </row>
    <row r="161" spans="1:1" ht="12.75">
      <c r="A161" s="12"/>
    </row>
    <row r="162" spans="1:1" ht="12.75">
      <c r="A162" s="12"/>
    </row>
    <row r="163" spans="1:1" ht="12.75">
      <c r="A163" s="12"/>
    </row>
    <row r="164" spans="1:1" ht="12.75">
      <c r="A164" s="12"/>
    </row>
    <row r="165" spans="1:1" ht="12.75">
      <c r="A165" s="12"/>
    </row>
    <row r="166" spans="1:1" ht="12.75">
      <c r="A166" s="12"/>
    </row>
    <row r="167" spans="1:1" ht="12.75">
      <c r="A167" s="12"/>
    </row>
    <row r="168" spans="1:1" ht="12.75">
      <c r="A168" s="12"/>
    </row>
    <row r="169" spans="1:1" ht="12.75">
      <c r="A169" s="12"/>
    </row>
    <row r="170" spans="1:1" ht="12.75">
      <c r="A170" s="12"/>
    </row>
    <row r="171" spans="1:1" ht="12.75">
      <c r="A171" s="12"/>
    </row>
    <row r="172" spans="1:1" ht="12.75">
      <c r="A172" s="12"/>
    </row>
    <row r="173" spans="1:1" ht="12.75">
      <c r="A173" s="12"/>
    </row>
    <row r="174" spans="1:1" ht="12.75">
      <c r="A174" s="12"/>
    </row>
    <row r="175" spans="1:1" ht="12.75">
      <c r="A175" s="12"/>
    </row>
    <row r="176" spans="1:1" ht="12.75">
      <c r="A176" s="12"/>
    </row>
    <row r="177" spans="1:1" ht="12.75">
      <c r="A177" s="12"/>
    </row>
    <row r="178" spans="1:1" ht="12.75">
      <c r="A178" s="12"/>
    </row>
    <row r="179" spans="1:1" ht="12.75">
      <c r="A179" s="12"/>
    </row>
    <row r="180" spans="1:1" ht="12.75">
      <c r="A180" s="12"/>
    </row>
    <row r="181" spans="1:1" ht="12.75">
      <c r="A181" s="12"/>
    </row>
    <row r="182" spans="1:1" ht="12.75">
      <c r="A182" s="12"/>
    </row>
    <row r="183" spans="1:1" ht="12.75">
      <c r="A183" s="12"/>
    </row>
    <row r="184" spans="1:1" ht="12.75">
      <c r="A184" s="12"/>
    </row>
    <row r="185" spans="1:1" ht="12.75">
      <c r="A185" s="12"/>
    </row>
    <row r="186" spans="1:1" ht="12.75">
      <c r="A186" s="12"/>
    </row>
    <row r="187" spans="1:1" ht="12.75">
      <c r="A187" s="12"/>
    </row>
    <row r="188" spans="1:1" ht="12.75">
      <c r="A188" s="12"/>
    </row>
    <row r="189" spans="1:1" ht="12.75">
      <c r="A189" s="12"/>
    </row>
    <row r="190" spans="1:1" ht="12.75">
      <c r="A190" s="12"/>
    </row>
    <row r="191" spans="1:1" ht="12.75">
      <c r="A191" s="12"/>
    </row>
    <row r="192" spans="1:1" ht="12.75">
      <c r="A192" s="12"/>
    </row>
    <row r="193" spans="1:1" ht="12.75">
      <c r="A193" s="12"/>
    </row>
    <row r="194" spans="1:1" ht="12.75">
      <c r="A194" s="12"/>
    </row>
    <row r="195" spans="1:1" ht="12.75">
      <c r="A195" s="12"/>
    </row>
    <row r="196" spans="1:1" ht="12.75">
      <c r="A196" s="12"/>
    </row>
    <row r="197" spans="1:1" ht="12.75">
      <c r="A197" s="12"/>
    </row>
    <row r="198" spans="1:1" ht="12.75">
      <c r="A198" s="12"/>
    </row>
    <row r="199" spans="1:1" ht="12.75">
      <c r="A199" s="12"/>
    </row>
    <row r="200" spans="1:1" ht="12.75">
      <c r="A200" s="12"/>
    </row>
    <row r="201" spans="1:1" ht="12.75">
      <c r="A201" s="12"/>
    </row>
    <row r="202" spans="1:1" ht="12.75">
      <c r="A202" s="12"/>
    </row>
    <row r="203" spans="1:1" ht="12.75">
      <c r="A203" s="12"/>
    </row>
    <row r="204" spans="1:1" ht="12.75">
      <c r="A204" s="12"/>
    </row>
    <row r="205" spans="1:1" ht="12.75">
      <c r="A205" s="12"/>
    </row>
    <row r="206" spans="1:1" ht="12.75">
      <c r="A206" s="12"/>
    </row>
    <row r="207" spans="1:1" ht="12.75">
      <c r="A207" s="12"/>
    </row>
    <row r="208" spans="1:1" ht="12.75">
      <c r="A208" s="12"/>
    </row>
    <row r="209" spans="1:1" ht="12.75">
      <c r="A209" s="12"/>
    </row>
    <row r="210" spans="1:1" ht="12.75">
      <c r="A210" s="12"/>
    </row>
    <row r="211" spans="1:1" ht="12.75">
      <c r="A211" s="12"/>
    </row>
    <row r="212" spans="1:1" ht="12.75">
      <c r="A212" s="12"/>
    </row>
    <row r="213" spans="1:1" ht="12.75">
      <c r="A213" s="12"/>
    </row>
    <row r="214" spans="1:1" ht="12.75">
      <c r="A214" s="12"/>
    </row>
    <row r="215" spans="1:1" ht="12.75">
      <c r="A215" s="12"/>
    </row>
    <row r="216" spans="1:1" ht="12.75">
      <c r="A216" s="12"/>
    </row>
    <row r="217" spans="1:1" ht="12.75">
      <c r="A217" s="12"/>
    </row>
    <row r="218" spans="1:1" ht="12.75">
      <c r="A218" s="12"/>
    </row>
    <row r="219" spans="1:1" ht="12.75">
      <c r="A219" s="12"/>
    </row>
    <row r="220" spans="1:1" ht="12.75">
      <c r="A220" s="12"/>
    </row>
    <row r="221" spans="1:1" ht="12.75">
      <c r="A221" s="12"/>
    </row>
    <row r="222" spans="1:1" ht="12.75">
      <c r="A222" s="12"/>
    </row>
    <row r="223" spans="1:1" ht="12.75">
      <c r="A223" s="12"/>
    </row>
    <row r="224" spans="1:1" ht="12.75">
      <c r="A224" s="12"/>
    </row>
    <row r="225" spans="1:1" ht="12.75">
      <c r="A225" s="12"/>
    </row>
    <row r="226" spans="1:1" ht="12.75">
      <c r="A226" s="12"/>
    </row>
    <row r="227" spans="1:1" ht="12.75">
      <c r="A227" s="12"/>
    </row>
    <row r="228" spans="1:1" ht="12.75">
      <c r="A228" s="12"/>
    </row>
    <row r="229" spans="1:1" ht="12.75">
      <c r="A229" s="12"/>
    </row>
    <row r="230" spans="1:1" ht="12.75">
      <c r="A230" s="12"/>
    </row>
    <row r="231" spans="1:1" ht="12.75">
      <c r="A231" s="12"/>
    </row>
    <row r="232" spans="1:1" ht="12.75">
      <c r="A232" s="12"/>
    </row>
    <row r="233" spans="1:1" ht="12.75">
      <c r="A233" s="12"/>
    </row>
    <row r="234" spans="1:1" ht="12.75">
      <c r="A234" s="12"/>
    </row>
    <row r="235" spans="1:1" ht="12.75">
      <c r="A235" s="12"/>
    </row>
    <row r="236" spans="1:1" ht="12.75">
      <c r="A236" s="12"/>
    </row>
    <row r="237" spans="1:1" ht="12.75">
      <c r="A237" s="12"/>
    </row>
    <row r="238" spans="1:1" ht="12.75">
      <c r="A238" s="12"/>
    </row>
    <row r="239" spans="1:1" ht="12.75">
      <c r="A239" s="12"/>
    </row>
    <row r="240" spans="1:1" ht="12.75">
      <c r="A240" s="12"/>
    </row>
    <row r="241" spans="1:1" ht="12.75">
      <c r="A241" s="12"/>
    </row>
    <row r="242" spans="1:1" ht="12.75">
      <c r="A242" s="12"/>
    </row>
    <row r="243" spans="1:1" ht="12.75">
      <c r="A243" s="12"/>
    </row>
    <row r="244" spans="1:1" ht="12.75">
      <c r="A244" s="12"/>
    </row>
    <row r="245" spans="1:1" ht="12.75">
      <c r="A245" s="12"/>
    </row>
    <row r="246" spans="1:1" ht="12.75">
      <c r="A246" s="12"/>
    </row>
    <row r="247" spans="1:1" ht="12.75">
      <c r="A247" s="12"/>
    </row>
    <row r="248" spans="1:1" ht="12.75">
      <c r="A248" s="12"/>
    </row>
    <row r="249" spans="1:1" ht="12.75">
      <c r="A249" s="12"/>
    </row>
    <row r="250" spans="1:1" ht="12.75">
      <c r="A250" s="12"/>
    </row>
    <row r="251" spans="1:1" ht="12.75">
      <c r="A251" s="12"/>
    </row>
    <row r="252" spans="1:1" ht="12.75">
      <c r="A252" s="12"/>
    </row>
    <row r="253" spans="1:1" ht="12.75">
      <c r="A253" s="12"/>
    </row>
    <row r="254" spans="1:1" ht="12.75">
      <c r="A254" s="12"/>
    </row>
    <row r="255" spans="1:1" ht="12.75">
      <c r="A255" s="12"/>
    </row>
    <row r="256" spans="1:1" ht="12.75">
      <c r="A256" s="12"/>
    </row>
    <row r="257" spans="1:1" ht="12.75">
      <c r="A257" s="12"/>
    </row>
    <row r="258" spans="1:1" ht="12.75">
      <c r="A258" s="12"/>
    </row>
    <row r="259" spans="1:1" ht="12.75">
      <c r="A259" s="12"/>
    </row>
    <row r="260" spans="1:1" ht="12.75">
      <c r="A260" s="12"/>
    </row>
    <row r="261" spans="1:1" ht="12.75">
      <c r="A261" s="12"/>
    </row>
    <row r="262" spans="1:1" ht="12.75">
      <c r="A262" s="12"/>
    </row>
    <row r="263" spans="1:1" ht="12.75">
      <c r="A263" s="12"/>
    </row>
    <row r="264" spans="1:1" ht="12.75">
      <c r="A264" s="12"/>
    </row>
    <row r="265" spans="1:1" ht="12.75">
      <c r="A265" s="12"/>
    </row>
    <row r="266" spans="1:1" ht="12.75">
      <c r="A266" s="12"/>
    </row>
    <row r="267" spans="1:1" ht="12.75">
      <c r="A267" s="12"/>
    </row>
    <row r="268" spans="1:1" ht="12.75">
      <c r="A268" s="12"/>
    </row>
    <row r="269" spans="1:1" ht="12.75">
      <c r="A269" s="12"/>
    </row>
    <row r="270" spans="1:1" ht="12.75">
      <c r="A270" s="12"/>
    </row>
    <row r="271" spans="1:1" ht="12.75">
      <c r="A271" s="12"/>
    </row>
    <row r="272" spans="1:1" ht="12.75">
      <c r="A272" s="12"/>
    </row>
    <row r="273" spans="1:1" ht="12.75">
      <c r="A273" s="12"/>
    </row>
    <row r="274" spans="1:1" ht="12.75">
      <c r="A274" s="12"/>
    </row>
    <row r="275" spans="1:1" ht="12.75">
      <c r="A275" s="12"/>
    </row>
    <row r="276" spans="1:1" ht="12.75">
      <c r="A276" s="12"/>
    </row>
    <row r="277" spans="1:1" ht="12.75">
      <c r="A277" s="12"/>
    </row>
    <row r="278" spans="1:1" ht="12.75">
      <c r="A278" s="12"/>
    </row>
    <row r="279" spans="1:1" ht="12.75">
      <c r="A279" s="12"/>
    </row>
    <row r="280" spans="1:1" ht="12.75">
      <c r="A280" s="12"/>
    </row>
    <row r="281" spans="1:1" ht="12.75">
      <c r="A281" s="12"/>
    </row>
    <row r="282" spans="1:1" ht="12.75">
      <c r="A282" s="12"/>
    </row>
    <row r="283" spans="1:1" ht="12.75">
      <c r="A283" s="12"/>
    </row>
    <row r="284" spans="1:1" ht="12.75">
      <c r="A284" s="12"/>
    </row>
    <row r="285" spans="1:1" ht="12.75">
      <c r="A285" s="12"/>
    </row>
    <row r="286" spans="1:1" ht="12.75">
      <c r="A286" s="12"/>
    </row>
    <row r="287" spans="1:1" ht="12.75">
      <c r="A287" s="12"/>
    </row>
    <row r="288" spans="1:1" ht="12.75">
      <c r="A288" s="12"/>
    </row>
    <row r="289" spans="1:1" ht="12.75">
      <c r="A289" s="12"/>
    </row>
    <row r="290" spans="1:1" ht="12.75">
      <c r="A290" s="12"/>
    </row>
    <row r="291" spans="1:1" ht="12.75">
      <c r="A291" s="12"/>
    </row>
    <row r="292" spans="1:1" ht="12.75">
      <c r="A292" s="12"/>
    </row>
    <row r="293" spans="1:1" ht="12.75">
      <c r="A293" s="12"/>
    </row>
    <row r="294" spans="1:1" ht="12.75">
      <c r="A294" s="12"/>
    </row>
    <row r="295" spans="1:1" ht="12.75">
      <c r="A295" s="12"/>
    </row>
    <row r="296" spans="1:1" ht="12.75">
      <c r="A296" s="12"/>
    </row>
    <row r="297" spans="1:1" ht="12.75">
      <c r="A297" s="12"/>
    </row>
    <row r="298" spans="1:1" ht="12.75">
      <c r="A298" s="12"/>
    </row>
    <row r="299" spans="1:1" ht="12.75">
      <c r="A299" s="12"/>
    </row>
    <row r="300" spans="1:1" ht="12.75">
      <c r="A300" s="12"/>
    </row>
    <row r="301" spans="1:1" ht="12.75">
      <c r="A301" s="12"/>
    </row>
    <row r="302" spans="1:1" ht="12.75">
      <c r="A302" s="12"/>
    </row>
    <row r="303" spans="1:1" ht="12.75">
      <c r="A303" s="12"/>
    </row>
    <row r="304" spans="1:1" ht="12.75">
      <c r="A304" s="12"/>
    </row>
    <row r="305" spans="1:1" ht="12.75">
      <c r="A305" s="12"/>
    </row>
    <row r="306" spans="1:1" ht="12.75">
      <c r="A306" s="12"/>
    </row>
    <row r="307" spans="1:1" ht="12.75">
      <c r="A307" s="12"/>
    </row>
    <row r="308" spans="1:1" ht="12.75">
      <c r="A308" s="12"/>
    </row>
    <row r="309" spans="1:1" ht="12.75">
      <c r="A309" s="12"/>
    </row>
    <row r="310" spans="1:1" ht="12.75">
      <c r="A310" s="12"/>
    </row>
    <row r="311" spans="1:1" ht="12.75">
      <c r="A311" s="12"/>
    </row>
    <row r="312" spans="1:1" ht="12.75">
      <c r="A312" s="12"/>
    </row>
    <row r="313" spans="1:1" ht="12.75">
      <c r="A313" s="12"/>
    </row>
    <row r="314" spans="1:1" ht="12.75">
      <c r="A314" s="12"/>
    </row>
    <row r="315" spans="1:1" ht="12.75">
      <c r="A315" s="12"/>
    </row>
    <row r="316" spans="1:1" ht="12.75">
      <c r="A316" s="12"/>
    </row>
    <row r="317" spans="1:1" ht="12.75">
      <c r="A317" s="12"/>
    </row>
    <row r="318" spans="1:1" ht="12.75">
      <c r="A318" s="12"/>
    </row>
    <row r="319" spans="1:1" ht="12.75">
      <c r="A319" s="12"/>
    </row>
    <row r="320" spans="1:1" ht="12.75">
      <c r="A320" s="12"/>
    </row>
    <row r="321" spans="1:1" ht="12.75">
      <c r="A321" s="12"/>
    </row>
    <row r="322" spans="1:1" ht="12.75">
      <c r="A322" s="12"/>
    </row>
    <row r="323" spans="1:1" ht="12.75">
      <c r="A323" s="12"/>
    </row>
    <row r="324" spans="1:1" ht="12.75">
      <c r="A324" s="12"/>
    </row>
    <row r="325" spans="1:1" ht="12.75">
      <c r="A325" s="12"/>
    </row>
    <row r="326" spans="1:1" ht="12.75">
      <c r="A326" s="12"/>
    </row>
    <row r="327" spans="1:1" ht="12.75">
      <c r="A327" s="12"/>
    </row>
    <row r="328" spans="1:1" ht="12.75">
      <c r="A328" s="12"/>
    </row>
    <row r="329" spans="1:1" ht="12.75">
      <c r="A329" s="12"/>
    </row>
    <row r="330" spans="1:1" ht="12.75">
      <c r="A330" s="12"/>
    </row>
    <row r="331" spans="1:1" ht="12.75">
      <c r="A331" s="12"/>
    </row>
    <row r="332" spans="1:1" ht="12.75">
      <c r="A332" s="12"/>
    </row>
    <row r="333" spans="1:1" ht="12.75">
      <c r="A333" s="12"/>
    </row>
    <row r="334" spans="1:1" ht="12.75">
      <c r="A334" s="12"/>
    </row>
    <row r="335" spans="1:1" ht="12.75">
      <c r="A335" s="12"/>
    </row>
    <row r="336" spans="1:1" ht="12.75">
      <c r="A336" s="12"/>
    </row>
    <row r="337" spans="1:1" ht="12.75">
      <c r="A337" s="12"/>
    </row>
    <row r="338" spans="1:1" ht="12.75">
      <c r="A338" s="12"/>
    </row>
    <row r="339" spans="1:1" ht="12.75">
      <c r="A339" s="12"/>
    </row>
    <row r="340" spans="1:1" ht="12.75">
      <c r="A340" s="12"/>
    </row>
    <row r="341" spans="1:1" ht="12.75">
      <c r="A341" s="12"/>
    </row>
    <row r="342" spans="1:1" ht="12.75">
      <c r="A342" s="12"/>
    </row>
    <row r="343" spans="1:1" ht="12.75">
      <c r="A343" s="12"/>
    </row>
    <row r="344" spans="1:1" ht="12.75">
      <c r="A344" s="12"/>
    </row>
    <row r="345" spans="1:1" ht="12.75">
      <c r="A345" s="12"/>
    </row>
    <row r="346" spans="1:1" ht="12.75">
      <c r="A346" s="12"/>
    </row>
    <row r="347" spans="1:1" ht="12.75">
      <c r="A347" s="12"/>
    </row>
    <row r="348" spans="1:1" ht="12.75">
      <c r="A348" s="12"/>
    </row>
    <row r="349" spans="1:1" ht="12.75">
      <c r="A349" s="12"/>
    </row>
    <row r="350" spans="1:1" ht="12.75">
      <c r="A350" s="12"/>
    </row>
    <row r="351" spans="1:1" ht="12.75">
      <c r="A351" s="12"/>
    </row>
    <row r="352" spans="1:1" ht="12.75">
      <c r="A352" s="12"/>
    </row>
    <row r="353" spans="1:1" ht="12.75">
      <c r="A353" s="12"/>
    </row>
    <row r="354" spans="1:1" ht="12.75">
      <c r="A354" s="12"/>
    </row>
    <row r="355" spans="1:1" ht="12.75">
      <c r="A355" s="12"/>
    </row>
    <row r="356" spans="1:1" ht="12.75">
      <c r="A356" s="12"/>
    </row>
    <row r="357" spans="1:1" ht="12.75">
      <c r="A357" s="12"/>
    </row>
    <row r="358" spans="1:1" ht="12.75">
      <c r="A358" s="12"/>
    </row>
    <row r="359" spans="1:1" ht="12.75">
      <c r="A359" s="12"/>
    </row>
    <row r="360" spans="1:1" ht="12.75">
      <c r="A360" s="12"/>
    </row>
    <row r="361" spans="1:1" ht="12.75">
      <c r="A361" s="12"/>
    </row>
    <row r="362" spans="1:1" ht="12.75">
      <c r="A362" s="12"/>
    </row>
    <row r="363" spans="1:1" ht="12.75">
      <c r="A363" s="12"/>
    </row>
    <row r="364" spans="1:1" ht="12.75">
      <c r="A364" s="12"/>
    </row>
    <row r="365" spans="1:1" ht="12.75">
      <c r="A365" s="12"/>
    </row>
    <row r="366" spans="1:1" ht="12.75">
      <c r="A366" s="12"/>
    </row>
    <row r="367" spans="1:1" ht="12.75">
      <c r="A367" s="12"/>
    </row>
    <row r="368" spans="1:1" ht="12.75">
      <c r="A368" s="12"/>
    </row>
    <row r="369" spans="1:1" ht="12.75">
      <c r="A369" s="12"/>
    </row>
    <row r="370" spans="1:1" ht="12.75">
      <c r="A370" s="12"/>
    </row>
    <row r="371" spans="1:1" ht="12.75">
      <c r="A371" s="12"/>
    </row>
    <row r="372" spans="1:1" ht="12.75">
      <c r="A372" s="12"/>
    </row>
    <row r="373" spans="1:1" ht="12.75">
      <c r="A373" s="12"/>
    </row>
    <row r="374" spans="1:1" ht="12.75">
      <c r="A374" s="12"/>
    </row>
    <row r="375" spans="1:1" ht="12.75">
      <c r="A375" s="12"/>
    </row>
    <row r="376" spans="1:1" ht="12.75">
      <c r="A376" s="12"/>
    </row>
    <row r="377" spans="1:1" ht="12.75">
      <c r="A377" s="12"/>
    </row>
    <row r="378" spans="1:1" ht="12.75">
      <c r="A378" s="12"/>
    </row>
    <row r="379" spans="1:1" ht="12.75">
      <c r="A379" s="12"/>
    </row>
    <row r="380" spans="1:1" ht="12.75">
      <c r="A380" s="12"/>
    </row>
    <row r="381" spans="1:1" ht="12.75">
      <c r="A381" s="12"/>
    </row>
    <row r="382" spans="1:1" ht="12.75">
      <c r="A382" s="12"/>
    </row>
    <row r="383" spans="1:1" ht="12.75">
      <c r="A383" s="12"/>
    </row>
    <row r="384" spans="1:1" ht="12.75">
      <c r="A384" s="12"/>
    </row>
    <row r="385" spans="1:1" ht="12.75">
      <c r="A385" s="12"/>
    </row>
    <row r="386" spans="1:1" ht="12.75">
      <c r="A386" s="12"/>
    </row>
    <row r="387" spans="1:1" ht="12.75">
      <c r="A387" s="12"/>
    </row>
    <row r="388" spans="1:1" ht="12.75">
      <c r="A388" s="12"/>
    </row>
    <row r="389" spans="1:1" ht="12.75">
      <c r="A389" s="12"/>
    </row>
    <row r="390" spans="1:1" ht="12.75">
      <c r="A390" s="12"/>
    </row>
    <row r="391" spans="1:1" ht="12.75">
      <c r="A391" s="12"/>
    </row>
    <row r="392" spans="1:1" ht="12.75">
      <c r="A392" s="12"/>
    </row>
    <row r="393" spans="1:1" ht="12.75">
      <c r="A393" s="12"/>
    </row>
    <row r="394" spans="1:1" ht="12.75">
      <c r="A394" s="12"/>
    </row>
    <row r="395" spans="1:1" ht="12.75">
      <c r="A395" s="12"/>
    </row>
    <row r="396" spans="1:1" ht="12.75">
      <c r="A396" s="12"/>
    </row>
    <row r="397" spans="1:1" ht="12.75">
      <c r="A397" s="12"/>
    </row>
    <row r="398" spans="1:1" ht="12.75">
      <c r="A398" s="12"/>
    </row>
    <row r="399" spans="1:1" ht="12.75">
      <c r="A399" s="12"/>
    </row>
    <row r="400" spans="1:1" ht="12.75">
      <c r="A400" s="12"/>
    </row>
    <row r="401" spans="1:1" ht="12.75">
      <c r="A401" s="12"/>
    </row>
    <row r="402" spans="1:1" ht="12.75">
      <c r="A402" s="12"/>
    </row>
    <row r="403" spans="1:1" ht="12.75">
      <c r="A403" s="12"/>
    </row>
    <row r="404" spans="1:1" ht="12.75">
      <c r="A404" s="12"/>
    </row>
    <row r="405" spans="1:1" ht="12.75">
      <c r="A405" s="12"/>
    </row>
    <row r="406" spans="1:1" ht="12.75">
      <c r="A406" s="12"/>
    </row>
    <row r="407" spans="1:1" ht="12.75">
      <c r="A407" s="12"/>
    </row>
    <row r="408" spans="1:1" ht="12.75">
      <c r="A408" s="12"/>
    </row>
    <row r="409" spans="1:1" ht="12.75">
      <c r="A409" s="12"/>
    </row>
    <row r="410" spans="1:1" ht="12.75">
      <c r="A410" s="12"/>
    </row>
    <row r="411" spans="1:1" ht="12.75">
      <c r="A411" s="12"/>
    </row>
    <row r="412" spans="1:1" ht="12.75">
      <c r="A412" s="12"/>
    </row>
    <row r="413" spans="1:1" ht="12.75">
      <c r="A413" s="12"/>
    </row>
    <row r="414" spans="1:1" ht="12.75">
      <c r="A414" s="12"/>
    </row>
    <row r="415" spans="1:1" ht="12.75">
      <c r="A415" s="12"/>
    </row>
    <row r="416" spans="1:1" ht="12.75">
      <c r="A416" s="12"/>
    </row>
    <row r="417" spans="1:1" ht="12.75">
      <c r="A417" s="12"/>
    </row>
    <row r="418" spans="1:1" ht="12.75">
      <c r="A418" s="12"/>
    </row>
    <row r="419" spans="1:1" ht="12.75">
      <c r="A419" s="12"/>
    </row>
    <row r="420" spans="1:1" ht="12.75">
      <c r="A420" s="12"/>
    </row>
    <row r="421" spans="1:1" ht="12.75">
      <c r="A421" s="12"/>
    </row>
    <row r="422" spans="1:1" ht="12.75">
      <c r="A422" s="12"/>
    </row>
    <row r="423" spans="1:1" ht="12.75">
      <c r="A423" s="12"/>
    </row>
    <row r="424" spans="1:1" ht="12.75">
      <c r="A424" s="12"/>
    </row>
    <row r="425" spans="1:1" ht="12.75">
      <c r="A425" s="12"/>
    </row>
    <row r="426" spans="1:1" ht="12.75">
      <c r="A426" s="12"/>
    </row>
    <row r="427" spans="1:1" ht="12.75">
      <c r="A427" s="12"/>
    </row>
    <row r="428" spans="1:1" ht="12.75">
      <c r="A428" s="12"/>
    </row>
    <row r="429" spans="1:1" ht="12.75">
      <c r="A429" s="12"/>
    </row>
    <row r="430" spans="1:1" ht="12.75">
      <c r="A430" s="12"/>
    </row>
    <row r="431" spans="1:1" ht="12.75">
      <c r="A431" s="12"/>
    </row>
    <row r="432" spans="1:1" ht="12.75">
      <c r="A432" s="12"/>
    </row>
    <row r="433" spans="1:1" ht="12.75">
      <c r="A433" s="12"/>
    </row>
    <row r="434" spans="1:1" ht="12.75">
      <c r="A434" s="12"/>
    </row>
    <row r="435" spans="1:1" ht="12.75">
      <c r="A435" s="12"/>
    </row>
    <row r="436" spans="1:1" ht="12.75">
      <c r="A436" s="12"/>
    </row>
    <row r="437" spans="1:1" ht="12.75">
      <c r="A437" s="12"/>
    </row>
    <row r="438" spans="1:1" ht="12.75">
      <c r="A438" s="12"/>
    </row>
    <row r="439" spans="1:1" ht="12.75">
      <c r="A439" s="12"/>
    </row>
    <row r="440" spans="1:1" ht="12.75">
      <c r="A440" s="12"/>
    </row>
    <row r="441" spans="1:1" ht="12.75">
      <c r="A441" s="12"/>
    </row>
    <row r="442" spans="1:1" ht="12.75">
      <c r="A442" s="12"/>
    </row>
    <row r="443" spans="1:1" ht="12.75">
      <c r="A443" s="12"/>
    </row>
    <row r="444" spans="1:1" ht="12.75">
      <c r="A444" s="12"/>
    </row>
    <row r="445" spans="1:1" ht="12.75">
      <c r="A445" s="12"/>
    </row>
    <row r="446" spans="1:1" ht="12.75">
      <c r="A446" s="12"/>
    </row>
    <row r="447" spans="1:1" ht="12.75">
      <c r="A447" s="12"/>
    </row>
    <row r="448" spans="1:1" ht="12.75">
      <c r="A448" s="12"/>
    </row>
    <row r="449" spans="1:1" ht="12.75">
      <c r="A449" s="12"/>
    </row>
    <row r="450" spans="1:1" ht="12.75">
      <c r="A450" s="12"/>
    </row>
    <row r="451" spans="1:1" ht="12.75">
      <c r="A451" s="12"/>
    </row>
    <row r="452" spans="1:1" ht="12.75">
      <c r="A452" s="12"/>
    </row>
    <row r="453" spans="1:1" ht="12.75">
      <c r="A453" s="12"/>
    </row>
    <row r="454" spans="1:1" ht="12.75">
      <c r="A454" s="12"/>
    </row>
    <row r="455" spans="1:1" ht="12.75">
      <c r="A455" s="12"/>
    </row>
    <row r="456" spans="1:1" ht="12.75">
      <c r="A456" s="12"/>
    </row>
    <row r="457" spans="1:1" ht="12.75">
      <c r="A457" s="12"/>
    </row>
    <row r="458" spans="1:1" ht="12.75">
      <c r="A458" s="12"/>
    </row>
    <row r="459" spans="1:1" ht="12.75">
      <c r="A459" s="12"/>
    </row>
    <row r="460" spans="1:1" ht="12.75">
      <c r="A460" s="12"/>
    </row>
    <row r="461" spans="1:1" ht="12.75">
      <c r="A461" s="12"/>
    </row>
    <row r="462" spans="1:1" ht="12.75">
      <c r="A462" s="12"/>
    </row>
    <row r="463" spans="1:1" ht="12.75">
      <c r="A463" s="12"/>
    </row>
    <row r="464" spans="1:1" ht="12.75">
      <c r="A464" s="12"/>
    </row>
    <row r="465" spans="1:1" ht="12.75">
      <c r="A465" s="12"/>
    </row>
    <row r="466" spans="1:1" ht="12.75">
      <c r="A466" s="12"/>
    </row>
    <row r="467" spans="1:1" ht="12.75">
      <c r="A467" s="12"/>
    </row>
    <row r="468" spans="1:1" ht="12.75">
      <c r="A468" s="12"/>
    </row>
    <row r="469" spans="1:1" ht="12.75">
      <c r="A469" s="12"/>
    </row>
    <row r="470" spans="1:1" ht="12.75">
      <c r="A470" s="12"/>
    </row>
    <row r="471" spans="1:1" ht="12.75">
      <c r="A471" s="12"/>
    </row>
    <row r="472" spans="1:1" ht="12.75">
      <c r="A472" s="12"/>
    </row>
    <row r="473" spans="1:1" ht="12.75">
      <c r="A473" s="12"/>
    </row>
    <row r="474" spans="1:1" ht="12.75">
      <c r="A474" s="12"/>
    </row>
    <row r="475" spans="1:1" ht="12.75">
      <c r="A475" s="12"/>
    </row>
    <row r="476" spans="1:1" ht="12.75">
      <c r="A476" s="12"/>
    </row>
    <row r="477" spans="1:1" ht="12.75">
      <c r="A477" s="12"/>
    </row>
    <row r="478" spans="1:1" ht="12.75">
      <c r="A478" s="12"/>
    </row>
    <row r="479" spans="1:1" ht="12.75">
      <c r="A479" s="12"/>
    </row>
    <row r="480" spans="1:1" ht="12.75">
      <c r="A480" s="12"/>
    </row>
    <row r="481" spans="1:1" ht="12.75">
      <c r="A481" s="12"/>
    </row>
    <row r="482" spans="1:1" ht="12.75">
      <c r="A482" s="12"/>
    </row>
    <row r="483" spans="1:1" ht="12.75">
      <c r="A483" s="12"/>
    </row>
    <row r="484" spans="1:1" ht="12.75">
      <c r="A484" s="12"/>
    </row>
    <row r="485" spans="1:1" ht="12.75">
      <c r="A485" s="12"/>
    </row>
    <row r="486" spans="1:1" ht="12.75">
      <c r="A486" s="12"/>
    </row>
    <row r="487" spans="1:1" ht="12.75">
      <c r="A487" s="12"/>
    </row>
    <row r="488" spans="1:1" ht="12.75">
      <c r="A488" s="12"/>
    </row>
    <row r="489" spans="1:1" ht="12.75">
      <c r="A489" s="12"/>
    </row>
    <row r="490" spans="1:1" ht="12.75">
      <c r="A490" s="12"/>
    </row>
    <row r="491" spans="1:1" ht="12.75">
      <c r="A491" s="12"/>
    </row>
    <row r="492" spans="1:1" ht="12.75">
      <c r="A492" s="12"/>
    </row>
    <row r="493" spans="1:1" ht="12.75">
      <c r="A493" s="12"/>
    </row>
    <row r="494" spans="1:1" ht="12.75">
      <c r="A494" s="12"/>
    </row>
    <row r="495" spans="1:1" ht="12.75">
      <c r="A495" s="12"/>
    </row>
    <row r="496" spans="1:1" ht="12.75">
      <c r="A496" s="12"/>
    </row>
    <row r="497" spans="1:1" ht="12.75">
      <c r="A497" s="12"/>
    </row>
    <row r="498" spans="1:1" ht="12.75">
      <c r="A498" s="12"/>
    </row>
    <row r="499" spans="1:1" ht="12.75">
      <c r="A499" s="12"/>
    </row>
    <row r="500" spans="1:1" ht="12.75">
      <c r="A500" s="12"/>
    </row>
    <row r="501" spans="1:1" ht="12.75">
      <c r="A501" s="12"/>
    </row>
    <row r="502" spans="1:1" ht="12.75">
      <c r="A502" s="12"/>
    </row>
    <row r="503" spans="1:1" ht="12.75">
      <c r="A503" s="12"/>
    </row>
    <row r="504" spans="1:1" ht="12.75">
      <c r="A504" s="12"/>
    </row>
    <row r="505" spans="1:1" ht="12.75">
      <c r="A505" s="12"/>
    </row>
    <row r="506" spans="1:1" ht="12.75">
      <c r="A506" s="12"/>
    </row>
    <row r="507" spans="1:1" ht="12.75">
      <c r="A507" s="12"/>
    </row>
    <row r="508" spans="1:1" ht="12.75">
      <c r="A508" s="12"/>
    </row>
    <row r="509" spans="1:1" ht="12.75">
      <c r="A509" s="12"/>
    </row>
    <row r="510" spans="1:1" ht="12.75">
      <c r="A510" s="12"/>
    </row>
    <row r="511" spans="1:1" ht="12.75">
      <c r="A511" s="12"/>
    </row>
    <row r="512" spans="1:1" ht="12.75">
      <c r="A512" s="12"/>
    </row>
    <row r="513" spans="1:1" ht="12.75">
      <c r="A513" s="12"/>
    </row>
    <row r="514" spans="1:1" ht="12.75">
      <c r="A514" s="12"/>
    </row>
    <row r="515" spans="1:1" ht="12.75">
      <c r="A515" s="12"/>
    </row>
    <row r="516" spans="1:1" ht="12.75">
      <c r="A516" s="12"/>
    </row>
    <row r="517" spans="1:1" ht="12.75">
      <c r="A517" s="12"/>
    </row>
    <row r="518" spans="1:1" ht="12.75">
      <c r="A518" s="12"/>
    </row>
    <row r="519" spans="1:1" ht="12.75">
      <c r="A519" s="12"/>
    </row>
    <row r="520" spans="1:1" ht="12.75">
      <c r="A520" s="12"/>
    </row>
    <row r="521" spans="1:1" ht="12.75">
      <c r="A521" s="12"/>
    </row>
    <row r="522" spans="1:1" ht="12.75">
      <c r="A522" s="12"/>
    </row>
    <row r="523" spans="1:1" ht="12.75">
      <c r="A523" s="12"/>
    </row>
    <row r="524" spans="1:1" ht="12.75">
      <c r="A524" s="12"/>
    </row>
    <row r="525" spans="1:1" ht="12.75">
      <c r="A525" s="12"/>
    </row>
    <row r="526" spans="1:1" ht="12.75">
      <c r="A526" s="12"/>
    </row>
    <row r="527" spans="1:1" ht="12.75">
      <c r="A527" s="12"/>
    </row>
    <row r="528" spans="1:1" ht="12.75">
      <c r="A528" s="12"/>
    </row>
    <row r="529" spans="1:1" ht="12.75">
      <c r="A529" s="12"/>
    </row>
    <row r="530" spans="1:1" ht="12.75">
      <c r="A530" s="12"/>
    </row>
    <row r="531" spans="1:1" ht="12.75">
      <c r="A531" s="12"/>
    </row>
    <row r="532" spans="1:1" ht="12.75">
      <c r="A532" s="12"/>
    </row>
    <row r="533" spans="1:1" ht="12.75">
      <c r="A533" s="12"/>
    </row>
    <row r="534" spans="1:1" ht="12.75">
      <c r="A534" s="12"/>
    </row>
    <row r="535" spans="1:1" ht="12.75">
      <c r="A535" s="12"/>
    </row>
    <row r="536" spans="1:1" ht="12.75">
      <c r="A536" s="12"/>
    </row>
    <row r="537" spans="1:1" ht="12.75">
      <c r="A537" s="12"/>
    </row>
    <row r="538" spans="1:1" ht="12.75">
      <c r="A538" s="12"/>
    </row>
    <row r="539" spans="1:1" ht="12.75">
      <c r="A539" s="12"/>
    </row>
    <row r="540" spans="1:1" ht="12.75">
      <c r="A540" s="12"/>
    </row>
    <row r="541" spans="1:1" ht="12.75">
      <c r="A541" s="12"/>
    </row>
    <row r="542" spans="1:1" ht="12.75">
      <c r="A542" s="12"/>
    </row>
    <row r="543" spans="1:1" ht="12.75">
      <c r="A543" s="12"/>
    </row>
    <row r="544" spans="1:1" ht="12.75">
      <c r="A544" s="12"/>
    </row>
    <row r="545" spans="1:1" ht="12.75">
      <c r="A545" s="12"/>
    </row>
    <row r="546" spans="1:1" ht="12.75">
      <c r="A546" s="12"/>
    </row>
    <row r="547" spans="1:1" ht="12.75">
      <c r="A547" s="12"/>
    </row>
    <row r="548" spans="1:1" ht="12.75">
      <c r="A548" s="12"/>
    </row>
    <row r="549" spans="1:1" ht="12.75">
      <c r="A549" s="12"/>
    </row>
    <row r="550" spans="1:1" ht="12.75">
      <c r="A550" s="12"/>
    </row>
    <row r="551" spans="1:1" ht="12.75">
      <c r="A551" s="12"/>
    </row>
    <row r="552" spans="1:1" ht="12.75">
      <c r="A552" s="12"/>
    </row>
    <row r="553" spans="1:1" ht="12.75">
      <c r="A553" s="12"/>
    </row>
    <row r="554" spans="1:1" ht="12.75">
      <c r="A554" s="12"/>
    </row>
    <row r="555" spans="1:1" ht="12.75">
      <c r="A555" s="12"/>
    </row>
    <row r="556" spans="1:1" ht="12.75">
      <c r="A556" s="12"/>
    </row>
    <row r="557" spans="1:1" ht="12.75">
      <c r="A557" s="12"/>
    </row>
    <row r="558" spans="1:1" ht="12.75">
      <c r="A558" s="12"/>
    </row>
    <row r="559" spans="1:1" ht="12.75">
      <c r="A559" s="12"/>
    </row>
    <row r="560" spans="1:1" ht="12.75">
      <c r="A560" s="12"/>
    </row>
    <row r="561" spans="1:1" ht="12.75">
      <c r="A561" s="12"/>
    </row>
    <row r="562" spans="1:1" ht="12.75">
      <c r="A562" s="12"/>
    </row>
    <row r="563" spans="1:1" ht="12.75">
      <c r="A563" s="12"/>
    </row>
    <row r="564" spans="1:1" ht="12.75">
      <c r="A564" s="12"/>
    </row>
    <row r="565" spans="1:1" ht="12.75">
      <c r="A565" s="12"/>
    </row>
    <row r="566" spans="1:1" ht="12.75">
      <c r="A566" s="12"/>
    </row>
    <row r="567" spans="1:1" ht="12.75">
      <c r="A567" s="12"/>
    </row>
    <row r="568" spans="1:1" ht="12.75">
      <c r="A568" s="12"/>
    </row>
    <row r="569" spans="1:1" ht="12.75">
      <c r="A569" s="12"/>
    </row>
    <row r="570" spans="1:1" ht="12.75">
      <c r="A570" s="12"/>
    </row>
    <row r="571" spans="1:1" ht="12.75">
      <c r="A571" s="12"/>
    </row>
    <row r="572" spans="1:1" ht="12.75">
      <c r="A572" s="12"/>
    </row>
    <row r="573" spans="1:1" ht="12.75">
      <c r="A573" s="12"/>
    </row>
    <row r="574" spans="1:1" ht="12.75">
      <c r="A574" s="12"/>
    </row>
    <row r="575" spans="1:1" ht="12.75">
      <c r="A575" s="12"/>
    </row>
    <row r="576" spans="1:1" ht="12.75">
      <c r="A576" s="12"/>
    </row>
    <row r="577" spans="1:1" ht="12.75">
      <c r="A577" s="12"/>
    </row>
    <row r="578" spans="1:1" ht="12.75">
      <c r="A578" s="12"/>
    </row>
    <row r="579" spans="1:1" ht="12.75">
      <c r="A579" s="12"/>
    </row>
    <row r="580" spans="1:1" ht="12.75">
      <c r="A580" s="12"/>
    </row>
    <row r="581" spans="1:1" ht="12.75">
      <c r="A581" s="12"/>
    </row>
    <row r="582" spans="1:1" ht="12.75">
      <c r="A582" s="12"/>
    </row>
    <row r="583" spans="1:1" ht="12.75">
      <c r="A583" s="12"/>
    </row>
    <row r="584" spans="1:1" ht="12.75">
      <c r="A584" s="12"/>
    </row>
    <row r="585" spans="1:1" ht="12.75">
      <c r="A585" s="12"/>
    </row>
    <row r="586" spans="1:1" ht="12.75">
      <c r="A586" s="12"/>
    </row>
    <row r="587" spans="1:1" ht="12.75">
      <c r="A587" s="12"/>
    </row>
    <row r="588" spans="1:1" ht="12.75">
      <c r="A588" s="12"/>
    </row>
    <row r="589" spans="1:1" ht="12.75">
      <c r="A589" s="12"/>
    </row>
    <row r="590" spans="1:1" ht="12.75">
      <c r="A590" s="12"/>
    </row>
    <row r="591" spans="1:1" ht="12.75">
      <c r="A591" s="12"/>
    </row>
    <row r="592" spans="1:1" ht="12.75">
      <c r="A592" s="12"/>
    </row>
    <row r="593" spans="1:1" ht="12.75">
      <c r="A593" s="12"/>
    </row>
    <row r="594" spans="1:1" ht="12.75">
      <c r="A594" s="12"/>
    </row>
    <row r="595" spans="1:1" ht="12.75">
      <c r="A595" s="12"/>
    </row>
    <row r="596" spans="1:1" ht="12.75">
      <c r="A596" s="12"/>
    </row>
    <row r="597" spans="1:1" ht="12.75">
      <c r="A597" s="12"/>
    </row>
    <row r="598" spans="1:1" ht="12.75">
      <c r="A598" s="12"/>
    </row>
    <row r="599" spans="1:1" ht="12.75">
      <c r="A599" s="12"/>
    </row>
    <row r="600" spans="1:1" ht="12.75">
      <c r="A600" s="12"/>
    </row>
    <row r="601" spans="1:1" ht="12.75">
      <c r="A601" s="12"/>
    </row>
    <row r="602" spans="1:1" ht="12.75">
      <c r="A602" s="12"/>
    </row>
    <row r="603" spans="1:1" ht="12.75">
      <c r="A603" s="12"/>
    </row>
    <row r="604" spans="1:1" ht="12.75">
      <c r="A604" s="12"/>
    </row>
    <row r="605" spans="1:1" ht="12.75">
      <c r="A605" s="12"/>
    </row>
    <row r="606" spans="1:1" ht="12.75">
      <c r="A606" s="12"/>
    </row>
    <row r="607" spans="1:1" ht="12.75">
      <c r="A607" s="12"/>
    </row>
    <row r="608" spans="1:1" ht="12.75">
      <c r="A608" s="12"/>
    </row>
    <row r="609" spans="1:1" ht="12.75">
      <c r="A609" s="12"/>
    </row>
    <row r="610" spans="1:1" ht="12.75">
      <c r="A610" s="12"/>
    </row>
    <row r="611" spans="1:1" ht="12.75">
      <c r="A611" s="12"/>
    </row>
    <row r="612" spans="1:1" ht="12.75">
      <c r="A612" s="12"/>
    </row>
    <row r="613" spans="1:1" ht="12.75">
      <c r="A613" s="12"/>
    </row>
    <row r="614" spans="1:1" ht="12.75">
      <c r="A614" s="12"/>
    </row>
    <row r="615" spans="1:1" ht="12.75">
      <c r="A615" s="12"/>
    </row>
    <row r="616" spans="1:1" ht="12.75">
      <c r="A616" s="12"/>
    </row>
    <row r="617" spans="1:1" ht="12.75">
      <c r="A617" s="12"/>
    </row>
    <row r="618" spans="1:1" ht="12.75">
      <c r="A618" s="12"/>
    </row>
    <row r="619" spans="1:1" ht="12.75">
      <c r="A619" s="12"/>
    </row>
    <row r="620" spans="1:1" ht="12.75">
      <c r="A620" s="12"/>
    </row>
    <row r="621" spans="1:1" ht="12.75">
      <c r="A621" s="12"/>
    </row>
    <row r="622" spans="1:1" ht="12.75">
      <c r="A622" s="12"/>
    </row>
    <row r="623" spans="1:1" ht="12.75">
      <c r="A623" s="12"/>
    </row>
    <row r="624" spans="1:1" ht="12.75">
      <c r="A624" s="12"/>
    </row>
    <row r="625" spans="1:1" ht="12.75">
      <c r="A625" s="12"/>
    </row>
    <row r="626" spans="1:1" ht="12.75">
      <c r="A626" s="12"/>
    </row>
    <row r="627" spans="1:1" ht="12.75">
      <c r="A627" s="12"/>
    </row>
    <row r="628" spans="1:1" ht="12.75">
      <c r="A628" s="12"/>
    </row>
    <row r="629" spans="1:1" ht="12.75">
      <c r="A629" s="12"/>
    </row>
    <row r="630" spans="1:1" ht="12.75">
      <c r="A630" s="12"/>
    </row>
    <row r="631" spans="1:1" ht="12.75">
      <c r="A631" s="12"/>
    </row>
    <row r="632" spans="1:1" ht="12.75">
      <c r="A632" s="12"/>
    </row>
    <row r="633" spans="1:1" ht="12.75">
      <c r="A633" s="12"/>
    </row>
    <row r="634" spans="1:1" ht="12.75">
      <c r="A634" s="12"/>
    </row>
    <row r="635" spans="1:1" ht="12.75">
      <c r="A635" s="12"/>
    </row>
    <row r="636" spans="1:1" ht="12.75">
      <c r="A636" s="12"/>
    </row>
    <row r="637" spans="1:1" ht="12.75">
      <c r="A637" s="12"/>
    </row>
    <row r="638" spans="1:1" ht="12.75">
      <c r="A638" s="12"/>
    </row>
    <row r="639" spans="1:1" ht="12.75">
      <c r="A639" s="12"/>
    </row>
    <row r="640" spans="1:1" ht="12.75">
      <c r="A640" s="12"/>
    </row>
    <row r="641" spans="1:1" ht="12.75">
      <c r="A641" s="12"/>
    </row>
    <row r="642" spans="1:1" ht="12.75">
      <c r="A642" s="12"/>
    </row>
    <row r="643" spans="1:1" ht="12.75">
      <c r="A643" s="12"/>
    </row>
    <row r="644" spans="1:1" ht="12.75">
      <c r="A644" s="12"/>
    </row>
    <row r="645" spans="1:1" ht="12.75">
      <c r="A645" s="12"/>
    </row>
    <row r="646" spans="1:1" ht="12.75">
      <c r="A646" s="12"/>
    </row>
    <row r="647" spans="1:1" ht="12.75">
      <c r="A647" s="12"/>
    </row>
    <row r="648" spans="1:1" ht="12.75">
      <c r="A648" s="12"/>
    </row>
    <row r="649" spans="1:1" ht="12.75">
      <c r="A649" s="12"/>
    </row>
    <row r="650" spans="1:1" ht="12.75">
      <c r="A650" s="12"/>
    </row>
    <row r="651" spans="1:1" ht="12.75">
      <c r="A651" s="12"/>
    </row>
    <row r="652" spans="1:1" ht="12.75">
      <c r="A652" s="12"/>
    </row>
    <row r="653" spans="1:1" ht="12.75">
      <c r="A653" s="12"/>
    </row>
    <row r="654" spans="1:1" ht="12.75">
      <c r="A654" s="12"/>
    </row>
    <row r="655" spans="1:1" ht="12.75">
      <c r="A655" s="12"/>
    </row>
    <row r="656" spans="1:1" ht="12.75">
      <c r="A656" s="12"/>
    </row>
    <row r="657" spans="1:1" ht="12.75">
      <c r="A657" s="12"/>
    </row>
    <row r="658" spans="1:1" ht="12.75">
      <c r="A658" s="12"/>
    </row>
    <row r="659" spans="1:1" ht="12.75">
      <c r="A659" s="12"/>
    </row>
    <row r="660" spans="1:1" ht="12.75">
      <c r="A660" s="12"/>
    </row>
    <row r="661" spans="1:1" ht="12.75">
      <c r="A661" s="12"/>
    </row>
    <row r="662" spans="1:1" ht="12.75">
      <c r="A662" s="12"/>
    </row>
    <row r="663" spans="1:1" ht="12.75">
      <c r="A663" s="12"/>
    </row>
    <row r="664" spans="1:1" ht="12.75">
      <c r="A664" s="12"/>
    </row>
    <row r="665" spans="1:1" ht="12.75">
      <c r="A665" s="12"/>
    </row>
    <row r="666" spans="1:1" ht="12.75">
      <c r="A666" s="12"/>
    </row>
    <row r="667" spans="1:1" ht="12.75">
      <c r="A667" s="12"/>
    </row>
    <row r="668" spans="1:1" ht="12.75">
      <c r="A668" s="12"/>
    </row>
    <row r="669" spans="1:1" ht="12.75">
      <c r="A669" s="12"/>
    </row>
    <row r="670" spans="1:1" ht="12.75">
      <c r="A670" s="12"/>
    </row>
    <row r="671" spans="1:1" ht="12.75">
      <c r="A671" s="12"/>
    </row>
    <row r="672" spans="1:1" ht="12.75">
      <c r="A672" s="12"/>
    </row>
    <row r="673" spans="1:1" ht="12.75">
      <c r="A673" s="12"/>
    </row>
    <row r="674" spans="1:1" ht="12.75">
      <c r="A674" s="12"/>
    </row>
    <row r="675" spans="1:1" ht="12.75">
      <c r="A675" s="12"/>
    </row>
    <row r="676" spans="1:1" ht="12.75">
      <c r="A676" s="12"/>
    </row>
    <row r="677" spans="1:1" ht="12.75">
      <c r="A677" s="12"/>
    </row>
    <row r="678" spans="1:1" ht="12.75">
      <c r="A678" s="12"/>
    </row>
    <row r="679" spans="1:1" ht="12.75">
      <c r="A679" s="12"/>
    </row>
    <row r="680" spans="1:1" ht="12.75">
      <c r="A680" s="12"/>
    </row>
    <row r="681" spans="1:1" ht="12.75">
      <c r="A681" s="12"/>
    </row>
    <row r="682" spans="1:1" ht="12.75">
      <c r="A682" s="12"/>
    </row>
    <row r="683" spans="1:1" ht="12.75">
      <c r="A683" s="12"/>
    </row>
    <row r="684" spans="1:1" ht="12.75">
      <c r="A684" s="12"/>
    </row>
    <row r="685" spans="1:1" ht="12.75">
      <c r="A685" s="12"/>
    </row>
    <row r="686" spans="1:1" ht="12.75">
      <c r="A686" s="12"/>
    </row>
    <row r="687" spans="1:1" ht="12.75">
      <c r="A687" s="12"/>
    </row>
    <row r="688" spans="1:1" ht="12.75">
      <c r="A688" s="12"/>
    </row>
    <row r="689" spans="1:1" ht="12.75">
      <c r="A689" s="12"/>
    </row>
    <row r="690" spans="1:1" ht="12.75">
      <c r="A690" s="12"/>
    </row>
    <row r="691" spans="1:1" ht="12.75">
      <c r="A691" s="12"/>
    </row>
    <row r="692" spans="1:1" ht="12.75">
      <c r="A692" s="12"/>
    </row>
    <row r="693" spans="1:1" ht="12.75">
      <c r="A693" s="12"/>
    </row>
    <row r="694" spans="1:1" ht="12.75">
      <c r="A694" s="12"/>
    </row>
    <row r="695" spans="1:1" ht="12.75">
      <c r="A695" s="12"/>
    </row>
    <row r="696" spans="1:1" ht="12.75">
      <c r="A696" s="12"/>
    </row>
    <row r="697" spans="1:1" ht="12.75">
      <c r="A697" s="12"/>
    </row>
    <row r="698" spans="1:1" ht="12.75">
      <c r="A698" s="12"/>
    </row>
    <row r="699" spans="1:1" ht="12.75">
      <c r="A699" s="12"/>
    </row>
    <row r="700" spans="1:1" ht="12.75">
      <c r="A700" s="12"/>
    </row>
    <row r="701" spans="1:1" ht="12.75">
      <c r="A701" s="12"/>
    </row>
    <row r="702" spans="1:1" ht="12.75">
      <c r="A702" s="12"/>
    </row>
    <row r="703" spans="1:1" ht="12.75">
      <c r="A703" s="12"/>
    </row>
    <row r="704" spans="1:1" ht="12.75">
      <c r="A704" s="12"/>
    </row>
    <row r="705" spans="1:1" ht="12.75">
      <c r="A705" s="12"/>
    </row>
    <row r="706" spans="1:1" ht="12.75">
      <c r="A706" s="12"/>
    </row>
    <row r="707" spans="1:1" ht="12.75">
      <c r="A707" s="12"/>
    </row>
    <row r="708" spans="1:1" ht="12.75">
      <c r="A708" s="12"/>
    </row>
    <row r="709" spans="1:1" ht="12.75">
      <c r="A709" s="12"/>
    </row>
    <row r="710" spans="1:1" ht="12.75">
      <c r="A710" s="12"/>
    </row>
    <row r="711" spans="1:1" ht="12.75">
      <c r="A711" s="12"/>
    </row>
    <row r="712" spans="1:1" ht="12.75">
      <c r="A712" s="12"/>
    </row>
    <row r="713" spans="1:1" ht="12.75">
      <c r="A713" s="12"/>
    </row>
    <row r="714" spans="1:1" ht="12.75">
      <c r="A714" s="12"/>
    </row>
    <row r="715" spans="1:1" ht="12.75">
      <c r="A715" s="12"/>
    </row>
    <row r="716" spans="1:1" ht="12.75">
      <c r="A716" s="12"/>
    </row>
    <row r="717" spans="1:1" ht="12.75">
      <c r="A717" s="12"/>
    </row>
    <row r="718" spans="1:1" ht="12.75">
      <c r="A718" s="12"/>
    </row>
    <row r="719" spans="1:1" ht="12.75">
      <c r="A719" s="12"/>
    </row>
    <row r="720" spans="1:1" ht="12.75">
      <c r="A720" s="12"/>
    </row>
    <row r="721" spans="1:1" ht="12.75">
      <c r="A721" s="12"/>
    </row>
    <row r="722" spans="1:1" ht="12.75">
      <c r="A722" s="12"/>
    </row>
    <row r="723" spans="1:1" ht="12.75">
      <c r="A723" s="12"/>
    </row>
    <row r="724" spans="1:1" ht="12.75">
      <c r="A724" s="12"/>
    </row>
    <row r="725" spans="1:1" ht="12.75">
      <c r="A725" s="12"/>
    </row>
    <row r="726" spans="1:1" ht="12.75">
      <c r="A726" s="12"/>
    </row>
    <row r="727" spans="1:1" ht="12.75">
      <c r="A727" s="12"/>
    </row>
    <row r="728" spans="1:1" ht="12.75">
      <c r="A728" s="12"/>
    </row>
    <row r="729" spans="1:1" ht="12.75">
      <c r="A729" s="12"/>
    </row>
    <row r="730" spans="1:1" ht="12.75">
      <c r="A730" s="12"/>
    </row>
    <row r="731" spans="1:1" ht="12.75">
      <c r="A731" s="12"/>
    </row>
    <row r="732" spans="1:1" ht="12.75">
      <c r="A732" s="12"/>
    </row>
    <row r="733" spans="1:1" ht="12.75">
      <c r="A733" s="12"/>
    </row>
    <row r="734" spans="1:1" ht="12.75">
      <c r="A734" s="12"/>
    </row>
    <row r="735" spans="1:1" ht="12.75">
      <c r="A735" s="12"/>
    </row>
    <row r="736" spans="1:1" ht="12.75">
      <c r="A736" s="12"/>
    </row>
    <row r="737" spans="1:1" ht="12.75">
      <c r="A737" s="12"/>
    </row>
    <row r="738" spans="1:1" ht="12.75">
      <c r="A738" s="12"/>
    </row>
    <row r="739" spans="1:1" ht="12.75">
      <c r="A739" s="12"/>
    </row>
    <row r="740" spans="1:1" ht="12.75">
      <c r="A740" s="12"/>
    </row>
    <row r="741" spans="1:1" ht="12.75">
      <c r="A741" s="12"/>
    </row>
    <row r="742" spans="1:1" ht="12.75">
      <c r="A742" s="12"/>
    </row>
    <row r="743" spans="1:1" ht="12.75">
      <c r="A743" s="12"/>
    </row>
    <row r="744" spans="1:1" ht="12.75">
      <c r="A744" s="12"/>
    </row>
    <row r="745" spans="1:1" ht="12.75">
      <c r="A745" s="12"/>
    </row>
    <row r="746" spans="1:1" ht="12.75">
      <c r="A746" s="12"/>
    </row>
    <row r="747" spans="1:1" ht="12.75">
      <c r="A747" s="12"/>
    </row>
    <row r="748" spans="1:1" ht="12.75">
      <c r="A748" s="12"/>
    </row>
    <row r="749" spans="1:1" ht="12.75">
      <c r="A749" s="12"/>
    </row>
    <row r="750" spans="1:1" ht="12.75">
      <c r="A750" s="12"/>
    </row>
    <row r="751" spans="1:1" ht="12.75">
      <c r="A751" s="12"/>
    </row>
    <row r="752" spans="1:1" ht="12.75">
      <c r="A752" s="12"/>
    </row>
    <row r="753" spans="1:1" ht="12.75">
      <c r="A753" s="12"/>
    </row>
    <row r="754" spans="1:1" ht="12.75">
      <c r="A754" s="12"/>
    </row>
    <row r="755" spans="1:1" ht="12.75">
      <c r="A755" s="12"/>
    </row>
    <row r="756" spans="1:1" ht="12.75">
      <c r="A756" s="12"/>
    </row>
    <row r="757" spans="1:1" ht="12.75">
      <c r="A757" s="12"/>
    </row>
    <row r="758" spans="1:1" ht="12.75">
      <c r="A758" s="12"/>
    </row>
    <row r="759" spans="1:1" ht="12.75">
      <c r="A759" s="12"/>
    </row>
    <row r="760" spans="1:1" ht="12.75">
      <c r="A760" s="12"/>
    </row>
    <row r="761" spans="1:1" ht="12.75">
      <c r="A761" s="12"/>
    </row>
    <row r="762" spans="1:1" ht="12.75">
      <c r="A762" s="12"/>
    </row>
    <row r="763" spans="1:1" ht="12.75">
      <c r="A763" s="12"/>
    </row>
    <row r="764" spans="1:1" ht="12.75">
      <c r="A764" s="12"/>
    </row>
    <row r="765" spans="1:1" ht="12.75">
      <c r="A765" s="12"/>
    </row>
    <row r="766" spans="1:1" ht="12.75">
      <c r="A766" s="12"/>
    </row>
    <row r="767" spans="1:1" ht="12.75">
      <c r="A767" s="12"/>
    </row>
    <row r="768" spans="1:1" ht="12.75">
      <c r="A768" s="12"/>
    </row>
    <row r="769" spans="1:1" ht="12.75">
      <c r="A769" s="12"/>
    </row>
    <row r="770" spans="1:1" ht="12.75">
      <c r="A770" s="12"/>
    </row>
    <row r="771" spans="1:1" ht="12.75">
      <c r="A771" s="12"/>
    </row>
    <row r="772" spans="1:1" ht="12.75">
      <c r="A772" s="12"/>
    </row>
    <row r="773" spans="1:1" ht="12.75">
      <c r="A773" s="12"/>
    </row>
    <row r="774" spans="1:1" ht="12.75">
      <c r="A774" s="12"/>
    </row>
    <row r="775" spans="1:1" ht="12.75">
      <c r="A775" s="12"/>
    </row>
    <row r="776" spans="1:1" ht="12.75">
      <c r="A776" s="12"/>
    </row>
    <row r="777" spans="1:1" ht="12.75">
      <c r="A777" s="12"/>
    </row>
    <row r="778" spans="1:1" ht="12.75">
      <c r="A778" s="12"/>
    </row>
    <row r="779" spans="1:1" ht="12.75">
      <c r="A779" s="12"/>
    </row>
    <row r="780" spans="1:1" ht="12.75">
      <c r="A780" s="12"/>
    </row>
    <row r="781" spans="1:1" ht="12.75">
      <c r="A781" s="12"/>
    </row>
    <row r="782" spans="1:1" ht="12.75">
      <c r="A782" s="12"/>
    </row>
    <row r="783" spans="1:1" ht="12.75">
      <c r="A783" s="12"/>
    </row>
    <row r="784" spans="1:1" ht="12.75">
      <c r="A784" s="12"/>
    </row>
    <row r="785" spans="1:1" ht="12.75">
      <c r="A785" s="12"/>
    </row>
    <row r="786" spans="1:1" ht="12.75">
      <c r="A786" s="12"/>
    </row>
    <row r="787" spans="1:1" ht="12.75">
      <c r="A787" s="12"/>
    </row>
    <row r="788" spans="1:1" ht="12.75">
      <c r="A788" s="12"/>
    </row>
    <row r="789" spans="1:1" ht="12.75">
      <c r="A789" s="12"/>
    </row>
    <row r="790" spans="1:1" ht="12.75">
      <c r="A790" s="12"/>
    </row>
    <row r="791" spans="1:1" ht="12.75">
      <c r="A791" s="12"/>
    </row>
    <row r="792" spans="1:1" ht="12.75">
      <c r="A792" s="12"/>
    </row>
    <row r="793" spans="1:1" ht="12.75">
      <c r="A793" s="12"/>
    </row>
    <row r="794" spans="1:1" ht="12.75">
      <c r="A794" s="12"/>
    </row>
    <row r="795" spans="1:1" ht="12.75">
      <c r="A795" s="12"/>
    </row>
    <row r="796" spans="1:1" ht="12.75">
      <c r="A796" s="12"/>
    </row>
    <row r="797" spans="1:1" ht="12.75">
      <c r="A797" s="12"/>
    </row>
    <row r="798" spans="1:1" ht="12.75">
      <c r="A798" s="12"/>
    </row>
    <row r="799" spans="1:1" ht="12.75">
      <c r="A799" s="12"/>
    </row>
    <row r="800" spans="1:1" ht="12.75">
      <c r="A800" s="12"/>
    </row>
    <row r="801" spans="1:1" ht="12.75">
      <c r="A801" s="12"/>
    </row>
    <row r="802" spans="1:1" ht="12.75">
      <c r="A802" s="12"/>
    </row>
    <row r="803" spans="1:1" ht="12.75">
      <c r="A803" s="12"/>
    </row>
    <row r="804" spans="1:1" ht="12.75">
      <c r="A804" s="12"/>
    </row>
    <row r="805" spans="1:1" ht="12.75">
      <c r="A805" s="12"/>
    </row>
    <row r="806" spans="1:1" ht="12.75">
      <c r="A806" s="12"/>
    </row>
    <row r="807" spans="1:1" ht="12.75">
      <c r="A807" s="12"/>
    </row>
    <row r="808" spans="1:1" ht="12.75">
      <c r="A808" s="12"/>
    </row>
    <row r="809" spans="1:1" ht="12.75">
      <c r="A809" s="12"/>
    </row>
    <row r="810" spans="1:1" ht="12.75">
      <c r="A810" s="12"/>
    </row>
    <row r="811" spans="1:1" ht="12.75">
      <c r="A811" s="12"/>
    </row>
    <row r="812" spans="1:1" ht="12.75">
      <c r="A812" s="12"/>
    </row>
    <row r="813" spans="1:1" ht="12.75">
      <c r="A813" s="12"/>
    </row>
    <row r="814" spans="1:1" ht="12.75">
      <c r="A814" s="12"/>
    </row>
    <row r="815" spans="1:1" ht="12.75">
      <c r="A815" s="12"/>
    </row>
    <row r="816" spans="1:1" ht="12.75">
      <c r="A816" s="12"/>
    </row>
    <row r="817" spans="1:1" ht="12.75">
      <c r="A817" s="12"/>
    </row>
    <row r="818" spans="1:1" ht="12.75">
      <c r="A818" s="12"/>
    </row>
    <row r="819" spans="1:1" ht="12.75">
      <c r="A819" s="12"/>
    </row>
    <row r="820" spans="1:1" ht="12.75">
      <c r="A820" s="12"/>
    </row>
    <row r="821" spans="1:1" ht="12.75">
      <c r="A821" s="12"/>
    </row>
    <row r="822" spans="1:1" ht="12.75">
      <c r="A822" s="12"/>
    </row>
    <row r="823" spans="1:1" ht="12.75">
      <c r="A823" s="12"/>
    </row>
    <row r="824" spans="1:1" ht="12.75">
      <c r="A824" s="12"/>
    </row>
    <row r="825" spans="1:1" ht="12.75">
      <c r="A825" s="12"/>
    </row>
    <row r="826" spans="1:1" ht="12.75">
      <c r="A826" s="12"/>
    </row>
    <row r="827" spans="1:1" ht="12.75">
      <c r="A827" s="12"/>
    </row>
    <row r="828" spans="1:1" ht="12.75">
      <c r="A828" s="12"/>
    </row>
    <row r="829" spans="1:1" ht="12.75">
      <c r="A829" s="12"/>
    </row>
    <row r="830" spans="1:1" ht="12.75">
      <c r="A830" s="12"/>
    </row>
    <row r="831" spans="1:1" ht="12.75">
      <c r="A831" s="12"/>
    </row>
    <row r="832" spans="1:1" ht="12.75">
      <c r="A832" s="12"/>
    </row>
    <row r="833" spans="1:1" ht="12.75">
      <c r="A833" s="12"/>
    </row>
    <row r="834" spans="1:1" ht="12.75">
      <c r="A834" s="12"/>
    </row>
    <row r="835" spans="1:1" ht="12.75">
      <c r="A835" s="12"/>
    </row>
    <row r="836" spans="1:1" ht="12.75">
      <c r="A836" s="12"/>
    </row>
    <row r="837" spans="1:1" ht="12.75">
      <c r="A837" s="12"/>
    </row>
    <row r="838" spans="1:1" ht="12.75">
      <c r="A838" s="12"/>
    </row>
    <row r="839" spans="1:1" ht="12.75">
      <c r="A839" s="12"/>
    </row>
    <row r="840" spans="1:1" ht="12.75">
      <c r="A840" s="12"/>
    </row>
    <row r="841" spans="1:1" ht="12.75">
      <c r="A841" s="12"/>
    </row>
    <row r="842" spans="1:1" ht="12.75">
      <c r="A842" s="12"/>
    </row>
    <row r="843" spans="1:1" ht="12.75">
      <c r="A843" s="12"/>
    </row>
    <row r="844" spans="1:1" ht="12.75">
      <c r="A844" s="12"/>
    </row>
    <row r="845" spans="1:1" ht="12.75">
      <c r="A845" s="12"/>
    </row>
    <row r="846" spans="1:1" ht="12.75">
      <c r="A846" s="12"/>
    </row>
    <row r="847" spans="1:1" ht="12.75">
      <c r="A847" s="12"/>
    </row>
    <row r="848" spans="1:1" ht="12.75">
      <c r="A848" s="12"/>
    </row>
    <row r="849" spans="1:1" ht="12.75">
      <c r="A849" s="12"/>
    </row>
    <row r="850" spans="1:1" ht="12.75">
      <c r="A850" s="12"/>
    </row>
    <row r="851" spans="1:1" ht="12.75">
      <c r="A851" s="12"/>
    </row>
    <row r="852" spans="1:1" ht="12.75">
      <c r="A852" s="12"/>
    </row>
    <row r="853" spans="1:1" ht="12.75">
      <c r="A853" s="12"/>
    </row>
    <row r="854" spans="1:1" ht="12.75">
      <c r="A854" s="12"/>
    </row>
    <row r="855" spans="1:1" ht="12.75">
      <c r="A855" s="12"/>
    </row>
    <row r="856" spans="1:1" ht="12.75">
      <c r="A856" s="12"/>
    </row>
    <row r="857" spans="1:1" ht="12.75">
      <c r="A857" s="12"/>
    </row>
    <row r="858" spans="1:1" ht="12.75">
      <c r="A858" s="12"/>
    </row>
    <row r="859" spans="1:1" ht="12.75">
      <c r="A859" s="12"/>
    </row>
    <row r="860" spans="1:1" ht="12.75">
      <c r="A860" s="12"/>
    </row>
    <row r="861" spans="1:1" ht="12.75">
      <c r="A861" s="12"/>
    </row>
    <row r="862" spans="1:1" ht="12.75">
      <c r="A862" s="12"/>
    </row>
    <row r="863" spans="1:1" ht="12.75">
      <c r="A863" s="12"/>
    </row>
    <row r="864" spans="1:1" ht="12.75">
      <c r="A864" s="12"/>
    </row>
    <row r="865" spans="1:1" ht="12.75">
      <c r="A865" s="12"/>
    </row>
    <row r="866" spans="1:1" ht="12.75">
      <c r="A866" s="12"/>
    </row>
    <row r="867" spans="1:1" ht="12.75">
      <c r="A867" s="12"/>
    </row>
    <row r="868" spans="1:1" ht="12.75">
      <c r="A868" s="12"/>
    </row>
    <row r="869" spans="1:1" ht="12.75">
      <c r="A869" s="12"/>
    </row>
    <row r="870" spans="1:1" ht="12.75">
      <c r="A870" s="12"/>
    </row>
    <row r="871" spans="1:1" ht="12.75">
      <c r="A871" s="12"/>
    </row>
    <row r="872" spans="1:1" ht="12.75">
      <c r="A872" s="12"/>
    </row>
    <row r="873" spans="1:1" ht="12.75">
      <c r="A873" s="12"/>
    </row>
    <row r="874" spans="1:1" ht="12.75">
      <c r="A874" s="12"/>
    </row>
    <row r="875" spans="1:1" ht="12.75">
      <c r="A875" s="12"/>
    </row>
    <row r="876" spans="1:1" ht="12.75">
      <c r="A876" s="12"/>
    </row>
    <row r="877" spans="1:1" ht="12.75">
      <c r="A877" s="12"/>
    </row>
    <row r="878" spans="1:1" ht="12.75">
      <c r="A878" s="12"/>
    </row>
    <row r="879" spans="1:1" ht="12.75">
      <c r="A879" s="12"/>
    </row>
    <row r="880" spans="1:1" ht="12.75">
      <c r="A880" s="12"/>
    </row>
    <row r="881" spans="1:1" ht="12.75">
      <c r="A881" s="12"/>
    </row>
    <row r="882" spans="1:1" ht="12.75">
      <c r="A882" s="12"/>
    </row>
    <row r="883" spans="1:1" ht="12.75">
      <c r="A883" s="12"/>
    </row>
    <row r="884" spans="1:1" ht="12.75">
      <c r="A884" s="12"/>
    </row>
    <row r="885" spans="1:1" ht="12.75">
      <c r="A885" s="12"/>
    </row>
    <row r="886" spans="1:1" ht="12.75">
      <c r="A886" s="12"/>
    </row>
    <row r="887" spans="1:1" ht="12.75">
      <c r="A887" s="12"/>
    </row>
    <row r="888" spans="1:1" ht="12.75">
      <c r="A888" s="12"/>
    </row>
    <row r="889" spans="1:1" ht="12.75">
      <c r="A889" s="12"/>
    </row>
    <row r="890" spans="1:1" ht="12.75">
      <c r="A890" s="12"/>
    </row>
    <row r="891" spans="1:1" ht="12.75">
      <c r="A891" s="12"/>
    </row>
    <row r="892" spans="1:1" ht="12.75">
      <c r="A892" s="12"/>
    </row>
    <row r="893" spans="1:1" ht="12.75">
      <c r="A893" s="12"/>
    </row>
    <row r="894" spans="1:1" ht="12.75">
      <c r="A894" s="12"/>
    </row>
    <row r="895" spans="1:1" ht="12.75">
      <c r="A895" s="12"/>
    </row>
    <row r="896" spans="1:1" ht="12.75">
      <c r="A896" s="12"/>
    </row>
    <row r="897" spans="1:1" ht="12.75">
      <c r="A897" s="12"/>
    </row>
    <row r="898" spans="1:1" ht="12.75">
      <c r="A898" s="12"/>
    </row>
    <row r="899" spans="1:1" ht="12.75">
      <c r="A899" s="12"/>
    </row>
    <row r="900" spans="1:1" ht="12.75">
      <c r="A900" s="12"/>
    </row>
    <row r="901" spans="1:1" ht="12.75">
      <c r="A901" s="12"/>
    </row>
    <row r="902" spans="1:1" ht="12.75">
      <c r="A902" s="12"/>
    </row>
    <row r="903" spans="1:1" ht="12.75">
      <c r="A903" s="12"/>
    </row>
    <row r="904" spans="1:1" ht="12.75">
      <c r="A904" s="12"/>
    </row>
    <row r="905" spans="1:1" ht="12.75">
      <c r="A905" s="12"/>
    </row>
    <row r="906" spans="1:1" ht="12.75">
      <c r="A906" s="12"/>
    </row>
    <row r="907" spans="1:1" ht="12.75">
      <c r="A907" s="12"/>
    </row>
    <row r="908" spans="1:1" ht="12.75">
      <c r="A908" s="12"/>
    </row>
    <row r="909" spans="1:1" ht="12.75">
      <c r="A909" s="12"/>
    </row>
    <row r="910" spans="1:1" ht="12.75">
      <c r="A910" s="12"/>
    </row>
    <row r="911" spans="1:1" ht="12.75">
      <c r="A911" s="12"/>
    </row>
    <row r="912" spans="1:1" ht="12.75">
      <c r="A912" s="12"/>
    </row>
    <row r="913" spans="1:1" ht="12.75">
      <c r="A913" s="12"/>
    </row>
    <row r="914" spans="1:1" ht="12.75">
      <c r="A914" s="12"/>
    </row>
    <row r="915" spans="1:1" ht="12.75">
      <c r="A915" s="12"/>
    </row>
    <row r="916" spans="1:1" ht="12.75">
      <c r="A916" s="12"/>
    </row>
    <row r="917" spans="1:1" ht="12.75">
      <c r="A917" s="12"/>
    </row>
    <row r="918" spans="1:1" ht="12.75">
      <c r="A918" s="12"/>
    </row>
    <row r="919" spans="1:1" ht="12.75">
      <c r="A919" s="12"/>
    </row>
    <row r="920" spans="1:1" ht="12.75">
      <c r="A920" s="12"/>
    </row>
    <row r="921" spans="1:1" ht="12.75">
      <c r="A921" s="12"/>
    </row>
    <row r="922" spans="1:1" ht="12.75">
      <c r="A922" s="12"/>
    </row>
    <row r="923" spans="1:1" ht="12.75">
      <c r="A923" s="12"/>
    </row>
    <row r="924" spans="1:1" ht="12.75">
      <c r="A924" s="12"/>
    </row>
    <row r="925" spans="1:1" ht="12.75">
      <c r="A925" s="12"/>
    </row>
    <row r="926" spans="1:1" ht="12.75">
      <c r="A926" s="12"/>
    </row>
    <row r="927" spans="1:1" ht="12.75">
      <c r="A927" s="12"/>
    </row>
    <row r="928" spans="1:1" ht="12.75">
      <c r="A928" s="12"/>
    </row>
    <row r="929" spans="1:1" ht="12.75">
      <c r="A929" s="12"/>
    </row>
    <row r="930" spans="1:1" ht="12.75">
      <c r="A930" s="12"/>
    </row>
    <row r="931" spans="1:1" ht="12.75">
      <c r="A931" s="12"/>
    </row>
    <row r="932" spans="1:1" ht="12.75">
      <c r="A932" s="12"/>
    </row>
    <row r="933" spans="1:1" ht="12.75">
      <c r="A933" s="12"/>
    </row>
    <row r="934" spans="1:1" ht="12.75">
      <c r="A934" s="12"/>
    </row>
    <row r="935" spans="1:1" ht="12.75">
      <c r="A935" s="12"/>
    </row>
    <row r="936" spans="1:1" ht="12.75">
      <c r="A936" s="12"/>
    </row>
    <row r="937" spans="1:1" ht="12.75">
      <c r="A937" s="12"/>
    </row>
    <row r="938" spans="1:1" ht="12.75">
      <c r="A938" s="12"/>
    </row>
    <row r="939" spans="1:1" ht="12.75">
      <c r="A939" s="12"/>
    </row>
    <row r="940" spans="1:1" ht="12.75">
      <c r="A940" s="12"/>
    </row>
    <row r="941" spans="1:1" ht="12.75">
      <c r="A941" s="12"/>
    </row>
    <row r="942" spans="1:1" ht="12.75">
      <c r="A942" s="12"/>
    </row>
    <row r="943" spans="1:1" ht="12.75">
      <c r="A943" s="12"/>
    </row>
    <row r="944" spans="1:1" ht="12.75">
      <c r="A944" s="12"/>
    </row>
    <row r="945" spans="1:1" ht="12.75">
      <c r="A945" s="12"/>
    </row>
    <row r="946" spans="1:1" ht="12.75">
      <c r="A946" s="12"/>
    </row>
    <row r="947" spans="1:1" ht="12.75">
      <c r="A947" s="12"/>
    </row>
    <row r="948" spans="1:1" ht="12.75">
      <c r="A948" s="12"/>
    </row>
    <row r="949" spans="1:1" ht="12.75">
      <c r="A949" s="12"/>
    </row>
    <row r="950" spans="1:1" ht="12.75">
      <c r="A950" s="12"/>
    </row>
    <row r="951" spans="1:1" ht="12.75">
      <c r="A951" s="12"/>
    </row>
    <row r="952" spans="1:1" ht="12.75">
      <c r="A952" s="12"/>
    </row>
    <row r="953" spans="1:1" ht="12.75">
      <c r="A953" s="12"/>
    </row>
    <row r="954" spans="1:1" ht="12.75">
      <c r="A954" s="12"/>
    </row>
    <row r="955" spans="1:1" ht="12.75">
      <c r="A955" s="12"/>
    </row>
    <row r="956" spans="1:1" ht="12.75">
      <c r="A956" s="12"/>
    </row>
    <row r="957" spans="1:1" ht="12.75">
      <c r="A957" s="12"/>
    </row>
    <row r="958" spans="1:1" ht="12.75">
      <c r="A958" s="12"/>
    </row>
    <row r="959" spans="1:1" ht="12.75">
      <c r="A959" s="12"/>
    </row>
    <row r="960" spans="1:1" ht="12.75">
      <c r="A960" s="12"/>
    </row>
    <row r="961" spans="1:1" ht="12.75">
      <c r="A961" s="12"/>
    </row>
    <row r="962" spans="1:1" ht="12.75">
      <c r="A962" s="12"/>
    </row>
    <row r="963" spans="1:1" ht="12.75">
      <c r="A963" s="12"/>
    </row>
    <row r="964" spans="1:1" ht="12.75">
      <c r="A964" s="12"/>
    </row>
    <row r="965" spans="1:1" ht="12.75">
      <c r="A965" s="12"/>
    </row>
    <row r="966" spans="1:1" ht="12.75">
      <c r="A966" s="12"/>
    </row>
    <row r="967" spans="1:1" ht="12.75">
      <c r="A967" s="12"/>
    </row>
    <row r="968" spans="1:1" ht="12.75">
      <c r="A968" s="12"/>
    </row>
    <row r="969" spans="1:1" ht="12.75">
      <c r="A969" s="12"/>
    </row>
    <row r="970" spans="1:1" ht="12.75">
      <c r="A970" s="12"/>
    </row>
    <row r="971" spans="1:1" ht="12.75">
      <c r="A971" s="12"/>
    </row>
    <row r="972" spans="1:1" ht="12.75">
      <c r="A972" s="12"/>
    </row>
    <row r="973" spans="1:1" ht="12.75">
      <c r="A973" s="12"/>
    </row>
    <row r="974" spans="1:1" ht="12.75">
      <c r="A974" s="12"/>
    </row>
    <row r="975" spans="1:1" ht="12.75">
      <c r="A975" s="12"/>
    </row>
    <row r="976" spans="1:1" ht="12.75">
      <c r="A976" s="12"/>
    </row>
    <row r="977" spans="1:1" ht="12.75">
      <c r="A977" s="12"/>
    </row>
    <row r="978" spans="1:1" ht="12.75">
      <c r="A978" s="12"/>
    </row>
    <row r="979" spans="1:1" ht="12.75">
      <c r="A979" s="12"/>
    </row>
    <row r="980" spans="1:1" ht="12.75">
      <c r="A980" s="12"/>
    </row>
    <row r="981" spans="1:1" ht="12.75">
      <c r="A981" s="12"/>
    </row>
    <row r="982" spans="1:1" ht="12.75">
      <c r="A982" s="12"/>
    </row>
    <row r="983" spans="1:1" ht="12.75">
      <c r="A983" s="12"/>
    </row>
    <row r="984" spans="1:1" ht="12.75">
      <c r="A984" s="12"/>
    </row>
    <row r="985" spans="1:1" ht="12.75">
      <c r="A985" s="12"/>
    </row>
    <row r="986" spans="1:1" ht="12.75">
      <c r="A986" s="12"/>
    </row>
    <row r="987" spans="1:1" ht="12.75">
      <c r="A987" s="12"/>
    </row>
    <row r="988" spans="1:1" ht="12.75">
      <c r="A988" s="12"/>
    </row>
    <row r="989" spans="1:1" ht="12.75">
      <c r="A989" s="12"/>
    </row>
    <row r="990" spans="1:1" ht="12.75">
      <c r="A990" s="12"/>
    </row>
    <row r="991" spans="1:1" ht="12.75">
      <c r="A991" s="12"/>
    </row>
    <row r="992" spans="1:1" ht="12.75">
      <c r="A992" s="12"/>
    </row>
    <row r="993" spans="1:1" ht="12.75">
      <c r="A993" s="12"/>
    </row>
    <row r="994" spans="1:1" ht="12.75">
      <c r="A994" s="12"/>
    </row>
    <row r="995" spans="1:1" ht="12.75">
      <c r="A995" s="12"/>
    </row>
    <row r="996" spans="1:1" ht="12.75">
      <c r="A996" s="12"/>
    </row>
    <row r="997" spans="1:1" ht="12.75">
      <c r="A997" s="12"/>
    </row>
    <row r="998" spans="1:1" ht="12.75">
      <c r="A998" s="12"/>
    </row>
    <row r="999" spans="1:1" ht="12.75">
      <c r="A999" s="12"/>
    </row>
    <row r="1000" spans="1:1" ht="12.75">
      <c r="A1000" s="12"/>
    </row>
    <row r="1001" spans="1:1" ht="12.75">
      <c r="A1001" s="12"/>
    </row>
    <row r="1002" spans="1:1" ht="12.75">
      <c r="A1002" s="12"/>
    </row>
    <row r="1003" spans="1:1" ht="12.75">
      <c r="A1003" s="12"/>
    </row>
    <row r="1004" spans="1:1" ht="12.75">
      <c r="A1004" s="12"/>
    </row>
    <row r="1005" spans="1:1" ht="12.75">
      <c r="A1005" s="12"/>
    </row>
    <row r="1006" spans="1:1" ht="12.75">
      <c r="A1006" s="12"/>
    </row>
    <row r="1007" spans="1:1" ht="12.75">
      <c r="A1007" s="12"/>
    </row>
    <row r="1008" spans="1:1" ht="12.75">
      <c r="A1008" s="12"/>
    </row>
    <row r="1009" spans="1:1" ht="12.75">
      <c r="A1009" s="12"/>
    </row>
    <row r="1010" spans="1:1" ht="12.75">
      <c r="A1010" s="12"/>
    </row>
    <row r="1011" spans="1:1" ht="12.75">
      <c r="A1011" s="12"/>
    </row>
    <row r="1012" spans="1:1" ht="12.75">
      <c r="A1012" s="12"/>
    </row>
    <row r="1013" spans="1:1" ht="12.75">
      <c r="A1013" s="12"/>
    </row>
    <row r="1014" spans="1:1" ht="12.75">
      <c r="A1014" s="12"/>
    </row>
    <row r="1015" spans="1:1" ht="12.75">
      <c r="A1015" s="12"/>
    </row>
    <row r="1016" spans="1:1" ht="12.75">
      <c r="A1016" s="12"/>
    </row>
    <row r="1017" spans="1:1" ht="12.75">
      <c r="A1017" s="12"/>
    </row>
    <row r="1018" spans="1:1" ht="12.75">
      <c r="A1018" s="12"/>
    </row>
    <row r="1019" spans="1:1" ht="12.75">
      <c r="A1019" s="12"/>
    </row>
    <row r="1020" spans="1:1" ht="12.75">
      <c r="A1020" s="12"/>
    </row>
    <row r="1021" spans="1:1" ht="12.75">
      <c r="A1021" s="12"/>
    </row>
    <row r="1022" spans="1:1" ht="12.75">
      <c r="A1022" s="12"/>
    </row>
    <row r="1023" spans="1:1" ht="12.75">
      <c r="A1023" s="12"/>
    </row>
    <row r="1024" spans="1:1" ht="12.75">
      <c r="A1024" s="12"/>
    </row>
    <row r="1025" spans="1:1" ht="12.75">
      <c r="A1025" s="12"/>
    </row>
    <row r="1026" spans="1:1" ht="12.75">
      <c r="A1026" s="12"/>
    </row>
    <row r="1027" spans="1:1" ht="12.75">
      <c r="A1027" s="12"/>
    </row>
    <row r="1028" spans="1:1" ht="12.75">
      <c r="A1028" s="12"/>
    </row>
    <row r="1029" spans="1:1" ht="12.75">
      <c r="A1029" s="12"/>
    </row>
    <row r="1030" spans="1:1" ht="12.75">
      <c r="A1030" s="12"/>
    </row>
    <row r="1031" spans="1:1" ht="12.75">
      <c r="A1031" s="12"/>
    </row>
    <row r="1032" spans="1:1" ht="12.75">
      <c r="A1032" s="12"/>
    </row>
    <row r="1033" spans="1:1" ht="12.75">
      <c r="A1033" s="12"/>
    </row>
    <row r="1034" spans="1:1" ht="12.75">
      <c r="A1034" s="12"/>
    </row>
    <row r="1035" spans="1:1" ht="12.75">
      <c r="A1035" s="12"/>
    </row>
    <row r="1036" spans="1:1" ht="12.75">
      <c r="A1036" s="12"/>
    </row>
    <row r="1037" spans="1:1" ht="12.75">
      <c r="A1037" s="12"/>
    </row>
    <row r="1038" spans="1:1" ht="12.75">
      <c r="A1038" s="12"/>
    </row>
    <row r="1039" spans="1:1" ht="12.75">
      <c r="A1039" s="12"/>
    </row>
    <row r="1040" spans="1:1" ht="12.75">
      <c r="A1040" s="12"/>
    </row>
    <row r="1041" spans="1:1" ht="12.75">
      <c r="A1041" s="12"/>
    </row>
    <row r="1042" spans="1:1" ht="12.75">
      <c r="A1042" s="12"/>
    </row>
    <row r="1043" spans="1:1" ht="12.75">
      <c r="A1043" s="12"/>
    </row>
    <row r="1044" spans="1:1" ht="12.75">
      <c r="A1044" s="12"/>
    </row>
    <row r="1045" spans="1:1" ht="12.75">
      <c r="A1045" s="12"/>
    </row>
    <row r="1046" spans="1:1" ht="12.75">
      <c r="A1046" s="12"/>
    </row>
    <row r="1047" spans="1:1" ht="12.75">
      <c r="A1047" s="12"/>
    </row>
    <row r="1048" spans="1:1" ht="12.75">
      <c r="A1048" s="12"/>
    </row>
    <row r="1049" spans="1:1" ht="12.75">
      <c r="A1049" s="12"/>
    </row>
    <row r="1050" spans="1:1" ht="12.75">
      <c r="A1050" s="12"/>
    </row>
    <row r="1051" spans="1:1" ht="12.75">
      <c r="A1051" s="12"/>
    </row>
    <row r="1052" spans="1:1" ht="12.75">
      <c r="A1052" s="12"/>
    </row>
    <row r="1053" spans="1:1" ht="12.75">
      <c r="A1053" s="12"/>
    </row>
    <row r="1054" spans="1:1" ht="12.75">
      <c r="A1054" s="12"/>
    </row>
    <row r="1055" spans="1:1" ht="12.75">
      <c r="A1055" s="12"/>
    </row>
    <row r="1056" spans="1:1" ht="12.75">
      <c r="A1056" s="12"/>
    </row>
    <row r="1057" spans="1:1" ht="12.75">
      <c r="A1057" s="12"/>
    </row>
    <row r="1058" spans="1:1" ht="12.75">
      <c r="A1058" s="12"/>
    </row>
    <row r="1059" spans="1:1" ht="12.75">
      <c r="A1059" s="12"/>
    </row>
    <row r="1060" spans="1:1" ht="12.75">
      <c r="A1060" s="12"/>
    </row>
    <row r="1061" spans="1:1" ht="12.75">
      <c r="A1061" s="12"/>
    </row>
    <row r="1062" spans="1:1" ht="12.75">
      <c r="A1062" s="12"/>
    </row>
    <row r="1063" spans="1:1" ht="12.75">
      <c r="A1063" s="12"/>
    </row>
    <row r="1064" spans="1:1" ht="12.75">
      <c r="A1064" s="12"/>
    </row>
    <row r="1065" spans="1:1" ht="12.75">
      <c r="A1065" s="12"/>
    </row>
    <row r="1066" spans="1:1" ht="12.75">
      <c r="A1066" s="12"/>
    </row>
    <row r="1067" spans="1:1" ht="12.75">
      <c r="A1067" s="12"/>
    </row>
    <row r="1068" spans="1:1" ht="12.75">
      <c r="A1068" s="12"/>
    </row>
    <row r="1069" spans="1:1" ht="12.75">
      <c r="A1069" s="12"/>
    </row>
    <row r="1070" spans="1:1" ht="12.75">
      <c r="A1070" s="12"/>
    </row>
    <row r="1071" spans="1:1" ht="12.75">
      <c r="A1071" s="12"/>
    </row>
    <row r="1072" spans="1:1" ht="12.75">
      <c r="A1072" s="12"/>
    </row>
    <row r="1073" spans="1:1" ht="12.75">
      <c r="A1073" s="12"/>
    </row>
    <row r="1074" spans="1:1" ht="12.75">
      <c r="A1074" s="12"/>
    </row>
    <row r="1075" spans="1:1" ht="12.75">
      <c r="A1075" s="12"/>
    </row>
    <row r="1076" spans="1:1" ht="12.75">
      <c r="A1076" s="12"/>
    </row>
    <row r="1077" spans="1:1" ht="12.75">
      <c r="A1077" s="12"/>
    </row>
    <row r="1078" spans="1:1" ht="12.75">
      <c r="A1078" s="12"/>
    </row>
    <row r="1079" spans="1:1" ht="12.75">
      <c r="A1079" s="12"/>
    </row>
    <row r="1080" spans="1:1" ht="12.75">
      <c r="A1080" s="12"/>
    </row>
    <row r="1081" spans="1:1" ht="12.75">
      <c r="A1081" s="12"/>
    </row>
    <row r="1082" spans="1:1" ht="12.75">
      <c r="A1082" s="12"/>
    </row>
    <row r="1083" spans="1:1" ht="12.75">
      <c r="A1083" s="12"/>
    </row>
    <row r="1084" spans="1:1" ht="12.75">
      <c r="A1084" s="12"/>
    </row>
    <row r="1085" spans="1:1" ht="12.75">
      <c r="A1085" s="12"/>
    </row>
    <row r="1086" spans="1:1" ht="12.75">
      <c r="A1086" s="12"/>
    </row>
    <row r="1087" spans="1:1" ht="12.75">
      <c r="A1087" s="12"/>
    </row>
    <row r="1088" spans="1:1" ht="12.75">
      <c r="A1088" s="12"/>
    </row>
  </sheetData>
  <autoFilter ref="A1:AE97" xr:uid="{00000000-0009-0000-0000-000000000000}"/>
  <mergeCells count="1">
    <mergeCell ref="A108:D10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720"/>
  <sheetViews>
    <sheetView workbookViewId="0">
      <pane ySplit="1" topLeftCell="A2" activePane="bottomLeft" state="frozen"/>
      <selection pane="bottomLeft" activeCell="O27" sqref="O27"/>
    </sheetView>
  </sheetViews>
  <sheetFormatPr defaultColWidth="12.5703125" defaultRowHeight="15.75" customHeight="1"/>
  <cols>
    <col min="1" max="1" width="11.28515625" bestFit="1" customWidth="1"/>
    <col min="2" max="2" width="5.42578125" customWidth="1"/>
    <col min="3" max="3" width="3.28515625" bestFit="1" customWidth="1"/>
    <col min="4" max="4" width="20.5703125" customWidth="1"/>
    <col min="5" max="5" width="10.140625" bestFit="1" customWidth="1"/>
    <col min="6" max="7" width="7.85546875" bestFit="1" customWidth="1"/>
    <col min="8" max="8" width="8.5703125" bestFit="1" customWidth="1"/>
    <col min="9" max="9" width="25.28515625" bestFit="1" customWidth="1"/>
    <col min="10" max="10" width="47.85546875" bestFit="1" customWidth="1"/>
    <col min="11" max="11" width="45.5703125" bestFit="1" customWidth="1"/>
    <col min="12" max="12" width="19.42578125" bestFit="1" customWidth="1"/>
    <col min="13" max="13" width="14.5703125" bestFit="1" customWidth="1"/>
    <col min="14" max="14" width="14" bestFit="1" customWidth="1"/>
    <col min="15" max="15" width="25.28515625" bestFit="1" customWidth="1"/>
    <col min="16" max="16" width="8.140625" bestFit="1" customWidth="1"/>
    <col min="17" max="17" width="20.28515625" bestFit="1" customWidth="1"/>
    <col min="18" max="18" width="16.140625" bestFit="1" customWidth="1"/>
    <col min="19" max="19" width="14" bestFit="1" customWidth="1"/>
  </cols>
  <sheetData>
    <row r="1" spans="1:19">
      <c r="A1" s="13" t="s">
        <v>17</v>
      </c>
      <c r="B1" s="14" t="s">
        <v>18</v>
      </c>
      <c r="C1" s="15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25</v>
      </c>
      <c r="J1" s="13" t="s">
        <v>26</v>
      </c>
      <c r="K1" s="13" t="s">
        <v>27</v>
      </c>
      <c r="L1" s="13" t="s">
        <v>28</v>
      </c>
      <c r="M1" s="13" t="s">
        <v>29</v>
      </c>
      <c r="N1" s="13" t="s">
        <v>30</v>
      </c>
      <c r="O1" s="13" t="s">
        <v>31</v>
      </c>
      <c r="P1" s="13" t="s">
        <v>32</v>
      </c>
      <c r="Q1" s="13" t="s">
        <v>33</v>
      </c>
      <c r="R1" s="13" t="s">
        <v>34</v>
      </c>
      <c r="S1" s="13" t="s">
        <v>35</v>
      </c>
    </row>
    <row r="2" spans="1:19">
      <c r="A2" s="16" t="s">
        <v>36</v>
      </c>
      <c r="B2" s="17">
        <v>2025</v>
      </c>
      <c r="C2" s="18" t="s">
        <v>37</v>
      </c>
      <c r="D2" s="17" t="s">
        <v>38</v>
      </c>
      <c r="E2" s="17">
        <v>-11.84</v>
      </c>
      <c r="F2" s="19">
        <f t="shared" ref="F2:F123" si="0">IF(E2&gt;0,E2*1,0)</f>
        <v>0</v>
      </c>
      <c r="G2" s="19">
        <f t="shared" ref="G2:G123" si="1">IF(E2&lt;0,E2*-1,0)</f>
        <v>11.84</v>
      </c>
      <c r="H2" s="17" t="s">
        <v>39</v>
      </c>
      <c r="I2" s="17" t="s">
        <v>40</v>
      </c>
      <c r="J2" s="17" t="s">
        <v>41</v>
      </c>
      <c r="K2" s="17"/>
      <c r="L2" s="17"/>
      <c r="M2" s="17">
        <v>5180</v>
      </c>
      <c r="N2" s="17" t="s">
        <v>42</v>
      </c>
      <c r="O2" s="17" t="s">
        <v>43</v>
      </c>
      <c r="P2" s="17"/>
      <c r="Q2" s="17" t="s">
        <v>44</v>
      </c>
      <c r="R2" s="17" t="s">
        <v>45</v>
      </c>
      <c r="S2" s="17"/>
    </row>
    <row r="3" spans="1:19">
      <c r="A3" s="16" t="s">
        <v>46</v>
      </c>
      <c r="B3" s="17">
        <v>2025</v>
      </c>
      <c r="C3" s="18" t="s">
        <v>37</v>
      </c>
      <c r="D3" s="17" t="s">
        <v>47</v>
      </c>
      <c r="E3" s="17">
        <v>-10.8</v>
      </c>
      <c r="F3" s="19">
        <f t="shared" si="0"/>
        <v>0</v>
      </c>
      <c r="G3" s="19">
        <f t="shared" si="1"/>
        <v>10.8</v>
      </c>
      <c r="H3" s="17" t="s">
        <v>39</v>
      </c>
      <c r="I3" s="17" t="s">
        <v>40</v>
      </c>
      <c r="J3" s="17" t="s">
        <v>48</v>
      </c>
      <c r="K3" s="17"/>
      <c r="L3" s="17"/>
      <c r="M3" s="17">
        <v>5180</v>
      </c>
      <c r="N3" s="17" t="s">
        <v>42</v>
      </c>
      <c r="O3" s="17" t="s">
        <v>49</v>
      </c>
      <c r="P3" s="17"/>
      <c r="Q3" s="17" t="s">
        <v>50</v>
      </c>
      <c r="R3" s="17" t="s">
        <v>45</v>
      </c>
      <c r="S3" s="17"/>
    </row>
    <row r="4" spans="1:19">
      <c r="A4" s="16" t="s">
        <v>51</v>
      </c>
      <c r="B4" s="17">
        <v>2025</v>
      </c>
      <c r="C4" s="18" t="s">
        <v>37</v>
      </c>
      <c r="D4" s="17" t="s">
        <v>52</v>
      </c>
      <c r="E4" s="17">
        <v>-46.39</v>
      </c>
      <c r="F4" s="19">
        <f t="shared" si="0"/>
        <v>0</v>
      </c>
      <c r="G4" s="19">
        <f t="shared" si="1"/>
        <v>46.39</v>
      </c>
      <c r="H4" s="17" t="s">
        <v>39</v>
      </c>
      <c r="I4" s="17" t="s">
        <v>40</v>
      </c>
      <c r="J4" s="17" t="s">
        <v>53</v>
      </c>
      <c r="K4" s="17"/>
      <c r="L4" s="17"/>
      <c r="M4" s="17">
        <v>5180</v>
      </c>
      <c r="N4" s="17" t="s">
        <v>42</v>
      </c>
      <c r="O4" s="17" t="s">
        <v>43</v>
      </c>
      <c r="P4" s="17"/>
      <c r="Q4" s="17" t="s">
        <v>54</v>
      </c>
      <c r="R4" s="17" t="s">
        <v>55</v>
      </c>
      <c r="S4" s="17"/>
    </row>
    <row r="5" spans="1:19">
      <c r="A5" s="16" t="s">
        <v>51</v>
      </c>
      <c r="B5" s="17">
        <v>2025</v>
      </c>
      <c r="C5" s="18" t="s">
        <v>37</v>
      </c>
      <c r="D5" s="17" t="s">
        <v>56</v>
      </c>
      <c r="E5" s="17">
        <v>-1.39</v>
      </c>
      <c r="F5" s="19">
        <f t="shared" si="0"/>
        <v>0</v>
      </c>
      <c r="G5" s="19">
        <f t="shared" si="1"/>
        <v>1.39</v>
      </c>
      <c r="H5" s="17" t="s">
        <v>39</v>
      </c>
      <c r="I5" s="17" t="s">
        <v>40</v>
      </c>
      <c r="J5" s="17"/>
      <c r="K5" s="17"/>
      <c r="L5" s="17"/>
      <c r="M5" s="17"/>
      <c r="N5" s="17"/>
      <c r="O5" s="17" t="s">
        <v>57</v>
      </c>
      <c r="P5" s="17"/>
      <c r="Q5" s="17" t="s">
        <v>54</v>
      </c>
      <c r="R5" s="17"/>
      <c r="S5" s="17"/>
    </row>
    <row r="6" spans="1:19">
      <c r="A6" s="20">
        <v>45839</v>
      </c>
      <c r="B6" s="17">
        <v>2025</v>
      </c>
      <c r="C6" s="18" t="s">
        <v>37</v>
      </c>
      <c r="D6" s="17" t="s">
        <v>58</v>
      </c>
      <c r="E6" s="17">
        <v>-955.1</v>
      </c>
      <c r="F6" s="19">
        <f t="shared" si="0"/>
        <v>0</v>
      </c>
      <c r="G6" s="19">
        <f t="shared" si="1"/>
        <v>955.1</v>
      </c>
      <c r="H6" s="17" t="s">
        <v>39</v>
      </c>
      <c r="I6" s="17" t="s">
        <v>40</v>
      </c>
      <c r="J6" s="17" t="s">
        <v>59</v>
      </c>
      <c r="K6" s="17" t="s">
        <v>60</v>
      </c>
      <c r="L6" s="17" t="s">
        <v>61</v>
      </c>
      <c r="M6" s="17"/>
      <c r="N6" s="17"/>
      <c r="O6" s="17"/>
      <c r="P6" s="17"/>
      <c r="Q6" s="21">
        <v>45839.649641203701</v>
      </c>
      <c r="R6" s="17"/>
      <c r="S6" s="17"/>
    </row>
    <row r="7" spans="1:19">
      <c r="A7" s="20">
        <v>45689</v>
      </c>
      <c r="B7" s="17">
        <v>2025</v>
      </c>
      <c r="C7" s="18" t="s">
        <v>37</v>
      </c>
      <c r="D7" s="17" t="s">
        <v>62</v>
      </c>
      <c r="E7" s="17">
        <v>-34</v>
      </c>
      <c r="F7" s="19">
        <f t="shared" si="0"/>
        <v>0</v>
      </c>
      <c r="G7" s="19">
        <f t="shared" si="1"/>
        <v>34</v>
      </c>
      <c r="H7" s="17" t="s">
        <v>39</v>
      </c>
      <c r="I7" s="17" t="s">
        <v>40</v>
      </c>
      <c r="J7" s="17" t="s">
        <v>62</v>
      </c>
      <c r="K7" s="17"/>
      <c r="L7" s="17"/>
      <c r="M7" s="17">
        <v>4422</v>
      </c>
      <c r="N7" s="17" t="s">
        <v>63</v>
      </c>
      <c r="O7" s="17" t="s">
        <v>43</v>
      </c>
      <c r="P7" s="17"/>
      <c r="Q7" s="21">
        <v>45689.085925925923</v>
      </c>
      <c r="R7" s="17" t="s">
        <v>45</v>
      </c>
      <c r="S7" s="17"/>
    </row>
    <row r="8" spans="1:19">
      <c r="A8" s="22" t="s">
        <v>64</v>
      </c>
      <c r="B8" s="17">
        <v>2025</v>
      </c>
      <c r="C8" s="18" t="s">
        <v>65</v>
      </c>
      <c r="D8" s="23" t="s">
        <v>66</v>
      </c>
      <c r="E8" s="24">
        <v>40.840000000000003</v>
      </c>
      <c r="F8" s="19">
        <f t="shared" si="0"/>
        <v>40.840000000000003</v>
      </c>
      <c r="G8" s="19">
        <f t="shared" si="1"/>
        <v>0</v>
      </c>
      <c r="H8" s="23" t="s">
        <v>39</v>
      </c>
      <c r="I8" s="23" t="s">
        <v>40</v>
      </c>
      <c r="J8" s="23" t="s">
        <v>67</v>
      </c>
      <c r="K8" s="23"/>
      <c r="L8" s="23"/>
      <c r="M8" s="23"/>
      <c r="N8" s="23"/>
      <c r="O8" s="23"/>
      <c r="P8" s="23"/>
      <c r="Q8" s="23" t="s">
        <v>68</v>
      </c>
      <c r="R8" s="23"/>
      <c r="S8" s="17"/>
    </row>
    <row r="9" spans="1:19">
      <c r="A9" s="22" t="s">
        <v>69</v>
      </c>
      <c r="B9" s="17">
        <v>2025</v>
      </c>
      <c r="C9" s="18" t="s">
        <v>65</v>
      </c>
      <c r="D9" s="23" t="s">
        <v>66</v>
      </c>
      <c r="E9" s="24">
        <v>24.55</v>
      </c>
      <c r="F9" s="19">
        <f t="shared" si="0"/>
        <v>24.55</v>
      </c>
      <c r="G9" s="19">
        <f t="shared" si="1"/>
        <v>0</v>
      </c>
      <c r="H9" s="23" t="s">
        <v>39</v>
      </c>
      <c r="I9" s="23" t="s">
        <v>40</v>
      </c>
      <c r="J9" s="23" t="s">
        <v>67</v>
      </c>
      <c r="K9" s="23"/>
      <c r="L9" s="23"/>
      <c r="M9" s="23"/>
      <c r="N9" s="23"/>
      <c r="O9" s="23"/>
      <c r="P9" s="23"/>
      <c r="Q9" s="23" t="s">
        <v>70</v>
      </c>
      <c r="R9" s="23"/>
      <c r="S9" s="17"/>
    </row>
    <row r="10" spans="1:19">
      <c r="A10" s="22" t="s">
        <v>71</v>
      </c>
      <c r="B10" s="17">
        <v>2025</v>
      </c>
      <c r="C10" s="18" t="s">
        <v>65</v>
      </c>
      <c r="D10" s="23" t="s">
        <v>72</v>
      </c>
      <c r="E10" s="24">
        <v>1782.62</v>
      </c>
      <c r="F10" s="19">
        <f t="shared" si="0"/>
        <v>1782.62</v>
      </c>
      <c r="G10" s="19">
        <f t="shared" si="1"/>
        <v>0</v>
      </c>
      <c r="H10" s="23" t="s">
        <v>39</v>
      </c>
      <c r="I10" s="23" t="s">
        <v>40</v>
      </c>
      <c r="J10" s="23" t="s">
        <v>73</v>
      </c>
      <c r="K10" s="23" t="s">
        <v>74</v>
      </c>
      <c r="L10" s="23"/>
      <c r="M10" s="23"/>
      <c r="N10" s="23"/>
      <c r="O10" s="23"/>
      <c r="P10" s="23"/>
      <c r="Q10" s="23" t="s">
        <v>75</v>
      </c>
      <c r="R10" s="23"/>
      <c r="S10" s="17"/>
    </row>
    <row r="11" spans="1:19">
      <c r="A11" s="22" t="s">
        <v>71</v>
      </c>
      <c r="B11" s="17">
        <v>2025</v>
      </c>
      <c r="C11" s="18" t="s">
        <v>65</v>
      </c>
      <c r="D11" s="23" t="s">
        <v>76</v>
      </c>
      <c r="E11" s="24">
        <v>26.21</v>
      </c>
      <c r="F11" s="19">
        <f t="shared" si="0"/>
        <v>26.21</v>
      </c>
      <c r="G11" s="19">
        <f t="shared" si="1"/>
        <v>0</v>
      </c>
      <c r="H11" s="23" t="s">
        <v>39</v>
      </c>
      <c r="I11" s="23" t="s">
        <v>40</v>
      </c>
      <c r="J11" s="23" t="s">
        <v>77</v>
      </c>
      <c r="K11" s="23"/>
      <c r="L11" s="23"/>
      <c r="M11" s="23"/>
      <c r="N11" s="23"/>
      <c r="O11" s="23"/>
      <c r="P11" s="23"/>
      <c r="Q11" s="23" t="s">
        <v>78</v>
      </c>
      <c r="R11" s="23"/>
      <c r="S11" s="17"/>
    </row>
    <row r="12" spans="1:19">
      <c r="A12" s="22" t="s">
        <v>79</v>
      </c>
      <c r="B12" s="17">
        <v>2025</v>
      </c>
      <c r="C12" s="18" t="s">
        <v>65</v>
      </c>
      <c r="D12" s="23" t="s">
        <v>47</v>
      </c>
      <c r="E12" s="24">
        <v>-10.8</v>
      </c>
      <c r="F12" s="19">
        <f t="shared" si="0"/>
        <v>0</v>
      </c>
      <c r="G12" s="19">
        <f t="shared" si="1"/>
        <v>10.8</v>
      </c>
      <c r="H12" s="23" t="s">
        <v>39</v>
      </c>
      <c r="I12" s="23" t="s">
        <v>40</v>
      </c>
      <c r="J12" s="23" t="s">
        <v>48</v>
      </c>
      <c r="K12" s="23"/>
      <c r="L12" s="23"/>
      <c r="M12" s="24">
        <v>5180</v>
      </c>
      <c r="N12" s="23" t="s">
        <v>42</v>
      </c>
      <c r="O12" s="23" t="s">
        <v>49</v>
      </c>
      <c r="P12" s="23"/>
      <c r="Q12" s="23" t="s">
        <v>80</v>
      </c>
      <c r="R12" s="23" t="s">
        <v>45</v>
      </c>
      <c r="S12" s="17"/>
    </row>
    <row r="13" spans="1:19">
      <c r="A13" s="22" t="s">
        <v>81</v>
      </c>
      <c r="B13" s="17">
        <v>2025</v>
      </c>
      <c r="C13" s="18" t="s">
        <v>65</v>
      </c>
      <c r="D13" s="23" t="s">
        <v>82</v>
      </c>
      <c r="E13" s="24">
        <v>-50</v>
      </c>
      <c r="F13" s="19">
        <f t="shared" si="0"/>
        <v>0</v>
      </c>
      <c r="G13" s="19">
        <f t="shared" si="1"/>
        <v>50</v>
      </c>
      <c r="H13" s="23" t="s">
        <v>39</v>
      </c>
      <c r="I13" s="23" t="s">
        <v>40</v>
      </c>
      <c r="J13" s="23" t="s">
        <v>83</v>
      </c>
      <c r="K13" s="23"/>
      <c r="L13" s="23"/>
      <c r="M13" s="24">
        <v>5180</v>
      </c>
      <c r="N13" s="23" t="s">
        <v>42</v>
      </c>
      <c r="O13" s="23" t="s">
        <v>84</v>
      </c>
      <c r="P13" s="23"/>
      <c r="Q13" s="23" t="s">
        <v>85</v>
      </c>
      <c r="R13" s="23" t="s">
        <v>45</v>
      </c>
      <c r="S13" s="17"/>
    </row>
    <row r="14" spans="1:19">
      <c r="A14" s="25">
        <v>45779</v>
      </c>
      <c r="B14" s="17">
        <v>2025</v>
      </c>
      <c r="C14" s="18" t="s">
        <v>65</v>
      </c>
      <c r="D14" s="23" t="s">
        <v>58</v>
      </c>
      <c r="E14" s="24">
        <v>-1335.97</v>
      </c>
      <c r="F14" s="19">
        <f t="shared" si="0"/>
        <v>0</v>
      </c>
      <c r="G14" s="19">
        <f t="shared" si="1"/>
        <v>1335.97</v>
      </c>
      <c r="H14" s="23" t="s">
        <v>39</v>
      </c>
      <c r="I14" s="23" t="s">
        <v>40</v>
      </c>
      <c r="J14" s="23" t="s">
        <v>59</v>
      </c>
      <c r="K14" s="23" t="s">
        <v>60</v>
      </c>
      <c r="L14" s="23" t="s">
        <v>86</v>
      </c>
      <c r="M14" s="23"/>
      <c r="N14" s="23"/>
      <c r="O14" s="23"/>
      <c r="P14" s="23"/>
      <c r="Q14" s="26">
        <v>45779.649652777778</v>
      </c>
      <c r="R14" s="23"/>
      <c r="S14" s="17"/>
    </row>
    <row r="15" spans="1:19">
      <c r="A15" s="25">
        <v>45749</v>
      </c>
      <c r="B15" s="17">
        <v>2025</v>
      </c>
      <c r="C15" s="18" t="s">
        <v>65</v>
      </c>
      <c r="D15" s="23" t="s">
        <v>72</v>
      </c>
      <c r="E15" s="24">
        <v>1451.09</v>
      </c>
      <c r="F15" s="19">
        <f t="shared" si="0"/>
        <v>1451.09</v>
      </c>
      <c r="G15" s="19">
        <f t="shared" si="1"/>
        <v>0</v>
      </c>
      <c r="H15" s="23" t="s">
        <v>39</v>
      </c>
      <c r="I15" s="23" t="s">
        <v>40</v>
      </c>
      <c r="J15" s="23" t="s">
        <v>87</v>
      </c>
      <c r="K15" s="23" t="s">
        <v>88</v>
      </c>
      <c r="L15" s="23"/>
      <c r="M15" s="23"/>
      <c r="N15" s="23"/>
      <c r="O15" s="23"/>
      <c r="P15" s="23"/>
      <c r="Q15" s="26">
        <v>45749.96565972222</v>
      </c>
      <c r="R15" s="23"/>
      <c r="S15" s="17"/>
    </row>
    <row r="16" spans="1:19">
      <c r="A16" s="25">
        <v>45690</v>
      </c>
      <c r="B16" s="17">
        <v>2025</v>
      </c>
      <c r="C16" s="18" t="s">
        <v>65</v>
      </c>
      <c r="D16" s="23" t="s">
        <v>62</v>
      </c>
      <c r="E16" s="24">
        <v>-34</v>
      </c>
      <c r="F16" s="19">
        <f t="shared" si="0"/>
        <v>0</v>
      </c>
      <c r="G16" s="19">
        <f t="shared" si="1"/>
        <v>34</v>
      </c>
      <c r="H16" s="23" t="s">
        <v>39</v>
      </c>
      <c r="I16" s="23" t="s">
        <v>40</v>
      </c>
      <c r="J16" s="23" t="s">
        <v>62</v>
      </c>
      <c r="K16" s="23"/>
      <c r="L16" s="23"/>
      <c r="M16" s="24">
        <v>4422</v>
      </c>
      <c r="N16" s="23" t="s">
        <v>63</v>
      </c>
      <c r="O16" s="23" t="s">
        <v>43</v>
      </c>
      <c r="P16" s="23"/>
      <c r="Q16" s="26">
        <v>45690.575821759259</v>
      </c>
      <c r="R16" s="23" t="s">
        <v>45</v>
      </c>
      <c r="S16" s="17"/>
    </row>
    <row r="17" spans="1:19">
      <c r="A17" s="27" t="s">
        <v>89</v>
      </c>
      <c r="B17" s="28">
        <v>2025</v>
      </c>
      <c r="C17" s="29" t="s">
        <v>90</v>
      </c>
      <c r="D17" s="28" t="s">
        <v>58</v>
      </c>
      <c r="E17" s="28">
        <v>-500</v>
      </c>
      <c r="F17" s="19">
        <f t="shared" si="0"/>
        <v>0</v>
      </c>
      <c r="G17" s="19">
        <f t="shared" si="1"/>
        <v>500</v>
      </c>
      <c r="H17" s="28" t="s">
        <v>39</v>
      </c>
      <c r="I17" s="28" t="s">
        <v>40</v>
      </c>
      <c r="J17" s="28" t="s">
        <v>59</v>
      </c>
      <c r="K17" s="28" t="s">
        <v>91</v>
      </c>
      <c r="L17" s="28"/>
      <c r="M17" s="28"/>
      <c r="N17" s="28"/>
      <c r="O17" s="28"/>
      <c r="P17" s="28"/>
      <c r="Q17" s="28" t="s">
        <v>92</v>
      </c>
      <c r="R17" s="28"/>
      <c r="S17" s="28"/>
    </row>
    <row r="18" spans="1:19">
      <c r="A18" s="27" t="s">
        <v>89</v>
      </c>
      <c r="B18" s="28">
        <v>2025</v>
      </c>
      <c r="C18" s="29" t="s">
        <v>90</v>
      </c>
      <c r="D18" s="28" t="s">
        <v>66</v>
      </c>
      <c r="E18" s="28">
        <v>50.95</v>
      </c>
      <c r="F18" s="19">
        <f t="shared" si="0"/>
        <v>50.95</v>
      </c>
      <c r="G18" s="19">
        <f t="shared" si="1"/>
        <v>0</v>
      </c>
      <c r="H18" s="28" t="s">
        <v>39</v>
      </c>
      <c r="I18" s="28" t="s">
        <v>40</v>
      </c>
      <c r="J18" s="28" t="s">
        <v>67</v>
      </c>
      <c r="K18" s="28"/>
      <c r="L18" s="28"/>
      <c r="M18" s="28"/>
      <c r="N18" s="28"/>
      <c r="O18" s="28"/>
      <c r="P18" s="28"/>
      <c r="Q18" s="28" t="s">
        <v>93</v>
      </c>
      <c r="R18" s="28"/>
      <c r="S18" s="28"/>
    </row>
    <row r="19" spans="1:19">
      <c r="A19" s="27" t="s">
        <v>94</v>
      </c>
      <c r="B19" s="28">
        <v>2025</v>
      </c>
      <c r="C19" s="29" t="s">
        <v>90</v>
      </c>
      <c r="D19" s="28" t="s">
        <v>66</v>
      </c>
      <c r="E19" s="28">
        <v>26.25</v>
      </c>
      <c r="F19" s="19">
        <f t="shared" si="0"/>
        <v>26.25</v>
      </c>
      <c r="G19" s="19">
        <f t="shared" si="1"/>
        <v>0</v>
      </c>
      <c r="H19" s="28" t="s">
        <v>39</v>
      </c>
      <c r="I19" s="28" t="s">
        <v>40</v>
      </c>
      <c r="J19" s="28" t="s">
        <v>67</v>
      </c>
      <c r="K19" s="28"/>
      <c r="L19" s="28"/>
      <c r="M19" s="28"/>
      <c r="N19" s="28"/>
      <c r="O19" s="28"/>
      <c r="P19" s="28"/>
      <c r="Q19" s="28" t="s">
        <v>95</v>
      </c>
      <c r="R19" s="28"/>
      <c r="S19" s="28"/>
    </row>
    <row r="20" spans="1:19">
      <c r="A20" s="27" t="s">
        <v>96</v>
      </c>
      <c r="B20" s="28">
        <v>2025</v>
      </c>
      <c r="C20" s="29" t="s">
        <v>90</v>
      </c>
      <c r="D20" s="28" t="s">
        <v>66</v>
      </c>
      <c r="E20" s="28">
        <v>320.8</v>
      </c>
      <c r="F20" s="19">
        <f t="shared" si="0"/>
        <v>320.8</v>
      </c>
      <c r="G20" s="19">
        <f t="shared" si="1"/>
        <v>0</v>
      </c>
      <c r="H20" s="28" t="s">
        <v>39</v>
      </c>
      <c r="I20" s="28" t="s">
        <v>40</v>
      </c>
      <c r="J20" s="28" t="s">
        <v>67</v>
      </c>
      <c r="K20" s="28"/>
      <c r="L20" s="28"/>
      <c r="M20" s="28"/>
      <c r="N20" s="28"/>
      <c r="O20" s="28"/>
      <c r="P20" s="28"/>
      <c r="Q20" s="28" t="s">
        <v>97</v>
      </c>
      <c r="R20" s="28"/>
      <c r="S20" s="28"/>
    </row>
    <row r="21" spans="1:19">
      <c r="A21" s="27" t="s">
        <v>98</v>
      </c>
      <c r="B21" s="28">
        <v>2025</v>
      </c>
      <c r="C21" s="29" t="s">
        <v>90</v>
      </c>
      <c r="D21" s="28" t="s">
        <v>66</v>
      </c>
      <c r="E21" s="28">
        <v>13.63</v>
      </c>
      <c r="F21" s="19">
        <f t="shared" si="0"/>
        <v>13.63</v>
      </c>
      <c r="G21" s="19">
        <f t="shared" si="1"/>
        <v>0</v>
      </c>
      <c r="H21" s="28" t="s">
        <v>39</v>
      </c>
      <c r="I21" s="28" t="s">
        <v>40</v>
      </c>
      <c r="J21" s="28" t="s">
        <v>67</v>
      </c>
      <c r="K21" s="28"/>
      <c r="L21" s="28"/>
      <c r="M21" s="28"/>
      <c r="N21" s="28"/>
      <c r="O21" s="28"/>
      <c r="P21" s="28"/>
      <c r="Q21" s="28" t="s">
        <v>99</v>
      </c>
      <c r="R21" s="28"/>
      <c r="S21" s="28"/>
    </row>
    <row r="22" spans="1:19">
      <c r="A22" s="27" t="s">
        <v>100</v>
      </c>
      <c r="B22" s="28">
        <v>2025</v>
      </c>
      <c r="C22" s="29" t="s">
        <v>90</v>
      </c>
      <c r="D22" s="28" t="s">
        <v>66</v>
      </c>
      <c r="E22" s="28">
        <v>133.53</v>
      </c>
      <c r="F22" s="19">
        <f t="shared" si="0"/>
        <v>133.53</v>
      </c>
      <c r="G22" s="19">
        <f t="shared" si="1"/>
        <v>0</v>
      </c>
      <c r="H22" s="28" t="s">
        <v>39</v>
      </c>
      <c r="I22" s="28" t="s">
        <v>40</v>
      </c>
      <c r="J22" s="28" t="s">
        <v>67</v>
      </c>
      <c r="K22" s="28"/>
      <c r="L22" s="28"/>
      <c r="M22" s="28"/>
      <c r="N22" s="28"/>
      <c r="O22" s="28"/>
      <c r="P22" s="28"/>
      <c r="Q22" s="28" t="s">
        <v>101</v>
      </c>
      <c r="R22" s="28"/>
      <c r="S22" s="28"/>
    </row>
    <row r="23" spans="1:19">
      <c r="A23" s="27" t="s">
        <v>102</v>
      </c>
      <c r="B23" s="28">
        <v>2025</v>
      </c>
      <c r="C23" s="29" t="s">
        <v>90</v>
      </c>
      <c r="D23" s="28" t="s">
        <v>47</v>
      </c>
      <c r="E23" s="28">
        <v>-10.8</v>
      </c>
      <c r="F23" s="19">
        <f t="shared" si="0"/>
        <v>0</v>
      </c>
      <c r="G23" s="19">
        <f t="shared" si="1"/>
        <v>10.8</v>
      </c>
      <c r="H23" s="28" t="s">
        <v>39</v>
      </c>
      <c r="I23" s="28" t="s">
        <v>40</v>
      </c>
      <c r="J23" s="28" t="s">
        <v>48</v>
      </c>
      <c r="K23" s="28"/>
      <c r="L23" s="28"/>
      <c r="M23" s="28">
        <v>5180</v>
      </c>
      <c r="N23" s="28" t="s">
        <v>42</v>
      </c>
      <c r="O23" s="28" t="s">
        <v>49</v>
      </c>
      <c r="P23" s="28"/>
      <c r="Q23" s="28" t="s">
        <v>103</v>
      </c>
      <c r="R23" s="28" t="s">
        <v>45</v>
      </c>
      <c r="S23" s="28"/>
    </row>
    <row r="24" spans="1:19">
      <c r="A24" s="27" t="s">
        <v>104</v>
      </c>
      <c r="B24" s="28">
        <v>2025</v>
      </c>
      <c r="C24" s="29" t="s">
        <v>90</v>
      </c>
      <c r="D24" s="28" t="s">
        <v>66</v>
      </c>
      <c r="E24" s="28">
        <v>39.6</v>
      </c>
      <c r="F24" s="19">
        <f t="shared" si="0"/>
        <v>39.6</v>
      </c>
      <c r="G24" s="19">
        <f t="shared" si="1"/>
        <v>0</v>
      </c>
      <c r="H24" s="28" t="s">
        <v>39</v>
      </c>
      <c r="I24" s="28" t="s">
        <v>40</v>
      </c>
      <c r="J24" s="28" t="s">
        <v>67</v>
      </c>
      <c r="K24" s="28"/>
      <c r="L24" s="28"/>
      <c r="M24" s="28"/>
      <c r="N24" s="28"/>
      <c r="O24" s="28"/>
      <c r="P24" s="28"/>
      <c r="Q24" s="28" t="s">
        <v>105</v>
      </c>
      <c r="R24" s="28"/>
      <c r="S24" s="28"/>
    </row>
    <row r="25" spans="1:19">
      <c r="A25" s="27" t="s">
        <v>106</v>
      </c>
      <c r="B25" s="28">
        <v>2025</v>
      </c>
      <c r="C25" s="29" t="s">
        <v>90</v>
      </c>
      <c r="D25" s="28" t="s">
        <v>66</v>
      </c>
      <c r="E25" s="28">
        <v>214.59</v>
      </c>
      <c r="F25" s="19">
        <f t="shared" si="0"/>
        <v>214.59</v>
      </c>
      <c r="G25" s="19">
        <f t="shared" si="1"/>
        <v>0</v>
      </c>
      <c r="H25" s="28" t="s">
        <v>39</v>
      </c>
      <c r="I25" s="28" t="s">
        <v>40</v>
      </c>
      <c r="J25" s="28" t="s">
        <v>67</v>
      </c>
      <c r="K25" s="28"/>
      <c r="L25" s="28"/>
      <c r="M25" s="28"/>
      <c r="N25" s="28"/>
      <c r="O25" s="28"/>
      <c r="P25" s="28"/>
      <c r="Q25" s="28" t="s">
        <v>107</v>
      </c>
      <c r="R25" s="28"/>
      <c r="S25" s="28"/>
    </row>
    <row r="26" spans="1:19">
      <c r="A26" s="27" t="s">
        <v>108</v>
      </c>
      <c r="B26" s="28">
        <v>2025</v>
      </c>
      <c r="C26" s="29" t="s">
        <v>90</v>
      </c>
      <c r="D26" s="28" t="s">
        <v>66</v>
      </c>
      <c r="E26" s="28">
        <v>351.02</v>
      </c>
      <c r="F26" s="19">
        <f t="shared" si="0"/>
        <v>351.02</v>
      </c>
      <c r="G26" s="19">
        <f t="shared" si="1"/>
        <v>0</v>
      </c>
      <c r="H26" s="28" t="s">
        <v>39</v>
      </c>
      <c r="I26" s="28" t="s">
        <v>40</v>
      </c>
      <c r="J26" s="28" t="s">
        <v>67</v>
      </c>
      <c r="K26" s="28"/>
      <c r="L26" s="28"/>
      <c r="M26" s="28"/>
      <c r="N26" s="28"/>
      <c r="O26" s="28"/>
      <c r="P26" s="28"/>
      <c r="Q26" s="28" t="s">
        <v>109</v>
      </c>
      <c r="R26" s="28"/>
      <c r="S26" s="28"/>
    </row>
    <row r="27" spans="1:19">
      <c r="A27" s="27" t="s">
        <v>110</v>
      </c>
      <c r="B27" s="28">
        <v>2025</v>
      </c>
      <c r="C27" s="29" t="s">
        <v>90</v>
      </c>
      <c r="D27" s="28" t="s">
        <v>66</v>
      </c>
      <c r="E27" s="28">
        <v>72.81</v>
      </c>
      <c r="F27" s="19">
        <f t="shared" si="0"/>
        <v>72.81</v>
      </c>
      <c r="G27" s="19">
        <f t="shared" si="1"/>
        <v>0</v>
      </c>
      <c r="H27" s="28" t="s">
        <v>39</v>
      </c>
      <c r="I27" s="28" t="s">
        <v>40</v>
      </c>
      <c r="J27" s="28" t="s">
        <v>67</v>
      </c>
      <c r="K27" s="28"/>
      <c r="L27" s="28"/>
      <c r="M27" s="28"/>
      <c r="N27" s="28"/>
      <c r="O27" s="28"/>
      <c r="P27" s="28"/>
      <c r="Q27" s="28" t="s">
        <v>111</v>
      </c>
      <c r="R27" s="28"/>
      <c r="S27" s="28"/>
    </row>
    <row r="28" spans="1:19">
      <c r="A28" s="27" t="s">
        <v>112</v>
      </c>
      <c r="B28" s="28">
        <v>2025</v>
      </c>
      <c r="C28" s="29" t="s">
        <v>90</v>
      </c>
      <c r="D28" s="28" t="s">
        <v>66</v>
      </c>
      <c r="E28" s="28">
        <v>15.5</v>
      </c>
      <c r="F28" s="19">
        <f t="shared" si="0"/>
        <v>15.5</v>
      </c>
      <c r="G28" s="19">
        <f t="shared" si="1"/>
        <v>0</v>
      </c>
      <c r="H28" s="28" t="s">
        <v>39</v>
      </c>
      <c r="I28" s="28" t="s">
        <v>40</v>
      </c>
      <c r="J28" s="28" t="s">
        <v>67</v>
      </c>
      <c r="K28" s="28"/>
      <c r="L28" s="28"/>
      <c r="M28" s="28"/>
      <c r="N28" s="28"/>
      <c r="O28" s="28"/>
      <c r="P28" s="28"/>
      <c r="Q28" s="28" t="s">
        <v>113</v>
      </c>
      <c r="R28" s="28"/>
      <c r="S28" s="28"/>
    </row>
    <row r="29" spans="1:19">
      <c r="A29" s="27" t="s">
        <v>114</v>
      </c>
      <c r="B29" s="28">
        <v>2025</v>
      </c>
      <c r="C29" s="29" t="s">
        <v>90</v>
      </c>
      <c r="D29" s="28" t="s">
        <v>66</v>
      </c>
      <c r="E29" s="28">
        <v>55.48</v>
      </c>
      <c r="F29" s="19">
        <f t="shared" si="0"/>
        <v>55.48</v>
      </c>
      <c r="G29" s="19">
        <f t="shared" si="1"/>
        <v>0</v>
      </c>
      <c r="H29" s="28" t="s">
        <v>39</v>
      </c>
      <c r="I29" s="28" t="s">
        <v>40</v>
      </c>
      <c r="J29" s="28" t="s">
        <v>67</v>
      </c>
      <c r="K29" s="28"/>
      <c r="L29" s="28"/>
      <c r="M29" s="28"/>
      <c r="N29" s="28"/>
      <c r="O29" s="28"/>
      <c r="P29" s="28"/>
      <c r="Q29" s="28" t="s">
        <v>115</v>
      </c>
      <c r="R29" s="28"/>
      <c r="S29" s="28"/>
    </row>
    <row r="30" spans="1:19">
      <c r="A30" s="27" t="s">
        <v>116</v>
      </c>
      <c r="B30" s="28">
        <v>2025</v>
      </c>
      <c r="C30" s="29" t="s">
        <v>90</v>
      </c>
      <c r="D30" s="28" t="s">
        <v>66</v>
      </c>
      <c r="E30" s="28">
        <v>38.340000000000003</v>
      </c>
      <c r="F30" s="19">
        <f t="shared" si="0"/>
        <v>38.340000000000003</v>
      </c>
      <c r="G30" s="19">
        <f t="shared" si="1"/>
        <v>0</v>
      </c>
      <c r="H30" s="28" t="s">
        <v>39</v>
      </c>
      <c r="I30" s="28" t="s">
        <v>40</v>
      </c>
      <c r="J30" s="28" t="s">
        <v>67</v>
      </c>
      <c r="K30" s="28"/>
      <c r="L30" s="28"/>
      <c r="M30" s="28"/>
      <c r="N30" s="28"/>
      <c r="O30" s="28"/>
      <c r="P30" s="28"/>
      <c r="Q30" s="28" t="s">
        <v>117</v>
      </c>
      <c r="R30" s="28"/>
      <c r="S30" s="28"/>
    </row>
    <row r="31" spans="1:19">
      <c r="A31" s="30">
        <v>45994</v>
      </c>
      <c r="B31" s="28">
        <v>2025</v>
      </c>
      <c r="C31" s="29" t="s">
        <v>90</v>
      </c>
      <c r="D31" s="28" t="s">
        <v>66</v>
      </c>
      <c r="E31" s="28">
        <v>20.059999999999999</v>
      </c>
      <c r="F31" s="19">
        <f t="shared" si="0"/>
        <v>20.059999999999999</v>
      </c>
      <c r="G31" s="19">
        <f t="shared" si="1"/>
        <v>0</v>
      </c>
      <c r="H31" s="28" t="s">
        <v>39</v>
      </c>
      <c r="I31" s="28" t="s">
        <v>40</v>
      </c>
      <c r="J31" s="28" t="s">
        <v>67</v>
      </c>
      <c r="K31" s="28"/>
      <c r="L31" s="28"/>
      <c r="M31" s="28"/>
      <c r="N31" s="28"/>
      <c r="O31" s="28"/>
      <c r="P31" s="28"/>
      <c r="Q31" s="31">
        <v>45994.520833333336</v>
      </c>
      <c r="R31" s="28"/>
      <c r="S31" s="28"/>
    </row>
    <row r="32" spans="1:19">
      <c r="A32" s="30">
        <v>45964</v>
      </c>
      <c r="B32" s="28">
        <v>2025</v>
      </c>
      <c r="C32" s="29" t="s">
        <v>90</v>
      </c>
      <c r="D32" s="28" t="s">
        <v>66</v>
      </c>
      <c r="E32" s="28">
        <v>1.63</v>
      </c>
      <c r="F32" s="19">
        <f t="shared" si="0"/>
        <v>1.63</v>
      </c>
      <c r="G32" s="19">
        <f t="shared" si="1"/>
        <v>0</v>
      </c>
      <c r="H32" s="28" t="s">
        <v>39</v>
      </c>
      <c r="I32" s="28" t="s">
        <v>40</v>
      </c>
      <c r="J32" s="28" t="s">
        <v>67</v>
      </c>
      <c r="K32" s="28"/>
      <c r="L32" s="28"/>
      <c r="M32" s="28"/>
      <c r="N32" s="28"/>
      <c r="O32" s="28"/>
      <c r="P32" s="28"/>
      <c r="Q32" s="31">
        <v>45964.53125</v>
      </c>
      <c r="R32" s="28"/>
      <c r="S32" s="28"/>
    </row>
    <row r="33" spans="1:19">
      <c r="A33" s="30">
        <v>45933</v>
      </c>
      <c r="B33" s="28">
        <v>2025</v>
      </c>
      <c r="C33" s="29" t="s">
        <v>90</v>
      </c>
      <c r="D33" s="28" t="s">
        <v>66</v>
      </c>
      <c r="E33" s="28">
        <v>13.97</v>
      </c>
      <c r="F33" s="19">
        <f t="shared" si="0"/>
        <v>13.97</v>
      </c>
      <c r="G33" s="19">
        <f t="shared" si="1"/>
        <v>0</v>
      </c>
      <c r="H33" s="28" t="s">
        <v>39</v>
      </c>
      <c r="I33" s="28" t="s">
        <v>40</v>
      </c>
      <c r="J33" s="28" t="s">
        <v>67</v>
      </c>
      <c r="K33" s="28"/>
      <c r="L33" s="28"/>
      <c r="M33" s="28"/>
      <c r="N33" s="28"/>
      <c r="O33" s="28"/>
      <c r="P33" s="28"/>
      <c r="Q33" s="31">
        <v>45933.786805555559</v>
      </c>
      <c r="R33" s="28"/>
      <c r="S33" s="28"/>
    </row>
    <row r="34" spans="1:19">
      <c r="A34" s="30">
        <v>45841</v>
      </c>
      <c r="B34" s="28">
        <v>2025</v>
      </c>
      <c r="C34" s="29" t="s">
        <v>90</v>
      </c>
      <c r="D34" s="28" t="s">
        <v>66</v>
      </c>
      <c r="E34" s="28">
        <v>60.96</v>
      </c>
      <c r="F34" s="19">
        <f t="shared" si="0"/>
        <v>60.96</v>
      </c>
      <c r="G34" s="19">
        <f t="shared" si="1"/>
        <v>0</v>
      </c>
      <c r="H34" s="28" t="s">
        <v>39</v>
      </c>
      <c r="I34" s="28" t="s">
        <v>40</v>
      </c>
      <c r="J34" s="28" t="s">
        <v>67</v>
      </c>
      <c r="K34" s="28"/>
      <c r="L34" s="28"/>
      <c r="M34" s="28"/>
      <c r="N34" s="28"/>
      <c r="O34" s="28"/>
      <c r="P34" s="28"/>
      <c r="Q34" s="31">
        <v>45841.666666666664</v>
      </c>
      <c r="R34" s="28"/>
      <c r="S34" s="28"/>
    </row>
    <row r="35" spans="1:19">
      <c r="A35" s="30">
        <v>45811</v>
      </c>
      <c r="B35" s="28">
        <v>2025</v>
      </c>
      <c r="C35" s="29" t="s">
        <v>90</v>
      </c>
      <c r="D35" s="28" t="s">
        <v>58</v>
      </c>
      <c r="E35" s="28">
        <v>-380</v>
      </c>
      <c r="F35" s="19">
        <f t="shared" si="0"/>
        <v>0</v>
      </c>
      <c r="G35" s="19">
        <f t="shared" si="1"/>
        <v>380</v>
      </c>
      <c r="H35" s="28" t="s">
        <v>39</v>
      </c>
      <c r="I35" s="28" t="s">
        <v>40</v>
      </c>
      <c r="J35" s="28" t="s">
        <v>59</v>
      </c>
      <c r="K35" s="28" t="s">
        <v>91</v>
      </c>
      <c r="L35" s="28"/>
      <c r="M35" s="28"/>
      <c r="N35" s="28"/>
      <c r="O35" s="28"/>
      <c r="P35" s="28"/>
      <c r="Q35" s="31">
        <v>45811.649305555555</v>
      </c>
      <c r="R35" s="28"/>
      <c r="S35" s="28"/>
    </row>
    <row r="36" spans="1:19">
      <c r="A36" s="30">
        <v>45811</v>
      </c>
      <c r="B36" s="28">
        <v>2025</v>
      </c>
      <c r="C36" s="29" t="s">
        <v>90</v>
      </c>
      <c r="D36" s="28" t="s">
        <v>66</v>
      </c>
      <c r="E36" s="28">
        <v>83.96</v>
      </c>
      <c r="F36" s="19">
        <f t="shared" si="0"/>
        <v>83.96</v>
      </c>
      <c r="G36" s="19">
        <f t="shared" si="1"/>
        <v>0</v>
      </c>
      <c r="H36" s="28" t="s">
        <v>39</v>
      </c>
      <c r="I36" s="28" t="s">
        <v>40</v>
      </c>
      <c r="J36" s="28" t="s">
        <v>67</v>
      </c>
      <c r="K36" s="28"/>
      <c r="L36" s="28"/>
      <c r="M36" s="28"/>
      <c r="N36" s="28"/>
      <c r="O36" s="28"/>
      <c r="P36" s="28"/>
      <c r="Q36" s="31">
        <v>45811.583333333336</v>
      </c>
      <c r="R36" s="28"/>
      <c r="S36" s="28"/>
    </row>
    <row r="37" spans="1:19">
      <c r="A37" s="30">
        <v>45780</v>
      </c>
      <c r="B37" s="28">
        <v>2025</v>
      </c>
      <c r="C37" s="29" t="s">
        <v>90</v>
      </c>
      <c r="D37" s="28" t="s">
        <v>66</v>
      </c>
      <c r="E37" s="28">
        <v>99.47</v>
      </c>
      <c r="F37" s="19">
        <f t="shared" si="0"/>
        <v>99.47</v>
      </c>
      <c r="G37" s="19">
        <f t="shared" si="1"/>
        <v>0</v>
      </c>
      <c r="H37" s="28" t="s">
        <v>39</v>
      </c>
      <c r="I37" s="28" t="s">
        <v>40</v>
      </c>
      <c r="J37" s="28" t="s">
        <v>67</v>
      </c>
      <c r="K37" s="28"/>
      <c r="L37" s="28"/>
      <c r="M37" s="28"/>
      <c r="N37" s="28"/>
      <c r="O37" s="28"/>
      <c r="P37" s="28"/>
      <c r="Q37" s="31">
        <v>45780.60833333333</v>
      </c>
      <c r="R37" s="28"/>
      <c r="S37" s="28"/>
    </row>
    <row r="38" spans="1:19">
      <c r="A38" s="30">
        <v>45750</v>
      </c>
      <c r="B38" s="28">
        <v>2025</v>
      </c>
      <c r="C38" s="29" t="s">
        <v>90</v>
      </c>
      <c r="D38" s="28" t="s">
        <v>58</v>
      </c>
      <c r="E38" s="28">
        <v>-403.76</v>
      </c>
      <c r="F38" s="19">
        <f t="shared" si="0"/>
        <v>0</v>
      </c>
      <c r="G38" s="19">
        <f t="shared" si="1"/>
        <v>403.76</v>
      </c>
      <c r="H38" s="28" t="s">
        <v>39</v>
      </c>
      <c r="I38" s="28" t="s">
        <v>40</v>
      </c>
      <c r="J38" s="28" t="s">
        <v>59</v>
      </c>
      <c r="K38" s="28" t="s">
        <v>118</v>
      </c>
      <c r="L38" s="28"/>
      <c r="M38" s="28"/>
      <c r="N38" s="28"/>
      <c r="O38" s="28"/>
      <c r="P38" s="28"/>
      <c r="Q38" s="31">
        <v>45750.649305555555</v>
      </c>
      <c r="R38" s="28"/>
      <c r="S38" s="28"/>
    </row>
    <row r="39" spans="1:19">
      <c r="A39" s="30">
        <v>45750</v>
      </c>
      <c r="B39" s="28">
        <v>2025</v>
      </c>
      <c r="C39" s="29" t="s">
        <v>90</v>
      </c>
      <c r="D39" s="28" t="s">
        <v>66</v>
      </c>
      <c r="E39" s="28">
        <v>53.58</v>
      </c>
      <c r="F39" s="19">
        <f t="shared" si="0"/>
        <v>53.58</v>
      </c>
      <c r="G39" s="19">
        <f t="shared" si="1"/>
        <v>0</v>
      </c>
      <c r="H39" s="28" t="s">
        <v>39</v>
      </c>
      <c r="I39" s="28" t="s">
        <v>40</v>
      </c>
      <c r="J39" s="28" t="s">
        <v>67</v>
      </c>
      <c r="K39" s="28"/>
      <c r="L39" s="28"/>
      <c r="M39" s="28"/>
      <c r="N39" s="28"/>
      <c r="O39" s="28"/>
      <c r="P39" s="28"/>
      <c r="Q39" s="31">
        <v>45750.631249999999</v>
      </c>
      <c r="R39" s="28"/>
      <c r="S39" s="28"/>
    </row>
    <row r="40" spans="1:19">
      <c r="A40" s="30">
        <v>45719</v>
      </c>
      <c r="B40" s="28">
        <v>2025</v>
      </c>
      <c r="C40" s="29" t="s">
        <v>90</v>
      </c>
      <c r="D40" s="28" t="s">
        <v>66</v>
      </c>
      <c r="E40" s="28">
        <v>6.65</v>
      </c>
      <c r="F40" s="19">
        <f t="shared" si="0"/>
        <v>6.65</v>
      </c>
      <c r="G40" s="19">
        <f t="shared" si="1"/>
        <v>0</v>
      </c>
      <c r="H40" s="28" t="s">
        <v>39</v>
      </c>
      <c r="I40" s="28" t="s">
        <v>40</v>
      </c>
      <c r="J40" s="28" t="s">
        <v>67</v>
      </c>
      <c r="K40" s="28"/>
      <c r="L40" s="28"/>
      <c r="M40" s="28"/>
      <c r="N40" s="28"/>
      <c r="O40" s="28"/>
      <c r="P40" s="28"/>
      <c r="Q40" s="31">
        <v>45719.583333333336</v>
      </c>
      <c r="R40" s="28"/>
      <c r="S40" s="28"/>
    </row>
    <row r="41" spans="1:19">
      <c r="A41" s="30">
        <v>45691</v>
      </c>
      <c r="B41" s="28">
        <v>2025</v>
      </c>
      <c r="C41" s="29" t="s">
        <v>90</v>
      </c>
      <c r="D41" s="28" t="s">
        <v>62</v>
      </c>
      <c r="E41" s="28">
        <v>-34</v>
      </c>
      <c r="F41" s="19">
        <f t="shared" si="0"/>
        <v>0</v>
      </c>
      <c r="G41" s="19">
        <f t="shared" si="1"/>
        <v>34</v>
      </c>
      <c r="H41" s="28" t="s">
        <v>39</v>
      </c>
      <c r="I41" s="28" t="s">
        <v>40</v>
      </c>
      <c r="J41" s="28" t="s">
        <v>62</v>
      </c>
      <c r="K41" s="28"/>
      <c r="L41" s="28"/>
      <c r="M41" s="28">
        <v>4422</v>
      </c>
      <c r="N41" s="28" t="s">
        <v>63</v>
      </c>
      <c r="O41" s="28" t="s">
        <v>43</v>
      </c>
      <c r="P41" s="28"/>
      <c r="Q41" s="31">
        <v>45691.606249999997</v>
      </c>
      <c r="R41" s="28" t="s">
        <v>45</v>
      </c>
      <c r="S41" s="28"/>
    </row>
    <row r="42" spans="1:19">
      <c r="A42" s="27" t="s">
        <v>119</v>
      </c>
      <c r="B42" s="28">
        <v>2025</v>
      </c>
      <c r="C42" s="29" t="s">
        <v>120</v>
      </c>
      <c r="D42" s="28" t="s">
        <v>58</v>
      </c>
      <c r="E42" s="28">
        <v>-1156.57</v>
      </c>
      <c r="F42" s="19">
        <f t="shared" si="0"/>
        <v>0</v>
      </c>
      <c r="G42" s="19">
        <f t="shared" si="1"/>
        <v>1156.57</v>
      </c>
      <c r="H42" s="28" t="s">
        <v>39</v>
      </c>
      <c r="I42" s="28" t="s">
        <v>40</v>
      </c>
      <c r="J42" s="28" t="s">
        <v>59</v>
      </c>
      <c r="K42" s="28" t="s">
        <v>121</v>
      </c>
      <c r="L42" s="28"/>
      <c r="M42" s="28"/>
      <c r="N42" s="28"/>
      <c r="O42" s="28"/>
      <c r="P42" s="28"/>
      <c r="Q42" s="28"/>
      <c r="R42" s="28" t="s">
        <v>122</v>
      </c>
      <c r="S42" s="28"/>
    </row>
    <row r="43" spans="1:19">
      <c r="A43" s="27" t="s">
        <v>123</v>
      </c>
      <c r="B43" s="28">
        <v>2025</v>
      </c>
      <c r="C43" s="29" t="s">
        <v>120</v>
      </c>
      <c r="D43" s="28" t="s">
        <v>124</v>
      </c>
      <c r="E43" s="28">
        <v>0</v>
      </c>
      <c r="F43" s="19">
        <f t="shared" si="0"/>
        <v>0</v>
      </c>
      <c r="G43" s="19">
        <f t="shared" si="1"/>
        <v>0</v>
      </c>
      <c r="H43" s="28" t="s">
        <v>125</v>
      </c>
      <c r="I43" s="28" t="s">
        <v>40</v>
      </c>
      <c r="J43" s="28" t="s">
        <v>126</v>
      </c>
      <c r="K43" s="28"/>
      <c r="L43" s="28"/>
      <c r="M43" s="28">
        <v>3866</v>
      </c>
      <c r="N43" s="28" t="s">
        <v>127</v>
      </c>
      <c r="O43" s="28" t="s">
        <v>49</v>
      </c>
      <c r="P43" s="28"/>
      <c r="Q43" s="28"/>
      <c r="R43" s="28" t="s">
        <v>128</v>
      </c>
      <c r="S43" s="28" t="s">
        <v>45</v>
      </c>
    </row>
    <row r="44" spans="1:19">
      <c r="A44" s="27" t="s">
        <v>129</v>
      </c>
      <c r="B44" s="28">
        <v>2025</v>
      </c>
      <c r="C44" s="29" t="s">
        <v>120</v>
      </c>
      <c r="D44" s="28" t="s">
        <v>47</v>
      </c>
      <c r="E44" s="28">
        <v>-10.8</v>
      </c>
      <c r="F44" s="19">
        <f t="shared" si="0"/>
        <v>0</v>
      </c>
      <c r="G44" s="19">
        <f t="shared" si="1"/>
        <v>10.8</v>
      </c>
      <c r="H44" s="28" t="s">
        <v>39</v>
      </c>
      <c r="I44" s="28" t="s">
        <v>40</v>
      </c>
      <c r="J44" s="28" t="s">
        <v>48</v>
      </c>
      <c r="K44" s="28"/>
      <c r="L44" s="28"/>
      <c r="M44" s="28">
        <v>5180</v>
      </c>
      <c r="N44" s="28" t="s">
        <v>42</v>
      </c>
      <c r="O44" s="28" t="s">
        <v>49</v>
      </c>
      <c r="P44" s="28"/>
      <c r="Q44" s="28"/>
      <c r="R44" s="28" t="s">
        <v>130</v>
      </c>
      <c r="S44" s="28" t="s">
        <v>45</v>
      </c>
    </row>
    <row r="45" spans="1:19">
      <c r="A45" s="27" t="s">
        <v>131</v>
      </c>
      <c r="B45" s="28">
        <v>2025</v>
      </c>
      <c r="C45" s="29" t="s">
        <v>120</v>
      </c>
      <c r="D45" s="28" t="s">
        <v>66</v>
      </c>
      <c r="E45" s="28">
        <v>64.78</v>
      </c>
      <c r="F45" s="19">
        <f t="shared" si="0"/>
        <v>64.78</v>
      </c>
      <c r="G45" s="19">
        <f t="shared" si="1"/>
        <v>0</v>
      </c>
      <c r="H45" s="28" t="s">
        <v>39</v>
      </c>
      <c r="I45" s="28" t="s">
        <v>40</v>
      </c>
      <c r="J45" s="28" t="s">
        <v>67</v>
      </c>
      <c r="K45" s="28"/>
      <c r="L45" s="28"/>
      <c r="M45" s="28"/>
      <c r="N45" s="28"/>
      <c r="O45" s="28"/>
      <c r="P45" s="28"/>
      <c r="Q45" s="28"/>
      <c r="R45" s="28" t="s">
        <v>132</v>
      </c>
      <c r="S45" s="28"/>
    </row>
    <row r="46" spans="1:19">
      <c r="A46" s="30">
        <v>45965</v>
      </c>
      <c r="B46" s="28">
        <v>2025</v>
      </c>
      <c r="C46" s="29" t="s">
        <v>120</v>
      </c>
      <c r="D46" s="28" t="s">
        <v>66</v>
      </c>
      <c r="E46" s="28">
        <v>4.29</v>
      </c>
      <c r="F46" s="19">
        <f t="shared" si="0"/>
        <v>4.29</v>
      </c>
      <c r="G46" s="19">
        <f t="shared" si="1"/>
        <v>0</v>
      </c>
      <c r="H46" s="28" t="s">
        <v>39</v>
      </c>
      <c r="I46" s="28" t="s">
        <v>40</v>
      </c>
      <c r="J46" s="28" t="s">
        <v>67</v>
      </c>
      <c r="K46" s="28"/>
      <c r="L46" s="28"/>
      <c r="M46" s="28"/>
      <c r="N46" s="28"/>
      <c r="O46" s="28"/>
      <c r="P46" s="28"/>
      <c r="Q46" s="28"/>
      <c r="R46" s="31">
        <v>45965.548611111109</v>
      </c>
      <c r="S46" s="28"/>
    </row>
    <row r="47" spans="1:19">
      <c r="A47" s="30">
        <v>45934</v>
      </c>
      <c r="B47" s="28">
        <v>2025</v>
      </c>
      <c r="C47" s="29" t="s">
        <v>120</v>
      </c>
      <c r="D47" s="28" t="s">
        <v>66</v>
      </c>
      <c r="E47" s="28">
        <v>72.040000000000006</v>
      </c>
      <c r="F47" s="19">
        <f t="shared" si="0"/>
        <v>72.040000000000006</v>
      </c>
      <c r="G47" s="19">
        <f t="shared" si="1"/>
        <v>0</v>
      </c>
      <c r="H47" s="28" t="s">
        <v>39</v>
      </c>
      <c r="I47" s="28" t="s">
        <v>40</v>
      </c>
      <c r="J47" s="28" t="s">
        <v>67</v>
      </c>
      <c r="K47" s="28"/>
      <c r="L47" s="28"/>
      <c r="M47" s="28"/>
      <c r="N47" s="28"/>
      <c r="O47" s="28"/>
      <c r="P47" s="28"/>
      <c r="Q47" s="28"/>
      <c r="R47" s="31">
        <v>45934.525694444441</v>
      </c>
      <c r="S47" s="28"/>
    </row>
    <row r="48" spans="1:19">
      <c r="A48" s="30">
        <v>45904</v>
      </c>
      <c r="B48" s="28">
        <v>2025</v>
      </c>
      <c r="C48" s="29" t="s">
        <v>120</v>
      </c>
      <c r="D48" s="28" t="s">
        <v>66</v>
      </c>
      <c r="E48" s="28">
        <v>219.22</v>
      </c>
      <c r="F48" s="19">
        <f t="shared" si="0"/>
        <v>219.22</v>
      </c>
      <c r="G48" s="19">
        <f t="shared" si="1"/>
        <v>0</v>
      </c>
      <c r="H48" s="28" t="s">
        <v>39</v>
      </c>
      <c r="I48" s="28" t="s">
        <v>40</v>
      </c>
      <c r="J48" s="28" t="s">
        <v>67</v>
      </c>
      <c r="K48" s="28"/>
      <c r="L48" s="28"/>
      <c r="M48" s="28"/>
      <c r="N48" s="28"/>
      <c r="O48" s="28"/>
      <c r="P48" s="28"/>
      <c r="Q48" s="28"/>
      <c r="R48" s="31">
        <v>45904.54583333333</v>
      </c>
      <c r="S48" s="28"/>
    </row>
    <row r="49" spans="1:19">
      <c r="A49" s="30">
        <v>45873</v>
      </c>
      <c r="B49" s="28">
        <v>2025</v>
      </c>
      <c r="C49" s="29" t="s">
        <v>120</v>
      </c>
      <c r="D49" s="28" t="s">
        <v>66</v>
      </c>
      <c r="E49" s="28">
        <v>7.79</v>
      </c>
      <c r="F49" s="19">
        <f t="shared" si="0"/>
        <v>7.79</v>
      </c>
      <c r="G49" s="19">
        <f t="shared" si="1"/>
        <v>0</v>
      </c>
      <c r="H49" s="28" t="s">
        <v>39</v>
      </c>
      <c r="I49" s="28" t="s">
        <v>40</v>
      </c>
      <c r="J49" s="28" t="s">
        <v>67</v>
      </c>
      <c r="K49" s="28"/>
      <c r="L49" s="28"/>
      <c r="M49" s="28"/>
      <c r="N49" s="28"/>
      <c r="O49" s="28"/>
      <c r="P49" s="28"/>
      <c r="Q49" s="28"/>
      <c r="R49" s="31">
        <v>45873.556944444441</v>
      </c>
      <c r="S49" s="28"/>
    </row>
    <row r="50" spans="1:19">
      <c r="A50" s="30">
        <v>45842</v>
      </c>
      <c r="B50" s="28">
        <v>2025</v>
      </c>
      <c r="C50" s="29" t="s">
        <v>120</v>
      </c>
      <c r="D50" s="28" t="s">
        <v>58</v>
      </c>
      <c r="E50" s="28">
        <v>-956.21</v>
      </c>
      <c r="F50" s="19">
        <f t="shared" si="0"/>
        <v>0</v>
      </c>
      <c r="G50" s="19">
        <f t="shared" si="1"/>
        <v>956.21</v>
      </c>
      <c r="H50" s="28" t="s">
        <v>39</v>
      </c>
      <c r="I50" s="28" t="s">
        <v>40</v>
      </c>
      <c r="J50" s="28" t="s">
        <v>59</v>
      </c>
      <c r="K50" s="28" t="s">
        <v>91</v>
      </c>
      <c r="L50" s="28"/>
      <c r="M50" s="28"/>
      <c r="N50" s="28"/>
      <c r="O50" s="28"/>
      <c r="P50" s="28"/>
      <c r="Q50" s="28"/>
      <c r="R50" s="31">
        <v>45842.607638888891</v>
      </c>
      <c r="S50" s="28"/>
    </row>
    <row r="51" spans="1:19">
      <c r="A51" s="30">
        <v>45812</v>
      </c>
      <c r="B51" s="28">
        <v>2025</v>
      </c>
      <c r="C51" s="29" t="s">
        <v>120</v>
      </c>
      <c r="D51" s="28" t="s">
        <v>133</v>
      </c>
      <c r="E51" s="28">
        <v>0</v>
      </c>
      <c r="F51" s="19">
        <f t="shared" si="0"/>
        <v>0</v>
      </c>
      <c r="G51" s="19">
        <f t="shared" si="1"/>
        <v>0</v>
      </c>
      <c r="H51" s="28" t="s">
        <v>125</v>
      </c>
      <c r="I51" s="28" t="s">
        <v>40</v>
      </c>
      <c r="J51" s="28" t="s">
        <v>133</v>
      </c>
      <c r="K51" s="28"/>
      <c r="L51" s="28"/>
      <c r="M51" s="28">
        <v>4422</v>
      </c>
      <c r="N51" s="28" t="s">
        <v>63</v>
      </c>
      <c r="O51" s="28"/>
      <c r="P51" s="28"/>
      <c r="Q51" s="28"/>
      <c r="R51" s="31">
        <v>45812.697222222225</v>
      </c>
      <c r="S51" s="28" t="s">
        <v>45</v>
      </c>
    </row>
    <row r="52" spans="1:19">
      <c r="A52" s="30">
        <v>45751</v>
      </c>
      <c r="B52" s="28">
        <v>2025</v>
      </c>
      <c r="C52" s="29" t="s">
        <v>120</v>
      </c>
      <c r="D52" s="28" t="s">
        <v>134</v>
      </c>
      <c r="E52" s="28">
        <v>2120.64</v>
      </c>
      <c r="F52" s="19">
        <f t="shared" si="0"/>
        <v>2120.64</v>
      </c>
      <c r="G52" s="19">
        <f t="shared" si="1"/>
        <v>0</v>
      </c>
      <c r="H52" s="28" t="s">
        <v>39</v>
      </c>
      <c r="I52" s="28" t="s">
        <v>40</v>
      </c>
      <c r="J52" s="28" t="s">
        <v>135</v>
      </c>
      <c r="K52" s="28" t="s">
        <v>136</v>
      </c>
      <c r="L52" s="28"/>
      <c r="M52" s="28"/>
      <c r="N52" s="28"/>
      <c r="O52" s="28"/>
      <c r="P52" s="28"/>
      <c r="Q52" s="28"/>
      <c r="R52" s="31">
        <v>45751.756944444445</v>
      </c>
      <c r="S52" s="28"/>
    </row>
    <row r="53" spans="1:19">
      <c r="A53" s="30">
        <v>45751</v>
      </c>
      <c r="B53" s="28">
        <v>2025</v>
      </c>
      <c r="C53" s="29" t="s">
        <v>120</v>
      </c>
      <c r="D53" s="28" t="s">
        <v>66</v>
      </c>
      <c r="E53" s="28">
        <v>68.290000000000006</v>
      </c>
      <c r="F53" s="19">
        <f t="shared" si="0"/>
        <v>68.290000000000006</v>
      </c>
      <c r="G53" s="19">
        <f t="shared" si="1"/>
        <v>0</v>
      </c>
      <c r="H53" s="28" t="s">
        <v>39</v>
      </c>
      <c r="I53" s="28" t="s">
        <v>40</v>
      </c>
      <c r="J53" s="28" t="s">
        <v>67</v>
      </c>
      <c r="K53" s="28"/>
      <c r="L53" s="28"/>
      <c r="M53" s="28"/>
      <c r="N53" s="28"/>
      <c r="O53" s="28"/>
      <c r="P53" s="28"/>
      <c r="Q53" s="28"/>
      <c r="R53" s="31">
        <v>45751.536805555559</v>
      </c>
      <c r="S53" s="28"/>
    </row>
    <row r="54" spans="1:19">
      <c r="A54" s="30">
        <v>45720</v>
      </c>
      <c r="B54" s="28">
        <v>2025</v>
      </c>
      <c r="C54" s="29" t="s">
        <v>120</v>
      </c>
      <c r="D54" s="28" t="s">
        <v>66</v>
      </c>
      <c r="E54" s="28">
        <v>40.04</v>
      </c>
      <c r="F54" s="19">
        <f t="shared" si="0"/>
        <v>40.04</v>
      </c>
      <c r="G54" s="19">
        <f t="shared" si="1"/>
        <v>0</v>
      </c>
      <c r="H54" s="28" t="s">
        <v>39</v>
      </c>
      <c r="I54" s="28" t="s">
        <v>40</v>
      </c>
      <c r="J54" s="28" t="s">
        <v>67</v>
      </c>
      <c r="K54" s="28"/>
      <c r="L54" s="28"/>
      <c r="M54" s="28"/>
      <c r="N54" s="28"/>
      <c r="O54" s="28"/>
      <c r="P54" s="28"/>
      <c r="Q54" s="28"/>
      <c r="R54" s="31">
        <v>45720.522222222222</v>
      </c>
      <c r="S54" s="28"/>
    </row>
    <row r="55" spans="1:19">
      <c r="A55" s="30">
        <v>45692</v>
      </c>
      <c r="B55" s="28">
        <v>2025</v>
      </c>
      <c r="C55" s="29" t="s">
        <v>120</v>
      </c>
      <c r="D55" s="28" t="s">
        <v>58</v>
      </c>
      <c r="E55" s="28">
        <v>-1703.26</v>
      </c>
      <c r="F55" s="19">
        <f t="shared" si="0"/>
        <v>0</v>
      </c>
      <c r="G55" s="19">
        <f t="shared" si="1"/>
        <v>1703.26</v>
      </c>
      <c r="H55" s="28" t="s">
        <v>39</v>
      </c>
      <c r="I55" s="28" t="s">
        <v>40</v>
      </c>
      <c r="J55" s="28" t="s">
        <v>59</v>
      </c>
      <c r="K55" s="28" t="s">
        <v>91</v>
      </c>
      <c r="L55" s="28"/>
      <c r="M55" s="28"/>
      <c r="N55" s="28"/>
      <c r="O55" s="28"/>
      <c r="P55" s="28"/>
      <c r="Q55" s="28"/>
      <c r="R55" s="31">
        <v>45692.607638888891</v>
      </c>
      <c r="S55" s="28"/>
    </row>
    <row r="56" spans="1:19">
      <c r="A56" s="30">
        <v>45692</v>
      </c>
      <c r="B56" s="28">
        <v>2025</v>
      </c>
      <c r="C56" s="29" t="s">
        <v>120</v>
      </c>
      <c r="D56" s="28" t="s">
        <v>66</v>
      </c>
      <c r="E56" s="28">
        <v>410.89</v>
      </c>
      <c r="F56" s="19">
        <f t="shared" si="0"/>
        <v>410.89</v>
      </c>
      <c r="G56" s="19">
        <f t="shared" si="1"/>
        <v>0</v>
      </c>
      <c r="H56" s="28" t="s">
        <v>39</v>
      </c>
      <c r="I56" s="28" t="s">
        <v>40</v>
      </c>
      <c r="J56" s="28" t="s">
        <v>67</v>
      </c>
      <c r="K56" s="28"/>
      <c r="L56" s="28"/>
      <c r="M56" s="28"/>
      <c r="N56" s="28"/>
      <c r="O56" s="28"/>
      <c r="P56" s="28"/>
      <c r="Q56" s="28"/>
      <c r="R56" s="31">
        <v>45692.546527777777</v>
      </c>
      <c r="S56" s="28"/>
    </row>
    <row r="57" spans="1:19">
      <c r="A57" s="30">
        <v>45692</v>
      </c>
      <c r="B57" s="28">
        <v>2025</v>
      </c>
      <c r="C57" s="29" t="s">
        <v>120</v>
      </c>
      <c r="D57" s="28" t="s">
        <v>62</v>
      </c>
      <c r="E57" s="28">
        <v>-34</v>
      </c>
      <c r="F57" s="19">
        <f t="shared" si="0"/>
        <v>0</v>
      </c>
      <c r="G57" s="19">
        <f t="shared" si="1"/>
        <v>34</v>
      </c>
      <c r="H57" s="28" t="s">
        <v>39</v>
      </c>
      <c r="I57" s="28" t="s">
        <v>40</v>
      </c>
      <c r="J57" s="28" t="s">
        <v>62</v>
      </c>
      <c r="K57" s="28"/>
      <c r="L57" s="28"/>
      <c r="M57" s="28">
        <v>4422</v>
      </c>
      <c r="N57" s="28" t="s">
        <v>63</v>
      </c>
      <c r="O57" s="28" t="s">
        <v>43</v>
      </c>
      <c r="P57" s="28"/>
      <c r="Q57" s="28"/>
      <c r="R57" s="31">
        <v>45692.097916666666</v>
      </c>
      <c r="S57" s="28" t="s">
        <v>45</v>
      </c>
    </row>
    <row r="58" spans="1:19">
      <c r="A58" s="30">
        <v>45661</v>
      </c>
      <c r="B58" s="28">
        <v>2025</v>
      </c>
      <c r="C58" s="29" t="s">
        <v>120</v>
      </c>
      <c r="D58" s="28" t="s">
        <v>66</v>
      </c>
      <c r="E58" s="28">
        <v>98.13</v>
      </c>
      <c r="F58" s="19">
        <f t="shared" si="0"/>
        <v>98.13</v>
      </c>
      <c r="G58" s="19">
        <f t="shared" si="1"/>
        <v>0</v>
      </c>
      <c r="H58" s="28" t="s">
        <v>39</v>
      </c>
      <c r="I58" s="28" t="s">
        <v>40</v>
      </c>
      <c r="J58" s="28" t="s">
        <v>67</v>
      </c>
      <c r="K58" s="28"/>
      <c r="L58" s="28"/>
      <c r="M58" s="28"/>
      <c r="N58" s="28"/>
      <c r="O58" s="28"/>
      <c r="P58" s="28"/>
      <c r="Q58" s="28"/>
      <c r="R58" s="31">
        <v>45661.534722222219</v>
      </c>
      <c r="S58" s="28"/>
    </row>
    <row r="59" spans="1:19">
      <c r="A59" s="27" t="s">
        <v>137</v>
      </c>
      <c r="B59" s="28">
        <v>2025</v>
      </c>
      <c r="C59" s="29" t="s">
        <v>138</v>
      </c>
      <c r="D59" s="28" t="s">
        <v>47</v>
      </c>
      <c r="E59" s="28">
        <v>-10.8</v>
      </c>
      <c r="F59" s="19">
        <f t="shared" si="0"/>
        <v>0</v>
      </c>
      <c r="G59" s="19">
        <f t="shared" si="1"/>
        <v>10.8</v>
      </c>
      <c r="H59" s="28" t="s">
        <v>39</v>
      </c>
      <c r="I59" s="28" t="s">
        <v>40</v>
      </c>
      <c r="J59" s="28" t="s">
        <v>48</v>
      </c>
      <c r="K59" s="28"/>
      <c r="L59" s="28"/>
      <c r="M59" s="28">
        <v>5180</v>
      </c>
      <c r="N59" s="28" t="s">
        <v>42</v>
      </c>
      <c r="O59" s="28" t="s">
        <v>49</v>
      </c>
      <c r="P59" s="28"/>
      <c r="Q59" s="28"/>
      <c r="R59" s="28" t="s">
        <v>139</v>
      </c>
      <c r="S59" s="28" t="s">
        <v>45</v>
      </c>
    </row>
    <row r="60" spans="1:19">
      <c r="A60" s="30">
        <v>45843</v>
      </c>
      <c r="B60" s="28">
        <v>2025</v>
      </c>
      <c r="C60" s="29" t="s">
        <v>138</v>
      </c>
      <c r="D60" s="28" t="s">
        <v>140</v>
      </c>
      <c r="E60" s="28">
        <v>864.9</v>
      </c>
      <c r="F60" s="19">
        <f t="shared" si="0"/>
        <v>864.9</v>
      </c>
      <c r="G60" s="19">
        <f t="shared" si="1"/>
        <v>0</v>
      </c>
      <c r="H60" s="28" t="s">
        <v>39</v>
      </c>
      <c r="I60" s="28" t="s">
        <v>40</v>
      </c>
      <c r="J60" s="28" t="s">
        <v>141</v>
      </c>
      <c r="K60" s="28" t="s">
        <v>142</v>
      </c>
      <c r="L60" s="28"/>
      <c r="M60" s="28"/>
      <c r="N60" s="28"/>
      <c r="O60" s="28"/>
      <c r="P60" s="28"/>
      <c r="Q60" s="28"/>
      <c r="R60" s="31">
        <v>45843.708333333336</v>
      </c>
      <c r="S60" s="28"/>
    </row>
    <row r="61" spans="1:19">
      <c r="A61" s="30">
        <v>45782</v>
      </c>
      <c r="B61" s="28">
        <v>2025</v>
      </c>
      <c r="C61" s="29" t="s">
        <v>138</v>
      </c>
      <c r="D61" s="28" t="s">
        <v>58</v>
      </c>
      <c r="E61" s="28">
        <v>-1900.7</v>
      </c>
      <c r="F61" s="19">
        <f t="shared" si="0"/>
        <v>0</v>
      </c>
      <c r="G61" s="19">
        <f t="shared" si="1"/>
        <v>1900.7</v>
      </c>
      <c r="H61" s="28" t="s">
        <v>39</v>
      </c>
      <c r="I61" s="28" t="s">
        <v>40</v>
      </c>
      <c r="J61" s="28" t="s">
        <v>59</v>
      </c>
      <c r="K61" s="28" t="s">
        <v>121</v>
      </c>
      <c r="L61" s="28"/>
      <c r="M61" s="28"/>
      <c r="N61" s="28"/>
      <c r="O61" s="28"/>
      <c r="P61" s="28"/>
      <c r="Q61" s="28"/>
      <c r="R61" s="31">
        <v>45782.607638888891</v>
      </c>
      <c r="S61" s="28"/>
    </row>
    <row r="62" spans="1:19">
      <c r="A62" s="30">
        <v>45693</v>
      </c>
      <c r="B62" s="28">
        <v>2025</v>
      </c>
      <c r="C62" s="29" t="s">
        <v>138</v>
      </c>
      <c r="D62" s="28" t="s">
        <v>62</v>
      </c>
      <c r="E62" s="28">
        <v>-34</v>
      </c>
      <c r="F62" s="19">
        <f t="shared" si="0"/>
        <v>0</v>
      </c>
      <c r="G62" s="19">
        <f t="shared" si="1"/>
        <v>34</v>
      </c>
      <c r="H62" s="28" t="s">
        <v>39</v>
      </c>
      <c r="I62" s="28" t="s">
        <v>40</v>
      </c>
      <c r="J62" s="28" t="s">
        <v>62</v>
      </c>
      <c r="K62" s="28"/>
      <c r="L62" s="28"/>
      <c r="M62" s="28">
        <v>4422</v>
      </c>
      <c r="N62" s="28" t="s">
        <v>63</v>
      </c>
      <c r="O62" s="28" t="s">
        <v>43</v>
      </c>
      <c r="P62" s="28"/>
      <c r="Q62" s="28"/>
      <c r="R62" s="31">
        <v>45693.101388888892</v>
      </c>
      <c r="S62" s="28" t="s">
        <v>45</v>
      </c>
    </row>
    <row r="63" spans="1:19">
      <c r="A63" s="30">
        <v>45936</v>
      </c>
      <c r="B63" s="28">
        <v>2025</v>
      </c>
      <c r="C63" s="29" t="s">
        <v>143</v>
      </c>
      <c r="D63" s="28" t="s">
        <v>134</v>
      </c>
      <c r="E63" s="28">
        <v>1160.5</v>
      </c>
      <c r="F63" s="19">
        <f t="shared" si="0"/>
        <v>1160.5</v>
      </c>
      <c r="G63" s="19">
        <f t="shared" si="1"/>
        <v>0</v>
      </c>
      <c r="H63" s="28" t="s">
        <v>39</v>
      </c>
      <c r="I63" s="28" t="s">
        <v>144</v>
      </c>
      <c r="J63" s="28" t="s">
        <v>145</v>
      </c>
      <c r="K63" s="28" t="s">
        <v>146</v>
      </c>
      <c r="L63" s="28"/>
      <c r="M63" s="28"/>
      <c r="N63" s="28"/>
      <c r="O63" s="28"/>
      <c r="P63" s="28"/>
      <c r="Q63" s="28"/>
      <c r="R63" s="31">
        <v>45936.715277777781</v>
      </c>
      <c r="S63" s="28"/>
    </row>
    <row r="64" spans="1:19">
      <c r="A64" s="30">
        <v>45783</v>
      </c>
      <c r="B64" s="28">
        <v>2025</v>
      </c>
      <c r="C64" s="29" t="s">
        <v>143</v>
      </c>
      <c r="D64" s="28" t="s">
        <v>58</v>
      </c>
      <c r="E64" s="28">
        <v>-395.1</v>
      </c>
      <c r="F64" s="19">
        <f t="shared" si="0"/>
        <v>0</v>
      </c>
      <c r="G64" s="19">
        <f t="shared" si="1"/>
        <v>395.1</v>
      </c>
      <c r="H64" s="28" t="s">
        <v>39</v>
      </c>
      <c r="I64" s="28" t="s">
        <v>144</v>
      </c>
      <c r="J64" s="28" t="s">
        <v>59</v>
      </c>
      <c r="K64" s="28" t="s">
        <v>147</v>
      </c>
      <c r="L64" s="28"/>
      <c r="M64" s="28"/>
      <c r="N64" s="28"/>
      <c r="O64" s="28"/>
      <c r="P64" s="28"/>
      <c r="Q64" s="28"/>
      <c r="R64" s="31">
        <v>45783.171527777777</v>
      </c>
      <c r="S64" s="28"/>
    </row>
    <row r="65" spans="1:21">
      <c r="A65" s="30">
        <v>45753</v>
      </c>
      <c r="B65" s="28">
        <v>2025</v>
      </c>
      <c r="C65" s="29" t="s">
        <v>143</v>
      </c>
      <c r="D65" s="28" t="s">
        <v>40</v>
      </c>
      <c r="E65" s="28">
        <v>978.49</v>
      </c>
      <c r="F65" s="19">
        <f t="shared" si="0"/>
        <v>978.49</v>
      </c>
      <c r="G65" s="19">
        <f t="shared" si="1"/>
        <v>0</v>
      </c>
      <c r="H65" s="28" t="s">
        <v>39</v>
      </c>
      <c r="I65" s="28" t="s">
        <v>144</v>
      </c>
      <c r="J65" s="28" t="s">
        <v>148</v>
      </c>
      <c r="K65" s="28"/>
      <c r="L65" s="28"/>
      <c r="M65" s="28"/>
      <c r="N65" s="28"/>
      <c r="O65" s="28"/>
      <c r="P65" s="28"/>
      <c r="Q65" s="28"/>
      <c r="R65" s="31">
        <v>45753.881944444445</v>
      </c>
      <c r="S65" s="28"/>
    </row>
    <row r="66" spans="1:21">
      <c r="A66" s="30">
        <v>45753</v>
      </c>
      <c r="B66" s="28">
        <v>2025</v>
      </c>
      <c r="C66" s="29" t="s">
        <v>143</v>
      </c>
      <c r="D66" s="28" t="s">
        <v>144</v>
      </c>
      <c r="E66" s="28">
        <v>-978.49</v>
      </c>
      <c r="F66" s="19">
        <f t="shared" si="0"/>
        <v>0</v>
      </c>
      <c r="G66" s="19">
        <f t="shared" si="1"/>
        <v>978.49</v>
      </c>
      <c r="H66" s="28" t="s">
        <v>39</v>
      </c>
      <c r="I66" s="28" t="s">
        <v>40</v>
      </c>
      <c r="J66" s="28" t="s">
        <v>148</v>
      </c>
      <c r="K66" s="28"/>
      <c r="L66" s="28"/>
      <c r="M66" s="28"/>
      <c r="N66" s="28"/>
      <c r="O66" s="28"/>
      <c r="P66" s="28"/>
      <c r="Q66" s="28"/>
      <c r="R66" s="31">
        <v>45753.60833333333</v>
      </c>
      <c r="S66" s="28"/>
    </row>
    <row r="67" spans="1:21">
      <c r="A67" s="30">
        <v>45722</v>
      </c>
      <c r="B67" s="28">
        <v>2025</v>
      </c>
      <c r="C67" s="29" t="s">
        <v>143</v>
      </c>
      <c r="D67" s="28" t="s">
        <v>38</v>
      </c>
      <c r="E67" s="28">
        <v>-5.16</v>
      </c>
      <c r="F67" s="19">
        <f t="shared" si="0"/>
        <v>0</v>
      </c>
      <c r="G67" s="19">
        <f t="shared" si="1"/>
        <v>5.16</v>
      </c>
      <c r="H67" s="28" t="s">
        <v>39</v>
      </c>
      <c r="I67" s="28" t="s">
        <v>40</v>
      </c>
      <c r="J67" s="28" t="s">
        <v>41</v>
      </c>
      <c r="K67" s="28"/>
      <c r="L67" s="28"/>
      <c r="M67" s="28">
        <v>5180</v>
      </c>
      <c r="N67" s="28" t="s">
        <v>42</v>
      </c>
      <c r="O67" s="28" t="s">
        <v>43</v>
      </c>
      <c r="P67" s="28"/>
      <c r="Q67" s="28"/>
      <c r="R67" s="31">
        <v>45722.446527777778</v>
      </c>
      <c r="S67" s="28" t="s">
        <v>45</v>
      </c>
    </row>
    <row r="68" spans="1:21">
      <c r="A68" s="30">
        <v>45694</v>
      </c>
      <c r="B68" s="28">
        <v>2025</v>
      </c>
      <c r="C68" s="29" t="s">
        <v>143</v>
      </c>
      <c r="D68" s="28" t="s">
        <v>62</v>
      </c>
      <c r="E68" s="28">
        <v>-34</v>
      </c>
      <c r="F68" s="19">
        <f t="shared" si="0"/>
        <v>0</v>
      </c>
      <c r="G68" s="19">
        <f t="shared" si="1"/>
        <v>34</v>
      </c>
      <c r="H68" s="28" t="s">
        <v>39</v>
      </c>
      <c r="I68" s="28" t="s">
        <v>40</v>
      </c>
      <c r="J68" s="28" t="s">
        <v>62</v>
      </c>
      <c r="K68" s="28"/>
      <c r="L68" s="28"/>
      <c r="M68" s="28">
        <v>4422</v>
      </c>
      <c r="N68" s="28" t="s">
        <v>63</v>
      </c>
      <c r="O68" s="28" t="s">
        <v>43</v>
      </c>
      <c r="P68" s="28"/>
      <c r="Q68" s="28"/>
      <c r="R68" s="31">
        <v>45694.522916666669</v>
      </c>
      <c r="S68" s="28" t="s">
        <v>45</v>
      </c>
    </row>
    <row r="69" spans="1:21">
      <c r="A69" s="27" t="s">
        <v>149</v>
      </c>
      <c r="B69" s="28">
        <v>2025</v>
      </c>
      <c r="C69" s="29" t="s">
        <v>150</v>
      </c>
      <c r="D69" s="28" t="s">
        <v>140</v>
      </c>
      <c r="E69" s="28">
        <v>1082.49</v>
      </c>
      <c r="F69" s="19">
        <f t="shared" si="0"/>
        <v>1082.49</v>
      </c>
      <c r="G69" s="19">
        <f t="shared" si="1"/>
        <v>0</v>
      </c>
      <c r="H69" s="28" t="s">
        <v>39</v>
      </c>
      <c r="I69" s="28" t="s">
        <v>144</v>
      </c>
      <c r="J69" s="28" t="s">
        <v>141</v>
      </c>
      <c r="K69" s="28" t="s">
        <v>151</v>
      </c>
      <c r="L69" s="28"/>
      <c r="M69" s="28"/>
      <c r="N69" s="28"/>
      <c r="O69" s="28"/>
      <c r="P69" s="28"/>
      <c r="Q69" s="28"/>
      <c r="R69" s="28" t="s">
        <v>152</v>
      </c>
      <c r="S69" s="28"/>
    </row>
    <row r="70" spans="1:21">
      <c r="A70" s="30">
        <v>45937</v>
      </c>
      <c r="B70" s="28">
        <v>2025</v>
      </c>
      <c r="C70" s="29" t="s">
        <v>150</v>
      </c>
      <c r="D70" s="28" t="s">
        <v>153</v>
      </c>
      <c r="E70" s="28">
        <v>1480</v>
      </c>
      <c r="F70" s="19">
        <f t="shared" si="0"/>
        <v>1480</v>
      </c>
      <c r="G70" s="19">
        <f t="shared" si="1"/>
        <v>0</v>
      </c>
      <c r="H70" s="28" t="s">
        <v>39</v>
      </c>
      <c r="I70" s="28" t="s">
        <v>144</v>
      </c>
      <c r="J70" s="28"/>
      <c r="K70" s="28" t="s">
        <v>154</v>
      </c>
      <c r="L70" s="28"/>
      <c r="M70" s="28"/>
      <c r="N70" s="28"/>
      <c r="O70" s="28"/>
      <c r="P70" s="28"/>
      <c r="Q70" s="28"/>
      <c r="R70" s="31">
        <v>45937.500694444447</v>
      </c>
      <c r="S70" s="28"/>
    </row>
    <row r="71" spans="1:21">
      <c r="A71" s="30">
        <v>45695</v>
      </c>
      <c r="B71" s="28">
        <v>2025</v>
      </c>
      <c r="C71" s="29" t="s">
        <v>150</v>
      </c>
      <c r="D71" s="28" t="s">
        <v>62</v>
      </c>
      <c r="E71" s="28">
        <v>-34</v>
      </c>
      <c r="F71" s="19">
        <f t="shared" si="0"/>
        <v>0</v>
      </c>
      <c r="G71" s="19">
        <f t="shared" si="1"/>
        <v>34</v>
      </c>
      <c r="H71" s="28" t="s">
        <v>39</v>
      </c>
      <c r="I71" s="28" t="s">
        <v>144</v>
      </c>
      <c r="J71" s="28" t="s">
        <v>62</v>
      </c>
      <c r="K71" s="28"/>
      <c r="L71" s="28"/>
      <c r="M71" s="28">
        <v>9884</v>
      </c>
      <c r="N71" s="28" t="s">
        <v>63</v>
      </c>
      <c r="O71" s="28" t="s">
        <v>43</v>
      </c>
      <c r="P71" s="28"/>
      <c r="Q71" s="28"/>
      <c r="R71" s="31">
        <v>45695.087500000001</v>
      </c>
      <c r="S71" s="28" t="s">
        <v>45</v>
      </c>
    </row>
    <row r="72" spans="1:21">
      <c r="A72" s="32" t="s">
        <v>155</v>
      </c>
      <c r="B72" s="28">
        <v>2025</v>
      </c>
      <c r="C72" s="33" t="s">
        <v>156</v>
      </c>
      <c r="D72" s="34" t="s">
        <v>157</v>
      </c>
      <c r="E72" s="32">
        <v>-18.38</v>
      </c>
      <c r="F72" s="19">
        <f t="shared" si="0"/>
        <v>0</v>
      </c>
      <c r="G72" s="19">
        <f t="shared" si="1"/>
        <v>18.38</v>
      </c>
      <c r="H72" s="34" t="s">
        <v>158</v>
      </c>
      <c r="I72" s="34" t="s">
        <v>144</v>
      </c>
      <c r="J72" s="356" t="s">
        <v>159</v>
      </c>
      <c r="K72" s="352"/>
      <c r="L72" s="353"/>
      <c r="M72" s="32">
        <v>8690</v>
      </c>
      <c r="N72" s="34" t="s">
        <v>42</v>
      </c>
      <c r="O72" s="34" t="s">
        <v>49</v>
      </c>
      <c r="P72" s="34"/>
      <c r="Q72" s="34"/>
      <c r="R72" s="35" t="s">
        <v>160</v>
      </c>
      <c r="S72" s="34" t="s">
        <v>45</v>
      </c>
      <c r="T72" s="36"/>
      <c r="U72" s="36"/>
    </row>
    <row r="73" spans="1:21">
      <c r="A73" s="32" t="s">
        <v>161</v>
      </c>
      <c r="B73" s="28">
        <v>2025</v>
      </c>
      <c r="C73" s="33" t="s">
        <v>156</v>
      </c>
      <c r="D73" s="34" t="s">
        <v>153</v>
      </c>
      <c r="E73" s="32">
        <v>980</v>
      </c>
      <c r="F73" s="19">
        <f t="shared" si="0"/>
        <v>980</v>
      </c>
      <c r="G73" s="19">
        <f t="shared" si="1"/>
        <v>0</v>
      </c>
      <c r="H73" s="34" t="s">
        <v>39</v>
      </c>
      <c r="I73" s="356" t="s">
        <v>144</v>
      </c>
      <c r="J73" s="353"/>
      <c r="K73" s="356" t="s">
        <v>154</v>
      </c>
      <c r="L73" s="352"/>
      <c r="M73" s="353"/>
      <c r="N73" s="34"/>
      <c r="O73" s="34"/>
      <c r="P73" s="34"/>
      <c r="Q73" s="34"/>
      <c r="R73" s="35" t="s">
        <v>160</v>
      </c>
      <c r="S73" s="34"/>
      <c r="T73" s="36"/>
      <c r="U73" s="36"/>
    </row>
    <row r="74" spans="1:21">
      <c r="A74" s="32" t="s">
        <v>162</v>
      </c>
      <c r="B74" s="28">
        <v>2025</v>
      </c>
      <c r="C74" s="33" t="s">
        <v>156</v>
      </c>
      <c r="D74" s="34" t="s">
        <v>163</v>
      </c>
      <c r="E74" s="32">
        <v>-275</v>
      </c>
      <c r="F74" s="19">
        <f t="shared" si="0"/>
        <v>0</v>
      </c>
      <c r="G74" s="19">
        <f t="shared" si="1"/>
        <v>275</v>
      </c>
      <c r="H74" s="34" t="s">
        <v>39</v>
      </c>
      <c r="I74" s="34" t="s">
        <v>144</v>
      </c>
      <c r="J74" s="34" t="s">
        <v>164</v>
      </c>
      <c r="K74" s="34"/>
      <c r="L74" s="34"/>
      <c r="M74" s="32">
        <v>8690</v>
      </c>
      <c r="N74" s="34" t="s">
        <v>42</v>
      </c>
      <c r="O74" s="356" t="s">
        <v>165</v>
      </c>
      <c r="P74" s="352"/>
      <c r="Q74" s="353"/>
      <c r="R74" s="35" t="s">
        <v>160</v>
      </c>
      <c r="S74" s="34" t="s">
        <v>45</v>
      </c>
      <c r="T74" s="36"/>
      <c r="U74" s="36"/>
    </row>
    <row r="75" spans="1:21">
      <c r="A75" s="32" t="s">
        <v>166</v>
      </c>
      <c r="B75" s="28">
        <v>2025</v>
      </c>
      <c r="C75" s="33" t="s">
        <v>156</v>
      </c>
      <c r="D75" s="34" t="s">
        <v>38</v>
      </c>
      <c r="E75" s="32">
        <v>-5.16</v>
      </c>
      <c r="F75" s="19">
        <f t="shared" si="0"/>
        <v>0</v>
      </c>
      <c r="G75" s="19">
        <f t="shared" si="1"/>
        <v>5.16</v>
      </c>
      <c r="H75" s="34" t="s">
        <v>39</v>
      </c>
      <c r="I75" s="34" t="s">
        <v>144</v>
      </c>
      <c r="J75" s="356" t="s">
        <v>41</v>
      </c>
      <c r="K75" s="353"/>
      <c r="L75" s="34"/>
      <c r="M75" s="32">
        <v>8690</v>
      </c>
      <c r="N75" s="34" t="s">
        <v>42</v>
      </c>
      <c r="O75" s="34" t="s">
        <v>43</v>
      </c>
      <c r="P75" s="34"/>
      <c r="Q75" s="34"/>
      <c r="R75" s="35" t="s">
        <v>160</v>
      </c>
      <c r="S75" s="34" t="s">
        <v>45</v>
      </c>
      <c r="T75" s="36"/>
      <c r="U75" s="36"/>
    </row>
    <row r="76" spans="1:21">
      <c r="A76" s="32" t="s">
        <v>167</v>
      </c>
      <c r="B76" s="28">
        <v>2025</v>
      </c>
      <c r="C76" s="33" t="s">
        <v>156</v>
      </c>
      <c r="D76" s="34" t="s">
        <v>58</v>
      </c>
      <c r="E76" s="32">
        <v>-3959.95</v>
      </c>
      <c r="F76" s="19">
        <f t="shared" si="0"/>
        <v>0</v>
      </c>
      <c r="G76" s="19">
        <f t="shared" si="1"/>
        <v>3959.95</v>
      </c>
      <c r="H76" s="34" t="s">
        <v>39</v>
      </c>
      <c r="I76" s="34" t="s">
        <v>144</v>
      </c>
      <c r="J76" s="34" t="s">
        <v>59</v>
      </c>
      <c r="K76" s="34" t="s">
        <v>60</v>
      </c>
      <c r="L76" s="34" t="s">
        <v>168</v>
      </c>
      <c r="M76" s="34"/>
      <c r="N76" s="34"/>
      <c r="O76" s="34"/>
      <c r="P76" s="34"/>
      <c r="Q76" s="34"/>
      <c r="R76" s="35" t="s">
        <v>160</v>
      </c>
      <c r="S76" s="34"/>
      <c r="T76" s="36"/>
      <c r="U76" s="36"/>
    </row>
    <row r="77" spans="1:21">
      <c r="A77" s="37">
        <v>45846</v>
      </c>
      <c r="B77" s="28">
        <v>2025</v>
      </c>
      <c r="C77" s="33" t="s">
        <v>156</v>
      </c>
      <c r="D77" s="34" t="s">
        <v>134</v>
      </c>
      <c r="E77" s="32">
        <v>1057.5</v>
      </c>
      <c r="F77" s="19">
        <f t="shared" si="0"/>
        <v>1057.5</v>
      </c>
      <c r="G77" s="19">
        <f t="shared" si="1"/>
        <v>0</v>
      </c>
      <c r="H77" s="34" t="s">
        <v>39</v>
      </c>
      <c r="I77" s="34" t="s">
        <v>144</v>
      </c>
      <c r="J77" s="34" t="s">
        <v>169</v>
      </c>
      <c r="K77" s="34" t="s">
        <v>170</v>
      </c>
      <c r="L77" s="34"/>
      <c r="M77" s="34"/>
      <c r="N77" s="34"/>
      <c r="O77" s="34"/>
      <c r="P77" s="34"/>
      <c r="Q77" s="34"/>
      <c r="R77" s="35" t="s">
        <v>160</v>
      </c>
      <c r="S77" s="34"/>
      <c r="T77" s="36"/>
      <c r="U77" s="36"/>
    </row>
    <row r="78" spans="1:21">
      <c r="A78" s="37">
        <v>45696</v>
      </c>
      <c r="B78" s="28">
        <v>2025</v>
      </c>
      <c r="C78" s="33" t="s">
        <v>156</v>
      </c>
      <c r="D78" s="34" t="s">
        <v>171</v>
      </c>
      <c r="E78" s="32">
        <v>-34</v>
      </c>
      <c r="F78" s="19">
        <f t="shared" si="0"/>
        <v>0</v>
      </c>
      <c r="G78" s="19">
        <f t="shared" si="1"/>
        <v>34</v>
      </c>
      <c r="H78" s="34" t="s">
        <v>39</v>
      </c>
      <c r="I78" s="34" t="s">
        <v>144</v>
      </c>
      <c r="J78" s="34" t="s">
        <v>62</v>
      </c>
      <c r="K78" s="34"/>
      <c r="L78" s="34"/>
      <c r="M78" s="32">
        <v>9884</v>
      </c>
      <c r="N78" s="34" t="s">
        <v>63</v>
      </c>
      <c r="O78" s="34" t="s">
        <v>43</v>
      </c>
      <c r="P78" s="34"/>
      <c r="Q78" s="34"/>
      <c r="R78" s="35" t="s">
        <v>160</v>
      </c>
      <c r="S78" s="34" t="s">
        <v>45</v>
      </c>
      <c r="T78" s="36"/>
      <c r="U78" s="36"/>
    </row>
    <row r="79" spans="1:21">
      <c r="A79" s="27" t="s">
        <v>172</v>
      </c>
      <c r="B79" s="28">
        <v>2025</v>
      </c>
      <c r="C79" s="33" t="s">
        <v>173</v>
      </c>
      <c r="D79" s="28" t="s">
        <v>58</v>
      </c>
      <c r="E79" s="28">
        <v>-453.91</v>
      </c>
      <c r="F79" s="19">
        <f t="shared" si="0"/>
        <v>0</v>
      </c>
      <c r="G79" s="19">
        <f t="shared" si="1"/>
        <v>453.91</v>
      </c>
      <c r="H79" s="28" t="s">
        <v>39</v>
      </c>
      <c r="I79" s="28" t="s">
        <v>144</v>
      </c>
      <c r="J79" s="28" t="s">
        <v>59</v>
      </c>
      <c r="K79" s="28" t="s">
        <v>174</v>
      </c>
      <c r="L79" s="28"/>
      <c r="M79" s="28"/>
      <c r="N79" s="28"/>
      <c r="O79" s="28"/>
      <c r="P79" s="28"/>
      <c r="Q79" s="28"/>
      <c r="R79" s="28" t="s">
        <v>175</v>
      </c>
      <c r="S79" s="28"/>
    </row>
    <row r="80" spans="1:21">
      <c r="A80" s="27" t="s">
        <v>176</v>
      </c>
      <c r="B80" s="28">
        <v>2025</v>
      </c>
      <c r="C80" s="33" t="s">
        <v>173</v>
      </c>
      <c r="D80" s="28" t="s">
        <v>177</v>
      </c>
      <c r="E80" s="28">
        <v>-59.53</v>
      </c>
      <c r="F80" s="19">
        <f t="shared" si="0"/>
        <v>0</v>
      </c>
      <c r="G80" s="19">
        <f t="shared" si="1"/>
        <v>59.53</v>
      </c>
      <c r="H80" s="28" t="s">
        <v>39</v>
      </c>
      <c r="I80" s="28" t="s">
        <v>144</v>
      </c>
      <c r="J80" s="28" t="s">
        <v>178</v>
      </c>
      <c r="K80" s="28"/>
      <c r="L80" s="28"/>
      <c r="M80" s="28">
        <v>8690</v>
      </c>
      <c r="N80" s="28" t="s">
        <v>42</v>
      </c>
      <c r="O80" s="28" t="s">
        <v>49</v>
      </c>
      <c r="P80" s="28"/>
      <c r="Q80" s="28"/>
      <c r="R80" s="28" t="s">
        <v>179</v>
      </c>
      <c r="S80" s="28" t="s">
        <v>45</v>
      </c>
    </row>
    <row r="81" spans="1:19">
      <c r="A81" s="27" t="s">
        <v>176</v>
      </c>
      <c r="B81" s="28">
        <v>2025</v>
      </c>
      <c r="C81" s="33" t="s">
        <v>173</v>
      </c>
      <c r="D81" s="28" t="s">
        <v>157</v>
      </c>
      <c r="E81" s="28">
        <v>-7.57</v>
      </c>
      <c r="F81" s="19">
        <f t="shared" si="0"/>
        <v>0</v>
      </c>
      <c r="G81" s="19">
        <f t="shared" si="1"/>
        <v>7.57</v>
      </c>
      <c r="H81" s="28" t="s">
        <v>39</v>
      </c>
      <c r="I81" s="28" t="s">
        <v>144</v>
      </c>
      <c r="J81" s="28" t="s">
        <v>159</v>
      </c>
      <c r="K81" s="28"/>
      <c r="L81" s="28"/>
      <c r="M81" s="28">
        <v>8690</v>
      </c>
      <c r="N81" s="28" t="s">
        <v>42</v>
      </c>
      <c r="O81" s="28" t="s">
        <v>49</v>
      </c>
      <c r="P81" s="28"/>
      <c r="Q81" s="28"/>
      <c r="R81" s="28" t="s">
        <v>180</v>
      </c>
      <c r="S81" s="28" t="s">
        <v>45</v>
      </c>
    </row>
    <row r="82" spans="1:19">
      <c r="A82" s="27" t="s">
        <v>176</v>
      </c>
      <c r="B82" s="28">
        <v>2025</v>
      </c>
      <c r="C82" s="33" t="s">
        <v>173</v>
      </c>
      <c r="D82" s="28" t="s">
        <v>157</v>
      </c>
      <c r="E82" s="28">
        <v>-7.57</v>
      </c>
      <c r="F82" s="19">
        <f t="shared" si="0"/>
        <v>0</v>
      </c>
      <c r="G82" s="19">
        <f t="shared" si="1"/>
        <v>7.57</v>
      </c>
      <c r="H82" s="28" t="s">
        <v>39</v>
      </c>
      <c r="I82" s="28" t="s">
        <v>144</v>
      </c>
      <c r="J82" s="28" t="s">
        <v>159</v>
      </c>
      <c r="K82" s="28"/>
      <c r="L82" s="28"/>
      <c r="M82" s="28">
        <v>8690</v>
      </c>
      <c r="N82" s="28" t="s">
        <v>42</v>
      </c>
      <c r="O82" s="28" t="s">
        <v>49</v>
      </c>
      <c r="P82" s="28"/>
      <c r="Q82" s="28"/>
      <c r="R82" s="28" t="s">
        <v>181</v>
      </c>
      <c r="S82" s="28" t="s">
        <v>45</v>
      </c>
    </row>
    <row r="83" spans="1:19">
      <c r="A83" s="27" t="s">
        <v>182</v>
      </c>
      <c r="B83" s="28">
        <v>2025</v>
      </c>
      <c r="C83" s="33" t="s">
        <v>173</v>
      </c>
      <c r="D83" s="28" t="s">
        <v>183</v>
      </c>
      <c r="E83" s="28">
        <v>-673.01</v>
      </c>
      <c r="F83" s="19">
        <f t="shared" si="0"/>
        <v>0</v>
      </c>
      <c r="G83" s="19">
        <f t="shared" si="1"/>
        <v>673.01</v>
      </c>
      <c r="H83" s="28" t="s">
        <v>39</v>
      </c>
      <c r="I83" s="28" t="s">
        <v>144</v>
      </c>
      <c r="J83" s="28" t="s">
        <v>59</v>
      </c>
      <c r="K83" s="28" t="s">
        <v>184</v>
      </c>
      <c r="L83" s="28"/>
      <c r="M83" s="28"/>
      <c r="N83" s="28"/>
      <c r="O83" s="28"/>
      <c r="P83" s="28"/>
      <c r="Q83" s="28"/>
      <c r="R83" s="28" t="s">
        <v>185</v>
      </c>
      <c r="S83" s="28"/>
    </row>
    <row r="84" spans="1:19">
      <c r="A84" s="27" t="s">
        <v>186</v>
      </c>
      <c r="B84" s="28">
        <v>2025</v>
      </c>
      <c r="C84" s="33" t="s">
        <v>173</v>
      </c>
      <c r="D84" s="28" t="s">
        <v>187</v>
      </c>
      <c r="E84" s="28">
        <v>-11.9</v>
      </c>
      <c r="F84" s="19">
        <f t="shared" si="0"/>
        <v>0</v>
      </c>
      <c r="G84" s="19">
        <f t="shared" si="1"/>
        <v>11.9</v>
      </c>
      <c r="H84" s="28" t="s">
        <v>39</v>
      </c>
      <c r="I84" s="28" t="s">
        <v>144</v>
      </c>
      <c r="J84" s="28" t="s">
        <v>188</v>
      </c>
      <c r="K84" s="28"/>
      <c r="L84" s="28"/>
      <c r="M84" s="28">
        <v>8690</v>
      </c>
      <c r="N84" s="28" t="s">
        <v>42</v>
      </c>
      <c r="O84" s="28" t="s">
        <v>49</v>
      </c>
      <c r="P84" s="28"/>
      <c r="Q84" s="28"/>
      <c r="R84" s="28" t="s">
        <v>189</v>
      </c>
      <c r="S84" s="28" t="s">
        <v>45</v>
      </c>
    </row>
    <row r="85" spans="1:19">
      <c r="A85" s="27" t="s">
        <v>190</v>
      </c>
      <c r="B85" s="28">
        <v>2025</v>
      </c>
      <c r="C85" s="33" t="s">
        <v>173</v>
      </c>
      <c r="D85" s="28" t="s">
        <v>187</v>
      </c>
      <c r="E85" s="28">
        <v>-17.14</v>
      </c>
      <c r="F85" s="19">
        <f t="shared" si="0"/>
        <v>0</v>
      </c>
      <c r="G85" s="19">
        <f t="shared" si="1"/>
        <v>17.14</v>
      </c>
      <c r="H85" s="28" t="s">
        <v>39</v>
      </c>
      <c r="I85" s="28" t="s">
        <v>144</v>
      </c>
      <c r="J85" s="28" t="s">
        <v>191</v>
      </c>
      <c r="K85" s="28"/>
      <c r="L85" s="28"/>
      <c r="M85" s="28">
        <v>8690</v>
      </c>
      <c r="N85" s="28" t="s">
        <v>42</v>
      </c>
      <c r="O85" s="28" t="s">
        <v>49</v>
      </c>
      <c r="P85" s="28"/>
      <c r="Q85" s="28"/>
      <c r="R85" s="28" t="s">
        <v>192</v>
      </c>
      <c r="S85" s="28" t="s">
        <v>45</v>
      </c>
    </row>
    <row r="86" spans="1:19">
      <c r="A86" s="27" t="s">
        <v>193</v>
      </c>
      <c r="B86" s="28">
        <v>2025</v>
      </c>
      <c r="C86" s="33" t="s">
        <v>173</v>
      </c>
      <c r="D86" s="28" t="s">
        <v>177</v>
      </c>
      <c r="E86" s="28">
        <v>-50.08</v>
      </c>
      <c r="F86" s="19">
        <f t="shared" si="0"/>
        <v>0</v>
      </c>
      <c r="G86" s="19">
        <f t="shared" si="1"/>
        <v>50.08</v>
      </c>
      <c r="H86" s="28" t="s">
        <v>39</v>
      </c>
      <c r="I86" s="28" t="s">
        <v>144</v>
      </c>
      <c r="J86" s="38" t="s">
        <v>194</v>
      </c>
      <c r="K86" s="28"/>
      <c r="L86" s="28"/>
      <c r="M86" s="28">
        <v>8690</v>
      </c>
      <c r="N86" s="28" t="s">
        <v>42</v>
      </c>
      <c r="O86" s="28" t="s">
        <v>49</v>
      </c>
      <c r="P86" s="28"/>
      <c r="Q86" s="28"/>
      <c r="R86" s="28" t="s">
        <v>195</v>
      </c>
      <c r="S86" s="28" t="s">
        <v>45</v>
      </c>
    </row>
    <row r="87" spans="1:19">
      <c r="A87" s="27" t="s">
        <v>196</v>
      </c>
      <c r="B87" s="28">
        <v>2025</v>
      </c>
      <c r="C87" s="33" t="s">
        <v>173</v>
      </c>
      <c r="D87" s="28" t="s">
        <v>134</v>
      </c>
      <c r="E87" s="28">
        <v>1058</v>
      </c>
      <c r="F87" s="19">
        <f t="shared" si="0"/>
        <v>1058</v>
      </c>
      <c r="G87" s="19">
        <f t="shared" si="1"/>
        <v>0</v>
      </c>
      <c r="H87" s="28" t="s">
        <v>39</v>
      </c>
      <c r="I87" s="28" t="s">
        <v>144</v>
      </c>
      <c r="J87" s="28" t="s">
        <v>197</v>
      </c>
      <c r="K87" s="28" t="s">
        <v>170</v>
      </c>
      <c r="L87" s="28"/>
      <c r="M87" s="28"/>
      <c r="N87" s="28"/>
      <c r="O87" s="28"/>
      <c r="P87" s="28"/>
      <c r="Q87" s="28"/>
      <c r="R87" s="28" t="s">
        <v>198</v>
      </c>
      <c r="S87" s="28"/>
    </row>
    <row r="88" spans="1:19">
      <c r="A88" s="27" t="s">
        <v>199</v>
      </c>
      <c r="B88" s="28">
        <v>2025</v>
      </c>
      <c r="C88" s="33" t="s">
        <v>173</v>
      </c>
      <c r="D88" s="28" t="s">
        <v>200</v>
      </c>
      <c r="E88" s="28">
        <v>-39.07</v>
      </c>
      <c r="F88" s="19">
        <f t="shared" si="0"/>
        <v>0</v>
      </c>
      <c r="G88" s="19">
        <f t="shared" si="1"/>
        <v>39.07</v>
      </c>
      <c r="H88" s="28" t="s">
        <v>39</v>
      </c>
      <c r="I88" s="28" t="s">
        <v>144</v>
      </c>
      <c r="J88" s="28" t="s">
        <v>201</v>
      </c>
      <c r="K88" s="28"/>
      <c r="L88" s="28"/>
      <c r="M88" s="28">
        <v>8690</v>
      </c>
      <c r="N88" s="28" t="s">
        <v>42</v>
      </c>
      <c r="O88" s="28" t="s">
        <v>49</v>
      </c>
      <c r="P88" s="28"/>
      <c r="Q88" s="28"/>
      <c r="R88" s="28" t="s">
        <v>202</v>
      </c>
      <c r="S88" s="28" t="s">
        <v>45</v>
      </c>
    </row>
    <row r="89" spans="1:19">
      <c r="A89" s="30">
        <v>45878</v>
      </c>
      <c r="B89" s="28">
        <v>2025</v>
      </c>
      <c r="C89" s="33" t="s">
        <v>173</v>
      </c>
      <c r="D89" s="28" t="s">
        <v>58</v>
      </c>
      <c r="E89" s="28">
        <v>-1412.87</v>
      </c>
      <c r="F89" s="19">
        <f t="shared" si="0"/>
        <v>0</v>
      </c>
      <c r="G89" s="19">
        <f t="shared" si="1"/>
        <v>1412.87</v>
      </c>
      <c r="H89" s="28" t="s">
        <v>39</v>
      </c>
      <c r="I89" s="28" t="s">
        <v>144</v>
      </c>
      <c r="J89" s="28" t="s">
        <v>59</v>
      </c>
      <c r="K89" s="28" t="s">
        <v>203</v>
      </c>
      <c r="L89" s="28"/>
      <c r="M89" s="28"/>
      <c r="N89" s="28"/>
      <c r="O89" s="28"/>
      <c r="P89" s="28"/>
      <c r="Q89" s="28"/>
      <c r="R89" s="31">
        <v>45878.128472222219</v>
      </c>
      <c r="S89" s="28"/>
    </row>
    <row r="90" spans="1:19">
      <c r="A90" s="30">
        <v>45697</v>
      </c>
      <c r="B90" s="28">
        <v>2025</v>
      </c>
      <c r="C90" s="33" t="s">
        <v>173</v>
      </c>
      <c r="D90" s="28" t="s">
        <v>157</v>
      </c>
      <c r="E90" s="28">
        <v>-18.38</v>
      </c>
      <c r="F90" s="19">
        <f t="shared" si="0"/>
        <v>0</v>
      </c>
      <c r="G90" s="19">
        <f t="shared" si="1"/>
        <v>18.38</v>
      </c>
      <c r="H90" s="28" t="s">
        <v>39</v>
      </c>
      <c r="I90" s="28" t="s">
        <v>144</v>
      </c>
      <c r="J90" s="28" t="s">
        <v>159</v>
      </c>
      <c r="K90" s="28"/>
      <c r="L90" s="28"/>
      <c r="M90" s="28">
        <v>8690</v>
      </c>
      <c r="N90" s="28" t="s">
        <v>42</v>
      </c>
      <c r="O90" s="28" t="s">
        <v>49</v>
      </c>
      <c r="P90" s="28"/>
      <c r="Q90" s="28"/>
      <c r="R90" s="31">
        <v>45697.069444444445</v>
      </c>
      <c r="S90" s="28" t="s">
        <v>45</v>
      </c>
    </row>
    <row r="91" spans="1:19">
      <c r="A91" s="30">
        <v>45697</v>
      </c>
      <c r="B91" s="28">
        <v>2025</v>
      </c>
      <c r="C91" s="33" t="s">
        <v>173</v>
      </c>
      <c r="D91" s="28" t="s">
        <v>171</v>
      </c>
      <c r="E91" s="28">
        <v>-34</v>
      </c>
      <c r="F91" s="19">
        <f t="shared" si="0"/>
        <v>0</v>
      </c>
      <c r="G91" s="19">
        <f t="shared" si="1"/>
        <v>34</v>
      </c>
      <c r="H91" s="28" t="s">
        <v>39</v>
      </c>
      <c r="I91" s="28" t="s">
        <v>144</v>
      </c>
      <c r="J91" s="28" t="s">
        <v>62</v>
      </c>
      <c r="K91" s="28"/>
      <c r="L91" s="28"/>
      <c r="M91" s="28">
        <v>9884</v>
      </c>
      <c r="N91" s="28" t="s">
        <v>63</v>
      </c>
      <c r="O91" s="28" t="s">
        <v>43</v>
      </c>
      <c r="P91" s="28"/>
      <c r="Q91" s="28"/>
      <c r="R91" s="31">
        <v>45697.058333333334</v>
      </c>
      <c r="S91" s="28" t="s">
        <v>45</v>
      </c>
    </row>
    <row r="92" spans="1:19">
      <c r="A92" s="30">
        <v>45666</v>
      </c>
      <c r="B92" s="28">
        <v>2025</v>
      </c>
      <c r="C92" s="33" t="s">
        <v>173</v>
      </c>
      <c r="D92" s="28" t="s">
        <v>204</v>
      </c>
      <c r="E92" s="28">
        <v>-2.52</v>
      </c>
      <c r="F92" s="19">
        <f t="shared" si="0"/>
        <v>0</v>
      </c>
      <c r="G92" s="19">
        <f t="shared" si="1"/>
        <v>2.52</v>
      </c>
      <c r="H92" s="28" t="s">
        <v>39</v>
      </c>
      <c r="I92" s="28" t="s">
        <v>144</v>
      </c>
      <c r="J92" s="28" t="s">
        <v>205</v>
      </c>
      <c r="K92" s="28"/>
      <c r="L92" s="28"/>
      <c r="M92" s="28">
        <v>8690</v>
      </c>
      <c r="N92" s="28" t="s">
        <v>42</v>
      </c>
      <c r="O92" s="28" t="s">
        <v>206</v>
      </c>
      <c r="P92" s="28"/>
      <c r="Q92" s="28"/>
      <c r="R92" s="31">
        <v>45666.042361111111</v>
      </c>
      <c r="S92" s="28" t="s">
        <v>45</v>
      </c>
    </row>
    <row r="93" spans="1:19">
      <c r="A93" s="30">
        <v>45666</v>
      </c>
      <c r="B93" s="28">
        <v>2025</v>
      </c>
      <c r="C93" s="33" t="s">
        <v>173</v>
      </c>
      <c r="D93" s="28" t="s">
        <v>204</v>
      </c>
      <c r="E93" s="28">
        <v>-2.46</v>
      </c>
      <c r="F93" s="19">
        <f t="shared" si="0"/>
        <v>0</v>
      </c>
      <c r="G93" s="19">
        <f t="shared" si="1"/>
        <v>2.46</v>
      </c>
      <c r="H93" s="28" t="s">
        <v>39</v>
      </c>
      <c r="I93" s="28" t="s">
        <v>144</v>
      </c>
      <c r="J93" s="28" t="s">
        <v>205</v>
      </c>
      <c r="K93" s="28"/>
      <c r="L93" s="28"/>
      <c r="M93" s="28">
        <v>8690</v>
      </c>
      <c r="N93" s="28" t="s">
        <v>42</v>
      </c>
      <c r="O93" s="28" t="s">
        <v>206</v>
      </c>
      <c r="P93" s="28"/>
      <c r="Q93" s="28"/>
      <c r="R93" s="31">
        <v>45666.038194444445</v>
      </c>
      <c r="S93" s="28" t="s">
        <v>45</v>
      </c>
    </row>
    <row r="94" spans="1:19">
      <c r="A94" s="27" t="s">
        <v>207</v>
      </c>
      <c r="B94" s="28">
        <v>2025</v>
      </c>
      <c r="C94" s="33" t="s">
        <v>208</v>
      </c>
      <c r="D94" s="28" t="s">
        <v>183</v>
      </c>
      <c r="E94" s="28">
        <v>-674.18</v>
      </c>
      <c r="F94" s="19">
        <f t="shared" si="0"/>
        <v>0</v>
      </c>
      <c r="G94" s="19">
        <f t="shared" si="1"/>
        <v>674.18</v>
      </c>
      <c r="H94" s="28" t="s">
        <v>39</v>
      </c>
      <c r="I94" s="28" t="s">
        <v>144</v>
      </c>
      <c r="J94" s="28" t="s">
        <v>59</v>
      </c>
      <c r="K94" s="28" t="s">
        <v>209</v>
      </c>
      <c r="L94" s="28"/>
      <c r="M94" s="28"/>
      <c r="N94" s="28"/>
      <c r="O94" s="28"/>
      <c r="P94" s="28"/>
      <c r="Q94" s="28"/>
      <c r="R94" s="28" t="s">
        <v>210</v>
      </c>
      <c r="S94" s="28"/>
    </row>
    <row r="95" spans="1:19">
      <c r="A95" s="27" t="s">
        <v>211</v>
      </c>
      <c r="B95" s="28">
        <v>2025</v>
      </c>
      <c r="C95" s="33" t="s">
        <v>208</v>
      </c>
      <c r="D95" s="28" t="s">
        <v>157</v>
      </c>
      <c r="E95" s="28">
        <v>7.57</v>
      </c>
      <c r="F95" s="19">
        <f t="shared" si="0"/>
        <v>7.57</v>
      </c>
      <c r="G95" s="19">
        <f t="shared" si="1"/>
        <v>0</v>
      </c>
      <c r="H95" s="28" t="s">
        <v>39</v>
      </c>
      <c r="I95" s="28" t="s">
        <v>144</v>
      </c>
      <c r="J95" s="28" t="s">
        <v>159</v>
      </c>
      <c r="K95" s="28"/>
      <c r="L95" s="28"/>
      <c r="M95" s="28">
        <v>8690</v>
      </c>
      <c r="N95" s="28" t="s">
        <v>42</v>
      </c>
      <c r="O95" s="28" t="s">
        <v>49</v>
      </c>
      <c r="P95" s="28"/>
      <c r="Q95" s="28"/>
      <c r="R95" s="28" t="s">
        <v>212</v>
      </c>
      <c r="S95" s="28" t="s">
        <v>45</v>
      </c>
    </row>
    <row r="96" spans="1:19">
      <c r="A96" s="30">
        <v>45940</v>
      </c>
      <c r="B96" s="28">
        <v>2025</v>
      </c>
      <c r="C96" s="33" t="s">
        <v>208</v>
      </c>
      <c r="D96" s="28" t="s">
        <v>134</v>
      </c>
      <c r="E96" s="28">
        <v>1059</v>
      </c>
      <c r="F96" s="19">
        <f t="shared" si="0"/>
        <v>1059</v>
      </c>
      <c r="G96" s="19">
        <f t="shared" si="1"/>
        <v>0</v>
      </c>
      <c r="H96" s="28" t="s">
        <v>39</v>
      </c>
      <c r="I96" s="28" t="s">
        <v>144</v>
      </c>
      <c r="J96" s="28" t="s">
        <v>213</v>
      </c>
      <c r="K96" s="28" t="s">
        <v>170</v>
      </c>
      <c r="L96" s="28"/>
      <c r="M96" s="28"/>
      <c r="N96" s="28"/>
      <c r="O96" s="28"/>
      <c r="P96" s="28"/>
      <c r="Q96" s="28"/>
      <c r="R96" s="31">
        <v>45940.881944444445</v>
      </c>
      <c r="S96" s="28"/>
    </row>
    <row r="97" spans="1:23">
      <c r="A97" s="30">
        <v>45910</v>
      </c>
      <c r="B97" s="28">
        <v>2025</v>
      </c>
      <c r="C97" s="33" t="s">
        <v>208</v>
      </c>
      <c r="D97" s="28" t="s">
        <v>58</v>
      </c>
      <c r="E97" s="28">
        <v>-922.25</v>
      </c>
      <c r="F97" s="19">
        <f t="shared" si="0"/>
        <v>0</v>
      </c>
      <c r="G97" s="19">
        <f t="shared" si="1"/>
        <v>922.25</v>
      </c>
      <c r="H97" s="28" t="s">
        <v>39</v>
      </c>
      <c r="I97" s="28" t="s">
        <v>144</v>
      </c>
      <c r="J97" s="28" t="s">
        <v>59</v>
      </c>
      <c r="K97" s="28" t="s">
        <v>214</v>
      </c>
      <c r="L97" s="28" t="s">
        <v>168</v>
      </c>
      <c r="M97" s="28"/>
      <c r="N97" s="28"/>
      <c r="O97" s="28"/>
      <c r="P97" s="28"/>
      <c r="Q97" s="28"/>
      <c r="R97" s="31">
        <v>45910.523611111108</v>
      </c>
      <c r="S97" s="28"/>
    </row>
    <row r="98" spans="1:23">
      <c r="A98" s="30">
        <v>45910</v>
      </c>
      <c r="B98" s="28">
        <v>2025</v>
      </c>
      <c r="C98" s="33" t="s">
        <v>208</v>
      </c>
      <c r="D98" s="28" t="s">
        <v>153</v>
      </c>
      <c r="E98" s="28">
        <v>980</v>
      </c>
      <c r="F98" s="19">
        <f t="shared" si="0"/>
        <v>980</v>
      </c>
      <c r="G98" s="19">
        <f t="shared" si="1"/>
        <v>0</v>
      </c>
      <c r="H98" s="28" t="s">
        <v>39</v>
      </c>
      <c r="I98" s="28" t="s">
        <v>144</v>
      </c>
      <c r="J98" s="28"/>
      <c r="K98" s="28" t="s">
        <v>154</v>
      </c>
      <c r="L98" s="28"/>
      <c r="M98" s="28"/>
      <c r="N98" s="28"/>
      <c r="O98" s="28"/>
      <c r="P98" s="28"/>
      <c r="Q98" s="28"/>
      <c r="R98" s="31">
        <v>45910.500694444447</v>
      </c>
      <c r="S98" s="28"/>
    </row>
    <row r="99" spans="1:23">
      <c r="A99" s="30">
        <v>45698</v>
      </c>
      <c r="B99" s="28">
        <v>2025</v>
      </c>
      <c r="C99" s="33" t="s">
        <v>208</v>
      </c>
      <c r="D99" s="28" t="s">
        <v>171</v>
      </c>
      <c r="E99" s="28">
        <v>-34</v>
      </c>
      <c r="F99" s="19">
        <f t="shared" si="0"/>
        <v>0</v>
      </c>
      <c r="G99" s="19">
        <f t="shared" si="1"/>
        <v>34</v>
      </c>
      <c r="H99" s="28" t="s">
        <v>39</v>
      </c>
      <c r="I99" s="28" t="s">
        <v>144</v>
      </c>
      <c r="J99" s="28" t="s">
        <v>62</v>
      </c>
      <c r="K99" s="28"/>
      <c r="L99" s="28"/>
      <c r="M99" s="28">
        <v>9884</v>
      </c>
      <c r="N99" s="28" t="s">
        <v>63</v>
      </c>
      <c r="O99" s="28" t="s">
        <v>43</v>
      </c>
      <c r="P99" s="28"/>
      <c r="Q99" s="28"/>
      <c r="R99" s="31">
        <v>45698.081944444442</v>
      </c>
      <c r="S99" s="28" t="s">
        <v>45</v>
      </c>
    </row>
    <row r="100" spans="1:23">
      <c r="A100" s="30">
        <v>45667</v>
      </c>
      <c r="B100" s="28">
        <v>2025</v>
      </c>
      <c r="C100" s="33" t="s">
        <v>208</v>
      </c>
      <c r="D100" s="28" t="s">
        <v>204</v>
      </c>
      <c r="E100" s="28">
        <v>-0.01</v>
      </c>
      <c r="F100" s="19">
        <f t="shared" si="0"/>
        <v>0</v>
      </c>
      <c r="G100" s="19">
        <f t="shared" si="1"/>
        <v>0.01</v>
      </c>
      <c r="H100" s="28" t="s">
        <v>39</v>
      </c>
      <c r="I100" s="28" t="s">
        <v>144</v>
      </c>
      <c r="J100" s="28" t="s">
        <v>205</v>
      </c>
      <c r="K100" s="28"/>
      <c r="L100" s="28"/>
      <c r="M100" s="28">
        <v>8690</v>
      </c>
      <c r="N100" s="28" t="s">
        <v>42</v>
      </c>
      <c r="O100" s="28" t="s">
        <v>206</v>
      </c>
      <c r="P100" s="28"/>
      <c r="Q100" s="28"/>
      <c r="R100" s="31">
        <v>45667.142361111109</v>
      </c>
      <c r="S100" s="28" t="s">
        <v>45</v>
      </c>
    </row>
    <row r="101" spans="1:23">
      <c r="A101" s="30">
        <v>45667</v>
      </c>
      <c r="B101" s="28">
        <v>2025</v>
      </c>
      <c r="C101" s="33" t="s">
        <v>208</v>
      </c>
      <c r="D101" s="28" t="s">
        <v>204</v>
      </c>
      <c r="E101" s="28">
        <v>-2.12</v>
      </c>
      <c r="F101" s="19">
        <f t="shared" si="0"/>
        <v>0</v>
      </c>
      <c r="G101" s="19">
        <f t="shared" si="1"/>
        <v>2.12</v>
      </c>
      <c r="H101" s="28" t="s">
        <v>39</v>
      </c>
      <c r="I101" s="28" t="s">
        <v>144</v>
      </c>
      <c r="J101" s="28" t="s">
        <v>205</v>
      </c>
      <c r="K101" s="28"/>
      <c r="L101" s="28"/>
      <c r="M101" s="28">
        <v>8690</v>
      </c>
      <c r="N101" s="28" t="s">
        <v>42</v>
      </c>
      <c r="O101" s="28" t="s">
        <v>206</v>
      </c>
      <c r="P101" s="28"/>
      <c r="Q101" s="28"/>
      <c r="R101" s="31">
        <v>45667.039583333331</v>
      </c>
      <c r="S101" s="28" t="s">
        <v>45</v>
      </c>
    </row>
    <row r="102" spans="1:23">
      <c r="A102" s="30">
        <v>45667</v>
      </c>
      <c r="B102" s="28">
        <v>2025</v>
      </c>
      <c r="C102" s="33" t="s">
        <v>208</v>
      </c>
      <c r="D102" s="28" t="s">
        <v>204</v>
      </c>
      <c r="E102" s="28">
        <v>-2.7</v>
      </c>
      <c r="F102" s="19">
        <f t="shared" si="0"/>
        <v>0</v>
      </c>
      <c r="G102" s="19">
        <f t="shared" si="1"/>
        <v>2.7</v>
      </c>
      <c r="H102" s="28" t="s">
        <v>39</v>
      </c>
      <c r="I102" s="28" t="s">
        <v>144</v>
      </c>
      <c r="J102" s="28" t="s">
        <v>205</v>
      </c>
      <c r="K102" s="28"/>
      <c r="L102" s="28"/>
      <c r="M102" s="28">
        <v>8690</v>
      </c>
      <c r="N102" s="28" t="s">
        <v>42</v>
      </c>
      <c r="O102" s="28" t="s">
        <v>206</v>
      </c>
      <c r="P102" s="28"/>
      <c r="Q102" s="28"/>
      <c r="R102" s="31">
        <v>45667.038888888892</v>
      </c>
      <c r="S102" s="28" t="s">
        <v>45</v>
      </c>
    </row>
    <row r="103" spans="1:23">
      <c r="A103" s="39" t="s">
        <v>215</v>
      </c>
      <c r="B103" s="28">
        <v>2025</v>
      </c>
      <c r="C103" s="33" t="s">
        <v>216</v>
      </c>
      <c r="D103" s="40" t="s">
        <v>171</v>
      </c>
      <c r="E103" s="39">
        <v>-8</v>
      </c>
      <c r="F103" s="19">
        <f t="shared" si="0"/>
        <v>0</v>
      </c>
      <c r="G103" s="19">
        <f t="shared" si="1"/>
        <v>8</v>
      </c>
      <c r="H103" s="40" t="s">
        <v>39</v>
      </c>
      <c r="I103" s="40" t="s">
        <v>144</v>
      </c>
      <c r="J103" s="357" t="s">
        <v>62</v>
      </c>
      <c r="K103" s="353"/>
      <c r="L103" s="40"/>
      <c r="M103" s="39">
        <v>9884</v>
      </c>
      <c r="N103" s="40" t="s">
        <v>63</v>
      </c>
      <c r="O103" s="40" t="s">
        <v>43</v>
      </c>
      <c r="P103" s="40"/>
      <c r="Q103" s="40"/>
      <c r="R103" s="41" t="s">
        <v>217</v>
      </c>
      <c r="S103" s="40" t="s">
        <v>45</v>
      </c>
      <c r="T103" s="42"/>
      <c r="U103" s="42"/>
      <c r="V103" s="354" t="s">
        <v>218</v>
      </c>
      <c r="W103" s="355"/>
    </row>
    <row r="104" spans="1:23">
      <c r="A104" s="39" t="s">
        <v>215</v>
      </c>
      <c r="B104" s="28">
        <v>2025</v>
      </c>
      <c r="C104" s="33" t="s">
        <v>216</v>
      </c>
      <c r="D104" s="40" t="s">
        <v>157</v>
      </c>
      <c r="E104" s="39">
        <v>7.57</v>
      </c>
      <c r="F104" s="19">
        <f t="shared" si="0"/>
        <v>7.57</v>
      </c>
      <c r="G104" s="19">
        <f t="shared" si="1"/>
        <v>0</v>
      </c>
      <c r="H104" s="40" t="s">
        <v>39</v>
      </c>
      <c r="I104" s="40" t="s">
        <v>144</v>
      </c>
      <c r="J104" s="357" t="s">
        <v>159</v>
      </c>
      <c r="K104" s="352"/>
      <c r="L104" s="353"/>
      <c r="M104" s="39">
        <v>8690</v>
      </c>
      <c r="N104" s="40" t="s">
        <v>42</v>
      </c>
      <c r="O104" s="40" t="s">
        <v>49</v>
      </c>
      <c r="P104" s="40"/>
      <c r="Q104" s="40"/>
      <c r="R104" s="41" t="s">
        <v>217</v>
      </c>
      <c r="S104" s="40" t="s">
        <v>45</v>
      </c>
      <c r="T104" s="42"/>
      <c r="U104" s="42"/>
      <c r="V104" s="354" t="s">
        <v>219</v>
      </c>
      <c r="W104" s="355"/>
    </row>
    <row r="105" spans="1:23">
      <c r="A105" s="39" t="s">
        <v>220</v>
      </c>
      <c r="B105" s="28">
        <v>2025</v>
      </c>
      <c r="C105" s="33" t="s">
        <v>216</v>
      </c>
      <c r="D105" s="40" t="s">
        <v>221</v>
      </c>
      <c r="E105" s="39">
        <v>1480</v>
      </c>
      <c r="F105" s="19">
        <f t="shared" si="0"/>
        <v>1480</v>
      </c>
      <c r="G105" s="19">
        <f t="shared" si="1"/>
        <v>0</v>
      </c>
      <c r="H105" s="40" t="s">
        <v>39</v>
      </c>
      <c r="I105" s="357" t="s">
        <v>144</v>
      </c>
      <c r="J105" s="353"/>
      <c r="K105" s="357" t="s">
        <v>222</v>
      </c>
      <c r="L105" s="353"/>
      <c r="M105" s="40"/>
      <c r="N105" s="40"/>
      <c r="O105" s="40"/>
      <c r="P105" s="40"/>
      <c r="Q105" s="40"/>
      <c r="R105" s="41" t="s">
        <v>217</v>
      </c>
      <c r="S105" s="40"/>
      <c r="T105" s="42"/>
      <c r="U105" s="42"/>
      <c r="V105" s="42"/>
      <c r="W105" s="42" t="s">
        <v>223</v>
      </c>
    </row>
    <row r="106" spans="1:23">
      <c r="A106" s="39" t="s">
        <v>224</v>
      </c>
      <c r="B106" s="28">
        <v>2025</v>
      </c>
      <c r="C106" s="33" t="s">
        <v>216</v>
      </c>
      <c r="D106" s="40" t="s">
        <v>140</v>
      </c>
      <c r="E106" s="39">
        <v>631.59</v>
      </c>
      <c r="F106" s="19">
        <f t="shared" si="0"/>
        <v>631.59</v>
      </c>
      <c r="G106" s="19">
        <f t="shared" si="1"/>
        <v>0</v>
      </c>
      <c r="H106" s="40" t="s">
        <v>39</v>
      </c>
      <c r="I106" s="40" t="s">
        <v>144</v>
      </c>
      <c r="J106" s="40" t="s">
        <v>141</v>
      </c>
      <c r="K106" s="357" t="s">
        <v>225</v>
      </c>
      <c r="L106" s="352"/>
      <c r="M106" s="352"/>
      <c r="N106" s="353"/>
      <c r="O106" s="40"/>
      <c r="P106" s="40"/>
      <c r="Q106" s="40"/>
      <c r="R106" s="41" t="s">
        <v>217</v>
      </c>
      <c r="S106" s="40"/>
      <c r="T106" s="42"/>
      <c r="U106" s="42"/>
      <c r="V106" s="42"/>
      <c r="W106" s="42">
        <v>28000083470292</v>
      </c>
    </row>
    <row r="107" spans="1:23">
      <c r="A107" s="39" t="s">
        <v>226</v>
      </c>
      <c r="B107" s="28">
        <v>2025</v>
      </c>
      <c r="C107" s="33" t="s">
        <v>216</v>
      </c>
      <c r="D107" s="40" t="s">
        <v>134</v>
      </c>
      <c r="E107" s="39">
        <v>808.5</v>
      </c>
      <c r="F107" s="19">
        <f t="shared" si="0"/>
        <v>808.5</v>
      </c>
      <c r="G107" s="19">
        <f t="shared" si="1"/>
        <v>0</v>
      </c>
      <c r="H107" s="40" t="s">
        <v>39</v>
      </c>
      <c r="I107" s="40" t="s">
        <v>144</v>
      </c>
      <c r="J107" s="40" t="s">
        <v>227</v>
      </c>
      <c r="K107" s="40" t="s">
        <v>170</v>
      </c>
      <c r="L107" s="40"/>
      <c r="M107" s="40"/>
      <c r="N107" s="40"/>
      <c r="O107" s="40"/>
      <c r="P107" s="40"/>
      <c r="Q107" s="40"/>
      <c r="R107" s="41" t="s">
        <v>217</v>
      </c>
      <c r="S107" s="40"/>
      <c r="T107" s="42"/>
      <c r="U107" s="42"/>
      <c r="V107" s="42"/>
      <c r="W107" s="42">
        <v>61120080000159</v>
      </c>
    </row>
    <row r="108" spans="1:23">
      <c r="A108" s="39" t="s">
        <v>226</v>
      </c>
      <c r="B108" s="28">
        <v>2025</v>
      </c>
      <c r="C108" s="33" t="s">
        <v>216</v>
      </c>
      <c r="D108" s="40" t="s">
        <v>221</v>
      </c>
      <c r="E108" s="39">
        <v>980</v>
      </c>
      <c r="F108" s="19">
        <f t="shared" si="0"/>
        <v>980</v>
      </c>
      <c r="G108" s="19">
        <f t="shared" si="1"/>
        <v>0</v>
      </c>
      <c r="H108" s="40" t="s">
        <v>39</v>
      </c>
      <c r="I108" s="357" t="s">
        <v>144</v>
      </c>
      <c r="J108" s="353"/>
      <c r="K108" s="357" t="s">
        <v>228</v>
      </c>
      <c r="L108" s="353"/>
      <c r="M108" s="40"/>
      <c r="N108" s="40"/>
      <c r="O108" s="40"/>
      <c r="P108" s="40"/>
      <c r="Q108" s="40"/>
      <c r="R108" s="41" t="s">
        <v>217</v>
      </c>
      <c r="S108" s="40"/>
      <c r="T108" s="42"/>
      <c r="U108" s="42"/>
      <c r="V108" s="42"/>
      <c r="W108" s="42" t="s">
        <v>229</v>
      </c>
    </row>
    <row r="109" spans="1:23">
      <c r="A109" s="43">
        <v>45727</v>
      </c>
      <c r="B109" s="28">
        <v>2025</v>
      </c>
      <c r="C109" s="33" t="s">
        <v>216</v>
      </c>
      <c r="D109" s="40" t="s">
        <v>221</v>
      </c>
      <c r="E109" s="39">
        <v>980</v>
      </c>
      <c r="F109" s="19">
        <f t="shared" si="0"/>
        <v>980</v>
      </c>
      <c r="G109" s="19">
        <f t="shared" si="1"/>
        <v>0</v>
      </c>
      <c r="H109" s="40" t="s">
        <v>39</v>
      </c>
      <c r="I109" s="357" t="s">
        <v>144</v>
      </c>
      <c r="J109" s="353"/>
      <c r="K109" s="357" t="s">
        <v>230</v>
      </c>
      <c r="L109" s="353"/>
      <c r="M109" s="40"/>
      <c r="N109" s="40"/>
      <c r="O109" s="40"/>
      <c r="P109" s="40"/>
      <c r="Q109" s="40"/>
      <c r="R109" s="41" t="s">
        <v>217</v>
      </c>
      <c r="S109" s="40"/>
      <c r="T109" s="42"/>
      <c r="U109" s="42"/>
      <c r="V109" s="42"/>
      <c r="W109" s="42" t="s">
        <v>231</v>
      </c>
    </row>
    <row r="110" spans="1:23">
      <c r="A110" s="43">
        <v>45727</v>
      </c>
      <c r="B110" s="28">
        <v>2025</v>
      </c>
      <c r="C110" s="33" t="s">
        <v>216</v>
      </c>
      <c r="D110" s="40" t="s">
        <v>171</v>
      </c>
      <c r="E110" s="39">
        <v>-26</v>
      </c>
      <c r="F110" s="19">
        <f t="shared" si="0"/>
        <v>0</v>
      </c>
      <c r="G110" s="19">
        <f t="shared" si="1"/>
        <v>26</v>
      </c>
      <c r="H110" s="40" t="s">
        <v>39</v>
      </c>
      <c r="I110" s="40" t="s">
        <v>144</v>
      </c>
      <c r="J110" s="357" t="s">
        <v>62</v>
      </c>
      <c r="K110" s="353"/>
      <c r="L110" s="40"/>
      <c r="M110" s="39">
        <v>9884</v>
      </c>
      <c r="N110" s="40" t="s">
        <v>63</v>
      </c>
      <c r="O110" s="40" t="s">
        <v>43</v>
      </c>
      <c r="P110" s="40"/>
      <c r="Q110" s="40"/>
      <c r="R110" s="41" t="s">
        <v>217</v>
      </c>
      <c r="S110" s="40" t="s">
        <v>45</v>
      </c>
      <c r="T110" s="42"/>
      <c r="U110" s="42"/>
      <c r="V110" s="354" t="s">
        <v>218</v>
      </c>
      <c r="W110" s="355"/>
    </row>
    <row r="111" spans="1:23">
      <c r="A111" s="43">
        <v>45668</v>
      </c>
      <c r="B111" s="28">
        <v>2025</v>
      </c>
      <c r="C111" s="33" t="s">
        <v>216</v>
      </c>
      <c r="D111" s="40" t="s">
        <v>204</v>
      </c>
      <c r="E111" s="39">
        <v>-4.18</v>
      </c>
      <c r="F111" s="19">
        <f t="shared" si="0"/>
        <v>0</v>
      </c>
      <c r="G111" s="19">
        <f t="shared" si="1"/>
        <v>4.18</v>
      </c>
      <c r="H111" s="40" t="s">
        <v>39</v>
      </c>
      <c r="I111" s="40" t="s">
        <v>144</v>
      </c>
      <c r="J111" s="357" t="s">
        <v>205</v>
      </c>
      <c r="K111" s="353"/>
      <c r="L111" s="40"/>
      <c r="M111" s="39">
        <v>8690</v>
      </c>
      <c r="N111" s="40" t="s">
        <v>42</v>
      </c>
      <c r="O111" s="357" t="s">
        <v>206</v>
      </c>
      <c r="P111" s="353"/>
      <c r="Q111" s="40"/>
      <c r="R111" s="41" t="s">
        <v>217</v>
      </c>
      <c r="S111" s="40" t="s">
        <v>45</v>
      </c>
      <c r="T111" s="42"/>
      <c r="U111" s="42"/>
      <c r="V111" s="354" t="s">
        <v>219</v>
      </c>
      <c r="W111" s="355"/>
    </row>
    <row r="112" spans="1:23">
      <c r="A112" s="43">
        <v>45668</v>
      </c>
      <c r="B112" s="28">
        <v>2025</v>
      </c>
      <c r="C112" s="33" t="s">
        <v>216</v>
      </c>
      <c r="D112" s="40" t="s">
        <v>204</v>
      </c>
      <c r="E112" s="39">
        <v>-0.8</v>
      </c>
      <c r="F112" s="19">
        <f t="shared" si="0"/>
        <v>0</v>
      </c>
      <c r="G112" s="19">
        <f t="shared" si="1"/>
        <v>0.8</v>
      </c>
      <c r="H112" s="40" t="s">
        <v>39</v>
      </c>
      <c r="I112" s="40" t="s">
        <v>144</v>
      </c>
      <c r="J112" s="357" t="s">
        <v>205</v>
      </c>
      <c r="K112" s="353"/>
      <c r="L112" s="40"/>
      <c r="M112" s="39">
        <v>8690</v>
      </c>
      <c r="N112" s="40" t="s">
        <v>42</v>
      </c>
      <c r="O112" s="357" t="s">
        <v>206</v>
      </c>
      <c r="P112" s="353"/>
      <c r="Q112" s="40"/>
      <c r="R112" s="41" t="s">
        <v>217</v>
      </c>
      <c r="S112" s="40" t="s">
        <v>45</v>
      </c>
      <c r="T112" s="42"/>
      <c r="U112" s="42"/>
      <c r="V112" s="354" t="s">
        <v>219</v>
      </c>
      <c r="W112" s="355"/>
    </row>
    <row r="113" spans="1:22">
      <c r="A113" s="27" t="s">
        <v>232</v>
      </c>
      <c r="B113" s="28">
        <v>2025</v>
      </c>
      <c r="C113" s="33" t="s">
        <v>233</v>
      </c>
      <c r="D113" s="28" t="s">
        <v>38</v>
      </c>
      <c r="E113" s="44">
        <v>-11.86</v>
      </c>
      <c r="F113" s="19">
        <f t="shared" si="0"/>
        <v>0</v>
      </c>
      <c r="G113" s="19">
        <f t="shared" si="1"/>
        <v>11.86</v>
      </c>
      <c r="H113" s="28" t="s">
        <v>39</v>
      </c>
      <c r="I113" s="28" t="s">
        <v>144</v>
      </c>
      <c r="J113" s="28" t="s">
        <v>41</v>
      </c>
      <c r="K113" s="28"/>
      <c r="L113" s="28"/>
      <c r="M113" s="28">
        <v>8690</v>
      </c>
      <c r="N113" s="28" t="s">
        <v>42</v>
      </c>
      <c r="O113" s="28" t="s">
        <v>43</v>
      </c>
      <c r="P113" s="28"/>
      <c r="Q113" s="28"/>
      <c r="R113" s="28" t="s">
        <v>234</v>
      </c>
      <c r="S113" s="28" t="s">
        <v>45</v>
      </c>
      <c r="V113" s="45" t="s">
        <v>219</v>
      </c>
    </row>
    <row r="114" spans="1:22">
      <c r="A114" s="27" t="s">
        <v>235</v>
      </c>
      <c r="B114" s="28">
        <v>2025</v>
      </c>
      <c r="C114" s="33" t="s">
        <v>233</v>
      </c>
      <c r="D114" s="28" t="s">
        <v>38</v>
      </c>
      <c r="E114" s="44">
        <v>-25</v>
      </c>
      <c r="F114" s="19">
        <f t="shared" si="0"/>
        <v>0</v>
      </c>
      <c r="G114" s="19">
        <f t="shared" si="1"/>
        <v>25</v>
      </c>
      <c r="H114" s="28" t="s">
        <v>39</v>
      </c>
      <c r="I114" s="28" t="s">
        <v>144</v>
      </c>
      <c r="J114" s="28" t="s">
        <v>41</v>
      </c>
      <c r="K114" s="28"/>
      <c r="L114" s="28"/>
      <c r="M114" s="28">
        <v>8690</v>
      </c>
      <c r="N114" s="28" t="s">
        <v>42</v>
      </c>
      <c r="O114" s="28" t="s">
        <v>43</v>
      </c>
      <c r="P114" s="28"/>
      <c r="Q114" s="28"/>
      <c r="R114" s="28" t="s">
        <v>236</v>
      </c>
      <c r="S114" s="28" t="s">
        <v>45</v>
      </c>
      <c r="V114" s="45" t="s">
        <v>219</v>
      </c>
    </row>
    <row r="115" spans="1:22">
      <c r="A115" s="27" t="s">
        <v>237</v>
      </c>
      <c r="B115" s="28">
        <v>2025</v>
      </c>
      <c r="C115" s="33" t="s">
        <v>233</v>
      </c>
      <c r="D115" s="28" t="s">
        <v>221</v>
      </c>
      <c r="E115" s="44">
        <v>980</v>
      </c>
      <c r="F115" s="19">
        <f t="shared" si="0"/>
        <v>980</v>
      </c>
      <c r="G115" s="19">
        <f t="shared" si="1"/>
        <v>0</v>
      </c>
      <c r="H115" s="28" t="s">
        <v>39</v>
      </c>
      <c r="I115" s="28" t="s">
        <v>144</v>
      </c>
      <c r="J115" s="28"/>
      <c r="K115" s="28" t="s">
        <v>238</v>
      </c>
      <c r="L115" s="28"/>
      <c r="M115" s="28"/>
      <c r="N115" s="28"/>
      <c r="O115" s="28"/>
      <c r="P115" s="28"/>
      <c r="Q115" s="28"/>
      <c r="R115" s="28" t="s">
        <v>239</v>
      </c>
      <c r="S115" s="28"/>
    </row>
    <row r="116" spans="1:22">
      <c r="A116" s="27" t="s">
        <v>240</v>
      </c>
      <c r="B116" s="28">
        <v>2025</v>
      </c>
      <c r="C116" s="33" t="s">
        <v>233</v>
      </c>
      <c r="D116" s="28" t="s">
        <v>38</v>
      </c>
      <c r="E116" s="44">
        <v>-6.67</v>
      </c>
      <c r="F116" s="19">
        <f t="shared" si="0"/>
        <v>0</v>
      </c>
      <c r="G116" s="19">
        <f t="shared" si="1"/>
        <v>6.67</v>
      </c>
      <c r="H116" s="28" t="s">
        <v>39</v>
      </c>
      <c r="I116" s="28" t="s">
        <v>144</v>
      </c>
      <c r="J116" s="28" t="s">
        <v>41</v>
      </c>
      <c r="K116" s="28"/>
      <c r="L116" s="28"/>
      <c r="M116" s="28">
        <v>8690</v>
      </c>
      <c r="N116" s="28" t="s">
        <v>42</v>
      </c>
      <c r="O116" s="28" t="s">
        <v>43</v>
      </c>
      <c r="P116" s="28"/>
      <c r="Q116" s="28"/>
      <c r="R116" s="28" t="s">
        <v>241</v>
      </c>
      <c r="S116" s="28" t="s">
        <v>45</v>
      </c>
      <c r="V116" s="45" t="s">
        <v>219</v>
      </c>
    </row>
    <row r="117" spans="1:22">
      <c r="A117" s="30">
        <v>45881</v>
      </c>
      <c r="B117" s="28">
        <v>2025</v>
      </c>
      <c r="C117" s="33" t="s">
        <v>233</v>
      </c>
      <c r="D117" s="28" t="s">
        <v>140</v>
      </c>
      <c r="E117" s="44">
        <v>1327.52</v>
      </c>
      <c r="F117" s="19">
        <f t="shared" si="0"/>
        <v>1327.52</v>
      </c>
      <c r="G117" s="19">
        <f t="shared" si="1"/>
        <v>0</v>
      </c>
      <c r="H117" s="28" t="s">
        <v>39</v>
      </c>
      <c r="I117" s="28" t="s">
        <v>144</v>
      </c>
      <c r="J117" s="28" t="s">
        <v>141</v>
      </c>
      <c r="K117" s="28" t="s">
        <v>242</v>
      </c>
      <c r="L117" s="28"/>
      <c r="M117" s="28"/>
      <c r="N117" s="28"/>
      <c r="O117" s="28"/>
      <c r="P117" s="28"/>
      <c r="Q117" s="28"/>
      <c r="R117" s="31">
        <v>45881.756944444445</v>
      </c>
      <c r="S117" s="28"/>
    </row>
    <row r="118" spans="1:22">
      <c r="A118" s="30">
        <v>45881</v>
      </c>
      <c r="B118" s="28">
        <v>2025</v>
      </c>
      <c r="C118" s="33" t="s">
        <v>233</v>
      </c>
      <c r="D118" s="28" t="s">
        <v>221</v>
      </c>
      <c r="E118" s="44">
        <v>980</v>
      </c>
      <c r="F118" s="19">
        <f t="shared" si="0"/>
        <v>980</v>
      </c>
      <c r="G118" s="19">
        <f t="shared" si="1"/>
        <v>0</v>
      </c>
      <c r="H118" s="28" t="s">
        <v>39</v>
      </c>
      <c r="I118" s="28" t="s">
        <v>144</v>
      </c>
      <c r="J118" s="28"/>
      <c r="K118" s="28" t="s">
        <v>243</v>
      </c>
      <c r="L118" s="28"/>
      <c r="M118" s="28"/>
      <c r="N118" s="28"/>
      <c r="O118" s="28"/>
      <c r="P118" s="28"/>
      <c r="Q118" s="28"/>
      <c r="R118" s="31">
        <v>45881.57708333333</v>
      </c>
      <c r="S118" s="28"/>
    </row>
    <row r="119" spans="1:22">
      <c r="A119" s="30">
        <v>45728</v>
      </c>
      <c r="B119" s="28">
        <v>2025</v>
      </c>
      <c r="C119" s="33" t="s">
        <v>233</v>
      </c>
      <c r="D119" s="28" t="s">
        <v>58</v>
      </c>
      <c r="E119" s="44">
        <v>-1355.9</v>
      </c>
      <c r="F119" s="19">
        <f t="shared" si="0"/>
        <v>0</v>
      </c>
      <c r="G119" s="19">
        <f t="shared" si="1"/>
        <v>1355.9</v>
      </c>
      <c r="H119" s="28" t="s">
        <v>39</v>
      </c>
      <c r="I119" s="28" t="s">
        <v>144</v>
      </c>
      <c r="J119" s="28" t="s">
        <v>59</v>
      </c>
      <c r="K119" s="28" t="s">
        <v>244</v>
      </c>
      <c r="L119" s="28"/>
      <c r="M119" s="28"/>
      <c r="N119" s="28"/>
      <c r="O119" s="28"/>
      <c r="P119" s="28"/>
      <c r="Q119" s="28"/>
      <c r="R119" s="31">
        <v>45728.331944444442</v>
      </c>
      <c r="S119" s="28"/>
    </row>
    <row r="120" spans="1:22">
      <c r="A120" s="30">
        <v>45728</v>
      </c>
      <c r="B120" s="28">
        <v>2025</v>
      </c>
      <c r="C120" s="33" t="s">
        <v>233</v>
      </c>
      <c r="D120" s="28" t="s">
        <v>171</v>
      </c>
      <c r="E120" s="44">
        <v>-34</v>
      </c>
      <c r="F120" s="19">
        <f t="shared" si="0"/>
        <v>0</v>
      </c>
      <c r="G120" s="19">
        <f t="shared" si="1"/>
        <v>34</v>
      </c>
      <c r="H120" s="28" t="s">
        <v>39</v>
      </c>
      <c r="I120" s="28" t="s">
        <v>144</v>
      </c>
      <c r="J120" s="28" t="s">
        <v>62</v>
      </c>
      <c r="K120" s="28"/>
      <c r="L120" s="28"/>
      <c r="M120" s="28">
        <v>9884</v>
      </c>
      <c r="N120" s="28" t="s">
        <v>63</v>
      </c>
      <c r="O120" s="28" t="s">
        <v>43</v>
      </c>
      <c r="P120" s="28"/>
      <c r="Q120" s="28"/>
      <c r="R120" s="31">
        <v>45728.092361111114</v>
      </c>
      <c r="S120" s="28" t="s">
        <v>45</v>
      </c>
      <c r="V120" s="45" t="s">
        <v>218</v>
      </c>
    </row>
    <row r="121" spans="1:22">
      <c r="A121" s="30">
        <v>45669</v>
      </c>
      <c r="B121" s="28">
        <v>2025</v>
      </c>
      <c r="C121" s="33" t="s">
        <v>233</v>
      </c>
      <c r="D121" s="28" t="s">
        <v>204</v>
      </c>
      <c r="E121" s="44">
        <v>-0.01</v>
      </c>
      <c r="F121" s="19">
        <f t="shared" si="0"/>
        <v>0</v>
      </c>
      <c r="G121" s="19">
        <f t="shared" si="1"/>
        <v>0.01</v>
      </c>
      <c r="H121" s="28" t="s">
        <v>39</v>
      </c>
      <c r="I121" s="28" t="s">
        <v>144</v>
      </c>
      <c r="J121" s="28" t="s">
        <v>205</v>
      </c>
      <c r="K121" s="28"/>
      <c r="L121" s="28"/>
      <c r="M121" s="28">
        <v>8690</v>
      </c>
      <c r="N121" s="28" t="s">
        <v>42</v>
      </c>
      <c r="O121" s="28" t="s">
        <v>206</v>
      </c>
      <c r="P121" s="28"/>
      <c r="Q121" s="28"/>
      <c r="R121" s="31">
        <v>45669.220138888886</v>
      </c>
      <c r="S121" s="28" t="s">
        <v>45</v>
      </c>
      <c r="V121" s="45" t="s">
        <v>219</v>
      </c>
    </row>
    <row r="122" spans="1:22">
      <c r="A122" s="30">
        <v>45669</v>
      </c>
      <c r="B122" s="28">
        <v>2025</v>
      </c>
      <c r="C122" s="33" t="s">
        <v>233</v>
      </c>
      <c r="D122" s="28" t="s">
        <v>204</v>
      </c>
      <c r="E122" s="44">
        <v>-3.36</v>
      </c>
      <c r="F122" s="19">
        <f t="shared" si="0"/>
        <v>0</v>
      </c>
      <c r="G122" s="19">
        <f t="shared" si="1"/>
        <v>3.36</v>
      </c>
      <c r="H122" s="28" t="s">
        <v>39</v>
      </c>
      <c r="I122" s="28" t="s">
        <v>144</v>
      </c>
      <c r="J122" s="28" t="s">
        <v>205</v>
      </c>
      <c r="K122" s="28"/>
      <c r="L122" s="28"/>
      <c r="M122" s="28">
        <v>8690</v>
      </c>
      <c r="N122" s="28" t="s">
        <v>42</v>
      </c>
      <c r="O122" s="28" t="s">
        <v>206</v>
      </c>
      <c r="P122" s="28"/>
      <c r="Q122" s="28"/>
      <c r="R122" s="31">
        <v>45669.136111111111</v>
      </c>
      <c r="S122" s="28" t="s">
        <v>45</v>
      </c>
      <c r="V122" s="45" t="s">
        <v>219</v>
      </c>
    </row>
    <row r="123" spans="1:22">
      <c r="A123" s="30">
        <v>45669</v>
      </c>
      <c r="B123" s="28">
        <v>2025</v>
      </c>
      <c r="C123" s="33" t="s">
        <v>233</v>
      </c>
      <c r="D123" s="28" t="s">
        <v>204</v>
      </c>
      <c r="E123" s="44">
        <v>-1.46</v>
      </c>
      <c r="F123" s="19">
        <f t="shared" si="0"/>
        <v>0</v>
      </c>
      <c r="G123" s="19">
        <f t="shared" si="1"/>
        <v>1.46</v>
      </c>
      <c r="H123" s="28" t="s">
        <v>39</v>
      </c>
      <c r="I123" s="28" t="s">
        <v>144</v>
      </c>
      <c r="J123" s="28" t="s">
        <v>205</v>
      </c>
      <c r="K123" s="28"/>
      <c r="L123" s="28"/>
      <c r="M123" s="28">
        <v>8690</v>
      </c>
      <c r="N123" s="28" t="s">
        <v>42</v>
      </c>
      <c r="O123" s="28" t="s">
        <v>206</v>
      </c>
      <c r="P123" s="28"/>
      <c r="Q123" s="28"/>
      <c r="R123" s="31">
        <v>45669.134722222225</v>
      </c>
      <c r="S123" s="28" t="s">
        <v>45</v>
      </c>
      <c r="V123" s="45" t="s">
        <v>219</v>
      </c>
    </row>
    <row r="124" spans="1:22">
      <c r="A124" s="12"/>
      <c r="C124" s="46"/>
    </row>
    <row r="125" spans="1:22">
      <c r="A125" s="12"/>
      <c r="C125" s="46"/>
    </row>
    <row r="126" spans="1:22">
      <c r="A126" s="12"/>
      <c r="C126" s="46"/>
    </row>
    <row r="127" spans="1:22">
      <c r="A127" s="12"/>
      <c r="C127" s="46"/>
    </row>
    <row r="128" spans="1:22">
      <c r="A128" s="12"/>
      <c r="C128" s="46"/>
    </row>
    <row r="129" spans="1:3">
      <c r="A129" s="12"/>
      <c r="C129" s="46"/>
    </row>
    <row r="130" spans="1:3">
      <c r="A130" s="12"/>
      <c r="C130" s="46"/>
    </row>
    <row r="131" spans="1:3">
      <c r="A131" s="12"/>
      <c r="C131" s="46"/>
    </row>
    <row r="132" spans="1:3">
      <c r="A132" s="12"/>
      <c r="C132" s="46"/>
    </row>
    <row r="133" spans="1:3">
      <c r="A133" s="12"/>
      <c r="C133" s="46"/>
    </row>
    <row r="134" spans="1:3">
      <c r="A134" s="12"/>
      <c r="C134" s="46"/>
    </row>
    <row r="135" spans="1:3">
      <c r="A135" s="12"/>
      <c r="C135" s="46"/>
    </row>
    <row r="136" spans="1:3">
      <c r="A136" s="12"/>
      <c r="C136" s="46"/>
    </row>
    <row r="137" spans="1:3">
      <c r="A137" s="12"/>
      <c r="C137" s="46"/>
    </row>
    <row r="138" spans="1:3">
      <c r="A138" s="12"/>
      <c r="C138" s="46"/>
    </row>
    <row r="139" spans="1:3">
      <c r="A139" s="12"/>
      <c r="C139" s="46"/>
    </row>
    <row r="140" spans="1:3">
      <c r="A140" s="12"/>
      <c r="C140" s="46"/>
    </row>
    <row r="141" spans="1:3">
      <c r="A141" s="12"/>
      <c r="C141" s="46"/>
    </row>
    <row r="142" spans="1:3">
      <c r="A142" s="12"/>
      <c r="C142" s="46"/>
    </row>
    <row r="143" spans="1:3">
      <c r="A143" s="12"/>
      <c r="C143" s="46"/>
    </row>
    <row r="144" spans="1:3">
      <c r="A144" s="12"/>
      <c r="C144" s="46"/>
    </row>
    <row r="145" spans="1:3">
      <c r="A145" s="12"/>
      <c r="C145" s="46"/>
    </row>
    <row r="146" spans="1:3">
      <c r="A146" s="12"/>
      <c r="C146" s="46"/>
    </row>
    <row r="147" spans="1:3">
      <c r="A147" s="12"/>
      <c r="C147" s="46"/>
    </row>
    <row r="148" spans="1:3">
      <c r="A148" s="12"/>
      <c r="C148" s="46"/>
    </row>
    <row r="149" spans="1:3">
      <c r="A149" s="12"/>
      <c r="C149" s="46"/>
    </row>
    <row r="150" spans="1:3">
      <c r="A150" s="12"/>
      <c r="C150" s="46"/>
    </row>
    <row r="151" spans="1:3">
      <c r="A151" s="12"/>
      <c r="C151" s="46"/>
    </row>
    <row r="152" spans="1:3">
      <c r="A152" s="12"/>
      <c r="C152" s="46"/>
    </row>
    <row r="153" spans="1:3">
      <c r="A153" s="12"/>
      <c r="C153" s="46"/>
    </row>
    <row r="154" spans="1:3">
      <c r="A154" s="12"/>
      <c r="C154" s="46"/>
    </row>
    <row r="155" spans="1:3">
      <c r="A155" s="12"/>
      <c r="C155" s="46"/>
    </row>
    <row r="156" spans="1:3">
      <c r="A156" s="12"/>
      <c r="C156" s="46"/>
    </row>
    <row r="157" spans="1:3">
      <c r="A157" s="12"/>
      <c r="C157" s="46"/>
    </row>
    <row r="158" spans="1:3">
      <c r="A158" s="12"/>
      <c r="C158" s="46"/>
    </row>
    <row r="159" spans="1:3">
      <c r="A159" s="12"/>
      <c r="C159" s="46"/>
    </row>
    <row r="160" spans="1:3">
      <c r="A160" s="12"/>
      <c r="C160" s="46"/>
    </row>
    <row r="161" spans="1:3">
      <c r="A161" s="12"/>
      <c r="C161" s="46"/>
    </row>
    <row r="162" spans="1:3">
      <c r="A162" s="12"/>
      <c r="C162" s="46"/>
    </row>
    <row r="163" spans="1:3">
      <c r="A163" s="12"/>
      <c r="C163" s="46"/>
    </row>
    <row r="164" spans="1:3">
      <c r="A164" s="12"/>
      <c r="C164" s="46"/>
    </row>
    <row r="165" spans="1:3">
      <c r="A165" s="12"/>
      <c r="C165" s="46"/>
    </row>
    <row r="166" spans="1:3">
      <c r="A166" s="12"/>
      <c r="C166" s="46"/>
    </row>
    <row r="167" spans="1:3">
      <c r="A167" s="12"/>
      <c r="C167" s="46"/>
    </row>
    <row r="168" spans="1:3">
      <c r="A168" s="12"/>
      <c r="C168" s="46"/>
    </row>
    <row r="169" spans="1:3">
      <c r="A169" s="12"/>
      <c r="C169" s="46"/>
    </row>
    <row r="170" spans="1:3">
      <c r="A170" s="12"/>
      <c r="C170" s="46"/>
    </row>
    <row r="171" spans="1:3">
      <c r="A171" s="12"/>
      <c r="C171" s="46"/>
    </row>
    <row r="172" spans="1:3">
      <c r="A172" s="12"/>
      <c r="C172" s="46"/>
    </row>
    <row r="173" spans="1:3">
      <c r="A173" s="12"/>
      <c r="C173" s="46"/>
    </row>
    <row r="174" spans="1:3">
      <c r="A174" s="12"/>
      <c r="C174" s="46"/>
    </row>
    <row r="175" spans="1:3">
      <c r="A175" s="12"/>
      <c r="C175" s="46"/>
    </row>
    <row r="176" spans="1:3">
      <c r="A176" s="12"/>
      <c r="C176" s="46"/>
    </row>
    <row r="177" spans="1:3">
      <c r="A177" s="12"/>
      <c r="C177" s="46"/>
    </row>
    <row r="178" spans="1:3">
      <c r="A178" s="12"/>
      <c r="C178" s="46"/>
    </row>
    <row r="179" spans="1:3">
      <c r="A179" s="12"/>
      <c r="C179" s="46"/>
    </row>
    <row r="180" spans="1:3">
      <c r="A180" s="12"/>
      <c r="C180" s="46"/>
    </row>
    <row r="181" spans="1:3">
      <c r="A181" s="12"/>
      <c r="C181" s="46"/>
    </row>
    <row r="182" spans="1:3">
      <c r="A182" s="12"/>
      <c r="C182" s="46"/>
    </row>
    <row r="183" spans="1:3">
      <c r="A183" s="12"/>
      <c r="C183" s="46"/>
    </row>
    <row r="184" spans="1:3">
      <c r="A184" s="12"/>
      <c r="C184" s="46"/>
    </row>
    <row r="185" spans="1:3">
      <c r="A185" s="12"/>
      <c r="C185" s="46"/>
    </row>
    <row r="186" spans="1:3">
      <c r="A186" s="12"/>
      <c r="C186" s="46"/>
    </row>
    <row r="187" spans="1:3">
      <c r="A187" s="12"/>
      <c r="C187" s="46"/>
    </row>
    <row r="188" spans="1:3">
      <c r="A188" s="12"/>
      <c r="C188" s="46"/>
    </row>
    <row r="189" spans="1:3">
      <c r="A189" s="12"/>
      <c r="C189" s="46"/>
    </row>
    <row r="190" spans="1:3">
      <c r="A190" s="12"/>
      <c r="C190" s="46"/>
    </row>
    <row r="191" spans="1:3">
      <c r="A191" s="12"/>
      <c r="C191" s="46"/>
    </row>
    <row r="192" spans="1:3">
      <c r="A192" s="12"/>
      <c r="C192" s="46"/>
    </row>
    <row r="193" spans="1:3">
      <c r="A193" s="12"/>
      <c r="C193" s="46"/>
    </row>
    <row r="194" spans="1:3">
      <c r="A194" s="12"/>
      <c r="C194" s="46"/>
    </row>
    <row r="195" spans="1:3">
      <c r="A195" s="12"/>
      <c r="C195" s="46"/>
    </row>
    <row r="196" spans="1:3">
      <c r="A196" s="12"/>
      <c r="C196" s="46"/>
    </row>
    <row r="197" spans="1:3">
      <c r="A197" s="12"/>
      <c r="C197" s="46"/>
    </row>
    <row r="198" spans="1:3">
      <c r="A198" s="12"/>
      <c r="C198" s="46"/>
    </row>
    <row r="199" spans="1:3">
      <c r="A199" s="12"/>
      <c r="C199" s="46"/>
    </row>
    <row r="200" spans="1:3">
      <c r="A200" s="12"/>
      <c r="C200" s="46"/>
    </row>
    <row r="201" spans="1:3">
      <c r="A201" s="12"/>
      <c r="C201" s="46"/>
    </row>
    <row r="202" spans="1:3">
      <c r="A202" s="12"/>
      <c r="C202" s="46"/>
    </row>
    <row r="203" spans="1:3">
      <c r="A203" s="12"/>
      <c r="C203" s="46"/>
    </row>
    <row r="204" spans="1:3">
      <c r="A204" s="12"/>
      <c r="C204" s="46"/>
    </row>
    <row r="205" spans="1:3">
      <c r="A205" s="12"/>
      <c r="C205" s="46"/>
    </row>
    <row r="206" spans="1:3">
      <c r="A206" s="12"/>
      <c r="C206" s="46"/>
    </row>
    <row r="207" spans="1:3">
      <c r="A207" s="12"/>
      <c r="C207" s="46"/>
    </row>
    <row r="208" spans="1:3">
      <c r="A208" s="12"/>
      <c r="C208" s="46"/>
    </row>
    <row r="209" spans="1:3">
      <c r="A209" s="12"/>
      <c r="C209" s="46"/>
    </row>
    <row r="210" spans="1:3">
      <c r="A210" s="12"/>
      <c r="C210" s="46"/>
    </row>
    <row r="211" spans="1:3">
      <c r="A211" s="12"/>
      <c r="C211" s="46"/>
    </row>
    <row r="212" spans="1:3">
      <c r="A212" s="12"/>
      <c r="C212" s="46"/>
    </row>
    <row r="213" spans="1:3">
      <c r="A213" s="12"/>
      <c r="C213" s="46"/>
    </row>
    <row r="214" spans="1:3">
      <c r="A214" s="12"/>
      <c r="C214" s="46"/>
    </row>
    <row r="215" spans="1:3">
      <c r="A215" s="12"/>
      <c r="C215" s="46"/>
    </row>
    <row r="216" spans="1:3">
      <c r="A216" s="12"/>
      <c r="C216" s="46"/>
    </row>
    <row r="217" spans="1:3">
      <c r="A217" s="12"/>
      <c r="C217" s="46"/>
    </row>
    <row r="218" spans="1:3">
      <c r="A218" s="12"/>
      <c r="C218" s="46"/>
    </row>
    <row r="219" spans="1:3">
      <c r="A219" s="12"/>
      <c r="C219" s="46"/>
    </row>
    <row r="220" spans="1:3">
      <c r="A220" s="12"/>
      <c r="C220" s="46"/>
    </row>
    <row r="221" spans="1:3">
      <c r="A221" s="12"/>
      <c r="C221" s="46"/>
    </row>
    <row r="222" spans="1:3">
      <c r="A222" s="12"/>
      <c r="C222" s="46"/>
    </row>
    <row r="223" spans="1:3">
      <c r="A223" s="12"/>
      <c r="C223" s="46"/>
    </row>
    <row r="224" spans="1:3">
      <c r="A224" s="12"/>
      <c r="C224" s="46"/>
    </row>
    <row r="225" spans="1:3">
      <c r="A225" s="12"/>
      <c r="C225" s="46"/>
    </row>
    <row r="226" spans="1:3">
      <c r="A226" s="12"/>
      <c r="C226" s="46"/>
    </row>
    <row r="227" spans="1:3">
      <c r="A227" s="12"/>
      <c r="C227" s="46"/>
    </row>
    <row r="228" spans="1:3">
      <c r="A228" s="12"/>
      <c r="C228" s="46"/>
    </row>
    <row r="229" spans="1:3">
      <c r="A229" s="12"/>
      <c r="C229" s="46"/>
    </row>
    <row r="230" spans="1:3">
      <c r="A230" s="12"/>
      <c r="C230" s="46"/>
    </row>
    <row r="231" spans="1:3">
      <c r="A231" s="12"/>
      <c r="C231" s="46"/>
    </row>
    <row r="232" spans="1:3">
      <c r="A232" s="12"/>
      <c r="C232" s="46"/>
    </row>
    <row r="233" spans="1:3">
      <c r="A233" s="12"/>
      <c r="C233" s="46"/>
    </row>
    <row r="234" spans="1:3">
      <c r="A234" s="12"/>
      <c r="C234" s="46"/>
    </row>
    <row r="235" spans="1:3">
      <c r="A235" s="12"/>
      <c r="C235" s="46"/>
    </row>
    <row r="236" spans="1:3">
      <c r="A236" s="12"/>
      <c r="C236" s="46"/>
    </row>
    <row r="237" spans="1:3">
      <c r="A237" s="12"/>
      <c r="C237" s="46"/>
    </row>
    <row r="238" spans="1:3">
      <c r="A238" s="12"/>
      <c r="C238" s="46"/>
    </row>
    <row r="239" spans="1:3">
      <c r="A239" s="12"/>
      <c r="C239" s="46"/>
    </row>
    <row r="240" spans="1:3">
      <c r="A240" s="12"/>
      <c r="C240" s="46"/>
    </row>
    <row r="241" spans="1:3">
      <c r="A241" s="12"/>
      <c r="C241" s="46"/>
    </row>
    <row r="242" spans="1:3">
      <c r="A242" s="12"/>
      <c r="C242" s="46"/>
    </row>
    <row r="243" spans="1:3">
      <c r="A243" s="12"/>
      <c r="C243" s="46"/>
    </row>
    <row r="244" spans="1:3">
      <c r="A244" s="12"/>
      <c r="C244" s="46"/>
    </row>
    <row r="245" spans="1:3">
      <c r="A245" s="12"/>
      <c r="C245" s="46"/>
    </row>
    <row r="246" spans="1:3">
      <c r="A246" s="12"/>
      <c r="C246" s="46"/>
    </row>
    <row r="247" spans="1:3">
      <c r="A247" s="12"/>
      <c r="C247" s="46"/>
    </row>
    <row r="248" spans="1:3">
      <c r="A248" s="12"/>
      <c r="C248" s="46"/>
    </row>
    <row r="249" spans="1:3">
      <c r="A249" s="12"/>
      <c r="C249" s="46"/>
    </row>
    <row r="250" spans="1:3">
      <c r="A250" s="12"/>
      <c r="C250" s="46"/>
    </row>
    <row r="251" spans="1:3">
      <c r="A251" s="12"/>
      <c r="C251" s="46"/>
    </row>
    <row r="252" spans="1:3">
      <c r="A252" s="12"/>
      <c r="C252" s="46"/>
    </row>
    <row r="253" spans="1:3">
      <c r="A253" s="12"/>
      <c r="C253" s="46"/>
    </row>
    <row r="254" spans="1:3">
      <c r="A254" s="12"/>
      <c r="C254" s="46"/>
    </row>
    <row r="255" spans="1:3">
      <c r="A255" s="12"/>
      <c r="C255" s="46"/>
    </row>
    <row r="256" spans="1:3">
      <c r="A256" s="12"/>
      <c r="C256" s="46"/>
    </row>
    <row r="257" spans="1:3">
      <c r="A257" s="12"/>
      <c r="C257" s="46"/>
    </row>
    <row r="258" spans="1:3">
      <c r="A258" s="12"/>
      <c r="C258" s="46"/>
    </row>
    <row r="259" spans="1:3">
      <c r="A259" s="12"/>
      <c r="C259" s="46"/>
    </row>
    <row r="260" spans="1:3">
      <c r="A260" s="12"/>
      <c r="C260" s="46"/>
    </row>
    <row r="261" spans="1:3">
      <c r="A261" s="12"/>
      <c r="C261" s="46"/>
    </row>
    <row r="262" spans="1:3">
      <c r="A262" s="12"/>
      <c r="C262" s="46"/>
    </row>
    <row r="263" spans="1:3">
      <c r="A263" s="12"/>
      <c r="C263" s="46"/>
    </row>
    <row r="264" spans="1:3">
      <c r="A264" s="12"/>
      <c r="C264" s="46"/>
    </row>
    <row r="265" spans="1:3">
      <c r="A265" s="12"/>
      <c r="C265" s="46"/>
    </row>
    <row r="266" spans="1:3">
      <c r="A266" s="12"/>
      <c r="C266" s="46"/>
    </row>
    <row r="267" spans="1:3">
      <c r="A267" s="12"/>
      <c r="C267" s="46"/>
    </row>
    <row r="268" spans="1:3">
      <c r="A268" s="12"/>
      <c r="C268" s="46"/>
    </row>
    <row r="269" spans="1:3">
      <c r="A269" s="12"/>
      <c r="C269" s="46"/>
    </row>
    <row r="270" spans="1:3">
      <c r="A270" s="12"/>
      <c r="C270" s="46"/>
    </row>
    <row r="271" spans="1:3">
      <c r="A271" s="12"/>
      <c r="C271" s="46"/>
    </row>
    <row r="272" spans="1:3">
      <c r="A272" s="12"/>
      <c r="C272" s="46"/>
    </row>
    <row r="273" spans="1:3">
      <c r="A273" s="12"/>
      <c r="C273" s="46"/>
    </row>
    <row r="274" spans="1:3">
      <c r="A274" s="12"/>
      <c r="C274" s="46"/>
    </row>
    <row r="275" spans="1:3">
      <c r="A275" s="12"/>
      <c r="C275" s="46"/>
    </row>
    <row r="276" spans="1:3">
      <c r="A276" s="12"/>
      <c r="C276" s="46"/>
    </row>
    <row r="277" spans="1:3">
      <c r="A277" s="12"/>
      <c r="C277" s="46"/>
    </row>
    <row r="278" spans="1:3">
      <c r="A278" s="12"/>
      <c r="C278" s="46"/>
    </row>
    <row r="279" spans="1:3">
      <c r="A279" s="12"/>
      <c r="C279" s="46"/>
    </row>
    <row r="280" spans="1:3">
      <c r="A280" s="12"/>
      <c r="C280" s="46"/>
    </row>
    <row r="281" spans="1:3">
      <c r="A281" s="12"/>
      <c r="C281" s="46"/>
    </row>
    <row r="282" spans="1:3">
      <c r="A282" s="12"/>
      <c r="C282" s="46"/>
    </row>
    <row r="283" spans="1:3">
      <c r="A283" s="12"/>
      <c r="C283" s="46"/>
    </row>
    <row r="284" spans="1:3">
      <c r="A284" s="12"/>
      <c r="C284" s="46"/>
    </row>
    <row r="285" spans="1:3">
      <c r="A285" s="12"/>
      <c r="C285" s="46"/>
    </row>
    <row r="286" spans="1:3">
      <c r="A286" s="12"/>
      <c r="C286" s="46"/>
    </row>
    <row r="287" spans="1:3">
      <c r="A287" s="12"/>
      <c r="C287" s="46"/>
    </row>
    <row r="288" spans="1:3">
      <c r="A288" s="12"/>
      <c r="C288" s="46"/>
    </row>
    <row r="289" spans="1:3">
      <c r="A289" s="12"/>
      <c r="C289" s="46"/>
    </row>
    <row r="290" spans="1:3">
      <c r="A290" s="12"/>
      <c r="C290" s="46"/>
    </row>
    <row r="291" spans="1:3">
      <c r="A291" s="12"/>
      <c r="C291" s="46"/>
    </row>
    <row r="292" spans="1:3">
      <c r="A292" s="12"/>
      <c r="C292" s="46"/>
    </row>
    <row r="293" spans="1:3">
      <c r="A293" s="12"/>
      <c r="C293" s="46"/>
    </row>
    <row r="294" spans="1:3">
      <c r="A294" s="12"/>
      <c r="C294" s="46"/>
    </row>
    <row r="295" spans="1:3">
      <c r="A295" s="12"/>
      <c r="C295" s="46"/>
    </row>
    <row r="296" spans="1:3">
      <c r="A296" s="12"/>
      <c r="C296" s="46"/>
    </row>
    <row r="297" spans="1:3">
      <c r="A297" s="12"/>
      <c r="C297" s="46"/>
    </row>
    <row r="298" spans="1:3">
      <c r="A298" s="12"/>
      <c r="C298" s="46"/>
    </row>
    <row r="299" spans="1:3">
      <c r="A299" s="12"/>
      <c r="C299" s="46"/>
    </row>
    <row r="300" spans="1:3">
      <c r="A300" s="12"/>
      <c r="C300" s="46"/>
    </row>
    <row r="301" spans="1:3">
      <c r="A301" s="12"/>
      <c r="C301" s="46"/>
    </row>
    <row r="302" spans="1:3">
      <c r="A302" s="12"/>
      <c r="C302" s="46"/>
    </row>
    <row r="303" spans="1:3">
      <c r="A303" s="12"/>
      <c r="C303" s="46"/>
    </row>
    <row r="304" spans="1:3">
      <c r="A304" s="12"/>
      <c r="C304" s="46"/>
    </row>
    <row r="305" spans="1:3">
      <c r="A305" s="12"/>
      <c r="C305" s="46"/>
    </row>
    <row r="306" spans="1:3">
      <c r="A306" s="12"/>
      <c r="C306" s="46"/>
    </row>
    <row r="307" spans="1:3">
      <c r="A307" s="12"/>
      <c r="C307" s="46"/>
    </row>
    <row r="308" spans="1:3">
      <c r="A308" s="12"/>
      <c r="C308" s="46"/>
    </row>
    <row r="309" spans="1:3">
      <c r="A309" s="12"/>
      <c r="C309" s="46"/>
    </row>
    <row r="310" spans="1:3">
      <c r="A310" s="12"/>
      <c r="C310" s="46"/>
    </row>
    <row r="311" spans="1:3">
      <c r="A311" s="12"/>
      <c r="C311" s="46"/>
    </row>
    <row r="312" spans="1:3">
      <c r="A312" s="12"/>
      <c r="C312" s="46"/>
    </row>
    <row r="313" spans="1:3">
      <c r="A313" s="12"/>
      <c r="C313" s="46"/>
    </row>
    <row r="314" spans="1:3">
      <c r="A314" s="12"/>
      <c r="C314" s="46"/>
    </row>
    <row r="315" spans="1:3">
      <c r="A315" s="12"/>
      <c r="C315" s="46"/>
    </row>
    <row r="316" spans="1:3">
      <c r="A316" s="12"/>
      <c r="C316" s="46"/>
    </row>
    <row r="317" spans="1:3">
      <c r="A317" s="12"/>
      <c r="C317" s="46"/>
    </row>
    <row r="318" spans="1:3">
      <c r="A318" s="12"/>
      <c r="C318" s="46"/>
    </row>
    <row r="319" spans="1:3">
      <c r="A319" s="12"/>
      <c r="C319" s="46"/>
    </row>
    <row r="320" spans="1:3">
      <c r="A320" s="12"/>
      <c r="C320" s="46"/>
    </row>
    <row r="321" spans="1:3">
      <c r="A321" s="12"/>
      <c r="C321" s="46"/>
    </row>
    <row r="322" spans="1:3">
      <c r="A322" s="12"/>
      <c r="C322" s="46"/>
    </row>
    <row r="323" spans="1:3">
      <c r="A323" s="12"/>
      <c r="C323" s="46"/>
    </row>
    <row r="324" spans="1:3">
      <c r="A324" s="12"/>
      <c r="C324" s="46"/>
    </row>
    <row r="325" spans="1:3">
      <c r="A325" s="12"/>
      <c r="C325" s="46"/>
    </row>
    <row r="326" spans="1:3">
      <c r="A326" s="12"/>
      <c r="C326" s="46"/>
    </row>
    <row r="327" spans="1:3">
      <c r="A327" s="12"/>
      <c r="C327" s="46"/>
    </row>
    <row r="328" spans="1:3">
      <c r="A328" s="12"/>
      <c r="C328" s="46"/>
    </row>
    <row r="329" spans="1:3">
      <c r="A329" s="12"/>
      <c r="C329" s="46"/>
    </row>
    <row r="330" spans="1:3">
      <c r="A330" s="12"/>
      <c r="C330" s="46"/>
    </row>
    <row r="331" spans="1:3">
      <c r="A331" s="12"/>
      <c r="C331" s="46"/>
    </row>
    <row r="332" spans="1:3">
      <c r="A332" s="12"/>
      <c r="C332" s="46"/>
    </row>
    <row r="333" spans="1:3">
      <c r="A333" s="12"/>
      <c r="C333" s="46"/>
    </row>
    <row r="334" spans="1:3">
      <c r="A334" s="12"/>
      <c r="C334" s="46"/>
    </row>
    <row r="335" spans="1:3">
      <c r="A335" s="12"/>
      <c r="C335" s="46"/>
    </row>
    <row r="336" spans="1:3">
      <c r="A336" s="12"/>
      <c r="C336" s="46"/>
    </row>
    <row r="337" spans="1:3">
      <c r="A337" s="12"/>
      <c r="C337" s="46"/>
    </row>
    <row r="338" spans="1:3">
      <c r="A338" s="12"/>
      <c r="C338" s="46"/>
    </row>
    <row r="339" spans="1:3">
      <c r="A339" s="12"/>
      <c r="C339" s="46"/>
    </row>
    <row r="340" spans="1:3">
      <c r="A340" s="12"/>
      <c r="C340" s="46"/>
    </row>
    <row r="341" spans="1:3">
      <c r="A341" s="12"/>
      <c r="C341" s="46"/>
    </row>
    <row r="342" spans="1:3">
      <c r="A342" s="12"/>
      <c r="C342" s="46"/>
    </row>
    <row r="343" spans="1:3">
      <c r="A343" s="12"/>
      <c r="C343" s="46"/>
    </row>
    <row r="344" spans="1:3">
      <c r="A344" s="12"/>
      <c r="C344" s="46"/>
    </row>
    <row r="345" spans="1:3">
      <c r="A345" s="12"/>
      <c r="C345" s="46"/>
    </row>
    <row r="346" spans="1:3">
      <c r="A346" s="12"/>
      <c r="C346" s="46"/>
    </row>
    <row r="347" spans="1:3">
      <c r="A347" s="12"/>
      <c r="C347" s="46"/>
    </row>
    <row r="348" spans="1:3">
      <c r="A348" s="12"/>
      <c r="C348" s="46"/>
    </row>
    <row r="349" spans="1:3">
      <c r="A349" s="12"/>
      <c r="C349" s="46"/>
    </row>
    <row r="350" spans="1:3">
      <c r="A350" s="12"/>
      <c r="C350" s="46"/>
    </row>
    <row r="351" spans="1:3">
      <c r="A351" s="12"/>
      <c r="C351" s="46"/>
    </row>
    <row r="352" spans="1:3">
      <c r="A352" s="12"/>
      <c r="C352" s="46"/>
    </row>
    <row r="353" spans="1:3">
      <c r="A353" s="12"/>
      <c r="C353" s="46"/>
    </row>
    <row r="354" spans="1:3">
      <c r="A354" s="12"/>
      <c r="C354" s="46"/>
    </row>
    <row r="355" spans="1:3">
      <c r="A355" s="12"/>
      <c r="C355" s="46"/>
    </row>
    <row r="356" spans="1:3">
      <c r="A356" s="12"/>
      <c r="C356" s="46"/>
    </row>
    <row r="357" spans="1:3">
      <c r="A357" s="12"/>
      <c r="C357" s="46"/>
    </row>
    <row r="358" spans="1:3">
      <c r="A358" s="12"/>
      <c r="C358" s="46"/>
    </row>
    <row r="359" spans="1:3">
      <c r="A359" s="12"/>
      <c r="C359" s="46"/>
    </row>
    <row r="360" spans="1:3">
      <c r="A360" s="12"/>
      <c r="C360" s="46"/>
    </row>
    <row r="361" spans="1:3">
      <c r="A361" s="12"/>
      <c r="C361" s="46"/>
    </row>
    <row r="362" spans="1:3">
      <c r="A362" s="12"/>
      <c r="C362" s="46"/>
    </row>
    <row r="363" spans="1:3">
      <c r="A363" s="12"/>
      <c r="C363" s="46"/>
    </row>
    <row r="364" spans="1:3">
      <c r="A364" s="12"/>
      <c r="C364" s="46"/>
    </row>
    <row r="365" spans="1:3">
      <c r="A365" s="12"/>
      <c r="C365" s="46"/>
    </row>
    <row r="366" spans="1:3">
      <c r="A366" s="12"/>
      <c r="C366" s="46"/>
    </row>
    <row r="367" spans="1:3">
      <c r="A367" s="12"/>
      <c r="C367" s="46"/>
    </row>
    <row r="368" spans="1:3">
      <c r="A368" s="12"/>
      <c r="C368" s="46"/>
    </row>
    <row r="369" spans="1:3">
      <c r="A369" s="12"/>
      <c r="C369" s="46"/>
    </row>
    <row r="370" spans="1:3">
      <c r="A370" s="12"/>
      <c r="C370" s="46"/>
    </row>
    <row r="371" spans="1:3">
      <c r="A371" s="12"/>
      <c r="C371" s="46"/>
    </row>
    <row r="372" spans="1:3">
      <c r="A372" s="12"/>
      <c r="C372" s="46"/>
    </row>
    <row r="373" spans="1:3">
      <c r="A373" s="12"/>
      <c r="C373" s="46"/>
    </row>
    <row r="374" spans="1:3">
      <c r="A374" s="12"/>
      <c r="C374" s="46"/>
    </row>
    <row r="375" spans="1:3">
      <c r="A375" s="12"/>
      <c r="C375" s="46"/>
    </row>
    <row r="376" spans="1:3">
      <c r="A376" s="12"/>
      <c r="C376" s="46"/>
    </row>
    <row r="377" spans="1:3">
      <c r="A377" s="12"/>
      <c r="C377" s="46"/>
    </row>
    <row r="378" spans="1:3">
      <c r="A378" s="12"/>
      <c r="C378" s="46"/>
    </row>
    <row r="379" spans="1:3">
      <c r="A379" s="12"/>
      <c r="C379" s="46"/>
    </row>
    <row r="380" spans="1:3">
      <c r="A380" s="12"/>
      <c r="C380" s="46"/>
    </row>
    <row r="381" spans="1:3">
      <c r="A381" s="12"/>
      <c r="C381" s="46"/>
    </row>
    <row r="382" spans="1:3">
      <c r="A382" s="12"/>
      <c r="C382" s="46"/>
    </row>
    <row r="383" spans="1:3">
      <c r="A383" s="12"/>
      <c r="C383" s="46"/>
    </row>
    <row r="384" spans="1:3">
      <c r="A384" s="12"/>
      <c r="C384" s="46"/>
    </row>
    <row r="385" spans="1:3">
      <c r="A385" s="12"/>
      <c r="C385" s="46"/>
    </row>
    <row r="386" spans="1:3">
      <c r="A386" s="12"/>
      <c r="C386" s="46"/>
    </row>
    <row r="387" spans="1:3">
      <c r="A387" s="12"/>
      <c r="C387" s="46"/>
    </row>
    <row r="388" spans="1:3">
      <c r="A388" s="12"/>
      <c r="C388" s="46"/>
    </row>
    <row r="389" spans="1:3">
      <c r="A389" s="12"/>
      <c r="C389" s="46"/>
    </row>
    <row r="390" spans="1:3">
      <c r="A390" s="12"/>
      <c r="C390" s="46"/>
    </row>
    <row r="391" spans="1:3">
      <c r="A391" s="12"/>
      <c r="C391" s="46"/>
    </row>
    <row r="392" spans="1:3">
      <c r="A392" s="12"/>
      <c r="C392" s="46"/>
    </row>
    <row r="393" spans="1:3">
      <c r="A393" s="12"/>
      <c r="C393" s="46"/>
    </row>
    <row r="394" spans="1:3">
      <c r="A394" s="12"/>
      <c r="C394" s="46"/>
    </row>
    <row r="395" spans="1:3">
      <c r="A395" s="12"/>
      <c r="C395" s="46"/>
    </row>
    <row r="396" spans="1:3">
      <c r="A396" s="12"/>
      <c r="C396" s="46"/>
    </row>
    <row r="397" spans="1:3">
      <c r="A397" s="12"/>
      <c r="C397" s="46"/>
    </row>
    <row r="398" spans="1:3">
      <c r="A398" s="12"/>
      <c r="C398" s="46"/>
    </row>
    <row r="399" spans="1:3">
      <c r="A399" s="12"/>
      <c r="C399" s="46"/>
    </row>
    <row r="400" spans="1:3">
      <c r="A400" s="12"/>
      <c r="C400" s="46"/>
    </row>
    <row r="401" spans="1:3">
      <c r="A401" s="12"/>
      <c r="C401" s="46"/>
    </row>
    <row r="402" spans="1:3">
      <c r="A402" s="12"/>
      <c r="C402" s="46"/>
    </row>
    <row r="403" spans="1:3">
      <c r="A403" s="12"/>
      <c r="C403" s="46"/>
    </row>
    <row r="404" spans="1:3">
      <c r="A404" s="12"/>
      <c r="C404" s="46"/>
    </row>
    <row r="405" spans="1:3">
      <c r="A405" s="12"/>
      <c r="C405" s="46"/>
    </row>
    <row r="406" spans="1:3">
      <c r="A406" s="12"/>
      <c r="C406" s="46"/>
    </row>
    <row r="407" spans="1:3">
      <c r="A407" s="12"/>
      <c r="C407" s="46"/>
    </row>
    <row r="408" spans="1:3">
      <c r="A408" s="12"/>
      <c r="C408" s="46"/>
    </row>
    <row r="409" spans="1:3">
      <c r="A409" s="12"/>
      <c r="C409" s="46"/>
    </row>
    <row r="410" spans="1:3">
      <c r="A410" s="12"/>
      <c r="C410" s="46"/>
    </row>
    <row r="411" spans="1:3">
      <c r="A411" s="12"/>
      <c r="C411" s="46"/>
    </row>
    <row r="412" spans="1:3">
      <c r="A412" s="12"/>
      <c r="C412" s="46"/>
    </row>
    <row r="413" spans="1:3">
      <c r="A413" s="12"/>
      <c r="C413" s="46"/>
    </row>
    <row r="414" spans="1:3">
      <c r="A414" s="12"/>
      <c r="C414" s="46"/>
    </row>
    <row r="415" spans="1:3">
      <c r="A415" s="12"/>
      <c r="C415" s="46"/>
    </row>
    <row r="416" spans="1:3">
      <c r="A416" s="12"/>
      <c r="C416" s="46"/>
    </row>
    <row r="417" spans="1:3">
      <c r="A417" s="12"/>
      <c r="C417" s="46"/>
    </row>
    <row r="418" spans="1:3">
      <c r="A418" s="12"/>
      <c r="C418" s="46"/>
    </row>
    <row r="419" spans="1:3">
      <c r="A419" s="12"/>
      <c r="C419" s="46"/>
    </row>
    <row r="420" spans="1:3">
      <c r="A420" s="12"/>
      <c r="C420" s="46"/>
    </row>
    <row r="421" spans="1:3">
      <c r="A421" s="12"/>
      <c r="C421" s="46"/>
    </row>
    <row r="422" spans="1:3">
      <c r="A422" s="12"/>
      <c r="C422" s="46"/>
    </row>
    <row r="423" spans="1:3">
      <c r="A423" s="12"/>
      <c r="C423" s="46"/>
    </row>
    <row r="424" spans="1:3">
      <c r="A424" s="12"/>
      <c r="C424" s="46"/>
    </row>
    <row r="425" spans="1:3">
      <c r="A425" s="12"/>
      <c r="C425" s="46"/>
    </row>
    <row r="426" spans="1:3">
      <c r="A426" s="12"/>
      <c r="C426" s="46"/>
    </row>
    <row r="427" spans="1:3">
      <c r="A427" s="12"/>
      <c r="C427" s="46"/>
    </row>
    <row r="428" spans="1:3">
      <c r="A428" s="12"/>
      <c r="C428" s="46"/>
    </row>
    <row r="429" spans="1:3">
      <c r="A429" s="12"/>
      <c r="C429" s="46"/>
    </row>
    <row r="430" spans="1:3">
      <c r="A430" s="12"/>
      <c r="C430" s="46"/>
    </row>
    <row r="431" spans="1:3">
      <c r="A431" s="12"/>
      <c r="C431" s="46"/>
    </row>
    <row r="432" spans="1:3">
      <c r="A432" s="12"/>
      <c r="C432" s="46"/>
    </row>
    <row r="433" spans="1:3">
      <c r="A433" s="12"/>
      <c r="C433" s="46"/>
    </row>
    <row r="434" spans="1:3">
      <c r="A434" s="12"/>
      <c r="C434" s="46"/>
    </row>
    <row r="435" spans="1:3">
      <c r="A435" s="12"/>
      <c r="C435" s="46"/>
    </row>
    <row r="436" spans="1:3">
      <c r="A436" s="12"/>
      <c r="C436" s="46"/>
    </row>
    <row r="437" spans="1:3">
      <c r="A437" s="12"/>
      <c r="C437" s="46"/>
    </row>
    <row r="438" spans="1:3">
      <c r="A438" s="12"/>
      <c r="C438" s="46"/>
    </row>
    <row r="439" spans="1:3">
      <c r="A439" s="12"/>
      <c r="C439" s="46"/>
    </row>
    <row r="440" spans="1:3">
      <c r="A440" s="12"/>
      <c r="C440" s="46"/>
    </row>
    <row r="441" spans="1:3">
      <c r="A441" s="12"/>
      <c r="C441" s="46"/>
    </row>
    <row r="442" spans="1:3">
      <c r="A442" s="12"/>
      <c r="C442" s="46"/>
    </row>
    <row r="443" spans="1:3">
      <c r="A443" s="12"/>
      <c r="C443" s="46"/>
    </row>
    <row r="444" spans="1:3">
      <c r="A444" s="12"/>
      <c r="C444" s="46"/>
    </row>
    <row r="445" spans="1:3">
      <c r="A445" s="12"/>
      <c r="C445" s="46"/>
    </row>
    <row r="446" spans="1:3">
      <c r="A446" s="12"/>
      <c r="C446" s="46"/>
    </row>
    <row r="447" spans="1:3">
      <c r="A447" s="12"/>
      <c r="C447" s="46"/>
    </row>
    <row r="448" spans="1:3">
      <c r="A448" s="12"/>
      <c r="C448" s="46"/>
    </row>
    <row r="449" spans="1:3">
      <c r="A449" s="12"/>
      <c r="C449" s="46"/>
    </row>
    <row r="450" spans="1:3">
      <c r="A450" s="12"/>
      <c r="C450" s="46"/>
    </row>
    <row r="451" spans="1:3">
      <c r="A451" s="12"/>
      <c r="C451" s="46"/>
    </row>
    <row r="452" spans="1:3">
      <c r="A452" s="12"/>
      <c r="C452" s="46"/>
    </row>
    <row r="453" spans="1:3">
      <c r="A453" s="12"/>
      <c r="C453" s="46"/>
    </row>
    <row r="454" spans="1:3">
      <c r="A454" s="12"/>
      <c r="C454" s="46"/>
    </row>
    <row r="455" spans="1:3">
      <c r="A455" s="12"/>
      <c r="C455" s="46"/>
    </row>
    <row r="456" spans="1:3">
      <c r="A456" s="12"/>
      <c r="C456" s="46"/>
    </row>
    <row r="457" spans="1:3">
      <c r="A457" s="12"/>
      <c r="C457" s="46"/>
    </row>
    <row r="458" spans="1:3">
      <c r="A458" s="12"/>
      <c r="C458" s="46"/>
    </row>
    <row r="459" spans="1:3">
      <c r="A459" s="12"/>
      <c r="C459" s="46"/>
    </row>
    <row r="460" spans="1:3">
      <c r="A460" s="12"/>
      <c r="C460" s="46"/>
    </row>
    <row r="461" spans="1:3">
      <c r="A461" s="12"/>
      <c r="C461" s="46"/>
    </row>
    <row r="462" spans="1:3">
      <c r="A462" s="12"/>
      <c r="C462" s="46"/>
    </row>
    <row r="463" spans="1:3">
      <c r="A463" s="12"/>
      <c r="C463" s="46"/>
    </row>
    <row r="464" spans="1:3">
      <c r="A464" s="12"/>
      <c r="C464" s="46"/>
    </row>
    <row r="465" spans="1:3">
      <c r="A465" s="12"/>
      <c r="C465" s="46"/>
    </row>
    <row r="466" spans="1:3">
      <c r="A466" s="12"/>
      <c r="C466" s="46"/>
    </row>
    <row r="467" spans="1:3">
      <c r="A467" s="12"/>
      <c r="C467" s="46"/>
    </row>
    <row r="468" spans="1:3">
      <c r="A468" s="12"/>
      <c r="C468" s="46"/>
    </row>
    <row r="469" spans="1:3">
      <c r="A469" s="12"/>
      <c r="C469" s="46"/>
    </row>
    <row r="470" spans="1:3">
      <c r="A470" s="12"/>
      <c r="C470" s="46"/>
    </row>
    <row r="471" spans="1:3">
      <c r="A471" s="12"/>
      <c r="C471" s="46"/>
    </row>
    <row r="472" spans="1:3">
      <c r="A472" s="12"/>
      <c r="C472" s="46"/>
    </row>
    <row r="473" spans="1:3">
      <c r="A473" s="12"/>
      <c r="C473" s="46"/>
    </row>
    <row r="474" spans="1:3">
      <c r="A474" s="12"/>
      <c r="C474" s="46"/>
    </row>
    <row r="475" spans="1:3">
      <c r="A475" s="12"/>
      <c r="C475" s="46"/>
    </row>
    <row r="476" spans="1:3">
      <c r="A476" s="12"/>
      <c r="C476" s="46"/>
    </row>
    <row r="477" spans="1:3">
      <c r="A477" s="12"/>
      <c r="C477" s="46"/>
    </row>
    <row r="478" spans="1:3">
      <c r="A478" s="12"/>
      <c r="C478" s="46"/>
    </row>
    <row r="479" spans="1:3">
      <c r="A479" s="12"/>
      <c r="C479" s="46"/>
    </row>
    <row r="480" spans="1:3">
      <c r="A480" s="12"/>
      <c r="C480" s="46"/>
    </row>
    <row r="481" spans="1:3">
      <c r="A481" s="12"/>
      <c r="C481" s="46"/>
    </row>
    <row r="482" spans="1:3">
      <c r="A482" s="12"/>
      <c r="C482" s="46"/>
    </row>
    <row r="483" spans="1:3">
      <c r="A483" s="12"/>
      <c r="C483" s="46"/>
    </row>
    <row r="484" spans="1:3">
      <c r="A484" s="12"/>
      <c r="C484" s="46"/>
    </row>
    <row r="485" spans="1:3">
      <c r="A485" s="12"/>
      <c r="C485" s="46"/>
    </row>
    <row r="486" spans="1:3">
      <c r="A486" s="12"/>
      <c r="C486" s="46"/>
    </row>
    <row r="487" spans="1:3">
      <c r="A487" s="12"/>
      <c r="C487" s="46"/>
    </row>
    <row r="488" spans="1:3">
      <c r="A488" s="12"/>
      <c r="C488" s="46"/>
    </row>
    <row r="489" spans="1:3">
      <c r="A489" s="12"/>
      <c r="C489" s="46"/>
    </row>
    <row r="490" spans="1:3">
      <c r="A490" s="12"/>
      <c r="C490" s="46"/>
    </row>
    <row r="491" spans="1:3">
      <c r="A491" s="12"/>
      <c r="C491" s="46"/>
    </row>
    <row r="492" spans="1:3">
      <c r="A492" s="12"/>
      <c r="C492" s="46"/>
    </row>
    <row r="493" spans="1:3">
      <c r="A493" s="12"/>
      <c r="C493" s="46"/>
    </row>
    <row r="494" spans="1:3">
      <c r="A494" s="12"/>
      <c r="C494" s="46"/>
    </row>
    <row r="495" spans="1:3">
      <c r="A495" s="12"/>
      <c r="C495" s="46"/>
    </row>
    <row r="496" spans="1:3">
      <c r="A496" s="12"/>
      <c r="C496" s="46"/>
    </row>
    <row r="497" spans="1:3">
      <c r="A497" s="12"/>
      <c r="C497" s="46"/>
    </row>
    <row r="498" spans="1:3">
      <c r="A498" s="12"/>
      <c r="C498" s="46"/>
    </row>
    <row r="499" spans="1:3">
      <c r="A499" s="12"/>
      <c r="C499" s="46"/>
    </row>
    <row r="500" spans="1:3">
      <c r="A500" s="12"/>
      <c r="C500" s="46"/>
    </row>
    <row r="501" spans="1:3">
      <c r="A501" s="12"/>
      <c r="C501" s="46"/>
    </row>
    <row r="502" spans="1:3">
      <c r="A502" s="12"/>
      <c r="C502" s="46"/>
    </row>
    <row r="503" spans="1:3">
      <c r="A503" s="12"/>
      <c r="C503" s="46"/>
    </row>
    <row r="504" spans="1:3">
      <c r="A504" s="12"/>
      <c r="C504" s="46"/>
    </row>
    <row r="505" spans="1:3">
      <c r="A505" s="12"/>
      <c r="C505" s="46"/>
    </row>
    <row r="506" spans="1:3">
      <c r="A506" s="12"/>
      <c r="C506" s="46"/>
    </row>
    <row r="507" spans="1:3">
      <c r="A507" s="12"/>
      <c r="C507" s="46"/>
    </row>
    <row r="508" spans="1:3">
      <c r="A508" s="12"/>
      <c r="C508" s="46"/>
    </row>
    <row r="509" spans="1:3">
      <c r="A509" s="12"/>
      <c r="C509" s="46"/>
    </row>
    <row r="510" spans="1:3">
      <c r="A510" s="12"/>
      <c r="C510" s="46"/>
    </row>
    <row r="511" spans="1:3">
      <c r="A511" s="12"/>
      <c r="C511" s="46"/>
    </row>
    <row r="512" spans="1:3">
      <c r="A512" s="12"/>
      <c r="C512" s="46"/>
    </row>
    <row r="513" spans="1:3">
      <c r="A513" s="12"/>
      <c r="C513" s="46"/>
    </row>
    <row r="514" spans="1:3">
      <c r="A514" s="12"/>
      <c r="C514" s="46"/>
    </row>
    <row r="515" spans="1:3">
      <c r="A515" s="12"/>
      <c r="C515" s="46"/>
    </row>
    <row r="516" spans="1:3">
      <c r="A516" s="12"/>
      <c r="C516" s="46"/>
    </row>
    <row r="517" spans="1:3">
      <c r="A517" s="12"/>
      <c r="C517" s="46"/>
    </row>
    <row r="518" spans="1:3">
      <c r="A518" s="12"/>
      <c r="C518" s="46"/>
    </row>
    <row r="519" spans="1:3">
      <c r="A519" s="12"/>
      <c r="C519" s="46"/>
    </row>
    <row r="520" spans="1:3">
      <c r="A520" s="12"/>
      <c r="C520" s="46"/>
    </row>
    <row r="521" spans="1:3">
      <c r="A521" s="12"/>
      <c r="C521" s="46"/>
    </row>
    <row r="522" spans="1:3">
      <c r="A522" s="12"/>
      <c r="C522" s="46"/>
    </row>
    <row r="523" spans="1:3">
      <c r="A523" s="12"/>
      <c r="C523" s="46"/>
    </row>
    <row r="524" spans="1:3">
      <c r="A524" s="12"/>
      <c r="C524" s="46"/>
    </row>
    <row r="525" spans="1:3">
      <c r="A525" s="12"/>
      <c r="C525" s="46"/>
    </row>
    <row r="526" spans="1:3">
      <c r="A526" s="12"/>
      <c r="C526" s="46"/>
    </row>
    <row r="527" spans="1:3">
      <c r="A527" s="12"/>
      <c r="C527" s="46"/>
    </row>
    <row r="528" spans="1:3">
      <c r="A528" s="12"/>
      <c r="C528" s="46"/>
    </row>
    <row r="529" spans="1:3">
      <c r="A529" s="12"/>
      <c r="C529" s="46"/>
    </row>
    <row r="530" spans="1:3">
      <c r="A530" s="12"/>
      <c r="C530" s="46"/>
    </row>
    <row r="531" spans="1:3">
      <c r="A531" s="12"/>
      <c r="C531" s="46"/>
    </row>
    <row r="532" spans="1:3">
      <c r="A532" s="12"/>
      <c r="C532" s="46"/>
    </row>
    <row r="533" spans="1:3">
      <c r="A533" s="12"/>
      <c r="C533" s="46"/>
    </row>
    <row r="534" spans="1:3">
      <c r="A534" s="12"/>
      <c r="C534" s="46"/>
    </row>
    <row r="535" spans="1:3">
      <c r="A535" s="12"/>
      <c r="C535" s="46"/>
    </row>
    <row r="536" spans="1:3">
      <c r="A536" s="12"/>
      <c r="C536" s="46"/>
    </row>
    <row r="537" spans="1:3">
      <c r="A537" s="12"/>
      <c r="C537" s="46"/>
    </row>
    <row r="538" spans="1:3">
      <c r="A538" s="12"/>
      <c r="C538" s="46"/>
    </row>
    <row r="539" spans="1:3">
      <c r="A539" s="12"/>
      <c r="C539" s="46"/>
    </row>
    <row r="540" spans="1:3">
      <c r="A540" s="12"/>
      <c r="C540" s="46"/>
    </row>
    <row r="541" spans="1:3">
      <c r="A541" s="12"/>
      <c r="C541" s="46"/>
    </row>
    <row r="542" spans="1:3">
      <c r="A542" s="12"/>
      <c r="C542" s="46"/>
    </row>
    <row r="543" spans="1:3">
      <c r="A543" s="12"/>
      <c r="C543" s="46"/>
    </row>
    <row r="544" spans="1:3">
      <c r="A544" s="12"/>
      <c r="C544" s="46"/>
    </row>
    <row r="545" spans="1:3">
      <c r="A545" s="12"/>
      <c r="C545" s="46"/>
    </row>
    <row r="546" spans="1:3">
      <c r="A546" s="12"/>
      <c r="C546" s="46"/>
    </row>
    <row r="547" spans="1:3">
      <c r="A547" s="12"/>
      <c r="C547" s="46"/>
    </row>
    <row r="548" spans="1:3">
      <c r="A548" s="12"/>
      <c r="C548" s="46"/>
    </row>
    <row r="549" spans="1:3">
      <c r="A549" s="12"/>
      <c r="C549" s="46"/>
    </row>
    <row r="550" spans="1:3">
      <c r="A550" s="12"/>
      <c r="C550" s="46"/>
    </row>
    <row r="551" spans="1:3">
      <c r="A551" s="12"/>
      <c r="C551" s="46"/>
    </row>
    <row r="552" spans="1:3">
      <c r="A552" s="12"/>
      <c r="C552" s="46"/>
    </row>
    <row r="553" spans="1:3">
      <c r="A553" s="12"/>
      <c r="C553" s="46"/>
    </row>
    <row r="554" spans="1:3">
      <c r="A554" s="12"/>
      <c r="C554" s="46"/>
    </row>
    <row r="555" spans="1:3">
      <c r="A555" s="12"/>
      <c r="C555" s="46"/>
    </row>
    <row r="556" spans="1:3">
      <c r="A556" s="12"/>
      <c r="C556" s="46"/>
    </row>
    <row r="557" spans="1:3">
      <c r="A557" s="12"/>
      <c r="C557" s="46"/>
    </row>
    <row r="558" spans="1:3">
      <c r="A558" s="12"/>
      <c r="C558" s="46"/>
    </row>
    <row r="559" spans="1:3">
      <c r="A559" s="12"/>
      <c r="C559" s="46"/>
    </row>
    <row r="560" spans="1:3">
      <c r="A560" s="12"/>
      <c r="C560" s="46"/>
    </row>
    <row r="561" spans="1:3">
      <c r="A561" s="12"/>
      <c r="C561" s="46"/>
    </row>
    <row r="562" spans="1:3">
      <c r="A562" s="12"/>
      <c r="C562" s="46"/>
    </row>
    <row r="563" spans="1:3">
      <c r="A563" s="12"/>
      <c r="C563" s="46"/>
    </row>
    <row r="564" spans="1:3">
      <c r="A564" s="12"/>
      <c r="C564" s="46"/>
    </row>
    <row r="565" spans="1:3">
      <c r="A565" s="12"/>
      <c r="C565" s="46"/>
    </row>
    <row r="566" spans="1:3">
      <c r="A566" s="12"/>
      <c r="C566" s="46"/>
    </row>
    <row r="567" spans="1:3">
      <c r="A567" s="12"/>
      <c r="C567" s="46"/>
    </row>
    <row r="568" spans="1:3">
      <c r="A568" s="12"/>
      <c r="C568" s="46"/>
    </row>
    <row r="569" spans="1:3">
      <c r="A569" s="12"/>
      <c r="C569" s="46"/>
    </row>
    <row r="570" spans="1:3">
      <c r="A570" s="12"/>
      <c r="C570" s="46"/>
    </row>
    <row r="571" spans="1:3">
      <c r="A571" s="12"/>
      <c r="C571" s="46"/>
    </row>
    <row r="572" spans="1:3">
      <c r="A572" s="12"/>
      <c r="C572" s="46"/>
    </row>
    <row r="573" spans="1:3">
      <c r="A573" s="12"/>
      <c r="C573" s="46"/>
    </row>
    <row r="574" spans="1:3">
      <c r="A574" s="12"/>
      <c r="C574" s="46"/>
    </row>
    <row r="575" spans="1:3">
      <c r="A575" s="12"/>
      <c r="C575" s="46"/>
    </row>
    <row r="576" spans="1:3">
      <c r="A576" s="12"/>
      <c r="C576" s="46"/>
    </row>
    <row r="577" spans="1:3">
      <c r="A577" s="12"/>
      <c r="C577" s="46"/>
    </row>
    <row r="578" spans="1:3">
      <c r="A578" s="12"/>
      <c r="C578" s="46"/>
    </row>
    <row r="579" spans="1:3">
      <c r="A579" s="12"/>
      <c r="C579" s="46"/>
    </row>
    <row r="580" spans="1:3">
      <c r="A580" s="12"/>
      <c r="C580" s="46"/>
    </row>
    <row r="581" spans="1:3">
      <c r="A581" s="12"/>
      <c r="C581" s="46"/>
    </row>
    <row r="582" spans="1:3">
      <c r="A582" s="12"/>
      <c r="C582" s="46"/>
    </row>
    <row r="583" spans="1:3">
      <c r="A583" s="12"/>
      <c r="C583" s="46"/>
    </row>
    <row r="584" spans="1:3">
      <c r="A584" s="12"/>
      <c r="C584" s="46"/>
    </row>
    <row r="585" spans="1:3">
      <c r="A585" s="12"/>
      <c r="C585" s="46"/>
    </row>
    <row r="586" spans="1:3">
      <c r="A586" s="12"/>
      <c r="C586" s="46"/>
    </row>
    <row r="587" spans="1:3">
      <c r="A587" s="12"/>
      <c r="C587" s="46"/>
    </row>
    <row r="588" spans="1:3">
      <c r="A588" s="12"/>
      <c r="C588" s="46"/>
    </row>
    <row r="589" spans="1:3">
      <c r="A589" s="12"/>
      <c r="C589" s="46"/>
    </row>
    <row r="590" spans="1:3">
      <c r="A590" s="12"/>
      <c r="C590" s="46"/>
    </row>
    <row r="591" spans="1:3">
      <c r="A591" s="12"/>
      <c r="C591" s="46"/>
    </row>
    <row r="592" spans="1:3">
      <c r="A592" s="12"/>
      <c r="C592" s="46"/>
    </row>
    <row r="593" spans="1:3">
      <c r="A593" s="12"/>
      <c r="C593" s="46"/>
    </row>
    <row r="594" spans="1:3">
      <c r="A594" s="12"/>
      <c r="C594" s="46"/>
    </row>
    <row r="595" spans="1:3">
      <c r="A595" s="12"/>
      <c r="C595" s="46"/>
    </row>
    <row r="596" spans="1:3">
      <c r="A596" s="12"/>
      <c r="C596" s="46"/>
    </row>
    <row r="597" spans="1:3">
      <c r="A597" s="12"/>
      <c r="C597" s="46"/>
    </row>
    <row r="598" spans="1:3">
      <c r="A598" s="12"/>
      <c r="C598" s="46"/>
    </row>
    <row r="599" spans="1:3">
      <c r="A599" s="12"/>
      <c r="C599" s="46"/>
    </row>
    <row r="600" spans="1:3">
      <c r="A600" s="12"/>
      <c r="C600" s="46"/>
    </row>
    <row r="601" spans="1:3">
      <c r="A601" s="12"/>
      <c r="C601" s="46"/>
    </row>
    <row r="602" spans="1:3">
      <c r="A602" s="12"/>
      <c r="C602" s="46"/>
    </row>
    <row r="603" spans="1:3">
      <c r="A603" s="12"/>
      <c r="C603" s="46"/>
    </row>
    <row r="604" spans="1:3">
      <c r="A604" s="12"/>
      <c r="C604" s="46"/>
    </row>
    <row r="605" spans="1:3">
      <c r="A605" s="12"/>
      <c r="C605" s="46"/>
    </row>
    <row r="606" spans="1:3">
      <c r="A606" s="12"/>
      <c r="C606" s="46"/>
    </row>
    <row r="607" spans="1:3">
      <c r="A607" s="12"/>
      <c r="C607" s="46"/>
    </row>
    <row r="608" spans="1:3">
      <c r="A608" s="12"/>
      <c r="C608" s="46"/>
    </row>
    <row r="609" spans="1:3">
      <c r="A609" s="12"/>
      <c r="C609" s="46"/>
    </row>
    <row r="610" spans="1:3">
      <c r="A610" s="12"/>
      <c r="C610" s="46"/>
    </row>
    <row r="611" spans="1:3">
      <c r="A611" s="12"/>
      <c r="C611" s="46"/>
    </row>
    <row r="612" spans="1:3">
      <c r="A612" s="12"/>
      <c r="C612" s="46"/>
    </row>
    <row r="613" spans="1:3">
      <c r="A613" s="12"/>
      <c r="C613" s="46"/>
    </row>
    <row r="614" spans="1:3">
      <c r="A614" s="12"/>
      <c r="C614" s="46"/>
    </row>
    <row r="615" spans="1:3">
      <c r="A615" s="12"/>
      <c r="C615" s="46"/>
    </row>
    <row r="616" spans="1:3">
      <c r="A616" s="12"/>
      <c r="C616" s="46"/>
    </row>
    <row r="617" spans="1:3">
      <c r="A617" s="12"/>
      <c r="C617" s="46"/>
    </row>
    <row r="618" spans="1:3">
      <c r="A618" s="12"/>
      <c r="C618" s="46"/>
    </row>
    <row r="619" spans="1:3">
      <c r="A619" s="12"/>
      <c r="C619" s="46"/>
    </row>
    <row r="620" spans="1:3">
      <c r="A620" s="12"/>
      <c r="C620" s="46"/>
    </row>
    <row r="621" spans="1:3">
      <c r="A621" s="12"/>
      <c r="C621" s="46"/>
    </row>
    <row r="622" spans="1:3">
      <c r="A622" s="12"/>
      <c r="C622" s="46"/>
    </row>
    <row r="623" spans="1:3">
      <c r="A623" s="12"/>
      <c r="C623" s="46"/>
    </row>
    <row r="624" spans="1:3">
      <c r="A624" s="12"/>
      <c r="C624" s="46"/>
    </row>
    <row r="625" spans="1:3">
      <c r="A625" s="12"/>
      <c r="C625" s="46"/>
    </row>
    <row r="626" spans="1:3">
      <c r="A626" s="12"/>
      <c r="C626" s="46"/>
    </row>
    <row r="627" spans="1:3">
      <c r="A627" s="12"/>
      <c r="C627" s="46"/>
    </row>
    <row r="628" spans="1:3">
      <c r="A628" s="12"/>
      <c r="C628" s="46"/>
    </row>
    <row r="629" spans="1:3">
      <c r="A629" s="12"/>
      <c r="C629" s="46"/>
    </row>
    <row r="630" spans="1:3">
      <c r="A630" s="12"/>
      <c r="C630" s="46"/>
    </row>
    <row r="631" spans="1:3">
      <c r="A631" s="12"/>
      <c r="C631" s="46"/>
    </row>
    <row r="632" spans="1:3">
      <c r="A632" s="12"/>
      <c r="C632" s="46"/>
    </row>
    <row r="633" spans="1:3">
      <c r="A633" s="12"/>
      <c r="C633" s="46"/>
    </row>
    <row r="634" spans="1:3">
      <c r="A634" s="12"/>
      <c r="C634" s="46"/>
    </row>
    <row r="635" spans="1:3">
      <c r="A635" s="12"/>
      <c r="C635" s="46"/>
    </row>
    <row r="636" spans="1:3">
      <c r="A636" s="12"/>
      <c r="C636" s="46"/>
    </row>
    <row r="637" spans="1:3">
      <c r="A637" s="12"/>
      <c r="C637" s="46"/>
    </row>
    <row r="638" spans="1:3">
      <c r="A638" s="12"/>
      <c r="C638" s="46"/>
    </row>
    <row r="639" spans="1:3">
      <c r="A639" s="12"/>
      <c r="C639" s="46"/>
    </row>
    <row r="640" spans="1:3">
      <c r="A640" s="12"/>
      <c r="C640" s="46"/>
    </row>
    <row r="641" spans="1:3">
      <c r="A641" s="12"/>
      <c r="C641" s="46"/>
    </row>
    <row r="642" spans="1:3">
      <c r="A642" s="12"/>
      <c r="C642" s="46"/>
    </row>
    <row r="643" spans="1:3">
      <c r="A643" s="12"/>
      <c r="C643" s="46"/>
    </row>
    <row r="644" spans="1:3">
      <c r="A644" s="12"/>
      <c r="C644" s="46"/>
    </row>
    <row r="645" spans="1:3">
      <c r="A645" s="12"/>
      <c r="C645" s="46"/>
    </row>
    <row r="646" spans="1:3">
      <c r="A646" s="12"/>
      <c r="C646" s="46"/>
    </row>
    <row r="647" spans="1:3">
      <c r="A647" s="12"/>
      <c r="C647" s="46"/>
    </row>
    <row r="648" spans="1:3">
      <c r="A648" s="12"/>
      <c r="C648" s="46"/>
    </row>
    <row r="649" spans="1:3">
      <c r="A649" s="12"/>
      <c r="C649" s="46"/>
    </row>
    <row r="650" spans="1:3">
      <c r="A650" s="12"/>
      <c r="C650" s="46"/>
    </row>
    <row r="651" spans="1:3">
      <c r="A651" s="12"/>
      <c r="C651" s="46"/>
    </row>
    <row r="652" spans="1:3">
      <c r="A652" s="12"/>
      <c r="C652" s="46"/>
    </row>
    <row r="653" spans="1:3">
      <c r="A653" s="12"/>
      <c r="C653" s="46"/>
    </row>
    <row r="654" spans="1:3">
      <c r="A654" s="12"/>
      <c r="C654" s="46"/>
    </row>
    <row r="655" spans="1:3">
      <c r="A655" s="12"/>
      <c r="C655" s="46"/>
    </row>
    <row r="656" spans="1:3">
      <c r="A656" s="12"/>
      <c r="C656" s="46"/>
    </row>
    <row r="657" spans="1:3">
      <c r="A657" s="12"/>
      <c r="C657" s="46"/>
    </row>
    <row r="658" spans="1:3">
      <c r="A658" s="12"/>
      <c r="C658" s="46"/>
    </row>
    <row r="659" spans="1:3">
      <c r="A659" s="12"/>
      <c r="C659" s="46"/>
    </row>
    <row r="660" spans="1:3">
      <c r="A660" s="12"/>
      <c r="C660" s="46"/>
    </row>
    <row r="661" spans="1:3">
      <c r="A661" s="12"/>
      <c r="C661" s="46"/>
    </row>
    <row r="662" spans="1:3">
      <c r="A662" s="12"/>
      <c r="C662" s="46"/>
    </row>
    <row r="663" spans="1:3">
      <c r="A663" s="12"/>
      <c r="C663" s="46"/>
    </row>
    <row r="664" spans="1:3">
      <c r="A664" s="12"/>
      <c r="C664" s="46"/>
    </row>
    <row r="665" spans="1:3">
      <c r="A665" s="12"/>
      <c r="C665" s="46"/>
    </row>
    <row r="666" spans="1:3">
      <c r="A666" s="12"/>
      <c r="C666" s="46"/>
    </row>
    <row r="667" spans="1:3">
      <c r="A667" s="12"/>
      <c r="C667" s="46"/>
    </row>
    <row r="668" spans="1:3">
      <c r="A668" s="12"/>
      <c r="C668" s="46"/>
    </row>
    <row r="669" spans="1:3">
      <c r="A669" s="12"/>
      <c r="C669" s="46"/>
    </row>
    <row r="670" spans="1:3">
      <c r="A670" s="12"/>
      <c r="C670" s="46"/>
    </row>
    <row r="671" spans="1:3">
      <c r="A671" s="12"/>
      <c r="C671" s="46"/>
    </row>
    <row r="672" spans="1:3">
      <c r="A672" s="12"/>
      <c r="C672" s="46"/>
    </row>
    <row r="673" spans="1:3">
      <c r="A673" s="12"/>
      <c r="C673" s="46"/>
    </row>
    <row r="674" spans="1:3">
      <c r="A674" s="12"/>
      <c r="C674" s="46"/>
    </row>
    <row r="675" spans="1:3">
      <c r="A675" s="12"/>
      <c r="C675" s="46"/>
    </row>
    <row r="676" spans="1:3">
      <c r="A676" s="12"/>
      <c r="C676" s="46"/>
    </row>
    <row r="677" spans="1:3">
      <c r="A677" s="12"/>
      <c r="C677" s="46"/>
    </row>
    <row r="678" spans="1:3">
      <c r="A678" s="12"/>
      <c r="C678" s="46"/>
    </row>
    <row r="679" spans="1:3">
      <c r="A679" s="12"/>
      <c r="C679" s="46"/>
    </row>
    <row r="680" spans="1:3">
      <c r="A680" s="12"/>
      <c r="C680" s="46"/>
    </row>
    <row r="681" spans="1:3">
      <c r="A681" s="12"/>
      <c r="C681" s="46"/>
    </row>
    <row r="682" spans="1:3">
      <c r="A682" s="12"/>
      <c r="C682" s="46"/>
    </row>
    <row r="683" spans="1:3">
      <c r="A683" s="12"/>
      <c r="C683" s="46"/>
    </row>
    <row r="684" spans="1:3">
      <c r="A684" s="12"/>
      <c r="C684" s="46"/>
    </row>
    <row r="685" spans="1:3">
      <c r="A685" s="12"/>
      <c r="C685" s="46"/>
    </row>
    <row r="686" spans="1:3">
      <c r="A686" s="12"/>
      <c r="C686" s="46"/>
    </row>
    <row r="687" spans="1:3">
      <c r="A687" s="12"/>
      <c r="C687" s="46"/>
    </row>
    <row r="688" spans="1:3">
      <c r="A688" s="12"/>
      <c r="C688" s="46"/>
    </row>
    <row r="689" spans="1:3">
      <c r="A689" s="12"/>
      <c r="C689" s="46"/>
    </row>
    <row r="690" spans="1:3">
      <c r="A690" s="12"/>
      <c r="C690" s="46"/>
    </row>
    <row r="691" spans="1:3">
      <c r="A691" s="12"/>
      <c r="C691" s="46"/>
    </row>
    <row r="692" spans="1:3">
      <c r="A692" s="12"/>
      <c r="C692" s="46"/>
    </row>
    <row r="693" spans="1:3">
      <c r="A693" s="12"/>
      <c r="C693" s="46"/>
    </row>
    <row r="694" spans="1:3">
      <c r="A694" s="12"/>
      <c r="C694" s="46"/>
    </row>
    <row r="695" spans="1:3">
      <c r="A695" s="12"/>
      <c r="C695" s="46"/>
    </row>
    <row r="696" spans="1:3">
      <c r="A696" s="12"/>
      <c r="C696" s="46"/>
    </row>
    <row r="697" spans="1:3">
      <c r="A697" s="12"/>
      <c r="C697" s="46"/>
    </row>
    <row r="698" spans="1:3">
      <c r="A698" s="12"/>
      <c r="C698" s="46"/>
    </row>
    <row r="699" spans="1:3">
      <c r="A699" s="12"/>
      <c r="C699" s="46"/>
    </row>
    <row r="700" spans="1:3">
      <c r="A700" s="12"/>
      <c r="C700" s="46"/>
    </row>
    <row r="701" spans="1:3">
      <c r="A701" s="12"/>
      <c r="C701" s="46"/>
    </row>
    <row r="702" spans="1:3">
      <c r="A702" s="12"/>
      <c r="C702" s="46"/>
    </row>
    <row r="703" spans="1:3">
      <c r="A703" s="12"/>
      <c r="C703" s="46"/>
    </row>
    <row r="704" spans="1:3">
      <c r="A704" s="12"/>
      <c r="C704" s="46"/>
    </row>
    <row r="705" spans="1:3">
      <c r="A705" s="12"/>
      <c r="C705" s="46"/>
    </row>
    <row r="706" spans="1:3">
      <c r="A706" s="12"/>
      <c r="C706" s="46"/>
    </row>
    <row r="707" spans="1:3">
      <c r="A707" s="12"/>
      <c r="C707" s="46"/>
    </row>
    <row r="708" spans="1:3">
      <c r="A708" s="12"/>
      <c r="C708" s="46"/>
    </row>
    <row r="709" spans="1:3">
      <c r="A709" s="12"/>
      <c r="C709" s="46"/>
    </row>
    <row r="710" spans="1:3">
      <c r="A710" s="12"/>
      <c r="C710" s="46"/>
    </row>
    <row r="711" spans="1:3">
      <c r="A711" s="12"/>
      <c r="C711" s="46"/>
    </row>
    <row r="712" spans="1:3">
      <c r="A712" s="12"/>
      <c r="C712" s="46"/>
    </row>
    <row r="713" spans="1:3">
      <c r="A713" s="12"/>
      <c r="C713" s="46"/>
    </row>
    <row r="714" spans="1:3">
      <c r="A714" s="12"/>
      <c r="C714" s="46"/>
    </row>
    <row r="715" spans="1:3">
      <c r="A715" s="12"/>
      <c r="C715" s="46"/>
    </row>
    <row r="716" spans="1:3">
      <c r="A716" s="12"/>
      <c r="C716" s="46"/>
    </row>
    <row r="717" spans="1:3">
      <c r="A717" s="12"/>
      <c r="C717" s="46"/>
    </row>
    <row r="718" spans="1:3">
      <c r="A718" s="12"/>
      <c r="C718" s="46"/>
    </row>
    <row r="719" spans="1:3">
      <c r="A719" s="12"/>
      <c r="C719" s="46"/>
    </row>
    <row r="720" spans="1:3">
      <c r="A720" s="12"/>
      <c r="C720" s="46"/>
    </row>
  </sheetData>
  <mergeCells count="24">
    <mergeCell ref="J112:K112"/>
    <mergeCell ref="O112:P112"/>
    <mergeCell ref="I105:J105"/>
    <mergeCell ref="K105:L105"/>
    <mergeCell ref="K106:N106"/>
    <mergeCell ref="I108:J108"/>
    <mergeCell ref="K108:L108"/>
    <mergeCell ref="I109:J109"/>
    <mergeCell ref="K109:L109"/>
    <mergeCell ref="J103:K103"/>
    <mergeCell ref="J104:L104"/>
    <mergeCell ref="J110:K110"/>
    <mergeCell ref="J111:K111"/>
    <mergeCell ref="O111:P111"/>
    <mergeCell ref="J72:L72"/>
    <mergeCell ref="I73:J73"/>
    <mergeCell ref="K73:M73"/>
    <mergeCell ref="O74:Q74"/>
    <mergeCell ref="J75:K75"/>
    <mergeCell ref="V103:W103"/>
    <mergeCell ref="V104:W104"/>
    <mergeCell ref="V110:W110"/>
    <mergeCell ref="V111:W111"/>
    <mergeCell ref="V112:W112"/>
  </mergeCells>
  <conditionalFormatting sqref="B1:C1">
    <cfRule type="cellIs" dxfId="43" priority="1" operator="equal">
      <formula>"O2 Network Limited"</formula>
    </cfRule>
  </conditionalFormatting>
  <hyperlinks>
    <hyperlink ref="J86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79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9.42578125" customWidth="1"/>
    <col min="2" max="2" width="6.42578125" customWidth="1"/>
    <col min="3" max="3" width="6.28515625" customWidth="1"/>
    <col min="4" max="4" width="7.85546875" customWidth="1"/>
    <col min="5" max="5" width="8.42578125" customWidth="1"/>
    <col min="6" max="6" width="24.42578125" customWidth="1"/>
    <col min="7" max="7" width="23.28515625" customWidth="1"/>
    <col min="8" max="8" width="9" customWidth="1"/>
    <col min="9" max="9" width="7.7109375" customWidth="1"/>
    <col min="10" max="10" width="9" customWidth="1"/>
    <col min="11" max="11" width="8.42578125" customWidth="1"/>
    <col min="12" max="12" width="8.140625" customWidth="1"/>
    <col min="13" max="13" width="7.42578125" customWidth="1"/>
    <col min="14" max="14" width="9" customWidth="1"/>
    <col min="15" max="15" width="18.7109375" customWidth="1"/>
    <col min="16" max="16" width="11.85546875" customWidth="1"/>
  </cols>
  <sheetData>
    <row r="1" spans="1:16" ht="22.5" customHeight="1">
      <c r="A1" s="47" t="s">
        <v>245</v>
      </c>
      <c r="B1" s="47" t="s">
        <v>18</v>
      </c>
      <c r="C1" s="47" t="s">
        <v>19</v>
      </c>
      <c r="D1" s="47" t="s">
        <v>246</v>
      </c>
      <c r="E1" s="47" t="s">
        <v>247</v>
      </c>
      <c r="F1" s="48" t="s">
        <v>248</v>
      </c>
      <c r="G1" s="48" t="s">
        <v>249</v>
      </c>
      <c r="H1" s="47" t="s">
        <v>24</v>
      </c>
      <c r="I1" s="47" t="s">
        <v>250</v>
      </c>
      <c r="J1" s="49" t="s">
        <v>251</v>
      </c>
      <c r="K1" s="49" t="s">
        <v>252</v>
      </c>
      <c r="L1" s="49" t="s">
        <v>253</v>
      </c>
      <c r="M1" s="49" t="s">
        <v>22</v>
      </c>
      <c r="N1" s="49" t="s">
        <v>23</v>
      </c>
      <c r="O1" s="49" t="s">
        <v>254</v>
      </c>
      <c r="P1" s="49" t="s">
        <v>255</v>
      </c>
    </row>
    <row r="2" spans="1:16" ht="22.5" customHeight="1">
      <c r="A2" s="50">
        <v>45658</v>
      </c>
      <c r="B2" s="35">
        <v>2025</v>
      </c>
      <c r="C2" s="35">
        <v>1</v>
      </c>
      <c r="D2" s="51">
        <v>0.14067129629629629</v>
      </c>
      <c r="E2" s="35" t="s">
        <v>256</v>
      </c>
      <c r="F2" s="34" t="s">
        <v>257</v>
      </c>
      <c r="G2" s="34" t="s">
        <v>258</v>
      </c>
      <c r="H2" s="34" t="s">
        <v>259</v>
      </c>
      <c r="I2" s="34" t="s">
        <v>45</v>
      </c>
      <c r="J2" s="32">
        <v>20.25</v>
      </c>
      <c r="K2" s="32">
        <v>-1.5</v>
      </c>
      <c r="L2" s="32">
        <v>18.75</v>
      </c>
      <c r="M2" s="52">
        <f t="shared" ref="M2:M256" si="0">IF(L2&gt;0,L2,0)</f>
        <v>18.75</v>
      </c>
      <c r="N2" s="52">
        <f t="shared" ref="N2:N256" si="1">IF(L2&lt;0,L2,0)*-1</f>
        <v>0</v>
      </c>
      <c r="O2" s="34" t="s">
        <v>260</v>
      </c>
      <c r="P2" s="32">
        <v>824.79</v>
      </c>
    </row>
    <row r="3" spans="1:16" ht="22.5" customHeight="1">
      <c r="A3" s="50">
        <v>45658</v>
      </c>
      <c r="B3" s="35">
        <v>2025</v>
      </c>
      <c r="C3" s="35">
        <v>1</v>
      </c>
      <c r="D3" s="51">
        <v>0.24979166666666666</v>
      </c>
      <c r="E3" s="35" t="s">
        <v>256</v>
      </c>
      <c r="F3" s="34" t="s">
        <v>261</v>
      </c>
      <c r="G3" s="34" t="s">
        <v>262</v>
      </c>
      <c r="H3" s="34" t="s">
        <v>259</v>
      </c>
      <c r="I3" s="34" t="s">
        <v>45</v>
      </c>
      <c r="J3" s="32">
        <v>20.25</v>
      </c>
      <c r="K3" s="32">
        <v>-1.5</v>
      </c>
      <c r="L3" s="32">
        <v>18.75</v>
      </c>
      <c r="M3" s="52">
        <f t="shared" si="0"/>
        <v>18.75</v>
      </c>
      <c r="N3" s="52">
        <f t="shared" si="1"/>
        <v>0</v>
      </c>
      <c r="O3" s="34" t="s">
        <v>263</v>
      </c>
      <c r="P3" s="32">
        <v>843.54</v>
      </c>
    </row>
    <row r="4" spans="1:16" ht="22.5" customHeight="1">
      <c r="A4" s="50">
        <v>45658</v>
      </c>
      <c r="B4" s="35">
        <v>2025</v>
      </c>
      <c r="C4" s="35">
        <v>1</v>
      </c>
      <c r="D4" s="51">
        <v>0.42976851851851849</v>
      </c>
      <c r="E4" s="35" t="s">
        <v>256</v>
      </c>
      <c r="F4" s="34" t="s">
        <v>264</v>
      </c>
      <c r="G4" s="34" t="s">
        <v>258</v>
      </c>
      <c r="H4" s="34" t="s">
        <v>259</v>
      </c>
      <c r="I4" s="34" t="s">
        <v>45</v>
      </c>
      <c r="J4" s="32">
        <v>20.25</v>
      </c>
      <c r="K4" s="32">
        <v>-1.2</v>
      </c>
      <c r="L4" s="32">
        <v>19.05</v>
      </c>
      <c r="M4" s="52">
        <f t="shared" si="0"/>
        <v>19.05</v>
      </c>
      <c r="N4" s="52">
        <f t="shared" si="1"/>
        <v>0</v>
      </c>
      <c r="O4" s="34" t="s">
        <v>265</v>
      </c>
      <c r="P4" s="32">
        <v>862.59</v>
      </c>
    </row>
    <row r="5" spans="1:16" ht="22.5" customHeight="1">
      <c r="A5" s="50">
        <v>45658</v>
      </c>
      <c r="B5" s="35">
        <v>2025</v>
      </c>
      <c r="C5" s="35">
        <v>1</v>
      </c>
      <c r="D5" s="51">
        <v>0.61780092592592595</v>
      </c>
      <c r="E5" s="35" t="s">
        <v>256</v>
      </c>
      <c r="F5" s="34" t="s">
        <v>266</v>
      </c>
      <c r="G5" s="34" t="s">
        <v>258</v>
      </c>
      <c r="H5" s="34" t="s">
        <v>259</v>
      </c>
      <c r="I5" s="34" t="s">
        <v>45</v>
      </c>
      <c r="J5" s="32">
        <v>20.25</v>
      </c>
      <c r="K5" s="32">
        <v>-1.5</v>
      </c>
      <c r="L5" s="32">
        <v>18.75</v>
      </c>
      <c r="M5" s="52">
        <f t="shared" si="0"/>
        <v>18.75</v>
      </c>
      <c r="N5" s="52">
        <f t="shared" si="1"/>
        <v>0</v>
      </c>
      <c r="O5" s="34" t="s">
        <v>267</v>
      </c>
      <c r="P5" s="32">
        <v>881.34</v>
      </c>
    </row>
    <row r="6" spans="1:16" ht="22.5" customHeight="1">
      <c r="A6" s="50">
        <v>45661</v>
      </c>
      <c r="B6" s="35">
        <v>2025</v>
      </c>
      <c r="C6" s="35">
        <v>1</v>
      </c>
      <c r="D6" s="51">
        <v>0.15452546296296296</v>
      </c>
      <c r="E6" s="35" t="s">
        <v>256</v>
      </c>
      <c r="F6" s="34" t="s">
        <v>268</v>
      </c>
      <c r="G6" s="34" t="s">
        <v>262</v>
      </c>
      <c r="H6" s="34" t="s">
        <v>259</v>
      </c>
      <c r="I6" s="34" t="s">
        <v>45</v>
      </c>
      <c r="J6" s="32">
        <v>11.99</v>
      </c>
      <c r="K6" s="32">
        <v>-0.91</v>
      </c>
      <c r="L6" s="32">
        <v>11.08</v>
      </c>
      <c r="M6" s="52">
        <f t="shared" si="0"/>
        <v>11.08</v>
      </c>
      <c r="N6" s="52">
        <f t="shared" si="1"/>
        <v>0</v>
      </c>
      <c r="O6" s="34" t="s">
        <v>269</v>
      </c>
      <c r="P6" s="32">
        <v>892.42</v>
      </c>
    </row>
    <row r="7" spans="1:16" ht="22.5" customHeight="1">
      <c r="A7" s="50">
        <v>45661</v>
      </c>
      <c r="B7" s="35">
        <v>2025</v>
      </c>
      <c r="C7" s="35">
        <v>1</v>
      </c>
      <c r="D7" s="51">
        <v>0.20732638888888888</v>
      </c>
      <c r="E7" s="35" t="s">
        <v>256</v>
      </c>
      <c r="F7" s="34" t="s">
        <v>270</v>
      </c>
      <c r="G7" s="34" t="s">
        <v>262</v>
      </c>
      <c r="H7" s="34" t="s">
        <v>259</v>
      </c>
      <c r="I7" s="34" t="s">
        <v>45</v>
      </c>
      <c r="J7" s="32">
        <v>23.99</v>
      </c>
      <c r="K7" s="32">
        <v>-1.33</v>
      </c>
      <c r="L7" s="32">
        <v>22.66</v>
      </c>
      <c r="M7" s="52">
        <f t="shared" si="0"/>
        <v>22.66</v>
      </c>
      <c r="N7" s="52">
        <f t="shared" si="1"/>
        <v>0</v>
      </c>
      <c r="O7" s="34" t="s">
        <v>271</v>
      </c>
      <c r="P7" s="32">
        <v>915.08</v>
      </c>
    </row>
    <row r="8" spans="1:16" ht="22.5" customHeight="1">
      <c r="A8" s="50">
        <v>45662</v>
      </c>
      <c r="B8" s="35">
        <v>2025</v>
      </c>
      <c r="C8" s="35">
        <v>1</v>
      </c>
      <c r="D8" s="51">
        <v>0.14756944444444445</v>
      </c>
      <c r="E8" s="35" t="s">
        <v>256</v>
      </c>
      <c r="F8" s="34" t="s">
        <v>272</v>
      </c>
      <c r="G8" s="34" t="s">
        <v>262</v>
      </c>
      <c r="H8" s="34" t="s">
        <v>259</v>
      </c>
      <c r="I8" s="34" t="s">
        <v>45</v>
      </c>
      <c r="J8" s="32">
        <v>4.99</v>
      </c>
      <c r="K8" s="32">
        <v>-0.66</v>
      </c>
      <c r="L8" s="32">
        <v>4.33</v>
      </c>
      <c r="M8" s="52">
        <f t="shared" si="0"/>
        <v>4.33</v>
      </c>
      <c r="N8" s="52">
        <f t="shared" si="1"/>
        <v>0</v>
      </c>
      <c r="O8" s="34" t="s">
        <v>273</v>
      </c>
      <c r="P8" s="32">
        <v>919.41</v>
      </c>
    </row>
    <row r="9" spans="1:16" ht="22.5" customHeight="1">
      <c r="A9" s="50">
        <v>45662</v>
      </c>
      <c r="B9" s="35">
        <v>2025</v>
      </c>
      <c r="C9" s="35">
        <v>1</v>
      </c>
      <c r="D9" s="51">
        <v>0.37520833333333331</v>
      </c>
      <c r="E9" s="35" t="s">
        <v>256</v>
      </c>
      <c r="F9" s="34"/>
      <c r="G9" s="34" t="s">
        <v>274</v>
      </c>
      <c r="H9" s="34" t="s">
        <v>259</v>
      </c>
      <c r="I9" s="34" t="s">
        <v>45</v>
      </c>
      <c r="J9" s="32">
        <v>-500</v>
      </c>
      <c r="K9" s="32">
        <v>0</v>
      </c>
      <c r="L9" s="32">
        <v>-500</v>
      </c>
      <c r="M9" s="52">
        <f t="shared" si="0"/>
        <v>0</v>
      </c>
      <c r="N9" s="52">
        <f t="shared" si="1"/>
        <v>500</v>
      </c>
      <c r="O9" s="34" t="s">
        <v>275</v>
      </c>
      <c r="P9" s="32">
        <v>419.41</v>
      </c>
    </row>
    <row r="10" spans="1:16" ht="22.5" customHeight="1">
      <c r="A10" s="50">
        <v>45663</v>
      </c>
      <c r="B10" s="35">
        <v>2025</v>
      </c>
      <c r="C10" s="35">
        <v>1</v>
      </c>
      <c r="D10" s="51">
        <v>0.13030092592592593</v>
      </c>
      <c r="E10" s="35" t="s">
        <v>256</v>
      </c>
      <c r="F10" s="34" t="s">
        <v>276</v>
      </c>
      <c r="G10" s="34" t="s">
        <v>262</v>
      </c>
      <c r="H10" s="34" t="s">
        <v>259</v>
      </c>
      <c r="I10" s="34" t="s">
        <v>45</v>
      </c>
      <c r="J10" s="32">
        <v>4.99</v>
      </c>
      <c r="K10" s="32">
        <v>-0.74</v>
      </c>
      <c r="L10" s="32">
        <v>4.25</v>
      </c>
      <c r="M10" s="52">
        <f t="shared" si="0"/>
        <v>4.25</v>
      </c>
      <c r="N10" s="52">
        <f t="shared" si="1"/>
        <v>0</v>
      </c>
      <c r="O10" s="34" t="s">
        <v>277</v>
      </c>
      <c r="P10" s="32">
        <v>423.66</v>
      </c>
    </row>
    <row r="11" spans="1:16" ht="22.5" customHeight="1">
      <c r="A11" s="50">
        <v>45663</v>
      </c>
      <c r="B11" s="35">
        <v>2025</v>
      </c>
      <c r="C11" s="35">
        <v>1</v>
      </c>
      <c r="D11" s="51">
        <v>0.14759259259259258</v>
      </c>
      <c r="E11" s="35" t="s">
        <v>256</v>
      </c>
      <c r="F11" s="34" t="s">
        <v>278</v>
      </c>
      <c r="G11" s="34" t="s">
        <v>262</v>
      </c>
      <c r="H11" s="34" t="s">
        <v>259</v>
      </c>
      <c r="I11" s="34" t="s">
        <v>45</v>
      </c>
      <c r="J11" s="32">
        <v>2.99</v>
      </c>
      <c r="K11" s="32">
        <v>-0.64</v>
      </c>
      <c r="L11" s="32">
        <v>2.35</v>
      </c>
      <c r="M11" s="52">
        <f t="shared" si="0"/>
        <v>2.35</v>
      </c>
      <c r="N11" s="52">
        <f t="shared" si="1"/>
        <v>0</v>
      </c>
      <c r="O11" s="34" t="s">
        <v>279</v>
      </c>
      <c r="P11" s="32">
        <v>426.01</v>
      </c>
    </row>
    <row r="12" spans="1:16" ht="22.5" customHeight="1">
      <c r="A12" s="50">
        <v>45663</v>
      </c>
      <c r="B12" s="35">
        <v>2025</v>
      </c>
      <c r="C12" s="35">
        <v>1</v>
      </c>
      <c r="D12" s="51">
        <v>0.33469907407407407</v>
      </c>
      <c r="E12" s="35" t="s">
        <v>256</v>
      </c>
      <c r="F12" s="34" t="s">
        <v>9</v>
      </c>
      <c r="G12" s="34" t="s">
        <v>280</v>
      </c>
      <c r="H12" s="34" t="s">
        <v>281</v>
      </c>
      <c r="I12" s="34" t="s">
        <v>45</v>
      </c>
      <c r="J12" s="32">
        <v>-2.35</v>
      </c>
      <c r="K12" s="32">
        <v>0</v>
      </c>
      <c r="L12" s="32">
        <v>-2.35</v>
      </c>
      <c r="M12" s="52">
        <f t="shared" si="0"/>
        <v>0</v>
      </c>
      <c r="N12" s="52">
        <f t="shared" si="1"/>
        <v>2.35</v>
      </c>
      <c r="O12" s="34" t="s">
        <v>282</v>
      </c>
      <c r="P12" s="32">
        <v>423.66</v>
      </c>
    </row>
    <row r="13" spans="1:16" ht="22.5" customHeight="1">
      <c r="A13" s="50">
        <v>45663</v>
      </c>
      <c r="B13" s="35">
        <v>2025</v>
      </c>
      <c r="C13" s="35">
        <v>1</v>
      </c>
      <c r="D13" s="51">
        <v>0.34497685185185184</v>
      </c>
      <c r="E13" s="35" t="s">
        <v>256</v>
      </c>
      <c r="F13" s="34" t="s">
        <v>9</v>
      </c>
      <c r="G13" s="34" t="s">
        <v>283</v>
      </c>
      <c r="H13" s="34" t="s">
        <v>259</v>
      </c>
      <c r="I13" s="34" t="s">
        <v>45</v>
      </c>
      <c r="J13" s="32">
        <v>-2.99</v>
      </c>
      <c r="K13" s="32">
        <v>0</v>
      </c>
      <c r="L13" s="32">
        <v>-2.99</v>
      </c>
      <c r="M13" s="52">
        <f t="shared" si="0"/>
        <v>0</v>
      </c>
      <c r="N13" s="52">
        <f t="shared" si="1"/>
        <v>2.99</v>
      </c>
      <c r="O13" s="34" t="s">
        <v>284</v>
      </c>
      <c r="P13" s="32">
        <v>420.67</v>
      </c>
    </row>
    <row r="14" spans="1:16" ht="22.5" customHeight="1">
      <c r="A14" s="50">
        <v>45663</v>
      </c>
      <c r="B14" s="35">
        <v>2025</v>
      </c>
      <c r="C14" s="35">
        <v>1</v>
      </c>
      <c r="D14" s="51">
        <v>0.34497685185185184</v>
      </c>
      <c r="E14" s="35" t="s">
        <v>256</v>
      </c>
      <c r="F14" s="34" t="s">
        <v>9</v>
      </c>
      <c r="G14" s="34" t="s">
        <v>285</v>
      </c>
      <c r="H14" s="34" t="s">
        <v>286</v>
      </c>
      <c r="I14" s="34" t="s">
        <v>45</v>
      </c>
      <c r="J14" s="32">
        <v>2.35</v>
      </c>
      <c r="K14" s="32">
        <v>0</v>
      </c>
      <c r="L14" s="32">
        <v>2.35</v>
      </c>
      <c r="M14" s="52">
        <f t="shared" si="0"/>
        <v>2.35</v>
      </c>
      <c r="N14" s="52">
        <f t="shared" si="1"/>
        <v>0</v>
      </c>
      <c r="O14" s="34" t="s">
        <v>282</v>
      </c>
      <c r="P14" s="32">
        <v>423.02</v>
      </c>
    </row>
    <row r="15" spans="1:16" ht="22.5" customHeight="1">
      <c r="A15" s="50">
        <v>45663</v>
      </c>
      <c r="B15" s="35">
        <v>2025</v>
      </c>
      <c r="C15" s="35">
        <v>1</v>
      </c>
      <c r="D15" s="51">
        <v>0.7152546296296296</v>
      </c>
      <c r="E15" s="35" t="s">
        <v>256</v>
      </c>
      <c r="F15" s="34" t="s">
        <v>9</v>
      </c>
      <c r="G15" s="34" t="s">
        <v>280</v>
      </c>
      <c r="H15" s="34" t="s">
        <v>281</v>
      </c>
      <c r="I15" s="34" t="s">
        <v>45</v>
      </c>
      <c r="J15" s="32">
        <v>-4.25</v>
      </c>
      <c r="K15" s="32">
        <v>0</v>
      </c>
      <c r="L15" s="32">
        <v>-4.25</v>
      </c>
      <c r="M15" s="52">
        <f t="shared" si="0"/>
        <v>0</v>
      </c>
      <c r="N15" s="52">
        <f t="shared" si="1"/>
        <v>4.25</v>
      </c>
      <c r="O15" s="34" t="s">
        <v>287</v>
      </c>
      <c r="P15" s="32">
        <v>418.77</v>
      </c>
    </row>
    <row r="16" spans="1:16" ht="22.5" customHeight="1">
      <c r="A16" s="50">
        <v>45663</v>
      </c>
      <c r="B16" s="35">
        <v>2025</v>
      </c>
      <c r="C16" s="35">
        <v>1</v>
      </c>
      <c r="D16" s="51">
        <v>0.85825231481481479</v>
      </c>
      <c r="E16" s="35" t="s">
        <v>256</v>
      </c>
      <c r="F16" s="34" t="s">
        <v>288</v>
      </c>
      <c r="G16" s="34" t="s">
        <v>262</v>
      </c>
      <c r="H16" s="34" t="s">
        <v>259</v>
      </c>
      <c r="I16" s="34" t="s">
        <v>45</v>
      </c>
      <c r="J16" s="32">
        <v>1.0900000000000001</v>
      </c>
      <c r="K16" s="32">
        <v>-0.53</v>
      </c>
      <c r="L16" s="32">
        <v>0.56000000000000005</v>
      </c>
      <c r="M16" s="52">
        <f t="shared" si="0"/>
        <v>0.56000000000000005</v>
      </c>
      <c r="N16" s="52">
        <f t="shared" si="1"/>
        <v>0</v>
      </c>
      <c r="O16" s="34" t="s">
        <v>289</v>
      </c>
      <c r="P16" s="32">
        <v>419.33</v>
      </c>
    </row>
    <row r="17" spans="1:16" ht="22.5" customHeight="1">
      <c r="A17" s="50">
        <v>45663</v>
      </c>
      <c r="B17" s="35">
        <v>2025</v>
      </c>
      <c r="C17" s="35">
        <v>1</v>
      </c>
      <c r="D17" s="51">
        <v>0.86299768518518516</v>
      </c>
      <c r="E17" s="35" t="s">
        <v>256</v>
      </c>
      <c r="F17" s="34" t="s">
        <v>9</v>
      </c>
      <c r="G17" s="34" t="s">
        <v>283</v>
      </c>
      <c r="H17" s="34" t="s">
        <v>259</v>
      </c>
      <c r="I17" s="34" t="s">
        <v>45</v>
      </c>
      <c r="J17" s="32">
        <v>-4.99</v>
      </c>
      <c r="K17" s="32">
        <v>0</v>
      </c>
      <c r="L17" s="32">
        <v>-4.99</v>
      </c>
      <c r="M17" s="52">
        <f t="shared" si="0"/>
        <v>0</v>
      </c>
      <c r="N17" s="52">
        <f t="shared" si="1"/>
        <v>4.99</v>
      </c>
      <c r="O17" s="34" t="s">
        <v>290</v>
      </c>
      <c r="P17" s="32">
        <v>414.34</v>
      </c>
    </row>
    <row r="18" spans="1:16" ht="22.5" customHeight="1">
      <c r="A18" s="50">
        <v>45663</v>
      </c>
      <c r="B18" s="35">
        <v>2025</v>
      </c>
      <c r="C18" s="35">
        <v>1</v>
      </c>
      <c r="D18" s="51">
        <v>0.86299768518518516</v>
      </c>
      <c r="E18" s="35" t="s">
        <v>256</v>
      </c>
      <c r="F18" s="34" t="s">
        <v>9</v>
      </c>
      <c r="G18" s="34" t="s">
        <v>285</v>
      </c>
      <c r="H18" s="34" t="s">
        <v>286</v>
      </c>
      <c r="I18" s="34" t="s">
        <v>45</v>
      </c>
      <c r="J18" s="32">
        <v>4.25</v>
      </c>
      <c r="K18" s="32">
        <v>0</v>
      </c>
      <c r="L18" s="32">
        <v>4.25</v>
      </c>
      <c r="M18" s="52">
        <f t="shared" si="0"/>
        <v>4.25</v>
      </c>
      <c r="N18" s="52">
        <f t="shared" si="1"/>
        <v>0</v>
      </c>
      <c r="O18" s="34" t="s">
        <v>287</v>
      </c>
      <c r="P18" s="32">
        <v>418.59</v>
      </c>
    </row>
    <row r="19" spans="1:16" ht="22.5" customHeight="1">
      <c r="A19" s="50">
        <v>45664</v>
      </c>
      <c r="B19" s="35">
        <v>2025</v>
      </c>
      <c r="C19" s="35">
        <v>1</v>
      </c>
      <c r="D19" s="51">
        <v>0.85465277777777782</v>
      </c>
      <c r="E19" s="35" t="s">
        <v>256</v>
      </c>
      <c r="F19" s="34" t="s">
        <v>272</v>
      </c>
      <c r="G19" s="34" t="s">
        <v>291</v>
      </c>
      <c r="H19" s="34" t="s">
        <v>259</v>
      </c>
      <c r="I19" s="34" t="s">
        <v>45</v>
      </c>
      <c r="J19" s="32">
        <v>-4.99</v>
      </c>
      <c r="K19" s="32">
        <v>0.17</v>
      </c>
      <c r="L19" s="32">
        <v>-4.82</v>
      </c>
      <c r="M19" s="52">
        <f t="shared" si="0"/>
        <v>0</v>
      </c>
      <c r="N19" s="52">
        <f t="shared" si="1"/>
        <v>4.82</v>
      </c>
      <c r="O19" s="34" t="s">
        <v>292</v>
      </c>
      <c r="P19" s="32">
        <v>413.77</v>
      </c>
    </row>
    <row r="20" spans="1:16" ht="22.5" customHeight="1">
      <c r="A20" s="50">
        <v>45665</v>
      </c>
      <c r="B20" s="35">
        <v>2025</v>
      </c>
      <c r="C20" s="35">
        <v>1</v>
      </c>
      <c r="D20" s="51">
        <v>0.96483796296296298</v>
      </c>
      <c r="E20" s="35" t="s">
        <v>256</v>
      </c>
      <c r="F20" s="34" t="s">
        <v>293</v>
      </c>
      <c r="G20" s="34" t="s">
        <v>258</v>
      </c>
      <c r="H20" s="34" t="s">
        <v>259</v>
      </c>
      <c r="I20" s="34" t="s">
        <v>45</v>
      </c>
      <c r="J20" s="32">
        <v>2.4900000000000002</v>
      </c>
      <c r="K20" s="32">
        <v>-0.61</v>
      </c>
      <c r="L20" s="32">
        <v>1.88</v>
      </c>
      <c r="M20" s="52">
        <f t="shared" si="0"/>
        <v>1.88</v>
      </c>
      <c r="N20" s="52">
        <f t="shared" si="1"/>
        <v>0</v>
      </c>
      <c r="O20" s="34" t="s">
        <v>294</v>
      </c>
      <c r="P20" s="32">
        <v>415.65</v>
      </c>
    </row>
    <row r="21" spans="1:16" ht="22.5" customHeight="1">
      <c r="A21" s="50">
        <v>45665</v>
      </c>
      <c r="B21" s="35">
        <v>2025</v>
      </c>
      <c r="C21" s="35">
        <v>1</v>
      </c>
      <c r="D21" s="51">
        <v>0.9964467592592593</v>
      </c>
      <c r="E21" s="35" t="s">
        <v>256</v>
      </c>
      <c r="F21" s="34" t="s">
        <v>293</v>
      </c>
      <c r="G21" s="34" t="s">
        <v>291</v>
      </c>
      <c r="H21" s="34" t="s">
        <v>259</v>
      </c>
      <c r="I21" s="34" t="s">
        <v>45</v>
      </c>
      <c r="J21" s="32">
        <v>-2.4900000000000002</v>
      </c>
      <c r="K21" s="32">
        <v>0.12</v>
      </c>
      <c r="L21" s="32">
        <v>-2.37</v>
      </c>
      <c r="M21" s="52">
        <f t="shared" si="0"/>
        <v>0</v>
      </c>
      <c r="N21" s="52">
        <f t="shared" si="1"/>
        <v>2.37</v>
      </c>
      <c r="O21" s="34" t="s">
        <v>295</v>
      </c>
      <c r="P21" s="32">
        <v>413.28</v>
      </c>
    </row>
    <row r="22" spans="1:16" ht="22.5" customHeight="1">
      <c r="A22" s="50">
        <v>45667</v>
      </c>
      <c r="B22" s="35">
        <v>2025</v>
      </c>
      <c r="C22" s="35">
        <v>1</v>
      </c>
      <c r="D22" s="51">
        <v>0.97157407407407403</v>
      </c>
      <c r="E22" s="35" t="s">
        <v>256</v>
      </c>
      <c r="F22" s="34" t="s">
        <v>296</v>
      </c>
      <c r="G22" s="34" t="s">
        <v>262</v>
      </c>
      <c r="H22" s="34" t="s">
        <v>259</v>
      </c>
      <c r="I22" s="34" t="s">
        <v>45</v>
      </c>
      <c r="J22" s="32">
        <v>8.4</v>
      </c>
      <c r="K22" s="32">
        <v>-0.91</v>
      </c>
      <c r="L22" s="32">
        <v>7.49</v>
      </c>
      <c r="M22" s="52">
        <f t="shared" si="0"/>
        <v>7.49</v>
      </c>
      <c r="N22" s="52">
        <f t="shared" si="1"/>
        <v>0</v>
      </c>
      <c r="O22" s="34" t="s">
        <v>297</v>
      </c>
      <c r="P22" s="32">
        <v>420.77</v>
      </c>
    </row>
    <row r="23" spans="1:16" ht="22.5" customHeight="1">
      <c r="A23" s="50">
        <v>45668</v>
      </c>
      <c r="B23" s="35">
        <v>2025</v>
      </c>
      <c r="C23" s="35">
        <v>1</v>
      </c>
      <c r="D23" s="51">
        <v>0.38232638888888887</v>
      </c>
      <c r="E23" s="35" t="s">
        <v>256</v>
      </c>
      <c r="F23" s="34" t="s">
        <v>298</v>
      </c>
      <c r="G23" s="34" t="s">
        <v>258</v>
      </c>
      <c r="H23" s="34" t="s">
        <v>259</v>
      </c>
      <c r="I23" s="34" t="s">
        <v>45</v>
      </c>
      <c r="J23" s="32">
        <v>20.25</v>
      </c>
      <c r="K23" s="32">
        <v>-1.5</v>
      </c>
      <c r="L23" s="32">
        <v>18.75</v>
      </c>
      <c r="M23" s="52">
        <f t="shared" si="0"/>
        <v>18.75</v>
      </c>
      <c r="N23" s="52">
        <f t="shared" si="1"/>
        <v>0</v>
      </c>
      <c r="O23" s="34" t="s">
        <v>299</v>
      </c>
      <c r="P23" s="32">
        <v>439.52</v>
      </c>
    </row>
    <row r="24" spans="1:16" ht="22.5" customHeight="1">
      <c r="A24" s="50">
        <v>45668</v>
      </c>
      <c r="B24" s="35">
        <v>2025</v>
      </c>
      <c r="C24" s="35">
        <v>1</v>
      </c>
      <c r="D24" s="51">
        <v>0.98124999999999996</v>
      </c>
      <c r="E24" s="35" t="s">
        <v>256</v>
      </c>
      <c r="F24" s="34" t="s">
        <v>300</v>
      </c>
      <c r="G24" s="34" t="s">
        <v>258</v>
      </c>
      <c r="H24" s="34" t="s">
        <v>259</v>
      </c>
      <c r="I24" s="34" t="s">
        <v>45</v>
      </c>
      <c r="J24" s="32">
        <v>1.0900000000000001</v>
      </c>
      <c r="K24" s="32">
        <v>-0.54</v>
      </c>
      <c r="L24" s="32">
        <v>0.55000000000000004</v>
      </c>
      <c r="M24" s="52">
        <f t="shared" si="0"/>
        <v>0.55000000000000004</v>
      </c>
      <c r="N24" s="52">
        <f t="shared" si="1"/>
        <v>0</v>
      </c>
      <c r="O24" s="34" t="s">
        <v>301</v>
      </c>
      <c r="P24" s="32">
        <v>440.07</v>
      </c>
    </row>
    <row r="25" spans="1:16" ht="22.5" customHeight="1">
      <c r="A25" s="50">
        <v>45669</v>
      </c>
      <c r="B25" s="35">
        <v>2025</v>
      </c>
      <c r="C25" s="35">
        <v>1</v>
      </c>
      <c r="D25" s="51">
        <v>0.32299768518518518</v>
      </c>
      <c r="E25" s="35" t="s">
        <v>256</v>
      </c>
      <c r="F25" s="34" t="s">
        <v>302</v>
      </c>
      <c r="G25" s="34" t="s">
        <v>258</v>
      </c>
      <c r="H25" s="34" t="s">
        <v>259</v>
      </c>
      <c r="I25" s="34" t="s">
        <v>45</v>
      </c>
      <c r="J25" s="32">
        <v>20.25</v>
      </c>
      <c r="K25" s="32">
        <v>-1.2</v>
      </c>
      <c r="L25" s="32">
        <v>19.05</v>
      </c>
      <c r="M25" s="52">
        <f t="shared" si="0"/>
        <v>19.05</v>
      </c>
      <c r="N25" s="52">
        <f t="shared" si="1"/>
        <v>0</v>
      </c>
      <c r="O25" s="34" t="s">
        <v>303</v>
      </c>
      <c r="P25" s="32">
        <v>459.12</v>
      </c>
    </row>
    <row r="26" spans="1:16" ht="22.5" customHeight="1">
      <c r="A26" s="50">
        <v>45670</v>
      </c>
      <c r="B26" s="35">
        <v>2025</v>
      </c>
      <c r="C26" s="35">
        <v>1</v>
      </c>
      <c r="D26" s="51">
        <v>8.0682870370370377E-2</v>
      </c>
      <c r="E26" s="35" t="s">
        <v>256</v>
      </c>
      <c r="F26" s="34" t="s">
        <v>304</v>
      </c>
      <c r="G26" s="34" t="s">
        <v>258</v>
      </c>
      <c r="H26" s="34" t="s">
        <v>259</v>
      </c>
      <c r="I26" s="34" t="s">
        <v>45</v>
      </c>
      <c r="J26" s="32">
        <v>3.99</v>
      </c>
      <c r="K26" s="32">
        <v>-0.63</v>
      </c>
      <c r="L26" s="32">
        <v>3.36</v>
      </c>
      <c r="M26" s="52">
        <f t="shared" si="0"/>
        <v>3.36</v>
      </c>
      <c r="N26" s="52">
        <f t="shared" si="1"/>
        <v>0</v>
      </c>
      <c r="O26" s="34" t="s">
        <v>305</v>
      </c>
      <c r="P26" s="32">
        <v>462.48</v>
      </c>
    </row>
    <row r="27" spans="1:16" ht="22.5" customHeight="1">
      <c r="A27" s="50">
        <v>45673</v>
      </c>
      <c r="B27" s="35">
        <v>2025</v>
      </c>
      <c r="C27" s="35">
        <v>1</v>
      </c>
      <c r="D27" s="51">
        <v>0.12896990740740741</v>
      </c>
      <c r="E27" s="35" t="s">
        <v>256</v>
      </c>
      <c r="F27" s="34" t="s">
        <v>306</v>
      </c>
      <c r="G27" s="34" t="s">
        <v>262</v>
      </c>
      <c r="H27" s="34" t="s">
        <v>259</v>
      </c>
      <c r="I27" s="34" t="s">
        <v>45</v>
      </c>
      <c r="J27" s="32">
        <v>1.0900000000000001</v>
      </c>
      <c r="K27" s="32">
        <v>-0.54</v>
      </c>
      <c r="L27" s="32">
        <v>0.55000000000000004</v>
      </c>
      <c r="M27" s="52">
        <f t="shared" si="0"/>
        <v>0.55000000000000004</v>
      </c>
      <c r="N27" s="52">
        <f t="shared" si="1"/>
        <v>0</v>
      </c>
      <c r="O27" s="34" t="s">
        <v>307</v>
      </c>
      <c r="P27" s="32">
        <v>463.03</v>
      </c>
    </row>
    <row r="28" spans="1:16" ht="22.5" customHeight="1">
      <c r="A28" s="50">
        <v>45673</v>
      </c>
      <c r="B28" s="35">
        <v>2025</v>
      </c>
      <c r="C28" s="35">
        <v>1</v>
      </c>
      <c r="D28" s="51">
        <v>0.89179398148148148</v>
      </c>
      <c r="E28" s="35" t="s">
        <v>256</v>
      </c>
      <c r="F28" s="34" t="s">
        <v>308</v>
      </c>
      <c r="G28" s="34" t="s">
        <v>262</v>
      </c>
      <c r="H28" s="34" t="s">
        <v>259</v>
      </c>
      <c r="I28" s="34" t="s">
        <v>45</v>
      </c>
      <c r="J28" s="32">
        <v>8.39</v>
      </c>
      <c r="K28" s="32">
        <v>-0.91</v>
      </c>
      <c r="L28" s="32">
        <v>7.48</v>
      </c>
      <c r="M28" s="52">
        <f t="shared" si="0"/>
        <v>7.48</v>
      </c>
      <c r="N28" s="52">
        <f t="shared" si="1"/>
        <v>0</v>
      </c>
      <c r="O28" s="34" t="s">
        <v>309</v>
      </c>
      <c r="P28" s="32">
        <v>470.51</v>
      </c>
    </row>
    <row r="29" spans="1:16" ht="22.5" customHeight="1">
      <c r="A29" s="50">
        <v>45674</v>
      </c>
      <c r="B29" s="35">
        <v>2025</v>
      </c>
      <c r="C29" s="35">
        <v>1</v>
      </c>
      <c r="D29" s="51">
        <v>0.41363425925925928</v>
      </c>
      <c r="E29" s="35" t="s">
        <v>256</v>
      </c>
      <c r="F29" s="34" t="s">
        <v>310</v>
      </c>
      <c r="G29" s="34" t="s">
        <v>262</v>
      </c>
      <c r="H29" s="34" t="s">
        <v>259</v>
      </c>
      <c r="I29" s="34" t="s">
        <v>45</v>
      </c>
      <c r="J29" s="32">
        <v>20.25</v>
      </c>
      <c r="K29" s="32">
        <v>-1.5</v>
      </c>
      <c r="L29" s="32">
        <v>18.75</v>
      </c>
      <c r="M29" s="52">
        <f t="shared" si="0"/>
        <v>18.75</v>
      </c>
      <c r="N29" s="52">
        <f t="shared" si="1"/>
        <v>0</v>
      </c>
      <c r="O29" s="34" t="s">
        <v>311</v>
      </c>
      <c r="P29" s="32">
        <v>489.26</v>
      </c>
    </row>
    <row r="30" spans="1:16" ht="22.5" customHeight="1">
      <c r="A30" s="50">
        <v>45674</v>
      </c>
      <c r="B30" s="35">
        <v>2025</v>
      </c>
      <c r="C30" s="35">
        <v>1</v>
      </c>
      <c r="D30" s="51">
        <v>0.49163194444444447</v>
      </c>
      <c r="E30" s="35" t="s">
        <v>256</v>
      </c>
      <c r="F30" s="34" t="s">
        <v>312</v>
      </c>
      <c r="G30" s="34" t="s">
        <v>262</v>
      </c>
      <c r="H30" s="34" t="s">
        <v>259</v>
      </c>
      <c r="I30" s="34" t="s">
        <v>45</v>
      </c>
      <c r="J30" s="32">
        <v>8.39</v>
      </c>
      <c r="K30" s="32">
        <v>-0.91</v>
      </c>
      <c r="L30" s="32">
        <v>7.48</v>
      </c>
      <c r="M30" s="52">
        <f t="shared" si="0"/>
        <v>7.48</v>
      </c>
      <c r="N30" s="52">
        <f t="shared" si="1"/>
        <v>0</v>
      </c>
      <c r="O30" s="34" t="s">
        <v>313</v>
      </c>
      <c r="P30" s="32">
        <v>496.74</v>
      </c>
    </row>
    <row r="31" spans="1:16" ht="22.5" customHeight="1">
      <c r="A31" s="50">
        <v>45675</v>
      </c>
      <c r="B31" s="35">
        <v>2025</v>
      </c>
      <c r="C31" s="35">
        <v>1</v>
      </c>
      <c r="D31" s="51">
        <v>0.13931712962962964</v>
      </c>
      <c r="E31" s="35" t="s">
        <v>256</v>
      </c>
      <c r="F31" s="34" t="s">
        <v>9</v>
      </c>
      <c r="G31" s="34" t="s">
        <v>280</v>
      </c>
      <c r="H31" s="34" t="s">
        <v>281</v>
      </c>
      <c r="I31" s="34" t="s">
        <v>45</v>
      </c>
      <c r="J31" s="32">
        <v>-18.75</v>
      </c>
      <c r="K31" s="32">
        <v>0</v>
      </c>
      <c r="L31" s="32">
        <v>-18.75</v>
      </c>
      <c r="M31" s="52">
        <f t="shared" si="0"/>
        <v>0</v>
      </c>
      <c r="N31" s="52">
        <f t="shared" si="1"/>
        <v>18.75</v>
      </c>
      <c r="O31" s="34" t="s">
        <v>314</v>
      </c>
      <c r="P31" s="32">
        <v>477.99</v>
      </c>
    </row>
    <row r="32" spans="1:16" ht="22.5" customHeight="1">
      <c r="A32" s="50">
        <v>45677</v>
      </c>
      <c r="B32" s="35">
        <v>2025</v>
      </c>
      <c r="C32" s="35">
        <v>1</v>
      </c>
      <c r="D32" s="51">
        <v>0.36494212962962963</v>
      </c>
      <c r="E32" s="35" t="s">
        <v>256</v>
      </c>
      <c r="F32" s="34" t="s">
        <v>315</v>
      </c>
      <c r="G32" s="34" t="s">
        <v>258</v>
      </c>
      <c r="H32" s="34" t="s">
        <v>259</v>
      </c>
      <c r="I32" s="34" t="s">
        <v>45</v>
      </c>
      <c r="J32" s="32">
        <v>20.25</v>
      </c>
      <c r="K32" s="32">
        <v>-1.5</v>
      </c>
      <c r="L32" s="32">
        <v>18.75</v>
      </c>
      <c r="M32" s="52">
        <f t="shared" si="0"/>
        <v>18.75</v>
      </c>
      <c r="N32" s="52">
        <f t="shared" si="1"/>
        <v>0</v>
      </c>
      <c r="O32" s="34" t="s">
        <v>316</v>
      </c>
      <c r="P32" s="32">
        <v>496.74</v>
      </c>
    </row>
    <row r="33" spans="1:16" ht="22.5" customHeight="1">
      <c r="A33" s="50">
        <v>45678</v>
      </c>
      <c r="B33" s="35">
        <v>2025</v>
      </c>
      <c r="C33" s="35">
        <v>1</v>
      </c>
      <c r="D33" s="51">
        <v>9.3622685185185184E-2</v>
      </c>
      <c r="E33" s="35" t="s">
        <v>256</v>
      </c>
      <c r="F33" s="34" t="s">
        <v>317</v>
      </c>
      <c r="G33" s="34" t="s">
        <v>262</v>
      </c>
      <c r="H33" s="34" t="s">
        <v>259</v>
      </c>
      <c r="I33" s="34" t="s">
        <v>45</v>
      </c>
      <c r="J33" s="32">
        <v>4.99</v>
      </c>
      <c r="K33" s="32">
        <v>-0.74</v>
      </c>
      <c r="L33" s="32">
        <v>4.25</v>
      </c>
      <c r="M33" s="52">
        <f t="shared" si="0"/>
        <v>4.25</v>
      </c>
      <c r="N33" s="52">
        <f t="shared" si="1"/>
        <v>0</v>
      </c>
      <c r="O33" s="34" t="s">
        <v>318</v>
      </c>
      <c r="P33" s="32">
        <v>500.99</v>
      </c>
    </row>
    <row r="34" spans="1:16" ht="22.5" customHeight="1">
      <c r="A34" s="50">
        <v>45678</v>
      </c>
      <c r="B34" s="35">
        <v>2025</v>
      </c>
      <c r="C34" s="35">
        <v>1</v>
      </c>
      <c r="D34" s="51">
        <v>0.5241203703703704</v>
      </c>
      <c r="E34" s="35" t="s">
        <v>256</v>
      </c>
      <c r="F34" s="34" t="s">
        <v>319</v>
      </c>
      <c r="G34" s="34" t="s">
        <v>320</v>
      </c>
      <c r="H34" s="34" t="s">
        <v>259</v>
      </c>
      <c r="I34" s="34" t="s">
        <v>45</v>
      </c>
      <c r="J34" s="32">
        <v>-2.5</v>
      </c>
      <c r="K34" s="32">
        <v>0</v>
      </c>
      <c r="L34" s="32">
        <v>-2.5</v>
      </c>
      <c r="M34" s="52">
        <f t="shared" si="0"/>
        <v>0</v>
      </c>
      <c r="N34" s="52">
        <f t="shared" si="1"/>
        <v>2.5</v>
      </c>
      <c r="O34" s="34" t="s">
        <v>321</v>
      </c>
      <c r="P34" s="32">
        <v>498.49</v>
      </c>
    </row>
    <row r="35" spans="1:16" ht="22.5" customHeight="1">
      <c r="A35" s="50">
        <v>45679</v>
      </c>
      <c r="B35" s="35">
        <v>2025</v>
      </c>
      <c r="C35" s="35">
        <v>1</v>
      </c>
      <c r="D35" s="51">
        <v>0.39041666666666669</v>
      </c>
      <c r="E35" s="35" t="s">
        <v>256</v>
      </c>
      <c r="F35" s="34" t="s">
        <v>322</v>
      </c>
      <c r="G35" s="34" t="s">
        <v>262</v>
      </c>
      <c r="H35" s="34" t="s">
        <v>259</v>
      </c>
      <c r="I35" s="34" t="s">
        <v>45</v>
      </c>
      <c r="J35" s="32">
        <v>20.25</v>
      </c>
      <c r="K35" s="32">
        <v>-1.5</v>
      </c>
      <c r="L35" s="32">
        <v>18.75</v>
      </c>
      <c r="M35" s="52">
        <f t="shared" si="0"/>
        <v>18.75</v>
      </c>
      <c r="N35" s="52">
        <f t="shared" si="1"/>
        <v>0</v>
      </c>
      <c r="O35" s="34" t="s">
        <v>323</v>
      </c>
      <c r="P35" s="32">
        <v>517.24</v>
      </c>
    </row>
    <row r="36" spans="1:16" ht="22.5" customHeight="1">
      <c r="A36" s="50">
        <v>45679</v>
      </c>
      <c r="B36" s="35">
        <v>2025</v>
      </c>
      <c r="C36" s="35">
        <v>1</v>
      </c>
      <c r="D36" s="51">
        <v>0.44819444444444445</v>
      </c>
      <c r="E36" s="35" t="s">
        <v>256</v>
      </c>
      <c r="F36" s="34" t="s">
        <v>324</v>
      </c>
      <c r="G36" s="34" t="s">
        <v>258</v>
      </c>
      <c r="H36" s="34" t="s">
        <v>259</v>
      </c>
      <c r="I36" s="34" t="s">
        <v>45</v>
      </c>
      <c r="J36" s="32">
        <v>20.25</v>
      </c>
      <c r="K36" s="32">
        <v>-1.5</v>
      </c>
      <c r="L36" s="32">
        <v>18.75</v>
      </c>
      <c r="M36" s="52">
        <f t="shared" si="0"/>
        <v>18.75</v>
      </c>
      <c r="N36" s="52">
        <f t="shared" si="1"/>
        <v>0</v>
      </c>
      <c r="O36" s="34" t="s">
        <v>325</v>
      </c>
      <c r="P36" s="32">
        <v>535.99</v>
      </c>
    </row>
    <row r="37" spans="1:16" ht="22.5" customHeight="1">
      <c r="A37" s="50">
        <v>45680</v>
      </c>
      <c r="B37" s="35">
        <v>2025</v>
      </c>
      <c r="C37" s="35">
        <v>1</v>
      </c>
      <c r="D37" s="51">
        <v>0.27421296296296294</v>
      </c>
      <c r="E37" s="35" t="s">
        <v>256</v>
      </c>
      <c r="F37" s="34" t="s">
        <v>326</v>
      </c>
      <c r="G37" s="34" t="s">
        <v>262</v>
      </c>
      <c r="H37" s="34" t="s">
        <v>259</v>
      </c>
      <c r="I37" s="34" t="s">
        <v>45</v>
      </c>
      <c r="J37" s="32">
        <v>20.25</v>
      </c>
      <c r="K37" s="32">
        <v>-1.2</v>
      </c>
      <c r="L37" s="32">
        <v>19.05</v>
      </c>
      <c r="M37" s="52">
        <f t="shared" si="0"/>
        <v>19.05</v>
      </c>
      <c r="N37" s="52">
        <f t="shared" si="1"/>
        <v>0</v>
      </c>
      <c r="O37" s="34" t="s">
        <v>327</v>
      </c>
      <c r="P37" s="32">
        <v>555.04</v>
      </c>
    </row>
    <row r="38" spans="1:16" ht="22.5" customHeight="1">
      <c r="A38" s="50">
        <v>45680</v>
      </c>
      <c r="B38" s="35">
        <v>2025</v>
      </c>
      <c r="C38" s="35">
        <v>1</v>
      </c>
      <c r="D38" s="51">
        <v>0.88248842592592591</v>
      </c>
      <c r="E38" s="35" t="s">
        <v>256</v>
      </c>
      <c r="F38" s="34" t="s">
        <v>328</v>
      </c>
      <c r="G38" s="34" t="s">
        <v>258</v>
      </c>
      <c r="H38" s="34" t="s">
        <v>259</v>
      </c>
      <c r="I38" s="34" t="s">
        <v>45</v>
      </c>
      <c r="J38" s="32">
        <v>5.99</v>
      </c>
      <c r="K38" s="32">
        <v>-0.79</v>
      </c>
      <c r="L38" s="32">
        <v>5.2</v>
      </c>
      <c r="M38" s="52">
        <f t="shared" si="0"/>
        <v>5.2</v>
      </c>
      <c r="N38" s="52">
        <f t="shared" si="1"/>
        <v>0</v>
      </c>
      <c r="O38" s="34" t="s">
        <v>329</v>
      </c>
      <c r="P38" s="32">
        <v>560.24</v>
      </c>
    </row>
    <row r="39" spans="1:16" ht="22.5" customHeight="1">
      <c r="A39" s="50">
        <v>45687</v>
      </c>
      <c r="B39" s="35">
        <v>2025</v>
      </c>
      <c r="C39" s="35">
        <v>1</v>
      </c>
      <c r="D39" s="51">
        <v>5.8564814814814816E-3</v>
      </c>
      <c r="E39" s="35" t="s">
        <v>256</v>
      </c>
      <c r="F39" s="34" t="s">
        <v>9</v>
      </c>
      <c r="G39" s="34" t="s">
        <v>330</v>
      </c>
      <c r="H39" s="34" t="s">
        <v>259</v>
      </c>
      <c r="I39" s="34" t="s">
        <v>45</v>
      </c>
      <c r="J39" s="32">
        <v>-20.25</v>
      </c>
      <c r="K39" s="32">
        <v>1.5</v>
      </c>
      <c r="L39" s="32">
        <v>-18.75</v>
      </c>
      <c r="M39" s="52">
        <f t="shared" si="0"/>
        <v>0</v>
      </c>
      <c r="N39" s="52">
        <f t="shared" si="1"/>
        <v>18.75</v>
      </c>
      <c r="O39" s="34" t="s">
        <v>331</v>
      </c>
      <c r="P39" s="32">
        <v>541.49</v>
      </c>
    </row>
    <row r="40" spans="1:16" ht="22.5" customHeight="1">
      <c r="A40" s="50">
        <v>45687</v>
      </c>
      <c r="B40" s="35">
        <v>2025</v>
      </c>
      <c r="C40" s="35">
        <v>1</v>
      </c>
      <c r="D40" s="51">
        <v>5.8564814814814816E-3</v>
      </c>
      <c r="E40" s="35" t="s">
        <v>256</v>
      </c>
      <c r="F40" s="34" t="s">
        <v>9</v>
      </c>
      <c r="G40" s="34" t="s">
        <v>285</v>
      </c>
      <c r="H40" s="34" t="s">
        <v>286</v>
      </c>
      <c r="I40" s="34" t="s">
        <v>45</v>
      </c>
      <c r="J40" s="32">
        <v>18.75</v>
      </c>
      <c r="K40" s="32">
        <v>0</v>
      </c>
      <c r="L40" s="32">
        <v>18.75</v>
      </c>
      <c r="M40" s="52">
        <f t="shared" si="0"/>
        <v>18.75</v>
      </c>
      <c r="N40" s="52">
        <f t="shared" si="1"/>
        <v>0</v>
      </c>
      <c r="O40" s="34" t="s">
        <v>314</v>
      </c>
      <c r="P40" s="32">
        <v>560.24</v>
      </c>
    </row>
    <row r="41" spans="1:16" ht="22.5" customHeight="1">
      <c r="A41" s="50">
        <v>45687</v>
      </c>
      <c r="B41" s="35">
        <v>2025</v>
      </c>
      <c r="C41" s="35">
        <v>1</v>
      </c>
      <c r="D41" s="51">
        <v>0.12487268518518518</v>
      </c>
      <c r="E41" s="35" t="s">
        <v>256</v>
      </c>
      <c r="F41" s="34" t="s">
        <v>332</v>
      </c>
      <c r="G41" s="34" t="s">
        <v>262</v>
      </c>
      <c r="H41" s="34" t="s">
        <v>259</v>
      </c>
      <c r="I41" s="34" t="s">
        <v>45</v>
      </c>
      <c r="J41" s="32">
        <v>1.0900000000000001</v>
      </c>
      <c r="K41" s="32">
        <v>-0.54</v>
      </c>
      <c r="L41" s="32">
        <v>0.55000000000000004</v>
      </c>
      <c r="M41" s="52">
        <f t="shared" si="0"/>
        <v>0.55000000000000004</v>
      </c>
      <c r="N41" s="52">
        <f t="shared" si="1"/>
        <v>0</v>
      </c>
      <c r="O41" s="34" t="s">
        <v>333</v>
      </c>
      <c r="P41" s="32">
        <v>560.79</v>
      </c>
    </row>
    <row r="42" spans="1:16" ht="22.5" customHeight="1">
      <c r="A42" s="50">
        <v>45687</v>
      </c>
      <c r="B42" s="35">
        <v>2025</v>
      </c>
      <c r="C42" s="35">
        <v>1</v>
      </c>
      <c r="D42" s="51">
        <v>0.90392361111111108</v>
      </c>
      <c r="E42" s="35" t="s">
        <v>256</v>
      </c>
      <c r="F42" s="34" t="s">
        <v>319</v>
      </c>
      <c r="G42" s="34" t="s">
        <v>320</v>
      </c>
      <c r="H42" s="34" t="s">
        <v>259</v>
      </c>
      <c r="I42" s="34" t="s">
        <v>45</v>
      </c>
      <c r="J42" s="32">
        <v>-2.5</v>
      </c>
      <c r="K42" s="32">
        <v>0</v>
      </c>
      <c r="L42" s="32">
        <v>-2.5</v>
      </c>
      <c r="M42" s="52">
        <f t="shared" si="0"/>
        <v>0</v>
      </c>
      <c r="N42" s="52">
        <f t="shared" si="1"/>
        <v>2.5</v>
      </c>
      <c r="O42" s="34" t="s">
        <v>334</v>
      </c>
      <c r="P42" s="32">
        <v>558.29</v>
      </c>
    </row>
    <row r="43" spans="1:16" ht="22.5" customHeight="1">
      <c r="A43" s="50">
        <v>45688</v>
      </c>
      <c r="B43" s="35">
        <v>2025</v>
      </c>
      <c r="C43" s="35">
        <v>1</v>
      </c>
      <c r="D43" s="51">
        <v>0.99807870370370366</v>
      </c>
      <c r="E43" s="35" t="s">
        <v>256</v>
      </c>
      <c r="F43" s="34" t="s">
        <v>319</v>
      </c>
      <c r="G43" s="34" t="s">
        <v>320</v>
      </c>
      <c r="H43" s="34" t="s">
        <v>259</v>
      </c>
      <c r="I43" s="34" t="s">
        <v>45</v>
      </c>
      <c r="J43" s="32">
        <v>-2.5</v>
      </c>
      <c r="K43" s="32">
        <v>0</v>
      </c>
      <c r="L43" s="32">
        <v>-2.5</v>
      </c>
      <c r="M43" s="52">
        <f t="shared" si="0"/>
        <v>0</v>
      </c>
      <c r="N43" s="52">
        <f t="shared" si="1"/>
        <v>2.5</v>
      </c>
      <c r="O43" s="34" t="s">
        <v>335</v>
      </c>
      <c r="P43" s="32">
        <v>555.79</v>
      </c>
    </row>
    <row r="44" spans="1:16" ht="22.5" customHeight="1">
      <c r="A44" s="53">
        <v>45689</v>
      </c>
      <c r="B44" s="35">
        <v>2025</v>
      </c>
      <c r="C44" s="54">
        <v>2</v>
      </c>
      <c r="D44" s="55">
        <v>0.36997685185185186</v>
      </c>
      <c r="E44" s="56" t="s">
        <v>256</v>
      </c>
      <c r="F44" s="57" t="s">
        <v>336</v>
      </c>
      <c r="G44" s="57" t="s">
        <v>258</v>
      </c>
      <c r="H44" s="57" t="s">
        <v>259</v>
      </c>
      <c r="I44" s="57" t="s">
        <v>45</v>
      </c>
      <c r="J44" s="58">
        <v>3.99</v>
      </c>
      <c r="K44" s="58">
        <v>-0.69</v>
      </c>
      <c r="L44" s="58">
        <v>3.3</v>
      </c>
      <c r="M44" s="52">
        <f t="shared" si="0"/>
        <v>3.3</v>
      </c>
      <c r="N44" s="52">
        <f t="shared" si="1"/>
        <v>0</v>
      </c>
      <c r="O44" s="57" t="s">
        <v>337</v>
      </c>
      <c r="P44" s="58">
        <v>559.09</v>
      </c>
    </row>
    <row r="45" spans="1:16" ht="22.5" customHeight="1">
      <c r="A45" s="53">
        <v>45689</v>
      </c>
      <c r="B45" s="35">
        <v>2025</v>
      </c>
      <c r="C45" s="54">
        <v>2</v>
      </c>
      <c r="D45" s="55">
        <v>0.38998842592592592</v>
      </c>
      <c r="E45" s="56" t="s">
        <v>256</v>
      </c>
      <c r="F45" s="57" t="s">
        <v>336</v>
      </c>
      <c r="G45" s="57" t="s">
        <v>258</v>
      </c>
      <c r="H45" s="57" t="s">
        <v>259</v>
      </c>
      <c r="I45" s="57" t="s">
        <v>45</v>
      </c>
      <c r="J45" s="58">
        <v>1.93</v>
      </c>
      <c r="K45" s="58">
        <v>-0.59</v>
      </c>
      <c r="L45" s="58">
        <v>1.34</v>
      </c>
      <c r="M45" s="52">
        <f t="shared" si="0"/>
        <v>1.34</v>
      </c>
      <c r="N45" s="52">
        <f t="shared" si="1"/>
        <v>0</v>
      </c>
      <c r="O45" s="57" t="s">
        <v>338</v>
      </c>
      <c r="P45" s="58">
        <v>560.42999999999995</v>
      </c>
    </row>
    <row r="46" spans="1:16" ht="22.5" customHeight="1">
      <c r="A46" s="53">
        <v>45689</v>
      </c>
      <c r="B46" s="35">
        <v>2025</v>
      </c>
      <c r="C46" s="54">
        <v>2</v>
      </c>
      <c r="D46" s="55">
        <v>0.63699074074074069</v>
      </c>
      <c r="E46" s="56" t="s">
        <v>256</v>
      </c>
      <c r="F46" s="57" t="s">
        <v>339</v>
      </c>
      <c r="G46" s="57" t="s">
        <v>262</v>
      </c>
      <c r="H46" s="57" t="s">
        <v>259</v>
      </c>
      <c r="I46" s="57" t="s">
        <v>45</v>
      </c>
      <c r="J46" s="58">
        <v>3.99</v>
      </c>
      <c r="K46" s="58">
        <v>-0.69</v>
      </c>
      <c r="L46" s="58">
        <v>3.3</v>
      </c>
      <c r="M46" s="52">
        <f t="shared" si="0"/>
        <v>3.3</v>
      </c>
      <c r="N46" s="52">
        <f t="shared" si="1"/>
        <v>0</v>
      </c>
      <c r="O46" s="57" t="s">
        <v>340</v>
      </c>
      <c r="P46" s="58">
        <v>563.73</v>
      </c>
    </row>
    <row r="47" spans="1:16" ht="22.5" customHeight="1">
      <c r="A47" s="53">
        <v>45690</v>
      </c>
      <c r="B47" s="35">
        <v>2025</v>
      </c>
      <c r="C47" s="54">
        <v>2</v>
      </c>
      <c r="D47" s="55">
        <v>6.8854166666666661E-2</v>
      </c>
      <c r="E47" s="56" t="s">
        <v>256</v>
      </c>
      <c r="F47" s="57" t="s">
        <v>341</v>
      </c>
      <c r="G47" s="57" t="s">
        <v>262</v>
      </c>
      <c r="H47" s="57" t="s">
        <v>259</v>
      </c>
      <c r="I47" s="57" t="s">
        <v>45</v>
      </c>
      <c r="J47" s="58">
        <v>1.07</v>
      </c>
      <c r="K47" s="58">
        <v>-0.54</v>
      </c>
      <c r="L47" s="58">
        <v>0.53</v>
      </c>
      <c r="M47" s="52">
        <f t="shared" si="0"/>
        <v>0.53</v>
      </c>
      <c r="N47" s="52">
        <f t="shared" si="1"/>
        <v>0</v>
      </c>
      <c r="O47" s="57" t="s">
        <v>342</v>
      </c>
      <c r="P47" s="58">
        <v>564.26</v>
      </c>
    </row>
    <row r="48" spans="1:16" ht="22.5" customHeight="1">
      <c r="A48" s="53">
        <v>45692</v>
      </c>
      <c r="B48" s="35">
        <v>2025</v>
      </c>
      <c r="C48" s="54">
        <v>2</v>
      </c>
      <c r="D48" s="55">
        <v>9.8738425925925924E-2</v>
      </c>
      <c r="E48" s="56" t="s">
        <v>256</v>
      </c>
      <c r="F48" s="57" t="s">
        <v>268</v>
      </c>
      <c r="G48" s="57" t="s">
        <v>262</v>
      </c>
      <c r="H48" s="57" t="s">
        <v>259</v>
      </c>
      <c r="I48" s="57" t="s">
        <v>45</v>
      </c>
      <c r="J48" s="58">
        <v>11.99</v>
      </c>
      <c r="K48" s="58">
        <v>-0.91</v>
      </c>
      <c r="L48" s="58">
        <v>11.08</v>
      </c>
      <c r="M48" s="52">
        <f t="shared" si="0"/>
        <v>11.08</v>
      </c>
      <c r="N48" s="52">
        <f t="shared" si="1"/>
        <v>0</v>
      </c>
      <c r="O48" s="57" t="s">
        <v>343</v>
      </c>
      <c r="P48" s="58">
        <v>575.34</v>
      </c>
    </row>
    <row r="49" spans="1:16" ht="22.5" customHeight="1">
      <c r="A49" s="53">
        <v>45692</v>
      </c>
      <c r="B49" s="35">
        <v>2025</v>
      </c>
      <c r="C49" s="54">
        <v>2</v>
      </c>
      <c r="D49" s="55">
        <v>0.99645833333333333</v>
      </c>
      <c r="E49" s="56" t="s">
        <v>256</v>
      </c>
      <c r="F49" s="57" t="s">
        <v>344</v>
      </c>
      <c r="G49" s="57" t="s">
        <v>262</v>
      </c>
      <c r="H49" s="57" t="s">
        <v>259</v>
      </c>
      <c r="I49" s="57" t="s">
        <v>45</v>
      </c>
      <c r="J49" s="58">
        <v>35.99</v>
      </c>
      <c r="K49" s="58">
        <v>-1.75</v>
      </c>
      <c r="L49" s="58">
        <v>34.24</v>
      </c>
      <c r="M49" s="52">
        <f t="shared" si="0"/>
        <v>34.24</v>
      </c>
      <c r="N49" s="52">
        <f t="shared" si="1"/>
        <v>0</v>
      </c>
      <c r="O49" s="57" t="s">
        <v>345</v>
      </c>
      <c r="P49" s="58">
        <v>609.58000000000004</v>
      </c>
    </row>
    <row r="50" spans="1:16" ht="22.5" customHeight="1">
      <c r="A50" s="53">
        <v>45693</v>
      </c>
      <c r="B50" s="35">
        <v>2025</v>
      </c>
      <c r="C50" s="54">
        <v>2</v>
      </c>
      <c r="D50" s="55">
        <v>2.8472222222222222E-2</v>
      </c>
      <c r="E50" s="56" t="s">
        <v>256</v>
      </c>
      <c r="F50" s="57" t="s">
        <v>9</v>
      </c>
      <c r="G50" s="57" t="s">
        <v>280</v>
      </c>
      <c r="H50" s="57" t="s">
        <v>281</v>
      </c>
      <c r="I50" s="57" t="s">
        <v>45</v>
      </c>
      <c r="J50" s="58">
        <v>-34.24</v>
      </c>
      <c r="K50" s="58">
        <v>0</v>
      </c>
      <c r="L50" s="58">
        <v>-34.24</v>
      </c>
      <c r="M50" s="52">
        <f t="shared" si="0"/>
        <v>0</v>
      </c>
      <c r="N50" s="52">
        <f t="shared" si="1"/>
        <v>34.24</v>
      </c>
      <c r="O50" s="57" t="s">
        <v>346</v>
      </c>
      <c r="P50" s="58">
        <v>575.34</v>
      </c>
    </row>
    <row r="51" spans="1:16" ht="22.5" customHeight="1">
      <c r="A51" s="53">
        <v>45693</v>
      </c>
      <c r="B51" s="35">
        <v>2025</v>
      </c>
      <c r="C51" s="54">
        <v>2</v>
      </c>
      <c r="D51" s="55">
        <v>0.10954861111111111</v>
      </c>
      <c r="E51" s="56" t="s">
        <v>256</v>
      </c>
      <c r="F51" s="57" t="s">
        <v>272</v>
      </c>
      <c r="G51" s="57" t="s">
        <v>262</v>
      </c>
      <c r="H51" s="57" t="s">
        <v>259</v>
      </c>
      <c r="I51" s="57" t="s">
        <v>45</v>
      </c>
      <c r="J51" s="58">
        <v>4.99</v>
      </c>
      <c r="K51" s="58">
        <v>-0.66</v>
      </c>
      <c r="L51" s="58">
        <v>4.33</v>
      </c>
      <c r="M51" s="52">
        <f t="shared" si="0"/>
        <v>4.33</v>
      </c>
      <c r="N51" s="52">
        <f t="shared" si="1"/>
        <v>0</v>
      </c>
      <c r="O51" s="57" t="s">
        <v>347</v>
      </c>
      <c r="P51" s="58">
        <v>579.66999999999996</v>
      </c>
    </row>
    <row r="52" spans="1:16" ht="22.5" customHeight="1">
      <c r="A52" s="53">
        <v>45693</v>
      </c>
      <c r="B52" s="35">
        <v>2025</v>
      </c>
      <c r="C52" s="54">
        <v>2</v>
      </c>
      <c r="D52" s="55">
        <v>0.13983796296296297</v>
      </c>
      <c r="E52" s="56" t="s">
        <v>256</v>
      </c>
      <c r="F52" s="57" t="s">
        <v>341</v>
      </c>
      <c r="G52" s="57" t="s">
        <v>262</v>
      </c>
      <c r="H52" s="57" t="s">
        <v>259</v>
      </c>
      <c r="I52" s="57" t="s">
        <v>45</v>
      </c>
      <c r="J52" s="58">
        <v>1.06</v>
      </c>
      <c r="K52" s="58">
        <v>-0.54</v>
      </c>
      <c r="L52" s="58">
        <v>0.52</v>
      </c>
      <c r="M52" s="52">
        <f t="shared" si="0"/>
        <v>0.52</v>
      </c>
      <c r="N52" s="52">
        <f t="shared" si="1"/>
        <v>0</v>
      </c>
      <c r="O52" s="57" t="s">
        <v>348</v>
      </c>
      <c r="P52" s="58">
        <v>580.19000000000005</v>
      </c>
    </row>
    <row r="53" spans="1:16" ht="22.5" customHeight="1">
      <c r="A53" s="53">
        <v>45693</v>
      </c>
      <c r="B53" s="35">
        <v>2025</v>
      </c>
      <c r="C53" s="54">
        <v>2</v>
      </c>
      <c r="D53" s="55">
        <v>0.34490740740740738</v>
      </c>
      <c r="E53" s="56" t="s">
        <v>256</v>
      </c>
      <c r="F53" s="57" t="s">
        <v>300</v>
      </c>
      <c r="G53" s="57" t="s">
        <v>262</v>
      </c>
      <c r="H53" s="57" t="s">
        <v>259</v>
      </c>
      <c r="I53" s="57" t="s">
        <v>45</v>
      </c>
      <c r="J53" s="58">
        <v>1.0900000000000001</v>
      </c>
      <c r="K53" s="58">
        <v>-0.54</v>
      </c>
      <c r="L53" s="58">
        <v>0.55000000000000004</v>
      </c>
      <c r="M53" s="52">
        <f t="shared" si="0"/>
        <v>0.55000000000000004</v>
      </c>
      <c r="N53" s="52">
        <f t="shared" si="1"/>
        <v>0</v>
      </c>
      <c r="O53" s="57" t="s">
        <v>349</v>
      </c>
      <c r="P53" s="58">
        <v>580.74</v>
      </c>
    </row>
    <row r="54" spans="1:16" ht="22.5" customHeight="1">
      <c r="A54" s="53">
        <v>45693</v>
      </c>
      <c r="B54" s="35">
        <v>2025</v>
      </c>
      <c r="C54" s="54">
        <v>2</v>
      </c>
      <c r="D54" s="55">
        <v>0.71067129629629633</v>
      </c>
      <c r="E54" s="56" t="s">
        <v>256</v>
      </c>
      <c r="F54" s="57" t="s">
        <v>304</v>
      </c>
      <c r="G54" s="57" t="s">
        <v>258</v>
      </c>
      <c r="H54" s="57" t="s">
        <v>259</v>
      </c>
      <c r="I54" s="57" t="s">
        <v>45</v>
      </c>
      <c r="J54" s="58">
        <v>3.99</v>
      </c>
      <c r="K54" s="58">
        <v>-0.63</v>
      </c>
      <c r="L54" s="58">
        <v>3.36</v>
      </c>
      <c r="M54" s="52">
        <f t="shared" si="0"/>
        <v>3.36</v>
      </c>
      <c r="N54" s="52">
        <f t="shared" si="1"/>
        <v>0</v>
      </c>
      <c r="O54" s="57" t="s">
        <v>350</v>
      </c>
      <c r="P54" s="58">
        <v>584.1</v>
      </c>
    </row>
    <row r="55" spans="1:16" ht="22.5" customHeight="1">
      <c r="A55" s="53">
        <v>45694</v>
      </c>
      <c r="B55" s="35">
        <v>2025</v>
      </c>
      <c r="C55" s="54">
        <v>2</v>
      </c>
      <c r="D55" s="55">
        <v>9.087962962962963E-2</v>
      </c>
      <c r="E55" s="56" t="s">
        <v>256</v>
      </c>
      <c r="F55" s="57" t="s">
        <v>288</v>
      </c>
      <c r="G55" s="57" t="s">
        <v>262</v>
      </c>
      <c r="H55" s="57" t="s">
        <v>259</v>
      </c>
      <c r="I55" s="57" t="s">
        <v>45</v>
      </c>
      <c r="J55" s="58">
        <v>1.0900000000000001</v>
      </c>
      <c r="K55" s="58">
        <v>-0.53</v>
      </c>
      <c r="L55" s="58">
        <v>0.56000000000000005</v>
      </c>
      <c r="M55" s="52">
        <f t="shared" si="0"/>
        <v>0.56000000000000005</v>
      </c>
      <c r="N55" s="52">
        <f t="shared" si="1"/>
        <v>0</v>
      </c>
      <c r="O55" s="57" t="s">
        <v>351</v>
      </c>
      <c r="P55" s="58">
        <v>584.66</v>
      </c>
    </row>
    <row r="56" spans="1:16" ht="22.5" customHeight="1">
      <c r="A56" s="53">
        <v>45694</v>
      </c>
      <c r="B56" s="35">
        <v>2025</v>
      </c>
      <c r="C56" s="54">
        <v>2</v>
      </c>
      <c r="D56" s="55">
        <v>0.89503472222222225</v>
      </c>
      <c r="E56" s="56" t="s">
        <v>256</v>
      </c>
      <c r="F56" s="57" t="s">
        <v>352</v>
      </c>
      <c r="G56" s="57" t="s">
        <v>262</v>
      </c>
      <c r="H56" s="57" t="s">
        <v>259</v>
      </c>
      <c r="I56" s="57" t="s">
        <v>45</v>
      </c>
      <c r="J56" s="58">
        <v>215.99</v>
      </c>
      <c r="K56" s="58">
        <v>-11.27</v>
      </c>
      <c r="L56" s="58">
        <v>204.72</v>
      </c>
      <c r="M56" s="52">
        <f t="shared" si="0"/>
        <v>204.72</v>
      </c>
      <c r="N56" s="52">
        <f t="shared" si="1"/>
        <v>0</v>
      </c>
      <c r="O56" s="57" t="s">
        <v>353</v>
      </c>
      <c r="P56" s="58">
        <v>789.38</v>
      </c>
    </row>
    <row r="57" spans="1:16" ht="22.5" customHeight="1">
      <c r="A57" s="53">
        <v>45696</v>
      </c>
      <c r="B57" s="35">
        <v>2025</v>
      </c>
      <c r="C57" s="54">
        <v>2</v>
      </c>
      <c r="D57" s="55">
        <v>0.92656249999999996</v>
      </c>
      <c r="E57" s="56" t="s">
        <v>256</v>
      </c>
      <c r="F57" s="57" t="s">
        <v>272</v>
      </c>
      <c r="G57" s="57" t="s">
        <v>291</v>
      </c>
      <c r="H57" s="57" t="s">
        <v>259</v>
      </c>
      <c r="I57" s="57" t="s">
        <v>45</v>
      </c>
      <c r="J57" s="58">
        <v>-4.99</v>
      </c>
      <c r="K57" s="58">
        <v>0.17</v>
      </c>
      <c r="L57" s="58">
        <v>-4.82</v>
      </c>
      <c r="M57" s="52">
        <f t="shared" si="0"/>
        <v>0</v>
      </c>
      <c r="N57" s="52">
        <f t="shared" si="1"/>
        <v>4.82</v>
      </c>
      <c r="O57" s="57" t="s">
        <v>354</v>
      </c>
      <c r="P57" s="58">
        <v>784.56</v>
      </c>
    </row>
    <row r="58" spans="1:16" ht="22.5" customHeight="1">
      <c r="A58" s="53">
        <v>45696</v>
      </c>
      <c r="B58" s="35">
        <v>2025</v>
      </c>
      <c r="C58" s="54">
        <v>2</v>
      </c>
      <c r="D58" s="55">
        <v>0.96342592592592591</v>
      </c>
      <c r="E58" s="56" t="s">
        <v>256</v>
      </c>
      <c r="F58" s="57"/>
      <c r="G58" s="57" t="s">
        <v>355</v>
      </c>
      <c r="H58" s="57" t="s">
        <v>259</v>
      </c>
      <c r="I58" s="57" t="s">
        <v>45</v>
      </c>
      <c r="J58" s="58">
        <v>-15</v>
      </c>
      <c r="K58" s="58">
        <v>0</v>
      </c>
      <c r="L58" s="58">
        <v>-15</v>
      </c>
      <c r="M58" s="52">
        <f t="shared" si="0"/>
        <v>0</v>
      </c>
      <c r="N58" s="52">
        <f t="shared" si="1"/>
        <v>15</v>
      </c>
      <c r="O58" s="57" t="s">
        <v>356</v>
      </c>
      <c r="P58" s="58">
        <v>769.56</v>
      </c>
    </row>
    <row r="59" spans="1:16" ht="22.5" customHeight="1">
      <c r="A59" s="53">
        <v>45696</v>
      </c>
      <c r="B59" s="35">
        <v>2025</v>
      </c>
      <c r="C59" s="54">
        <v>2</v>
      </c>
      <c r="D59" s="55">
        <v>0.96343749999999995</v>
      </c>
      <c r="E59" s="56" t="s">
        <v>256</v>
      </c>
      <c r="F59" s="57" t="s">
        <v>9</v>
      </c>
      <c r="G59" s="57" t="s">
        <v>283</v>
      </c>
      <c r="H59" s="57" t="s">
        <v>259</v>
      </c>
      <c r="I59" s="57" t="s">
        <v>45</v>
      </c>
      <c r="J59" s="58">
        <v>-35.99</v>
      </c>
      <c r="K59" s="58">
        <v>0</v>
      </c>
      <c r="L59" s="58">
        <v>-35.99</v>
      </c>
      <c r="M59" s="52">
        <f t="shared" si="0"/>
        <v>0</v>
      </c>
      <c r="N59" s="52">
        <f t="shared" si="1"/>
        <v>35.99</v>
      </c>
      <c r="O59" s="57" t="s">
        <v>357</v>
      </c>
      <c r="P59" s="58">
        <v>733.57</v>
      </c>
    </row>
    <row r="60" spans="1:16" ht="22.5" customHeight="1">
      <c r="A60" s="53">
        <v>45696</v>
      </c>
      <c r="B60" s="35">
        <v>2025</v>
      </c>
      <c r="C60" s="54">
        <v>2</v>
      </c>
      <c r="D60" s="55">
        <v>0.96343749999999995</v>
      </c>
      <c r="E60" s="56" t="s">
        <v>256</v>
      </c>
      <c r="F60" s="57" t="s">
        <v>9</v>
      </c>
      <c r="G60" s="57" t="s">
        <v>285</v>
      </c>
      <c r="H60" s="57" t="s">
        <v>286</v>
      </c>
      <c r="I60" s="57" t="s">
        <v>45</v>
      </c>
      <c r="J60" s="58">
        <v>34.24</v>
      </c>
      <c r="K60" s="58">
        <v>0</v>
      </c>
      <c r="L60" s="58">
        <v>34.24</v>
      </c>
      <c r="M60" s="52">
        <f t="shared" si="0"/>
        <v>34.24</v>
      </c>
      <c r="N60" s="52">
        <f t="shared" si="1"/>
        <v>0</v>
      </c>
      <c r="O60" s="57" t="s">
        <v>346</v>
      </c>
      <c r="P60" s="58">
        <v>767.81</v>
      </c>
    </row>
    <row r="61" spans="1:16" ht="22.5" customHeight="1">
      <c r="A61" s="53">
        <v>45698</v>
      </c>
      <c r="B61" s="35">
        <v>2025</v>
      </c>
      <c r="C61" s="54">
        <v>2</v>
      </c>
      <c r="D61" s="55">
        <v>0.38609953703703703</v>
      </c>
      <c r="E61" s="56" t="s">
        <v>256</v>
      </c>
      <c r="F61" s="57" t="s">
        <v>358</v>
      </c>
      <c r="G61" s="57" t="s">
        <v>262</v>
      </c>
      <c r="H61" s="57" t="s">
        <v>259</v>
      </c>
      <c r="I61" s="57" t="s">
        <v>45</v>
      </c>
      <c r="J61" s="58">
        <v>20.25</v>
      </c>
      <c r="K61" s="58">
        <v>-1.5</v>
      </c>
      <c r="L61" s="58">
        <v>18.75</v>
      </c>
      <c r="M61" s="52">
        <f t="shared" si="0"/>
        <v>18.75</v>
      </c>
      <c r="N61" s="52">
        <f t="shared" si="1"/>
        <v>0</v>
      </c>
      <c r="O61" s="57" t="s">
        <v>359</v>
      </c>
      <c r="P61" s="58">
        <v>786.56</v>
      </c>
    </row>
    <row r="62" spans="1:16" ht="22.5" customHeight="1">
      <c r="A62" s="53">
        <v>45698</v>
      </c>
      <c r="B62" s="35">
        <v>2025</v>
      </c>
      <c r="C62" s="54">
        <v>2</v>
      </c>
      <c r="D62" s="55">
        <v>0.97370370370370374</v>
      </c>
      <c r="E62" s="56" t="s">
        <v>256</v>
      </c>
      <c r="F62" s="57" t="s">
        <v>360</v>
      </c>
      <c r="G62" s="57" t="s">
        <v>258</v>
      </c>
      <c r="H62" s="57" t="s">
        <v>259</v>
      </c>
      <c r="I62" s="57" t="s">
        <v>45</v>
      </c>
      <c r="J62" s="58">
        <v>23.99</v>
      </c>
      <c r="K62" s="58">
        <v>-1.69</v>
      </c>
      <c r="L62" s="58">
        <v>22.3</v>
      </c>
      <c r="M62" s="52">
        <f t="shared" si="0"/>
        <v>22.3</v>
      </c>
      <c r="N62" s="52">
        <f t="shared" si="1"/>
        <v>0</v>
      </c>
      <c r="O62" s="57" t="s">
        <v>361</v>
      </c>
      <c r="P62" s="58">
        <v>808.86</v>
      </c>
    </row>
    <row r="63" spans="1:16" ht="22.5" customHeight="1">
      <c r="A63" s="53">
        <v>45699</v>
      </c>
      <c r="B63" s="35">
        <v>2025</v>
      </c>
      <c r="C63" s="54">
        <v>2</v>
      </c>
      <c r="D63" s="55">
        <v>0.43604166666666666</v>
      </c>
      <c r="E63" s="56" t="s">
        <v>256</v>
      </c>
      <c r="F63" s="57"/>
      <c r="G63" s="57" t="s">
        <v>274</v>
      </c>
      <c r="H63" s="57" t="s">
        <v>259</v>
      </c>
      <c r="I63" s="57" t="s">
        <v>45</v>
      </c>
      <c r="J63" s="58">
        <v>-500</v>
      </c>
      <c r="K63" s="58">
        <v>0</v>
      </c>
      <c r="L63" s="58">
        <v>-500</v>
      </c>
      <c r="M63" s="52">
        <f t="shared" si="0"/>
        <v>0</v>
      </c>
      <c r="N63" s="52">
        <f t="shared" si="1"/>
        <v>500</v>
      </c>
      <c r="O63" s="57" t="s">
        <v>362</v>
      </c>
      <c r="P63" s="58">
        <v>308.86</v>
      </c>
    </row>
    <row r="64" spans="1:16" ht="22.5" customHeight="1">
      <c r="A64" s="53">
        <v>45700</v>
      </c>
      <c r="B64" s="35">
        <v>2025</v>
      </c>
      <c r="C64" s="54">
        <v>2</v>
      </c>
      <c r="D64" s="55">
        <v>0.88635416666666667</v>
      </c>
      <c r="E64" s="56" t="s">
        <v>256</v>
      </c>
      <c r="F64" s="57" t="s">
        <v>363</v>
      </c>
      <c r="G64" s="57" t="s">
        <v>258</v>
      </c>
      <c r="H64" s="57" t="s">
        <v>259</v>
      </c>
      <c r="I64" s="57" t="s">
        <v>45</v>
      </c>
      <c r="J64" s="58">
        <v>20.25</v>
      </c>
      <c r="K64" s="58">
        <v>-1.2</v>
      </c>
      <c r="L64" s="58">
        <v>19.05</v>
      </c>
      <c r="M64" s="52">
        <f t="shared" si="0"/>
        <v>19.05</v>
      </c>
      <c r="N64" s="52">
        <f t="shared" si="1"/>
        <v>0</v>
      </c>
      <c r="O64" s="57" t="s">
        <v>364</v>
      </c>
      <c r="P64" s="58">
        <v>327.91</v>
      </c>
    </row>
    <row r="65" spans="1:16" ht="22.5" customHeight="1">
      <c r="A65" s="53">
        <v>45701</v>
      </c>
      <c r="B65" s="35">
        <v>2025</v>
      </c>
      <c r="C65" s="54">
        <v>2</v>
      </c>
      <c r="D65" s="55">
        <v>0.9863425925925926</v>
      </c>
      <c r="E65" s="56" t="s">
        <v>256</v>
      </c>
      <c r="F65" s="57" t="s">
        <v>341</v>
      </c>
      <c r="G65" s="57" t="s">
        <v>262</v>
      </c>
      <c r="H65" s="57" t="s">
        <v>259</v>
      </c>
      <c r="I65" s="57" t="s">
        <v>45</v>
      </c>
      <c r="J65" s="58">
        <v>0.93</v>
      </c>
      <c r="K65" s="58">
        <v>-0.54</v>
      </c>
      <c r="L65" s="58">
        <v>0.39</v>
      </c>
      <c r="M65" s="52">
        <f t="shared" si="0"/>
        <v>0.39</v>
      </c>
      <c r="N65" s="52">
        <f t="shared" si="1"/>
        <v>0</v>
      </c>
      <c r="O65" s="57" t="s">
        <v>365</v>
      </c>
      <c r="P65" s="58">
        <v>328.3</v>
      </c>
    </row>
    <row r="66" spans="1:16" ht="22.5" customHeight="1">
      <c r="A66" s="53">
        <v>45702</v>
      </c>
      <c r="B66" s="35">
        <v>2025</v>
      </c>
      <c r="C66" s="54">
        <v>2</v>
      </c>
      <c r="D66" s="55">
        <v>4.0162037037037038E-2</v>
      </c>
      <c r="E66" s="56" t="s">
        <v>256</v>
      </c>
      <c r="F66" s="57" t="s">
        <v>341</v>
      </c>
      <c r="G66" s="57" t="s">
        <v>262</v>
      </c>
      <c r="H66" s="57" t="s">
        <v>259</v>
      </c>
      <c r="I66" s="57" t="s">
        <v>45</v>
      </c>
      <c r="J66" s="58">
        <v>3.99</v>
      </c>
      <c r="K66" s="58">
        <v>-0.69</v>
      </c>
      <c r="L66" s="58">
        <v>3.3</v>
      </c>
      <c r="M66" s="52">
        <f t="shared" si="0"/>
        <v>3.3</v>
      </c>
      <c r="N66" s="52">
        <f t="shared" si="1"/>
        <v>0</v>
      </c>
      <c r="O66" s="57" t="s">
        <v>366</v>
      </c>
      <c r="P66" s="58">
        <v>331.6</v>
      </c>
    </row>
    <row r="67" spans="1:16" ht="22.5" customHeight="1">
      <c r="A67" s="53">
        <v>45702</v>
      </c>
      <c r="B67" s="35">
        <v>2025</v>
      </c>
      <c r="C67" s="54">
        <v>2</v>
      </c>
      <c r="D67" s="55">
        <v>4.1493055555555554E-2</v>
      </c>
      <c r="E67" s="56" t="s">
        <v>256</v>
      </c>
      <c r="F67" s="57" t="s">
        <v>367</v>
      </c>
      <c r="G67" s="57" t="s">
        <v>368</v>
      </c>
      <c r="H67" s="57" t="s">
        <v>259</v>
      </c>
      <c r="I67" s="57" t="s">
        <v>45</v>
      </c>
      <c r="J67" s="58">
        <v>-11.66</v>
      </c>
      <c r="K67" s="58">
        <v>0</v>
      </c>
      <c r="L67" s="58">
        <v>-11.66</v>
      </c>
      <c r="M67" s="52">
        <f t="shared" si="0"/>
        <v>0</v>
      </c>
      <c r="N67" s="52">
        <f t="shared" si="1"/>
        <v>11.66</v>
      </c>
      <c r="O67" s="57" t="s">
        <v>369</v>
      </c>
      <c r="P67" s="58">
        <v>319.94</v>
      </c>
    </row>
    <row r="68" spans="1:16" ht="22.5" customHeight="1">
      <c r="A68" s="53">
        <v>45704</v>
      </c>
      <c r="B68" s="35">
        <v>2025</v>
      </c>
      <c r="C68" s="54">
        <v>2</v>
      </c>
      <c r="D68" s="55">
        <v>0.14650462962962962</v>
      </c>
      <c r="E68" s="56" t="s">
        <v>256</v>
      </c>
      <c r="F68" s="57" t="s">
        <v>306</v>
      </c>
      <c r="G68" s="57" t="s">
        <v>262</v>
      </c>
      <c r="H68" s="57" t="s">
        <v>259</v>
      </c>
      <c r="I68" s="57" t="s">
        <v>45</v>
      </c>
      <c r="J68" s="58">
        <v>1.0900000000000001</v>
      </c>
      <c r="K68" s="58">
        <v>-0.54</v>
      </c>
      <c r="L68" s="58">
        <v>0.55000000000000004</v>
      </c>
      <c r="M68" s="52">
        <f t="shared" si="0"/>
        <v>0.55000000000000004</v>
      </c>
      <c r="N68" s="52">
        <f t="shared" si="1"/>
        <v>0</v>
      </c>
      <c r="O68" s="57" t="s">
        <v>370</v>
      </c>
      <c r="P68" s="58">
        <v>320.49</v>
      </c>
    </row>
    <row r="69" spans="1:16" ht="22.5" customHeight="1">
      <c r="A69" s="53">
        <v>45705</v>
      </c>
      <c r="B69" s="35">
        <v>2025</v>
      </c>
      <c r="C69" s="54">
        <v>2</v>
      </c>
      <c r="D69" s="55">
        <v>0.85055555555555551</v>
      </c>
      <c r="E69" s="56" t="s">
        <v>256</v>
      </c>
      <c r="F69" s="57" t="s">
        <v>371</v>
      </c>
      <c r="G69" s="57" t="s">
        <v>262</v>
      </c>
      <c r="H69" s="57" t="s">
        <v>259</v>
      </c>
      <c r="I69" s="57" t="s">
        <v>45</v>
      </c>
      <c r="J69" s="58">
        <v>20.25</v>
      </c>
      <c r="K69" s="58">
        <v>-1.5</v>
      </c>
      <c r="L69" s="58">
        <v>18.75</v>
      </c>
      <c r="M69" s="52">
        <f t="shared" si="0"/>
        <v>18.75</v>
      </c>
      <c r="N69" s="52">
        <f t="shared" si="1"/>
        <v>0</v>
      </c>
      <c r="O69" s="57" t="s">
        <v>372</v>
      </c>
      <c r="P69" s="58">
        <v>339.24</v>
      </c>
    </row>
    <row r="70" spans="1:16" ht="22.5" customHeight="1">
      <c r="A70" s="53">
        <v>45707</v>
      </c>
      <c r="B70" s="35">
        <v>2025</v>
      </c>
      <c r="C70" s="54">
        <v>2</v>
      </c>
      <c r="D70" s="55">
        <v>3.0601851851851852E-2</v>
      </c>
      <c r="E70" s="56" t="s">
        <v>256</v>
      </c>
      <c r="F70" s="57" t="s">
        <v>373</v>
      </c>
      <c r="G70" s="57" t="s">
        <v>258</v>
      </c>
      <c r="H70" s="57" t="s">
        <v>259</v>
      </c>
      <c r="I70" s="57" t="s">
        <v>45</v>
      </c>
      <c r="J70" s="58">
        <v>115.19</v>
      </c>
      <c r="K70" s="58">
        <v>-6.24</v>
      </c>
      <c r="L70" s="58">
        <v>108.95</v>
      </c>
      <c r="M70" s="52">
        <f t="shared" si="0"/>
        <v>108.95</v>
      </c>
      <c r="N70" s="52">
        <f t="shared" si="1"/>
        <v>0</v>
      </c>
      <c r="O70" s="57" t="s">
        <v>374</v>
      </c>
      <c r="P70" s="58">
        <v>448.19</v>
      </c>
    </row>
    <row r="71" spans="1:16" ht="22.5" customHeight="1">
      <c r="A71" s="53">
        <v>45708</v>
      </c>
      <c r="B71" s="35">
        <v>2025</v>
      </c>
      <c r="C71" s="54">
        <v>2</v>
      </c>
      <c r="D71" s="55">
        <v>0.22570601851851851</v>
      </c>
      <c r="E71" s="56" t="s">
        <v>256</v>
      </c>
      <c r="F71" s="57" t="s">
        <v>375</v>
      </c>
      <c r="G71" s="57" t="s">
        <v>258</v>
      </c>
      <c r="H71" s="57" t="s">
        <v>259</v>
      </c>
      <c r="I71" s="57" t="s">
        <v>45</v>
      </c>
      <c r="J71" s="58">
        <v>8.39</v>
      </c>
      <c r="K71" s="58">
        <v>-0.91</v>
      </c>
      <c r="L71" s="58">
        <v>7.48</v>
      </c>
      <c r="M71" s="52">
        <f t="shared" si="0"/>
        <v>7.48</v>
      </c>
      <c r="N71" s="52">
        <f t="shared" si="1"/>
        <v>0</v>
      </c>
      <c r="O71" s="57" t="s">
        <v>376</v>
      </c>
      <c r="P71" s="58">
        <v>455.67</v>
      </c>
    </row>
    <row r="72" spans="1:16" ht="22.5" customHeight="1">
      <c r="A72" s="53">
        <v>45708</v>
      </c>
      <c r="B72" s="35">
        <v>2025</v>
      </c>
      <c r="C72" s="54">
        <v>2</v>
      </c>
      <c r="D72" s="55">
        <v>0.42359953703703701</v>
      </c>
      <c r="E72" s="56" t="s">
        <v>256</v>
      </c>
      <c r="F72" s="57" t="s">
        <v>377</v>
      </c>
      <c r="G72" s="57" t="s">
        <v>262</v>
      </c>
      <c r="H72" s="57" t="s">
        <v>259</v>
      </c>
      <c r="I72" s="57" t="s">
        <v>45</v>
      </c>
      <c r="J72" s="58">
        <v>8.4</v>
      </c>
      <c r="K72" s="58">
        <v>-0.78</v>
      </c>
      <c r="L72" s="58">
        <v>7.62</v>
      </c>
      <c r="M72" s="52">
        <f t="shared" si="0"/>
        <v>7.62</v>
      </c>
      <c r="N72" s="52">
        <f t="shared" si="1"/>
        <v>0</v>
      </c>
      <c r="O72" s="57" t="s">
        <v>378</v>
      </c>
      <c r="P72" s="58">
        <v>463.29</v>
      </c>
    </row>
    <row r="73" spans="1:16" ht="22.5" customHeight="1">
      <c r="A73" s="53">
        <v>45709</v>
      </c>
      <c r="B73" s="35">
        <v>2025</v>
      </c>
      <c r="C73" s="54">
        <v>2</v>
      </c>
      <c r="D73" s="55">
        <v>0.14020833333333332</v>
      </c>
      <c r="E73" s="56" t="s">
        <v>256</v>
      </c>
      <c r="F73" s="57" t="s">
        <v>317</v>
      </c>
      <c r="G73" s="57" t="s">
        <v>262</v>
      </c>
      <c r="H73" s="57" t="s">
        <v>259</v>
      </c>
      <c r="I73" s="57" t="s">
        <v>45</v>
      </c>
      <c r="J73" s="58">
        <v>4.99</v>
      </c>
      <c r="K73" s="58">
        <v>-0.74</v>
      </c>
      <c r="L73" s="58">
        <v>4.25</v>
      </c>
      <c r="M73" s="52">
        <f t="shared" si="0"/>
        <v>4.25</v>
      </c>
      <c r="N73" s="52">
        <f t="shared" si="1"/>
        <v>0</v>
      </c>
      <c r="O73" s="57" t="s">
        <v>379</v>
      </c>
      <c r="P73" s="58">
        <v>467.54</v>
      </c>
    </row>
    <row r="74" spans="1:16" ht="22.5" customHeight="1">
      <c r="A74" s="53">
        <v>45709</v>
      </c>
      <c r="B74" s="35">
        <v>2025</v>
      </c>
      <c r="C74" s="54">
        <v>2</v>
      </c>
      <c r="D74" s="55">
        <v>0.28217592592592594</v>
      </c>
      <c r="E74" s="56" t="s">
        <v>256</v>
      </c>
      <c r="F74" s="57" t="s">
        <v>341</v>
      </c>
      <c r="G74" s="57" t="s">
        <v>258</v>
      </c>
      <c r="H74" s="57" t="s">
        <v>259</v>
      </c>
      <c r="I74" s="57" t="s">
        <v>45</v>
      </c>
      <c r="J74" s="58">
        <v>4</v>
      </c>
      <c r="K74" s="58">
        <v>-0.69</v>
      </c>
      <c r="L74" s="58">
        <v>3.31</v>
      </c>
      <c r="M74" s="52">
        <f t="shared" si="0"/>
        <v>3.31</v>
      </c>
      <c r="N74" s="52">
        <f t="shared" si="1"/>
        <v>0</v>
      </c>
      <c r="O74" s="57" t="s">
        <v>380</v>
      </c>
      <c r="P74" s="58">
        <v>470.85</v>
      </c>
    </row>
    <row r="75" spans="1:16" ht="22.5" customHeight="1">
      <c r="A75" s="53">
        <v>45709</v>
      </c>
      <c r="B75" s="35">
        <v>2025</v>
      </c>
      <c r="C75" s="54">
        <v>2</v>
      </c>
      <c r="D75" s="55">
        <v>0.36858796296296298</v>
      </c>
      <c r="E75" s="56" t="s">
        <v>256</v>
      </c>
      <c r="F75" s="57" t="s">
        <v>381</v>
      </c>
      <c r="G75" s="57" t="s">
        <v>258</v>
      </c>
      <c r="H75" s="57" t="s">
        <v>259</v>
      </c>
      <c r="I75" s="57" t="s">
        <v>45</v>
      </c>
      <c r="J75" s="58">
        <v>8.39</v>
      </c>
      <c r="K75" s="58">
        <v>-0.91</v>
      </c>
      <c r="L75" s="58">
        <v>7.48</v>
      </c>
      <c r="M75" s="52">
        <f t="shared" si="0"/>
        <v>7.48</v>
      </c>
      <c r="N75" s="52">
        <f t="shared" si="1"/>
        <v>0</v>
      </c>
      <c r="O75" s="57" t="s">
        <v>382</v>
      </c>
      <c r="P75" s="58">
        <v>478.33</v>
      </c>
    </row>
    <row r="76" spans="1:16" ht="22.5" customHeight="1">
      <c r="A76" s="53">
        <v>45709</v>
      </c>
      <c r="B76" s="35">
        <v>2025</v>
      </c>
      <c r="C76" s="54">
        <v>2</v>
      </c>
      <c r="D76" s="55">
        <v>0.4379513888888889</v>
      </c>
      <c r="E76" s="56" t="s">
        <v>256</v>
      </c>
      <c r="F76" s="57" t="s">
        <v>383</v>
      </c>
      <c r="G76" s="57" t="s">
        <v>258</v>
      </c>
      <c r="H76" s="57" t="s">
        <v>259</v>
      </c>
      <c r="I76" s="57" t="s">
        <v>45</v>
      </c>
      <c r="J76" s="58">
        <v>8.39</v>
      </c>
      <c r="K76" s="58">
        <v>-0.91</v>
      </c>
      <c r="L76" s="58">
        <v>7.48</v>
      </c>
      <c r="M76" s="52">
        <f t="shared" si="0"/>
        <v>7.48</v>
      </c>
      <c r="N76" s="52">
        <f t="shared" si="1"/>
        <v>0</v>
      </c>
      <c r="O76" s="57" t="s">
        <v>384</v>
      </c>
      <c r="P76" s="58">
        <v>485.81</v>
      </c>
    </row>
    <row r="77" spans="1:16" ht="22.5" customHeight="1">
      <c r="A77" s="53">
        <v>45709</v>
      </c>
      <c r="B77" s="35">
        <v>2025</v>
      </c>
      <c r="C77" s="54">
        <v>2</v>
      </c>
      <c r="D77" s="55">
        <v>0.5581018518518519</v>
      </c>
      <c r="E77" s="56" t="s">
        <v>256</v>
      </c>
      <c r="F77" s="57" t="s">
        <v>385</v>
      </c>
      <c r="G77" s="57" t="s">
        <v>258</v>
      </c>
      <c r="H77" s="57" t="s">
        <v>259</v>
      </c>
      <c r="I77" s="57" t="s">
        <v>45</v>
      </c>
      <c r="J77" s="58">
        <v>29.4</v>
      </c>
      <c r="K77" s="58">
        <v>-1.96</v>
      </c>
      <c r="L77" s="58">
        <v>27.44</v>
      </c>
      <c r="M77" s="52">
        <f t="shared" si="0"/>
        <v>27.44</v>
      </c>
      <c r="N77" s="52">
        <f t="shared" si="1"/>
        <v>0</v>
      </c>
      <c r="O77" s="57" t="s">
        <v>386</v>
      </c>
      <c r="P77" s="58">
        <v>513.25</v>
      </c>
    </row>
    <row r="78" spans="1:16" ht="22.5" customHeight="1">
      <c r="A78" s="53">
        <v>45709</v>
      </c>
      <c r="B78" s="35">
        <v>2025</v>
      </c>
      <c r="C78" s="54">
        <v>2</v>
      </c>
      <c r="D78" s="55">
        <v>0.75391203703703702</v>
      </c>
      <c r="E78" s="56" t="s">
        <v>256</v>
      </c>
      <c r="F78" s="57" t="s">
        <v>387</v>
      </c>
      <c r="G78" s="57" t="s">
        <v>262</v>
      </c>
      <c r="H78" s="57" t="s">
        <v>259</v>
      </c>
      <c r="I78" s="57" t="s">
        <v>45</v>
      </c>
      <c r="J78" s="58">
        <v>8.39</v>
      </c>
      <c r="K78" s="58">
        <v>-0.91</v>
      </c>
      <c r="L78" s="58">
        <v>7.48</v>
      </c>
      <c r="M78" s="52">
        <f t="shared" si="0"/>
        <v>7.48</v>
      </c>
      <c r="N78" s="52">
        <f t="shared" si="1"/>
        <v>0</v>
      </c>
      <c r="O78" s="57" t="s">
        <v>388</v>
      </c>
      <c r="P78" s="58">
        <v>520.73</v>
      </c>
    </row>
    <row r="79" spans="1:16" ht="22.5" customHeight="1">
      <c r="A79" s="53">
        <v>45715</v>
      </c>
      <c r="B79" s="35">
        <v>2025</v>
      </c>
      <c r="C79" s="54">
        <v>2</v>
      </c>
      <c r="D79" s="55">
        <v>2.7719907407407408E-2</v>
      </c>
      <c r="E79" s="56" t="s">
        <v>256</v>
      </c>
      <c r="F79" s="57" t="s">
        <v>319</v>
      </c>
      <c r="G79" s="57" t="s">
        <v>320</v>
      </c>
      <c r="H79" s="57" t="s">
        <v>259</v>
      </c>
      <c r="I79" s="57" t="s">
        <v>45</v>
      </c>
      <c r="J79" s="58">
        <v>-2.5</v>
      </c>
      <c r="K79" s="58">
        <v>0</v>
      </c>
      <c r="L79" s="58">
        <v>-2.5</v>
      </c>
      <c r="M79" s="52">
        <f t="shared" si="0"/>
        <v>0</v>
      </c>
      <c r="N79" s="52">
        <f t="shared" si="1"/>
        <v>2.5</v>
      </c>
      <c r="O79" s="57" t="s">
        <v>389</v>
      </c>
      <c r="P79" s="58">
        <v>518.23</v>
      </c>
    </row>
    <row r="80" spans="1:16" ht="22.5" customHeight="1">
      <c r="A80" s="53">
        <v>45716</v>
      </c>
      <c r="B80" s="35">
        <v>2025</v>
      </c>
      <c r="C80" s="54">
        <v>2</v>
      </c>
      <c r="D80" s="55">
        <v>0.1080787037037037</v>
      </c>
      <c r="E80" s="56" t="s">
        <v>256</v>
      </c>
      <c r="F80" s="57" t="s">
        <v>332</v>
      </c>
      <c r="G80" s="57" t="s">
        <v>262</v>
      </c>
      <c r="H80" s="57" t="s">
        <v>259</v>
      </c>
      <c r="I80" s="57" t="s">
        <v>45</v>
      </c>
      <c r="J80" s="58">
        <v>1.0900000000000001</v>
      </c>
      <c r="K80" s="58">
        <v>-0.54</v>
      </c>
      <c r="L80" s="58">
        <v>0.55000000000000004</v>
      </c>
      <c r="M80" s="52">
        <f t="shared" si="0"/>
        <v>0.55000000000000004</v>
      </c>
      <c r="N80" s="52">
        <f t="shared" si="1"/>
        <v>0</v>
      </c>
      <c r="O80" s="57" t="s">
        <v>390</v>
      </c>
      <c r="P80" s="58">
        <v>518.78</v>
      </c>
    </row>
    <row r="81" spans="1:16" ht="22.5" customHeight="1">
      <c r="A81" s="59">
        <v>45660</v>
      </c>
      <c r="B81" s="60">
        <v>2025</v>
      </c>
      <c r="C81" s="61">
        <v>3</v>
      </c>
      <c r="D81" s="62">
        <v>0.11253472222222222</v>
      </c>
      <c r="E81" s="60" t="s">
        <v>256</v>
      </c>
      <c r="F81" s="63" t="s">
        <v>339</v>
      </c>
      <c r="G81" s="63" t="s">
        <v>262</v>
      </c>
      <c r="H81" s="60" t="s">
        <v>259</v>
      </c>
      <c r="I81" s="60" t="s">
        <v>45</v>
      </c>
      <c r="J81" s="52">
        <v>3.99</v>
      </c>
      <c r="K81" s="52">
        <v>-0.69</v>
      </c>
      <c r="L81" s="52">
        <v>3.3</v>
      </c>
      <c r="M81" s="52">
        <f t="shared" si="0"/>
        <v>3.3</v>
      </c>
      <c r="N81" s="52">
        <f t="shared" si="1"/>
        <v>0</v>
      </c>
      <c r="O81" s="52" t="s">
        <v>391</v>
      </c>
      <c r="P81" s="52">
        <v>522.08000000000004</v>
      </c>
    </row>
    <row r="82" spans="1:16" ht="22.5" customHeight="1">
      <c r="A82" s="59">
        <v>45750</v>
      </c>
      <c r="B82" s="60">
        <v>2025</v>
      </c>
      <c r="C82" s="61">
        <v>3</v>
      </c>
      <c r="D82" s="62">
        <v>0.12362268518518518</v>
      </c>
      <c r="E82" s="60" t="s">
        <v>256</v>
      </c>
      <c r="F82" s="63" t="s">
        <v>268</v>
      </c>
      <c r="G82" s="63" t="s">
        <v>262</v>
      </c>
      <c r="H82" s="60" t="s">
        <v>259</v>
      </c>
      <c r="I82" s="60" t="s">
        <v>45</v>
      </c>
      <c r="J82" s="52">
        <v>11.99</v>
      </c>
      <c r="K82" s="52">
        <v>-0.91</v>
      </c>
      <c r="L82" s="52">
        <v>11.08</v>
      </c>
      <c r="M82" s="52">
        <f t="shared" si="0"/>
        <v>11.08</v>
      </c>
      <c r="N82" s="52">
        <f t="shared" si="1"/>
        <v>0</v>
      </c>
      <c r="O82" s="52" t="s">
        <v>392</v>
      </c>
      <c r="P82" s="52">
        <v>533.16</v>
      </c>
    </row>
    <row r="83" spans="1:16" ht="22.5" customHeight="1">
      <c r="A83" s="59">
        <v>45750</v>
      </c>
      <c r="B83" s="60">
        <v>2025</v>
      </c>
      <c r="C83" s="61">
        <v>3</v>
      </c>
      <c r="D83" s="62">
        <v>0.25460648148148146</v>
      </c>
      <c r="E83" s="60" t="s">
        <v>256</v>
      </c>
      <c r="F83" s="63" t="s">
        <v>393</v>
      </c>
      <c r="G83" s="63" t="s">
        <v>258</v>
      </c>
      <c r="H83" s="60" t="s">
        <v>259</v>
      </c>
      <c r="I83" s="60" t="s">
        <v>45</v>
      </c>
      <c r="J83" s="52">
        <v>5.49</v>
      </c>
      <c r="K83" s="52">
        <v>-0.76</v>
      </c>
      <c r="L83" s="52">
        <v>4.7300000000000004</v>
      </c>
      <c r="M83" s="52">
        <f t="shared" si="0"/>
        <v>4.7300000000000004</v>
      </c>
      <c r="N83" s="52">
        <f t="shared" si="1"/>
        <v>0</v>
      </c>
      <c r="O83" s="52" t="s">
        <v>394</v>
      </c>
      <c r="P83" s="52">
        <v>537.89</v>
      </c>
    </row>
    <row r="84" spans="1:16" ht="22.5" customHeight="1">
      <c r="A84" s="59">
        <v>45780</v>
      </c>
      <c r="B84" s="60">
        <v>2025</v>
      </c>
      <c r="C84" s="61">
        <v>3</v>
      </c>
      <c r="D84" s="62">
        <v>0.12130787037037037</v>
      </c>
      <c r="E84" s="60" t="s">
        <v>256</v>
      </c>
      <c r="F84" s="63" t="s">
        <v>300</v>
      </c>
      <c r="G84" s="63" t="s">
        <v>262</v>
      </c>
      <c r="H84" s="60" t="s">
        <v>259</v>
      </c>
      <c r="I84" s="60" t="s">
        <v>45</v>
      </c>
      <c r="J84" s="52">
        <v>1.0900000000000001</v>
      </c>
      <c r="K84" s="52">
        <v>-0.54</v>
      </c>
      <c r="L84" s="52">
        <v>0.55000000000000004</v>
      </c>
      <c r="M84" s="52">
        <f t="shared" si="0"/>
        <v>0.55000000000000004</v>
      </c>
      <c r="N84" s="52">
        <f t="shared" si="1"/>
        <v>0</v>
      </c>
      <c r="O84" s="52" t="s">
        <v>395</v>
      </c>
      <c r="P84" s="52">
        <v>538.44000000000005</v>
      </c>
    </row>
    <row r="85" spans="1:16" ht="22.5" customHeight="1">
      <c r="A85" s="59">
        <v>45811</v>
      </c>
      <c r="B85" s="60">
        <v>2025</v>
      </c>
      <c r="C85" s="61">
        <v>3</v>
      </c>
      <c r="D85" s="62">
        <v>0.12260416666666667</v>
      </c>
      <c r="E85" s="60" t="s">
        <v>256</v>
      </c>
      <c r="F85" s="63" t="s">
        <v>288</v>
      </c>
      <c r="G85" s="63" t="s">
        <v>262</v>
      </c>
      <c r="H85" s="60" t="s">
        <v>259</v>
      </c>
      <c r="I85" s="60" t="s">
        <v>45</v>
      </c>
      <c r="J85" s="52">
        <v>1.0900000000000001</v>
      </c>
      <c r="K85" s="52">
        <v>-0.53</v>
      </c>
      <c r="L85" s="52">
        <v>0.56000000000000005</v>
      </c>
      <c r="M85" s="52">
        <f t="shared" si="0"/>
        <v>0.56000000000000005</v>
      </c>
      <c r="N85" s="52">
        <f t="shared" si="1"/>
        <v>0</v>
      </c>
      <c r="O85" s="52" t="s">
        <v>396</v>
      </c>
      <c r="P85" s="52">
        <v>539</v>
      </c>
    </row>
    <row r="86" spans="1:16" ht="22.5" customHeight="1">
      <c r="A86" s="59">
        <v>45811</v>
      </c>
      <c r="B86" s="60">
        <v>2025</v>
      </c>
      <c r="C86" s="61">
        <v>3</v>
      </c>
      <c r="D86" s="62">
        <v>0.37290509259259258</v>
      </c>
      <c r="E86" s="60" t="s">
        <v>256</v>
      </c>
      <c r="F86" s="63" t="s">
        <v>393</v>
      </c>
      <c r="G86" s="63" t="s">
        <v>291</v>
      </c>
      <c r="H86" s="60" t="s">
        <v>259</v>
      </c>
      <c r="I86" s="60" t="s">
        <v>45</v>
      </c>
      <c r="J86" s="52">
        <v>-5.49</v>
      </c>
      <c r="K86" s="52">
        <v>0.27</v>
      </c>
      <c r="L86" s="52">
        <v>-5.22</v>
      </c>
      <c r="M86" s="52">
        <f t="shared" si="0"/>
        <v>0</v>
      </c>
      <c r="N86" s="52">
        <f t="shared" si="1"/>
        <v>5.22</v>
      </c>
      <c r="O86" s="52" t="s">
        <v>397</v>
      </c>
      <c r="P86" s="52">
        <v>533.78</v>
      </c>
    </row>
    <row r="87" spans="1:16" ht="22.5" customHeight="1">
      <c r="A87" s="59">
        <v>45933</v>
      </c>
      <c r="B87" s="60">
        <v>2025</v>
      </c>
      <c r="C87" s="61">
        <v>3</v>
      </c>
      <c r="D87" s="62">
        <v>9.9837962962962962E-2</v>
      </c>
      <c r="E87" s="60" t="s">
        <v>398</v>
      </c>
      <c r="F87" s="63" t="s">
        <v>399</v>
      </c>
      <c r="G87" s="63" t="s">
        <v>262</v>
      </c>
      <c r="H87" s="60" t="s">
        <v>259</v>
      </c>
      <c r="I87" s="60" t="s">
        <v>45</v>
      </c>
      <c r="J87" s="52">
        <v>4.79</v>
      </c>
      <c r="K87" s="52">
        <v>-0.73</v>
      </c>
      <c r="L87" s="52">
        <v>4.0599999999999996</v>
      </c>
      <c r="M87" s="52">
        <f t="shared" si="0"/>
        <v>4.0599999999999996</v>
      </c>
      <c r="N87" s="52">
        <f t="shared" si="1"/>
        <v>0</v>
      </c>
      <c r="O87" s="52" t="s">
        <v>400</v>
      </c>
      <c r="P87" s="52">
        <v>537.84</v>
      </c>
    </row>
    <row r="88" spans="1:16" ht="22.5" customHeight="1">
      <c r="A88" s="59">
        <v>45994</v>
      </c>
      <c r="B88" s="60">
        <v>2025</v>
      </c>
      <c r="C88" s="61">
        <v>3</v>
      </c>
      <c r="D88" s="62">
        <v>0.33708333333333335</v>
      </c>
      <c r="E88" s="60" t="s">
        <v>398</v>
      </c>
      <c r="F88" s="63" t="s">
        <v>367</v>
      </c>
      <c r="G88" s="63" t="s">
        <v>368</v>
      </c>
      <c r="H88" s="60" t="s">
        <v>259</v>
      </c>
      <c r="I88" s="60" t="s">
        <v>45</v>
      </c>
      <c r="J88" s="52">
        <v>-7.98</v>
      </c>
      <c r="K88" s="52">
        <v>0</v>
      </c>
      <c r="L88" s="52">
        <v>-7.98</v>
      </c>
      <c r="M88" s="52">
        <f t="shared" si="0"/>
        <v>0</v>
      </c>
      <c r="N88" s="52">
        <f t="shared" si="1"/>
        <v>7.98</v>
      </c>
      <c r="O88" s="52" t="s">
        <v>401</v>
      </c>
      <c r="P88" s="52">
        <v>529.86</v>
      </c>
    </row>
    <row r="89" spans="1:16" ht="22.5" customHeight="1">
      <c r="A89" s="60" t="s">
        <v>114</v>
      </c>
      <c r="B89" s="60">
        <v>2025</v>
      </c>
      <c r="C89" s="61">
        <v>3</v>
      </c>
      <c r="D89" s="62">
        <v>0.12450231481481482</v>
      </c>
      <c r="E89" s="60" t="s">
        <v>398</v>
      </c>
      <c r="F89" s="63" t="s">
        <v>402</v>
      </c>
      <c r="G89" s="63" t="s">
        <v>258</v>
      </c>
      <c r="H89" s="60" t="s">
        <v>259</v>
      </c>
      <c r="I89" s="60" t="s">
        <v>45</v>
      </c>
      <c r="J89" s="52">
        <v>2.99</v>
      </c>
      <c r="K89" s="52">
        <v>-0.64</v>
      </c>
      <c r="L89" s="52">
        <v>2.35</v>
      </c>
      <c r="M89" s="52">
        <f t="shared" si="0"/>
        <v>2.35</v>
      </c>
      <c r="N89" s="52">
        <f t="shared" si="1"/>
        <v>0</v>
      </c>
      <c r="O89" s="52" t="s">
        <v>403</v>
      </c>
      <c r="P89" s="52">
        <v>532.21</v>
      </c>
    </row>
    <row r="90" spans="1:16" ht="22.5" customHeight="1">
      <c r="A90" s="60" t="s">
        <v>404</v>
      </c>
      <c r="B90" s="60">
        <v>2025</v>
      </c>
      <c r="C90" s="61">
        <v>3</v>
      </c>
      <c r="D90" s="62">
        <v>0.15543981481481481</v>
      </c>
      <c r="E90" s="60" t="s">
        <v>398</v>
      </c>
      <c r="F90" s="63" t="s">
        <v>306</v>
      </c>
      <c r="G90" s="63" t="s">
        <v>262</v>
      </c>
      <c r="H90" s="60" t="s">
        <v>259</v>
      </c>
      <c r="I90" s="60" t="s">
        <v>45</v>
      </c>
      <c r="J90" s="52">
        <v>1.0900000000000001</v>
      </c>
      <c r="K90" s="52">
        <v>-0.54</v>
      </c>
      <c r="L90" s="52">
        <v>0.55000000000000004</v>
      </c>
      <c r="M90" s="52">
        <f t="shared" si="0"/>
        <v>0.55000000000000004</v>
      </c>
      <c r="N90" s="52">
        <f t="shared" si="1"/>
        <v>0</v>
      </c>
      <c r="O90" s="52" t="s">
        <v>405</v>
      </c>
      <c r="P90" s="52">
        <v>532.76</v>
      </c>
    </row>
    <row r="91" spans="1:16" ht="22.5" customHeight="1">
      <c r="A91" s="60" t="s">
        <v>404</v>
      </c>
      <c r="B91" s="60">
        <v>2025</v>
      </c>
      <c r="C91" s="61">
        <v>3</v>
      </c>
      <c r="D91" s="62">
        <v>0.35859953703703706</v>
      </c>
      <c r="E91" s="60" t="s">
        <v>398</v>
      </c>
      <c r="F91" s="63" t="s">
        <v>406</v>
      </c>
      <c r="G91" s="63" t="s">
        <v>262</v>
      </c>
      <c r="H91" s="60" t="s">
        <v>259</v>
      </c>
      <c r="I91" s="60" t="s">
        <v>45</v>
      </c>
      <c r="J91" s="52">
        <v>4.79</v>
      </c>
      <c r="K91" s="52">
        <v>-0.66</v>
      </c>
      <c r="L91" s="52">
        <v>4.13</v>
      </c>
      <c r="M91" s="52">
        <f t="shared" si="0"/>
        <v>4.13</v>
      </c>
      <c r="N91" s="52">
        <f t="shared" si="1"/>
        <v>0</v>
      </c>
      <c r="O91" s="52" t="s">
        <v>407</v>
      </c>
      <c r="P91" s="52">
        <v>536.89</v>
      </c>
    </row>
    <row r="92" spans="1:16" ht="22.5" customHeight="1">
      <c r="A92" s="60" t="s">
        <v>112</v>
      </c>
      <c r="B92" s="60">
        <v>2025</v>
      </c>
      <c r="C92" s="61">
        <v>3</v>
      </c>
      <c r="D92" s="62">
        <v>8.4791666666666668E-2</v>
      </c>
      <c r="E92" s="60" t="s">
        <v>398</v>
      </c>
      <c r="F92" s="63" t="s">
        <v>408</v>
      </c>
      <c r="G92" s="63" t="s">
        <v>258</v>
      </c>
      <c r="H92" s="60" t="s">
        <v>259</v>
      </c>
      <c r="I92" s="60" t="s">
        <v>45</v>
      </c>
      <c r="J92" s="52">
        <v>20.25</v>
      </c>
      <c r="K92" s="52">
        <v>-1.2</v>
      </c>
      <c r="L92" s="52">
        <v>19.05</v>
      </c>
      <c r="M92" s="52">
        <f t="shared" si="0"/>
        <v>19.05</v>
      </c>
      <c r="N92" s="52">
        <f t="shared" si="1"/>
        <v>0</v>
      </c>
      <c r="O92" s="52" t="s">
        <v>409</v>
      </c>
      <c r="P92" s="52">
        <v>555.94000000000005</v>
      </c>
    </row>
    <row r="93" spans="1:16" ht="22.5" customHeight="1">
      <c r="A93" s="60" t="s">
        <v>112</v>
      </c>
      <c r="B93" s="60">
        <v>2025</v>
      </c>
      <c r="C93" s="61">
        <v>3</v>
      </c>
      <c r="D93" s="62">
        <v>0.30180555555555555</v>
      </c>
      <c r="E93" s="60" t="s">
        <v>398</v>
      </c>
      <c r="F93" s="63" t="s">
        <v>406</v>
      </c>
      <c r="G93" s="63" t="s">
        <v>262</v>
      </c>
      <c r="H93" s="60" t="s">
        <v>259</v>
      </c>
      <c r="I93" s="60" t="s">
        <v>45</v>
      </c>
      <c r="J93" s="52">
        <v>15.46</v>
      </c>
      <c r="K93" s="52">
        <v>-1.03</v>
      </c>
      <c r="L93" s="52">
        <v>14.43</v>
      </c>
      <c r="M93" s="52">
        <f t="shared" si="0"/>
        <v>14.43</v>
      </c>
      <c r="N93" s="52">
        <f t="shared" si="1"/>
        <v>0</v>
      </c>
      <c r="O93" s="52" t="s">
        <v>410</v>
      </c>
      <c r="P93" s="52">
        <v>570.37</v>
      </c>
    </row>
    <row r="94" spans="1:16" ht="22.5" customHeight="1">
      <c r="A94" s="60" t="s">
        <v>112</v>
      </c>
      <c r="B94" s="60">
        <v>2025</v>
      </c>
      <c r="C94" s="61">
        <v>3</v>
      </c>
      <c r="D94" s="62">
        <v>0.30990740740740741</v>
      </c>
      <c r="E94" s="60" t="s">
        <v>398</v>
      </c>
      <c r="F94" s="63" t="s">
        <v>408</v>
      </c>
      <c r="G94" s="63" t="s">
        <v>291</v>
      </c>
      <c r="H94" s="60" t="s">
        <v>259</v>
      </c>
      <c r="I94" s="60" t="s">
        <v>45</v>
      </c>
      <c r="J94" s="52">
        <v>-19.25</v>
      </c>
      <c r="K94" s="52">
        <v>0.68</v>
      </c>
      <c r="L94" s="52">
        <v>-18.57</v>
      </c>
      <c r="M94" s="52">
        <f t="shared" si="0"/>
        <v>0</v>
      </c>
      <c r="N94" s="52">
        <f t="shared" si="1"/>
        <v>18.57</v>
      </c>
      <c r="O94" s="52" t="s">
        <v>411</v>
      </c>
      <c r="P94" s="52">
        <v>551.79999999999995</v>
      </c>
    </row>
    <row r="95" spans="1:16" ht="22.5" customHeight="1">
      <c r="A95" s="60" t="s">
        <v>104</v>
      </c>
      <c r="B95" s="60">
        <v>2025</v>
      </c>
      <c r="C95" s="61">
        <v>3</v>
      </c>
      <c r="D95" s="62">
        <v>0.19188657407407408</v>
      </c>
      <c r="E95" s="60" t="s">
        <v>398</v>
      </c>
      <c r="F95" s="63" t="s">
        <v>317</v>
      </c>
      <c r="G95" s="63" t="s">
        <v>262</v>
      </c>
      <c r="H95" s="60" t="s">
        <v>259</v>
      </c>
      <c r="I95" s="60" t="s">
        <v>45</v>
      </c>
      <c r="J95" s="52">
        <v>4.99</v>
      </c>
      <c r="K95" s="52">
        <v>-0.74</v>
      </c>
      <c r="L95" s="52">
        <v>4.25</v>
      </c>
      <c r="M95" s="52">
        <f t="shared" si="0"/>
        <v>4.25</v>
      </c>
      <c r="N95" s="52">
        <f t="shared" si="1"/>
        <v>0</v>
      </c>
      <c r="O95" s="52" t="s">
        <v>412</v>
      </c>
      <c r="P95" s="52">
        <v>556.04999999999995</v>
      </c>
    </row>
    <row r="96" spans="1:16" ht="22.5" customHeight="1">
      <c r="A96" s="60" t="s">
        <v>102</v>
      </c>
      <c r="B96" s="60">
        <v>2025</v>
      </c>
      <c r="C96" s="61">
        <v>3</v>
      </c>
      <c r="D96" s="62">
        <v>7.3541666666666672E-2</v>
      </c>
      <c r="E96" s="60" t="s">
        <v>398</v>
      </c>
      <c r="F96" s="63" t="s">
        <v>319</v>
      </c>
      <c r="G96" s="63" t="s">
        <v>320</v>
      </c>
      <c r="H96" s="60" t="s">
        <v>259</v>
      </c>
      <c r="I96" s="60" t="s">
        <v>45</v>
      </c>
      <c r="J96" s="52">
        <v>-2.5</v>
      </c>
      <c r="K96" s="52">
        <v>0</v>
      </c>
      <c r="L96" s="52">
        <v>-2.5</v>
      </c>
      <c r="M96" s="52">
        <f t="shared" si="0"/>
        <v>0</v>
      </c>
      <c r="N96" s="52">
        <f t="shared" si="1"/>
        <v>2.5</v>
      </c>
      <c r="O96" s="52" t="s">
        <v>413</v>
      </c>
      <c r="P96" s="52">
        <v>553.54999999999995</v>
      </c>
    </row>
    <row r="97" spans="1:16" ht="22.5" customHeight="1">
      <c r="A97" s="60" t="s">
        <v>414</v>
      </c>
      <c r="B97" s="60">
        <v>2025</v>
      </c>
      <c r="C97" s="61">
        <v>3</v>
      </c>
      <c r="D97" s="62">
        <v>0.18055555555555555</v>
      </c>
      <c r="E97" s="60" t="s">
        <v>398</v>
      </c>
      <c r="F97" s="63" t="s">
        <v>415</v>
      </c>
      <c r="G97" s="63" t="s">
        <v>258</v>
      </c>
      <c r="H97" s="60" t="s">
        <v>259</v>
      </c>
      <c r="I97" s="60" t="s">
        <v>45</v>
      </c>
      <c r="J97" s="52">
        <v>8.39</v>
      </c>
      <c r="K97" s="52">
        <v>-0.91</v>
      </c>
      <c r="L97" s="52">
        <v>7.48</v>
      </c>
      <c r="M97" s="52">
        <f t="shared" si="0"/>
        <v>7.48</v>
      </c>
      <c r="N97" s="52">
        <f t="shared" si="1"/>
        <v>0</v>
      </c>
      <c r="O97" s="52" t="s">
        <v>416</v>
      </c>
      <c r="P97" s="52">
        <v>561.03</v>
      </c>
    </row>
    <row r="98" spans="1:16" ht="22.5" customHeight="1">
      <c r="A98" s="60" t="s">
        <v>414</v>
      </c>
      <c r="B98" s="60">
        <v>2025</v>
      </c>
      <c r="C98" s="61">
        <v>3</v>
      </c>
      <c r="D98" s="62">
        <v>0.18203703703703702</v>
      </c>
      <c r="E98" s="60" t="s">
        <v>398</v>
      </c>
      <c r="F98" s="63" t="s">
        <v>341</v>
      </c>
      <c r="G98" s="63" t="s">
        <v>262</v>
      </c>
      <c r="H98" s="60" t="s">
        <v>259</v>
      </c>
      <c r="I98" s="60" t="s">
        <v>45</v>
      </c>
      <c r="J98" s="52">
        <v>1.99</v>
      </c>
      <c r="K98" s="52">
        <v>-0.59</v>
      </c>
      <c r="L98" s="52">
        <v>1.4</v>
      </c>
      <c r="M98" s="52">
        <f t="shared" si="0"/>
        <v>1.4</v>
      </c>
      <c r="N98" s="52">
        <f t="shared" si="1"/>
        <v>0</v>
      </c>
      <c r="O98" s="52" t="s">
        <v>417</v>
      </c>
      <c r="P98" s="52">
        <v>562.42999999999995</v>
      </c>
    </row>
    <row r="99" spans="1:16" ht="22.5" customHeight="1">
      <c r="A99" s="60" t="s">
        <v>418</v>
      </c>
      <c r="B99" s="60">
        <v>2025</v>
      </c>
      <c r="C99" s="61">
        <v>3</v>
      </c>
      <c r="D99" s="62">
        <v>0.15340277777777778</v>
      </c>
      <c r="E99" s="60" t="s">
        <v>398</v>
      </c>
      <c r="F99" s="63" t="s">
        <v>332</v>
      </c>
      <c r="G99" s="63" t="s">
        <v>262</v>
      </c>
      <c r="H99" s="60" t="s">
        <v>259</v>
      </c>
      <c r="I99" s="60" t="s">
        <v>45</v>
      </c>
      <c r="J99" s="52">
        <v>1.0900000000000001</v>
      </c>
      <c r="K99" s="52">
        <v>-0.54</v>
      </c>
      <c r="L99" s="52">
        <v>0.55000000000000004</v>
      </c>
      <c r="M99" s="52">
        <f t="shared" si="0"/>
        <v>0.55000000000000004</v>
      </c>
      <c r="N99" s="52">
        <f t="shared" si="1"/>
        <v>0</v>
      </c>
      <c r="O99" s="52" t="s">
        <v>419</v>
      </c>
      <c r="P99" s="52">
        <v>562.98</v>
      </c>
    </row>
    <row r="100" spans="1:16" ht="22.5" customHeight="1">
      <c r="A100" s="59">
        <v>45661</v>
      </c>
      <c r="B100" s="60">
        <v>2025</v>
      </c>
      <c r="C100" s="61">
        <v>4</v>
      </c>
      <c r="D100" s="62">
        <v>0.24883101851851852</v>
      </c>
      <c r="E100" s="60" t="s">
        <v>398</v>
      </c>
      <c r="F100" s="63" t="s">
        <v>420</v>
      </c>
      <c r="G100" s="63" t="s">
        <v>258</v>
      </c>
      <c r="H100" s="60" t="s">
        <v>259</v>
      </c>
      <c r="I100" s="60" t="s">
        <v>45</v>
      </c>
      <c r="J100" s="64">
        <v>1.19</v>
      </c>
      <c r="K100" s="64">
        <v>-0.55000000000000004</v>
      </c>
      <c r="L100" s="64">
        <v>0.64</v>
      </c>
      <c r="M100" s="64">
        <f t="shared" si="0"/>
        <v>0.64</v>
      </c>
      <c r="N100" s="52">
        <f t="shared" si="1"/>
        <v>0</v>
      </c>
      <c r="O100" s="52" t="s">
        <v>421</v>
      </c>
      <c r="P100" s="52">
        <v>563.62</v>
      </c>
    </row>
    <row r="101" spans="1:16" ht="22.5" customHeight="1">
      <c r="A101" s="59">
        <v>45661</v>
      </c>
      <c r="B101" s="60">
        <v>2025</v>
      </c>
      <c r="C101" s="61">
        <v>4</v>
      </c>
      <c r="D101" s="62">
        <v>0.4639699074074074</v>
      </c>
      <c r="E101" s="60" t="s">
        <v>398</v>
      </c>
      <c r="F101" s="63" t="s">
        <v>264</v>
      </c>
      <c r="G101" s="63" t="s">
        <v>258</v>
      </c>
      <c r="H101" s="60" t="s">
        <v>259</v>
      </c>
      <c r="I101" s="60" t="s">
        <v>45</v>
      </c>
      <c r="J101" s="64">
        <v>25.25</v>
      </c>
      <c r="K101" s="64">
        <v>-1.37</v>
      </c>
      <c r="L101" s="64">
        <v>23.88</v>
      </c>
      <c r="M101" s="64">
        <f t="shared" si="0"/>
        <v>23.88</v>
      </c>
      <c r="N101" s="52">
        <f t="shared" si="1"/>
        <v>0</v>
      </c>
      <c r="O101" s="52" t="s">
        <v>422</v>
      </c>
      <c r="P101" s="52">
        <v>587.5</v>
      </c>
    </row>
    <row r="102" spans="1:16" ht="22.5" customHeight="1">
      <c r="A102" s="59">
        <v>45692</v>
      </c>
      <c r="B102" s="60">
        <v>2025</v>
      </c>
      <c r="C102" s="61">
        <v>4</v>
      </c>
      <c r="D102" s="62">
        <v>0.75805555555555559</v>
      </c>
      <c r="E102" s="60" t="s">
        <v>398</v>
      </c>
      <c r="F102" s="63" t="s">
        <v>423</v>
      </c>
      <c r="G102" s="63" t="s">
        <v>258</v>
      </c>
      <c r="H102" s="60" t="s">
        <v>259</v>
      </c>
      <c r="I102" s="60" t="s">
        <v>45</v>
      </c>
      <c r="J102" s="64">
        <v>5.99</v>
      </c>
      <c r="K102" s="64">
        <v>-0.7</v>
      </c>
      <c r="L102" s="64">
        <v>5.29</v>
      </c>
      <c r="M102" s="64">
        <f t="shared" si="0"/>
        <v>5.29</v>
      </c>
      <c r="N102" s="52">
        <f t="shared" si="1"/>
        <v>0</v>
      </c>
      <c r="O102" s="52" t="s">
        <v>424</v>
      </c>
      <c r="P102" s="52">
        <v>592.79</v>
      </c>
    </row>
    <row r="103" spans="1:16" ht="22.5" customHeight="1">
      <c r="A103" s="59">
        <v>45751</v>
      </c>
      <c r="B103" s="60">
        <v>2025</v>
      </c>
      <c r="C103" s="61">
        <v>4</v>
      </c>
      <c r="D103" s="62">
        <v>0.17488425925925927</v>
      </c>
      <c r="E103" s="60" t="s">
        <v>398</v>
      </c>
      <c r="F103" s="63" t="s">
        <v>268</v>
      </c>
      <c r="G103" s="63" t="s">
        <v>262</v>
      </c>
      <c r="H103" s="60" t="s">
        <v>259</v>
      </c>
      <c r="I103" s="60" t="s">
        <v>45</v>
      </c>
      <c r="J103" s="64">
        <v>11.99</v>
      </c>
      <c r="K103" s="64">
        <v>-0.91</v>
      </c>
      <c r="L103" s="64">
        <v>11.08</v>
      </c>
      <c r="M103" s="64">
        <f t="shared" si="0"/>
        <v>11.08</v>
      </c>
      <c r="N103" s="52">
        <f t="shared" si="1"/>
        <v>0</v>
      </c>
      <c r="O103" s="52" t="s">
        <v>425</v>
      </c>
      <c r="P103" s="52">
        <v>603.87</v>
      </c>
    </row>
    <row r="104" spans="1:16" ht="22.5" customHeight="1">
      <c r="A104" s="59">
        <v>45781</v>
      </c>
      <c r="B104" s="60">
        <v>2025</v>
      </c>
      <c r="C104" s="61">
        <v>4</v>
      </c>
      <c r="D104" s="62">
        <v>0.17167824074074073</v>
      </c>
      <c r="E104" s="60" t="s">
        <v>398</v>
      </c>
      <c r="F104" s="63" t="s">
        <v>300</v>
      </c>
      <c r="G104" s="63" t="s">
        <v>262</v>
      </c>
      <c r="H104" s="60" t="s">
        <v>259</v>
      </c>
      <c r="I104" s="60" t="s">
        <v>45</v>
      </c>
      <c r="J104" s="64">
        <v>1.0900000000000001</v>
      </c>
      <c r="K104" s="64">
        <v>-0.54</v>
      </c>
      <c r="L104" s="64">
        <v>0.55000000000000004</v>
      </c>
      <c r="M104" s="64">
        <f t="shared" si="0"/>
        <v>0.55000000000000004</v>
      </c>
      <c r="N104" s="52">
        <f t="shared" si="1"/>
        <v>0</v>
      </c>
      <c r="O104" s="52" t="s">
        <v>426</v>
      </c>
      <c r="P104" s="52">
        <v>604.41999999999996</v>
      </c>
    </row>
    <row r="105" spans="1:16" ht="22.5" customHeight="1">
      <c r="A105" s="59">
        <v>45781</v>
      </c>
      <c r="B105" s="60">
        <v>2025</v>
      </c>
      <c r="C105" s="61">
        <v>4</v>
      </c>
      <c r="D105" s="62">
        <v>0.69822916666666668</v>
      </c>
      <c r="E105" s="60" t="s">
        <v>398</v>
      </c>
      <c r="F105" s="63" t="s">
        <v>427</v>
      </c>
      <c r="G105" s="63" t="s">
        <v>258</v>
      </c>
      <c r="H105" s="60" t="s">
        <v>259</v>
      </c>
      <c r="I105" s="60" t="s">
        <v>45</v>
      </c>
      <c r="J105" s="64">
        <v>2.79</v>
      </c>
      <c r="K105" s="64">
        <v>-0.63</v>
      </c>
      <c r="L105" s="64">
        <v>2.16</v>
      </c>
      <c r="M105" s="64">
        <f t="shared" si="0"/>
        <v>2.16</v>
      </c>
      <c r="N105" s="52">
        <f t="shared" si="1"/>
        <v>0</v>
      </c>
      <c r="O105" s="52" t="s">
        <v>428</v>
      </c>
      <c r="P105" s="52">
        <v>606.58000000000004</v>
      </c>
    </row>
    <row r="106" spans="1:16" ht="22.5" customHeight="1">
      <c r="A106" s="59">
        <v>45781</v>
      </c>
      <c r="B106" s="60">
        <v>2025</v>
      </c>
      <c r="C106" s="61">
        <v>4</v>
      </c>
      <c r="D106" s="62">
        <v>0.73487268518518523</v>
      </c>
      <c r="E106" s="60" t="s">
        <v>398</v>
      </c>
      <c r="F106" s="63" t="s">
        <v>429</v>
      </c>
      <c r="G106" s="63" t="s">
        <v>262</v>
      </c>
      <c r="H106" s="60" t="s">
        <v>259</v>
      </c>
      <c r="I106" s="60" t="s">
        <v>45</v>
      </c>
      <c r="J106" s="64">
        <v>4.1900000000000004</v>
      </c>
      <c r="K106" s="64">
        <v>-0.64</v>
      </c>
      <c r="L106" s="64">
        <v>3.55</v>
      </c>
      <c r="M106" s="64">
        <f t="shared" si="0"/>
        <v>3.55</v>
      </c>
      <c r="N106" s="52">
        <f t="shared" si="1"/>
        <v>0</v>
      </c>
      <c r="O106" s="52" t="s">
        <v>430</v>
      </c>
      <c r="P106" s="52">
        <v>610.13</v>
      </c>
    </row>
    <row r="107" spans="1:16" ht="22.5" customHeight="1">
      <c r="A107" s="59">
        <v>45781</v>
      </c>
      <c r="B107" s="60">
        <v>2025</v>
      </c>
      <c r="C107" s="61">
        <v>4</v>
      </c>
      <c r="D107" s="62">
        <v>0.75798611111111114</v>
      </c>
      <c r="E107" s="60" t="s">
        <v>398</v>
      </c>
      <c r="F107" s="63" t="s">
        <v>429</v>
      </c>
      <c r="G107" s="63" t="s">
        <v>262</v>
      </c>
      <c r="H107" s="60" t="s">
        <v>259</v>
      </c>
      <c r="I107" s="60" t="s">
        <v>45</v>
      </c>
      <c r="J107" s="64">
        <v>4.8899999999999997</v>
      </c>
      <c r="K107" s="64">
        <v>-0.66</v>
      </c>
      <c r="L107" s="64">
        <v>4.2300000000000004</v>
      </c>
      <c r="M107" s="64">
        <f t="shared" si="0"/>
        <v>4.2300000000000004</v>
      </c>
      <c r="N107" s="52">
        <f t="shared" si="1"/>
        <v>0</v>
      </c>
      <c r="O107" s="52" t="s">
        <v>431</v>
      </c>
      <c r="P107" s="52">
        <v>614.36</v>
      </c>
    </row>
    <row r="108" spans="1:16" ht="22.5" customHeight="1">
      <c r="A108" s="59">
        <v>45812</v>
      </c>
      <c r="B108" s="60">
        <v>2025</v>
      </c>
      <c r="C108" s="61">
        <v>4</v>
      </c>
      <c r="D108" s="62">
        <v>0.15707175925925926</v>
      </c>
      <c r="E108" s="60" t="s">
        <v>398</v>
      </c>
      <c r="F108" s="63" t="s">
        <v>288</v>
      </c>
      <c r="G108" s="63" t="s">
        <v>262</v>
      </c>
      <c r="H108" s="60" t="s">
        <v>259</v>
      </c>
      <c r="I108" s="60" t="s">
        <v>45</v>
      </c>
      <c r="J108" s="64">
        <v>1.0900000000000001</v>
      </c>
      <c r="K108" s="64">
        <v>-0.53</v>
      </c>
      <c r="L108" s="64">
        <v>0.56000000000000005</v>
      </c>
      <c r="M108" s="64">
        <f t="shared" si="0"/>
        <v>0.56000000000000005</v>
      </c>
      <c r="N108" s="52">
        <f t="shared" si="1"/>
        <v>0</v>
      </c>
      <c r="O108" s="52" t="s">
        <v>432</v>
      </c>
      <c r="P108" s="52">
        <v>614.91999999999996</v>
      </c>
    </row>
    <row r="109" spans="1:16" ht="22.5" customHeight="1">
      <c r="A109" s="59">
        <v>45842</v>
      </c>
      <c r="B109" s="60">
        <v>2025</v>
      </c>
      <c r="C109" s="61">
        <v>4</v>
      </c>
      <c r="D109" s="62">
        <v>9.8136574074074071E-2</v>
      </c>
      <c r="E109" s="60" t="s">
        <v>398</v>
      </c>
      <c r="F109" s="63" t="s">
        <v>341</v>
      </c>
      <c r="G109" s="63" t="s">
        <v>262</v>
      </c>
      <c r="H109" s="60" t="s">
        <v>259</v>
      </c>
      <c r="I109" s="60" t="s">
        <v>45</v>
      </c>
      <c r="J109" s="64">
        <v>3.99</v>
      </c>
      <c r="K109" s="64">
        <v>-0.69</v>
      </c>
      <c r="L109" s="64">
        <v>3.3</v>
      </c>
      <c r="M109" s="64">
        <f t="shared" si="0"/>
        <v>3.3</v>
      </c>
      <c r="N109" s="52">
        <f t="shared" si="1"/>
        <v>0</v>
      </c>
      <c r="O109" s="52" t="s">
        <v>433</v>
      </c>
      <c r="P109" s="52">
        <v>618.22</v>
      </c>
    </row>
    <row r="110" spans="1:16" ht="22.5" customHeight="1">
      <c r="A110" s="59">
        <v>45842</v>
      </c>
      <c r="B110" s="60">
        <v>2025</v>
      </c>
      <c r="C110" s="61">
        <v>4</v>
      </c>
      <c r="D110" s="62">
        <v>9.9421296296296299E-2</v>
      </c>
      <c r="E110" s="60" t="s">
        <v>398</v>
      </c>
      <c r="F110" s="63" t="s">
        <v>341</v>
      </c>
      <c r="G110" s="63" t="s">
        <v>262</v>
      </c>
      <c r="H110" s="60" t="s">
        <v>259</v>
      </c>
      <c r="I110" s="60" t="s">
        <v>45</v>
      </c>
      <c r="J110" s="64">
        <v>3.99</v>
      </c>
      <c r="K110" s="64">
        <v>-0.69</v>
      </c>
      <c r="L110" s="64">
        <v>3.3</v>
      </c>
      <c r="M110" s="64">
        <f t="shared" si="0"/>
        <v>3.3</v>
      </c>
      <c r="N110" s="52">
        <f t="shared" si="1"/>
        <v>0</v>
      </c>
      <c r="O110" s="52" t="s">
        <v>434</v>
      </c>
      <c r="P110" s="52">
        <v>621.52</v>
      </c>
    </row>
    <row r="111" spans="1:16" ht="22.5" customHeight="1">
      <c r="A111" s="59">
        <v>45934</v>
      </c>
      <c r="B111" s="60">
        <v>2025</v>
      </c>
      <c r="C111" s="61">
        <v>4</v>
      </c>
      <c r="D111" s="62">
        <v>0.17135416666666667</v>
      </c>
      <c r="E111" s="60" t="s">
        <v>398</v>
      </c>
      <c r="F111" s="63" t="s">
        <v>399</v>
      </c>
      <c r="G111" s="63" t="s">
        <v>262</v>
      </c>
      <c r="H111" s="60" t="s">
        <v>259</v>
      </c>
      <c r="I111" s="60" t="s">
        <v>45</v>
      </c>
      <c r="J111" s="64">
        <v>4.79</v>
      </c>
      <c r="K111" s="64">
        <v>-0.73</v>
      </c>
      <c r="L111" s="64">
        <v>4.0599999999999996</v>
      </c>
      <c r="M111" s="64">
        <f t="shared" si="0"/>
        <v>4.0599999999999996</v>
      </c>
      <c r="N111" s="52">
        <f t="shared" si="1"/>
        <v>0</v>
      </c>
      <c r="O111" s="52" t="s">
        <v>435</v>
      </c>
      <c r="P111" s="52">
        <v>625.58000000000004</v>
      </c>
    </row>
    <row r="112" spans="1:16" ht="22.5" customHeight="1">
      <c r="A112" s="59">
        <v>45995</v>
      </c>
      <c r="B112" s="60">
        <v>2025</v>
      </c>
      <c r="C112" s="61">
        <v>4</v>
      </c>
      <c r="D112" s="62">
        <v>0.24685185185185185</v>
      </c>
      <c r="E112" s="60" t="s">
        <v>398</v>
      </c>
      <c r="F112" s="63" t="s">
        <v>436</v>
      </c>
      <c r="G112" s="63" t="s">
        <v>262</v>
      </c>
      <c r="H112" s="60" t="s">
        <v>259</v>
      </c>
      <c r="I112" s="60" t="s">
        <v>45</v>
      </c>
      <c r="J112" s="64">
        <v>1.98</v>
      </c>
      <c r="K112" s="64">
        <v>-0.59</v>
      </c>
      <c r="L112" s="64">
        <v>1.39</v>
      </c>
      <c r="M112" s="64">
        <f t="shared" si="0"/>
        <v>1.39</v>
      </c>
      <c r="N112" s="52">
        <f t="shared" si="1"/>
        <v>0</v>
      </c>
      <c r="O112" s="52" t="s">
        <v>437</v>
      </c>
      <c r="P112" s="52">
        <v>626.97</v>
      </c>
    </row>
    <row r="113" spans="1:16" ht="22.5" customHeight="1">
      <c r="A113" s="60" t="s">
        <v>438</v>
      </c>
      <c r="B113" s="60">
        <v>2025</v>
      </c>
      <c r="C113" s="61">
        <v>4</v>
      </c>
      <c r="D113" s="62">
        <v>0.2936111111111111</v>
      </c>
      <c r="E113" s="60" t="s">
        <v>398</v>
      </c>
      <c r="F113" s="63" t="s">
        <v>439</v>
      </c>
      <c r="G113" s="63" t="s">
        <v>262</v>
      </c>
      <c r="H113" s="60" t="s">
        <v>259</v>
      </c>
      <c r="I113" s="60" t="s">
        <v>45</v>
      </c>
      <c r="J113" s="64">
        <v>20.25</v>
      </c>
      <c r="K113" s="64">
        <v>-1.5</v>
      </c>
      <c r="L113" s="64">
        <v>18.75</v>
      </c>
      <c r="M113" s="64">
        <f t="shared" si="0"/>
        <v>18.75</v>
      </c>
      <c r="N113" s="52">
        <f t="shared" si="1"/>
        <v>0</v>
      </c>
      <c r="O113" s="52" t="s">
        <v>440</v>
      </c>
      <c r="P113" s="52">
        <v>645.72</v>
      </c>
    </row>
    <row r="114" spans="1:16" ht="22.5" customHeight="1">
      <c r="A114" s="60" t="s">
        <v>438</v>
      </c>
      <c r="B114" s="60">
        <v>2025</v>
      </c>
      <c r="C114" s="61">
        <v>4</v>
      </c>
      <c r="D114" s="62">
        <v>0.29561342592592593</v>
      </c>
      <c r="E114" s="60" t="s">
        <v>398</v>
      </c>
      <c r="F114" s="63" t="s">
        <v>439</v>
      </c>
      <c r="G114" s="63" t="s">
        <v>262</v>
      </c>
      <c r="H114" s="60" t="s">
        <v>259</v>
      </c>
      <c r="I114" s="60" t="s">
        <v>45</v>
      </c>
      <c r="J114" s="64">
        <v>20.25</v>
      </c>
      <c r="K114" s="64">
        <v>-1.5</v>
      </c>
      <c r="L114" s="64">
        <v>18.75</v>
      </c>
      <c r="M114" s="64">
        <f t="shared" si="0"/>
        <v>18.75</v>
      </c>
      <c r="N114" s="52">
        <f t="shared" si="1"/>
        <v>0</v>
      </c>
      <c r="O114" s="52" t="s">
        <v>441</v>
      </c>
      <c r="P114" s="52">
        <v>664.47</v>
      </c>
    </row>
    <row r="115" spans="1:16" ht="22.5" customHeight="1">
      <c r="A115" s="60" t="s">
        <v>442</v>
      </c>
      <c r="B115" s="60">
        <v>2025</v>
      </c>
      <c r="C115" s="61">
        <v>4</v>
      </c>
      <c r="D115" s="62">
        <v>0.15402777777777779</v>
      </c>
      <c r="E115" s="60" t="s">
        <v>398</v>
      </c>
      <c r="F115" s="63" t="s">
        <v>306</v>
      </c>
      <c r="G115" s="63" t="s">
        <v>262</v>
      </c>
      <c r="H115" s="60" t="s">
        <v>259</v>
      </c>
      <c r="I115" s="60" t="s">
        <v>45</v>
      </c>
      <c r="J115" s="64">
        <v>1.0900000000000001</v>
      </c>
      <c r="K115" s="64">
        <v>-0.54</v>
      </c>
      <c r="L115" s="64">
        <v>0.55000000000000004</v>
      </c>
      <c r="M115" s="64">
        <f t="shared" si="0"/>
        <v>0.55000000000000004</v>
      </c>
      <c r="N115" s="52">
        <f t="shared" si="1"/>
        <v>0</v>
      </c>
      <c r="O115" s="52" t="s">
        <v>443</v>
      </c>
      <c r="P115" s="52">
        <v>665.02</v>
      </c>
    </row>
    <row r="116" spans="1:16" ht="22.5" customHeight="1">
      <c r="A116" s="60" t="s">
        <v>442</v>
      </c>
      <c r="B116" s="60">
        <v>2025</v>
      </c>
      <c r="C116" s="61">
        <v>4</v>
      </c>
      <c r="D116" s="62">
        <v>0.15511574074074075</v>
      </c>
      <c r="E116" s="60" t="s">
        <v>398</v>
      </c>
      <c r="F116" s="63" t="s">
        <v>406</v>
      </c>
      <c r="G116" s="63" t="s">
        <v>262</v>
      </c>
      <c r="H116" s="60" t="s">
        <v>259</v>
      </c>
      <c r="I116" s="60" t="s">
        <v>45</v>
      </c>
      <c r="J116" s="64">
        <v>4.79</v>
      </c>
      <c r="K116" s="64">
        <v>-0.66</v>
      </c>
      <c r="L116" s="64">
        <v>4.13</v>
      </c>
      <c r="M116" s="64">
        <f t="shared" si="0"/>
        <v>4.13</v>
      </c>
      <c r="N116" s="52">
        <f t="shared" si="1"/>
        <v>0</v>
      </c>
      <c r="O116" s="52" t="s">
        <v>444</v>
      </c>
      <c r="P116" s="52">
        <v>669.15</v>
      </c>
    </row>
    <row r="117" spans="1:16" ht="22.5" customHeight="1">
      <c r="A117" s="60" t="s">
        <v>442</v>
      </c>
      <c r="B117" s="60">
        <v>2025</v>
      </c>
      <c r="C117" s="61">
        <v>4</v>
      </c>
      <c r="D117" s="62">
        <v>0.37971064814814814</v>
      </c>
      <c r="E117" s="60" t="s">
        <v>398</v>
      </c>
      <c r="F117" s="63" t="s">
        <v>406</v>
      </c>
      <c r="G117" s="63" t="s">
        <v>291</v>
      </c>
      <c r="H117" s="60" t="s">
        <v>259</v>
      </c>
      <c r="I117" s="60" t="s">
        <v>45</v>
      </c>
      <c r="J117" s="64">
        <v>-4.79</v>
      </c>
      <c r="K117" s="64">
        <v>0.17</v>
      </c>
      <c r="L117" s="64">
        <v>-4.62</v>
      </c>
      <c r="M117" s="52">
        <f t="shared" si="0"/>
        <v>0</v>
      </c>
      <c r="N117" s="52">
        <f t="shared" si="1"/>
        <v>4.62</v>
      </c>
      <c r="O117" s="52" t="s">
        <v>445</v>
      </c>
      <c r="P117" s="52">
        <v>664.53</v>
      </c>
    </row>
    <row r="118" spans="1:16" ht="22.5" customHeight="1">
      <c r="A118" s="60" t="s">
        <v>442</v>
      </c>
      <c r="B118" s="60">
        <v>2025</v>
      </c>
      <c r="C118" s="61">
        <v>4</v>
      </c>
      <c r="D118" s="62">
        <v>0.48674768518518519</v>
      </c>
      <c r="E118" s="60" t="s">
        <v>398</v>
      </c>
      <c r="F118" s="63" t="s">
        <v>319</v>
      </c>
      <c r="G118" s="63" t="s">
        <v>320</v>
      </c>
      <c r="H118" s="60" t="s">
        <v>259</v>
      </c>
      <c r="I118" s="60" t="s">
        <v>45</v>
      </c>
      <c r="J118" s="64">
        <v>-2.5</v>
      </c>
      <c r="K118" s="64">
        <v>0</v>
      </c>
      <c r="L118" s="64">
        <v>-2.5</v>
      </c>
      <c r="M118" s="52">
        <f t="shared" si="0"/>
        <v>0</v>
      </c>
      <c r="N118" s="52">
        <f t="shared" si="1"/>
        <v>2.5</v>
      </c>
      <c r="O118" s="52" t="s">
        <v>446</v>
      </c>
      <c r="P118" s="52">
        <v>662.03</v>
      </c>
    </row>
    <row r="119" spans="1:16" ht="22.5" customHeight="1">
      <c r="A119" s="60" t="s">
        <v>447</v>
      </c>
      <c r="B119" s="60">
        <v>2025</v>
      </c>
      <c r="C119" s="61">
        <v>4</v>
      </c>
      <c r="D119" s="62">
        <v>0.31640046296296298</v>
      </c>
      <c r="E119" s="60" t="s">
        <v>398</v>
      </c>
      <c r="F119" s="63" t="s">
        <v>448</v>
      </c>
      <c r="G119" s="63" t="s">
        <v>258</v>
      </c>
      <c r="H119" s="60" t="s">
        <v>259</v>
      </c>
      <c r="I119" s="60" t="s">
        <v>45</v>
      </c>
      <c r="J119" s="64">
        <v>3.99</v>
      </c>
      <c r="K119" s="64">
        <v>-0.69</v>
      </c>
      <c r="L119" s="64">
        <v>3.3</v>
      </c>
      <c r="M119" s="64">
        <f t="shared" si="0"/>
        <v>3.3</v>
      </c>
      <c r="N119" s="52">
        <f t="shared" si="1"/>
        <v>0</v>
      </c>
      <c r="O119" s="52" t="s">
        <v>449</v>
      </c>
      <c r="P119" s="52">
        <v>665.33</v>
      </c>
    </row>
    <row r="120" spans="1:16" ht="22.5" customHeight="1">
      <c r="A120" s="60" t="s">
        <v>447</v>
      </c>
      <c r="B120" s="60">
        <v>2025</v>
      </c>
      <c r="C120" s="61">
        <v>4</v>
      </c>
      <c r="D120" s="62">
        <v>0.83980324074074075</v>
      </c>
      <c r="E120" s="60" t="s">
        <v>398</v>
      </c>
      <c r="F120" s="63" t="s">
        <v>448</v>
      </c>
      <c r="G120" s="63" t="s">
        <v>291</v>
      </c>
      <c r="H120" s="60" t="s">
        <v>259</v>
      </c>
      <c r="I120" s="60" t="s">
        <v>45</v>
      </c>
      <c r="J120" s="64">
        <v>-3.99</v>
      </c>
      <c r="K120" s="64">
        <v>0.2</v>
      </c>
      <c r="L120" s="64">
        <v>-3.79</v>
      </c>
      <c r="M120" s="52">
        <f t="shared" si="0"/>
        <v>0</v>
      </c>
      <c r="N120" s="52">
        <f t="shared" si="1"/>
        <v>3.79</v>
      </c>
      <c r="O120" s="52" t="s">
        <v>450</v>
      </c>
      <c r="P120" s="52">
        <v>661.54</v>
      </c>
    </row>
    <row r="121" spans="1:16" ht="22.5" customHeight="1">
      <c r="A121" s="60" t="s">
        <v>451</v>
      </c>
      <c r="B121" s="60">
        <v>2025</v>
      </c>
      <c r="C121" s="61">
        <v>4</v>
      </c>
      <c r="D121" s="62">
        <v>0.15789351851851852</v>
      </c>
      <c r="E121" s="60" t="s">
        <v>398</v>
      </c>
      <c r="F121" s="63" t="s">
        <v>317</v>
      </c>
      <c r="G121" s="63" t="s">
        <v>262</v>
      </c>
      <c r="H121" s="60" t="s">
        <v>259</v>
      </c>
      <c r="I121" s="60" t="s">
        <v>45</v>
      </c>
      <c r="J121" s="64">
        <v>4.99</v>
      </c>
      <c r="K121" s="64">
        <v>-0.74</v>
      </c>
      <c r="L121" s="64">
        <v>4.25</v>
      </c>
      <c r="M121" s="64">
        <f t="shared" si="0"/>
        <v>4.25</v>
      </c>
      <c r="N121" s="52">
        <f t="shared" si="1"/>
        <v>0</v>
      </c>
      <c r="O121" s="52" t="s">
        <v>452</v>
      </c>
      <c r="P121" s="52">
        <v>665.79</v>
      </c>
    </row>
    <row r="122" spans="1:16" ht="22.5" customHeight="1">
      <c r="A122" s="60" t="s">
        <v>451</v>
      </c>
      <c r="B122" s="60">
        <v>2025</v>
      </c>
      <c r="C122" s="61">
        <v>4</v>
      </c>
      <c r="D122" s="62">
        <v>0.96042824074074074</v>
      </c>
      <c r="E122" s="60" t="s">
        <v>398</v>
      </c>
      <c r="F122" s="63" t="s">
        <v>453</v>
      </c>
      <c r="G122" s="63" t="s">
        <v>258</v>
      </c>
      <c r="H122" s="60" t="s">
        <v>259</v>
      </c>
      <c r="I122" s="60" t="s">
        <v>45</v>
      </c>
      <c r="J122" s="64">
        <v>2.99</v>
      </c>
      <c r="K122" s="64">
        <v>-0.64</v>
      </c>
      <c r="L122" s="64">
        <v>2.35</v>
      </c>
      <c r="M122" s="64">
        <f t="shared" si="0"/>
        <v>2.35</v>
      </c>
      <c r="N122" s="52">
        <f t="shared" si="1"/>
        <v>0</v>
      </c>
      <c r="O122" s="52" t="s">
        <v>454</v>
      </c>
      <c r="P122" s="52">
        <v>668.14</v>
      </c>
    </row>
    <row r="123" spans="1:16" ht="22.5" customHeight="1">
      <c r="A123" s="60" t="s">
        <v>129</v>
      </c>
      <c r="B123" s="60">
        <v>2025</v>
      </c>
      <c r="C123" s="61">
        <v>4</v>
      </c>
      <c r="D123" s="62">
        <v>0.62471064814814814</v>
      </c>
      <c r="E123" s="60" t="s">
        <v>398</v>
      </c>
      <c r="F123" s="63" t="s">
        <v>455</v>
      </c>
      <c r="G123" s="63" t="s">
        <v>262</v>
      </c>
      <c r="H123" s="60" t="s">
        <v>259</v>
      </c>
      <c r="I123" s="60" t="s">
        <v>45</v>
      </c>
      <c r="J123" s="64">
        <v>3.99</v>
      </c>
      <c r="K123" s="64">
        <v>-0.69</v>
      </c>
      <c r="L123" s="64">
        <v>3.3</v>
      </c>
      <c r="M123" s="64">
        <f t="shared" si="0"/>
        <v>3.3</v>
      </c>
      <c r="N123" s="52">
        <f t="shared" si="1"/>
        <v>0</v>
      </c>
      <c r="O123" s="52" t="s">
        <v>456</v>
      </c>
      <c r="P123" s="52">
        <v>671.44</v>
      </c>
    </row>
    <row r="124" spans="1:16" ht="22.5" customHeight="1">
      <c r="A124" s="60" t="s">
        <v>123</v>
      </c>
      <c r="B124" s="60">
        <v>2025</v>
      </c>
      <c r="C124" s="61">
        <v>4</v>
      </c>
      <c r="D124" s="62">
        <v>0.89140046296296294</v>
      </c>
      <c r="E124" s="60" t="s">
        <v>398</v>
      </c>
      <c r="F124" s="63" t="s">
        <v>448</v>
      </c>
      <c r="G124" s="63" t="s">
        <v>258</v>
      </c>
      <c r="H124" s="60" t="s">
        <v>259</v>
      </c>
      <c r="I124" s="60" t="s">
        <v>45</v>
      </c>
      <c r="J124" s="64">
        <v>6.99</v>
      </c>
      <c r="K124" s="64">
        <v>-0.84</v>
      </c>
      <c r="L124" s="64">
        <v>6.15</v>
      </c>
      <c r="M124" s="64">
        <f t="shared" si="0"/>
        <v>6.15</v>
      </c>
      <c r="N124" s="52">
        <f t="shared" si="1"/>
        <v>0</v>
      </c>
      <c r="O124" s="52" t="s">
        <v>457</v>
      </c>
      <c r="P124" s="52">
        <v>677.59</v>
      </c>
    </row>
    <row r="125" spans="1:16" ht="22.5" customHeight="1">
      <c r="A125" s="60" t="s">
        <v>458</v>
      </c>
      <c r="B125" s="60">
        <v>2025</v>
      </c>
      <c r="C125" s="61">
        <v>4</v>
      </c>
      <c r="D125" s="62">
        <v>0.37259259259259259</v>
      </c>
      <c r="E125" s="60" t="s">
        <v>398</v>
      </c>
      <c r="F125" s="63" t="s">
        <v>393</v>
      </c>
      <c r="G125" s="63" t="s">
        <v>262</v>
      </c>
      <c r="H125" s="60" t="s">
        <v>259</v>
      </c>
      <c r="I125" s="60" t="s">
        <v>45</v>
      </c>
      <c r="J125" s="64">
        <v>3.99</v>
      </c>
      <c r="K125" s="64">
        <v>-0.69</v>
      </c>
      <c r="L125" s="64">
        <v>3.3</v>
      </c>
      <c r="M125" s="64">
        <f t="shared" si="0"/>
        <v>3.3</v>
      </c>
      <c r="N125" s="52">
        <f t="shared" si="1"/>
        <v>0</v>
      </c>
      <c r="O125" s="52" t="s">
        <v>459</v>
      </c>
      <c r="P125" s="52">
        <v>680.89</v>
      </c>
    </row>
    <row r="126" spans="1:16" ht="22.5" customHeight="1">
      <c r="A126" s="59">
        <v>45662</v>
      </c>
      <c r="B126" s="60">
        <v>2025</v>
      </c>
      <c r="C126" s="61">
        <v>5</v>
      </c>
      <c r="D126" s="62">
        <v>0.38413194444444443</v>
      </c>
      <c r="E126" s="60" t="s">
        <v>398</v>
      </c>
      <c r="F126" s="63" t="s">
        <v>420</v>
      </c>
      <c r="G126" s="63" t="s">
        <v>258</v>
      </c>
      <c r="H126" s="60" t="s">
        <v>259</v>
      </c>
      <c r="I126" s="60" t="s">
        <v>45</v>
      </c>
      <c r="J126" s="52">
        <v>1.19</v>
      </c>
      <c r="K126" s="52">
        <v>-0.55000000000000004</v>
      </c>
      <c r="L126" s="52">
        <v>0.64</v>
      </c>
      <c r="M126" s="52">
        <f t="shared" si="0"/>
        <v>0.64</v>
      </c>
      <c r="N126" s="52">
        <f t="shared" si="1"/>
        <v>0</v>
      </c>
      <c r="O126" s="52" t="s">
        <v>460</v>
      </c>
      <c r="P126" s="52">
        <v>681.53</v>
      </c>
    </row>
    <row r="127" spans="1:16" ht="22.5" customHeight="1">
      <c r="A127" s="59">
        <v>45721</v>
      </c>
      <c r="B127" s="60">
        <v>2025</v>
      </c>
      <c r="C127" s="61">
        <v>5</v>
      </c>
      <c r="D127" s="62">
        <v>0.1388425925925926</v>
      </c>
      <c r="E127" s="60" t="s">
        <v>398</v>
      </c>
      <c r="F127" s="63" t="s">
        <v>423</v>
      </c>
      <c r="G127" s="63" t="s">
        <v>258</v>
      </c>
      <c r="H127" s="60" t="s">
        <v>259</v>
      </c>
      <c r="I127" s="60" t="s">
        <v>45</v>
      </c>
      <c r="J127" s="52">
        <v>5.99</v>
      </c>
      <c r="K127" s="52">
        <v>-0.7</v>
      </c>
      <c r="L127" s="52">
        <v>5.29</v>
      </c>
      <c r="M127" s="52">
        <f t="shared" si="0"/>
        <v>5.29</v>
      </c>
      <c r="N127" s="52">
        <f t="shared" si="1"/>
        <v>0</v>
      </c>
      <c r="O127" s="52" t="s">
        <v>461</v>
      </c>
      <c r="P127" s="52">
        <v>686.82</v>
      </c>
    </row>
    <row r="128" spans="1:16" ht="22.5" customHeight="1">
      <c r="A128" s="59">
        <v>45721</v>
      </c>
      <c r="B128" s="60">
        <v>2025</v>
      </c>
      <c r="C128" s="61">
        <v>5</v>
      </c>
      <c r="D128" s="62">
        <v>0.18898148148148147</v>
      </c>
      <c r="E128" s="60" t="s">
        <v>398</v>
      </c>
      <c r="F128" s="63" t="s">
        <v>462</v>
      </c>
      <c r="G128" s="63" t="s">
        <v>262</v>
      </c>
      <c r="H128" s="60" t="s">
        <v>259</v>
      </c>
      <c r="I128" s="60" t="s">
        <v>45</v>
      </c>
      <c r="J128" s="52">
        <v>2.79</v>
      </c>
      <c r="K128" s="52">
        <v>-0.63</v>
      </c>
      <c r="L128" s="52">
        <v>2.16</v>
      </c>
      <c r="M128" s="52">
        <f t="shared" si="0"/>
        <v>2.16</v>
      </c>
      <c r="N128" s="52">
        <f t="shared" si="1"/>
        <v>0</v>
      </c>
      <c r="O128" s="52" t="s">
        <v>463</v>
      </c>
      <c r="P128" s="52">
        <v>688.98</v>
      </c>
    </row>
    <row r="129" spans="1:16" ht="22.5" customHeight="1">
      <c r="A129" s="59">
        <v>45782</v>
      </c>
      <c r="B129" s="60">
        <v>2025</v>
      </c>
      <c r="C129" s="61">
        <v>5</v>
      </c>
      <c r="D129" s="62">
        <v>0.16841435185185186</v>
      </c>
      <c r="E129" s="60" t="s">
        <v>398</v>
      </c>
      <c r="F129" s="63" t="s">
        <v>300</v>
      </c>
      <c r="G129" s="63" t="s">
        <v>262</v>
      </c>
      <c r="H129" s="60" t="s">
        <v>259</v>
      </c>
      <c r="I129" s="60" t="s">
        <v>45</v>
      </c>
      <c r="J129" s="52">
        <v>1.0900000000000001</v>
      </c>
      <c r="K129" s="52">
        <v>-0.54</v>
      </c>
      <c r="L129" s="52">
        <v>0.55000000000000004</v>
      </c>
      <c r="M129" s="52">
        <f t="shared" si="0"/>
        <v>0.55000000000000004</v>
      </c>
      <c r="N129" s="52">
        <f t="shared" si="1"/>
        <v>0</v>
      </c>
      <c r="O129" s="52" t="s">
        <v>464</v>
      </c>
      <c r="P129" s="52">
        <v>689.53</v>
      </c>
    </row>
    <row r="130" spans="1:16" ht="22.5" customHeight="1">
      <c r="A130" s="59">
        <v>45813</v>
      </c>
      <c r="B130" s="60">
        <v>2025</v>
      </c>
      <c r="C130" s="61">
        <v>5</v>
      </c>
      <c r="D130" s="62">
        <v>0.4761111111111111</v>
      </c>
      <c r="E130" s="60" t="s">
        <v>398</v>
      </c>
      <c r="F130" s="63" t="s">
        <v>465</v>
      </c>
      <c r="G130" s="63" t="s">
        <v>320</v>
      </c>
      <c r="H130" s="60" t="s">
        <v>259</v>
      </c>
      <c r="I130" s="60" t="s">
        <v>45</v>
      </c>
      <c r="J130" s="52">
        <v>-10</v>
      </c>
      <c r="K130" s="52">
        <v>0</v>
      </c>
      <c r="L130" s="52">
        <v>-10</v>
      </c>
      <c r="M130" s="52">
        <f t="shared" si="0"/>
        <v>0</v>
      </c>
      <c r="N130" s="52">
        <f t="shared" si="1"/>
        <v>10</v>
      </c>
      <c r="O130" s="52" t="s">
        <v>466</v>
      </c>
      <c r="P130" s="52">
        <v>679.53</v>
      </c>
    </row>
    <row r="131" spans="1:16" ht="22.5" customHeight="1">
      <c r="A131" s="59">
        <v>45813</v>
      </c>
      <c r="B131" s="60">
        <v>2025</v>
      </c>
      <c r="C131" s="61">
        <v>5</v>
      </c>
      <c r="D131" s="62">
        <v>0.75696759259259261</v>
      </c>
      <c r="E131" s="60" t="s">
        <v>398</v>
      </c>
      <c r="F131" s="63" t="s">
        <v>448</v>
      </c>
      <c r="G131" s="63" t="s">
        <v>262</v>
      </c>
      <c r="H131" s="60" t="s">
        <v>259</v>
      </c>
      <c r="I131" s="60" t="s">
        <v>45</v>
      </c>
      <c r="J131" s="52">
        <v>18.260000000000002</v>
      </c>
      <c r="K131" s="52">
        <v>-1.4</v>
      </c>
      <c r="L131" s="52">
        <v>16.86</v>
      </c>
      <c r="M131" s="52">
        <f t="shared" si="0"/>
        <v>16.86</v>
      </c>
      <c r="N131" s="52">
        <f t="shared" si="1"/>
        <v>0</v>
      </c>
      <c r="O131" s="52" t="s">
        <v>467</v>
      </c>
      <c r="P131" s="52">
        <v>696.39</v>
      </c>
    </row>
    <row r="132" spans="1:16" ht="22.5" customHeight="1">
      <c r="A132" s="60" t="s">
        <v>468</v>
      </c>
      <c r="B132" s="60">
        <v>2025</v>
      </c>
      <c r="C132" s="61">
        <v>5</v>
      </c>
      <c r="D132" s="62">
        <v>8.6631944444444442E-2</v>
      </c>
      <c r="E132" s="60" t="s">
        <v>398</v>
      </c>
      <c r="F132" s="63" t="s">
        <v>469</v>
      </c>
      <c r="G132" s="63" t="s">
        <v>258</v>
      </c>
      <c r="H132" s="60" t="s">
        <v>259</v>
      </c>
      <c r="I132" s="60" t="s">
        <v>45</v>
      </c>
      <c r="J132" s="52">
        <v>5.49</v>
      </c>
      <c r="K132" s="52">
        <v>-0.76</v>
      </c>
      <c r="L132" s="52">
        <v>4.7300000000000004</v>
      </c>
      <c r="M132" s="52">
        <f t="shared" si="0"/>
        <v>4.7300000000000004</v>
      </c>
      <c r="N132" s="52">
        <f t="shared" si="1"/>
        <v>0</v>
      </c>
      <c r="O132" s="52" t="s">
        <v>470</v>
      </c>
      <c r="P132" s="52">
        <v>701.12</v>
      </c>
    </row>
    <row r="133" spans="1:16" ht="22.5" customHeight="1">
      <c r="A133" s="60" t="s">
        <v>468</v>
      </c>
      <c r="B133" s="60">
        <v>2025</v>
      </c>
      <c r="C133" s="61">
        <v>5</v>
      </c>
      <c r="D133" s="62">
        <v>0.21527777777777779</v>
      </c>
      <c r="E133" s="60" t="s">
        <v>398</v>
      </c>
      <c r="F133" s="63" t="s">
        <v>448</v>
      </c>
      <c r="G133" s="63" t="s">
        <v>262</v>
      </c>
      <c r="H133" s="60" t="s">
        <v>259</v>
      </c>
      <c r="I133" s="60" t="s">
        <v>45</v>
      </c>
      <c r="J133" s="52">
        <v>5.99</v>
      </c>
      <c r="K133" s="52">
        <v>-0.79</v>
      </c>
      <c r="L133" s="52">
        <v>5.2</v>
      </c>
      <c r="M133" s="52">
        <f t="shared" si="0"/>
        <v>5.2</v>
      </c>
      <c r="N133" s="52">
        <f t="shared" si="1"/>
        <v>0</v>
      </c>
      <c r="O133" s="52" t="s">
        <v>471</v>
      </c>
      <c r="P133" s="52">
        <v>706.32</v>
      </c>
    </row>
    <row r="134" spans="1:16" ht="22.5" customHeight="1">
      <c r="A134" s="60" t="s">
        <v>468</v>
      </c>
      <c r="B134" s="60">
        <v>2025</v>
      </c>
      <c r="C134" s="61">
        <v>5</v>
      </c>
      <c r="D134" s="62">
        <v>0.34408564814814813</v>
      </c>
      <c r="E134" s="60" t="s">
        <v>398</v>
      </c>
      <c r="F134" s="63" t="s">
        <v>288</v>
      </c>
      <c r="G134" s="63" t="s">
        <v>258</v>
      </c>
      <c r="H134" s="60" t="s">
        <v>259</v>
      </c>
      <c r="I134" s="60" t="s">
        <v>45</v>
      </c>
      <c r="J134" s="52">
        <v>1.0900000000000001</v>
      </c>
      <c r="K134" s="52">
        <v>-0.53</v>
      </c>
      <c r="L134" s="52">
        <v>0.56000000000000005</v>
      </c>
      <c r="M134" s="52">
        <f t="shared" si="0"/>
        <v>0.56000000000000005</v>
      </c>
      <c r="N134" s="52">
        <f t="shared" si="1"/>
        <v>0</v>
      </c>
      <c r="O134" s="52" t="s">
        <v>472</v>
      </c>
      <c r="P134" s="52">
        <v>706.88</v>
      </c>
    </row>
    <row r="135" spans="1:16" ht="22.5" customHeight="1">
      <c r="A135" s="60" t="s">
        <v>473</v>
      </c>
      <c r="B135" s="60">
        <v>2025</v>
      </c>
      <c r="C135" s="61">
        <v>5</v>
      </c>
      <c r="D135" s="62">
        <v>0.18493055555555554</v>
      </c>
      <c r="E135" s="60" t="s">
        <v>398</v>
      </c>
      <c r="F135" s="63" t="s">
        <v>399</v>
      </c>
      <c r="G135" s="63" t="s">
        <v>262</v>
      </c>
      <c r="H135" s="60" t="s">
        <v>259</v>
      </c>
      <c r="I135" s="60" t="s">
        <v>45</v>
      </c>
      <c r="J135" s="52">
        <v>4.79</v>
      </c>
      <c r="K135" s="52">
        <v>-0.73</v>
      </c>
      <c r="L135" s="52">
        <v>4.0599999999999996</v>
      </c>
      <c r="M135" s="52">
        <f t="shared" si="0"/>
        <v>4.0599999999999996</v>
      </c>
      <c r="N135" s="52">
        <f t="shared" si="1"/>
        <v>0</v>
      </c>
      <c r="O135" s="52" t="s">
        <v>474</v>
      </c>
      <c r="P135" s="52">
        <v>710.94</v>
      </c>
    </row>
    <row r="136" spans="1:16" ht="22.5" customHeight="1">
      <c r="A136" s="60" t="s">
        <v>475</v>
      </c>
      <c r="B136" s="60">
        <v>2025</v>
      </c>
      <c r="C136" s="61">
        <v>5</v>
      </c>
      <c r="D136" s="62">
        <v>0.16001157407407407</v>
      </c>
      <c r="E136" s="60" t="s">
        <v>398</v>
      </c>
      <c r="F136" s="63" t="s">
        <v>306</v>
      </c>
      <c r="G136" s="63" t="s">
        <v>262</v>
      </c>
      <c r="H136" s="60" t="s">
        <v>259</v>
      </c>
      <c r="I136" s="60" t="s">
        <v>45</v>
      </c>
      <c r="J136" s="52">
        <v>1.0900000000000001</v>
      </c>
      <c r="K136" s="52">
        <v>-0.54</v>
      </c>
      <c r="L136" s="52">
        <v>0.55000000000000004</v>
      </c>
      <c r="M136" s="52">
        <f t="shared" si="0"/>
        <v>0.55000000000000004</v>
      </c>
      <c r="N136" s="52">
        <f t="shared" si="1"/>
        <v>0</v>
      </c>
      <c r="O136" s="52" t="s">
        <v>476</v>
      </c>
      <c r="P136" s="52">
        <v>711.49</v>
      </c>
    </row>
    <row r="137" spans="1:16" ht="22.5" customHeight="1">
      <c r="A137" s="60" t="s">
        <v>475</v>
      </c>
      <c r="B137" s="60">
        <v>2025</v>
      </c>
      <c r="C137" s="61">
        <v>5</v>
      </c>
      <c r="D137" s="62">
        <v>0.3747800925925926</v>
      </c>
      <c r="E137" s="60" t="s">
        <v>398</v>
      </c>
      <c r="F137" s="63" t="s">
        <v>448</v>
      </c>
      <c r="G137" s="63" t="s">
        <v>258</v>
      </c>
      <c r="H137" s="60" t="s">
        <v>259</v>
      </c>
      <c r="I137" s="60" t="s">
        <v>45</v>
      </c>
      <c r="J137" s="52">
        <v>19.260000000000002</v>
      </c>
      <c r="K137" s="52">
        <v>-1.45</v>
      </c>
      <c r="L137" s="52">
        <v>17.809999999999999</v>
      </c>
      <c r="M137" s="52">
        <f t="shared" si="0"/>
        <v>17.809999999999999</v>
      </c>
      <c r="N137" s="52">
        <f t="shared" si="1"/>
        <v>0</v>
      </c>
      <c r="O137" s="52" t="s">
        <v>477</v>
      </c>
      <c r="P137" s="52">
        <v>729.3</v>
      </c>
    </row>
    <row r="138" spans="1:16" ht="22.5" customHeight="1">
      <c r="A138" s="60" t="s">
        <v>475</v>
      </c>
      <c r="B138" s="60">
        <v>2025</v>
      </c>
      <c r="C138" s="61">
        <v>5</v>
      </c>
      <c r="D138" s="62">
        <v>0.56358796296296299</v>
      </c>
      <c r="E138" s="60" t="s">
        <v>398</v>
      </c>
      <c r="F138" s="63" t="s">
        <v>319</v>
      </c>
      <c r="G138" s="63" t="s">
        <v>320</v>
      </c>
      <c r="H138" s="60" t="s">
        <v>259</v>
      </c>
      <c r="I138" s="60" t="s">
        <v>45</v>
      </c>
      <c r="J138" s="52">
        <v>-2.5</v>
      </c>
      <c r="K138" s="52">
        <v>0</v>
      </c>
      <c r="L138" s="52">
        <v>-2.5</v>
      </c>
      <c r="M138" s="52">
        <f t="shared" si="0"/>
        <v>0</v>
      </c>
      <c r="N138" s="52">
        <f t="shared" si="1"/>
        <v>2.5</v>
      </c>
      <c r="O138" s="52" t="s">
        <v>478</v>
      </c>
      <c r="P138" s="52">
        <v>726.8</v>
      </c>
    </row>
    <row r="139" spans="1:16" ht="22.5" customHeight="1">
      <c r="A139" s="60" t="s">
        <v>479</v>
      </c>
      <c r="B139" s="60">
        <v>2025</v>
      </c>
      <c r="C139" s="61">
        <v>5</v>
      </c>
      <c r="D139" s="62">
        <v>0.15969907407407408</v>
      </c>
      <c r="E139" s="60" t="s">
        <v>398</v>
      </c>
      <c r="F139" s="63" t="s">
        <v>480</v>
      </c>
      <c r="G139" s="63" t="s">
        <v>258</v>
      </c>
      <c r="H139" s="60" t="s">
        <v>259</v>
      </c>
      <c r="I139" s="60" t="s">
        <v>45</v>
      </c>
      <c r="J139" s="52">
        <v>24.99</v>
      </c>
      <c r="K139" s="52">
        <v>-1.74</v>
      </c>
      <c r="L139" s="52">
        <v>23.25</v>
      </c>
      <c r="M139" s="52">
        <f t="shared" si="0"/>
        <v>23.25</v>
      </c>
      <c r="N139" s="52">
        <f t="shared" si="1"/>
        <v>0</v>
      </c>
      <c r="O139" s="52" t="s">
        <v>481</v>
      </c>
      <c r="P139" s="52">
        <v>750.05</v>
      </c>
    </row>
    <row r="140" spans="1:16" ht="22.5" customHeight="1">
      <c r="A140" s="60" t="s">
        <v>479</v>
      </c>
      <c r="B140" s="60">
        <v>2025</v>
      </c>
      <c r="C140" s="61">
        <v>5</v>
      </c>
      <c r="D140" s="62">
        <v>0.38630787037037034</v>
      </c>
      <c r="E140" s="60" t="s">
        <v>398</v>
      </c>
      <c r="F140" s="63" t="s">
        <v>482</v>
      </c>
      <c r="G140" s="63" t="s">
        <v>258</v>
      </c>
      <c r="H140" s="60" t="s">
        <v>259</v>
      </c>
      <c r="I140" s="60" t="s">
        <v>45</v>
      </c>
      <c r="J140" s="52">
        <v>8.39</v>
      </c>
      <c r="K140" s="52">
        <v>-0.91</v>
      </c>
      <c r="L140" s="52">
        <v>7.48</v>
      </c>
      <c r="M140" s="52">
        <f t="shared" si="0"/>
        <v>7.48</v>
      </c>
      <c r="N140" s="52">
        <f t="shared" si="1"/>
        <v>0</v>
      </c>
      <c r="O140" s="52" t="s">
        <v>483</v>
      </c>
      <c r="P140" s="52">
        <v>757.53</v>
      </c>
    </row>
    <row r="141" spans="1:16" ht="22.5" customHeight="1">
      <c r="A141" s="60" t="s">
        <v>484</v>
      </c>
      <c r="B141" s="60">
        <v>2025</v>
      </c>
      <c r="C141" s="61">
        <v>5</v>
      </c>
      <c r="D141" s="62">
        <v>0.19811342592592593</v>
      </c>
      <c r="E141" s="60" t="s">
        <v>398</v>
      </c>
      <c r="F141" s="63" t="s">
        <v>485</v>
      </c>
      <c r="G141" s="63" t="s">
        <v>258</v>
      </c>
      <c r="H141" s="60" t="s">
        <v>259</v>
      </c>
      <c r="I141" s="60" t="s">
        <v>45</v>
      </c>
      <c r="J141" s="52">
        <v>8.39</v>
      </c>
      <c r="K141" s="52">
        <v>-0.91</v>
      </c>
      <c r="L141" s="52">
        <v>7.48</v>
      </c>
      <c r="M141" s="52">
        <f t="shared" si="0"/>
        <v>7.48</v>
      </c>
      <c r="N141" s="52">
        <f t="shared" si="1"/>
        <v>0</v>
      </c>
      <c r="O141" s="52" t="s">
        <v>486</v>
      </c>
      <c r="P141" s="52">
        <v>765.01</v>
      </c>
    </row>
    <row r="142" spans="1:16" ht="22.5" customHeight="1">
      <c r="A142" s="60" t="s">
        <v>487</v>
      </c>
      <c r="B142" s="60">
        <v>2025</v>
      </c>
      <c r="C142" s="61">
        <v>5</v>
      </c>
      <c r="D142" s="62">
        <v>0.14152777777777778</v>
      </c>
      <c r="E142" s="60" t="s">
        <v>398</v>
      </c>
      <c r="F142" s="63" t="s">
        <v>317</v>
      </c>
      <c r="G142" s="63" t="s">
        <v>262</v>
      </c>
      <c r="H142" s="60" t="s">
        <v>259</v>
      </c>
      <c r="I142" s="60" t="s">
        <v>45</v>
      </c>
      <c r="J142" s="52">
        <v>4.99</v>
      </c>
      <c r="K142" s="52">
        <v>-0.74</v>
      </c>
      <c r="L142" s="52">
        <v>4.25</v>
      </c>
      <c r="M142" s="52">
        <f t="shared" si="0"/>
        <v>4.25</v>
      </c>
      <c r="N142" s="52">
        <f t="shared" si="1"/>
        <v>0</v>
      </c>
      <c r="O142" s="52" t="s">
        <v>488</v>
      </c>
      <c r="P142" s="52">
        <v>769.26</v>
      </c>
    </row>
    <row r="143" spans="1:16" ht="22.5" customHeight="1">
      <c r="A143" s="60" t="s">
        <v>487</v>
      </c>
      <c r="B143" s="60">
        <v>2025</v>
      </c>
      <c r="C143" s="61">
        <v>5</v>
      </c>
      <c r="D143" s="62">
        <v>0.78423611111111113</v>
      </c>
      <c r="E143" s="60" t="s">
        <v>398</v>
      </c>
      <c r="F143" s="63" t="s">
        <v>332</v>
      </c>
      <c r="G143" s="63" t="s">
        <v>262</v>
      </c>
      <c r="H143" s="60" t="s">
        <v>259</v>
      </c>
      <c r="I143" s="60" t="s">
        <v>45</v>
      </c>
      <c r="J143" s="52">
        <v>1.0900000000000001</v>
      </c>
      <c r="K143" s="52">
        <v>-0.54</v>
      </c>
      <c r="L143" s="52">
        <v>0.55000000000000004</v>
      </c>
      <c r="M143" s="52">
        <f t="shared" si="0"/>
        <v>0.55000000000000004</v>
      </c>
      <c r="N143" s="52">
        <f t="shared" si="1"/>
        <v>0</v>
      </c>
      <c r="O143" s="52" t="s">
        <v>489</v>
      </c>
      <c r="P143" s="52">
        <v>769.81</v>
      </c>
    </row>
    <row r="144" spans="1:16" ht="22.5" customHeight="1">
      <c r="A144" s="60" t="s">
        <v>490</v>
      </c>
      <c r="B144" s="60">
        <v>2025</v>
      </c>
      <c r="C144" s="61">
        <v>5</v>
      </c>
      <c r="D144" s="62">
        <v>0.89049768518518524</v>
      </c>
      <c r="E144" s="60" t="s">
        <v>398</v>
      </c>
      <c r="F144" s="63" t="s">
        <v>491</v>
      </c>
      <c r="G144" s="63" t="s">
        <v>262</v>
      </c>
      <c r="H144" s="60" t="s">
        <v>259</v>
      </c>
      <c r="I144" s="60" t="s">
        <v>45</v>
      </c>
      <c r="J144" s="52">
        <v>86.39</v>
      </c>
      <c r="K144" s="52">
        <v>-4.8</v>
      </c>
      <c r="L144" s="52">
        <v>81.59</v>
      </c>
      <c r="M144" s="52">
        <f t="shared" si="0"/>
        <v>81.59</v>
      </c>
      <c r="N144" s="52">
        <f t="shared" si="1"/>
        <v>0</v>
      </c>
      <c r="O144" s="52" t="s">
        <v>492</v>
      </c>
      <c r="P144" s="52">
        <v>851.4</v>
      </c>
    </row>
    <row r="145" spans="1:16" ht="22.5" customHeight="1">
      <c r="A145" s="60" t="s">
        <v>493</v>
      </c>
      <c r="B145" s="60">
        <v>2025</v>
      </c>
      <c r="C145" s="61">
        <v>5</v>
      </c>
      <c r="D145" s="62">
        <v>0.31171296296296297</v>
      </c>
      <c r="E145" s="60" t="s">
        <v>398</v>
      </c>
      <c r="F145" s="63" t="s">
        <v>494</v>
      </c>
      <c r="G145" s="63" t="s">
        <v>258</v>
      </c>
      <c r="H145" s="60" t="s">
        <v>259</v>
      </c>
      <c r="I145" s="60" t="s">
        <v>45</v>
      </c>
      <c r="J145" s="52">
        <v>4.79</v>
      </c>
      <c r="K145" s="52">
        <v>-0.66</v>
      </c>
      <c r="L145" s="52">
        <v>4.13</v>
      </c>
      <c r="M145" s="52">
        <f t="shared" si="0"/>
        <v>4.13</v>
      </c>
      <c r="N145" s="52">
        <f t="shared" si="1"/>
        <v>0</v>
      </c>
      <c r="O145" s="52" t="s">
        <v>495</v>
      </c>
      <c r="P145" s="52">
        <v>855.53</v>
      </c>
    </row>
    <row r="146" spans="1:16" ht="22.5" customHeight="1">
      <c r="A146" s="60" t="s">
        <v>496</v>
      </c>
      <c r="B146" s="60">
        <v>2025</v>
      </c>
      <c r="C146" s="61">
        <v>5</v>
      </c>
      <c r="D146" s="62">
        <v>0.11307870370370371</v>
      </c>
      <c r="E146" s="60" t="s">
        <v>398</v>
      </c>
      <c r="F146" s="63" t="s">
        <v>497</v>
      </c>
      <c r="G146" s="63" t="s">
        <v>262</v>
      </c>
      <c r="H146" s="60" t="s">
        <v>259</v>
      </c>
      <c r="I146" s="60" t="s">
        <v>45</v>
      </c>
      <c r="J146" s="52">
        <v>20.25</v>
      </c>
      <c r="K146" s="52">
        <v>-1.5</v>
      </c>
      <c r="L146" s="52">
        <v>18.75</v>
      </c>
      <c r="M146" s="52">
        <f t="shared" si="0"/>
        <v>18.75</v>
      </c>
      <c r="N146" s="52">
        <f t="shared" si="1"/>
        <v>0</v>
      </c>
      <c r="O146" s="52" t="s">
        <v>498</v>
      </c>
      <c r="P146" s="52">
        <v>874.28</v>
      </c>
    </row>
    <row r="147" spans="1:16" ht="22.5" customHeight="1">
      <c r="A147" s="60" t="s">
        <v>496</v>
      </c>
      <c r="B147" s="60">
        <v>2025</v>
      </c>
      <c r="C147" s="61">
        <v>5</v>
      </c>
      <c r="D147" s="62">
        <v>0.95063657407407409</v>
      </c>
      <c r="E147" s="60" t="s">
        <v>398</v>
      </c>
      <c r="F147" s="63" t="s">
        <v>499</v>
      </c>
      <c r="G147" s="63" t="s">
        <v>258</v>
      </c>
      <c r="H147" s="60" t="s">
        <v>259</v>
      </c>
      <c r="I147" s="60" t="s">
        <v>45</v>
      </c>
      <c r="J147" s="52">
        <v>3.19</v>
      </c>
      <c r="K147" s="52">
        <v>-0.65</v>
      </c>
      <c r="L147" s="52">
        <v>2.54</v>
      </c>
      <c r="M147" s="52">
        <f t="shared" si="0"/>
        <v>2.54</v>
      </c>
      <c r="N147" s="52">
        <f t="shared" si="1"/>
        <v>0</v>
      </c>
      <c r="O147" s="52" t="s">
        <v>500</v>
      </c>
      <c r="P147" s="52">
        <v>876.82</v>
      </c>
    </row>
    <row r="148" spans="1:16" ht="22.5" customHeight="1">
      <c r="A148" s="60" t="s">
        <v>501</v>
      </c>
      <c r="B148" s="60">
        <v>2025</v>
      </c>
      <c r="C148" s="61">
        <v>5</v>
      </c>
      <c r="D148" s="62">
        <v>0.29584490740740743</v>
      </c>
      <c r="E148" s="60" t="s">
        <v>398</v>
      </c>
      <c r="F148" s="63" t="s">
        <v>502</v>
      </c>
      <c r="G148" s="63" t="s">
        <v>258</v>
      </c>
      <c r="H148" s="60" t="s">
        <v>259</v>
      </c>
      <c r="I148" s="60" t="s">
        <v>45</v>
      </c>
      <c r="J148" s="52">
        <v>20.25</v>
      </c>
      <c r="K148" s="52">
        <v>-1.5</v>
      </c>
      <c r="L148" s="52">
        <v>18.75</v>
      </c>
      <c r="M148" s="52">
        <f t="shared" si="0"/>
        <v>18.75</v>
      </c>
      <c r="N148" s="52">
        <f t="shared" si="1"/>
        <v>0</v>
      </c>
      <c r="O148" s="52" t="s">
        <v>503</v>
      </c>
      <c r="P148" s="52">
        <v>895.57</v>
      </c>
    </row>
    <row r="149" spans="1:16" ht="22.5" customHeight="1">
      <c r="A149" s="60" t="s">
        <v>504</v>
      </c>
      <c r="B149" s="60">
        <v>2025</v>
      </c>
      <c r="C149" s="61">
        <v>5</v>
      </c>
      <c r="D149" s="62">
        <v>0.20293981481481482</v>
      </c>
      <c r="E149" s="60" t="s">
        <v>398</v>
      </c>
      <c r="F149" s="63" t="s">
        <v>9</v>
      </c>
      <c r="G149" s="63" t="s">
        <v>505</v>
      </c>
      <c r="H149" s="60" t="s">
        <v>281</v>
      </c>
      <c r="I149" s="60" t="s">
        <v>45</v>
      </c>
      <c r="J149" s="52">
        <v>-4.16</v>
      </c>
      <c r="K149" s="52">
        <v>0</v>
      </c>
      <c r="L149" s="52">
        <v>-4.16</v>
      </c>
      <c r="M149" s="52">
        <f t="shared" si="0"/>
        <v>0</v>
      </c>
      <c r="N149" s="52">
        <f t="shared" si="1"/>
        <v>4.16</v>
      </c>
      <c r="O149" s="52" t="s">
        <v>506</v>
      </c>
      <c r="P149" s="52">
        <v>891.41</v>
      </c>
    </row>
    <row r="150" spans="1:16" ht="22.5" customHeight="1">
      <c r="A150" s="60" t="s">
        <v>504</v>
      </c>
      <c r="B150" s="60">
        <v>2025</v>
      </c>
      <c r="C150" s="61">
        <v>5</v>
      </c>
      <c r="D150" s="62">
        <v>0.20298611111111112</v>
      </c>
      <c r="E150" s="60" t="s">
        <v>398</v>
      </c>
      <c r="F150" s="63" t="s">
        <v>507</v>
      </c>
      <c r="G150" s="63" t="s">
        <v>320</v>
      </c>
      <c r="H150" s="60" t="s">
        <v>259</v>
      </c>
      <c r="I150" s="60" t="s">
        <v>45</v>
      </c>
      <c r="J150" s="52">
        <v>-4.16</v>
      </c>
      <c r="K150" s="52">
        <v>0</v>
      </c>
      <c r="L150" s="52">
        <v>-4.16</v>
      </c>
      <c r="M150" s="52">
        <f t="shared" si="0"/>
        <v>0</v>
      </c>
      <c r="N150" s="52">
        <f t="shared" si="1"/>
        <v>4.16</v>
      </c>
      <c r="O150" s="52" t="s">
        <v>508</v>
      </c>
      <c r="P150" s="52">
        <v>887.25</v>
      </c>
    </row>
    <row r="151" spans="1:16" ht="22.5" customHeight="1">
      <c r="A151" s="60" t="s">
        <v>504</v>
      </c>
      <c r="B151" s="60">
        <v>2025</v>
      </c>
      <c r="C151" s="61">
        <v>5</v>
      </c>
      <c r="D151" s="62">
        <v>0.20298611111111112</v>
      </c>
      <c r="E151" s="60" t="s">
        <v>398</v>
      </c>
      <c r="F151" s="63" t="s">
        <v>9</v>
      </c>
      <c r="G151" s="63" t="s">
        <v>509</v>
      </c>
      <c r="H151" s="60" t="s">
        <v>259</v>
      </c>
      <c r="I151" s="60" t="s">
        <v>45</v>
      </c>
      <c r="J151" s="52">
        <v>4.16</v>
      </c>
      <c r="K151" s="52">
        <v>0</v>
      </c>
      <c r="L151" s="52">
        <v>4.16</v>
      </c>
      <c r="M151" s="52">
        <f t="shared" si="0"/>
        <v>4.16</v>
      </c>
      <c r="N151" s="52">
        <f t="shared" si="1"/>
        <v>0</v>
      </c>
      <c r="O151" s="52" t="s">
        <v>510</v>
      </c>
      <c r="P151" s="52">
        <v>891.41</v>
      </c>
    </row>
    <row r="152" spans="1:16" ht="22.5" customHeight="1">
      <c r="A152" s="60" t="s">
        <v>504</v>
      </c>
      <c r="B152" s="60">
        <v>2025</v>
      </c>
      <c r="C152" s="61">
        <v>5</v>
      </c>
      <c r="D152" s="62">
        <v>0.29594907407407406</v>
      </c>
      <c r="E152" s="60" t="s">
        <v>398</v>
      </c>
      <c r="F152" s="63" t="s">
        <v>511</v>
      </c>
      <c r="G152" s="63" t="s">
        <v>262</v>
      </c>
      <c r="H152" s="60" t="s">
        <v>259</v>
      </c>
      <c r="I152" s="60" t="s">
        <v>45</v>
      </c>
      <c r="J152" s="52">
        <v>8.39</v>
      </c>
      <c r="K152" s="52">
        <v>-0.91</v>
      </c>
      <c r="L152" s="52">
        <v>7.48</v>
      </c>
      <c r="M152" s="52">
        <f t="shared" si="0"/>
        <v>7.48</v>
      </c>
      <c r="N152" s="52">
        <f t="shared" si="1"/>
        <v>0</v>
      </c>
      <c r="O152" s="52" t="s">
        <v>512</v>
      </c>
      <c r="P152" s="52">
        <v>898.89</v>
      </c>
    </row>
    <row r="153" spans="1:16" ht="22.5" customHeight="1">
      <c r="A153" s="60" t="s">
        <v>513</v>
      </c>
      <c r="B153" s="60">
        <v>2025</v>
      </c>
      <c r="C153" s="61">
        <v>5</v>
      </c>
      <c r="D153" s="62">
        <v>0.42093750000000002</v>
      </c>
      <c r="E153" s="60" t="s">
        <v>398</v>
      </c>
      <c r="F153" s="63" t="s">
        <v>514</v>
      </c>
      <c r="G153" s="63" t="s">
        <v>262</v>
      </c>
      <c r="H153" s="60" t="s">
        <v>259</v>
      </c>
      <c r="I153" s="60" t="s">
        <v>45</v>
      </c>
      <c r="J153" s="52">
        <v>8.39</v>
      </c>
      <c r="K153" s="52">
        <v>-0.91</v>
      </c>
      <c r="L153" s="52">
        <v>7.48</v>
      </c>
      <c r="M153" s="52">
        <f t="shared" si="0"/>
        <v>7.48</v>
      </c>
      <c r="N153" s="52">
        <f t="shared" si="1"/>
        <v>0</v>
      </c>
      <c r="O153" s="52" t="s">
        <v>515</v>
      </c>
      <c r="P153" s="52">
        <v>906.37</v>
      </c>
    </row>
    <row r="154" spans="1:16" ht="22.5" customHeight="1">
      <c r="A154" s="60" t="s">
        <v>516</v>
      </c>
      <c r="B154" s="60">
        <v>2025</v>
      </c>
      <c r="C154" s="61">
        <v>5</v>
      </c>
      <c r="D154" s="62">
        <v>0.1416550925925926</v>
      </c>
      <c r="E154" s="60" t="s">
        <v>398</v>
      </c>
      <c r="F154" s="63" t="s">
        <v>517</v>
      </c>
      <c r="G154" s="63" t="s">
        <v>262</v>
      </c>
      <c r="H154" s="60" t="s">
        <v>259</v>
      </c>
      <c r="I154" s="60" t="s">
        <v>45</v>
      </c>
      <c r="J154" s="52">
        <v>25.25</v>
      </c>
      <c r="K154" s="52">
        <v>-1.75</v>
      </c>
      <c r="L154" s="52">
        <v>23.5</v>
      </c>
      <c r="M154" s="52">
        <f t="shared" si="0"/>
        <v>23.5</v>
      </c>
      <c r="N154" s="52">
        <f t="shared" si="1"/>
        <v>0</v>
      </c>
      <c r="O154" s="52" t="s">
        <v>518</v>
      </c>
      <c r="P154" s="52">
        <v>929.87</v>
      </c>
    </row>
    <row r="155" spans="1:16" ht="22.5" customHeight="1">
      <c r="A155" s="60" t="s">
        <v>516</v>
      </c>
      <c r="B155" s="60">
        <v>2025</v>
      </c>
      <c r="C155" s="61">
        <v>5</v>
      </c>
      <c r="D155" s="62">
        <v>0.32189814814814816</v>
      </c>
      <c r="E155" s="60" t="s">
        <v>398</v>
      </c>
      <c r="F155" s="63" t="s">
        <v>519</v>
      </c>
      <c r="G155" s="63" t="s">
        <v>262</v>
      </c>
      <c r="H155" s="60" t="s">
        <v>259</v>
      </c>
      <c r="I155" s="60" t="s">
        <v>45</v>
      </c>
      <c r="J155" s="52">
        <v>25.25</v>
      </c>
      <c r="K155" s="52">
        <v>-1.75</v>
      </c>
      <c r="L155" s="52">
        <v>23.5</v>
      </c>
      <c r="M155" s="52">
        <f t="shared" si="0"/>
        <v>23.5</v>
      </c>
      <c r="N155" s="52">
        <f t="shared" si="1"/>
        <v>0</v>
      </c>
      <c r="O155" s="52" t="s">
        <v>520</v>
      </c>
      <c r="P155" s="52">
        <v>953.37</v>
      </c>
    </row>
    <row r="156" spans="1:16" ht="22.5" customHeight="1">
      <c r="A156" s="59">
        <v>45722</v>
      </c>
      <c r="B156" s="60">
        <v>2025</v>
      </c>
      <c r="C156" s="61">
        <v>6</v>
      </c>
      <c r="D156" s="62">
        <v>0.15512731481481482</v>
      </c>
      <c r="E156" s="60" t="s">
        <v>521</v>
      </c>
      <c r="F156" s="63" t="s">
        <v>522</v>
      </c>
      <c r="G156" s="63" t="s">
        <v>258</v>
      </c>
      <c r="H156" s="60"/>
      <c r="I156" s="60" t="s">
        <v>45</v>
      </c>
      <c r="J156" s="52">
        <v>5.99</v>
      </c>
      <c r="K156" s="52">
        <v>-0.7</v>
      </c>
      <c r="L156" s="52">
        <v>5.29</v>
      </c>
      <c r="M156" s="52">
        <f t="shared" si="0"/>
        <v>5.29</v>
      </c>
      <c r="N156" s="52">
        <f t="shared" si="1"/>
        <v>0</v>
      </c>
      <c r="O156" s="52" t="s">
        <v>523</v>
      </c>
      <c r="P156" s="52">
        <v>958.66</v>
      </c>
    </row>
    <row r="157" spans="1:16" ht="22.5" customHeight="1">
      <c r="A157" s="59">
        <v>45722</v>
      </c>
      <c r="B157" s="60">
        <v>2025</v>
      </c>
      <c r="C157" s="61">
        <v>6</v>
      </c>
      <c r="D157" s="62">
        <v>0.18175925925925926</v>
      </c>
      <c r="E157" s="60" t="s">
        <v>521</v>
      </c>
      <c r="F157" s="63" t="s">
        <v>462</v>
      </c>
      <c r="G157" s="63" t="s">
        <v>262</v>
      </c>
      <c r="H157" s="60"/>
      <c r="I157" s="60" t="s">
        <v>45</v>
      </c>
      <c r="J157" s="52">
        <v>2.79</v>
      </c>
      <c r="K157" s="52">
        <v>-0.63</v>
      </c>
      <c r="L157" s="52">
        <v>2.16</v>
      </c>
      <c r="M157" s="52">
        <f t="shared" si="0"/>
        <v>2.16</v>
      </c>
      <c r="N157" s="52">
        <f t="shared" si="1"/>
        <v>0</v>
      </c>
      <c r="O157" s="52" t="s">
        <v>524</v>
      </c>
      <c r="P157" s="52">
        <v>960.82</v>
      </c>
    </row>
    <row r="158" spans="1:16" ht="22.5" customHeight="1">
      <c r="A158" s="59">
        <v>45753</v>
      </c>
      <c r="B158" s="60">
        <v>2025</v>
      </c>
      <c r="C158" s="61">
        <v>6</v>
      </c>
      <c r="D158" s="62">
        <v>0.34475694444444444</v>
      </c>
      <c r="E158" s="60" t="s">
        <v>521</v>
      </c>
      <c r="F158" s="63" t="s">
        <v>525</v>
      </c>
      <c r="G158" s="63" t="s">
        <v>368</v>
      </c>
      <c r="H158" s="60"/>
      <c r="I158" s="60" t="s">
        <v>45</v>
      </c>
      <c r="J158" s="52">
        <v>-62</v>
      </c>
      <c r="K158" s="52">
        <v>0</v>
      </c>
      <c r="L158" s="52">
        <v>-62</v>
      </c>
      <c r="M158" s="52">
        <f t="shared" si="0"/>
        <v>0</v>
      </c>
      <c r="N158" s="52">
        <f t="shared" si="1"/>
        <v>62</v>
      </c>
      <c r="O158" s="52" t="s">
        <v>526</v>
      </c>
      <c r="P158" s="52">
        <v>898.82</v>
      </c>
    </row>
    <row r="159" spans="1:16" ht="22.5" customHeight="1">
      <c r="A159" s="59">
        <v>45783</v>
      </c>
      <c r="B159" s="60">
        <v>2025</v>
      </c>
      <c r="C159" s="61">
        <v>6</v>
      </c>
      <c r="D159" s="62">
        <v>0.17194444444444446</v>
      </c>
      <c r="E159" s="60" t="s">
        <v>521</v>
      </c>
      <c r="F159" s="63" t="s">
        <v>300</v>
      </c>
      <c r="G159" s="63" t="s">
        <v>262</v>
      </c>
      <c r="H159" s="60"/>
      <c r="I159" s="60" t="s">
        <v>45</v>
      </c>
      <c r="J159" s="52">
        <v>1.0900000000000001</v>
      </c>
      <c r="K159" s="52">
        <v>-0.54</v>
      </c>
      <c r="L159" s="52">
        <v>0.55000000000000004</v>
      </c>
      <c r="M159" s="52">
        <f t="shared" si="0"/>
        <v>0.55000000000000004</v>
      </c>
      <c r="N159" s="52">
        <f t="shared" si="1"/>
        <v>0</v>
      </c>
      <c r="O159" s="52" t="s">
        <v>527</v>
      </c>
      <c r="P159" s="52">
        <v>899.37</v>
      </c>
    </row>
    <row r="160" spans="1:16" ht="22.5" customHeight="1">
      <c r="A160" s="59">
        <v>45783</v>
      </c>
      <c r="B160" s="60">
        <v>2025</v>
      </c>
      <c r="C160" s="61">
        <v>6</v>
      </c>
      <c r="D160" s="62">
        <v>0.30515046296296294</v>
      </c>
      <c r="E160" s="60" t="s">
        <v>521</v>
      </c>
      <c r="F160" s="63" t="s">
        <v>525</v>
      </c>
      <c r="G160" s="63" t="s">
        <v>368</v>
      </c>
      <c r="H160" s="60"/>
      <c r="I160" s="60" t="s">
        <v>45</v>
      </c>
      <c r="J160" s="52">
        <v>-42</v>
      </c>
      <c r="K160" s="52">
        <v>0</v>
      </c>
      <c r="L160" s="52">
        <v>-42</v>
      </c>
      <c r="M160" s="52">
        <f t="shared" si="0"/>
        <v>0</v>
      </c>
      <c r="N160" s="52">
        <f t="shared" si="1"/>
        <v>42</v>
      </c>
      <c r="O160" s="52" t="s">
        <v>528</v>
      </c>
      <c r="P160" s="52">
        <v>857.37</v>
      </c>
    </row>
    <row r="161" spans="1:16" ht="22.5" customHeight="1">
      <c r="A161" s="59">
        <v>45814</v>
      </c>
      <c r="B161" s="60">
        <v>2025</v>
      </c>
      <c r="C161" s="61">
        <v>6</v>
      </c>
      <c r="D161" s="62">
        <v>0.33268518518518519</v>
      </c>
      <c r="E161" s="60" t="s">
        <v>521</v>
      </c>
      <c r="F161" s="63" t="s">
        <v>525</v>
      </c>
      <c r="G161" s="63" t="s">
        <v>368</v>
      </c>
      <c r="H161" s="60"/>
      <c r="I161" s="60" t="s">
        <v>45</v>
      </c>
      <c r="J161" s="52">
        <v>-112</v>
      </c>
      <c r="K161" s="52">
        <v>0</v>
      </c>
      <c r="L161" s="52">
        <v>-112</v>
      </c>
      <c r="M161" s="52">
        <f t="shared" si="0"/>
        <v>0</v>
      </c>
      <c r="N161" s="52">
        <f t="shared" si="1"/>
        <v>112</v>
      </c>
      <c r="O161" s="52" t="s">
        <v>529</v>
      </c>
      <c r="P161" s="52">
        <v>745.37</v>
      </c>
    </row>
    <row r="162" spans="1:16" ht="22.5" customHeight="1">
      <c r="A162" s="59">
        <v>45814</v>
      </c>
      <c r="B162" s="60">
        <v>2025</v>
      </c>
      <c r="C162" s="61">
        <v>6</v>
      </c>
      <c r="D162" s="62">
        <v>0.60950231481481476</v>
      </c>
      <c r="E162" s="60" t="s">
        <v>521</v>
      </c>
      <c r="F162" s="63" t="s">
        <v>480</v>
      </c>
      <c r="G162" s="63" t="s">
        <v>258</v>
      </c>
      <c r="H162" s="60"/>
      <c r="I162" s="60" t="s">
        <v>45</v>
      </c>
      <c r="J162" s="52">
        <v>24.99</v>
      </c>
      <c r="K162" s="52">
        <v>-1.74</v>
      </c>
      <c r="L162" s="52">
        <v>23.25</v>
      </c>
      <c r="M162" s="52">
        <f t="shared" si="0"/>
        <v>23.25</v>
      </c>
      <c r="N162" s="52">
        <f t="shared" si="1"/>
        <v>0</v>
      </c>
      <c r="O162" s="52" t="s">
        <v>530</v>
      </c>
      <c r="P162" s="52">
        <v>768.62</v>
      </c>
    </row>
    <row r="163" spans="1:16" ht="22.5" customHeight="1">
      <c r="A163" s="59">
        <v>45875</v>
      </c>
      <c r="B163" s="60">
        <v>2025</v>
      </c>
      <c r="C163" s="61">
        <v>6</v>
      </c>
      <c r="D163" s="62">
        <v>0.2165162037037037</v>
      </c>
      <c r="E163" s="60" t="s">
        <v>521</v>
      </c>
      <c r="F163" s="63" t="s">
        <v>531</v>
      </c>
      <c r="G163" s="63" t="s">
        <v>258</v>
      </c>
      <c r="H163" s="60"/>
      <c r="I163" s="60" t="s">
        <v>45</v>
      </c>
      <c r="J163" s="52">
        <v>0.02</v>
      </c>
      <c r="K163" s="52">
        <v>-0.02</v>
      </c>
      <c r="L163" s="52">
        <v>0</v>
      </c>
      <c r="M163" s="52">
        <f t="shared" si="0"/>
        <v>0</v>
      </c>
      <c r="N163" s="52">
        <f t="shared" si="1"/>
        <v>0</v>
      </c>
      <c r="O163" s="52" t="s">
        <v>532</v>
      </c>
      <c r="P163" s="52">
        <v>768.62</v>
      </c>
    </row>
    <row r="164" spans="1:16" ht="22.5" customHeight="1">
      <c r="A164" s="59">
        <v>45875</v>
      </c>
      <c r="B164" s="60">
        <v>2025</v>
      </c>
      <c r="C164" s="61">
        <v>6</v>
      </c>
      <c r="D164" s="62">
        <v>0.91995370370370366</v>
      </c>
      <c r="E164" s="60" t="s">
        <v>521</v>
      </c>
      <c r="F164" s="63" t="s">
        <v>533</v>
      </c>
      <c r="G164" s="63" t="s">
        <v>262</v>
      </c>
      <c r="H164" s="60"/>
      <c r="I164" s="60" t="s">
        <v>45</v>
      </c>
      <c r="J164" s="52">
        <v>1.01</v>
      </c>
      <c r="K164" s="52">
        <v>-0.54</v>
      </c>
      <c r="L164" s="52">
        <v>0.47</v>
      </c>
      <c r="M164" s="52">
        <f t="shared" si="0"/>
        <v>0.47</v>
      </c>
      <c r="N164" s="52">
        <f t="shared" si="1"/>
        <v>0</v>
      </c>
      <c r="O164" s="52" t="s">
        <v>534</v>
      </c>
      <c r="P164" s="52">
        <v>769.09</v>
      </c>
    </row>
    <row r="165" spans="1:16" ht="22.5" customHeight="1">
      <c r="A165" s="59">
        <v>45906</v>
      </c>
      <c r="B165" s="60">
        <v>2025</v>
      </c>
      <c r="C165" s="61">
        <v>6</v>
      </c>
      <c r="D165" s="62">
        <v>0.27760416666666665</v>
      </c>
      <c r="E165" s="60" t="s">
        <v>521</v>
      </c>
      <c r="F165" s="63" t="s">
        <v>522</v>
      </c>
      <c r="G165" s="63" t="s">
        <v>258</v>
      </c>
      <c r="H165" s="60"/>
      <c r="I165" s="60" t="s">
        <v>45</v>
      </c>
      <c r="J165" s="52">
        <v>0.8</v>
      </c>
      <c r="K165" s="52">
        <v>-0.52</v>
      </c>
      <c r="L165" s="52">
        <v>0.28000000000000003</v>
      </c>
      <c r="M165" s="52">
        <f t="shared" si="0"/>
        <v>0.28000000000000003</v>
      </c>
      <c r="N165" s="52">
        <f t="shared" si="1"/>
        <v>0</v>
      </c>
      <c r="O165" s="52" t="s">
        <v>535</v>
      </c>
      <c r="P165" s="52">
        <v>769.37</v>
      </c>
    </row>
    <row r="166" spans="1:16" ht="22.5" customHeight="1">
      <c r="A166" s="59">
        <v>45936</v>
      </c>
      <c r="B166" s="60">
        <v>2025</v>
      </c>
      <c r="C166" s="61">
        <v>6</v>
      </c>
      <c r="D166" s="62">
        <v>0.15445601851851851</v>
      </c>
      <c r="E166" s="60" t="s">
        <v>521</v>
      </c>
      <c r="F166" s="63" t="s">
        <v>399</v>
      </c>
      <c r="G166" s="63" t="s">
        <v>262</v>
      </c>
      <c r="H166" s="60"/>
      <c r="I166" s="60" t="s">
        <v>45</v>
      </c>
      <c r="J166" s="52">
        <v>4.79</v>
      </c>
      <c r="K166" s="52">
        <v>-0.73</v>
      </c>
      <c r="L166" s="52">
        <v>4.0599999999999996</v>
      </c>
      <c r="M166" s="52">
        <f t="shared" si="0"/>
        <v>4.0599999999999996</v>
      </c>
      <c r="N166" s="52">
        <f t="shared" si="1"/>
        <v>0</v>
      </c>
      <c r="O166" s="52" t="s">
        <v>536</v>
      </c>
      <c r="P166" s="52">
        <v>773.43</v>
      </c>
    </row>
    <row r="167" spans="1:16" ht="22.5" customHeight="1">
      <c r="A167" s="59">
        <v>45936</v>
      </c>
      <c r="B167" s="60">
        <v>2025</v>
      </c>
      <c r="C167" s="61">
        <v>6</v>
      </c>
      <c r="D167" s="62">
        <v>0.36815972222222221</v>
      </c>
      <c r="E167" s="60" t="s">
        <v>521</v>
      </c>
      <c r="F167" s="63" t="s">
        <v>537</v>
      </c>
      <c r="G167" s="63" t="s">
        <v>258</v>
      </c>
      <c r="H167" s="60"/>
      <c r="I167" s="60" t="s">
        <v>45</v>
      </c>
      <c r="J167" s="52">
        <v>3.19</v>
      </c>
      <c r="K167" s="52">
        <v>-0.65</v>
      </c>
      <c r="L167" s="52">
        <v>2.54</v>
      </c>
      <c r="M167" s="52">
        <f t="shared" si="0"/>
        <v>2.54</v>
      </c>
      <c r="N167" s="52">
        <f t="shared" si="1"/>
        <v>0</v>
      </c>
      <c r="O167" s="52" t="s">
        <v>538</v>
      </c>
      <c r="P167" s="52">
        <v>775.97</v>
      </c>
    </row>
    <row r="168" spans="1:16" ht="22.5" customHeight="1">
      <c r="A168" s="59">
        <v>45997</v>
      </c>
      <c r="B168" s="60">
        <v>2025</v>
      </c>
      <c r="C168" s="61">
        <v>6</v>
      </c>
      <c r="D168" s="62">
        <v>0.79587962962962966</v>
      </c>
      <c r="E168" s="60" t="s">
        <v>521</v>
      </c>
      <c r="F168" s="63" t="s">
        <v>539</v>
      </c>
      <c r="G168" s="63" t="s">
        <v>258</v>
      </c>
      <c r="H168" s="60"/>
      <c r="I168" s="60" t="s">
        <v>45</v>
      </c>
      <c r="J168" s="52">
        <v>1</v>
      </c>
      <c r="K168" s="52">
        <v>-0.54</v>
      </c>
      <c r="L168" s="52">
        <v>0.46</v>
      </c>
      <c r="M168" s="52">
        <f t="shared" si="0"/>
        <v>0.46</v>
      </c>
      <c r="N168" s="52">
        <f t="shared" si="1"/>
        <v>0</v>
      </c>
      <c r="O168" s="52" t="s">
        <v>540</v>
      </c>
      <c r="P168" s="52">
        <v>776.43</v>
      </c>
    </row>
    <row r="169" spans="1:16" ht="22.5" customHeight="1">
      <c r="A169" s="60" t="s">
        <v>541</v>
      </c>
      <c r="B169" s="60">
        <v>2025</v>
      </c>
      <c r="C169" s="61">
        <v>6</v>
      </c>
      <c r="D169" s="62">
        <v>0.75748842592592591</v>
      </c>
      <c r="E169" s="60" t="s">
        <v>521</v>
      </c>
      <c r="F169" s="63" t="s">
        <v>531</v>
      </c>
      <c r="G169" s="63" t="s">
        <v>258</v>
      </c>
      <c r="H169" s="60"/>
      <c r="I169" s="60" t="s">
        <v>45</v>
      </c>
      <c r="J169" s="52">
        <v>0.02</v>
      </c>
      <c r="K169" s="52">
        <v>-0.02</v>
      </c>
      <c r="L169" s="52">
        <v>0</v>
      </c>
      <c r="M169" s="52">
        <f t="shared" si="0"/>
        <v>0</v>
      </c>
      <c r="N169" s="52">
        <f t="shared" si="1"/>
        <v>0</v>
      </c>
      <c r="O169" s="52" t="s">
        <v>542</v>
      </c>
      <c r="P169" s="52">
        <v>776.43</v>
      </c>
    </row>
    <row r="170" spans="1:16" ht="22.5" customHeight="1">
      <c r="A170" s="60" t="s">
        <v>543</v>
      </c>
      <c r="B170" s="60">
        <v>2025</v>
      </c>
      <c r="C170" s="61">
        <v>6</v>
      </c>
      <c r="D170" s="62">
        <v>0.16078703703703703</v>
      </c>
      <c r="E170" s="60" t="s">
        <v>521</v>
      </c>
      <c r="F170" s="63" t="s">
        <v>319</v>
      </c>
      <c r="G170" s="63" t="s">
        <v>320</v>
      </c>
      <c r="H170" s="60"/>
      <c r="I170" s="60" t="s">
        <v>45</v>
      </c>
      <c r="J170" s="52">
        <v>-2.5</v>
      </c>
      <c r="K170" s="52">
        <v>0</v>
      </c>
      <c r="L170" s="52">
        <v>-2.5</v>
      </c>
      <c r="M170" s="52">
        <f t="shared" si="0"/>
        <v>0</v>
      </c>
      <c r="N170" s="52">
        <f t="shared" si="1"/>
        <v>2.5</v>
      </c>
      <c r="O170" s="52" t="s">
        <v>544</v>
      </c>
      <c r="P170" s="52">
        <v>773.93</v>
      </c>
    </row>
    <row r="171" spans="1:16" ht="22.5" customHeight="1">
      <c r="A171" s="60" t="s">
        <v>545</v>
      </c>
      <c r="B171" s="60">
        <v>2025</v>
      </c>
      <c r="C171" s="61">
        <v>6</v>
      </c>
      <c r="D171" s="62">
        <v>0.19071759259259261</v>
      </c>
      <c r="E171" s="60" t="s">
        <v>521</v>
      </c>
      <c r="F171" s="63" t="s">
        <v>306</v>
      </c>
      <c r="G171" s="63" t="s">
        <v>262</v>
      </c>
      <c r="H171" s="60"/>
      <c r="I171" s="60" t="s">
        <v>45</v>
      </c>
      <c r="J171" s="52">
        <v>1.0900000000000001</v>
      </c>
      <c r="K171" s="52">
        <v>-0.54</v>
      </c>
      <c r="L171" s="52">
        <v>0.55000000000000004</v>
      </c>
      <c r="M171" s="52">
        <f t="shared" si="0"/>
        <v>0.55000000000000004</v>
      </c>
      <c r="N171" s="52">
        <f t="shared" si="1"/>
        <v>0</v>
      </c>
      <c r="O171" s="52" t="s">
        <v>546</v>
      </c>
      <c r="P171" s="52">
        <v>774.48</v>
      </c>
    </row>
    <row r="172" spans="1:16" ht="22.5" customHeight="1">
      <c r="A172" s="60" t="s">
        <v>547</v>
      </c>
      <c r="B172" s="60">
        <v>2025</v>
      </c>
      <c r="C172" s="61">
        <v>6</v>
      </c>
      <c r="D172" s="62">
        <v>0.39687499999999998</v>
      </c>
      <c r="E172" s="60" t="s">
        <v>521</v>
      </c>
      <c r="F172" s="63" t="s">
        <v>548</v>
      </c>
      <c r="G172" s="63" t="s">
        <v>258</v>
      </c>
      <c r="H172" s="60"/>
      <c r="I172" s="60" t="s">
        <v>45</v>
      </c>
      <c r="J172" s="52">
        <v>20</v>
      </c>
      <c r="K172" s="52">
        <v>-1.19</v>
      </c>
      <c r="L172" s="52">
        <v>18.809999999999999</v>
      </c>
      <c r="M172" s="52">
        <f t="shared" si="0"/>
        <v>18.809999999999999</v>
      </c>
      <c r="N172" s="52">
        <f t="shared" si="1"/>
        <v>0</v>
      </c>
      <c r="O172" s="52" t="s">
        <v>549</v>
      </c>
      <c r="P172" s="52">
        <v>793.29</v>
      </c>
    </row>
    <row r="173" spans="1:16" ht="22.5" customHeight="1">
      <c r="A173" s="60" t="s">
        <v>550</v>
      </c>
      <c r="B173" s="60">
        <v>2025</v>
      </c>
      <c r="C173" s="61">
        <v>6</v>
      </c>
      <c r="D173" s="62">
        <v>0.30776620370370372</v>
      </c>
      <c r="E173" s="60" t="s">
        <v>521</v>
      </c>
      <c r="F173" s="63" t="s">
        <v>551</v>
      </c>
      <c r="G173" s="63" t="s">
        <v>258</v>
      </c>
      <c r="H173" s="60"/>
      <c r="I173" s="60" t="s">
        <v>45</v>
      </c>
      <c r="J173" s="52">
        <v>1.88</v>
      </c>
      <c r="K173" s="52">
        <v>-0.56000000000000005</v>
      </c>
      <c r="L173" s="52">
        <v>1.32</v>
      </c>
      <c r="M173" s="52">
        <f t="shared" si="0"/>
        <v>1.32</v>
      </c>
      <c r="N173" s="52">
        <f t="shared" si="1"/>
        <v>0</v>
      </c>
      <c r="O173" s="52" t="s">
        <v>552</v>
      </c>
      <c r="P173" s="52">
        <v>794.61</v>
      </c>
    </row>
    <row r="174" spans="1:16" ht="22.5" customHeight="1">
      <c r="A174" s="60" t="s">
        <v>553</v>
      </c>
      <c r="B174" s="60">
        <v>2025</v>
      </c>
      <c r="C174" s="61">
        <v>6</v>
      </c>
      <c r="D174" s="62">
        <v>0.21813657407407408</v>
      </c>
      <c r="E174" s="60" t="s">
        <v>521</v>
      </c>
      <c r="F174" s="63" t="s">
        <v>522</v>
      </c>
      <c r="G174" s="63" t="s">
        <v>258</v>
      </c>
      <c r="H174" s="60"/>
      <c r="I174" s="60" t="s">
        <v>45</v>
      </c>
      <c r="J174" s="52">
        <v>6.99</v>
      </c>
      <c r="K174" s="52">
        <v>-0.73</v>
      </c>
      <c r="L174" s="52">
        <v>6.26</v>
      </c>
      <c r="M174" s="52">
        <f t="shared" si="0"/>
        <v>6.26</v>
      </c>
      <c r="N174" s="52">
        <f t="shared" si="1"/>
        <v>0</v>
      </c>
      <c r="O174" s="52" t="s">
        <v>554</v>
      </c>
      <c r="P174" s="52">
        <v>800.87</v>
      </c>
    </row>
    <row r="175" spans="1:16" ht="22.5" customHeight="1">
      <c r="A175" s="60" t="s">
        <v>555</v>
      </c>
      <c r="B175" s="60">
        <v>2025</v>
      </c>
      <c r="C175" s="61">
        <v>6</v>
      </c>
      <c r="D175" s="62">
        <v>0.16870370370370372</v>
      </c>
      <c r="E175" s="60" t="s">
        <v>521</v>
      </c>
      <c r="F175" s="63" t="s">
        <v>317</v>
      </c>
      <c r="G175" s="63" t="s">
        <v>262</v>
      </c>
      <c r="H175" s="60"/>
      <c r="I175" s="60" t="s">
        <v>45</v>
      </c>
      <c r="J175" s="52">
        <v>4.99</v>
      </c>
      <c r="K175" s="52">
        <v>-0.74</v>
      </c>
      <c r="L175" s="52">
        <v>4.25</v>
      </c>
      <c r="M175" s="52">
        <f t="shared" si="0"/>
        <v>4.25</v>
      </c>
      <c r="N175" s="52">
        <f t="shared" si="1"/>
        <v>0</v>
      </c>
      <c r="O175" s="52" t="s">
        <v>556</v>
      </c>
      <c r="P175" s="52">
        <v>805.12</v>
      </c>
    </row>
    <row r="176" spans="1:16" ht="22.5" customHeight="1">
      <c r="A176" s="60" t="s">
        <v>555</v>
      </c>
      <c r="B176" s="60">
        <v>2025</v>
      </c>
      <c r="C176" s="61">
        <v>6</v>
      </c>
      <c r="D176" s="62">
        <v>0.1882638888888889</v>
      </c>
      <c r="E176" s="60" t="s">
        <v>521</v>
      </c>
      <c r="F176" s="63" t="s">
        <v>332</v>
      </c>
      <c r="G176" s="63" t="s">
        <v>262</v>
      </c>
      <c r="H176" s="60"/>
      <c r="I176" s="60" t="s">
        <v>45</v>
      </c>
      <c r="J176" s="52">
        <v>1.0900000000000001</v>
      </c>
      <c r="K176" s="52">
        <v>-0.54</v>
      </c>
      <c r="L176" s="52">
        <v>0.55000000000000004</v>
      </c>
      <c r="M176" s="52">
        <f t="shared" si="0"/>
        <v>0.55000000000000004</v>
      </c>
      <c r="N176" s="52">
        <f t="shared" si="1"/>
        <v>0</v>
      </c>
      <c r="O176" s="52" t="s">
        <v>557</v>
      </c>
      <c r="P176" s="52">
        <v>805.67</v>
      </c>
    </row>
    <row r="177" spans="1:16" ht="22.5" customHeight="1">
      <c r="A177" s="60" t="s">
        <v>555</v>
      </c>
      <c r="B177" s="60">
        <v>2025</v>
      </c>
      <c r="C177" s="61">
        <v>6</v>
      </c>
      <c r="D177" s="62">
        <v>0.75952546296296297</v>
      </c>
      <c r="E177" s="60" t="s">
        <v>521</v>
      </c>
      <c r="F177" s="63" t="s">
        <v>558</v>
      </c>
      <c r="G177" s="63" t="s">
        <v>320</v>
      </c>
      <c r="H177" s="60"/>
      <c r="I177" s="60" t="s">
        <v>45</v>
      </c>
      <c r="J177" s="52">
        <v>-10.8</v>
      </c>
      <c r="K177" s="52">
        <v>0</v>
      </c>
      <c r="L177" s="52">
        <v>-10.8</v>
      </c>
      <c r="M177" s="52">
        <f t="shared" si="0"/>
        <v>0</v>
      </c>
      <c r="N177" s="52">
        <f t="shared" si="1"/>
        <v>10.8</v>
      </c>
      <c r="O177" s="52" t="s">
        <v>559</v>
      </c>
      <c r="P177" s="52">
        <v>794.87</v>
      </c>
    </row>
    <row r="178" spans="1:16" ht="22.5" customHeight="1">
      <c r="A178" s="60" t="s">
        <v>560</v>
      </c>
      <c r="B178" s="60">
        <v>2025</v>
      </c>
      <c r="C178" s="61">
        <v>6</v>
      </c>
      <c r="D178" s="62">
        <v>0.26468750000000002</v>
      </c>
      <c r="E178" s="60" t="s">
        <v>521</v>
      </c>
      <c r="F178" s="63" t="s">
        <v>561</v>
      </c>
      <c r="G178" s="63" t="s">
        <v>258</v>
      </c>
      <c r="H178" s="60"/>
      <c r="I178" s="60" t="s">
        <v>45</v>
      </c>
      <c r="J178" s="52">
        <v>20.25</v>
      </c>
      <c r="K178" s="52">
        <v>-1.5</v>
      </c>
      <c r="L178" s="52">
        <v>18.75</v>
      </c>
      <c r="M178" s="52">
        <f t="shared" si="0"/>
        <v>18.75</v>
      </c>
      <c r="N178" s="52">
        <f t="shared" si="1"/>
        <v>0</v>
      </c>
      <c r="O178" s="52" t="s">
        <v>562</v>
      </c>
      <c r="P178" s="52">
        <v>813.62</v>
      </c>
    </row>
    <row r="179" spans="1:16" ht="22.5" customHeight="1">
      <c r="A179" s="60" t="s">
        <v>560</v>
      </c>
      <c r="B179" s="60">
        <v>2025</v>
      </c>
      <c r="C179" s="61">
        <v>6</v>
      </c>
      <c r="D179" s="62">
        <v>0.93471064814814819</v>
      </c>
      <c r="E179" s="60" t="s">
        <v>521</v>
      </c>
      <c r="F179" s="63" t="s">
        <v>563</v>
      </c>
      <c r="G179" s="63" t="s">
        <v>258</v>
      </c>
      <c r="H179" s="60"/>
      <c r="I179" s="60" t="s">
        <v>45</v>
      </c>
      <c r="J179" s="52">
        <v>1.98</v>
      </c>
      <c r="K179" s="52">
        <v>-0.59</v>
      </c>
      <c r="L179" s="52">
        <v>1.39</v>
      </c>
      <c r="M179" s="52">
        <f t="shared" si="0"/>
        <v>1.39</v>
      </c>
      <c r="N179" s="52">
        <f t="shared" si="1"/>
        <v>0</v>
      </c>
      <c r="O179" s="52" t="s">
        <v>564</v>
      </c>
      <c r="P179" s="52">
        <v>815.01</v>
      </c>
    </row>
    <row r="180" spans="1:16" ht="22.5" customHeight="1">
      <c r="A180" s="60" t="s">
        <v>565</v>
      </c>
      <c r="B180" s="60">
        <v>2025</v>
      </c>
      <c r="C180" s="61">
        <v>6</v>
      </c>
      <c r="D180" s="62">
        <v>0.80255787037037041</v>
      </c>
      <c r="E180" s="60" t="s">
        <v>521</v>
      </c>
      <c r="F180" s="63" t="s">
        <v>566</v>
      </c>
      <c r="G180" s="63" t="s">
        <v>258</v>
      </c>
      <c r="H180" s="60"/>
      <c r="I180" s="60" t="s">
        <v>45</v>
      </c>
      <c r="J180" s="52">
        <v>1</v>
      </c>
      <c r="K180" s="52">
        <v>-0.54</v>
      </c>
      <c r="L180" s="52">
        <v>0.46</v>
      </c>
      <c r="M180" s="52">
        <f t="shared" si="0"/>
        <v>0.46</v>
      </c>
      <c r="N180" s="52">
        <f t="shared" si="1"/>
        <v>0</v>
      </c>
      <c r="O180" s="52" t="s">
        <v>567</v>
      </c>
      <c r="P180" s="52">
        <v>815.47</v>
      </c>
    </row>
    <row r="181" spans="1:16" ht="22.5" customHeight="1">
      <c r="A181" s="60" t="s">
        <v>568</v>
      </c>
      <c r="B181" s="60">
        <v>2025</v>
      </c>
      <c r="C181" s="61">
        <v>6</v>
      </c>
      <c r="D181" s="62">
        <v>0.2497800925925926</v>
      </c>
      <c r="E181" s="60" t="s">
        <v>521</v>
      </c>
      <c r="F181" s="63" t="s">
        <v>561</v>
      </c>
      <c r="G181" s="63" t="s">
        <v>291</v>
      </c>
      <c r="H181" s="60"/>
      <c r="I181" s="60" t="s">
        <v>45</v>
      </c>
      <c r="J181" s="52">
        <v>-20.25</v>
      </c>
      <c r="K181" s="52">
        <v>1.01</v>
      </c>
      <c r="L181" s="52">
        <v>-19.239999999999998</v>
      </c>
      <c r="M181" s="52">
        <f t="shared" si="0"/>
        <v>0</v>
      </c>
      <c r="N181" s="52">
        <f t="shared" si="1"/>
        <v>19.239999999999998</v>
      </c>
      <c r="O181" s="52" t="s">
        <v>569</v>
      </c>
      <c r="P181" s="52">
        <v>796.23</v>
      </c>
    </row>
    <row r="182" spans="1:16" ht="22.5" customHeight="1">
      <c r="A182" s="60" t="s">
        <v>570</v>
      </c>
      <c r="B182" s="60">
        <v>2025</v>
      </c>
      <c r="C182" s="61">
        <v>6</v>
      </c>
      <c r="D182" s="62">
        <v>0.19776620370370371</v>
      </c>
      <c r="E182" s="60" t="s">
        <v>521</v>
      </c>
      <c r="F182" s="63" t="s">
        <v>571</v>
      </c>
      <c r="G182" s="63" t="s">
        <v>258</v>
      </c>
      <c r="H182" s="60"/>
      <c r="I182" s="60" t="s">
        <v>45</v>
      </c>
      <c r="J182" s="52">
        <v>1.98</v>
      </c>
      <c r="K182" s="52">
        <v>-0.59</v>
      </c>
      <c r="L182" s="52">
        <v>1.39</v>
      </c>
      <c r="M182" s="52">
        <f t="shared" si="0"/>
        <v>1.39</v>
      </c>
      <c r="N182" s="52">
        <f t="shared" si="1"/>
        <v>0</v>
      </c>
      <c r="O182" s="52" t="s">
        <v>572</v>
      </c>
      <c r="P182" s="52">
        <v>797.62</v>
      </c>
    </row>
    <row r="183" spans="1:16" ht="22.5" customHeight="1">
      <c r="A183" s="60" t="s">
        <v>573</v>
      </c>
      <c r="B183" s="60">
        <v>2025</v>
      </c>
      <c r="C183" s="61">
        <v>6</v>
      </c>
      <c r="D183" s="62">
        <v>0.75001157407407404</v>
      </c>
      <c r="E183" s="60" t="s">
        <v>521</v>
      </c>
      <c r="F183" s="63" t="s">
        <v>574</v>
      </c>
      <c r="G183" s="63" t="s">
        <v>262</v>
      </c>
      <c r="H183" s="60"/>
      <c r="I183" s="60" t="s">
        <v>45</v>
      </c>
      <c r="J183" s="52">
        <v>7.27</v>
      </c>
      <c r="K183" s="52">
        <v>-0.74</v>
      </c>
      <c r="L183" s="52">
        <v>6.53</v>
      </c>
      <c r="M183" s="52">
        <f t="shared" si="0"/>
        <v>6.53</v>
      </c>
      <c r="N183" s="52">
        <f t="shared" si="1"/>
        <v>0</v>
      </c>
      <c r="O183" s="52" t="s">
        <v>575</v>
      </c>
      <c r="P183" s="52">
        <v>804.15</v>
      </c>
    </row>
    <row r="184" spans="1:16" ht="22.5" customHeight="1">
      <c r="A184" s="60" t="s">
        <v>573</v>
      </c>
      <c r="B184" s="60">
        <v>2025</v>
      </c>
      <c r="C184" s="61">
        <v>6</v>
      </c>
      <c r="D184" s="62">
        <v>0.75776620370370373</v>
      </c>
      <c r="E184" s="60" t="s">
        <v>521</v>
      </c>
      <c r="F184" s="63" t="s">
        <v>576</v>
      </c>
      <c r="G184" s="63" t="s">
        <v>258</v>
      </c>
      <c r="H184" s="60"/>
      <c r="I184" s="60" t="s">
        <v>45</v>
      </c>
      <c r="J184" s="52">
        <v>1.98</v>
      </c>
      <c r="K184" s="52">
        <v>-0.56000000000000005</v>
      </c>
      <c r="L184" s="52">
        <v>1.42</v>
      </c>
      <c r="M184" s="52">
        <f t="shared" si="0"/>
        <v>1.42</v>
      </c>
      <c r="N184" s="52">
        <f t="shared" si="1"/>
        <v>0</v>
      </c>
      <c r="O184" s="52" t="s">
        <v>577</v>
      </c>
      <c r="P184" s="52">
        <v>805.57</v>
      </c>
    </row>
    <row r="185" spans="1:16" ht="22.5" customHeight="1">
      <c r="A185" s="60" t="s">
        <v>573</v>
      </c>
      <c r="B185" s="60">
        <v>2025</v>
      </c>
      <c r="C185" s="61">
        <v>6</v>
      </c>
      <c r="D185" s="62">
        <v>0.99260416666666662</v>
      </c>
      <c r="E185" s="60" t="s">
        <v>521</v>
      </c>
      <c r="F185" s="63" t="s">
        <v>578</v>
      </c>
      <c r="G185" s="63" t="s">
        <v>368</v>
      </c>
      <c r="H185" s="60"/>
      <c r="I185" s="60" t="s">
        <v>45</v>
      </c>
      <c r="J185" s="52">
        <v>-100</v>
      </c>
      <c r="K185" s="52">
        <v>0</v>
      </c>
      <c r="L185" s="52">
        <v>-100</v>
      </c>
      <c r="M185" s="52">
        <f t="shared" si="0"/>
        <v>0</v>
      </c>
      <c r="N185" s="52">
        <f t="shared" si="1"/>
        <v>100</v>
      </c>
      <c r="O185" s="52" t="s">
        <v>579</v>
      </c>
      <c r="P185" s="52">
        <v>705.57</v>
      </c>
    </row>
    <row r="186" spans="1:16" ht="22.5" customHeight="1">
      <c r="A186" s="60" t="s">
        <v>580</v>
      </c>
      <c r="B186" s="60">
        <v>2025</v>
      </c>
      <c r="C186" s="61">
        <v>6</v>
      </c>
      <c r="D186" s="62">
        <v>0.73681712962962964</v>
      </c>
      <c r="E186" s="60" t="s">
        <v>521</v>
      </c>
      <c r="F186" s="63" t="s">
        <v>420</v>
      </c>
      <c r="G186" s="63" t="s">
        <v>262</v>
      </c>
      <c r="H186" s="60"/>
      <c r="I186" s="60" t="s">
        <v>45</v>
      </c>
      <c r="J186" s="52">
        <v>1.21</v>
      </c>
      <c r="K186" s="52">
        <v>-0.55000000000000004</v>
      </c>
      <c r="L186" s="52">
        <v>0.66</v>
      </c>
      <c r="M186" s="52">
        <f t="shared" si="0"/>
        <v>0.66</v>
      </c>
      <c r="N186" s="52">
        <f t="shared" si="1"/>
        <v>0</v>
      </c>
      <c r="O186" s="52" t="s">
        <v>581</v>
      </c>
      <c r="P186" s="52">
        <v>706.23</v>
      </c>
    </row>
    <row r="187" spans="1:16" ht="22.5" customHeight="1">
      <c r="A187" s="60" t="s">
        <v>580</v>
      </c>
      <c r="B187" s="60">
        <v>2025</v>
      </c>
      <c r="C187" s="61">
        <v>6</v>
      </c>
      <c r="D187" s="62">
        <v>0.76681712962962967</v>
      </c>
      <c r="E187" s="60" t="s">
        <v>521</v>
      </c>
      <c r="F187" s="63" t="s">
        <v>582</v>
      </c>
      <c r="G187" s="63" t="s">
        <v>258</v>
      </c>
      <c r="H187" s="60"/>
      <c r="I187" s="60" t="s">
        <v>45</v>
      </c>
      <c r="J187" s="52">
        <v>1.98</v>
      </c>
      <c r="K187" s="52">
        <v>-0.56000000000000005</v>
      </c>
      <c r="L187" s="52">
        <v>1.42</v>
      </c>
      <c r="M187" s="52">
        <f t="shared" si="0"/>
        <v>1.42</v>
      </c>
      <c r="N187" s="52">
        <f t="shared" si="1"/>
        <v>0</v>
      </c>
      <c r="O187" s="52" t="s">
        <v>583</v>
      </c>
      <c r="P187" s="52">
        <v>707.65</v>
      </c>
    </row>
    <row r="188" spans="1:16" ht="22.5" customHeight="1">
      <c r="A188" s="59">
        <v>45723</v>
      </c>
      <c r="B188" s="60">
        <v>2025</v>
      </c>
      <c r="C188" s="61">
        <v>7</v>
      </c>
      <c r="D188" s="62">
        <v>0.29865740740740743</v>
      </c>
      <c r="E188" s="60" t="s">
        <v>398</v>
      </c>
      <c r="F188" s="63" t="s">
        <v>584</v>
      </c>
      <c r="G188" s="63" t="s">
        <v>258</v>
      </c>
      <c r="H188" s="60" t="s">
        <v>259</v>
      </c>
      <c r="I188" s="60" t="s">
        <v>45</v>
      </c>
      <c r="J188" s="52">
        <v>8.99</v>
      </c>
      <c r="K188" s="52">
        <v>-0.8</v>
      </c>
      <c r="L188" s="52">
        <v>8.19</v>
      </c>
      <c r="M188" s="52">
        <f t="shared" si="0"/>
        <v>8.19</v>
      </c>
      <c r="N188" s="52">
        <f t="shared" si="1"/>
        <v>0</v>
      </c>
      <c r="O188" s="52" t="s">
        <v>585</v>
      </c>
      <c r="P188" s="52">
        <v>715.84</v>
      </c>
    </row>
    <row r="189" spans="1:16" ht="22.5" customHeight="1">
      <c r="A189" s="59">
        <v>45754</v>
      </c>
      <c r="B189" s="60">
        <v>2025</v>
      </c>
      <c r="C189" s="61">
        <v>7</v>
      </c>
      <c r="D189" s="62">
        <v>5.1932870370370372E-2</v>
      </c>
      <c r="E189" s="60" t="s">
        <v>398</v>
      </c>
      <c r="F189" s="63" t="s">
        <v>420</v>
      </c>
      <c r="G189" s="63" t="s">
        <v>262</v>
      </c>
      <c r="H189" s="60" t="s">
        <v>259</v>
      </c>
      <c r="I189" s="60" t="s">
        <v>45</v>
      </c>
      <c r="J189" s="52">
        <v>9</v>
      </c>
      <c r="K189" s="52">
        <v>-0.94</v>
      </c>
      <c r="L189" s="52">
        <v>8.06</v>
      </c>
      <c r="M189" s="52">
        <f t="shared" si="0"/>
        <v>8.06</v>
      </c>
      <c r="N189" s="52">
        <f t="shared" si="1"/>
        <v>0</v>
      </c>
      <c r="O189" s="52" t="s">
        <v>586</v>
      </c>
      <c r="P189" s="52">
        <v>723.9</v>
      </c>
    </row>
    <row r="190" spans="1:16" ht="22.5" customHeight="1">
      <c r="A190" s="59">
        <v>45754</v>
      </c>
      <c r="B190" s="60">
        <v>2025</v>
      </c>
      <c r="C190" s="61">
        <v>7</v>
      </c>
      <c r="D190" s="62">
        <v>0.38908564814814817</v>
      </c>
      <c r="E190" s="60" t="s">
        <v>398</v>
      </c>
      <c r="F190" s="63" t="s">
        <v>587</v>
      </c>
      <c r="G190" s="63" t="s">
        <v>262</v>
      </c>
      <c r="H190" s="60" t="s">
        <v>259</v>
      </c>
      <c r="I190" s="60" t="s">
        <v>45</v>
      </c>
      <c r="J190" s="52">
        <v>9</v>
      </c>
      <c r="K190" s="52">
        <v>-0.94</v>
      </c>
      <c r="L190" s="52">
        <v>8.06</v>
      </c>
      <c r="M190" s="52">
        <f t="shared" si="0"/>
        <v>8.06</v>
      </c>
      <c r="N190" s="52">
        <f t="shared" si="1"/>
        <v>0</v>
      </c>
      <c r="O190" s="52" t="s">
        <v>588</v>
      </c>
      <c r="P190" s="52">
        <v>731.96</v>
      </c>
    </row>
    <row r="191" spans="1:16" ht="22.5" customHeight="1">
      <c r="A191" s="59">
        <v>45784</v>
      </c>
      <c r="B191" s="60">
        <v>2025</v>
      </c>
      <c r="C191" s="61">
        <v>7</v>
      </c>
      <c r="D191" s="62">
        <v>0.14729166666666665</v>
      </c>
      <c r="E191" s="60" t="s">
        <v>398</v>
      </c>
      <c r="F191" s="63" t="s">
        <v>300</v>
      </c>
      <c r="G191" s="63" t="s">
        <v>262</v>
      </c>
      <c r="H191" s="60" t="s">
        <v>259</v>
      </c>
      <c r="I191" s="60" t="s">
        <v>45</v>
      </c>
      <c r="J191" s="52">
        <v>1.0900000000000001</v>
      </c>
      <c r="K191" s="52">
        <v>-0.54</v>
      </c>
      <c r="L191" s="52">
        <v>0.55000000000000004</v>
      </c>
      <c r="M191" s="52">
        <f t="shared" si="0"/>
        <v>0.55000000000000004</v>
      </c>
      <c r="N191" s="52">
        <f t="shared" si="1"/>
        <v>0</v>
      </c>
      <c r="O191" s="52" t="s">
        <v>589</v>
      </c>
      <c r="P191" s="52">
        <v>732.51</v>
      </c>
    </row>
    <row r="192" spans="1:16" ht="22.5" customHeight="1">
      <c r="A192" s="59">
        <v>45815</v>
      </c>
      <c r="B192" s="60">
        <v>2025</v>
      </c>
      <c r="C192" s="61">
        <v>7</v>
      </c>
      <c r="D192" s="62">
        <v>0.18987268518518519</v>
      </c>
      <c r="E192" s="60" t="s">
        <v>398</v>
      </c>
      <c r="F192" s="63" t="s">
        <v>480</v>
      </c>
      <c r="G192" s="63" t="s">
        <v>258</v>
      </c>
      <c r="H192" s="60" t="s">
        <v>259</v>
      </c>
      <c r="I192" s="60" t="s">
        <v>45</v>
      </c>
      <c r="J192" s="52">
        <v>24.99</v>
      </c>
      <c r="K192" s="52">
        <v>-1.74</v>
      </c>
      <c r="L192" s="52">
        <v>23.25</v>
      </c>
      <c r="M192" s="52">
        <f t="shared" si="0"/>
        <v>23.25</v>
      </c>
      <c r="N192" s="52">
        <f t="shared" si="1"/>
        <v>0</v>
      </c>
      <c r="O192" s="52" t="s">
        <v>590</v>
      </c>
      <c r="P192" s="52">
        <v>755.76</v>
      </c>
    </row>
    <row r="193" spans="1:16" ht="22.5" customHeight="1">
      <c r="A193" s="59">
        <v>45815</v>
      </c>
      <c r="B193" s="60">
        <v>2025</v>
      </c>
      <c r="C193" s="61">
        <v>7</v>
      </c>
      <c r="D193" s="62">
        <v>0.75259259259259259</v>
      </c>
      <c r="E193" s="60" t="s">
        <v>398</v>
      </c>
      <c r="F193" s="63" t="s">
        <v>319</v>
      </c>
      <c r="G193" s="63" t="s">
        <v>320</v>
      </c>
      <c r="H193" s="60" t="s">
        <v>259</v>
      </c>
      <c r="I193" s="60" t="s">
        <v>45</v>
      </c>
      <c r="J193" s="52">
        <v>-2.5</v>
      </c>
      <c r="K193" s="52">
        <v>0</v>
      </c>
      <c r="L193" s="52">
        <v>-2.5</v>
      </c>
      <c r="M193" s="52">
        <f t="shared" si="0"/>
        <v>0</v>
      </c>
      <c r="N193" s="52">
        <f t="shared" si="1"/>
        <v>2.5</v>
      </c>
      <c r="O193" s="52" t="s">
        <v>591</v>
      </c>
      <c r="P193" s="52">
        <v>753.26</v>
      </c>
    </row>
    <row r="194" spans="1:16" ht="22.5" customHeight="1">
      <c r="A194" s="59">
        <v>45907</v>
      </c>
      <c r="B194" s="60">
        <v>2025</v>
      </c>
      <c r="C194" s="61">
        <v>7</v>
      </c>
      <c r="D194" s="62">
        <v>0.12241898148148148</v>
      </c>
      <c r="E194" s="60" t="s">
        <v>398</v>
      </c>
      <c r="F194" s="63" t="s">
        <v>592</v>
      </c>
      <c r="G194" s="63" t="s">
        <v>258</v>
      </c>
      <c r="H194" s="60" t="s">
        <v>259</v>
      </c>
      <c r="I194" s="60" t="s">
        <v>45</v>
      </c>
      <c r="J194" s="52">
        <v>2.4900000000000002</v>
      </c>
      <c r="K194" s="52">
        <v>-0.61</v>
      </c>
      <c r="L194" s="52">
        <v>1.88</v>
      </c>
      <c r="M194" s="52">
        <f t="shared" si="0"/>
        <v>1.88</v>
      </c>
      <c r="N194" s="52">
        <f t="shared" si="1"/>
        <v>0</v>
      </c>
      <c r="O194" s="52" t="s">
        <v>593</v>
      </c>
      <c r="P194" s="52">
        <v>755.14</v>
      </c>
    </row>
    <row r="195" spans="1:16" ht="22.5" customHeight="1">
      <c r="A195" s="60" t="s">
        <v>149</v>
      </c>
      <c r="B195" s="60">
        <v>2025</v>
      </c>
      <c r="C195" s="61">
        <v>7</v>
      </c>
      <c r="D195" s="62">
        <v>0.14049768518518518</v>
      </c>
      <c r="E195" s="60" t="s">
        <v>398</v>
      </c>
      <c r="F195" s="63" t="s">
        <v>306</v>
      </c>
      <c r="G195" s="63" t="s">
        <v>262</v>
      </c>
      <c r="H195" s="60" t="s">
        <v>259</v>
      </c>
      <c r="I195" s="60" t="s">
        <v>45</v>
      </c>
      <c r="J195" s="52">
        <v>1.0900000000000001</v>
      </c>
      <c r="K195" s="52">
        <v>-0.54</v>
      </c>
      <c r="L195" s="52">
        <v>0.55000000000000004</v>
      </c>
      <c r="M195" s="52">
        <f t="shared" si="0"/>
        <v>0.55000000000000004</v>
      </c>
      <c r="N195" s="52">
        <f t="shared" si="1"/>
        <v>0</v>
      </c>
      <c r="O195" s="52" t="s">
        <v>594</v>
      </c>
      <c r="P195" s="52">
        <v>755.69</v>
      </c>
    </row>
    <row r="196" spans="1:16" ht="22.5" customHeight="1">
      <c r="A196" s="60" t="s">
        <v>595</v>
      </c>
      <c r="B196" s="60">
        <v>2025</v>
      </c>
      <c r="C196" s="61">
        <v>7</v>
      </c>
      <c r="D196" s="62">
        <v>0.2532638888888889</v>
      </c>
      <c r="E196" s="60" t="s">
        <v>398</v>
      </c>
      <c r="F196" s="63" t="s">
        <v>596</v>
      </c>
      <c r="G196" s="63" t="s">
        <v>258</v>
      </c>
      <c r="H196" s="60" t="s">
        <v>259</v>
      </c>
      <c r="I196" s="60" t="s">
        <v>45</v>
      </c>
      <c r="J196" s="52">
        <v>8.99</v>
      </c>
      <c r="K196" s="52">
        <v>-0.94</v>
      </c>
      <c r="L196" s="52">
        <v>8.0500000000000007</v>
      </c>
      <c r="M196" s="52">
        <f t="shared" si="0"/>
        <v>8.0500000000000007</v>
      </c>
      <c r="N196" s="52">
        <f t="shared" si="1"/>
        <v>0</v>
      </c>
      <c r="O196" s="52" t="s">
        <v>597</v>
      </c>
      <c r="P196" s="52">
        <v>763.74</v>
      </c>
    </row>
    <row r="197" spans="1:16" ht="22.5" customHeight="1">
      <c r="A197" s="60" t="s">
        <v>598</v>
      </c>
      <c r="B197" s="60">
        <v>2025</v>
      </c>
      <c r="C197" s="61">
        <v>7</v>
      </c>
      <c r="D197" s="62">
        <v>0.15634259259259259</v>
      </c>
      <c r="E197" s="60" t="s">
        <v>398</v>
      </c>
      <c r="F197" s="63" t="s">
        <v>317</v>
      </c>
      <c r="G197" s="63" t="s">
        <v>262</v>
      </c>
      <c r="H197" s="60" t="s">
        <v>259</v>
      </c>
      <c r="I197" s="60" t="s">
        <v>45</v>
      </c>
      <c r="J197" s="52">
        <v>4.99</v>
      </c>
      <c r="K197" s="52">
        <v>-0.74</v>
      </c>
      <c r="L197" s="52">
        <v>4.25</v>
      </c>
      <c r="M197" s="52">
        <f t="shared" si="0"/>
        <v>4.25</v>
      </c>
      <c r="N197" s="52">
        <f t="shared" si="1"/>
        <v>0</v>
      </c>
      <c r="O197" s="52" t="s">
        <v>599</v>
      </c>
      <c r="P197" s="52">
        <v>767.99</v>
      </c>
    </row>
    <row r="198" spans="1:16" ht="22.5" customHeight="1">
      <c r="A198" s="60" t="s">
        <v>598</v>
      </c>
      <c r="B198" s="60">
        <v>2025</v>
      </c>
      <c r="C198" s="61">
        <v>7</v>
      </c>
      <c r="D198" s="62">
        <v>0.17516203703703703</v>
      </c>
      <c r="E198" s="60" t="s">
        <v>398</v>
      </c>
      <c r="F198" s="63" t="s">
        <v>332</v>
      </c>
      <c r="G198" s="63" t="s">
        <v>262</v>
      </c>
      <c r="H198" s="60" t="s">
        <v>259</v>
      </c>
      <c r="I198" s="60" t="s">
        <v>45</v>
      </c>
      <c r="J198" s="52">
        <v>1.0900000000000001</v>
      </c>
      <c r="K198" s="52">
        <v>-0.54</v>
      </c>
      <c r="L198" s="52">
        <v>0.55000000000000004</v>
      </c>
      <c r="M198" s="52">
        <f t="shared" si="0"/>
        <v>0.55000000000000004</v>
      </c>
      <c r="N198" s="52">
        <f t="shared" si="1"/>
        <v>0</v>
      </c>
      <c r="O198" s="52" t="s">
        <v>600</v>
      </c>
      <c r="P198" s="52">
        <v>768.54</v>
      </c>
    </row>
    <row r="199" spans="1:16" ht="22.5" customHeight="1">
      <c r="A199" s="60" t="s">
        <v>598</v>
      </c>
      <c r="B199" s="60">
        <v>2025</v>
      </c>
      <c r="C199" s="61">
        <v>7</v>
      </c>
      <c r="D199" s="62">
        <v>0.76017361111111115</v>
      </c>
      <c r="E199" s="60" t="s">
        <v>398</v>
      </c>
      <c r="F199" s="63" t="s">
        <v>558</v>
      </c>
      <c r="G199" s="63" t="s">
        <v>320</v>
      </c>
      <c r="H199" s="60" t="s">
        <v>259</v>
      </c>
      <c r="I199" s="60" t="s">
        <v>45</v>
      </c>
      <c r="J199" s="52">
        <v>-10.8</v>
      </c>
      <c r="K199" s="52">
        <v>0</v>
      </c>
      <c r="L199" s="52">
        <v>-10.8</v>
      </c>
      <c r="M199" s="52">
        <f t="shared" si="0"/>
        <v>0</v>
      </c>
      <c r="N199" s="52">
        <f t="shared" si="1"/>
        <v>10.8</v>
      </c>
      <c r="O199" s="52" t="s">
        <v>601</v>
      </c>
      <c r="P199" s="52">
        <v>757.74</v>
      </c>
    </row>
    <row r="200" spans="1:16" ht="22.5" customHeight="1">
      <c r="A200" s="60" t="s">
        <v>598</v>
      </c>
      <c r="B200" s="60">
        <v>2025</v>
      </c>
      <c r="C200" s="61">
        <v>7</v>
      </c>
      <c r="D200" s="62">
        <v>0.76133101851851848</v>
      </c>
      <c r="E200" s="60" t="s">
        <v>398</v>
      </c>
      <c r="F200" s="63" t="s">
        <v>602</v>
      </c>
      <c r="G200" s="63" t="s">
        <v>262</v>
      </c>
      <c r="H200" s="60" t="s">
        <v>259</v>
      </c>
      <c r="I200" s="60" t="s">
        <v>45</v>
      </c>
      <c r="J200" s="52">
        <v>2.4900000000000002</v>
      </c>
      <c r="K200" s="52">
        <v>-0.61</v>
      </c>
      <c r="L200" s="52">
        <v>1.88</v>
      </c>
      <c r="M200" s="52">
        <f t="shared" si="0"/>
        <v>1.88</v>
      </c>
      <c r="N200" s="52">
        <f t="shared" si="1"/>
        <v>0</v>
      </c>
      <c r="O200" s="52" t="s">
        <v>603</v>
      </c>
      <c r="P200" s="52">
        <v>759.62</v>
      </c>
    </row>
    <row r="201" spans="1:16" ht="22.5" customHeight="1">
      <c r="A201" s="60" t="s">
        <v>598</v>
      </c>
      <c r="B201" s="60">
        <v>2025</v>
      </c>
      <c r="C201" s="61">
        <v>7</v>
      </c>
      <c r="D201" s="62">
        <v>0.81156249999999996</v>
      </c>
      <c r="E201" s="60" t="s">
        <v>398</v>
      </c>
      <c r="F201" s="63" t="s">
        <v>602</v>
      </c>
      <c r="G201" s="63" t="s">
        <v>291</v>
      </c>
      <c r="H201" s="60" t="s">
        <v>259</v>
      </c>
      <c r="I201" s="60" t="s">
        <v>45</v>
      </c>
      <c r="J201" s="52">
        <v>-2.4900000000000002</v>
      </c>
      <c r="K201" s="52">
        <v>0.12</v>
      </c>
      <c r="L201" s="52">
        <v>-2.37</v>
      </c>
      <c r="M201" s="52">
        <f t="shared" si="0"/>
        <v>0</v>
      </c>
      <c r="N201" s="52">
        <f t="shared" si="1"/>
        <v>2.37</v>
      </c>
      <c r="O201" s="52" t="s">
        <v>604</v>
      </c>
      <c r="P201" s="52">
        <v>757.25</v>
      </c>
    </row>
    <row r="202" spans="1:16" ht="22.5" customHeight="1">
      <c r="A202" s="60" t="s">
        <v>605</v>
      </c>
      <c r="B202" s="60">
        <v>2025</v>
      </c>
      <c r="C202" s="61">
        <v>7</v>
      </c>
      <c r="D202" s="62">
        <v>0.903900462962963</v>
      </c>
      <c r="E202" s="60" t="s">
        <v>398</v>
      </c>
      <c r="F202" s="63" t="s">
        <v>606</v>
      </c>
      <c r="G202" s="63" t="s">
        <v>258</v>
      </c>
      <c r="H202" s="60" t="s">
        <v>259</v>
      </c>
      <c r="I202" s="60" t="s">
        <v>45</v>
      </c>
      <c r="J202" s="52">
        <v>8.99</v>
      </c>
      <c r="K202" s="52">
        <v>-0.94</v>
      </c>
      <c r="L202" s="52">
        <v>8.0500000000000007</v>
      </c>
      <c r="M202" s="52">
        <f t="shared" si="0"/>
        <v>8.0500000000000007</v>
      </c>
      <c r="N202" s="52">
        <f t="shared" si="1"/>
        <v>0</v>
      </c>
      <c r="O202" s="52" t="s">
        <v>607</v>
      </c>
      <c r="P202" s="52">
        <v>765.3</v>
      </c>
    </row>
    <row r="203" spans="1:16" ht="22.5" customHeight="1">
      <c r="A203" s="60" t="s">
        <v>608</v>
      </c>
      <c r="B203" s="60">
        <v>2025</v>
      </c>
      <c r="C203" s="61">
        <v>7</v>
      </c>
      <c r="D203" s="62">
        <v>0.26436342592592593</v>
      </c>
      <c r="E203" s="60" t="s">
        <v>398</v>
      </c>
      <c r="F203" s="63" t="s">
        <v>609</v>
      </c>
      <c r="G203" s="63" t="s">
        <v>262</v>
      </c>
      <c r="H203" s="60" t="s">
        <v>259</v>
      </c>
      <c r="I203" s="60" t="s">
        <v>45</v>
      </c>
      <c r="J203" s="52">
        <v>4.49</v>
      </c>
      <c r="K203" s="52">
        <v>-0.71</v>
      </c>
      <c r="L203" s="52">
        <v>3.78</v>
      </c>
      <c r="M203" s="52">
        <f t="shared" si="0"/>
        <v>3.78</v>
      </c>
      <c r="N203" s="52">
        <f t="shared" si="1"/>
        <v>0</v>
      </c>
      <c r="O203" s="52" t="s">
        <v>610</v>
      </c>
      <c r="P203" s="52">
        <v>769.08</v>
      </c>
    </row>
    <row r="204" spans="1:16" ht="22.5" customHeight="1">
      <c r="A204" s="60" t="s">
        <v>608</v>
      </c>
      <c r="B204" s="60">
        <v>2025</v>
      </c>
      <c r="C204" s="61">
        <v>7</v>
      </c>
      <c r="D204" s="62">
        <v>0.31368055555555557</v>
      </c>
      <c r="E204" s="60" t="s">
        <v>398</v>
      </c>
      <c r="F204" s="63" t="s">
        <v>609</v>
      </c>
      <c r="G204" s="63" t="s">
        <v>258</v>
      </c>
      <c r="H204" s="60" t="s">
        <v>259</v>
      </c>
      <c r="I204" s="60" t="s">
        <v>45</v>
      </c>
      <c r="J204" s="52">
        <v>20.92</v>
      </c>
      <c r="K204" s="52">
        <v>-1.53</v>
      </c>
      <c r="L204" s="52">
        <v>19.39</v>
      </c>
      <c r="M204" s="52">
        <f t="shared" si="0"/>
        <v>19.39</v>
      </c>
      <c r="N204" s="52">
        <f t="shared" si="1"/>
        <v>0</v>
      </c>
      <c r="O204" s="52" t="s">
        <v>611</v>
      </c>
      <c r="P204" s="52">
        <v>788.47</v>
      </c>
    </row>
    <row r="205" spans="1:16" ht="22.5" customHeight="1">
      <c r="A205" s="60" t="s">
        <v>612</v>
      </c>
      <c r="B205" s="60">
        <v>2025</v>
      </c>
      <c r="C205" s="61">
        <v>7</v>
      </c>
      <c r="D205" s="62">
        <v>0.20833333333333334</v>
      </c>
      <c r="E205" s="60" t="s">
        <v>398</v>
      </c>
      <c r="F205" s="63" t="s">
        <v>613</v>
      </c>
      <c r="G205" s="63" t="s">
        <v>262</v>
      </c>
      <c r="H205" s="60" t="s">
        <v>259</v>
      </c>
      <c r="I205" s="60" t="s">
        <v>45</v>
      </c>
      <c r="J205" s="52">
        <v>9.49</v>
      </c>
      <c r="K205" s="52">
        <v>-0.96</v>
      </c>
      <c r="L205" s="52">
        <v>8.5299999999999994</v>
      </c>
      <c r="M205" s="52">
        <f t="shared" si="0"/>
        <v>8.5299999999999994</v>
      </c>
      <c r="N205" s="52">
        <f t="shared" si="1"/>
        <v>0</v>
      </c>
      <c r="O205" s="52" t="s">
        <v>614</v>
      </c>
      <c r="P205" s="52">
        <v>797</v>
      </c>
    </row>
    <row r="206" spans="1:16" ht="22.5" customHeight="1">
      <c r="A206" s="60" t="s">
        <v>615</v>
      </c>
      <c r="B206" s="60">
        <v>2025</v>
      </c>
      <c r="C206" s="61">
        <v>7</v>
      </c>
      <c r="D206" s="62">
        <v>0.80166666666666664</v>
      </c>
      <c r="E206" s="60" t="s">
        <v>398</v>
      </c>
      <c r="F206" s="63" t="s">
        <v>574</v>
      </c>
      <c r="G206" s="63" t="s">
        <v>262</v>
      </c>
      <c r="H206" s="60" t="s">
        <v>259</v>
      </c>
      <c r="I206" s="60" t="s">
        <v>45</v>
      </c>
      <c r="J206" s="52">
        <v>7.27</v>
      </c>
      <c r="K206" s="52">
        <v>-0.74</v>
      </c>
      <c r="L206" s="52">
        <v>6.53</v>
      </c>
      <c r="M206" s="52">
        <f t="shared" si="0"/>
        <v>6.53</v>
      </c>
      <c r="N206" s="52">
        <f t="shared" si="1"/>
        <v>0</v>
      </c>
      <c r="O206" s="52" t="s">
        <v>616</v>
      </c>
      <c r="P206" s="52">
        <v>803.53</v>
      </c>
    </row>
    <row r="207" spans="1:16" ht="22.5" customHeight="1">
      <c r="A207" s="60" t="s">
        <v>617</v>
      </c>
      <c r="B207" s="60">
        <v>2025</v>
      </c>
      <c r="C207" s="61">
        <v>7</v>
      </c>
      <c r="D207" s="62">
        <v>0.1375925925925926</v>
      </c>
      <c r="E207" s="60" t="s">
        <v>398</v>
      </c>
      <c r="F207" s="63" t="s">
        <v>574</v>
      </c>
      <c r="G207" s="63" t="s">
        <v>262</v>
      </c>
      <c r="H207" s="60" t="s">
        <v>259</v>
      </c>
      <c r="I207" s="60" t="s">
        <v>45</v>
      </c>
      <c r="J207" s="52">
        <v>7.27</v>
      </c>
      <c r="K207" s="52">
        <v>-0.74</v>
      </c>
      <c r="L207" s="52">
        <v>6.53</v>
      </c>
      <c r="M207" s="52">
        <f t="shared" si="0"/>
        <v>6.53</v>
      </c>
      <c r="N207" s="52">
        <f t="shared" si="1"/>
        <v>0</v>
      </c>
      <c r="O207" s="52" t="s">
        <v>618</v>
      </c>
      <c r="P207" s="52">
        <v>810.06</v>
      </c>
    </row>
    <row r="208" spans="1:16" ht="22.5" customHeight="1">
      <c r="A208" s="60" t="s">
        <v>619</v>
      </c>
      <c r="B208" s="60">
        <v>2025</v>
      </c>
      <c r="C208" s="61">
        <v>7</v>
      </c>
      <c r="D208" s="62">
        <v>0.16195601851851851</v>
      </c>
      <c r="E208" s="60" t="s">
        <v>398</v>
      </c>
      <c r="F208" s="63" t="s">
        <v>420</v>
      </c>
      <c r="G208" s="63" t="s">
        <v>262</v>
      </c>
      <c r="H208" s="60" t="s">
        <v>259</v>
      </c>
      <c r="I208" s="60" t="s">
        <v>45</v>
      </c>
      <c r="J208" s="52">
        <v>1.21</v>
      </c>
      <c r="K208" s="52">
        <v>-0.55000000000000004</v>
      </c>
      <c r="L208" s="52">
        <v>0.66</v>
      </c>
      <c r="M208" s="52">
        <f t="shared" si="0"/>
        <v>0.66</v>
      </c>
      <c r="N208" s="52">
        <f t="shared" si="1"/>
        <v>0</v>
      </c>
      <c r="O208" s="52" t="s">
        <v>620</v>
      </c>
      <c r="P208" s="52">
        <v>810.72</v>
      </c>
    </row>
    <row r="209" spans="1:16" ht="22.5" customHeight="1">
      <c r="A209" s="65">
        <v>45724</v>
      </c>
      <c r="B209" s="34">
        <v>2025</v>
      </c>
      <c r="C209" s="66">
        <v>8</v>
      </c>
      <c r="D209" s="51">
        <v>0.19537037037037036</v>
      </c>
      <c r="E209" s="34" t="s">
        <v>398</v>
      </c>
      <c r="F209" s="34" t="s">
        <v>621</v>
      </c>
      <c r="G209" s="34" t="s">
        <v>262</v>
      </c>
      <c r="H209" s="34" t="s">
        <v>259</v>
      </c>
      <c r="I209" s="34" t="s">
        <v>45</v>
      </c>
      <c r="J209" s="32">
        <v>17.989999999999998</v>
      </c>
      <c r="K209" s="32">
        <v>-1.39</v>
      </c>
      <c r="L209" s="32">
        <v>16.600000000000001</v>
      </c>
      <c r="M209" s="52">
        <f t="shared" si="0"/>
        <v>16.600000000000001</v>
      </c>
      <c r="N209" s="52">
        <f t="shared" si="1"/>
        <v>0</v>
      </c>
      <c r="O209" s="34" t="s">
        <v>622</v>
      </c>
      <c r="P209" s="32">
        <v>827.32</v>
      </c>
    </row>
    <row r="210" spans="1:16" ht="22.5" customHeight="1">
      <c r="A210" s="65">
        <v>45785</v>
      </c>
      <c r="B210" s="34">
        <v>2025</v>
      </c>
      <c r="C210" s="66">
        <v>8</v>
      </c>
      <c r="D210" s="51">
        <v>9.418981481481481E-2</v>
      </c>
      <c r="E210" s="34" t="s">
        <v>398</v>
      </c>
      <c r="F210" s="34" t="s">
        <v>623</v>
      </c>
      <c r="G210" s="34" t="s">
        <v>262</v>
      </c>
      <c r="H210" s="34" t="s">
        <v>259</v>
      </c>
      <c r="I210" s="34" t="s">
        <v>45</v>
      </c>
      <c r="J210" s="32">
        <v>8.99</v>
      </c>
      <c r="K210" s="32">
        <v>-0.8</v>
      </c>
      <c r="L210" s="32">
        <v>8.19</v>
      </c>
      <c r="M210" s="52">
        <f t="shared" si="0"/>
        <v>8.19</v>
      </c>
      <c r="N210" s="52">
        <f t="shared" si="1"/>
        <v>0</v>
      </c>
      <c r="O210" s="34" t="s">
        <v>624</v>
      </c>
      <c r="P210" s="32">
        <v>835.51</v>
      </c>
    </row>
    <row r="211" spans="1:16" ht="22.5" customHeight="1">
      <c r="A211" s="65">
        <v>45785</v>
      </c>
      <c r="B211" s="34">
        <v>2025</v>
      </c>
      <c r="C211" s="66">
        <v>8</v>
      </c>
      <c r="D211" s="51">
        <v>0.13327546296296297</v>
      </c>
      <c r="E211" s="34" t="s">
        <v>398</v>
      </c>
      <c r="F211" s="34" t="s">
        <v>300</v>
      </c>
      <c r="G211" s="34" t="s">
        <v>262</v>
      </c>
      <c r="H211" s="34" t="s">
        <v>259</v>
      </c>
      <c r="I211" s="34" t="s">
        <v>45</v>
      </c>
      <c r="J211" s="32">
        <v>1.0900000000000001</v>
      </c>
      <c r="K211" s="32">
        <v>-0.54</v>
      </c>
      <c r="L211" s="32">
        <v>0.55000000000000004</v>
      </c>
      <c r="M211" s="52">
        <f t="shared" si="0"/>
        <v>0.55000000000000004</v>
      </c>
      <c r="N211" s="52">
        <f t="shared" si="1"/>
        <v>0</v>
      </c>
      <c r="O211" s="34" t="s">
        <v>625</v>
      </c>
      <c r="P211" s="32">
        <v>836.06</v>
      </c>
    </row>
    <row r="212" spans="1:16" ht="22.5" customHeight="1">
      <c r="A212" s="32" t="s">
        <v>626</v>
      </c>
      <c r="B212" s="34">
        <v>2025</v>
      </c>
      <c r="C212" s="66">
        <v>8</v>
      </c>
      <c r="D212" s="51">
        <v>0.31609953703703703</v>
      </c>
      <c r="E212" s="34" t="s">
        <v>398</v>
      </c>
      <c r="F212" s="34" t="s">
        <v>627</v>
      </c>
      <c r="G212" s="34" t="s">
        <v>262</v>
      </c>
      <c r="H212" s="34" t="s">
        <v>259</v>
      </c>
      <c r="I212" s="34" t="s">
        <v>45</v>
      </c>
      <c r="J212" s="32">
        <v>8.99</v>
      </c>
      <c r="K212" s="32">
        <v>-0.94</v>
      </c>
      <c r="L212" s="32">
        <v>8.0500000000000007</v>
      </c>
      <c r="M212" s="52">
        <f t="shared" si="0"/>
        <v>8.0500000000000007</v>
      </c>
      <c r="N212" s="52">
        <f t="shared" si="1"/>
        <v>0</v>
      </c>
      <c r="O212" s="34" t="s">
        <v>628</v>
      </c>
      <c r="P212" s="32">
        <v>844.11</v>
      </c>
    </row>
    <row r="213" spans="1:16" ht="22.5" customHeight="1">
      <c r="A213" s="32" t="s">
        <v>629</v>
      </c>
      <c r="B213" s="34">
        <v>2025</v>
      </c>
      <c r="C213" s="66">
        <v>8</v>
      </c>
      <c r="D213" s="51">
        <v>0.18859953703703702</v>
      </c>
      <c r="E213" s="34" t="s">
        <v>398</v>
      </c>
      <c r="F213" s="34" t="s">
        <v>306</v>
      </c>
      <c r="G213" s="34" t="s">
        <v>262</v>
      </c>
      <c r="H213" s="34" t="s">
        <v>259</v>
      </c>
      <c r="I213" s="34" t="s">
        <v>45</v>
      </c>
      <c r="J213" s="32">
        <v>1.0900000000000001</v>
      </c>
      <c r="K213" s="32">
        <v>-0.54</v>
      </c>
      <c r="L213" s="32">
        <v>0.55000000000000004</v>
      </c>
      <c r="M213" s="52">
        <f t="shared" si="0"/>
        <v>0.55000000000000004</v>
      </c>
      <c r="N213" s="52">
        <f t="shared" si="1"/>
        <v>0</v>
      </c>
      <c r="O213" s="34" t="s">
        <v>630</v>
      </c>
      <c r="P213" s="32">
        <v>844.66</v>
      </c>
    </row>
    <row r="214" spans="1:16" ht="22.5" customHeight="1">
      <c r="A214" s="32" t="s">
        <v>631</v>
      </c>
      <c r="B214" s="34">
        <v>2025</v>
      </c>
      <c r="C214" s="66">
        <v>8</v>
      </c>
      <c r="D214" s="51">
        <v>0.17753472222222222</v>
      </c>
      <c r="E214" s="34" t="s">
        <v>398</v>
      </c>
      <c r="F214" s="34" t="s">
        <v>632</v>
      </c>
      <c r="G214" s="34" t="s">
        <v>262</v>
      </c>
      <c r="H214" s="34" t="s">
        <v>259</v>
      </c>
      <c r="I214" s="34" t="s">
        <v>45</v>
      </c>
      <c r="J214" s="32">
        <v>9.99</v>
      </c>
      <c r="K214" s="32">
        <v>-0.84</v>
      </c>
      <c r="L214" s="32">
        <v>9.15</v>
      </c>
      <c r="M214" s="52">
        <f t="shared" si="0"/>
        <v>9.15</v>
      </c>
      <c r="N214" s="52">
        <f t="shared" si="1"/>
        <v>0</v>
      </c>
      <c r="O214" s="34" t="s">
        <v>633</v>
      </c>
      <c r="P214" s="32">
        <v>853.81</v>
      </c>
    </row>
    <row r="215" spans="1:16" ht="22.5" customHeight="1">
      <c r="A215" s="32" t="s">
        <v>634</v>
      </c>
      <c r="B215" s="34">
        <v>2025</v>
      </c>
      <c r="C215" s="66">
        <v>8</v>
      </c>
      <c r="D215" s="51">
        <v>4.175925925925926E-2</v>
      </c>
      <c r="E215" s="34" t="s">
        <v>398</v>
      </c>
      <c r="F215" s="34" t="s">
        <v>632</v>
      </c>
      <c r="G215" s="34" t="s">
        <v>291</v>
      </c>
      <c r="H215" s="34" t="s">
        <v>259</v>
      </c>
      <c r="I215" s="34" t="s">
        <v>45</v>
      </c>
      <c r="J215" s="32">
        <v>-9.99</v>
      </c>
      <c r="K215" s="32">
        <v>0.35</v>
      </c>
      <c r="L215" s="32">
        <v>-9.64</v>
      </c>
      <c r="M215" s="52">
        <f t="shared" si="0"/>
        <v>0</v>
      </c>
      <c r="N215" s="52">
        <f t="shared" si="1"/>
        <v>9.64</v>
      </c>
      <c r="O215" s="34" t="s">
        <v>635</v>
      </c>
      <c r="P215" s="32">
        <v>844.17</v>
      </c>
    </row>
    <row r="216" spans="1:16" ht="22.5" customHeight="1">
      <c r="A216" s="32" t="s">
        <v>634</v>
      </c>
      <c r="B216" s="34">
        <v>2025</v>
      </c>
      <c r="C216" s="66">
        <v>8</v>
      </c>
      <c r="D216" s="51">
        <v>0.1635648148148148</v>
      </c>
      <c r="E216" s="34" t="s">
        <v>398</v>
      </c>
      <c r="F216" s="34" t="s">
        <v>332</v>
      </c>
      <c r="G216" s="34" t="s">
        <v>262</v>
      </c>
      <c r="H216" s="34" t="s">
        <v>259</v>
      </c>
      <c r="I216" s="34" t="s">
        <v>45</v>
      </c>
      <c r="J216" s="32">
        <v>1.0900000000000001</v>
      </c>
      <c r="K216" s="32">
        <v>-0.54</v>
      </c>
      <c r="L216" s="32">
        <v>0.55000000000000004</v>
      </c>
      <c r="M216" s="52">
        <f t="shared" si="0"/>
        <v>0.55000000000000004</v>
      </c>
      <c r="N216" s="52">
        <f t="shared" si="1"/>
        <v>0</v>
      </c>
      <c r="O216" s="34" t="s">
        <v>636</v>
      </c>
      <c r="P216" s="32">
        <v>844.72</v>
      </c>
    </row>
    <row r="217" spans="1:16" ht="22.5" customHeight="1">
      <c r="A217" s="32" t="s">
        <v>634</v>
      </c>
      <c r="B217" s="34">
        <v>2025</v>
      </c>
      <c r="C217" s="66">
        <v>8</v>
      </c>
      <c r="D217" s="51">
        <v>0.16850694444444445</v>
      </c>
      <c r="E217" s="34" t="s">
        <v>398</v>
      </c>
      <c r="F217" s="34" t="s">
        <v>317</v>
      </c>
      <c r="G217" s="34" t="s">
        <v>262</v>
      </c>
      <c r="H217" s="34" t="s">
        <v>259</v>
      </c>
      <c r="I217" s="34" t="s">
        <v>45</v>
      </c>
      <c r="J217" s="32">
        <v>4.99</v>
      </c>
      <c r="K217" s="32">
        <v>-0.74</v>
      </c>
      <c r="L217" s="32">
        <v>4.25</v>
      </c>
      <c r="M217" s="52">
        <f t="shared" si="0"/>
        <v>4.25</v>
      </c>
      <c r="N217" s="52">
        <f t="shared" si="1"/>
        <v>0</v>
      </c>
      <c r="O217" s="34" t="s">
        <v>637</v>
      </c>
      <c r="P217" s="32">
        <v>848.97</v>
      </c>
    </row>
    <row r="218" spans="1:16" ht="22.5" customHeight="1">
      <c r="A218" s="32" t="s">
        <v>634</v>
      </c>
      <c r="B218" s="34">
        <v>2025</v>
      </c>
      <c r="C218" s="66">
        <v>8</v>
      </c>
      <c r="D218" s="51">
        <v>0.75876157407407407</v>
      </c>
      <c r="E218" s="34" t="s">
        <v>398</v>
      </c>
      <c r="F218" s="34" t="s">
        <v>558</v>
      </c>
      <c r="G218" s="34" t="s">
        <v>320</v>
      </c>
      <c r="H218" s="34" t="s">
        <v>259</v>
      </c>
      <c r="I218" s="34" t="s">
        <v>45</v>
      </c>
      <c r="J218" s="32">
        <v>-10.8</v>
      </c>
      <c r="K218" s="32">
        <v>0</v>
      </c>
      <c r="L218" s="32">
        <v>-10.8</v>
      </c>
      <c r="M218" s="52">
        <f t="shared" si="0"/>
        <v>0</v>
      </c>
      <c r="N218" s="52">
        <f t="shared" si="1"/>
        <v>10.8</v>
      </c>
      <c r="O218" s="34" t="s">
        <v>638</v>
      </c>
      <c r="P218" s="32">
        <v>838.17</v>
      </c>
    </row>
    <row r="219" spans="1:16" ht="22.5" customHeight="1">
      <c r="A219" s="32" t="s">
        <v>162</v>
      </c>
      <c r="B219" s="34">
        <v>2025</v>
      </c>
      <c r="C219" s="66">
        <v>8</v>
      </c>
      <c r="D219" s="51">
        <v>0.12952546296296297</v>
      </c>
      <c r="E219" s="34" t="s">
        <v>398</v>
      </c>
      <c r="F219" s="34" t="s">
        <v>613</v>
      </c>
      <c r="G219" s="34" t="s">
        <v>262</v>
      </c>
      <c r="H219" s="34" t="s">
        <v>259</v>
      </c>
      <c r="I219" s="34" t="s">
        <v>45</v>
      </c>
      <c r="J219" s="32">
        <v>9.49</v>
      </c>
      <c r="K219" s="32">
        <v>-0.96</v>
      </c>
      <c r="L219" s="32">
        <v>8.5299999999999994</v>
      </c>
      <c r="M219" s="52">
        <f t="shared" si="0"/>
        <v>8.5299999999999994</v>
      </c>
      <c r="N219" s="52">
        <f t="shared" si="1"/>
        <v>0</v>
      </c>
      <c r="O219" s="34" t="s">
        <v>639</v>
      </c>
      <c r="P219" s="32">
        <v>846.7</v>
      </c>
    </row>
    <row r="220" spans="1:16" ht="22.5" customHeight="1">
      <c r="A220" s="32" t="s">
        <v>640</v>
      </c>
      <c r="B220" s="34">
        <v>2025</v>
      </c>
      <c r="C220" s="66">
        <v>8</v>
      </c>
      <c r="D220" s="51">
        <v>0.17091435185185186</v>
      </c>
      <c r="E220" s="34" t="s">
        <v>398</v>
      </c>
      <c r="F220" s="34" t="s">
        <v>574</v>
      </c>
      <c r="G220" s="34" t="s">
        <v>262</v>
      </c>
      <c r="H220" s="34" t="s">
        <v>259</v>
      </c>
      <c r="I220" s="34" t="s">
        <v>45</v>
      </c>
      <c r="J220" s="32">
        <v>7.27</v>
      </c>
      <c r="K220" s="32">
        <v>-0.74</v>
      </c>
      <c r="L220" s="32">
        <v>6.53</v>
      </c>
      <c r="M220" s="52">
        <f t="shared" si="0"/>
        <v>6.53</v>
      </c>
      <c r="N220" s="52">
        <f t="shared" si="1"/>
        <v>0</v>
      </c>
      <c r="O220" s="34" t="s">
        <v>641</v>
      </c>
      <c r="P220" s="32">
        <v>853.23</v>
      </c>
    </row>
    <row r="221" spans="1:16" ht="22.5" customHeight="1">
      <c r="A221" s="32" t="s">
        <v>640</v>
      </c>
      <c r="B221" s="34">
        <v>2025</v>
      </c>
      <c r="C221" s="66">
        <v>8</v>
      </c>
      <c r="D221" s="51">
        <v>0.87709490740740736</v>
      </c>
      <c r="E221" s="34" t="s">
        <v>398</v>
      </c>
      <c r="F221" s="34" t="s">
        <v>420</v>
      </c>
      <c r="G221" s="34" t="s">
        <v>258</v>
      </c>
      <c r="H221" s="34" t="s">
        <v>259</v>
      </c>
      <c r="I221" s="34" t="s">
        <v>45</v>
      </c>
      <c r="J221" s="32">
        <v>1.21</v>
      </c>
      <c r="K221" s="32">
        <v>-0.55000000000000004</v>
      </c>
      <c r="L221" s="32">
        <v>0.66</v>
      </c>
      <c r="M221" s="52">
        <f t="shared" si="0"/>
        <v>0.66</v>
      </c>
      <c r="N221" s="52">
        <f t="shared" si="1"/>
        <v>0</v>
      </c>
      <c r="O221" s="34" t="s">
        <v>642</v>
      </c>
      <c r="P221" s="32">
        <v>853.89</v>
      </c>
    </row>
    <row r="222" spans="1:16" ht="22.5" customHeight="1">
      <c r="A222" s="32" t="s">
        <v>161</v>
      </c>
      <c r="B222" s="34">
        <v>2025</v>
      </c>
      <c r="C222" s="66">
        <v>8</v>
      </c>
      <c r="D222" s="51">
        <v>0.12917824074074075</v>
      </c>
      <c r="E222" s="34" t="s">
        <v>398</v>
      </c>
      <c r="F222" s="34" t="s">
        <v>643</v>
      </c>
      <c r="G222" s="34" t="s">
        <v>262</v>
      </c>
      <c r="H222" s="34" t="s">
        <v>259</v>
      </c>
      <c r="I222" s="34" t="s">
        <v>45</v>
      </c>
      <c r="J222" s="32">
        <v>8.4</v>
      </c>
      <c r="K222" s="32">
        <v>-0.78</v>
      </c>
      <c r="L222" s="32">
        <v>7.62</v>
      </c>
      <c r="M222" s="52">
        <f t="shared" si="0"/>
        <v>7.62</v>
      </c>
      <c r="N222" s="52">
        <f t="shared" si="1"/>
        <v>0</v>
      </c>
      <c r="O222" s="34" t="s">
        <v>644</v>
      </c>
      <c r="P222" s="32">
        <v>861.51</v>
      </c>
    </row>
    <row r="223" spans="1:16" ht="22.5" customHeight="1">
      <c r="A223" s="32" t="s">
        <v>161</v>
      </c>
      <c r="B223" s="34">
        <v>2025</v>
      </c>
      <c r="C223" s="66">
        <v>8</v>
      </c>
      <c r="D223" s="51">
        <v>0.16175925925925927</v>
      </c>
      <c r="E223" s="34" t="s">
        <v>398</v>
      </c>
      <c r="F223" s="34" t="s">
        <v>574</v>
      </c>
      <c r="G223" s="34" t="s">
        <v>262</v>
      </c>
      <c r="H223" s="34" t="s">
        <v>259</v>
      </c>
      <c r="I223" s="34" t="s">
        <v>45</v>
      </c>
      <c r="J223" s="32">
        <v>7.27</v>
      </c>
      <c r="K223" s="32">
        <v>-0.74</v>
      </c>
      <c r="L223" s="32">
        <v>6.53</v>
      </c>
      <c r="M223" s="52">
        <f t="shared" si="0"/>
        <v>6.53</v>
      </c>
      <c r="N223" s="52">
        <f t="shared" si="1"/>
        <v>0</v>
      </c>
      <c r="O223" s="34" t="s">
        <v>645</v>
      </c>
      <c r="P223" s="32">
        <v>868.04</v>
      </c>
    </row>
    <row r="224" spans="1:16" ht="22.5" customHeight="1">
      <c r="A224" s="30">
        <v>45786</v>
      </c>
      <c r="B224" s="34">
        <v>2025</v>
      </c>
      <c r="C224" s="66">
        <v>9</v>
      </c>
      <c r="D224" s="67">
        <v>0.15619212962962964</v>
      </c>
      <c r="E224" s="27" t="s">
        <v>398</v>
      </c>
      <c r="F224" s="68" t="s">
        <v>300</v>
      </c>
      <c r="G224" s="68" t="s">
        <v>262</v>
      </c>
      <c r="H224" s="27" t="s">
        <v>259</v>
      </c>
      <c r="I224" s="27" t="s">
        <v>45</v>
      </c>
      <c r="J224" s="28">
        <v>1.0900000000000001</v>
      </c>
      <c r="K224" s="28">
        <v>-0.54</v>
      </c>
      <c r="L224" s="28">
        <v>0.55000000000000004</v>
      </c>
      <c r="M224" s="52">
        <f t="shared" si="0"/>
        <v>0.55000000000000004</v>
      </c>
      <c r="N224" s="52">
        <f t="shared" si="1"/>
        <v>0</v>
      </c>
      <c r="O224" s="28" t="s">
        <v>646</v>
      </c>
      <c r="P224" s="28">
        <v>868.59</v>
      </c>
    </row>
    <row r="225" spans="1:16" ht="22.5" customHeight="1">
      <c r="A225" s="30">
        <v>45786</v>
      </c>
      <c r="B225" s="34">
        <v>2025</v>
      </c>
      <c r="C225" s="66">
        <v>9</v>
      </c>
      <c r="D225" s="67">
        <v>0.54905092592592597</v>
      </c>
      <c r="E225" s="27" t="s">
        <v>398</v>
      </c>
      <c r="F225" s="68" t="s">
        <v>319</v>
      </c>
      <c r="G225" s="68" t="s">
        <v>320</v>
      </c>
      <c r="H225" s="27" t="s">
        <v>259</v>
      </c>
      <c r="I225" s="27" t="s">
        <v>45</v>
      </c>
      <c r="J225" s="28">
        <v>-2.5</v>
      </c>
      <c r="K225" s="28">
        <v>0</v>
      </c>
      <c r="L225" s="28">
        <v>-2.5</v>
      </c>
      <c r="M225" s="52">
        <f t="shared" si="0"/>
        <v>0</v>
      </c>
      <c r="N225" s="52">
        <f t="shared" si="1"/>
        <v>2.5</v>
      </c>
      <c r="O225" s="28" t="s">
        <v>647</v>
      </c>
      <c r="P225" s="28">
        <v>866.09</v>
      </c>
    </row>
    <row r="226" spans="1:16" ht="22.5" customHeight="1">
      <c r="A226" s="30">
        <v>45847</v>
      </c>
      <c r="B226" s="34">
        <v>2025</v>
      </c>
      <c r="C226" s="66">
        <v>9</v>
      </c>
      <c r="D226" s="67">
        <v>0.9443287037037037</v>
      </c>
      <c r="E226" s="27" t="s">
        <v>398</v>
      </c>
      <c r="F226" s="68" t="s">
        <v>648</v>
      </c>
      <c r="G226" s="68" t="s">
        <v>258</v>
      </c>
      <c r="H226" s="27" t="s">
        <v>259</v>
      </c>
      <c r="I226" s="27" t="s">
        <v>45</v>
      </c>
      <c r="J226" s="28">
        <v>32.94</v>
      </c>
      <c r="K226" s="28">
        <v>-2.13</v>
      </c>
      <c r="L226" s="28">
        <v>30.81</v>
      </c>
      <c r="M226" s="52">
        <f t="shared" si="0"/>
        <v>30.81</v>
      </c>
      <c r="N226" s="52">
        <f t="shared" si="1"/>
        <v>0</v>
      </c>
      <c r="O226" s="28" t="s">
        <v>649</v>
      </c>
      <c r="P226" s="28">
        <v>896.9</v>
      </c>
    </row>
    <row r="227" spans="1:16" ht="22.5" customHeight="1">
      <c r="A227" s="30">
        <v>45878</v>
      </c>
      <c r="B227" s="34">
        <v>2025</v>
      </c>
      <c r="C227" s="66">
        <v>9</v>
      </c>
      <c r="D227" s="67">
        <v>0.24987268518518518</v>
      </c>
      <c r="E227" s="27" t="s">
        <v>398</v>
      </c>
      <c r="F227" s="68" t="s">
        <v>650</v>
      </c>
      <c r="G227" s="68" t="s">
        <v>258</v>
      </c>
      <c r="H227" s="27" t="s">
        <v>259</v>
      </c>
      <c r="I227" s="27" t="s">
        <v>45</v>
      </c>
      <c r="J227" s="28">
        <v>8.99</v>
      </c>
      <c r="K227" s="28">
        <v>-0.8</v>
      </c>
      <c r="L227" s="28">
        <v>8.19</v>
      </c>
      <c r="M227" s="52">
        <f t="shared" si="0"/>
        <v>8.19</v>
      </c>
      <c r="N227" s="52">
        <f t="shared" si="1"/>
        <v>0</v>
      </c>
      <c r="O227" s="28" t="s">
        <v>651</v>
      </c>
      <c r="P227" s="28">
        <v>905.09</v>
      </c>
    </row>
    <row r="228" spans="1:16" ht="22.5" customHeight="1">
      <c r="A228" s="30">
        <v>45878</v>
      </c>
      <c r="B228" s="34">
        <v>2025</v>
      </c>
      <c r="C228" s="66">
        <v>9</v>
      </c>
      <c r="D228" s="67">
        <v>0.27246527777777779</v>
      </c>
      <c r="E228" s="27" t="s">
        <v>398</v>
      </c>
      <c r="F228" s="68" t="s">
        <v>652</v>
      </c>
      <c r="G228" s="68" t="s">
        <v>262</v>
      </c>
      <c r="H228" s="27" t="s">
        <v>259</v>
      </c>
      <c r="I228" s="27" t="s">
        <v>45</v>
      </c>
      <c r="J228" s="28">
        <v>12.79</v>
      </c>
      <c r="K228" s="28">
        <v>-1.1299999999999999</v>
      </c>
      <c r="L228" s="28">
        <v>11.66</v>
      </c>
      <c r="M228" s="52">
        <f t="shared" si="0"/>
        <v>11.66</v>
      </c>
      <c r="N228" s="52">
        <f t="shared" si="1"/>
        <v>0</v>
      </c>
      <c r="O228" s="28" t="s">
        <v>653</v>
      </c>
      <c r="P228" s="28">
        <v>916.75</v>
      </c>
    </row>
    <row r="229" spans="1:16" ht="22.5" customHeight="1">
      <c r="A229" s="30">
        <v>45909</v>
      </c>
      <c r="B229" s="34">
        <v>2025</v>
      </c>
      <c r="C229" s="66">
        <v>9</v>
      </c>
      <c r="D229" s="67">
        <v>0.3903935185185185</v>
      </c>
      <c r="E229" s="27" t="s">
        <v>398</v>
      </c>
      <c r="F229" s="68" t="s">
        <v>654</v>
      </c>
      <c r="G229" s="68" t="s">
        <v>320</v>
      </c>
      <c r="H229" s="27" t="s">
        <v>259</v>
      </c>
      <c r="I229" s="27" t="s">
        <v>45</v>
      </c>
      <c r="J229" s="28">
        <v>-10.48</v>
      </c>
      <c r="K229" s="28">
        <v>0</v>
      </c>
      <c r="L229" s="28">
        <v>-10.48</v>
      </c>
      <c r="M229" s="52">
        <f t="shared" si="0"/>
        <v>0</v>
      </c>
      <c r="N229" s="52">
        <f t="shared" si="1"/>
        <v>10.48</v>
      </c>
      <c r="O229" s="28" t="s">
        <v>655</v>
      </c>
      <c r="P229" s="28">
        <v>906.27</v>
      </c>
    </row>
    <row r="230" spans="1:16" ht="22.5" customHeight="1">
      <c r="A230" s="30">
        <v>45970</v>
      </c>
      <c r="B230" s="34">
        <v>2025</v>
      </c>
      <c r="C230" s="66">
        <v>9</v>
      </c>
      <c r="D230" s="67">
        <v>0.14917824074074074</v>
      </c>
      <c r="E230" s="27" t="s">
        <v>398</v>
      </c>
      <c r="F230" s="68" t="s">
        <v>656</v>
      </c>
      <c r="G230" s="68" t="s">
        <v>262</v>
      </c>
      <c r="H230" s="27" t="s">
        <v>259</v>
      </c>
      <c r="I230" s="27" t="s">
        <v>45</v>
      </c>
      <c r="J230" s="28">
        <v>2.99</v>
      </c>
      <c r="K230" s="28">
        <v>-0.59</v>
      </c>
      <c r="L230" s="28">
        <v>2.4</v>
      </c>
      <c r="M230" s="52">
        <f t="shared" si="0"/>
        <v>2.4</v>
      </c>
      <c r="N230" s="52">
        <f t="shared" si="1"/>
        <v>0</v>
      </c>
      <c r="O230" s="28" t="s">
        <v>657</v>
      </c>
      <c r="P230" s="28">
        <v>908.67</v>
      </c>
    </row>
    <row r="231" spans="1:16" ht="22.5" customHeight="1">
      <c r="A231" s="27" t="s">
        <v>199</v>
      </c>
      <c r="B231" s="34">
        <v>2025</v>
      </c>
      <c r="C231" s="66">
        <v>9</v>
      </c>
      <c r="D231" s="67">
        <v>0.14010416666666667</v>
      </c>
      <c r="E231" s="27" t="s">
        <v>398</v>
      </c>
      <c r="F231" s="68" t="s">
        <v>306</v>
      </c>
      <c r="G231" s="68" t="s">
        <v>262</v>
      </c>
      <c r="H231" s="27" t="s">
        <v>259</v>
      </c>
      <c r="I231" s="27" t="s">
        <v>45</v>
      </c>
      <c r="J231" s="28">
        <v>1.0900000000000001</v>
      </c>
      <c r="K231" s="28">
        <v>-0.54</v>
      </c>
      <c r="L231" s="28">
        <v>0.55000000000000004</v>
      </c>
      <c r="M231" s="52">
        <f t="shared" si="0"/>
        <v>0.55000000000000004</v>
      </c>
      <c r="N231" s="52">
        <f t="shared" si="1"/>
        <v>0</v>
      </c>
      <c r="O231" s="28" t="s">
        <v>658</v>
      </c>
      <c r="P231" s="28">
        <v>909.22</v>
      </c>
    </row>
    <row r="232" spans="1:16" ht="22.5" customHeight="1">
      <c r="A232" s="27" t="s">
        <v>190</v>
      </c>
      <c r="B232" s="34">
        <v>2025</v>
      </c>
      <c r="C232" s="66">
        <v>9</v>
      </c>
      <c r="D232" s="67">
        <v>0.16245370370370371</v>
      </c>
      <c r="E232" s="27" t="s">
        <v>398</v>
      </c>
      <c r="F232" s="68" t="s">
        <v>332</v>
      </c>
      <c r="G232" s="68" t="s">
        <v>262</v>
      </c>
      <c r="H232" s="27" t="s">
        <v>259</v>
      </c>
      <c r="I232" s="27" t="s">
        <v>45</v>
      </c>
      <c r="J232" s="28">
        <v>1.0900000000000001</v>
      </c>
      <c r="K232" s="28">
        <v>-0.54</v>
      </c>
      <c r="L232" s="28">
        <v>0.55000000000000004</v>
      </c>
      <c r="M232" s="52">
        <f t="shared" si="0"/>
        <v>0.55000000000000004</v>
      </c>
      <c r="N232" s="52">
        <f t="shared" si="1"/>
        <v>0</v>
      </c>
      <c r="O232" s="28" t="s">
        <v>659</v>
      </c>
      <c r="P232" s="28">
        <v>909.77</v>
      </c>
    </row>
    <row r="233" spans="1:16" ht="22.5" customHeight="1">
      <c r="A233" s="27" t="s">
        <v>190</v>
      </c>
      <c r="B233" s="34">
        <v>2025</v>
      </c>
      <c r="C233" s="66">
        <v>9</v>
      </c>
      <c r="D233" s="67">
        <v>0.17116898148148149</v>
      </c>
      <c r="E233" s="27" t="s">
        <v>398</v>
      </c>
      <c r="F233" s="68" t="s">
        <v>317</v>
      </c>
      <c r="G233" s="68" t="s">
        <v>262</v>
      </c>
      <c r="H233" s="27" t="s">
        <v>259</v>
      </c>
      <c r="I233" s="27" t="s">
        <v>45</v>
      </c>
      <c r="J233" s="28">
        <v>4.99</v>
      </c>
      <c r="K233" s="28">
        <v>-0.74</v>
      </c>
      <c r="L233" s="28">
        <v>4.25</v>
      </c>
      <c r="M233" s="52">
        <f t="shared" si="0"/>
        <v>4.25</v>
      </c>
      <c r="N233" s="52">
        <f t="shared" si="1"/>
        <v>0</v>
      </c>
      <c r="O233" s="28" t="s">
        <v>660</v>
      </c>
      <c r="P233" s="28">
        <v>914.02</v>
      </c>
    </row>
    <row r="234" spans="1:16" ht="22.5" customHeight="1">
      <c r="A234" s="27" t="s">
        <v>190</v>
      </c>
      <c r="B234" s="34">
        <v>2025</v>
      </c>
      <c r="C234" s="66">
        <v>9</v>
      </c>
      <c r="D234" s="67">
        <v>0.75063657407407403</v>
      </c>
      <c r="E234" s="27" t="s">
        <v>398</v>
      </c>
      <c r="F234" s="68" t="s">
        <v>558</v>
      </c>
      <c r="G234" s="68" t="s">
        <v>320</v>
      </c>
      <c r="H234" s="27" t="s">
        <v>259</v>
      </c>
      <c r="I234" s="27" t="s">
        <v>45</v>
      </c>
      <c r="J234" s="28">
        <v>-10.8</v>
      </c>
      <c r="K234" s="28">
        <v>0</v>
      </c>
      <c r="L234" s="28">
        <v>-10.8</v>
      </c>
      <c r="M234" s="52">
        <f t="shared" si="0"/>
        <v>0</v>
      </c>
      <c r="N234" s="52">
        <f t="shared" si="1"/>
        <v>10.8</v>
      </c>
      <c r="O234" s="28" t="s">
        <v>661</v>
      </c>
      <c r="P234" s="28">
        <v>903.22</v>
      </c>
    </row>
    <row r="235" spans="1:16" ht="22.5" customHeight="1">
      <c r="A235" s="27" t="s">
        <v>662</v>
      </c>
      <c r="B235" s="34">
        <v>2025</v>
      </c>
      <c r="C235" s="66">
        <v>9</v>
      </c>
      <c r="D235" s="67">
        <v>0.17939814814814814</v>
      </c>
      <c r="E235" s="27" t="s">
        <v>398</v>
      </c>
      <c r="F235" s="68" t="s">
        <v>613</v>
      </c>
      <c r="G235" s="68" t="s">
        <v>262</v>
      </c>
      <c r="H235" s="27" t="s">
        <v>259</v>
      </c>
      <c r="I235" s="27" t="s">
        <v>45</v>
      </c>
      <c r="J235" s="28">
        <v>9.49</v>
      </c>
      <c r="K235" s="28">
        <v>-0.96</v>
      </c>
      <c r="L235" s="28">
        <v>8.5299999999999994</v>
      </c>
      <c r="M235" s="52">
        <f t="shared" si="0"/>
        <v>8.5299999999999994</v>
      </c>
      <c r="N235" s="52">
        <f t="shared" si="1"/>
        <v>0</v>
      </c>
      <c r="O235" s="28" t="s">
        <v>663</v>
      </c>
      <c r="P235" s="28">
        <v>911.75</v>
      </c>
    </row>
    <row r="236" spans="1:16" ht="22.5" customHeight="1">
      <c r="A236" s="27" t="s">
        <v>664</v>
      </c>
      <c r="B236" s="34">
        <v>2025</v>
      </c>
      <c r="C236" s="66">
        <v>9</v>
      </c>
      <c r="D236" s="67">
        <v>0.1660648148148148</v>
      </c>
      <c r="E236" s="27" t="s">
        <v>398</v>
      </c>
      <c r="F236" s="68" t="s">
        <v>574</v>
      </c>
      <c r="G236" s="68" t="s">
        <v>262</v>
      </c>
      <c r="H236" s="27" t="s">
        <v>259</v>
      </c>
      <c r="I236" s="27" t="s">
        <v>45</v>
      </c>
      <c r="J236" s="28">
        <v>7.27</v>
      </c>
      <c r="K236" s="28">
        <v>-0.74</v>
      </c>
      <c r="L236" s="28">
        <v>6.53</v>
      </c>
      <c r="M236" s="52">
        <f t="shared" si="0"/>
        <v>6.53</v>
      </c>
      <c r="N236" s="52">
        <f t="shared" si="1"/>
        <v>0</v>
      </c>
      <c r="O236" s="28" t="s">
        <v>665</v>
      </c>
      <c r="P236" s="28">
        <v>918.28</v>
      </c>
    </row>
    <row r="237" spans="1:16" ht="22.5" customHeight="1">
      <c r="A237" s="27" t="s">
        <v>666</v>
      </c>
      <c r="B237" s="34">
        <v>2025</v>
      </c>
      <c r="C237" s="66">
        <v>9</v>
      </c>
      <c r="D237" s="67">
        <v>0.88261574074074078</v>
      </c>
      <c r="E237" s="27" t="s">
        <v>398</v>
      </c>
      <c r="F237" s="68" t="s">
        <v>609</v>
      </c>
      <c r="G237" s="68" t="s">
        <v>258</v>
      </c>
      <c r="H237" s="27" t="s">
        <v>259</v>
      </c>
      <c r="I237" s="27" t="s">
        <v>45</v>
      </c>
      <c r="J237" s="28">
        <v>20.9</v>
      </c>
      <c r="K237" s="28">
        <v>-1.53</v>
      </c>
      <c r="L237" s="28">
        <v>19.37</v>
      </c>
      <c r="M237" s="52">
        <f t="shared" si="0"/>
        <v>19.37</v>
      </c>
      <c r="N237" s="52">
        <f t="shared" si="1"/>
        <v>0</v>
      </c>
      <c r="O237" s="28" t="s">
        <v>667</v>
      </c>
      <c r="P237" s="28">
        <v>937.65</v>
      </c>
    </row>
    <row r="238" spans="1:16" ht="22.5" customHeight="1">
      <c r="A238" s="27" t="s">
        <v>172</v>
      </c>
      <c r="B238" s="34">
        <v>2025</v>
      </c>
      <c r="C238" s="66">
        <v>9</v>
      </c>
      <c r="D238" s="67">
        <v>0.79700231481481476</v>
      </c>
      <c r="E238" s="27" t="s">
        <v>398</v>
      </c>
      <c r="F238" s="68" t="s">
        <v>668</v>
      </c>
      <c r="G238" s="68" t="s">
        <v>262</v>
      </c>
      <c r="H238" s="27" t="s">
        <v>259</v>
      </c>
      <c r="I238" s="27" t="s">
        <v>45</v>
      </c>
      <c r="J238" s="28">
        <v>192.01</v>
      </c>
      <c r="K238" s="28">
        <v>-10.07</v>
      </c>
      <c r="L238" s="28">
        <v>181.94</v>
      </c>
      <c r="M238" s="52">
        <f t="shared" si="0"/>
        <v>181.94</v>
      </c>
      <c r="N238" s="52">
        <f t="shared" si="1"/>
        <v>0</v>
      </c>
      <c r="O238" s="28" t="s">
        <v>669</v>
      </c>
      <c r="P238" s="44">
        <v>1119.5899999999999</v>
      </c>
    </row>
    <row r="239" spans="1:16" ht="22.5" customHeight="1">
      <c r="A239" s="30">
        <v>45757</v>
      </c>
      <c r="B239" s="34">
        <v>2025</v>
      </c>
      <c r="C239" s="66">
        <v>10</v>
      </c>
      <c r="D239" s="67">
        <v>0.19318287037037038</v>
      </c>
      <c r="E239" s="27" t="s">
        <v>398</v>
      </c>
      <c r="F239" s="68" t="s">
        <v>574</v>
      </c>
      <c r="G239" s="68" t="s">
        <v>262</v>
      </c>
      <c r="H239" s="27" t="s">
        <v>259</v>
      </c>
      <c r="I239" s="27" t="s">
        <v>45</v>
      </c>
      <c r="J239" s="28">
        <v>7.27</v>
      </c>
      <c r="K239" s="28">
        <v>-0.74</v>
      </c>
      <c r="L239" s="28">
        <v>6.53</v>
      </c>
      <c r="M239" s="52">
        <f t="shared" si="0"/>
        <v>6.53</v>
      </c>
      <c r="N239" s="52">
        <f t="shared" si="1"/>
        <v>0</v>
      </c>
      <c r="O239" s="28" t="s">
        <v>670</v>
      </c>
      <c r="P239" s="44">
        <v>1126.1199999999999</v>
      </c>
    </row>
    <row r="240" spans="1:16" ht="22.5" customHeight="1">
      <c r="A240" s="30">
        <v>45787</v>
      </c>
      <c r="B240" s="34">
        <v>2025</v>
      </c>
      <c r="C240" s="66">
        <v>10</v>
      </c>
      <c r="D240" s="67">
        <v>0.13349537037037038</v>
      </c>
      <c r="E240" s="27" t="s">
        <v>398</v>
      </c>
      <c r="F240" s="68" t="s">
        <v>300</v>
      </c>
      <c r="G240" s="68" t="s">
        <v>262</v>
      </c>
      <c r="H240" s="27" t="s">
        <v>259</v>
      </c>
      <c r="I240" s="27" t="s">
        <v>45</v>
      </c>
      <c r="J240" s="28">
        <v>1.0900000000000001</v>
      </c>
      <c r="K240" s="28">
        <v>-0.54</v>
      </c>
      <c r="L240" s="28">
        <v>0.55000000000000004</v>
      </c>
      <c r="M240" s="52">
        <f t="shared" si="0"/>
        <v>0.55000000000000004</v>
      </c>
      <c r="N240" s="52">
        <f t="shared" si="1"/>
        <v>0</v>
      </c>
      <c r="O240" s="28" t="s">
        <v>671</v>
      </c>
      <c r="P240" s="44">
        <v>1126.67</v>
      </c>
    </row>
    <row r="241" spans="1:16" ht="22.5" customHeight="1">
      <c r="A241" s="30">
        <v>45787</v>
      </c>
      <c r="B241" s="34">
        <v>2025</v>
      </c>
      <c r="C241" s="66">
        <v>10</v>
      </c>
      <c r="D241" s="67">
        <v>0.31671296296296297</v>
      </c>
      <c r="E241" s="27" t="s">
        <v>398</v>
      </c>
      <c r="F241" s="68" t="s">
        <v>672</v>
      </c>
      <c r="G241" s="68" t="s">
        <v>258</v>
      </c>
      <c r="H241" s="27" t="s">
        <v>259</v>
      </c>
      <c r="I241" s="27" t="s">
        <v>45</v>
      </c>
      <c r="J241" s="28">
        <v>2.4900000000000002</v>
      </c>
      <c r="K241" s="28">
        <v>-0.61</v>
      </c>
      <c r="L241" s="28">
        <v>1.88</v>
      </c>
      <c r="M241" s="52">
        <f t="shared" si="0"/>
        <v>1.88</v>
      </c>
      <c r="N241" s="52">
        <f t="shared" si="1"/>
        <v>0</v>
      </c>
      <c r="O241" s="28" t="s">
        <v>673</v>
      </c>
      <c r="P241" s="44">
        <v>1128.55</v>
      </c>
    </row>
    <row r="242" spans="1:16" ht="22.5" customHeight="1">
      <c r="A242" s="30">
        <v>45818</v>
      </c>
      <c r="B242" s="34">
        <v>2025</v>
      </c>
      <c r="C242" s="66">
        <v>10</v>
      </c>
      <c r="D242" s="67">
        <v>0.1612962962962963</v>
      </c>
      <c r="E242" s="27" t="s">
        <v>398</v>
      </c>
      <c r="F242" s="68" t="s">
        <v>672</v>
      </c>
      <c r="G242" s="68" t="s">
        <v>258</v>
      </c>
      <c r="H242" s="27" t="s">
        <v>259</v>
      </c>
      <c r="I242" s="27" t="s">
        <v>45</v>
      </c>
      <c r="J242" s="28">
        <v>5.49</v>
      </c>
      <c r="K242" s="28">
        <v>-0.76</v>
      </c>
      <c r="L242" s="28">
        <v>4.7300000000000004</v>
      </c>
      <c r="M242" s="52">
        <f t="shared" si="0"/>
        <v>4.7300000000000004</v>
      </c>
      <c r="N242" s="52">
        <f t="shared" si="1"/>
        <v>0</v>
      </c>
      <c r="O242" s="28" t="s">
        <v>674</v>
      </c>
      <c r="P242" s="44">
        <v>1133.28</v>
      </c>
    </row>
    <row r="243" spans="1:16" ht="22.5" customHeight="1">
      <c r="A243" s="30">
        <v>45818</v>
      </c>
      <c r="B243" s="34">
        <v>2025</v>
      </c>
      <c r="C243" s="66">
        <v>10</v>
      </c>
      <c r="D243" s="67">
        <v>0.55891203703703707</v>
      </c>
      <c r="E243" s="27" t="s">
        <v>398</v>
      </c>
      <c r="F243" s="68"/>
      <c r="G243" s="68" t="s">
        <v>274</v>
      </c>
      <c r="H243" s="27" t="s">
        <v>259</v>
      </c>
      <c r="I243" s="27" t="s">
        <v>45</v>
      </c>
      <c r="J243" s="28">
        <v>-700</v>
      </c>
      <c r="K243" s="28">
        <v>0</v>
      </c>
      <c r="L243" s="28">
        <v>-700</v>
      </c>
      <c r="M243" s="52">
        <f t="shared" si="0"/>
        <v>0</v>
      </c>
      <c r="N243" s="52">
        <f t="shared" si="1"/>
        <v>700</v>
      </c>
      <c r="O243" s="28" t="s">
        <v>675</v>
      </c>
      <c r="P243" s="28">
        <v>433.28</v>
      </c>
    </row>
    <row r="244" spans="1:16" ht="22.5" customHeight="1">
      <c r="A244" s="30">
        <v>45879</v>
      </c>
      <c r="B244" s="34">
        <v>2025</v>
      </c>
      <c r="C244" s="66">
        <v>10</v>
      </c>
      <c r="D244" s="67">
        <v>0.73293981481481485</v>
      </c>
      <c r="E244" s="27" t="s">
        <v>398</v>
      </c>
      <c r="F244" s="68" t="s">
        <v>420</v>
      </c>
      <c r="G244" s="68" t="s">
        <v>258</v>
      </c>
      <c r="H244" s="27" t="s">
        <v>259</v>
      </c>
      <c r="I244" s="27" t="s">
        <v>45</v>
      </c>
      <c r="J244" s="28">
        <v>1.22</v>
      </c>
      <c r="K244" s="28">
        <v>-0.55000000000000004</v>
      </c>
      <c r="L244" s="28">
        <v>0.67</v>
      </c>
      <c r="M244" s="52">
        <f t="shared" si="0"/>
        <v>0.67</v>
      </c>
      <c r="N244" s="52">
        <f t="shared" si="1"/>
        <v>0</v>
      </c>
      <c r="O244" s="28" t="s">
        <v>676</v>
      </c>
      <c r="P244" s="28">
        <v>433.95</v>
      </c>
    </row>
    <row r="245" spans="1:16" ht="22.5" customHeight="1">
      <c r="A245" s="27" t="s">
        <v>677</v>
      </c>
      <c r="B245" s="34">
        <v>2025</v>
      </c>
      <c r="C245" s="66">
        <v>10</v>
      </c>
      <c r="D245" s="67">
        <v>0.19914351851851853</v>
      </c>
      <c r="E245" s="27" t="s">
        <v>398</v>
      </c>
      <c r="F245" s="68" t="s">
        <v>678</v>
      </c>
      <c r="G245" s="68" t="s">
        <v>262</v>
      </c>
      <c r="H245" s="27" t="s">
        <v>259</v>
      </c>
      <c r="I245" s="27" t="s">
        <v>45</v>
      </c>
      <c r="J245" s="28">
        <v>8.99</v>
      </c>
      <c r="K245" s="28">
        <v>-0.8</v>
      </c>
      <c r="L245" s="28">
        <v>8.19</v>
      </c>
      <c r="M245" s="52">
        <f t="shared" si="0"/>
        <v>8.19</v>
      </c>
      <c r="N245" s="52">
        <f t="shared" si="1"/>
        <v>0</v>
      </c>
      <c r="O245" s="28" t="s">
        <v>679</v>
      </c>
      <c r="P245" s="28">
        <v>442.14</v>
      </c>
    </row>
    <row r="246" spans="1:16" ht="22.5" customHeight="1">
      <c r="A246" s="27" t="s">
        <v>677</v>
      </c>
      <c r="B246" s="34">
        <v>2025</v>
      </c>
      <c r="C246" s="66">
        <v>10</v>
      </c>
      <c r="D246" s="67">
        <v>0.89270833333333333</v>
      </c>
      <c r="E246" s="27" t="s">
        <v>398</v>
      </c>
      <c r="F246" s="68" t="s">
        <v>680</v>
      </c>
      <c r="G246" s="68" t="s">
        <v>258</v>
      </c>
      <c r="H246" s="27" t="s">
        <v>259</v>
      </c>
      <c r="I246" s="27" t="s">
        <v>45</v>
      </c>
      <c r="J246" s="28">
        <v>15.97</v>
      </c>
      <c r="K246" s="28">
        <v>-1.05</v>
      </c>
      <c r="L246" s="28">
        <v>14.92</v>
      </c>
      <c r="M246" s="52">
        <f t="shared" si="0"/>
        <v>14.92</v>
      </c>
      <c r="N246" s="52">
        <f t="shared" si="1"/>
        <v>0</v>
      </c>
      <c r="O246" s="28" t="s">
        <v>681</v>
      </c>
      <c r="P246" s="28">
        <v>457.06</v>
      </c>
    </row>
    <row r="247" spans="1:16" ht="22.5" customHeight="1">
      <c r="A247" s="27" t="s">
        <v>682</v>
      </c>
      <c r="B247" s="34">
        <v>2025</v>
      </c>
      <c r="C247" s="66">
        <v>10</v>
      </c>
      <c r="D247" s="67">
        <v>0.8286458333333333</v>
      </c>
      <c r="E247" s="27" t="s">
        <v>398</v>
      </c>
      <c r="F247" s="68" t="s">
        <v>367</v>
      </c>
      <c r="G247" s="68" t="s">
        <v>368</v>
      </c>
      <c r="H247" s="27" t="s">
        <v>259</v>
      </c>
      <c r="I247" s="27" t="s">
        <v>45</v>
      </c>
      <c r="J247" s="28">
        <v>-34.979999999999997</v>
      </c>
      <c r="K247" s="28">
        <v>0</v>
      </c>
      <c r="L247" s="28">
        <v>-34.979999999999997</v>
      </c>
      <c r="M247" s="52">
        <f t="shared" si="0"/>
        <v>0</v>
      </c>
      <c r="N247" s="52">
        <f t="shared" si="1"/>
        <v>34.979999999999997</v>
      </c>
      <c r="O247" s="28" t="s">
        <v>683</v>
      </c>
      <c r="P247" s="28">
        <v>422.08</v>
      </c>
    </row>
    <row r="248" spans="1:16" ht="22.5" customHeight="1">
      <c r="A248" s="27" t="s">
        <v>684</v>
      </c>
      <c r="B248" s="34">
        <v>2025</v>
      </c>
      <c r="C248" s="66">
        <v>10</v>
      </c>
      <c r="D248" s="67">
        <v>0.12565972222222221</v>
      </c>
      <c r="E248" s="27" t="s">
        <v>398</v>
      </c>
      <c r="F248" s="68" t="s">
        <v>306</v>
      </c>
      <c r="G248" s="68" t="s">
        <v>262</v>
      </c>
      <c r="H248" s="27" t="s">
        <v>259</v>
      </c>
      <c r="I248" s="27" t="s">
        <v>45</v>
      </c>
      <c r="J248" s="28">
        <v>1.0900000000000001</v>
      </c>
      <c r="K248" s="28">
        <v>-0.54</v>
      </c>
      <c r="L248" s="28">
        <v>0.55000000000000004</v>
      </c>
      <c r="M248" s="52">
        <f t="shared" si="0"/>
        <v>0.55000000000000004</v>
      </c>
      <c r="N248" s="52">
        <f t="shared" si="1"/>
        <v>0</v>
      </c>
      <c r="O248" s="28" t="s">
        <v>685</v>
      </c>
      <c r="P248" s="28">
        <v>422.63</v>
      </c>
    </row>
    <row r="249" spans="1:16" ht="22.5" customHeight="1">
      <c r="A249" s="27" t="s">
        <v>207</v>
      </c>
      <c r="B249" s="34">
        <v>2025</v>
      </c>
      <c r="C249" s="66">
        <v>10</v>
      </c>
      <c r="D249" s="67">
        <v>0.15737268518518518</v>
      </c>
      <c r="E249" s="27" t="s">
        <v>398</v>
      </c>
      <c r="F249" s="68" t="s">
        <v>317</v>
      </c>
      <c r="G249" s="68" t="s">
        <v>262</v>
      </c>
      <c r="H249" s="27" t="s">
        <v>259</v>
      </c>
      <c r="I249" s="27" t="s">
        <v>45</v>
      </c>
      <c r="J249" s="28">
        <v>4.99</v>
      </c>
      <c r="K249" s="28">
        <v>-0.74</v>
      </c>
      <c r="L249" s="28">
        <v>4.25</v>
      </c>
      <c r="M249" s="52">
        <f t="shared" si="0"/>
        <v>4.25</v>
      </c>
      <c r="N249" s="52">
        <f t="shared" si="1"/>
        <v>0</v>
      </c>
      <c r="O249" s="28" t="s">
        <v>686</v>
      </c>
      <c r="P249" s="28">
        <v>426.88</v>
      </c>
    </row>
    <row r="250" spans="1:16" ht="22.5" customHeight="1">
      <c r="A250" s="27" t="s">
        <v>207</v>
      </c>
      <c r="B250" s="34">
        <v>2025</v>
      </c>
      <c r="C250" s="66">
        <v>10</v>
      </c>
      <c r="D250" s="67">
        <v>0.17884259259259258</v>
      </c>
      <c r="E250" s="27" t="s">
        <v>398</v>
      </c>
      <c r="F250" s="68" t="s">
        <v>332</v>
      </c>
      <c r="G250" s="68" t="s">
        <v>262</v>
      </c>
      <c r="H250" s="27" t="s">
        <v>259</v>
      </c>
      <c r="I250" s="27" t="s">
        <v>45</v>
      </c>
      <c r="J250" s="28">
        <v>1.0900000000000001</v>
      </c>
      <c r="K250" s="28">
        <v>-0.54</v>
      </c>
      <c r="L250" s="28">
        <v>0.55000000000000004</v>
      </c>
      <c r="M250" s="52">
        <f t="shared" si="0"/>
        <v>0.55000000000000004</v>
      </c>
      <c r="N250" s="52">
        <f t="shared" si="1"/>
        <v>0</v>
      </c>
      <c r="O250" s="28" t="s">
        <v>687</v>
      </c>
      <c r="P250" s="28">
        <v>427.43</v>
      </c>
    </row>
    <row r="251" spans="1:16" ht="22.5" customHeight="1">
      <c r="A251" s="27" t="s">
        <v>207</v>
      </c>
      <c r="B251" s="34">
        <v>2025</v>
      </c>
      <c r="C251" s="66">
        <v>10</v>
      </c>
      <c r="D251" s="67">
        <v>0.75462962962962965</v>
      </c>
      <c r="E251" s="27" t="s">
        <v>398</v>
      </c>
      <c r="F251" s="68" t="s">
        <v>558</v>
      </c>
      <c r="G251" s="68" t="s">
        <v>320</v>
      </c>
      <c r="H251" s="27" t="s">
        <v>259</v>
      </c>
      <c r="I251" s="27" t="s">
        <v>45</v>
      </c>
      <c r="J251" s="28">
        <v>-10.8</v>
      </c>
      <c r="K251" s="28">
        <v>0</v>
      </c>
      <c r="L251" s="28">
        <v>-10.8</v>
      </c>
      <c r="M251" s="52">
        <f t="shared" si="0"/>
        <v>0</v>
      </c>
      <c r="N251" s="52">
        <f t="shared" si="1"/>
        <v>10.8</v>
      </c>
      <c r="O251" s="28" t="s">
        <v>688</v>
      </c>
      <c r="P251" s="28">
        <v>416.63</v>
      </c>
    </row>
    <row r="252" spans="1:16" ht="22.5" customHeight="1">
      <c r="A252" s="27" t="s">
        <v>689</v>
      </c>
      <c r="B252" s="34">
        <v>2025</v>
      </c>
      <c r="C252" s="66">
        <v>10</v>
      </c>
      <c r="D252" s="67">
        <v>0.12983796296296296</v>
      </c>
      <c r="E252" s="27" t="s">
        <v>398</v>
      </c>
      <c r="F252" s="68" t="s">
        <v>690</v>
      </c>
      <c r="G252" s="68" t="s">
        <v>258</v>
      </c>
      <c r="H252" s="27" t="s">
        <v>259</v>
      </c>
      <c r="I252" s="27" t="s">
        <v>45</v>
      </c>
      <c r="J252" s="28">
        <v>4.49</v>
      </c>
      <c r="K252" s="28">
        <v>-0.71</v>
      </c>
      <c r="L252" s="28">
        <v>3.78</v>
      </c>
      <c r="M252" s="52">
        <f t="shared" si="0"/>
        <v>3.78</v>
      </c>
      <c r="N252" s="52">
        <f t="shared" si="1"/>
        <v>0</v>
      </c>
      <c r="O252" s="28" t="s">
        <v>691</v>
      </c>
      <c r="P252" s="28">
        <v>420.41</v>
      </c>
    </row>
    <row r="253" spans="1:16" ht="22.5" customHeight="1">
      <c r="A253" s="27" t="s">
        <v>689</v>
      </c>
      <c r="B253" s="34">
        <v>2025</v>
      </c>
      <c r="C253" s="66">
        <v>10</v>
      </c>
      <c r="D253" s="67">
        <v>0.875462962962963</v>
      </c>
      <c r="E253" s="27" t="s">
        <v>398</v>
      </c>
      <c r="F253" s="68" t="s">
        <v>690</v>
      </c>
      <c r="G253" s="68" t="s">
        <v>262</v>
      </c>
      <c r="H253" s="27" t="s">
        <v>259</v>
      </c>
      <c r="I253" s="27" t="s">
        <v>45</v>
      </c>
      <c r="J253" s="28">
        <v>6.49</v>
      </c>
      <c r="K253" s="28">
        <v>-0.81</v>
      </c>
      <c r="L253" s="28">
        <v>5.68</v>
      </c>
      <c r="M253" s="52">
        <f t="shared" si="0"/>
        <v>5.68</v>
      </c>
      <c r="N253" s="52">
        <f t="shared" si="1"/>
        <v>0</v>
      </c>
      <c r="O253" s="28" t="s">
        <v>692</v>
      </c>
      <c r="P253" s="28">
        <v>426.09</v>
      </c>
    </row>
    <row r="254" spans="1:16" ht="22.5" customHeight="1">
      <c r="A254" s="27" t="s">
        <v>693</v>
      </c>
      <c r="B254" s="34">
        <v>2025</v>
      </c>
      <c r="C254" s="66">
        <v>10</v>
      </c>
      <c r="D254" s="67">
        <v>0.18885416666666666</v>
      </c>
      <c r="E254" s="27" t="s">
        <v>398</v>
      </c>
      <c r="F254" s="68" t="s">
        <v>694</v>
      </c>
      <c r="G254" s="68" t="s">
        <v>262</v>
      </c>
      <c r="H254" s="27" t="s">
        <v>259</v>
      </c>
      <c r="I254" s="27" t="s">
        <v>45</v>
      </c>
      <c r="J254" s="28">
        <v>28.75</v>
      </c>
      <c r="K254" s="28">
        <v>-1.92</v>
      </c>
      <c r="L254" s="28">
        <v>26.83</v>
      </c>
      <c r="M254" s="52">
        <f t="shared" si="0"/>
        <v>26.83</v>
      </c>
      <c r="N254" s="52">
        <f t="shared" si="1"/>
        <v>0</v>
      </c>
      <c r="O254" s="28" t="s">
        <v>695</v>
      </c>
      <c r="P254" s="28">
        <v>452.92</v>
      </c>
    </row>
    <row r="255" spans="1:16" ht="22.5" customHeight="1">
      <c r="A255" s="27" t="s">
        <v>696</v>
      </c>
      <c r="B255" s="34">
        <v>2025</v>
      </c>
      <c r="C255" s="66">
        <v>10</v>
      </c>
      <c r="D255" s="67">
        <v>0.15112268518518518</v>
      </c>
      <c r="E255" s="27" t="s">
        <v>398</v>
      </c>
      <c r="F255" s="68" t="s">
        <v>574</v>
      </c>
      <c r="G255" s="68" t="s">
        <v>262</v>
      </c>
      <c r="H255" s="27" t="s">
        <v>259</v>
      </c>
      <c r="I255" s="27" t="s">
        <v>45</v>
      </c>
      <c r="J255" s="28">
        <v>7.27</v>
      </c>
      <c r="K255" s="28">
        <v>-0.74</v>
      </c>
      <c r="L255" s="28">
        <v>6.53</v>
      </c>
      <c r="M255" s="52">
        <f t="shared" si="0"/>
        <v>6.53</v>
      </c>
      <c r="N255" s="52">
        <f t="shared" si="1"/>
        <v>0</v>
      </c>
      <c r="O255" s="28" t="s">
        <v>697</v>
      </c>
      <c r="P255" s="28">
        <v>459.45</v>
      </c>
    </row>
    <row r="256" spans="1:16" ht="22.5" customHeight="1">
      <c r="A256" s="27" t="s">
        <v>696</v>
      </c>
      <c r="B256" s="34">
        <v>2025</v>
      </c>
      <c r="C256" s="66">
        <v>10</v>
      </c>
      <c r="D256" s="67">
        <v>0.81165509259259261</v>
      </c>
      <c r="E256" s="27" t="s">
        <v>398</v>
      </c>
      <c r="F256" s="68" t="s">
        <v>690</v>
      </c>
      <c r="G256" s="68" t="s">
        <v>291</v>
      </c>
      <c r="H256" s="27" t="s">
        <v>259</v>
      </c>
      <c r="I256" s="27" t="s">
        <v>45</v>
      </c>
      <c r="J256" s="28">
        <v>-6.49</v>
      </c>
      <c r="K256" s="28">
        <v>0.32</v>
      </c>
      <c r="L256" s="28">
        <v>-6.17</v>
      </c>
      <c r="M256" s="52">
        <f t="shared" si="0"/>
        <v>0</v>
      </c>
      <c r="N256" s="52">
        <f t="shared" si="1"/>
        <v>6.17</v>
      </c>
      <c r="O256" s="28" t="s">
        <v>698</v>
      </c>
      <c r="P256" s="28">
        <v>453.28</v>
      </c>
    </row>
    <row r="257" spans="1:16" ht="22.5" customHeight="1">
      <c r="A257" s="27" t="s">
        <v>696</v>
      </c>
      <c r="B257" s="34">
        <v>2025</v>
      </c>
      <c r="C257" s="66">
        <v>10</v>
      </c>
      <c r="D257" s="67">
        <v>0.81236111111111109</v>
      </c>
      <c r="E257" s="27" t="s">
        <v>398</v>
      </c>
      <c r="F257" s="68" t="s">
        <v>690</v>
      </c>
      <c r="G257" s="68" t="s">
        <v>291</v>
      </c>
      <c r="H257" s="27" t="s">
        <v>259</v>
      </c>
      <c r="I257" s="27" t="s">
        <v>45</v>
      </c>
      <c r="J257" s="28">
        <v>-4.49</v>
      </c>
      <c r="K257" s="28">
        <v>0.22</v>
      </c>
      <c r="L257" s="28">
        <v>-4.2699999999999996</v>
      </c>
      <c r="M257" s="52">
        <f t="shared" ref="M257:M350" si="2">IF(L257&gt;0,L257,0)</f>
        <v>0</v>
      </c>
      <c r="N257" s="52">
        <f t="shared" ref="N257:N350" si="3">IF(L257&lt;0,L257,0)*-1</f>
        <v>4.2699999999999996</v>
      </c>
      <c r="O257" s="28" t="s">
        <v>699</v>
      </c>
      <c r="P257" s="28">
        <v>449.01</v>
      </c>
    </row>
    <row r="258" spans="1:16" ht="22.5" customHeight="1">
      <c r="A258" s="27" t="s">
        <v>700</v>
      </c>
      <c r="B258" s="34">
        <v>2025</v>
      </c>
      <c r="C258" s="66">
        <v>10</v>
      </c>
      <c r="D258" s="67">
        <v>0.13086805555555556</v>
      </c>
      <c r="E258" s="27" t="s">
        <v>398</v>
      </c>
      <c r="F258" s="68" t="s">
        <v>574</v>
      </c>
      <c r="G258" s="68" t="s">
        <v>262</v>
      </c>
      <c r="H258" s="27" t="s">
        <v>259</v>
      </c>
      <c r="I258" s="27" t="s">
        <v>45</v>
      </c>
      <c r="J258" s="28">
        <v>7.27</v>
      </c>
      <c r="K258" s="28">
        <v>-0.74</v>
      </c>
      <c r="L258" s="28">
        <v>6.53</v>
      </c>
      <c r="M258" s="52">
        <f t="shared" si="2"/>
        <v>6.53</v>
      </c>
      <c r="N258" s="52">
        <f t="shared" si="3"/>
        <v>0</v>
      </c>
      <c r="O258" s="28" t="s">
        <v>701</v>
      </c>
      <c r="P258" s="28">
        <v>455.54</v>
      </c>
    </row>
    <row r="259" spans="1:16" ht="22.5" customHeight="1">
      <c r="A259" s="27" t="s">
        <v>700</v>
      </c>
      <c r="B259" s="34">
        <v>2025</v>
      </c>
      <c r="C259" s="66">
        <v>10</v>
      </c>
      <c r="D259" s="67">
        <v>0.82320601851851849</v>
      </c>
      <c r="E259" s="27" t="s">
        <v>398</v>
      </c>
      <c r="F259" s="68" t="s">
        <v>609</v>
      </c>
      <c r="G259" s="68" t="s">
        <v>258</v>
      </c>
      <c r="H259" s="27" t="s">
        <v>259</v>
      </c>
      <c r="I259" s="27" t="s">
        <v>45</v>
      </c>
      <c r="J259" s="28">
        <v>21.13</v>
      </c>
      <c r="K259" s="28">
        <v>-1.54</v>
      </c>
      <c r="L259" s="28">
        <v>19.59</v>
      </c>
      <c r="M259" s="52">
        <f t="shared" si="2"/>
        <v>19.59</v>
      </c>
      <c r="N259" s="52">
        <f t="shared" si="3"/>
        <v>0</v>
      </c>
      <c r="O259" s="28" t="s">
        <v>702</v>
      </c>
      <c r="P259" s="28">
        <v>475.13</v>
      </c>
    </row>
    <row r="260" spans="1:16" ht="22.5" customHeight="1">
      <c r="A260" s="27" t="s">
        <v>703</v>
      </c>
      <c r="B260" s="34">
        <v>2025</v>
      </c>
      <c r="C260" s="66">
        <v>10</v>
      </c>
      <c r="D260" s="67">
        <v>0.8627083333333333</v>
      </c>
      <c r="E260" s="27" t="s">
        <v>398</v>
      </c>
      <c r="F260" s="68" t="s">
        <v>704</v>
      </c>
      <c r="G260" s="68" t="s">
        <v>258</v>
      </c>
      <c r="H260" s="27" t="s">
        <v>259</v>
      </c>
      <c r="I260" s="27" t="s">
        <v>45</v>
      </c>
      <c r="J260" s="28">
        <v>12.78</v>
      </c>
      <c r="K260" s="28">
        <v>-1.1299999999999999</v>
      </c>
      <c r="L260" s="28">
        <v>11.65</v>
      </c>
      <c r="M260" s="52">
        <f t="shared" si="2"/>
        <v>11.65</v>
      </c>
      <c r="N260" s="52">
        <f t="shared" si="3"/>
        <v>0</v>
      </c>
      <c r="O260" s="28" t="s">
        <v>705</v>
      </c>
      <c r="P260" s="28">
        <v>486.78</v>
      </c>
    </row>
    <row r="261" spans="1:16" ht="22.5" customHeight="1">
      <c r="A261" s="27" t="s">
        <v>706</v>
      </c>
      <c r="B261" s="34">
        <v>2025</v>
      </c>
      <c r="C261" s="66">
        <v>10</v>
      </c>
      <c r="D261" s="67">
        <v>4.1180555555555554E-2</v>
      </c>
      <c r="E261" s="27" t="s">
        <v>398</v>
      </c>
      <c r="F261" s="68" t="s">
        <v>680</v>
      </c>
      <c r="G261" s="68" t="s">
        <v>258</v>
      </c>
      <c r="H261" s="27" t="s">
        <v>259</v>
      </c>
      <c r="I261" s="27" t="s">
        <v>45</v>
      </c>
      <c r="J261" s="28">
        <v>16.010000000000002</v>
      </c>
      <c r="K261" s="28">
        <v>-1.05</v>
      </c>
      <c r="L261" s="28">
        <v>14.96</v>
      </c>
      <c r="M261" s="52">
        <f t="shared" si="2"/>
        <v>14.96</v>
      </c>
      <c r="N261" s="52">
        <f t="shared" si="3"/>
        <v>0</v>
      </c>
      <c r="O261" s="28" t="s">
        <v>707</v>
      </c>
      <c r="P261" s="28">
        <v>501.74</v>
      </c>
    </row>
    <row r="262" spans="1:16" ht="22.5" customHeight="1">
      <c r="A262" s="27" t="s">
        <v>706</v>
      </c>
      <c r="B262" s="34">
        <v>2025</v>
      </c>
      <c r="C262" s="66">
        <v>10</v>
      </c>
      <c r="D262" s="67">
        <v>0.14465277777777777</v>
      </c>
      <c r="E262" s="27" t="s">
        <v>398</v>
      </c>
      <c r="F262" s="68" t="s">
        <v>708</v>
      </c>
      <c r="G262" s="68" t="s">
        <v>262</v>
      </c>
      <c r="H262" s="27" t="s">
        <v>259</v>
      </c>
      <c r="I262" s="27" t="s">
        <v>45</v>
      </c>
      <c r="J262" s="28">
        <v>4.3899999999999997</v>
      </c>
      <c r="K262" s="28">
        <v>-0.71</v>
      </c>
      <c r="L262" s="28">
        <v>3.68</v>
      </c>
      <c r="M262" s="52">
        <f t="shared" si="2"/>
        <v>3.68</v>
      </c>
      <c r="N262" s="52">
        <f t="shared" si="3"/>
        <v>0</v>
      </c>
      <c r="O262" s="28" t="s">
        <v>709</v>
      </c>
      <c r="P262" s="28">
        <v>505.42</v>
      </c>
    </row>
    <row r="263" spans="1:16" ht="22.5" customHeight="1">
      <c r="A263" s="30">
        <v>45699</v>
      </c>
      <c r="B263" s="34">
        <v>2025</v>
      </c>
      <c r="C263" s="66">
        <v>11</v>
      </c>
      <c r="D263" s="67">
        <v>6.5069444444444444E-2</v>
      </c>
      <c r="E263" s="27" t="s">
        <v>398</v>
      </c>
      <c r="F263" s="68" t="s">
        <v>710</v>
      </c>
      <c r="G263" s="68" t="s">
        <v>262</v>
      </c>
      <c r="H263" s="27" t="s">
        <v>259</v>
      </c>
      <c r="I263" s="27" t="s">
        <v>45</v>
      </c>
      <c r="J263" s="28">
        <v>4.49</v>
      </c>
      <c r="K263" s="28">
        <v>-0.71</v>
      </c>
      <c r="L263" s="28">
        <v>3.78</v>
      </c>
      <c r="M263" s="52">
        <f t="shared" si="2"/>
        <v>3.78</v>
      </c>
      <c r="N263" s="52">
        <f t="shared" si="3"/>
        <v>0</v>
      </c>
      <c r="O263" s="28" t="s">
        <v>711</v>
      </c>
      <c r="P263" s="28">
        <v>509.2</v>
      </c>
    </row>
    <row r="264" spans="1:16" ht="22.5" customHeight="1">
      <c r="A264" s="30">
        <v>45699</v>
      </c>
      <c r="B264" s="34">
        <v>2025</v>
      </c>
      <c r="C264" s="66">
        <v>11</v>
      </c>
      <c r="D264" s="67">
        <v>0.19527777777777777</v>
      </c>
      <c r="E264" s="27" t="s">
        <v>256</v>
      </c>
      <c r="F264" s="68" t="s">
        <v>455</v>
      </c>
      <c r="G264" s="68" t="s">
        <v>262</v>
      </c>
      <c r="H264" s="27" t="s">
        <v>259</v>
      </c>
      <c r="I264" s="27" t="s">
        <v>45</v>
      </c>
      <c r="J264" s="28">
        <v>4.49</v>
      </c>
      <c r="K264" s="28">
        <v>-0.71</v>
      </c>
      <c r="L264" s="28">
        <v>3.78</v>
      </c>
      <c r="M264" s="52">
        <f t="shared" si="2"/>
        <v>3.78</v>
      </c>
      <c r="N264" s="52">
        <f t="shared" si="3"/>
        <v>0</v>
      </c>
      <c r="O264" s="28" t="s">
        <v>712</v>
      </c>
      <c r="P264" s="28">
        <v>512.98</v>
      </c>
    </row>
    <row r="265" spans="1:16" ht="22.5" customHeight="1">
      <c r="A265" s="30">
        <v>45699</v>
      </c>
      <c r="B265" s="34">
        <v>2025</v>
      </c>
      <c r="C265" s="66">
        <v>11</v>
      </c>
      <c r="D265" s="67">
        <v>0.36809027777777775</v>
      </c>
      <c r="E265" s="27" t="s">
        <v>256</v>
      </c>
      <c r="F265" s="68" t="s">
        <v>713</v>
      </c>
      <c r="G265" s="68" t="s">
        <v>258</v>
      </c>
      <c r="H265" s="27" t="s">
        <v>259</v>
      </c>
      <c r="I265" s="27" t="s">
        <v>45</v>
      </c>
      <c r="J265" s="28">
        <v>23.14</v>
      </c>
      <c r="K265" s="28">
        <v>-1.64</v>
      </c>
      <c r="L265" s="28">
        <v>21.5</v>
      </c>
      <c r="M265" s="52">
        <f t="shared" si="2"/>
        <v>21.5</v>
      </c>
      <c r="N265" s="52">
        <f t="shared" si="3"/>
        <v>0</v>
      </c>
      <c r="O265" s="28" t="s">
        <v>714</v>
      </c>
      <c r="P265" s="28">
        <v>534.48</v>
      </c>
    </row>
    <row r="266" spans="1:16" ht="22.5" customHeight="1">
      <c r="A266" s="30">
        <v>45699</v>
      </c>
      <c r="B266" s="34">
        <v>2025</v>
      </c>
      <c r="C266" s="66">
        <v>11</v>
      </c>
      <c r="D266" s="67">
        <v>0.82847222222222228</v>
      </c>
      <c r="E266" s="27" t="s">
        <v>256</v>
      </c>
      <c r="F266" s="68" t="s">
        <v>710</v>
      </c>
      <c r="G266" s="68" t="s">
        <v>291</v>
      </c>
      <c r="H266" s="27" t="s">
        <v>259</v>
      </c>
      <c r="I266" s="27" t="s">
        <v>45</v>
      </c>
      <c r="J266" s="28">
        <v>-4.49</v>
      </c>
      <c r="K266" s="28">
        <v>0.22</v>
      </c>
      <c r="L266" s="28">
        <v>-4.2699999999999996</v>
      </c>
      <c r="M266" s="52">
        <f t="shared" si="2"/>
        <v>0</v>
      </c>
      <c r="N266" s="52">
        <f t="shared" si="3"/>
        <v>4.2699999999999996</v>
      </c>
      <c r="O266" s="28" t="s">
        <v>715</v>
      </c>
      <c r="P266" s="28">
        <v>530.21</v>
      </c>
    </row>
    <row r="267" spans="1:16" ht="22.5" customHeight="1">
      <c r="A267" s="30">
        <v>45727</v>
      </c>
      <c r="B267" s="34">
        <v>2025</v>
      </c>
      <c r="C267" s="66">
        <v>11</v>
      </c>
      <c r="D267" s="67">
        <v>0.73363425925925929</v>
      </c>
      <c r="E267" s="27" t="s">
        <v>256</v>
      </c>
      <c r="F267" s="68" t="s">
        <v>319</v>
      </c>
      <c r="G267" s="68" t="s">
        <v>320</v>
      </c>
      <c r="H267" s="27" t="s">
        <v>259</v>
      </c>
      <c r="I267" s="27" t="s">
        <v>45</v>
      </c>
      <c r="J267" s="28">
        <v>-2.5</v>
      </c>
      <c r="K267" s="28">
        <v>0</v>
      </c>
      <c r="L267" s="28">
        <v>-2.5</v>
      </c>
      <c r="M267" s="52">
        <f t="shared" si="2"/>
        <v>0</v>
      </c>
      <c r="N267" s="52">
        <f t="shared" si="3"/>
        <v>2.5</v>
      </c>
      <c r="O267" s="28" t="s">
        <v>716</v>
      </c>
      <c r="P267" s="28">
        <v>527.71</v>
      </c>
    </row>
    <row r="268" spans="1:16" ht="22.5" customHeight="1">
      <c r="A268" s="30">
        <v>45727</v>
      </c>
      <c r="B268" s="34">
        <v>2025</v>
      </c>
      <c r="C268" s="66">
        <v>11</v>
      </c>
      <c r="D268" s="67">
        <v>0.9057291666666667</v>
      </c>
      <c r="E268" s="27" t="s">
        <v>256</v>
      </c>
      <c r="F268" s="68" t="s">
        <v>420</v>
      </c>
      <c r="G268" s="68" t="s">
        <v>262</v>
      </c>
      <c r="H268" s="27" t="s">
        <v>259</v>
      </c>
      <c r="I268" s="27" t="s">
        <v>45</v>
      </c>
      <c r="J268" s="28">
        <v>1.22</v>
      </c>
      <c r="K268" s="28">
        <v>-0.55000000000000004</v>
      </c>
      <c r="L268" s="28">
        <v>0.67</v>
      </c>
      <c r="M268" s="52">
        <f t="shared" si="2"/>
        <v>0.67</v>
      </c>
      <c r="N268" s="52">
        <f t="shared" si="3"/>
        <v>0</v>
      </c>
      <c r="O268" s="28" t="s">
        <v>717</v>
      </c>
      <c r="P268" s="28">
        <v>528.38</v>
      </c>
    </row>
    <row r="269" spans="1:16" ht="22.5" customHeight="1">
      <c r="A269" s="30">
        <v>45849</v>
      </c>
      <c r="B269" s="34">
        <v>2025</v>
      </c>
      <c r="C269" s="66">
        <v>11</v>
      </c>
      <c r="D269" s="67">
        <v>0.3097685185185185</v>
      </c>
      <c r="E269" s="27" t="s">
        <v>256</v>
      </c>
      <c r="F269" s="68" t="s">
        <v>718</v>
      </c>
      <c r="G269" s="68" t="s">
        <v>258</v>
      </c>
      <c r="H269" s="27" t="s">
        <v>259</v>
      </c>
      <c r="I269" s="27" t="s">
        <v>45</v>
      </c>
      <c r="J269" s="28">
        <v>77.39</v>
      </c>
      <c r="K269" s="28">
        <v>-4.3499999999999996</v>
      </c>
      <c r="L269" s="28">
        <v>73.040000000000006</v>
      </c>
      <c r="M269" s="52">
        <f t="shared" si="2"/>
        <v>73.040000000000006</v>
      </c>
      <c r="N269" s="52">
        <f t="shared" si="3"/>
        <v>0</v>
      </c>
      <c r="O269" s="28" t="s">
        <v>719</v>
      </c>
      <c r="P269" s="28">
        <v>601.41999999999996</v>
      </c>
    </row>
    <row r="270" spans="1:16" ht="22.5" customHeight="1">
      <c r="A270" s="30">
        <v>45911</v>
      </c>
      <c r="B270" s="34">
        <v>2025</v>
      </c>
      <c r="C270" s="66">
        <v>11</v>
      </c>
      <c r="D270" s="67">
        <v>3.484953703703704E-2</v>
      </c>
      <c r="E270" s="27" t="s">
        <v>256</v>
      </c>
      <c r="F270" s="68" t="s">
        <v>720</v>
      </c>
      <c r="G270" s="68" t="s">
        <v>258</v>
      </c>
      <c r="H270" s="27" t="s">
        <v>259</v>
      </c>
      <c r="I270" s="27" t="s">
        <v>45</v>
      </c>
      <c r="J270" s="28">
        <v>5.49</v>
      </c>
      <c r="K270" s="28">
        <v>-0.76</v>
      </c>
      <c r="L270" s="28">
        <v>4.7300000000000004</v>
      </c>
      <c r="M270" s="52">
        <f t="shared" si="2"/>
        <v>4.7300000000000004</v>
      </c>
      <c r="N270" s="52">
        <f t="shared" si="3"/>
        <v>0</v>
      </c>
      <c r="O270" s="28" t="s">
        <v>721</v>
      </c>
      <c r="P270" s="28">
        <v>606.15</v>
      </c>
    </row>
    <row r="271" spans="1:16" ht="22.5" customHeight="1">
      <c r="A271" s="30">
        <v>45911</v>
      </c>
      <c r="B271" s="34">
        <v>2025</v>
      </c>
      <c r="C271" s="66">
        <v>11</v>
      </c>
      <c r="D271" s="67">
        <v>0.85569444444444442</v>
      </c>
      <c r="E271" s="27" t="s">
        <v>256</v>
      </c>
      <c r="F271" s="68" t="s">
        <v>722</v>
      </c>
      <c r="G271" s="68" t="s">
        <v>262</v>
      </c>
      <c r="H271" s="27" t="s">
        <v>259</v>
      </c>
      <c r="I271" s="27" t="s">
        <v>45</v>
      </c>
      <c r="J271" s="28">
        <v>12.6</v>
      </c>
      <c r="K271" s="28">
        <v>-0.93</v>
      </c>
      <c r="L271" s="28">
        <v>11.67</v>
      </c>
      <c r="M271" s="52">
        <f t="shared" si="2"/>
        <v>11.67</v>
      </c>
      <c r="N271" s="52">
        <f t="shared" si="3"/>
        <v>0</v>
      </c>
      <c r="O271" s="28" t="s">
        <v>723</v>
      </c>
      <c r="P271" s="28">
        <v>617.82000000000005</v>
      </c>
    </row>
    <row r="272" spans="1:16" ht="22.5" customHeight="1">
      <c r="A272" s="30">
        <v>45941</v>
      </c>
      <c r="B272" s="34">
        <v>2025</v>
      </c>
      <c r="C272" s="66">
        <v>11</v>
      </c>
      <c r="D272" s="67">
        <v>0.21350694444444446</v>
      </c>
      <c r="E272" s="27" t="s">
        <v>256</v>
      </c>
      <c r="F272" s="68" t="s">
        <v>455</v>
      </c>
      <c r="G272" s="68" t="s">
        <v>262</v>
      </c>
      <c r="H272" s="27" t="s">
        <v>259</v>
      </c>
      <c r="I272" s="27" t="s">
        <v>45</v>
      </c>
      <c r="J272" s="28">
        <v>10.99</v>
      </c>
      <c r="K272" s="28">
        <v>-1.04</v>
      </c>
      <c r="L272" s="28">
        <v>9.9499999999999993</v>
      </c>
      <c r="M272" s="52">
        <f t="shared" si="2"/>
        <v>9.9499999999999993</v>
      </c>
      <c r="N272" s="52">
        <f t="shared" si="3"/>
        <v>0</v>
      </c>
      <c r="O272" s="28" t="s">
        <v>724</v>
      </c>
      <c r="P272" s="28">
        <v>627.77</v>
      </c>
    </row>
    <row r="273" spans="1:16" ht="22.5" customHeight="1">
      <c r="A273" s="30">
        <v>45972</v>
      </c>
      <c r="B273" s="34">
        <v>2025</v>
      </c>
      <c r="C273" s="66">
        <v>11</v>
      </c>
      <c r="D273" s="67">
        <v>0.82820601851851849</v>
      </c>
      <c r="E273" s="27" t="s">
        <v>256</v>
      </c>
      <c r="F273" s="68" t="s">
        <v>725</v>
      </c>
      <c r="G273" s="68" t="s">
        <v>262</v>
      </c>
      <c r="H273" s="27" t="s">
        <v>259</v>
      </c>
      <c r="I273" s="27" t="s">
        <v>45</v>
      </c>
      <c r="J273" s="28">
        <v>12.6</v>
      </c>
      <c r="K273" s="28">
        <v>-1.1200000000000001</v>
      </c>
      <c r="L273" s="28">
        <v>11.48</v>
      </c>
      <c r="M273" s="52">
        <f t="shared" si="2"/>
        <v>11.48</v>
      </c>
      <c r="N273" s="52">
        <f t="shared" si="3"/>
        <v>0</v>
      </c>
      <c r="O273" s="28" t="s">
        <v>726</v>
      </c>
      <c r="P273" s="28">
        <v>639.25</v>
      </c>
    </row>
    <row r="274" spans="1:16" ht="22.5" customHeight="1">
      <c r="A274" s="30">
        <v>46002</v>
      </c>
      <c r="B274" s="34">
        <v>2025</v>
      </c>
      <c r="C274" s="66">
        <v>11</v>
      </c>
      <c r="D274" s="67">
        <v>4.0023148148148148E-2</v>
      </c>
      <c r="E274" s="27" t="s">
        <v>256</v>
      </c>
      <c r="F274" s="68" t="s">
        <v>727</v>
      </c>
      <c r="G274" s="68" t="s">
        <v>258</v>
      </c>
      <c r="H274" s="27" t="s">
        <v>259</v>
      </c>
      <c r="I274" s="27" t="s">
        <v>45</v>
      </c>
      <c r="J274" s="28">
        <v>12.6</v>
      </c>
      <c r="K274" s="28">
        <v>-1.1200000000000001</v>
      </c>
      <c r="L274" s="28">
        <v>11.48</v>
      </c>
      <c r="M274" s="52">
        <f t="shared" si="2"/>
        <v>11.48</v>
      </c>
      <c r="N274" s="52">
        <f t="shared" si="3"/>
        <v>0</v>
      </c>
      <c r="O274" s="28" t="s">
        <v>728</v>
      </c>
      <c r="P274" s="28">
        <v>650.73</v>
      </c>
    </row>
    <row r="275" spans="1:16" ht="22.5" customHeight="1">
      <c r="A275" s="27" t="s">
        <v>729</v>
      </c>
      <c r="B275" s="34">
        <v>2025</v>
      </c>
      <c r="C275" s="66">
        <v>11</v>
      </c>
      <c r="D275" s="67">
        <v>0.7252777777777778</v>
      </c>
      <c r="E275" s="27" t="s">
        <v>256</v>
      </c>
      <c r="F275" s="68" t="s">
        <v>730</v>
      </c>
      <c r="G275" s="68" t="s">
        <v>262</v>
      </c>
      <c r="H275" s="27" t="s">
        <v>259</v>
      </c>
      <c r="I275" s="27" t="s">
        <v>45</v>
      </c>
      <c r="J275" s="28">
        <v>12.6</v>
      </c>
      <c r="K275" s="28">
        <v>-1.1200000000000001</v>
      </c>
      <c r="L275" s="28">
        <v>11.48</v>
      </c>
      <c r="M275" s="52">
        <f t="shared" si="2"/>
        <v>11.48</v>
      </c>
      <c r="N275" s="52">
        <f t="shared" si="3"/>
        <v>0</v>
      </c>
      <c r="O275" s="28" t="s">
        <v>731</v>
      </c>
      <c r="P275" s="28">
        <v>662.21</v>
      </c>
    </row>
    <row r="276" spans="1:16" ht="22.5" customHeight="1">
      <c r="A276" s="27" t="s">
        <v>732</v>
      </c>
      <c r="B276" s="34">
        <v>2025</v>
      </c>
      <c r="C276" s="66">
        <v>11</v>
      </c>
      <c r="D276" s="67">
        <v>0.1041087962962963</v>
      </c>
      <c r="E276" s="27" t="s">
        <v>256</v>
      </c>
      <c r="F276" s="68" t="s">
        <v>733</v>
      </c>
      <c r="G276" s="68" t="s">
        <v>262</v>
      </c>
      <c r="H276" s="27" t="s">
        <v>259</v>
      </c>
      <c r="I276" s="27" t="s">
        <v>45</v>
      </c>
      <c r="J276" s="28">
        <v>17.989999999999998</v>
      </c>
      <c r="K276" s="28">
        <v>-1.39</v>
      </c>
      <c r="L276" s="28">
        <v>16.600000000000001</v>
      </c>
      <c r="M276" s="52">
        <f t="shared" si="2"/>
        <v>16.600000000000001</v>
      </c>
      <c r="N276" s="52">
        <f t="shared" si="3"/>
        <v>0</v>
      </c>
      <c r="O276" s="28" t="s">
        <v>734</v>
      </c>
      <c r="P276" s="28">
        <v>678.81</v>
      </c>
    </row>
    <row r="277" spans="1:16" ht="22.5" customHeight="1">
      <c r="A277" s="27" t="s">
        <v>732</v>
      </c>
      <c r="B277" s="34">
        <v>2025</v>
      </c>
      <c r="C277" s="66">
        <v>11</v>
      </c>
      <c r="D277" s="67">
        <v>0.3162152777777778</v>
      </c>
      <c r="E277" s="27" t="s">
        <v>256</v>
      </c>
      <c r="F277" s="68" t="s">
        <v>735</v>
      </c>
      <c r="G277" s="68" t="s">
        <v>258</v>
      </c>
      <c r="H277" s="27" t="s">
        <v>259</v>
      </c>
      <c r="I277" s="27" t="s">
        <v>45</v>
      </c>
      <c r="J277" s="28">
        <v>12.6</v>
      </c>
      <c r="K277" s="28">
        <v>-1.1200000000000001</v>
      </c>
      <c r="L277" s="28">
        <v>11.48</v>
      </c>
      <c r="M277" s="52">
        <f t="shared" si="2"/>
        <v>11.48</v>
      </c>
      <c r="N277" s="52">
        <f t="shared" si="3"/>
        <v>0</v>
      </c>
      <c r="O277" s="28" t="s">
        <v>736</v>
      </c>
      <c r="P277" s="28">
        <v>690.29</v>
      </c>
    </row>
    <row r="278" spans="1:16" ht="22.5" customHeight="1">
      <c r="A278" s="27" t="s">
        <v>737</v>
      </c>
      <c r="B278" s="34">
        <v>2025</v>
      </c>
      <c r="C278" s="66">
        <v>11</v>
      </c>
      <c r="D278" s="67">
        <v>0.12847222222222221</v>
      </c>
      <c r="E278" s="27" t="s">
        <v>256</v>
      </c>
      <c r="F278" s="68" t="s">
        <v>306</v>
      </c>
      <c r="G278" s="68" t="s">
        <v>262</v>
      </c>
      <c r="H278" s="27" t="s">
        <v>259</v>
      </c>
      <c r="I278" s="27" t="s">
        <v>45</v>
      </c>
      <c r="J278" s="28">
        <v>1.0900000000000001</v>
      </c>
      <c r="K278" s="28">
        <v>-0.54</v>
      </c>
      <c r="L278" s="28">
        <v>0.55000000000000004</v>
      </c>
      <c r="M278" s="52">
        <f t="shared" si="2"/>
        <v>0.55000000000000004</v>
      </c>
      <c r="N278" s="52">
        <f t="shared" si="3"/>
        <v>0</v>
      </c>
      <c r="O278" s="28" t="s">
        <v>738</v>
      </c>
      <c r="P278" s="28">
        <v>690.84</v>
      </c>
    </row>
    <row r="279" spans="1:16" ht="22.5" customHeight="1">
      <c r="A279" s="27" t="s">
        <v>737</v>
      </c>
      <c r="B279" s="34">
        <v>2025</v>
      </c>
      <c r="C279" s="66">
        <v>11</v>
      </c>
      <c r="D279" s="67">
        <v>0.95827546296296295</v>
      </c>
      <c r="E279" s="27" t="s">
        <v>256</v>
      </c>
      <c r="F279" s="68" t="s">
        <v>739</v>
      </c>
      <c r="G279" s="68" t="s">
        <v>258</v>
      </c>
      <c r="H279" s="27" t="s">
        <v>259</v>
      </c>
      <c r="I279" s="27" t="s">
        <v>45</v>
      </c>
      <c r="J279" s="28">
        <v>20.25</v>
      </c>
      <c r="K279" s="28">
        <v>-1.5</v>
      </c>
      <c r="L279" s="28">
        <v>18.75</v>
      </c>
      <c r="M279" s="52">
        <f t="shared" si="2"/>
        <v>18.75</v>
      </c>
      <c r="N279" s="52">
        <f t="shared" si="3"/>
        <v>0</v>
      </c>
      <c r="O279" s="28" t="s">
        <v>740</v>
      </c>
      <c r="P279" s="28">
        <v>709.59</v>
      </c>
    </row>
    <row r="280" spans="1:16" ht="22.5" customHeight="1">
      <c r="A280" s="27" t="s">
        <v>224</v>
      </c>
      <c r="B280" s="34">
        <v>2025</v>
      </c>
      <c r="C280" s="66">
        <v>11</v>
      </c>
      <c r="D280" s="67">
        <v>0.7134490740740741</v>
      </c>
      <c r="E280" s="27" t="s">
        <v>256</v>
      </c>
      <c r="F280" s="68" t="s">
        <v>741</v>
      </c>
      <c r="G280" s="68" t="s">
        <v>262</v>
      </c>
      <c r="H280" s="27" t="s">
        <v>259</v>
      </c>
      <c r="I280" s="27" t="s">
        <v>45</v>
      </c>
      <c r="J280" s="28">
        <v>12.6</v>
      </c>
      <c r="K280" s="28">
        <v>-0.93</v>
      </c>
      <c r="L280" s="28">
        <v>11.67</v>
      </c>
      <c r="M280" s="52">
        <f t="shared" si="2"/>
        <v>11.67</v>
      </c>
      <c r="N280" s="52">
        <f t="shared" si="3"/>
        <v>0</v>
      </c>
      <c r="O280" s="28" t="s">
        <v>742</v>
      </c>
      <c r="P280" s="28">
        <v>721.26</v>
      </c>
    </row>
    <row r="281" spans="1:16" ht="22.5" customHeight="1">
      <c r="A281" s="27" t="s">
        <v>743</v>
      </c>
      <c r="B281" s="34">
        <v>2025</v>
      </c>
      <c r="C281" s="66">
        <v>11</v>
      </c>
      <c r="D281" s="67">
        <v>0.12896990740740741</v>
      </c>
      <c r="E281" s="27" t="s">
        <v>256</v>
      </c>
      <c r="F281" s="68" t="s">
        <v>332</v>
      </c>
      <c r="G281" s="68" t="s">
        <v>262</v>
      </c>
      <c r="H281" s="27" t="s">
        <v>259</v>
      </c>
      <c r="I281" s="27" t="s">
        <v>45</v>
      </c>
      <c r="J281" s="28">
        <v>1.0900000000000001</v>
      </c>
      <c r="K281" s="28">
        <v>-0.54</v>
      </c>
      <c r="L281" s="28">
        <v>0.55000000000000004</v>
      </c>
      <c r="M281" s="52">
        <f t="shared" si="2"/>
        <v>0.55000000000000004</v>
      </c>
      <c r="N281" s="52">
        <f t="shared" si="3"/>
        <v>0</v>
      </c>
      <c r="O281" s="28" t="s">
        <v>744</v>
      </c>
      <c r="P281" s="28">
        <v>721.81</v>
      </c>
    </row>
    <row r="282" spans="1:16" ht="22.5" customHeight="1">
      <c r="A282" s="27" t="s">
        <v>743</v>
      </c>
      <c r="B282" s="34">
        <v>2025</v>
      </c>
      <c r="C282" s="66">
        <v>11</v>
      </c>
      <c r="D282" s="67">
        <v>0.71723379629629624</v>
      </c>
      <c r="E282" s="27" t="s">
        <v>256</v>
      </c>
      <c r="F282" s="68" t="s">
        <v>558</v>
      </c>
      <c r="G282" s="68" t="s">
        <v>320</v>
      </c>
      <c r="H282" s="27" t="s">
        <v>259</v>
      </c>
      <c r="I282" s="27" t="s">
        <v>45</v>
      </c>
      <c r="J282" s="28">
        <v>-10.8</v>
      </c>
      <c r="K282" s="28">
        <v>0</v>
      </c>
      <c r="L282" s="28">
        <v>-10.8</v>
      </c>
      <c r="M282" s="52">
        <f t="shared" si="2"/>
        <v>0</v>
      </c>
      <c r="N282" s="52">
        <f t="shared" si="3"/>
        <v>10.8</v>
      </c>
      <c r="O282" s="28" t="s">
        <v>745</v>
      </c>
      <c r="P282" s="28">
        <v>711.01</v>
      </c>
    </row>
    <row r="283" spans="1:16" ht="22.5" customHeight="1">
      <c r="A283" s="27" t="s">
        <v>215</v>
      </c>
      <c r="B283" s="34">
        <v>2025</v>
      </c>
      <c r="C283" s="66">
        <v>11</v>
      </c>
      <c r="D283" s="67">
        <v>3.1238425925925926E-2</v>
      </c>
      <c r="E283" s="27" t="s">
        <v>256</v>
      </c>
      <c r="F283" s="68" t="s">
        <v>746</v>
      </c>
      <c r="G283" s="68" t="s">
        <v>262</v>
      </c>
      <c r="H283" s="27" t="s">
        <v>259</v>
      </c>
      <c r="I283" s="27" t="s">
        <v>45</v>
      </c>
      <c r="J283" s="28">
        <v>5.49</v>
      </c>
      <c r="K283" s="28">
        <v>-0.68</v>
      </c>
      <c r="L283" s="28">
        <v>4.8099999999999996</v>
      </c>
      <c r="M283" s="52">
        <f t="shared" si="2"/>
        <v>4.8099999999999996</v>
      </c>
      <c r="N283" s="52">
        <f t="shared" si="3"/>
        <v>0</v>
      </c>
      <c r="O283" s="28" t="s">
        <v>747</v>
      </c>
      <c r="P283" s="28">
        <v>715.82</v>
      </c>
    </row>
    <row r="284" spans="1:16" ht="22.5" customHeight="1">
      <c r="A284" s="27" t="s">
        <v>215</v>
      </c>
      <c r="B284" s="34">
        <v>2025</v>
      </c>
      <c r="C284" s="66">
        <v>11</v>
      </c>
      <c r="D284" s="67">
        <v>0.11292824074074075</v>
      </c>
      <c r="E284" s="27" t="s">
        <v>256</v>
      </c>
      <c r="F284" s="68" t="s">
        <v>690</v>
      </c>
      <c r="G284" s="68" t="s">
        <v>262</v>
      </c>
      <c r="H284" s="27" t="s">
        <v>259</v>
      </c>
      <c r="I284" s="27" t="s">
        <v>45</v>
      </c>
      <c r="J284" s="28">
        <v>6.49</v>
      </c>
      <c r="K284" s="28">
        <v>-0.81</v>
      </c>
      <c r="L284" s="28">
        <v>5.68</v>
      </c>
      <c r="M284" s="52">
        <f t="shared" si="2"/>
        <v>5.68</v>
      </c>
      <c r="N284" s="52">
        <f t="shared" si="3"/>
        <v>0</v>
      </c>
      <c r="O284" s="28" t="s">
        <v>748</v>
      </c>
      <c r="P284" s="28">
        <v>721.5</v>
      </c>
    </row>
    <row r="285" spans="1:16" ht="22.5" customHeight="1">
      <c r="A285" s="27" t="s">
        <v>215</v>
      </c>
      <c r="B285" s="34">
        <v>2025</v>
      </c>
      <c r="C285" s="66">
        <v>11</v>
      </c>
      <c r="D285" s="67">
        <v>0.11997685185185185</v>
      </c>
      <c r="E285" s="27" t="s">
        <v>256</v>
      </c>
      <c r="F285" s="68" t="s">
        <v>722</v>
      </c>
      <c r="G285" s="68" t="s">
        <v>262</v>
      </c>
      <c r="H285" s="27" t="s">
        <v>259</v>
      </c>
      <c r="I285" s="27" t="s">
        <v>45</v>
      </c>
      <c r="J285" s="28">
        <v>12.6</v>
      </c>
      <c r="K285" s="28">
        <v>-0.93</v>
      </c>
      <c r="L285" s="28">
        <v>11.67</v>
      </c>
      <c r="M285" s="52">
        <f t="shared" si="2"/>
        <v>11.67</v>
      </c>
      <c r="N285" s="52">
        <f t="shared" si="3"/>
        <v>0</v>
      </c>
      <c r="O285" s="28" t="s">
        <v>749</v>
      </c>
      <c r="P285" s="28">
        <v>733.17</v>
      </c>
    </row>
    <row r="286" spans="1:16" ht="22.5" customHeight="1">
      <c r="A286" s="27" t="s">
        <v>215</v>
      </c>
      <c r="B286" s="34">
        <v>2025</v>
      </c>
      <c r="C286" s="66">
        <v>11</v>
      </c>
      <c r="D286" s="67">
        <v>0.75550925925925927</v>
      </c>
      <c r="E286" s="27" t="s">
        <v>256</v>
      </c>
      <c r="F286" s="68" t="s">
        <v>750</v>
      </c>
      <c r="G286" s="68" t="s">
        <v>262</v>
      </c>
      <c r="H286" s="27" t="s">
        <v>259</v>
      </c>
      <c r="I286" s="27" t="s">
        <v>45</v>
      </c>
      <c r="J286" s="28">
        <v>12.6</v>
      </c>
      <c r="K286" s="28">
        <v>-0.93</v>
      </c>
      <c r="L286" s="28">
        <v>11.67</v>
      </c>
      <c r="M286" s="52">
        <f t="shared" si="2"/>
        <v>11.67</v>
      </c>
      <c r="N286" s="52">
        <f t="shared" si="3"/>
        <v>0</v>
      </c>
      <c r="O286" s="28" t="s">
        <v>751</v>
      </c>
      <c r="P286" s="28">
        <v>744.84</v>
      </c>
    </row>
    <row r="287" spans="1:16" ht="22.5" customHeight="1">
      <c r="A287" s="27" t="s">
        <v>752</v>
      </c>
      <c r="B287" s="34">
        <v>2025</v>
      </c>
      <c r="C287" s="66">
        <v>11</v>
      </c>
      <c r="D287" s="67">
        <v>0.33203703703703702</v>
      </c>
      <c r="E287" s="27" t="s">
        <v>256</v>
      </c>
      <c r="F287" s="68" t="s">
        <v>753</v>
      </c>
      <c r="G287" s="68" t="s">
        <v>258</v>
      </c>
      <c r="H287" s="27" t="s">
        <v>259</v>
      </c>
      <c r="I287" s="27" t="s">
        <v>45</v>
      </c>
      <c r="J287" s="28">
        <v>12.6</v>
      </c>
      <c r="K287" s="28">
        <v>-1.1200000000000001</v>
      </c>
      <c r="L287" s="28">
        <v>11.48</v>
      </c>
      <c r="M287" s="52">
        <f t="shared" si="2"/>
        <v>11.48</v>
      </c>
      <c r="N287" s="52">
        <f t="shared" si="3"/>
        <v>0</v>
      </c>
      <c r="O287" s="28" t="s">
        <v>754</v>
      </c>
      <c r="P287" s="28">
        <v>756.32</v>
      </c>
    </row>
    <row r="288" spans="1:16" ht="22.5" customHeight="1">
      <c r="A288" s="27" t="s">
        <v>752</v>
      </c>
      <c r="B288" s="34">
        <v>2025</v>
      </c>
      <c r="C288" s="66">
        <v>11</v>
      </c>
      <c r="D288" s="67">
        <v>0.89709490740740738</v>
      </c>
      <c r="E288" s="27" t="s">
        <v>256</v>
      </c>
      <c r="F288" s="68" t="s">
        <v>722</v>
      </c>
      <c r="G288" s="68" t="s">
        <v>291</v>
      </c>
      <c r="H288" s="27" t="s">
        <v>259</v>
      </c>
      <c r="I288" s="27" t="s">
        <v>45</v>
      </c>
      <c r="J288" s="28">
        <v>-12.6</v>
      </c>
      <c r="K288" s="28">
        <v>0.44</v>
      </c>
      <c r="L288" s="28">
        <v>-12.16</v>
      </c>
      <c r="M288" s="52">
        <f t="shared" si="2"/>
        <v>0</v>
      </c>
      <c r="N288" s="52">
        <f t="shared" si="3"/>
        <v>12.16</v>
      </c>
      <c r="O288" s="28" t="s">
        <v>755</v>
      </c>
      <c r="P288" s="28">
        <v>744.16</v>
      </c>
    </row>
    <row r="289" spans="1:16" ht="22.5" customHeight="1">
      <c r="A289" s="27" t="s">
        <v>756</v>
      </c>
      <c r="B289" s="34">
        <v>2025</v>
      </c>
      <c r="C289" s="66">
        <v>11</v>
      </c>
      <c r="D289" s="67">
        <v>0.13805555555555554</v>
      </c>
      <c r="E289" s="27" t="s">
        <v>256</v>
      </c>
      <c r="F289" s="68" t="s">
        <v>757</v>
      </c>
      <c r="G289" s="68" t="s">
        <v>262</v>
      </c>
      <c r="H289" s="27" t="s">
        <v>259</v>
      </c>
      <c r="I289" s="27" t="s">
        <v>45</v>
      </c>
      <c r="J289" s="28">
        <v>12.6</v>
      </c>
      <c r="K289" s="28">
        <v>-0.93</v>
      </c>
      <c r="L289" s="28">
        <v>11.67</v>
      </c>
      <c r="M289" s="52">
        <f t="shared" si="2"/>
        <v>11.67</v>
      </c>
      <c r="N289" s="52">
        <f t="shared" si="3"/>
        <v>0</v>
      </c>
      <c r="O289" s="28" t="s">
        <v>758</v>
      </c>
      <c r="P289" s="28">
        <v>755.83</v>
      </c>
    </row>
    <row r="290" spans="1:16" ht="22.5" customHeight="1">
      <c r="A290" s="27" t="s">
        <v>756</v>
      </c>
      <c r="B290" s="34">
        <v>2025</v>
      </c>
      <c r="C290" s="66">
        <v>11</v>
      </c>
      <c r="D290" s="67">
        <v>0.41821759259259261</v>
      </c>
      <c r="E290" s="27" t="s">
        <v>256</v>
      </c>
      <c r="F290" s="68" t="s">
        <v>9</v>
      </c>
      <c r="G290" s="68" t="s">
        <v>280</v>
      </c>
      <c r="H290" s="27" t="s">
        <v>281</v>
      </c>
      <c r="I290" s="27" t="s">
        <v>45</v>
      </c>
      <c r="J290" s="28">
        <v>-5.68</v>
      </c>
      <c r="K290" s="28">
        <v>0</v>
      </c>
      <c r="L290" s="28">
        <v>-5.68</v>
      </c>
      <c r="M290" s="52">
        <f t="shared" si="2"/>
        <v>0</v>
      </c>
      <c r="N290" s="52">
        <f t="shared" si="3"/>
        <v>5.68</v>
      </c>
      <c r="O290" s="28" t="s">
        <v>759</v>
      </c>
      <c r="P290" s="28">
        <v>750.15</v>
      </c>
    </row>
    <row r="291" spans="1:16" ht="22.5" customHeight="1">
      <c r="A291" s="27" t="s">
        <v>756</v>
      </c>
      <c r="B291" s="34">
        <v>2025</v>
      </c>
      <c r="C291" s="66">
        <v>11</v>
      </c>
      <c r="D291" s="67">
        <v>0.42452546296296295</v>
      </c>
      <c r="E291" s="27" t="s">
        <v>256</v>
      </c>
      <c r="F291" s="68" t="s">
        <v>690</v>
      </c>
      <c r="G291" s="68" t="s">
        <v>291</v>
      </c>
      <c r="H291" s="27" t="s">
        <v>259</v>
      </c>
      <c r="I291" s="27" t="s">
        <v>45</v>
      </c>
      <c r="J291" s="28">
        <v>-6.49</v>
      </c>
      <c r="K291" s="28">
        <v>0.32</v>
      </c>
      <c r="L291" s="28">
        <v>-6.17</v>
      </c>
      <c r="M291" s="52">
        <f t="shared" si="2"/>
        <v>0</v>
      </c>
      <c r="N291" s="52">
        <f t="shared" si="3"/>
        <v>6.17</v>
      </c>
      <c r="O291" s="28" t="s">
        <v>760</v>
      </c>
      <c r="P291" s="28">
        <v>743.98</v>
      </c>
    </row>
    <row r="292" spans="1:16" ht="22.5" customHeight="1">
      <c r="A292" s="27" t="s">
        <v>756</v>
      </c>
      <c r="B292" s="34">
        <v>2025</v>
      </c>
      <c r="C292" s="66">
        <v>11</v>
      </c>
      <c r="D292" s="67">
        <v>0.42452546296296295</v>
      </c>
      <c r="E292" s="27" t="s">
        <v>256</v>
      </c>
      <c r="F292" s="68" t="s">
        <v>9</v>
      </c>
      <c r="G292" s="68" t="s">
        <v>285</v>
      </c>
      <c r="H292" s="27" t="s">
        <v>286</v>
      </c>
      <c r="I292" s="27" t="s">
        <v>45</v>
      </c>
      <c r="J292" s="28">
        <v>5.68</v>
      </c>
      <c r="K292" s="28">
        <v>0</v>
      </c>
      <c r="L292" s="28">
        <v>5.68</v>
      </c>
      <c r="M292" s="52">
        <f t="shared" si="2"/>
        <v>5.68</v>
      </c>
      <c r="N292" s="52">
        <f t="shared" si="3"/>
        <v>0</v>
      </c>
      <c r="O292" s="28" t="s">
        <v>759</v>
      </c>
      <c r="P292" s="28">
        <v>749.66</v>
      </c>
    </row>
    <row r="293" spans="1:16" ht="22.5" customHeight="1">
      <c r="A293" s="27" t="s">
        <v>756</v>
      </c>
      <c r="B293" s="34">
        <v>2025</v>
      </c>
      <c r="C293" s="66">
        <v>11</v>
      </c>
      <c r="D293" s="67">
        <v>0.42569444444444443</v>
      </c>
      <c r="E293" s="27" t="s">
        <v>256</v>
      </c>
      <c r="F293" s="68" t="s">
        <v>757</v>
      </c>
      <c r="G293" s="68" t="s">
        <v>291</v>
      </c>
      <c r="H293" s="27" t="s">
        <v>259</v>
      </c>
      <c r="I293" s="27" t="s">
        <v>45</v>
      </c>
      <c r="J293" s="28">
        <v>-12.6</v>
      </c>
      <c r="K293" s="28">
        <v>0.44</v>
      </c>
      <c r="L293" s="28">
        <v>-12.16</v>
      </c>
      <c r="M293" s="52">
        <f t="shared" si="2"/>
        <v>0</v>
      </c>
      <c r="N293" s="52">
        <f t="shared" si="3"/>
        <v>12.16</v>
      </c>
      <c r="O293" s="28" t="s">
        <v>761</v>
      </c>
      <c r="P293" s="28">
        <v>737.5</v>
      </c>
    </row>
    <row r="294" spans="1:16" ht="22.5" customHeight="1">
      <c r="A294" s="27" t="s">
        <v>762</v>
      </c>
      <c r="B294" s="34">
        <v>2025</v>
      </c>
      <c r="C294" s="66">
        <v>11</v>
      </c>
      <c r="D294" s="67">
        <v>0.11068287037037038</v>
      </c>
      <c r="E294" s="27" t="s">
        <v>256</v>
      </c>
      <c r="F294" s="68" t="s">
        <v>763</v>
      </c>
      <c r="G294" s="68" t="s">
        <v>262</v>
      </c>
      <c r="H294" s="27" t="s">
        <v>259</v>
      </c>
      <c r="I294" s="27" t="s">
        <v>45</v>
      </c>
      <c r="J294" s="28">
        <v>12.6</v>
      </c>
      <c r="K294" s="28">
        <v>-1.1200000000000001</v>
      </c>
      <c r="L294" s="28">
        <v>11.48</v>
      </c>
      <c r="M294" s="52">
        <f t="shared" si="2"/>
        <v>11.48</v>
      </c>
      <c r="N294" s="52">
        <f t="shared" si="3"/>
        <v>0</v>
      </c>
      <c r="O294" s="28" t="s">
        <v>764</v>
      </c>
      <c r="P294" s="28">
        <v>748.98</v>
      </c>
    </row>
    <row r="295" spans="1:16" ht="22.5" customHeight="1">
      <c r="A295" s="27" t="s">
        <v>762</v>
      </c>
      <c r="B295" s="34">
        <v>2025</v>
      </c>
      <c r="C295" s="66">
        <v>11</v>
      </c>
      <c r="D295" s="67">
        <v>0.1161574074074074</v>
      </c>
      <c r="E295" s="27" t="s">
        <v>256</v>
      </c>
      <c r="F295" s="68" t="s">
        <v>765</v>
      </c>
      <c r="G295" s="68" t="s">
        <v>262</v>
      </c>
      <c r="H295" s="27" t="s">
        <v>259</v>
      </c>
      <c r="I295" s="27" t="s">
        <v>45</v>
      </c>
      <c r="J295" s="28">
        <v>12.6</v>
      </c>
      <c r="K295" s="28">
        <v>-1.1200000000000001</v>
      </c>
      <c r="L295" s="28">
        <v>11.48</v>
      </c>
      <c r="M295" s="52">
        <f t="shared" si="2"/>
        <v>11.48</v>
      </c>
      <c r="N295" s="52">
        <f t="shared" si="3"/>
        <v>0</v>
      </c>
      <c r="O295" s="28" t="s">
        <v>766</v>
      </c>
      <c r="P295" s="28">
        <v>760.46</v>
      </c>
    </row>
    <row r="296" spans="1:16" ht="22.5" customHeight="1">
      <c r="A296" s="27" t="s">
        <v>762</v>
      </c>
      <c r="B296" s="34">
        <v>2025</v>
      </c>
      <c r="C296" s="66">
        <v>11</v>
      </c>
      <c r="D296" s="67">
        <v>0.16608796296296297</v>
      </c>
      <c r="E296" s="27" t="s">
        <v>256</v>
      </c>
      <c r="F296" s="68" t="s">
        <v>9</v>
      </c>
      <c r="G296" s="68" t="s">
        <v>280</v>
      </c>
      <c r="H296" s="27" t="s">
        <v>281</v>
      </c>
      <c r="I296" s="27" t="s">
        <v>45</v>
      </c>
      <c r="J296" s="28">
        <v>-11.48</v>
      </c>
      <c r="K296" s="28">
        <v>0</v>
      </c>
      <c r="L296" s="28">
        <v>-11.48</v>
      </c>
      <c r="M296" s="52">
        <f t="shared" si="2"/>
        <v>0</v>
      </c>
      <c r="N296" s="52">
        <f t="shared" si="3"/>
        <v>11.48</v>
      </c>
      <c r="O296" s="28" t="s">
        <v>767</v>
      </c>
      <c r="P296" s="28">
        <v>748.98</v>
      </c>
    </row>
    <row r="297" spans="1:16" ht="22.5" customHeight="1">
      <c r="A297" s="27" t="s">
        <v>762</v>
      </c>
      <c r="B297" s="34">
        <v>2025</v>
      </c>
      <c r="C297" s="66">
        <v>11</v>
      </c>
      <c r="D297" s="67">
        <v>0.80732638888888886</v>
      </c>
      <c r="E297" s="27" t="s">
        <v>256</v>
      </c>
      <c r="F297" s="68" t="s">
        <v>768</v>
      </c>
      <c r="G297" s="68" t="s">
        <v>258</v>
      </c>
      <c r="H297" s="27" t="s">
        <v>259</v>
      </c>
      <c r="I297" s="27" t="s">
        <v>45</v>
      </c>
      <c r="J297" s="28">
        <v>2.4900000000000002</v>
      </c>
      <c r="K297" s="28">
        <v>-0.61</v>
      </c>
      <c r="L297" s="28">
        <v>1.88</v>
      </c>
      <c r="M297" s="52">
        <f t="shared" si="2"/>
        <v>1.88</v>
      </c>
      <c r="N297" s="52">
        <f t="shared" si="3"/>
        <v>0</v>
      </c>
      <c r="O297" s="28" t="s">
        <v>769</v>
      </c>
      <c r="P297" s="28">
        <v>750.86</v>
      </c>
    </row>
    <row r="298" spans="1:16" ht="22.5" customHeight="1">
      <c r="A298" s="27" t="s">
        <v>762</v>
      </c>
      <c r="B298" s="34">
        <v>2025</v>
      </c>
      <c r="C298" s="66">
        <v>11</v>
      </c>
      <c r="D298" s="67">
        <v>0.82104166666666667</v>
      </c>
      <c r="E298" s="27" t="s">
        <v>256</v>
      </c>
      <c r="F298" s="68" t="s">
        <v>763</v>
      </c>
      <c r="G298" s="68" t="s">
        <v>291</v>
      </c>
      <c r="H298" s="27" t="s">
        <v>259</v>
      </c>
      <c r="I298" s="27" t="s">
        <v>45</v>
      </c>
      <c r="J298" s="28">
        <v>-12.6</v>
      </c>
      <c r="K298" s="28">
        <v>0.63</v>
      </c>
      <c r="L298" s="28">
        <v>-11.97</v>
      </c>
      <c r="M298" s="52">
        <f t="shared" si="2"/>
        <v>0</v>
      </c>
      <c r="N298" s="52">
        <f t="shared" si="3"/>
        <v>11.97</v>
      </c>
      <c r="O298" s="28" t="s">
        <v>770</v>
      </c>
      <c r="P298" s="28">
        <v>738.89</v>
      </c>
    </row>
    <row r="299" spans="1:16" ht="22.5" customHeight="1">
      <c r="A299" s="27" t="s">
        <v>762</v>
      </c>
      <c r="B299" s="34">
        <v>2025</v>
      </c>
      <c r="C299" s="66">
        <v>11</v>
      </c>
      <c r="D299" s="67">
        <v>0.82104166666666667</v>
      </c>
      <c r="E299" s="27" t="s">
        <v>256</v>
      </c>
      <c r="F299" s="68" t="s">
        <v>9</v>
      </c>
      <c r="G299" s="68" t="s">
        <v>285</v>
      </c>
      <c r="H299" s="27" t="s">
        <v>286</v>
      </c>
      <c r="I299" s="27" t="s">
        <v>45</v>
      </c>
      <c r="J299" s="28">
        <v>11.48</v>
      </c>
      <c r="K299" s="28">
        <v>0</v>
      </c>
      <c r="L299" s="28">
        <v>11.48</v>
      </c>
      <c r="M299" s="52">
        <f t="shared" si="2"/>
        <v>11.48</v>
      </c>
      <c r="N299" s="52">
        <f t="shared" si="3"/>
        <v>0</v>
      </c>
      <c r="O299" s="28" t="s">
        <v>767</v>
      </c>
      <c r="P299" s="28">
        <v>750.37</v>
      </c>
    </row>
    <row r="300" spans="1:16" ht="22.5" customHeight="1">
      <c r="A300" s="27" t="s">
        <v>771</v>
      </c>
      <c r="B300" s="34">
        <v>2025</v>
      </c>
      <c r="C300" s="66">
        <v>11</v>
      </c>
      <c r="D300" s="67">
        <v>9.7187499999999996E-2</v>
      </c>
      <c r="E300" s="27" t="s">
        <v>256</v>
      </c>
      <c r="F300" s="68" t="s">
        <v>574</v>
      </c>
      <c r="G300" s="68" t="s">
        <v>262</v>
      </c>
      <c r="H300" s="27" t="s">
        <v>259</v>
      </c>
      <c r="I300" s="27" t="s">
        <v>45</v>
      </c>
      <c r="J300" s="28">
        <v>7.27</v>
      </c>
      <c r="K300" s="28">
        <v>-0.74</v>
      </c>
      <c r="L300" s="28">
        <v>6.53</v>
      </c>
      <c r="M300" s="52">
        <f t="shared" si="2"/>
        <v>6.53</v>
      </c>
      <c r="N300" s="52">
        <f t="shared" si="3"/>
        <v>0</v>
      </c>
      <c r="O300" s="28" t="s">
        <v>772</v>
      </c>
      <c r="P300" s="28">
        <v>756.9</v>
      </c>
    </row>
    <row r="301" spans="1:16" ht="22.5" customHeight="1">
      <c r="A301" s="27" t="s">
        <v>773</v>
      </c>
      <c r="B301" s="34">
        <v>2025</v>
      </c>
      <c r="C301" s="66">
        <v>11</v>
      </c>
      <c r="D301" s="67">
        <v>0.10983796296296296</v>
      </c>
      <c r="E301" s="27" t="s">
        <v>256</v>
      </c>
      <c r="F301" s="68" t="s">
        <v>574</v>
      </c>
      <c r="G301" s="68" t="s">
        <v>262</v>
      </c>
      <c r="H301" s="27" t="s">
        <v>259</v>
      </c>
      <c r="I301" s="27" t="s">
        <v>45</v>
      </c>
      <c r="J301" s="28">
        <v>7.27</v>
      </c>
      <c r="K301" s="28">
        <v>-0.74</v>
      </c>
      <c r="L301" s="28">
        <v>6.53</v>
      </c>
      <c r="M301" s="52">
        <f t="shared" si="2"/>
        <v>6.53</v>
      </c>
      <c r="N301" s="52">
        <f t="shared" si="3"/>
        <v>0</v>
      </c>
      <c r="O301" s="28" t="s">
        <v>774</v>
      </c>
      <c r="P301" s="28">
        <v>763.43</v>
      </c>
    </row>
    <row r="302" spans="1:16" ht="22.5" customHeight="1">
      <c r="A302" s="27" t="s">
        <v>773</v>
      </c>
      <c r="B302" s="34">
        <v>2025</v>
      </c>
      <c r="C302" s="66">
        <v>11</v>
      </c>
      <c r="D302" s="67">
        <v>0.12467592592592593</v>
      </c>
      <c r="E302" s="27" t="s">
        <v>256</v>
      </c>
      <c r="F302" s="68" t="s">
        <v>775</v>
      </c>
      <c r="G302" s="68" t="s">
        <v>262</v>
      </c>
      <c r="H302" s="27" t="s">
        <v>259</v>
      </c>
      <c r="I302" s="27" t="s">
        <v>45</v>
      </c>
      <c r="J302" s="28">
        <v>12.6</v>
      </c>
      <c r="K302" s="28">
        <v>-0.93</v>
      </c>
      <c r="L302" s="28">
        <v>11.67</v>
      </c>
      <c r="M302" s="52">
        <f t="shared" si="2"/>
        <v>11.67</v>
      </c>
      <c r="N302" s="52">
        <f t="shared" si="3"/>
        <v>0</v>
      </c>
      <c r="O302" s="28" t="s">
        <v>776</v>
      </c>
      <c r="P302" s="28">
        <v>775.1</v>
      </c>
    </row>
    <row r="303" spans="1:16" ht="22.5" customHeight="1">
      <c r="A303" s="27" t="s">
        <v>777</v>
      </c>
      <c r="B303" s="34">
        <v>2025</v>
      </c>
      <c r="C303" s="66">
        <v>11</v>
      </c>
      <c r="D303" s="67">
        <v>0.71077546296296301</v>
      </c>
      <c r="E303" s="27" t="s">
        <v>256</v>
      </c>
      <c r="F303" s="68" t="s">
        <v>778</v>
      </c>
      <c r="G303" s="68" t="s">
        <v>262</v>
      </c>
      <c r="H303" s="27" t="s">
        <v>259</v>
      </c>
      <c r="I303" s="27" t="s">
        <v>45</v>
      </c>
      <c r="J303" s="28">
        <v>14.7</v>
      </c>
      <c r="K303" s="28">
        <v>-1.22</v>
      </c>
      <c r="L303" s="28">
        <v>13.48</v>
      </c>
      <c r="M303" s="52">
        <f t="shared" si="2"/>
        <v>13.48</v>
      </c>
      <c r="N303" s="52">
        <f t="shared" si="3"/>
        <v>0</v>
      </c>
      <c r="O303" s="28" t="s">
        <v>779</v>
      </c>
      <c r="P303" s="28">
        <v>788.58</v>
      </c>
    </row>
    <row r="304" spans="1:16" ht="22.5" customHeight="1">
      <c r="A304" s="27" t="s">
        <v>777</v>
      </c>
      <c r="B304" s="34">
        <v>2025</v>
      </c>
      <c r="C304" s="66">
        <v>11</v>
      </c>
      <c r="D304" s="67">
        <v>0.82593749999999999</v>
      </c>
      <c r="E304" s="27" t="s">
        <v>256</v>
      </c>
      <c r="F304" s="68" t="s">
        <v>704</v>
      </c>
      <c r="G304" s="68" t="s">
        <v>258</v>
      </c>
      <c r="H304" s="27" t="s">
        <v>259</v>
      </c>
      <c r="I304" s="27" t="s">
        <v>45</v>
      </c>
      <c r="J304" s="28">
        <v>12.78</v>
      </c>
      <c r="K304" s="28">
        <v>-1.1299999999999999</v>
      </c>
      <c r="L304" s="28">
        <v>11.65</v>
      </c>
      <c r="M304" s="52">
        <f t="shared" si="2"/>
        <v>11.65</v>
      </c>
      <c r="N304" s="52">
        <f t="shared" si="3"/>
        <v>0</v>
      </c>
      <c r="O304" s="28" t="s">
        <v>780</v>
      </c>
      <c r="P304" s="28">
        <v>800.23</v>
      </c>
    </row>
    <row r="305" spans="1:16" ht="22.5" customHeight="1">
      <c r="A305" s="30">
        <v>45700</v>
      </c>
      <c r="B305" s="34">
        <v>2025</v>
      </c>
      <c r="C305" s="66">
        <v>12</v>
      </c>
      <c r="D305" s="67">
        <v>0.74</v>
      </c>
      <c r="E305" s="27" t="s">
        <v>256</v>
      </c>
      <c r="F305" s="68" t="s">
        <v>781</v>
      </c>
      <c r="G305" s="68" t="s">
        <v>262</v>
      </c>
      <c r="H305" s="27" t="s">
        <v>259</v>
      </c>
      <c r="I305" s="27" t="s">
        <v>45</v>
      </c>
      <c r="J305" s="28">
        <v>23.99</v>
      </c>
      <c r="K305" s="28">
        <v>-1.33</v>
      </c>
      <c r="L305" s="28">
        <v>22.66</v>
      </c>
      <c r="M305" s="52">
        <f t="shared" si="2"/>
        <v>22.66</v>
      </c>
      <c r="N305" s="52">
        <f t="shared" si="3"/>
        <v>0</v>
      </c>
      <c r="O305" s="28" t="s">
        <v>782</v>
      </c>
      <c r="P305" s="28">
        <v>822.89</v>
      </c>
    </row>
    <row r="306" spans="1:16" ht="22.5" customHeight="1">
      <c r="A306" s="30">
        <v>45700</v>
      </c>
      <c r="B306" s="34">
        <v>2025</v>
      </c>
      <c r="C306" s="66">
        <v>12</v>
      </c>
      <c r="D306" s="67">
        <v>0.98829861111111106</v>
      </c>
      <c r="E306" s="27" t="s">
        <v>256</v>
      </c>
      <c r="F306" s="68" t="s">
        <v>9</v>
      </c>
      <c r="G306" s="68" t="s">
        <v>280</v>
      </c>
      <c r="H306" s="27" t="s">
        <v>281</v>
      </c>
      <c r="I306" s="27" t="s">
        <v>45</v>
      </c>
      <c r="J306" s="28">
        <v>-11.67</v>
      </c>
      <c r="K306" s="28">
        <v>0</v>
      </c>
      <c r="L306" s="28">
        <v>-11.67</v>
      </c>
      <c r="M306" s="52">
        <f t="shared" si="2"/>
        <v>0</v>
      </c>
      <c r="N306" s="52">
        <f t="shared" si="3"/>
        <v>11.67</v>
      </c>
      <c r="O306" s="28" t="s">
        <v>783</v>
      </c>
      <c r="P306" s="28">
        <v>811.22</v>
      </c>
    </row>
    <row r="307" spans="1:16" ht="22.5" customHeight="1">
      <c r="A307" s="30">
        <v>45728</v>
      </c>
      <c r="B307" s="34">
        <v>2025</v>
      </c>
      <c r="C307" s="66">
        <v>12</v>
      </c>
      <c r="D307" s="67">
        <v>3.0208333333333333E-3</v>
      </c>
      <c r="E307" s="27" t="s">
        <v>256</v>
      </c>
      <c r="F307" s="68" t="s">
        <v>775</v>
      </c>
      <c r="G307" s="68" t="s">
        <v>291</v>
      </c>
      <c r="H307" s="27" t="s">
        <v>259</v>
      </c>
      <c r="I307" s="27" t="s">
        <v>45</v>
      </c>
      <c r="J307" s="28">
        <v>-12.6</v>
      </c>
      <c r="K307" s="28">
        <v>0.44</v>
      </c>
      <c r="L307" s="28">
        <v>-12.16</v>
      </c>
      <c r="M307" s="52">
        <f t="shared" si="2"/>
        <v>0</v>
      </c>
      <c r="N307" s="52">
        <f t="shared" si="3"/>
        <v>12.16</v>
      </c>
      <c r="O307" s="28" t="s">
        <v>784</v>
      </c>
      <c r="P307" s="28">
        <v>799.06</v>
      </c>
    </row>
    <row r="308" spans="1:16" ht="22.5" customHeight="1">
      <c r="A308" s="30">
        <v>45728</v>
      </c>
      <c r="B308" s="34">
        <v>2025</v>
      </c>
      <c r="C308" s="66">
        <v>12</v>
      </c>
      <c r="D308" s="67">
        <v>3.0208333333333333E-3</v>
      </c>
      <c r="E308" s="27" t="s">
        <v>256</v>
      </c>
      <c r="F308" s="68" t="s">
        <v>9</v>
      </c>
      <c r="G308" s="68" t="s">
        <v>285</v>
      </c>
      <c r="H308" s="27" t="s">
        <v>286</v>
      </c>
      <c r="I308" s="27" t="s">
        <v>45</v>
      </c>
      <c r="J308" s="28">
        <v>11.67</v>
      </c>
      <c r="K308" s="28">
        <v>0</v>
      </c>
      <c r="L308" s="28">
        <v>11.67</v>
      </c>
      <c r="M308" s="52">
        <f t="shared" si="2"/>
        <v>11.67</v>
      </c>
      <c r="N308" s="52">
        <f t="shared" si="3"/>
        <v>0</v>
      </c>
      <c r="O308" s="28" t="s">
        <v>783</v>
      </c>
      <c r="P308" s="28">
        <v>810.73</v>
      </c>
    </row>
    <row r="309" spans="1:16" ht="22.5" customHeight="1">
      <c r="A309" s="30">
        <v>45728</v>
      </c>
      <c r="B309" s="34">
        <v>2025</v>
      </c>
      <c r="C309" s="66">
        <v>12</v>
      </c>
      <c r="D309" s="67">
        <v>0.11263888888888889</v>
      </c>
      <c r="E309" s="27" t="s">
        <v>256</v>
      </c>
      <c r="F309" s="68" t="s">
        <v>420</v>
      </c>
      <c r="G309" s="68" t="s">
        <v>262</v>
      </c>
      <c r="H309" s="27" t="s">
        <v>259</v>
      </c>
      <c r="I309" s="27" t="s">
        <v>45</v>
      </c>
      <c r="J309" s="28">
        <v>1.22</v>
      </c>
      <c r="K309" s="28">
        <v>-0.55000000000000004</v>
      </c>
      <c r="L309" s="28">
        <v>0.67</v>
      </c>
      <c r="M309" s="52">
        <f t="shared" si="2"/>
        <v>0.67</v>
      </c>
      <c r="N309" s="52">
        <f t="shared" si="3"/>
        <v>0</v>
      </c>
      <c r="O309" s="28" t="s">
        <v>785</v>
      </c>
      <c r="P309" s="28">
        <v>811.4</v>
      </c>
    </row>
    <row r="310" spans="1:16" ht="22.5" customHeight="1">
      <c r="A310" s="30">
        <v>45789</v>
      </c>
      <c r="B310" s="34">
        <v>2025</v>
      </c>
      <c r="C310" s="66">
        <v>12</v>
      </c>
      <c r="D310" s="67">
        <v>1.6527777777777777E-2</v>
      </c>
      <c r="E310" s="27" t="s">
        <v>256</v>
      </c>
      <c r="F310" s="68" t="s">
        <v>455</v>
      </c>
      <c r="G310" s="68" t="s">
        <v>262</v>
      </c>
      <c r="H310" s="27" t="s">
        <v>259</v>
      </c>
      <c r="I310" s="27" t="s">
        <v>45</v>
      </c>
      <c r="J310" s="28">
        <v>8.7899999999999991</v>
      </c>
      <c r="K310" s="28">
        <v>-0.93</v>
      </c>
      <c r="L310" s="28">
        <v>7.86</v>
      </c>
      <c r="M310" s="52">
        <f t="shared" si="2"/>
        <v>7.86</v>
      </c>
      <c r="N310" s="52">
        <f t="shared" si="3"/>
        <v>0</v>
      </c>
      <c r="O310" s="28" t="s">
        <v>786</v>
      </c>
      <c r="P310" s="28">
        <v>819.26</v>
      </c>
    </row>
    <row r="311" spans="1:16" ht="22.5" customHeight="1">
      <c r="A311" s="30">
        <v>45789</v>
      </c>
      <c r="B311" s="34">
        <v>2025</v>
      </c>
      <c r="C311" s="66">
        <v>12</v>
      </c>
      <c r="D311" s="67">
        <v>0.42298611111111112</v>
      </c>
      <c r="E311" s="27" t="s">
        <v>256</v>
      </c>
      <c r="F311" s="68" t="s">
        <v>787</v>
      </c>
      <c r="G311" s="68" t="s">
        <v>258</v>
      </c>
      <c r="H311" s="27" t="s">
        <v>259</v>
      </c>
      <c r="I311" s="27" t="s">
        <v>45</v>
      </c>
      <c r="J311" s="28">
        <v>8.4</v>
      </c>
      <c r="K311" s="28">
        <v>-0.78</v>
      </c>
      <c r="L311" s="28">
        <v>7.62</v>
      </c>
      <c r="M311" s="52">
        <f t="shared" si="2"/>
        <v>7.62</v>
      </c>
      <c r="N311" s="52">
        <f t="shared" si="3"/>
        <v>0</v>
      </c>
      <c r="O311" s="28" t="s">
        <v>788</v>
      </c>
      <c r="P311" s="28">
        <v>826.88</v>
      </c>
    </row>
    <row r="312" spans="1:16" ht="22.5" customHeight="1">
      <c r="A312" s="30">
        <v>45820</v>
      </c>
      <c r="B312" s="34">
        <v>2025</v>
      </c>
      <c r="C312" s="66">
        <v>12</v>
      </c>
      <c r="D312" s="67">
        <v>0.28190972222222221</v>
      </c>
      <c r="E312" s="27" t="s">
        <v>256</v>
      </c>
      <c r="F312" s="68" t="s">
        <v>789</v>
      </c>
      <c r="G312" s="68" t="s">
        <v>262</v>
      </c>
      <c r="H312" s="27" t="s">
        <v>259</v>
      </c>
      <c r="I312" s="27" t="s">
        <v>45</v>
      </c>
      <c r="J312" s="28">
        <v>6.49</v>
      </c>
      <c r="K312" s="28">
        <v>-0.81</v>
      </c>
      <c r="L312" s="28">
        <v>5.68</v>
      </c>
      <c r="M312" s="52">
        <f t="shared" si="2"/>
        <v>5.68</v>
      </c>
      <c r="N312" s="52">
        <f t="shared" si="3"/>
        <v>0</v>
      </c>
      <c r="O312" s="28" t="s">
        <v>790</v>
      </c>
      <c r="P312" s="28">
        <v>832.56</v>
      </c>
    </row>
    <row r="313" spans="1:16" ht="22.5" customHeight="1">
      <c r="A313" s="30">
        <v>45881</v>
      </c>
      <c r="B313" s="34">
        <v>2025</v>
      </c>
      <c r="C313" s="66">
        <v>12</v>
      </c>
      <c r="D313" s="67">
        <v>0.28789351851851852</v>
      </c>
      <c r="E313" s="27" t="s">
        <v>256</v>
      </c>
      <c r="F313" s="68" t="s">
        <v>791</v>
      </c>
      <c r="G313" s="68" t="s">
        <v>258</v>
      </c>
      <c r="H313" s="27" t="s">
        <v>259</v>
      </c>
      <c r="I313" s="27" t="s">
        <v>45</v>
      </c>
      <c r="J313" s="28">
        <v>17.309999999999999</v>
      </c>
      <c r="K313" s="28">
        <v>-1.35</v>
      </c>
      <c r="L313" s="28">
        <v>15.96</v>
      </c>
      <c r="M313" s="52">
        <f t="shared" si="2"/>
        <v>15.96</v>
      </c>
      <c r="N313" s="52">
        <f t="shared" si="3"/>
        <v>0</v>
      </c>
      <c r="O313" s="28" t="s">
        <v>792</v>
      </c>
      <c r="P313" s="28">
        <v>848.52</v>
      </c>
    </row>
    <row r="314" spans="1:16" ht="22.5" customHeight="1">
      <c r="A314" s="30">
        <v>45912</v>
      </c>
      <c r="B314" s="34">
        <v>2025</v>
      </c>
      <c r="C314" s="66">
        <v>12</v>
      </c>
      <c r="D314" s="67">
        <v>0.71454861111111112</v>
      </c>
      <c r="E314" s="27" t="s">
        <v>256</v>
      </c>
      <c r="F314" s="68" t="s">
        <v>793</v>
      </c>
      <c r="G314" s="68" t="s">
        <v>258</v>
      </c>
      <c r="H314" s="27" t="s">
        <v>259</v>
      </c>
      <c r="I314" s="27" t="s">
        <v>45</v>
      </c>
      <c r="J314" s="28">
        <v>60.99</v>
      </c>
      <c r="K314" s="28">
        <v>-3.53</v>
      </c>
      <c r="L314" s="28">
        <v>57.46</v>
      </c>
      <c r="M314" s="52">
        <f t="shared" si="2"/>
        <v>57.46</v>
      </c>
      <c r="N314" s="52">
        <f t="shared" si="3"/>
        <v>0</v>
      </c>
      <c r="O314" s="28" t="s">
        <v>794</v>
      </c>
      <c r="P314" s="28">
        <v>905.98</v>
      </c>
    </row>
    <row r="315" spans="1:16" ht="22.5" customHeight="1">
      <c r="A315" s="30">
        <v>45912</v>
      </c>
      <c r="B315" s="34">
        <v>2025</v>
      </c>
      <c r="C315" s="66">
        <v>12</v>
      </c>
      <c r="D315" s="67">
        <v>0.71983796296296299</v>
      </c>
      <c r="E315" s="27" t="s">
        <v>256</v>
      </c>
      <c r="F315" s="68" t="s">
        <v>720</v>
      </c>
      <c r="G315" s="68" t="s">
        <v>258</v>
      </c>
      <c r="H315" s="27" t="s">
        <v>259</v>
      </c>
      <c r="I315" s="27" t="s">
        <v>45</v>
      </c>
      <c r="J315" s="28">
        <v>5.53</v>
      </c>
      <c r="K315" s="28">
        <v>-0.77</v>
      </c>
      <c r="L315" s="28">
        <v>4.76</v>
      </c>
      <c r="M315" s="52">
        <f t="shared" si="2"/>
        <v>4.76</v>
      </c>
      <c r="N315" s="52">
        <f t="shared" si="3"/>
        <v>0</v>
      </c>
      <c r="O315" s="28" t="s">
        <v>795</v>
      </c>
      <c r="P315" s="28">
        <v>910.74</v>
      </c>
    </row>
    <row r="316" spans="1:16" ht="22.5" customHeight="1">
      <c r="A316" s="30">
        <v>45942</v>
      </c>
      <c r="B316" s="34">
        <v>2025</v>
      </c>
      <c r="C316" s="66">
        <v>12</v>
      </c>
      <c r="D316" s="67">
        <v>0.2300462962962963</v>
      </c>
      <c r="E316" s="27" t="s">
        <v>256</v>
      </c>
      <c r="F316" s="68" t="s">
        <v>319</v>
      </c>
      <c r="G316" s="68" t="s">
        <v>320</v>
      </c>
      <c r="H316" s="27" t="s">
        <v>259</v>
      </c>
      <c r="I316" s="27" t="s">
        <v>45</v>
      </c>
      <c r="J316" s="28">
        <v>-2.5</v>
      </c>
      <c r="K316" s="28">
        <v>0</v>
      </c>
      <c r="L316" s="28">
        <v>-2.5</v>
      </c>
      <c r="M316" s="52">
        <f t="shared" si="2"/>
        <v>0</v>
      </c>
      <c r="N316" s="52">
        <f t="shared" si="3"/>
        <v>2.5</v>
      </c>
      <c r="O316" s="28" t="s">
        <v>796</v>
      </c>
      <c r="P316" s="28">
        <v>908.24</v>
      </c>
    </row>
    <row r="317" spans="1:16" ht="22.5" customHeight="1">
      <c r="A317" s="30">
        <v>45942</v>
      </c>
      <c r="B317" s="34">
        <v>2025</v>
      </c>
      <c r="C317" s="66">
        <v>12</v>
      </c>
      <c r="D317" s="67">
        <v>0.46650462962962963</v>
      </c>
      <c r="E317" s="27" t="s">
        <v>256</v>
      </c>
      <c r="F317" s="68" t="s">
        <v>654</v>
      </c>
      <c r="G317" s="68" t="s">
        <v>320</v>
      </c>
      <c r="H317" s="27" t="s">
        <v>259</v>
      </c>
      <c r="I317" s="27" t="s">
        <v>45</v>
      </c>
      <c r="J317" s="28">
        <v>-10.5</v>
      </c>
      <c r="K317" s="28">
        <v>0</v>
      </c>
      <c r="L317" s="28">
        <v>-10.5</v>
      </c>
      <c r="M317" s="52">
        <f t="shared" si="2"/>
        <v>0</v>
      </c>
      <c r="N317" s="52">
        <f t="shared" si="3"/>
        <v>10.5</v>
      </c>
      <c r="O317" s="28" t="s">
        <v>797</v>
      </c>
      <c r="P317" s="28">
        <v>897.74</v>
      </c>
    </row>
    <row r="318" spans="1:16" ht="22.5" customHeight="1">
      <c r="A318" s="30">
        <v>46003</v>
      </c>
      <c r="B318" s="34">
        <v>2025</v>
      </c>
      <c r="C318" s="66">
        <v>12</v>
      </c>
      <c r="D318" s="67">
        <v>0.92738425925925927</v>
      </c>
      <c r="E318" s="27" t="s">
        <v>256</v>
      </c>
      <c r="F318" s="68" t="s">
        <v>609</v>
      </c>
      <c r="G318" s="68" t="s">
        <v>258</v>
      </c>
      <c r="H318" s="27" t="s">
        <v>259</v>
      </c>
      <c r="I318" s="27" t="s">
        <v>45</v>
      </c>
      <c r="J318" s="28">
        <v>14.17</v>
      </c>
      <c r="K318" s="28">
        <v>-1.2</v>
      </c>
      <c r="L318" s="28">
        <v>12.97</v>
      </c>
      <c r="M318" s="52">
        <f t="shared" si="2"/>
        <v>12.97</v>
      </c>
      <c r="N318" s="52">
        <f t="shared" si="3"/>
        <v>0</v>
      </c>
      <c r="O318" s="28" t="s">
        <v>798</v>
      </c>
      <c r="P318" s="28">
        <v>910.71</v>
      </c>
    </row>
    <row r="319" spans="1:16" ht="22.5" customHeight="1">
      <c r="A319" s="27" t="s">
        <v>799</v>
      </c>
      <c r="B319" s="34">
        <v>2025</v>
      </c>
      <c r="C319" s="66">
        <v>12</v>
      </c>
      <c r="D319" s="67">
        <v>0.11891203703703704</v>
      </c>
      <c r="E319" s="27" t="s">
        <v>256</v>
      </c>
      <c r="F319" s="68" t="s">
        <v>800</v>
      </c>
      <c r="G319" s="68" t="s">
        <v>262</v>
      </c>
      <c r="H319" s="27" t="s">
        <v>259</v>
      </c>
      <c r="I319" s="27" t="s">
        <v>45</v>
      </c>
      <c r="J319" s="28">
        <v>11.99</v>
      </c>
      <c r="K319" s="28">
        <v>-1.0900000000000001</v>
      </c>
      <c r="L319" s="28">
        <v>10.9</v>
      </c>
      <c r="M319" s="52">
        <f t="shared" si="2"/>
        <v>10.9</v>
      </c>
      <c r="N319" s="52">
        <f t="shared" si="3"/>
        <v>0</v>
      </c>
      <c r="O319" s="28" t="s">
        <v>801</v>
      </c>
      <c r="P319" s="28">
        <v>921.61</v>
      </c>
    </row>
    <row r="320" spans="1:16" ht="22.5" customHeight="1">
      <c r="A320" s="27" t="s">
        <v>799</v>
      </c>
      <c r="B320" s="34">
        <v>2025</v>
      </c>
      <c r="C320" s="66">
        <v>12</v>
      </c>
      <c r="D320" s="67">
        <v>0.14502314814814815</v>
      </c>
      <c r="E320" s="27" t="s">
        <v>256</v>
      </c>
      <c r="F320" s="68" t="s">
        <v>802</v>
      </c>
      <c r="G320" s="68" t="s">
        <v>262</v>
      </c>
      <c r="H320" s="27" t="s">
        <v>259</v>
      </c>
      <c r="I320" s="27" t="s">
        <v>45</v>
      </c>
      <c r="J320" s="28">
        <v>99.99</v>
      </c>
      <c r="K320" s="28">
        <v>-5.48</v>
      </c>
      <c r="L320" s="28">
        <v>94.51</v>
      </c>
      <c r="M320" s="52">
        <f t="shared" si="2"/>
        <v>94.51</v>
      </c>
      <c r="N320" s="52">
        <f t="shared" si="3"/>
        <v>0</v>
      </c>
      <c r="O320" s="28" t="s">
        <v>803</v>
      </c>
      <c r="P320" s="44">
        <v>1016.12</v>
      </c>
    </row>
    <row r="321" spans="1:16" ht="22.5" customHeight="1">
      <c r="A321" s="27" t="s">
        <v>799</v>
      </c>
      <c r="B321" s="34">
        <v>2025</v>
      </c>
      <c r="C321" s="66">
        <v>12</v>
      </c>
      <c r="D321" s="67">
        <v>0.15464120370370371</v>
      </c>
      <c r="E321" s="27" t="s">
        <v>256</v>
      </c>
      <c r="F321" s="68" t="s">
        <v>802</v>
      </c>
      <c r="G321" s="68" t="s">
        <v>262</v>
      </c>
      <c r="H321" s="27" t="s">
        <v>259</v>
      </c>
      <c r="I321" s="27" t="s">
        <v>45</v>
      </c>
      <c r="J321" s="28">
        <v>69.989999999999995</v>
      </c>
      <c r="K321" s="28">
        <v>-3.98</v>
      </c>
      <c r="L321" s="28">
        <v>66.010000000000005</v>
      </c>
      <c r="M321" s="52">
        <f t="shared" si="2"/>
        <v>66.010000000000005</v>
      </c>
      <c r="N321" s="52">
        <f t="shared" si="3"/>
        <v>0</v>
      </c>
      <c r="O321" s="28" t="s">
        <v>804</v>
      </c>
      <c r="P321" s="44">
        <v>1082.1300000000001</v>
      </c>
    </row>
    <row r="322" spans="1:16" ht="22.5" customHeight="1">
      <c r="A322" s="27" t="s">
        <v>805</v>
      </c>
      <c r="B322" s="34">
        <v>2025</v>
      </c>
      <c r="C322" s="66">
        <v>12</v>
      </c>
      <c r="D322" s="67">
        <v>0.67343750000000002</v>
      </c>
      <c r="E322" s="27" t="s">
        <v>256</v>
      </c>
      <c r="F322" s="68" t="s">
        <v>9</v>
      </c>
      <c r="G322" s="68" t="s">
        <v>280</v>
      </c>
      <c r="H322" s="27" t="s">
        <v>281</v>
      </c>
      <c r="I322" s="27" t="s">
        <v>45</v>
      </c>
      <c r="J322" s="28">
        <v>-10.9</v>
      </c>
      <c r="K322" s="28">
        <v>0</v>
      </c>
      <c r="L322" s="28">
        <v>-10.9</v>
      </c>
      <c r="M322" s="52">
        <f t="shared" si="2"/>
        <v>0</v>
      </c>
      <c r="N322" s="52">
        <f t="shared" si="3"/>
        <v>10.9</v>
      </c>
      <c r="O322" s="28" t="s">
        <v>806</v>
      </c>
      <c r="P322" s="44">
        <v>1071.23</v>
      </c>
    </row>
    <row r="323" spans="1:16" ht="22.5" customHeight="1">
      <c r="A323" s="27" t="s">
        <v>805</v>
      </c>
      <c r="B323" s="34">
        <v>2025</v>
      </c>
      <c r="C323" s="66">
        <v>12</v>
      </c>
      <c r="D323" s="67">
        <v>0.67689814814814819</v>
      </c>
      <c r="E323" s="27" t="s">
        <v>256</v>
      </c>
      <c r="F323" s="68" t="s">
        <v>800</v>
      </c>
      <c r="G323" s="68" t="s">
        <v>291</v>
      </c>
      <c r="H323" s="27" t="s">
        <v>259</v>
      </c>
      <c r="I323" s="27" t="s">
        <v>45</v>
      </c>
      <c r="J323" s="28">
        <v>-11.99</v>
      </c>
      <c r="K323" s="28">
        <v>0.6</v>
      </c>
      <c r="L323" s="28">
        <v>-11.39</v>
      </c>
      <c r="M323" s="52">
        <f t="shared" si="2"/>
        <v>0</v>
      </c>
      <c r="N323" s="52">
        <f t="shared" si="3"/>
        <v>11.39</v>
      </c>
      <c r="O323" s="28" t="s">
        <v>807</v>
      </c>
      <c r="P323" s="44">
        <v>1059.8399999999999</v>
      </c>
    </row>
    <row r="324" spans="1:16" ht="22.5" customHeight="1">
      <c r="A324" s="27" t="s">
        <v>805</v>
      </c>
      <c r="B324" s="34">
        <v>2025</v>
      </c>
      <c r="C324" s="66">
        <v>12</v>
      </c>
      <c r="D324" s="67">
        <v>0.67689814814814819</v>
      </c>
      <c r="E324" s="27" t="s">
        <v>256</v>
      </c>
      <c r="F324" s="68" t="s">
        <v>9</v>
      </c>
      <c r="G324" s="68" t="s">
        <v>285</v>
      </c>
      <c r="H324" s="27" t="s">
        <v>286</v>
      </c>
      <c r="I324" s="27" t="s">
        <v>45</v>
      </c>
      <c r="J324" s="28">
        <v>10.9</v>
      </c>
      <c r="K324" s="28">
        <v>0</v>
      </c>
      <c r="L324" s="28">
        <v>10.9</v>
      </c>
      <c r="M324" s="52">
        <f t="shared" si="2"/>
        <v>10.9</v>
      </c>
      <c r="N324" s="52">
        <f t="shared" si="3"/>
        <v>0</v>
      </c>
      <c r="O324" s="28" t="s">
        <v>806</v>
      </c>
      <c r="P324" s="44">
        <v>1070.74</v>
      </c>
    </row>
    <row r="325" spans="1:16" ht="22.5" customHeight="1">
      <c r="A325" s="27" t="s">
        <v>808</v>
      </c>
      <c r="B325" s="34">
        <v>2025</v>
      </c>
      <c r="C325" s="66">
        <v>12</v>
      </c>
      <c r="D325" s="67">
        <v>0.11738425925925926</v>
      </c>
      <c r="E325" s="27" t="s">
        <v>256</v>
      </c>
      <c r="F325" s="68" t="s">
        <v>306</v>
      </c>
      <c r="G325" s="68" t="s">
        <v>262</v>
      </c>
      <c r="H325" s="27" t="s">
        <v>259</v>
      </c>
      <c r="I325" s="27" t="s">
        <v>45</v>
      </c>
      <c r="J325" s="28">
        <v>1.0900000000000001</v>
      </c>
      <c r="K325" s="28">
        <v>-0.54</v>
      </c>
      <c r="L325" s="28">
        <v>0.55000000000000004</v>
      </c>
      <c r="M325" s="52">
        <f t="shared" si="2"/>
        <v>0.55000000000000004</v>
      </c>
      <c r="N325" s="52">
        <f t="shared" si="3"/>
        <v>0</v>
      </c>
      <c r="O325" s="28" t="s">
        <v>809</v>
      </c>
      <c r="P325" s="44">
        <v>1071.29</v>
      </c>
    </row>
    <row r="326" spans="1:16" ht="22.5" customHeight="1">
      <c r="A326" s="27" t="s">
        <v>810</v>
      </c>
      <c r="B326" s="34">
        <v>2025</v>
      </c>
      <c r="C326" s="66">
        <v>12</v>
      </c>
      <c r="D326" s="67">
        <v>0.2747222222222222</v>
      </c>
      <c r="E326" s="27" t="s">
        <v>256</v>
      </c>
      <c r="F326" s="68" t="s">
        <v>811</v>
      </c>
      <c r="G326" s="68" t="s">
        <v>262</v>
      </c>
      <c r="H326" s="27" t="s">
        <v>259</v>
      </c>
      <c r="I326" s="27" t="s">
        <v>45</v>
      </c>
      <c r="J326" s="28">
        <v>8.4</v>
      </c>
      <c r="K326" s="28">
        <v>-0.91</v>
      </c>
      <c r="L326" s="28">
        <v>7.49</v>
      </c>
      <c r="M326" s="52">
        <f t="shared" si="2"/>
        <v>7.49</v>
      </c>
      <c r="N326" s="52">
        <f t="shared" si="3"/>
        <v>0</v>
      </c>
      <c r="O326" s="28" t="s">
        <v>812</v>
      </c>
      <c r="P326" s="44">
        <v>1078.78</v>
      </c>
    </row>
    <row r="327" spans="1:16" ht="22.5" customHeight="1">
      <c r="A327" s="27" t="s">
        <v>813</v>
      </c>
      <c r="B327" s="34">
        <v>2025</v>
      </c>
      <c r="C327" s="66">
        <v>12</v>
      </c>
      <c r="D327" s="67">
        <v>0.8886574074074074</v>
      </c>
      <c r="E327" s="27" t="s">
        <v>256</v>
      </c>
      <c r="F327" s="68" t="s">
        <v>814</v>
      </c>
      <c r="G327" s="68" t="s">
        <v>262</v>
      </c>
      <c r="H327" s="27" t="s">
        <v>259</v>
      </c>
      <c r="I327" s="27" t="s">
        <v>45</v>
      </c>
      <c r="J327" s="28">
        <v>20.25</v>
      </c>
      <c r="K327" s="28">
        <v>-1.5</v>
      </c>
      <c r="L327" s="28">
        <v>18.75</v>
      </c>
      <c r="M327" s="52">
        <f t="shared" si="2"/>
        <v>18.75</v>
      </c>
      <c r="N327" s="52">
        <f t="shared" si="3"/>
        <v>0</v>
      </c>
      <c r="O327" s="28" t="s">
        <v>815</v>
      </c>
      <c r="P327" s="44">
        <v>1097.53</v>
      </c>
    </row>
    <row r="328" spans="1:16" ht="22.5" customHeight="1">
      <c r="A328" s="27" t="s">
        <v>816</v>
      </c>
      <c r="B328" s="34">
        <v>2025</v>
      </c>
      <c r="C328" s="66">
        <v>12</v>
      </c>
      <c r="D328" s="67">
        <v>0.93525462962962957</v>
      </c>
      <c r="E328" s="27" t="s">
        <v>256</v>
      </c>
      <c r="F328" s="68" t="s">
        <v>817</v>
      </c>
      <c r="G328" s="68" t="s">
        <v>258</v>
      </c>
      <c r="H328" s="27" t="s">
        <v>259</v>
      </c>
      <c r="I328" s="27" t="s">
        <v>45</v>
      </c>
      <c r="J328" s="28">
        <v>20.25</v>
      </c>
      <c r="K328" s="28">
        <v>-1.2</v>
      </c>
      <c r="L328" s="28">
        <v>19.05</v>
      </c>
      <c r="M328" s="52">
        <f t="shared" si="2"/>
        <v>19.05</v>
      </c>
      <c r="N328" s="52">
        <f t="shared" si="3"/>
        <v>0</v>
      </c>
      <c r="O328" s="28" t="s">
        <v>818</v>
      </c>
      <c r="P328" s="44">
        <v>1116.58</v>
      </c>
    </row>
    <row r="329" spans="1:16" ht="22.5" customHeight="1">
      <c r="A329" s="27" t="s">
        <v>240</v>
      </c>
      <c r="B329" s="34">
        <v>2025</v>
      </c>
      <c r="C329" s="66">
        <v>12</v>
      </c>
      <c r="D329" s="67">
        <v>0.72817129629629629</v>
      </c>
      <c r="E329" s="27" t="s">
        <v>256</v>
      </c>
      <c r="F329" s="68" t="s">
        <v>609</v>
      </c>
      <c r="G329" s="68" t="s">
        <v>262</v>
      </c>
      <c r="H329" s="27" t="s">
        <v>259</v>
      </c>
      <c r="I329" s="27" t="s">
        <v>45</v>
      </c>
      <c r="J329" s="28">
        <v>8.49</v>
      </c>
      <c r="K329" s="28">
        <v>-0.91</v>
      </c>
      <c r="L329" s="28">
        <v>7.58</v>
      </c>
      <c r="M329" s="52">
        <f t="shared" si="2"/>
        <v>7.58</v>
      </c>
      <c r="N329" s="52">
        <f t="shared" si="3"/>
        <v>0</v>
      </c>
      <c r="O329" s="28" t="s">
        <v>819</v>
      </c>
      <c r="P329" s="44">
        <v>1124.1600000000001</v>
      </c>
    </row>
    <row r="330" spans="1:16" ht="22.5" customHeight="1">
      <c r="A330" s="27" t="s">
        <v>820</v>
      </c>
      <c r="B330" s="34">
        <v>2025</v>
      </c>
      <c r="C330" s="66">
        <v>12</v>
      </c>
      <c r="D330" s="67">
        <v>0.13325231481481481</v>
      </c>
      <c r="E330" s="27" t="s">
        <v>256</v>
      </c>
      <c r="F330" s="68" t="s">
        <v>332</v>
      </c>
      <c r="G330" s="68" t="s">
        <v>262</v>
      </c>
      <c r="H330" s="27" t="s">
        <v>259</v>
      </c>
      <c r="I330" s="27" t="s">
        <v>45</v>
      </c>
      <c r="J330" s="28">
        <v>1.0900000000000001</v>
      </c>
      <c r="K330" s="28">
        <v>-0.54</v>
      </c>
      <c r="L330" s="28">
        <v>0.55000000000000004</v>
      </c>
      <c r="M330" s="52">
        <f t="shared" si="2"/>
        <v>0.55000000000000004</v>
      </c>
      <c r="N330" s="52">
        <f t="shared" si="3"/>
        <v>0</v>
      </c>
      <c r="O330" s="28" t="s">
        <v>821</v>
      </c>
      <c r="P330" s="44">
        <v>1124.71</v>
      </c>
    </row>
    <row r="331" spans="1:16" ht="22.5" customHeight="1">
      <c r="A331" s="27" t="s">
        <v>820</v>
      </c>
      <c r="B331" s="34">
        <v>2025</v>
      </c>
      <c r="C331" s="66">
        <v>12</v>
      </c>
      <c r="D331" s="67">
        <v>0.71938657407407403</v>
      </c>
      <c r="E331" s="27" t="s">
        <v>256</v>
      </c>
      <c r="F331" s="68" t="s">
        <v>558</v>
      </c>
      <c r="G331" s="68" t="s">
        <v>320</v>
      </c>
      <c r="H331" s="27" t="s">
        <v>259</v>
      </c>
      <c r="I331" s="27" t="s">
        <v>45</v>
      </c>
      <c r="J331" s="28">
        <v>-10.8</v>
      </c>
      <c r="K331" s="28">
        <v>0</v>
      </c>
      <c r="L331" s="28">
        <v>-10.8</v>
      </c>
      <c r="M331" s="52">
        <f t="shared" si="2"/>
        <v>0</v>
      </c>
      <c r="N331" s="52">
        <f t="shared" si="3"/>
        <v>10.8</v>
      </c>
      <c r="O331" s="28" t="s">
        <v>822</v>
      </c>
      <c r="P331" s="44">
        <v>1113.9100000000001</v>
      </c>
    </row>
    <row r="332" spans="1:16" ht="22.5" customHeight="1">
      <c r="A332" s="27" t="s">
        <v>237</v>
      </c>
      <c r="B332" s="34">
        <v>2025</v>
      </c>
      <c r="C332" s="66">
        <v>12</v>
      </c>
      <c r="D332" s="67">
        <v>0.23657407407407408</v>
      </c>
      <c r="E332" s="27" t="s">
        <v>256</v>
      </c>
      <c r="F332" s="68" t="s">
        <v>823</v>
      </c>
      <c r="G332" s="68" t="s">
        <v>258</v>
      </c>
      <c r="H332" s="27" t="s">
        <v>259</v>
      </c>
      <c r="I332" s="27" t="s">
        <v>45</v>
      </c>
      <c r="J332" s="28">
        <v>11.99</v>
      </c>
      <c r="K332" s="28">
        <v>-1.0900000000000001</v>
      </c>
      <c r="L332" s="28">
        <v>10.9</v>
      </c>
      <c r="M332" s="52">
        <f t="shared" si="2"/>
        <v>10.9</v>
      </c>
      <c r="N332" s="52">
        <f t="shared" si="3"/>
        <v>0</v>
      </c>
      <c r="O332" s="28" t="s">
        <v>824</v>
      </c>
      <c r="P332" s="44">
        <v>1124.81</v>
      </c>
    </row>
    <row r="333" spans="1:16" ht="22.5" customHeight="1">
      <c r="A333" s="27" t="s">
        <v>237</v>
      </c>
      <c r="B333" s="34">
        <v>2025</v>
      </c>
      <c r="C333" s="66">
        <v>12</v>
      </c>
      <c r="D333" s="67">
        <v>0.26583333333333331</v>
      </c>
      <c r="E333" s="27" t="s">
        <v>256</v>
      </c>
      <c r="F333" s="68" t="s">
        <v>9</v>
      </c>
      <c r="G333" s="68" t="s">
        <v>280</v>
      </c>
      <c r="H333" s="27" t="s">
        <v>281</v>
      </c>
      <c r="I333" s="27" t="s">
        <v>45</v>
      </c>
      <c r="J333" s="28">
        <v>-10.9</v>
      </c>
      <c r="K333" s="28">
        <v>0</v>
      </c>
      <c r="L333" s="28">
        <v>-10.9</v>
      </c>
      <c r="M333" s="52">
        <f t="shared" si="2"/>
        <v>0</v>
      </c>
      <c r="N333" s="52">
        <f t="shared" si="3"/>
        <v>10.9</v>
      </c>
      <c r="O333" s="28" t="s">
        <v>825</v>
      </c>
      <c r="P333" s="44">
        <v>1113.9100000000001</v>
      </c>
    </row>
    <row r="334" spans="1:16" ht="22.5" customHeight="1">
      <c r="A334" s="27" t="s">
        <v>237</v>
      </c>
      <c r="B334" s="34">
        <v>2025</v>
      </c>
      <c r="C334" s="66">
        <v>12</v>
      </c>
      <c r="D334" s="67">
        <v>0.32170138888888888</v>
      </c>
      <c r="E334" s="27" t="s">
        <v>256</v>
      </c>
      <c r="F334" s="68" t="s">
        <v>823</v>
      </c>
      <c r="G334" s="68" t="s">
        <v>291</v>
      </c>
      <c r="H334" s="27" t="s">
        <v>259</v>
      </c>
      <c r="I334" s="27" t="s">
        <v>45</v>
      </c>
      <c r="J334" s="28">
        <v>-11.99</v>
      </c>
      <c r="K334" s="28">
        <v>0.6</v>
      </c>
      <c r="L334" s="28">
        <v>-11.39</v>
      </c>
      <c r="M334" s="52">
        <f t="shared" si="2"/>
        <v>0</v>
      </c>
      <c r="N334" s="52">
        <f t="shared" si="3"/>
        <v>11.39</v>
      </c>
      <c r="O334" s="28" t="s">
        <v>826</v>
      </c>
      <c r="P334" s="44">
        <v>1102.52</v>
      </c>
    </row>
    <row r="335" spans="1:16" ht="22.5" customHeight="1">
      <c r="A335" s="27" t="s">
        <v>237</v>
      </c>
      <c r="B335" s="34">
        <v>2025</v>
      </c>
      <c r="C335" s="66">
        <v>12</v>
      </c>
      <c r="D335" s="67">
        <v>0.32170138888888888</v>
      </c>
      <c r="E335" s="27" t="s">
        <v>256</v>
      </c>
      <c r="F335" s="68" t="s">
        <v>9</v>
      </c>
      <c r="G335" s="68" t="s">
        <v>285</v>
      </c>
      <c r="H335" s="27" t="s">
        <v>286</v>
      </c>
      <c r="I335" s="27" t="s">
        <v>45</v>
      </c>
      <c r="J335" s="28">
        <v>10.9</v>
      </c>
      <c r="K335" s="28">
        <v>0</v>
      </c>
      <c r="L335" s="28">
        <v>10.9</v>
      </c>
      <c r="M335" s="52">
        <f t="shared" si="2"/>
        <v>10.9</v>
      </c>
      <c r="N335" s="52">
        <f t="shared" si="3"/>
        <v>0</v>
      </c>
      <c r="O335" s="28" t="s">
        <v>825</v>
      </c>
      <c r="P335" s="44">
        <v>1113.42</v>
      </c>
    </row>
    <row r="336" spans="1:16" ht="22.5" customHeight="1">
      <c r="A336" s="27" t="s">
        <v>827</v>
      </c>
      <c r="B336" s="34">
        <v>2025</v>
      </c>
      <c r="C336" s="66">
        <v>12</v>
      </c>
      <c r="D336" s="67">
        <v>0.78717592592592589</v>
      </c>
      <c r="E336" s="27" t="s">
        <v>256</v>
      </c>
      <c r="F336" s="68" t="s">
        <v>9</v>
      </c>
      <c r="G336" s="68" t="s">
        <v>505</v>
      </c>
      <c r="H336" s="27" t="s">
        <v>281</v>
      </c>
      <c r="I336" s="27" t="s">
        <v>45</v>
      </c>
      <c r="J336" s="28">
        <v>-33</v>
      </c>
      <c r="K336" s="28">
        <v>0</v>
      </c>
      <c r="L336" s="28">
        <v>-33</v>
      </c>
      <c r="M336" s="52">
        <f t="shared" si="2"/>
        <v>0</v>
      </c>
      <c r="N336" s="52">
        <f t="shared" si="3"/>
        <v>33</v>
      </c>
      <c r="O336" s="28" t="s">
        <v>828</v>
      </c>
      <c r="P336" s="44">
        <v>1080.42</v>
      </c>
    </row>
    <row r="337" spans="1:16" ht="22.5" customHeight="1">
      <c r="A337" s="27" t="s">
        <v>827</v>
      </c>
      <c r="B337" s="34">
        <v>2025</v>
      </c>
      <c r="C337" s="66">
        <v>12</v>
      </c>
      <c r="D337" s="67">
        <v>0.78718750000000004</v>
      </c>
      <c r="E337" s="27" t="s">
        <v>256</v>
      </c>
      <c r="F337" s="68" t="s">
        <v>829</v>
      </c>
      <c r="G337" s="68" t="s">
        <v>320</v>
      </c>
      <c r="H337" s="27" t="s">
        <v>259</v>
      </c>
      <c r="I337" s="27" t="s">
        <v>45</v>
      </c>
      <c r="J337" s="28">
        <v>-33</v>
      </c>
      <c r="K337" s="28">
        <v>0</v>
      </c>
      <c r="L337" s="28">
        <v>-33</v>
      </c>
      <c r="M337" s="52">
        <f t="shared" si="2"/>
        <v>0</v>
      </c>
      <c r="N337" s="52">
        <f t="shared" si="3"/>
        <v>33</v>
      </c>
      <c r="O337" s="28" t="s">
        <v>830</v>
      </c>
      <c r="P337" s="44">
        <v>1047.42</v>
      </c>
    </row>
    <row r="338" spans="1:16" ht="22.5" customHeight="1">
      <c r="A338" s="27" t="s">
        <v>827</v>
      </c>
      <c r="B338" s="34">
        <v>2025</v>
      </c>
      <c r="C338" s="66">
        <v>12</v>
      </c>
      <c r="D338" s="67">
        <v>0.78718750000000004</v>
      </c>
      <c r="E338" s="27" t="s">
        <v>256</v>
      </c>
      <c r="F338" s="68" t="s">
        <v>9</v>
      </c>
      <c r="G338" s="68" t="s">
        <v>509</v>
      </c>
      <c r="H338" s="27" t="s">
        <v>259</v>
      </c>
      <c r="I338" s="27" t="s">
        <v>45</v>
      </c>
      <c r="J338" s="28">
        <v>33</v>
      </c>
      <c r="K338" s="28">
        <v>0</v>
      </c>
      <c r="L338" s="28">
        <v>33</v>
      </c>
      <c r="M338" s="52">
        <f t="shared" si="2"/>
        <v>33</v>
      </c>
      <c r="N338" s="52">
        <f t="shared" si="3"/>
        <v>0</v>
      </c>
      <c r="O338" s="28" t="s">
        <v>831</v>
      </c>
      <c r="P338" s="44">
        <v>1080.42</v>
      </c>
    </row>
    <row r="339" spans="1:16" ht="22.5" customHeight="1">
      <c r="A339" s="27" t="s">
        <v>832</v>
      </c>
      <c r="B339" s="34">
        <v>2025</v>
      </c>
      <c r="C339" s="66">
        <v>12</v>
      </c>
      <c r="D339" s="67">
        <v>6.537037037037037E-2</v>
      </c>
      <c r="E339" s="27" t="s">
        <v>256</v>
      </c>
      <c r="F339" s="68" t="s">
        <v>312</v>
      </c>
      <c r="G339" s="68" t="s">
        <v>258</v>
      </c>
      <c r="H339" s="27" t="s">
        <v>259</v>
      </c>
      <c r="I339" s="27" t="s">
        <v>45</v>
      </c>
      <c r="J339" s="28">
        <v>8.4</v>
      </c>
      <c r="K339" s="28">
        <v>-0.91</v>
      </c>
      <c r="L339" s="28">
        <v>7.49</v>
      </c>
      <c r="M339" s="52">
        <f t="shared" si="2"/>
        <v>7.49</v>
      </c>
      <c r="N339" s="52">
        <f t="shared" si="3"/>
        <v>0</v>
      </c>
      <c r="O339" s="28" t="s">
        <v>833</v>
      </c>
      <c r="P339" s="44">
        <v>1087.9100000000001</v>
      </c>
    </row>
    <row r="340" spans="1:16" ht="22.5" customHeight="1">
      <c r="A340" s="27" t="s">
        <v>832</v>
      </c>
      <c r="B340" s="34">
        <v>2025</v>
      </c>
      <c r="C340" s="66">
        <v>12</v>
      </c>
      <c r="D340" s="67">
        <v>0.74649305555555556</v>
      </c>
      <c r="E340" s="27" t="s">
        <v>256</v>
      </c>
      <c r="F340" s="68" t="s">
        <v>609</v>
      </c>
      <c r="G340" s="68" t="s">
        <v>262</v>
      </c>
      <c r="H340" s="27" t="s">
        <v>259</v>
      </c>
      <c r="I340" s="27" t="s">
        <v>45</v>
      </c>
      <c r="J340" s="28">
        <v>5.19</v>
      </c>
      <c r="K340" s="28">
        <v>-0.75</v>
      </c>
      <c r="L340" s="28">
        <v>4.4400000000000004</v>
      </c>
      <c r="M340" s="52">
        <f t="shared" si="2"/>
        <v>4.4400000000000004</v>
      </c>
      <c r="N340" s="52">
        <f t="shared" si="3"/>
        <v>0</v>
      </c>
      <c r="O340" s="28" t="s">
        <v>834</v>
      </c>
      <c r="P340" s="44">
        <v>1092.3499999999999</v>
      </c>
    </row>
    <row r="341" spans="1:16" ht="22.5" customHeight="1">
      <c r="A341" s="27" t="s">
        <v>832</v>
      </c>
      <c r="B341" s="34">
        <v>2025</v>
      </c>
      <c r="C341" s="66">
        <v>12</v>
      </c>
      <c r="D341" s="67">
        <v>0.97773148148148148</v>
      </c>
      <c r="E341" s="27" t="s">
        <v>256</v>
      </c>
      <c r="F341" s="68" t="s">
        <v>835</v>
      </c>
      <c r="G341" s="68" t="s">
        <v>262</v>
      </c>
      <c r="H341" s="27" t="s">
        <v>259</v>
      </c>
      <c r="I341" s="27" t="s">
        <v>45</v>
      </c>
      <c r="J341" s="28">
        <v>2</v>
      </c>
      <c r="K341" s="28">
        <v>-0.56000000000000005</v>
      </c>
      <c r="L341" s="28">
        <v>1.44</v>
      </c>
      <c r="M341" s="52">
        <f t="shared" si="2"/>
        <v>1.44</v>
      </c>
      <c r="N341" s="52">
        <f t="shared" si="3"/>
        <v>0</v>
      </c>
      <c r="O341" s="28" t="s">
        <v>836</v>
      </c>
      <c r="P341" s="44">
        <v>1093.79</v>
      </c>
    </row>
    <row r="342" spans="1:16" ht="22.5" customHeight="1">
      <c r="A342" s="27" t="s">
        <v>837</v>
      </c>
      <c r="B342" s="34">
        <v>2025</v>
      </c>
      <c r="C342" s="66">
        <v>12</v>
      </c>
      <c r="D342" s="67">
        <v>3.019675925925926E-2</v>
      </c>
      <c r="E342" s="27" t="s">
        <v>256</v>
      </c>
      <c r="F342" s="68" t="s">
        <v>9</v>
      </c>
      <c r="G342" s="68" t="s">
        <v>280</v>
      </c>
      <c r="H342" s="27" t="s">
        <v>281</v>
      </c>
      <c r="I342" s="27" t="s">
        <v>45</v>
      </c>
      <c r="J342" s="28">
        <v>-4.4400000000000004</v>
      </c>
      <c r="K342" s="28">
        <v>0</v>
      </c>
      <c r="L342" s="28">
        <v>-4.4400000000000004</v>
      </c>
      <c r="M342" s="52">
        <f t="shared" si="2"/>
        <v>0</v>
      </c>
      <c r="N342" s="52">
        <f t="shared" si="3"/>
        <v>4.4400000000000004</v>
      </c>
      <c r="O342" s="28" t="s">
        <v>838</v>
      </c>
      <c r="P342" s="44">
        <v>1089.3499999999999</v>
      </c>
    </row>
    <row r="343" spans="1:16" ht="22.5" customHeight="1">
      <c r="A343" s="27" t="s">
        <v>837</v>
      </c>
      <c r="B343" s="34">
        <v>2025</v>
      </c>
      <c r="C343" s="66">
        <v>12</v>
      </c>
      <c r="D343" s="67">
        <v>0.48430555555555554</v>
      </c>
      <c r="E343" s="27" t="s">
        <v>256</v>
      </c>
      <c r="F343" s="68" t="s">
        <v>609</v>
      </c>
      <c r="G343" s="68" t="s">
        <v>291</v>
      </c>
      <c r="H343" s="27" t="s">
        <v>259</v>
      </c>
      <c r="I343" s="27" t="s">
        <v>45</v>
      </c>
      <c r="J343" s="28">
        <v>-5.19</v>
      </c>
      <c r="K343" s="28">
        <v>0.75</v>
      </c>
      <c r="L343" s="28">
        <v>-4.4400000000000004</v>
      </c>
      <c r="M343" s="52">
        <f t="shared" si="2"/>
        <v>0</v>
      </c>
      <c r="N343" s="52">
        <f t="shared" si="3"/>
        <v>4.4400000000000004</v>
      </c>
      <c r="O343" s="28" t="s">
        <v>839</v>
      </c>
      <c r="P343" s="44">
        <v>1084.9100000000001</v>
      </c>
    </row>
    <row r="344" spans="1:16" ht="22.5" customHeight="1">
      <c r="A344" s="27" t="s">
        <v>837</v>
      </c>
      <c r="B344" s="34">
        <v>2025</v>
      </c>
      <c r="C344" s="66">
        <v>12</v>
      </c>
      <c r="D344" s="67">
        <v>0.48430555555555554</v>
      </c>
      <c r="E344" s="27" t="s">
        <v>256</v>
      </c>
      <c r="F344" s="68" t="s">
        <v>9</v>
      </c>
      <c r="G344" s="68" t="s">
        <v>285</v>
      </c>
      <c r="H344" s="27" t="s">
        <v>286</v>
      </c>
      <c r="I344" s="27" t="s">
        <v>45</v>
      </c>
      <c r="J344" s="28">
        <v>4.4400000000000004</v>
      </c>
      <c r="K344" s="28">
        <v>0</v>
      </c>
      <c r="L344" s="28">
        <v>4.4400000000000004</v>
      </c>
      <c r="M344" s="52">
        <f t="shared" si="2"/>
        <v>4.4400000000000004</v>
      </c>
      <c r="N344" s="52">
        <f t="shared" si="3"/>
        <v>0</v>
      </c>
      <c r="O344" s="28" t="s">
        <v>838</v>
      </c>
      <c r="P344" s="44">
        <v>1089.3499999999999</v>
      </c>
    </row>
    <row r="345" spans="1:16" ht="22.5" customHeight="1">
      <c r="A345" s="27" t="s">
        <v>840</v>
      </c>
      <c r="B345" s="34">
        <v>2025</v>
      </c>
      <c r="C345" s="66">
        <v>12</v>
      </c>
      <c r="D345" s="67">
        <v>0.14383101851851851</v>
      </c>
      <c r="E345" s="27" t="s">
        <v>256</v>
      </c>
      <c r="F345" s="68" t="s">
        <v>656</v>
      </c>
      <c r="G345" s="68" t="s">
        <v>262</v>
      </c>
      <c r="H345" s="27" t="s">
        <v>259</v>
      </c>
      <c r="I345" s="27" t="s">
        <v>45</v>
      </c>
      <c r="J345" s="28">
        <v>20.25</v>
      </c>
      <c r="K345" s="28">
        <v>-1.2</v>
      </c>
      <c r="L345" s="28">
        <v>19.05</v>
      </c>
      <c r="M345" s="52">
        <f t="shared" si="2"/>
        <v>19.05</v>
      </c>
      <c r="N345" s="52">
        <f t="shared" si="3"/>
        <v>0</v>
      </c>
      <c r="O345" s="28" t="s">
        <v>841</v>
      </c>
      <c r="P345" s="44">
        <v>1108.4000000000001</v>
      </c>
    </row>
    <row r="346" spans="1:16" ht="22.5" customHeight="1">
      <c r="A346" s="27" t="s">
        <v>235</v>
      </c>
      <c r="B346" s="34">
        <v>2025</v>
      </c>
      <c r="C346" s="66">
        <v>12</v>
      </c>
      <c r="D346" s="67">
        <v>0.12450231481481482</v>
      </c>
      <c r="E346" s="27" t="s">
        <v>256</v>
      </c>
      <c r="F346" s="68" t="s">
        <v>574</v>
      </c>
      <c r="G346" s="68" t="s">
        <v>262</v>
      </c>
      <c r="H346" s="27" t="s">
        <v>259</v>
      </c>
      <c r="I346" s="27" t="s">
        <v>45</v>
      </c>
      <c r="J346" s="28">
        <v>7.27</v>
      </c>
      <c r="K346" s="28">
        <v>-0.74</v>
      </c>
      <c r="L346" s="28">
        <v>6.53</v>
      </c>
      <c r="M346" s="52">
        <f t="shared" si="2"/>
        <v>6.53</v>
      </c>
      <c r="N346" s="52">
        <f t="shared" si="3"/>
        <v>0</v>
      </c>
      <c r="O346" s="28" t="s">
        <v>842</v>
      </c>
      <c r="P346" s="44">
        <v>1114.93</v>
      </c>
    </row>
    <row r="347" spans="1:16" ht="22.5" customHeight="1">
      <c r="A347" s="27" t="s">
        <v>235</v>
      </c>
      <c r="B347" s="34">
        <v>2025</v>
      </c>
      <c r="C347" s="66">
        <v>12</v>
      </c>
      <c r="D347" s="67">
        <v>0.40302083333333333</v>
      </c>
      <c r="E347" s="27" t="s">
        <v>256</v>
      </c>
      <c r="F347" s="68" t="s">
        <v>843</v>
      </c>
      <c r="G347" s="68" t="s">
        <v>262</v>
      </c>
      <c r="H347" s="27" t="s">
        <v>259</v>
      </c>
      <c r="I347" s="27" t="s">
        <v>45</v>
      </c>
      <c r="J347" s="28">
        <v>31.59</v>
      </c>
      <c r="K347" s="28">
        <v>-1.59</v>
      </c>
      <c r="L347" s="28">
        <v>30</v>
      </c>
      <c r="M347" s="52">
        <f t="shared" si="2"/>
        <v>30</v>
      </c>
      <c r="N347" s="52">
        <f t="shared" si="3"/>
        <v>0</v>
      </c>
      <c r="O347" s="28" t="s">
        <v>844</v>
      </c>
      <c r="P347" s="44">
        <v>1144.93</v>
      </c>
    </row>
    <row r="348" spans="1:16" ht="22.5" customHeight="1">
      <c r="A348" s="27" t="s">
        <v>845</v>
      </c>
      <c r="B348" s="34">
        <v>2025</v>
      </c>
      <c r="C348" s="66">
        <v>12</v>
      </c>
      <c r="D348" s="67">
        <v>0.45996527777777779</v>
      </c>
      <c r="E348" s="27" t="s">
        <v>256</v>
      </c>
      <c r="F348" s="68" t="s">
        <v>846</v>
      </c>
      <c r="G348" s="68" t="s">
        <v>262</v>
      </c>
      <c r="H348" s="27" t="s">
        <v>259</v>
      </c>
      <c r="I348" s="27" t="s">
        <v>45</v>
      </c>
      <c r="J348" s="28">
        <v>60.34</v>
      </c>
      <c r="K348" s="28">
        <v>-3.5</v>
      </c>
      <c r="L348" s="28">
        <v>56.84</v>
      </c>
      <c r="M348" s="52">
        <f t="shared" si="2"/>
        <v>56.84</v>
      </c>
      <c r="N348" s="52">
        <f t="shared" si="3"/>
        <v>0</v>
      </c>
      <c r="O348" s="28" t="s">
        <v>847</v>
      </c>
      <c r="P348" s="44">
        <v>1201.77</v>
      </c>
    </row>
    <row r="349" spans="1:16" ht="22.5" customHeight="1">
      <c r="A349" s="27" t="s">
        <v>232</v>
      </c>
      <c r="B349" s="34">
        <v>2025</v>
      </c>
      <c r="C349" s="66">
        <v>12</v>
      </c>
      <c r="D349" s="67">
        <v>0.72696759259259258</v>
      </c>
      <c r="E349" s="27" t="s">
        <v>256</v>
      </c>
      <c r="F349" s="68" t="s">
        <v>848</v>
      </c>
      <c r="G349" s="68" t="s">
        <v>258</v>
      </c>
      <c r="H349" s="27" t="s">
        <v>259</v>
      </c>
      <c r="I349" s="27" t="s">
        <v>45</v>
      </c>
      <c r="J349" s="28">
        <v>16.8</v>
      </c>
      <c r="K349" s="28">
        <v>-1.08</v>
      </c>
      <c r="L349" s="28">
        <v>15.72</v>
      </c>
      <c r="M349" s="52">
        <f t="shared" si="2"/>
        <v>15.72</v>
      </c>
      <c r="N349" s="52">
        <f t="shared" si="3"/>
        <v>0</v>
      </c>
      <c r="O349" s="28" t="s">
        <v>849</v>
      </c>
      <c r="P349" s="44">
        <v>1217.49</v>
      </c>
    </row>
    <row r="350" spans="1:16" ht="22.5" customHeight="1">
      <c r="A350" s="27" t="s">
        <v>850</v>
      </c>
      <c r="B350" s="34">
        <v>2025</v>
      </c>
      <c r="C350" s="66">
        <v>12</v>
      </c>
      <c r="D350" s="67">
        <v>0.27276620370370369</v>
      </c>
      <c r="E350" s="27" t="s">
        <v>256</v>
      </c>
      <c r="F350" s="68" t="s">
        <v>851</v>
      </c>
      <c r="G350" s="68" t="s">
        <v>258</v>
      </c>
      <c r="H350" s="27" t="s">
        <v>259</v>
      </c>
      <c r="I350" s="27" t="s">
        <v>45</v>
      </c>
      <c r="J350" s="28">
        <v>4.49</v>
      </c>
      <c r="K350" s="28">
        <v>-0.71</v>
      </c>
      <c r="L350" s="28">
        <v>3.78</v>
      </c>
      <c r="M350" s="52">
        <f t="shared" si="2"/>
        <v>3.78</v>
      </c>
      <c r="N350" s="52">
        <f t="shared" si="3"/>
        <v>0</v>
      </c>
      <c r="O350" s="28" t="s">
        <v>852</v>
      </c>
      <c r="P350" s="44">
        <v>1221.27</v>
      </c>
    </row>
    <row r="351" spans="1:16" ht="22.5" customHeight="1">
      <c r="A351" s="12"/>
      <c r="B351" s="12"/>
      <c r="C351" s="69"/>
      <c r="D351" s="12"/>
      <c r="E351" s="12"/>
      <c r="F351" s="70"/>
      <c r="G351" s="70"/>
      <c r="H351" s="12"/>
      <c r="I351" s="12"/>
    </row>
    <row r="352" spans="1:16" ht="22.5" customHeight="1">
      <c r="A352" s="12"/>
      <c r="B352" s="12"/>
      <c r="C352" s="69"/>
      <c r="D352" s="12"/>
      <c r="E352" s="12"/>
      <c r="F352" s="70"/>
      <c r="G352" s="70"/>
      <c r="H352" s="12"/>
      <c r="I352" s="12"/>
    </row>
    <row r="353" spans="1:9" ht="22.5" customHeight="1">
      <c r="A353" s="12"/>
      <c r="B353" s="12"/>
      <c r="C353" s="69"/>
      <c r="D353" s="12"/>
      <c r="E353" s="12"/>
      <c r="F353" s="70"/>
      <c r="G353" s="70"/>
      <c r="H353" s="12"/>
      <c r="I353" s="12"/>
    </row>
    <row r="354" spans="1:9" ht="22.5" customHeight="1">
      <c r="A354" s="12"/>
      <c r="B354" s="12"/>
      <c r="C354" s="69"/>
      <c r="D354" s="12"/>
      <c r="E354" s="12"/>
      <c r="F354" s="70"/>
      <c r="G354" s="70"/>
      <c r="H354" s="12"/>
      <c r="I354" s="12"/>
    </row>
    <row r="355" spans="1:9" ht="22.5" customHeight="1">
      <c r="A355" s="12"/>
      <c r="B355" s="12"/>
      <c r="C355" s="69"/>
      <c r="D355" s="12"/>
      <c r="E355" s="12"/>
      <c r="F355" s="70"/>
      <c r="G355" s="70"/>
      <c r="H355" s="12"/>
      <c r="I355" s="12"/>
    </row>
    <row r="356" spans="1:9" ht="22.5" customHeight="1">
      <c r="A356" s="12"/>
      <c r="B356" s="12"/>
      <c r="C356" s="69"/>
      <c r="D356" s="12"/>
      <c r="E356" s="12"/>
      <c r="F356" s="70"/>
      <c r="G356" s="70"/>
      <c r="H356" s="12"/>
      <c r="I356" s="12"/>
    </row>
    <row r="357" spans="1:9" ht="22.5" customHeight="1">
      <c r="A357" s="12"/>
      <c r="B357" s="12"/>
      <c r="C357" s="69"/>
      <c r="D357" s="12"/>
      <c r="E357" s="12"/>
      <c r="F357" s="70"/>
      <c r="G357" s="70"/>
      <c r="H357" s="12"/>
      <c r="I357" s="12"/>
    </row>
    <row r="358" spans="1:9" ht="22.5" customHeight="1">
      <c r="A358" s="12"/>
      <c r="B358" s="12"/>
      <c r="C358" s="69"/>
      <c r="D358" s="12"/>
      <c r="E358" s="12"/>
      <c r="F358" s="70"/>
      <c r="G358" s="70"/>
      <c r="H358" s="12"/>
      <c r="I358" s="12"/>
    </row>
    <row r="359" spans="1:9" ht="22.5" customHeight="1">
      <c r="A359" s="12"/>
      <c r="B359" s="12"/>
      <c r="C359" s="69"/>
      <c r="D359" s="12"/>
      <c r="E359" s="12"/>
      <c r="F359" s="70"/>
      <c r="G359" s="70"/>
      <c r="H359" s="12"/>
      <c r="I359" s="12"/>
    </row>
    <row r="360" spans="1:9" ht="22.5" customHeight="1">
      <c r="A360" s="12"/>
      <c r="B360" s="12"/>
      <c r="C360" s="69"/>
      <c r="D360" s="12"/>
      <c r="E360" s="12"/>
      <c r="F360" s="70"/>
      <c r="G360" s="70"/>
      <c r="H360" s="12"/>
      <c r="I360" s="12"/>
    </row>
    <row r="361" spans="1:9" ht="22.5" customHeight="1">
      <c r="A361" s="12"/>
      <c r="B361" s="12"/>
      <c r="C361" s="69"/>
      <c r="D361" s="12"/>
      <c r="E361" s="12"/>
      <c r="F361" s="70"/>
      <c r="G361" s="70"/>
      <c r="H361" s="12"/>
      <c r="I361" s="12"/>
    </row>
    <row r="362" spans="1:9" ht="22.5" customHeight="1">
      <c r="A362" s="12"/>
      <c r="B362" s="12"/>
      <c r="C362" s="69"/>
      <c r="D362" s="12"/>
      <c r="E362" s="12"/>
      <c r="F362" s="70"/>
      <c r="G362" s="70"/>
      <c r="H362" s="12"/>
      <c r="I362" s="12"/>
    </row>
    <row r="363" spans="1:9" ht="22.5" customHeight="1">
      <c r="A363" s="12"/>
      <c r="B363" s="12"/>
      <c r="C363" s="69"/>
      <c r="D363" s="12"/>
      <c r="E363" s="12"/>
      <c r="F363" s="70"/>
      <c r="G363" s="70"/>
      <c r="H363" s="12"/>
      <c r="I363" s="12"/>
    </row>
    <row r="364" spans="1:9" ht="22.5" customHeight="1">
      <c r="A364" s="12"/>
      <c r="B364" s="12"/>
      <c r="C364" s="69"/>
      <c r="D364" s="12"/>
      <c r="E364" s="12"/>
      <c r="F364" s="70"/>
      <c r="G364" s="70"/>
      <c r="H364" s="12"/>
      <c r="I364" s="12"/>
    </row>
    <row r="365" spans="1:9" ht="22.5" customHeight="1">
      <c r="A365" s="12"/>
      <c r="B365" s="12"/>
      <c r="C365" s="69"/>
      <c r="D365" s="12"/>
      <c r="E365" s="12"/>
      <c r="F365" s="70"/>
      <c r="G365" s="70"/>
      <c r="H365" s="12"/>
      <c r="I365" s="12"/>
    </row>
    <row r="366" spans="1:9" ht="22.5" customHeight="1">
      <c r="A366" s="12"/>
      <c r="B366" s="12"/>
      <c r="C366" s="69"/>
      <c r="D366" s="12"/>
      <c r="E366" s="12"/>
      <c r="F366" s="70"/>
      <c r="G366" s="70"/>
      <c r="H366" s="12"/>
      <c r="I366" s="12"/>
    </row>
    <row r="367" spans="1:9" ht="22.5" customHeight="1">
      <c r="A367" s="12"/>
      <c r="B367" s="12"/>
      <c r="C367" s="69"/>
      <c r="D367" s="12"/>
      <c r="E367" s="12"/>
      <c r="F367" s="70"/>
      <c r="G367" s="70"/>
      <c r="H367" s="12"/>
      <c r="I367" s="12"/>
    </row>
    <row r="368" spans="1:9" ht="22.5" customHeight="1">
      <c r="A368" s="12"/>
      <c r="B368" s="12"/>
      <c r="C368" s="69"/>
      <c r="D368" s="12"/>
      <c r="E368" s="12"/>
      <c r="F368" s="70"/>
      <c r="G368" s="70"/>
      <c r="H368" s="12"/>
      <c r="I368" s="12"/>
    </row>
    <row r="369" spans="1:9" ht="22.5" customHeight="1">
      <c r="A369" s="12"/>
      <c r="B369" s="12"/>
      <c r="C369" s="69"/>
      <c r="D369" s="12"/>
      <c r="E369" s="12"/>
      <c r="F369" s="70"/>
      <c r="G369" s="70"/>
      <c r="H369" s="12"/>
      <c r="I369" s="12"/>
    </row>
    <row r="370" spans="1:9" ht="22.5" customHeight="1">
      <c r="A370" s="12"/>
      <c r="B370" s="12"/>
      <c r="C370" s="69"/>
      <c r="D370" s="12"/>
      <c r="E370" s="12"/>
      <c r="F370" s="70"/>
      <c r="G370" s="70"/>
      <c r="H370" s="12"/>
      <c r="I370" s="12"/>
    </row>
    <row r="371" spans="1:9" ht="22.5" customHeight="1">
      <c r="A371" s="12"/>
      <c r="B371" s="12"/>
      <c r="C371" s="69"/>
      <c r="D371" s="12"/>
      <c r="E371" s="12"/>
      <c r="F371" s="70"/>
      <c r="G371" s="70"/>
      <c r="H371" s="12"/>
      <c r="I371" s="12"/>
    </row>
    <row r="372" spans="1:9" ht="22.5" customHeight="1">
      <c r="A372" s="12"/>
      <c r="B372" s="12"/>
      <c r="C372" s="69"/>
      <c r="D372" s="12"/>
      <c r="E372" s="12"/>
      <c r="F372" s="70"/>
      <c r="G372" s="70"/>
      <c r="H372" s="12"/>
      <c r="I372" s="12"/>
    </row>
    <row r="373" spans="1:9" ht="22.5" customHeight="1">
      <c r="A373" s="12"/>
      <c r="B373" s="12"/>
      <c r="C373" s="69"/>
      <c r="D373" s="12"/>
      <c r="E373" s="12"/>
      <c r="F373" s="70"/>
      <c r="G373" s="70"/>
      <c r="H373" s="12"/>
      <c r="I373" s="12"/>
    </row>
    <row r="374" spans="1:9" ht="22.5" customHeight="1">
      <c r="A374" s="12"/>
      <c r="B374" s="12"/>
      <c r="C374" s="69"/>
      <c r="D374" s="12"/>
      <c r="E374" s="12"/>
      <c r="F374" s="70"/>
      <c r="G374" s="70"/>
      <c r="H374" s="12"/>
      <c r="I374" s="12"/>
    </row>
    <row r="375" spans="1:9" ht="22.5" customHeight="1">
      <c r="A375" s="12"/>
      <c r="B375" s="12"/>
      <c r="C375" s="69"/>
      <c r="D375" s="12"/>
      <c r="E375" s="12"/>
      <c r="F375" s="70"/>
      <c r="G375" s="70"/>
      <c r="H375" s="12"/>
      <c r="I375" s="12"/>
    </row>
    <row r="376" spans="1:9" ht="22.5" customHeight="1">
      <c r="A376" s="12"/>
      <c r="B376" s="12"/>
      <c r="C376" s="69"/>
      <c r="D376" s="12"/>
      <c r="E376" s="12"/>
      <c r="F376" s="70"/>
      <c r="G376" s="70"/>
      <c r="H376" s="12"/>
      <c r="I376" s="12"/>
    </row>
    <row r="377" spans="1:9" ht="22.5" customHeight="1">
      <c r="A377" s="12"/>
      <c r="B377" s="12"/>
      <c r="C377" s="69"/>
      <c r="D377" s="12"/>
      <c r="E377" s="12"/>
      <c r="F377" s="70"/>
      <c r="G377" s="70"/>
      <c r="H377" s="12"/>
      <c r="I377" s="12"/>
    </row>
    <row r="378" spans="1:9" ht="22.5" customHeight="1">
      <c r="A378" s="12"/>
      <c r="B378" s="12"/>
      <c r="C378" s="69"/>
      <c r="D378" s="12"/>
      <c r="E378" s="12"/>
      <c r="F378" s="70"/>
      <c r="G378" s="70"/>
      <c r="H378" s="12"/>
      <c r="I378" s="12"/>
    </row>
    <row r="379" spans="1:9" ht="22.5" customHeight="1">
      <c r="A379" s="12"/>
      <c r="B379" s="12"/>
      <c r="C379" s="69"/>
      <c r="D379" s="12"/>
      <c r="E379" s="12"/>
      <c r="F379" s="70"/>
      <c r="G379" s="70"/>
      <c r="H379" s="12"/>
      <c r="I379" s="12"/>
    </row>
    <row r="380" spans="1:9" ht="22.5" customHeight="1">
      <c r="A380" s="12"/>
      <c r="B380" s="12"/>
      <c r="C380" s="69"/>
      <c r="D380" s="12"/>
      <c r="E380" s="12"/>
      <c r="F380" s="70"/>
      <c r="G380" s="70"/>
      <c r="H380" s="12"/>
      <c r="I380" s="12"/>
    </row>
    <row r="381" spans="1:9" ht="22.5" customHeight="1">
      <c r="A381" s="12"/>
      <c r="B381" s="12"/>
      <c r="C381" s="69"/>
      <c r="D381" s="12"/>
      <c r="E381" s="12"/>
      <c r="F381" s="70"/>
      <c r="G381" s="70"/>
      <c r="H381" s="12"/>
      <c r="I381" s="12"/>
    </row>
    <row r="382" spans="1:9" ht="22.5" customHeight="1">
      <c r="A382" s="12"/>
      <c r="B382" s="12"/>
      <c r="C382" s="69"/>
      <c r="D382" s="12"/>
      <c r="E382" s="12"/>
      <c r="F382" s="70"/>
      <c r="G382" s="70"/>
      <c r="H382" s="12"/>
      <c r="I382" s="12"/>
    </row>
    <row r="383" spans="1:9" ht="22.5" customHeight="1">
      <c r="A383" s="12"/>
      <c r="B383" s="12"/>
      <c r="C383" s="69"/>
      <c r="D383" s="12"/>
      <c r="E383" s="12"/>
      <c r="F383" s="70"/>
      <c r="G383" s="70"/>
      <c r="H383" s="12"/>
      <c r="I383" s="12"/>
    </row>
    <row r="384" spans="1:9" ht="22.5" customHeight="1">
      <c r="A384" s="12"/>
      <c r="B384" s="12"/>
      <c r="C384" s="69"/>
      <c r="D384" s="12"/>
      <c r="E384" s="12"/>
      <c r="F384" s="70"/>
      <c r="G384" s="70"/>
      <c r="H384" s="12"/>
      <c r="I384" s="12"/>
    </row>
    <row r="385" spans="1:9" ht="22.5" customHeight="1">
      <c r="A385" s="12"/>
      <c r="B385" s="12"/>
      <c r="C385" s="69"/>
      <c r="D385" s="12"/>
      <c r="E385" s="12"/>
      <c r="F385" s="70"/>
      <c r="G385" s="70"/>
      <c r="H385" s="12"/>
      <c r="I385" s="12"/>
    </row>
    <row r="386" spans="1:9" ht="22.5" customHeight="1">
      <c r="A386" s="12"/>
      <c r="B386" s="12"/>
      <c r="C386" s="69"/>
      <c r="D386" s="12"/>
      <c r="E386" s="12"/>
      <c r="F386" s="70"/>
      <c r="G386" s="70"/>
      <c r="H386" s="12"/>
      <c r="I386" s="12"/>
    </row>
    <row r="387" spans="1:9" ht="22.5" customHeight="1">
      <c r="A387" s="12"/>
      <c r="B387" s="12"/>
      <c r="C387" s="69"/>
      <c r="D387" s="12"/>
      <c r="E387" s="12"/>
      <c r="F387" s="70"/>
      <c r="G387" s="70"/>
      <c r="H387" s="12"/>
      <c r="I387" s="12"/>
    </row>
    <row r="388" spans="1:9" ht="22.5" customHeight="1">
      <c r="A388" s="12"/>
      <c r="B388" s="12"/>
      <c r="C388" s="69"/>
      <c r="D388" s="12"/>
      <c r="E388" s="12"/>
      <c r="F388" s="70"/>
      <c r="G388" s="70"/>
      <c r="H388" s="12"/>
      <c r="I388" s="12"/>
    </row>
    <row r="389" spans="1:9" ht="22.5" customHeight="1">
      <c r="A389" s="12"/>
      <c r="B389" s="12"/>
      <c r="C389" s="69"/>
      <c r="D389" s="12"/>
      <c r="E389" s="12"/>
      <c r="F389" s="70"/>
      <c r="G389" s="70"/>
      <c r="H389" s="12"/>
      <c r="I389" s="12"/>
    </row>
    <row r="390" spans="1:9" ht="22.5" customHeight="1">
      <c r="A390" s="12"/>
      <c r="B390" s="12"/>
      <c r="C390" s="69"/>
      <c r="D390" s="12"/>
      <c r="E390" s="12"/>
      <c r="F390" s="70"/>
      <c r="G390" s="70"/>
      <c r="H390" s="12"/>
      <c r="I390" s="12"/>
    </row>
    <row r="391" spans="1:9" ht="22.5" customHeight="1">
      <c r="A391" s="12"/>
      <c r="B391" s="12"/>
      <c r="C391" s="69"/>
      <c r="D391" s="12"/>
      <c r="E391" s="12"/>
      <c r="F391" s="70"/>
      <c r="G391" s="70"/>
      <c r="H391" s="12"/>
      <c r="I391" s="12"/>
    </row>
    <row r="392" spans="1:9" ht="22.5" customHeight="1">
      <c r="A392" s="12"/>
      <c r="B392" s="12"/>
      <c r="C392" s="69"/>
      <c r="D392" s="12"/>
      <c r="E392" s="12"/>
      <c r="F392" s="70"/>
      <c r="G392" s="70"/>
      <c r="H392" s="12"/>
      <c r="I392" s="12"/>
    </row>
    <row r="393" spans="1:9" ht="22.5" customHeight="1">
      <c r="A393" s="12"/>
      <c r="B393" s="12"/>
      <c r="C393" s="69"/>
      <c r="D393" s="12"/>
      <c r="E393" s="12"/>
      <c r="F393" s="70"/>
      <c r="G393" s="70"/>
      <c r="H393" s="12"/>
      <c r="I393" s="12"/>
    </row>
    <row r="394" spans="1:9" ht="22.5" customHeight="1">
      <c r="A394" s="12"/>
      <c r="B394" s="12"/>
      <c r="C394" s="69"/>
      <c r="D394" s="12"/>
      <c r="E394" s="12"/>
      <c r="F394" s="70"/>
      <c r="G394" s="70"/>
      <c r="H394" s="12"/>
      <c r="I394" s="12"/>
    </row>
    <row r="395" spans="1:9" ht="22.5" customHeight="1">
      <c r="A395" s="12"/>
      <c r="B395" s="12"/>
      <c r="C395" s="69"/>
      <c r="D395" s="12"/>
      <c r="E395" s="12"/>
      <c r="F395" s="70"/>
      <c r="G395" s="70"/>
      <c r="H395" s="12"/>
      <c r="I395" s="12"/>
    </row>
    <row r="396" spans="1:9" ht="22.5" customHeight="1">
      <c r="A396" s="12"/>
      <c r="B396" s="12"/>
      <c r="C396" s="69"/>
      <c r="D396" s="12"/>
      <c r="E396" s="12"/>
      <c r="F396" s="70"/>
      <c r="G396" s="70"/>
      <c r="H396" s="12"/>
      <c r="I396" s="12"/>
    </row>
    <row r="397" spans="1:9" ht="22.5" customHeight="1">
      <c r="A397" s="12"/>
      <c r="B397" s="12"/>
      <c r="C397" s="69"/>
      <c r="D397" s="12"/>
      <c r="E397" s="12"/>
      <c r="F397" s="70"/>
      <c r="G397" s="70"/>
      <c r="H397" s="12"/>
      <c r="I397" s="12"/>
    </row>
    <row r="398" spans="1:9" ht="22.5" customHeight="1">
      <c r="A398" s="12"/>
      <c r="B398" s="12"/>
      <c r="C398" s="69"/>
      <c r="D398" s="12"/>
      <c r="E398" s="12"/>
      <c r="F398" s="70"/>
      <c r="G398" s="70"/>
      <c r="H398" s="12"/>
      <c r="I398" s="12"/>
    </row>
    <row r="399" spans="1:9" ht="22.5" customHeight="1">
      <c r="A399" s="12"/>
      <c r="B399" s="12"/>
      <c r="C399" s="69"/>
      <c r="D399" s="12"/>
      <c r="E399" s="12"/>
      <c r="F399" s="70"/>
      <c r="G399" s="70"/>
      <c r="H399" s="12"/>
      <c r="I399" s="12"/>
    </row>
    <row r="400" spans="1:9" ht="22.5" customHeight="1">
      <c r="A400" s="12"/>
      <c r="B400" s="12"/>
      <c r="C400" s="69"/>
      <c r="D400" s="12"/>
      <c r="E400" s="12"/>
      <c r="F400" s="70"/>
      <c r="G400" s="70"/>
      <c r="H400" s="12"/>
      <c r="I400" s="12"/>
    </row>
    <row r="401" spans="1:9" ht="22.5" customHeight="1">
      <c r="A401" s="12"/>
      <c r="B401" s="12"/>
      <c r="C401" s="69"/>
      <c r="D401" s="12"/>
      <c r="E401" s="12"/>
      <c r="F401" s="70"/>
      <c r="G401" s="70"/>
      <c r="H401" s="12"/>
      <c r="I401" s="12"/>
    </row>
    <row r="402" spans="1:9" ht="22.5" customHeight="1">
      <c r="A402" s="12"/>
      <c r="B402" s="12"/>
      <c r="C402" s="69"/>
      <c r="D402" s="12"/>
      <c r="E402" s="12"/>
      <c r="F402" s="70"/>
      <c r="G402" s="70"/>
      <c r="H402" s="12"/>
      <c r="I402" s="12"/>
    </row>
    <row r="403" spans="1:9" ht="22.5" customHeight="1">
      <c r="A403" s="12"/>
      <c r="B403" s="12"/>
      <c r="C403" s="69"/>
      <c r="D403" s="12"/>
      <c r="E403" s="12"/>
      <c r="F403" s="70"/>
      <c r="G403" s="70"/>
      <c r="H403" s="12"/>
      <c r="I403" s="12"/>
    </row>
    <row r="404" spans="1:9" ht="22.5" customHeight="1">
      <c r="A404" s="12"/>
      <c r="B404" s="12"/>
      <c r="C404" s="69"/>
      <c r="D404" s="12"/>
      <c r="E404" s="12"/>
      <c r="F404" s="70"/>
      <c r="G404" s="70"/>
      <c r="H404" s="12"/>
      <c r="I404" s="12"/>
    </row>
    <row r="405" spans="1:9" ht="22.5" customHeight="1">
      <c r="A405" s="12"/>
      <c r="B405" s="12"/>
      <c r="C405" s="69"/>
      <c r="D405" s="12"/>
      <c r="E405" s="12"/>
      <c r="F405" s="70"/>
      <c r="G405" s="70"/>
      <c r="H405" s="12"/>
      <c r="I405" s="12"/>
    </row>
    <row r="406" spans="1:9" ht="22.5" customHeight="1">
      <c r="A406" s="12"/>
      <c r="B406" s="12"/>
      <c r="C406" s="69"/>
      <c r="D406" s="12"/>
      <c r="E406" s="12"/>
      <c r="F406" s="70"/>
      <c r="G406" s="70"/>
      <c r="H406" s="12"/>
      <c r="I406" s="12"/>
    </row>
    <row r="407" spans="1:9" ht="22.5" customHeight="1">
      <c r="A407" s="12"/>
      <c r="B407" s="12"/>
      <c r="C407" s="69"/>
      <c r="D407" s="12"/>
      <c r="E407" s="12"/>
      <c r="F407" s="70"/>
      <c r="G407" s="70"/>
      <c r="H407" s="12"/>
      <c r="I407" s="12"/>
    </row>
    <row r="408" spans="1:9" ht="22.5" customHeight="1">
      <c r="A408" s="12"/>
      <c r="B408" s="12"/>
      <c r="C408" s="69"/>
      <c r="D408" s="12"/>
      <c r="E408" s="12"/>
      <c r="F408" s="70"/>
      <c r="G408" s="70"/>
      <c r="H408" s="12"/>
      <c r="I408" s="12"/>
    </row>
    <row r="409" spans="1:9" ht="22.5" customHeight="1">
      <c r="A409" s="12"/>
      <c r="B409" s="12"/>
      <c r="C409" s="69"/>
      <c r="D409" s="12"/>
      <c r="E409" s="12"/>
      <c r="F409" s="70"/>
      <c r="G409" s="70"/>
      <c r="H409" s="12"/>
      <c r="I409" s="12"/>
    </row>
    <row r="410" spans="1:9" ht="22.5" customHeight="1">
      <c r="A410" s="12"/>
      <c r="B410" s="12"/>
      <c r="C410" s="69"/>
      <c r="D410" s="12"/>
      <c r="E410" s="12"/>
      <c r="F410" s="70"/>
      <c r="G410" s="70"/>
      <c r="H410" s="12"/>
      <c r="I410" s="12"/>
    </row>
    <row r="411" spans="1:9" ht="22.5" customHeight="1">
      <c r="A411" s="12"/>
      <c r="B411" s="12"/>
      <c r="C411" s="69"/>
      <c r="D411" s="12"/>
      <c r="E411" s="12"/>
      <c r="F411" s="70"/>
      <c r="G411" s="70"/>
      <c r="H411" s="12"/>
      <c r="I411" s="12"/>
    </row>
    <row r="412" spans="1:9" ht="22.5" customHeight="1">
      <c r="A412" s="12"/>
      <c r="B412" s="12"/>
      <c r="C412" s="69"/>
      <c r="D412" s="12"/>
      <c r="E412" s="12"/>
      <c r="F412" s="70"/>
      <c r="G412" s="70"/>
      <c r="H412" s="12"/>
      <c r="I412" s="12"/>
    </row>
    <row r="413" spans="1:9" ht="22.5" customHeight="1">
      <c r="A413" s="12"/>
      <c r="B413" s="12"/>
      <c r="C413" s="69"/>
      <c r="D413" s="12"/>
      <c r="E413" s="12"/>
      <c r="F413" s="70"/>
      <c r="G413" s="70"/>
      <c r="H413" s="12"/>
      <c r="I413" s="12"/>
    </row>
    <row r="414" spans="1:9" ht="22.5" customHeight="1">
      <c r="A414" s="12"/>
      <c r="B414" s="12"/>
      <c r="C414" s="69"/>
      <c r="D414" s="12"/>
      <c r="E414" s="12"/>
      <c r="F414" s="70"/>
      <c r="G414" s="70"/>
      <c r="H414" s="12"/>
      <c r="I414" s="12"/>
    </row>
    <row r="415" spans="1:9" ht="22.5" customHeight="1">
      <c r="A415" s="12"/>
      <c r="B415" s="12"/>
      <c r="C415" s="69"/>
      <c r="D415" s="12"/>
      <c r="E415" s="12"/>
      <c r="F415" s="70"/>
      <c r="G415" s="70"/>
      <c r="H415" s="12"/>
      <c r="I415" s="12"/>
    </row>
    <row r="416" spans="1:9" ht="22.5" customHeight="1">
      <c r="A416" s="12"/>
      <c r="B416" s="12"/>
      <c r="C416" s="69"/>
      <c r="D416" s="12"/>
      <c r="E416" s="12"/>
      <c r="F416" s="70"/>
      <c r="G416" s="70"/>
      <c r="H416" s="12"/>
      <c r="I416" s="12"/>
    </row>
    <row r="417" spans="1:9" ht="22.5" customHeight="1">
      <c r="A417" s="12"/>
      <c r="B417" s="12"/>
      <c r="C417" s="69"/>
      <c r="D417" s="12"/>
      <c r="E417" s="12"/>
      <c r="F417" s="70"/>
      <c r="G417" s="70"/>
      <c r="H417" s="12"/>
      <c r="I417" s="12"/>
    </row>
    <row r="418" spans="1:9" ht="22.5" customHeight="1">
      <c r="A418" s="12"/>
      <c r="B418" s="12"/>
      <c r="C418" s="69"/>
      <c r="D418" s="12"/>
      <c r="E418" s="12"/>
      <c r="F418" s="70"/>
      <c r="G418" s="70"/>
      <c r="H418" s="12"/>
      <c r="I418" s="12"/>
    </row>
    <row r="419" spans="1:9" ht="22.5" customHeight="1">
      <c r="A419" s="12"/>
      <c r="B419" s="12"/>
      <c r="C419" s="69"/>
      <c r="D419" s="12"/>
      <c r="E419" s="12"/>
      <c r="F419" s="70"/>
      <c r="G419" s="70"/>
      <c r="H419" s="12"/>
      <c r="I419" s="12"/>
    </row>
    <row r="420" spans="1:9" ht="22.5" customHeight="1">
      <c r="A420" s="12"/>
      <c r="B420" s="12"/>
      <c r="C420" s="69"/>
      <c r="D420" s="12"/>
      <c r="E420" s="12"/>
      <c r="F420" s="70"/>
      <c r="G420" s="70"/>
      <c r="H420" s="12"/>
      <c r="I420" s="12"/>
    </row>
    <row r="421" spans="1:9" ht="22.5" customHeight="1">
      <c r="A421" s="12"/>
      <c r="B421" s="12"/>
      <c r="C421" s="69"/>
      <c r="D421" s="12"/>
      <c r="E421" s="12"/>
      <c r="F421" s="70"/>
      <c r="G421" s="70"/>
      <c r="H421" s="12"/>
      <c r="I421" s="12"/>
    </row>
    <row r="422" spans="1:9" ht="22.5" customHeight="1">
      <c r="A422" s="12"/>
      <c r="B422" s="12"/>
      <c r="C422" s="69"/>
      <c r="D422" s="12"/>
      <c r="E422" s="12"/>
      <c r="F422" s="70"/>
      <c r="G422" s="70"/>
      <c r="H422" s="12"/>
      <c r="I422" s="12"/>
    </row>
    <row r="423" spans="1:9" ht="22.5" customHeight="1">
      <c r="A423" s="12"/>
      <c r="B423" s="12"/>
      <c r="C423" s="69"/>
      <c r="D423" s="12"/>
      <c r="E423" s="12"/>
      <c r="F423" s="70"/>
      <c r="G423" s="70"/>
      <c r="H423" s="12"/>
      <c r="I423" s="12"/>
    </row>
    <row r="424" spans="1:9" ht="22.5" customHeight="1">
      <c r="A424" s="12"/>
      <c r="B424" s="12"/>
      <c r="C424" s="69"/>
      <c r="D424" s="12"/>
      <c r="E424" s="12"/>
      <c r="F424" s="70"/>
      <c r="G424" s="70"/>
      <c r="H424" s="12"/>
      <c r="I424" s="12"/>
    </row>
    <row r="425" spans="1:9" ht="22.5" customHeight="1">
      <c r="A425" s="12"/>
      <c r="B425" s="12"/>
      <c r="C425" s="69"/>
      <c r="D425" s="12"/>
      <c r="E425" s="12"/>
      <c r="F425" s="70"/>
      <c r="G425" s="70"/>
      <c r="H425" s="12"/>
      <c r="I425" s="12"/>
    </row>
    <row r="426" spans="1:9" ht="22.5" customHeight="1">
      <c r="A426" s="12"/>
      <c r="B426" s="12"/>
      <c r="C426" s="69"/>
      <c r="D426" s="12"/>
      <c r="E426" s="12"/>
      <c r="F426" s="70"/>
      <c r="G426" s="70"/>
      <c r="H426" s="12"/>
      <c r="I426" s="12"/>
    </row>
    <row r="427" spans="1:9" ht="22.5" customHeight="1">
      <c r="A427" s="12"/>
      <c r="B427" s="12"/>
      <c r="C427" s="69"/>
      <c r="D427" s="12"/>
      <c r="E427" s="12"/>
      <c r="F427" s="70"/>
      <c r="G427" s="70"/>
      <c r="H427" s="12"/>
      <c r="I427" s="12"/>
    </row>
    <row r="428" spans="1:9" ht="22.5" customHeight="1">
      <c r="A428" s="12"/>
      <c r="B428" s="12"/>
      <c r="C428" s="69"/>
      <c r="D428" s="12"/>
      <c r="E428" s="12"/>
      <c r="F428" s="70"/>
      <c r="G428" s="70"/>
      <c r="H428" s="12"/>
      <c r="I428" s="12"/>
    </row>
    <row r="429" spans="1:9" ht="22.5" customHeight="1">
      <c r="A429" s="12"/>
      <c r="B429" s="12"/>
      <c r="C429" s="69"/>
      <c r="D429" s="12"/>
      <c r="E429" s="12"/>
      <c r="F429" s="70"/>
      <c r="G429" s="70"/>
      <c r="H429" s="12"/>
      <c r="I429" s="12"/>
    </row>
    <row r="430" spans="1:9" ht="22.5" customHeight="1">
      <c r="A430" s="12"/>
      <c r="B430" s="12"/>
      <c r="C430" s="69"/>
      <c r="D430" s="12"/>
      <c r="E430" s="12"/>
      <c r="F430" s="70"/>
      <c r="G430" s="70"/>
      <c r="H430" s="12"/>
      <c r="I430" s="12"/>
    </row>
    <row r="431" spans="1:9" ht="22.5" customHeight="1">
      <c r="A431" s="12"/>
      <c r="B431" s="12"/>
      <c r="C431" s="69"/>
      <c r="D431" s="12"/>
      <c r="E431" s="12"/>
      <c r="F431" s="70"/>
      <c r="G431" s="70"/>
      <c r="H431" s="12"/>
      <c r="I431" s="12"/>
    </row>
    <row r="432" spans="1:9" ht="22.5" customHeight="1">
      <c r="A432" s="12"/>
      <c r="B432" s="12"/>
      <c r="C432" s="69"/>
      <c r="D432" s="12"/>
      <c r="E432" s="12"/>
      <c r="F432" s="70"/>
      <c r="G432" s="70"/>
      <c r="H432" s="12"/>
      <c r="I432" s="12"/>
    </row>
    <row r="433" spans="1:9" ht="22.5" customHeight="1">
      <c r="A433" s="12"/>
      <c r="B433" s="12"/>
      <c r="C433" s="69"/>
      <c r="D433" s="12"/>
      <c r="E433" s="12"/>
      <c r="F433" s="70"/>
      <c r="G433" s="70"/>
      <c r="H433" s="12"/>
      <c r="I433" s="12"/>
    </row>
    <row r="434" spans="1:9" ht="22.5" customHeight="1">
      <c r="A434" s="12"/>
      <c r="B434" s="12"/>
      <c r="C434" s="69"/>
      <c r="D434" s="12"/>
      <c r="E434" s="12"/>
      <c r="F434" s="70"/>
      <c r="G434" s="70"/>
      <c r="H434" s="12"/>
      <c r="I434" s="12"/>
    </row>
    <row r="435" spans="1:9" ht="22.5" customHeight="1">
      <c r="A435" s="12"/>
      <c r="B435" s="12"/>
      <c r="C435" s="69"/>
      <c r="D435" s="12"/>
      <c r="E435" s="12"/>
      <c r="F435" s="70"/>
      <c r="G435" s="70"/>
      <c r="H435" s="12"/>
      <c r="I435" s="12"/>
    </row>
    <row r="436" spans="1:9" ht="22.5" customHeight="1">
      <c r="A436" s="12"/>
      <c r="B436" s="12"/>
      <c r="C436" s="69"/>
      <c r="D436" s="12"/>
      <c r="E436" s="12"/>
      <c r="F436" s="70"/>
      <c r="G436" s="70"/>
      <c r="H436" s="12"/>
      <c r="I436" s="12"/>
    </row>
    <row r="437" spans="1:9" ht="22.5" customHeight="1">
      <c r="A437" s="12"/>
      <c r="B437" s="12"/>
      <c r="C437" s="69"/>
      <c r="D437" s="12"/>
      <c r="E437" s="12"/>
      <c r="F437" s="70"/>
      <c r="G437" s="70"/>
      <c r="H437" s="12"/>
      <c r="I437" s="12"/>
    </row>
    <row r="438" spans="1:9" ht="22.5" customHeight="1">
      <c r="A438" s="12"/>
      <c r="B438" s="12"/>
      <c r="C438" s="69"/>
      <c r="D438" s="12"/>
      <c r="E438" s="12"/>
      <c r="F438" s="70"/>
      <c r="G438" s="70"/>
      <c r="H438" s="12"/>
      <c r="I438" s="12"/>
    </row>
    <row r="439" spans="1:9" ht="22.5" customHeight="1">
      <c r="A439" s="12"/>
      <c r="B439" s="12"/>
      <c r="C439" s="69"/>
      <c r="D439" s="12"/>
      <c r="E439" s="12"/>
      <c r="F439" s="70"/>
      <c r="G439" s="70"/>
      <c r="H439" s="12"/>
      <c r="I439" s="12"/>
    </row>
    <row r="440" spans="1:9" ht="22.5" customHeight="1">
      <c r="A440" s="12"/>
      <c r="B440" s="12"/>
      <c r="C440" s="69"/>
      <c r="D440" s="12"/>
      <c r="E440" s="12"/>
      <c r="F440" s="70"/>
      <c r="G440" s="70"/>
      <c r="H440" s="12"/>
      <c r="I440" s="12"/>
    </row>
    <row r="441" spans="1:9" ht="22.5" customHeight="1">
      <c r="A441" s="12"/>
      <c r="B441" s="12"/>
      <c r="C441" s="69"/>
      <c r="D441" s="12"/>
      <c r="E441" s="12"/>
      <c r="F441" s="70"/>
      <c r="G441" s="70"/>
      <c r="H441" s="12"/>
      <c r="I441" s="12"/>
    </row>
    <row r="442" spans="1:9" ht="22.5" customHeight="1">
      <c r="A442" s="12"/>
      <c r="B442" s="12"/>
      <c r="C442" s="69"/>
      <c r="D442" s="12"/>
      <c r="E442" s="12"/>
      <c r="F442" s="70"/>
      <c r="G442" s="70"/>
      <c r="H442" s="12"/>
      <c r="I442" s="12"/>
    </row>
    <row r="443" spans="1:9" ht="22.5" customHeight="1">
      <c r="A443" s="12"/>
      <c r="B443" s="12"/>
      <c r="C443" s="69"/>
      <c r="D443" s="12"/>
      <c r="E443" s="12"/>
      <c r="F443" s="70"/>
      <c r="G443" s="70"/>
      <c r="H443" s="12"/>
      <c r="I443" s="12"/>
    </row>
    <row r="444" spans="1:9" ht="22.5" customHeight="1">
      <c r="A444" s="12"/>
      <c r="B444" s="12"/>
      <c r="C444" s="69"/>
      <c r="D444" s="12"/>
      <c r="E444" s="12"/>
      <c r="F444" s="70"/>
      <c r="G444" s="70"/>
      <c r="H444" s="12"/>
      <c r="I444" s="12"/>
    </row>
    <row r="445" spans="1:9" ht="22.5" customHeight="1">
      <c r="A445" s="12"/>
      <c r="B445" s="12"/>
      <c r="C445" s="69"/>
      <c r="D445" s="12"/>
      <c r="E445" s="12"/>
      <c r="F445" s="70"/>
      <c r="G445" s="70"/>
      <c r="H445" s="12"/>
      <c r="I445" s="12"/>
    </row>
    <row r="446" spans="1:9" ht="22.5" customHeight="1">
      <c r="A446" s="12"/>
      <c r="B446" s="12"/>
      <c r="C446" s="69"/>
      <c r="D446" s="12"/>
      <c r="E446" s="12"/>
      <c r="F446" s="70"/>
      <c r="G446" s="70"/>
      <c r="H446" s="12"/>
      <c r="I446" s="12"/>
    </row>
    <row r="447" spans="1:9" ht="22.5" customHeight="1">
      <c r="A447" s="12"/>
      <c r="B447" s="12"/>
      <c r="C447" s="69"/>
      <c r="D447" s="12"/>
      <c r="E447" s="12"/>
      <c r="F447" s="70"/>
      <c r="G447" s="70"/>
      <c r="H447" s="12"/>
      <c r="I447" s="12"/>
    </row>
    <row r="448" spans="1:9" ht="22.5" customHeight="1">
      <c r="A448" s="12"/>
      <c r="B448" s="12"/>
      <c r="C448" s="69"/>
      <c r="D448" s="12"/>
      <c r="E448" s="12"/>
      <c r="F448" s="70"/>
      <c r="G448" s="70"/>
      <c r="H448" s="12"/>
      <c r="I448" s="12"/>
    </row>
    <row r="449" spans="1:9" ht="22.5" customHeight="1">
      <c r="A449" s="12"/>
      <c r="B449" s="12"/>
      <c r="C449" s="69"/>
      <c r="D449" s="12"/>
      <c r="E449" s="12"/>
      <c r="F449" s="70"/>
      <c r="G449" s="70"/>
      <c r="H449" s="12"/>
      <c r="I449" s="12"/>
    </row>
    <row r="450" spans="1:9" ht="22.5" customHeight="1">
      <c r="A450" s="12"/>
      <c r="B450" s="12"/>
      <c r="C450" s="69"/>
      <c r="D450" s="12"/>
      <c r="E450" s="12"/>
      <c r="F450" s="70"/>
      <c r="G450" s="70"/>
      <c r="H450" s="12"/>
      <c r="I450" s="12"/>
    </row>
    <row r="451" spans="1:9" ht="22.5" customHeight="1">
      <c r="A451" s="12"/>
      <c r="B451" s="12"/>
      <c r="C451" s="69"/>
      <c r="D451" s="12"/>
      <c r="E451" s="12"/>
      <c r="F451" s="70"/>
      <c r="G451" s="70"/>
      <c r="H451" s="12"/>
      <c r="I451" s="12"/>
    </row>
    <row r="452" spans="1:9" ht="22.5" customHeight="1">
      <c r="A452" s="12"/>
      <c r="B452" s="12"/>
      <c r="C452" s="69"/>
      <c r="D452" s="12"/>
      <c r="E452" s="12"/>
      <c r="F452" s="70"/>
      <c r="G452" s="70"/>
      <c r="H452" s="12"/>
      <c r="I452" s="12"/>
    </row>
    <row r="453" spans="1:9" ht="22.5" customHeight="1">
      <c r="A453" s="12"/>
      <c r="B453" s="12"/>
      <c r="C453" s="69"/>
      <c r="D453" s="12"/>
      <c r="E453" s="12"/>
      <c r="F453" s="70"/>
      <c r="G453" s="70"/>
      <c r="H453" s="12"/>
      <c r="I453" s="12"/>
    </row>
    <row r="454" spans="1:9" ht="22.5" customHeight="1">
      <c r="A454" s="12"/>
      <c r="B454" s="12"/>
      <c r="C454" s="69"/>
      <c r="D454" s="12"/>
      <c r="E454" s="12"/>
      <c r="F454" s="70"/>
      <c r="G454" s="70"/>
      <c r="H454" s="12"/>
      <c r="I454" s="12"/>
    </row>
    <row r="455" spans="1:9" ht="22.5" customHeight="1">
      <c r="A455" s="12"/>
      <c r="B455" s="12"/>
      <c r="C455" s="69"/>
      <c r="D455" s="12"/>
      <c r="E455" s="12"/>
      <c r="F455" s="70"/>
      <c r="G455" s="70"/>
      <c r="H455" s="12"/>
      <c r="I455" s="12"/>
    </row>
    <row r="456" spans="1:9" ht="22.5" customHeight="1">
      <c r="A456" s="12"/>
      <c r="B456" s="12"/>
      <c r="C456" s="69"/>
      <c r="D456" s="12"/>
      <c r="E456" s="12"/>
      <c r="F456" s="70"/>
      <c r="G456" s="70"/>
      <c r="H456" s="12"/>
      <c r="I456" s="12"/>
    </row>
    <row r="457" spans="1:9" ht="22.5" customHeight="1">
      <c r="A457" s="12"/>
      <c r="B457" s="12"/>
      <c r="C457" s="69"/>
      <c r="D457" s="12"/>
      <c r="E457" s="12"/>
      <c r="F457" s="70"/>
      <c r="G457" s="70"/>
      <c r="H457" s="12"/>
      <c r="I457" s="12"/>
    </row>
    <row r="458" spans="1:9" ht="22.5" customHeight="1">
      <c r="A458" s="12"/>
      <c r="B458" s="12"/>
      <c r="C458" s="69"/>
      <c r="D458" s="12"/>
      <c r="E458" s="12"/>
      <c r="F458" s="70"/>
      <c r="G458" s="70"/>
      <c r="H458" s="12"/>
      <c r="I458" s="12"/>
    </row>
    <row r="459" spans="1:9" ht="22.5" customHeight="1">
      <c r="A459" s="12"/>
      <c r="B459" s="12"/>
      <c r="C459" s="69"/>
      <c r="D459" s="12"/>
      <c r="E459" s="12"/>
      <c r="F459" s="70"/>
      <c r="G459" s="70"/>
      <c r="H459" s="12"/>
      <c r="I459" s="12"/>
    </row>
    <row r="460" spans="1:9" ht="22.5" customHeight="1">
      <c r="A460" s="12"/>
      <c r="B460" s="12"/>
      <c r="C460" s="69"/>
      <c r="D460" s="12"/>
      <c r="E460" s="12"/>
      <c r="F460" s="70"/>
      <c r="G460" s="70"/>
      <c r="H460" s="12"/>
      <c r="I460" s="12"/>
    </row>
    <row r="461" spans="1:9" ht="22.5" customHeight="1">
      <c r="A461" s="12"/>
      <c r="B461" s="12"/>
      <c r="C461" s="69"/>
      <c r="D461" s="12"/>
      <c r="E461" s="12"/>
      <c r="F461" s="70"/>
      <c r="G461" s="70"/>
      <c r="H461" s="12"/>
      <c r="I461" s="12"/>
    </row>
    <row r="462" spans="1:9" ht="22.5" customHeight="1">
      <c r="A462" s="12"/>
      <c r="B462" s="12"/>
      <c r="C462" s="69"/>
      <c r="D462" s="12"/>
      <c r="E462" s="12"/>
      <c r="F462" s="70"/>
      <c r="G462" s="70"/>
      <c r="H462" s="12"/>
      <c r="I462" s="12"/>
    </row>
    <row r="463" spans="1:9" ht="22.5" customHeight="1">
      <c r="A463" s="12"/>
      <c r="B463" s="12"/>
      <c r="C463" s="69"/>
      <c r="D463" s="12"/>
      <c r="E463" s="12"/>
      <c r="F463" s="70"/>
      <c r="G463" s="70"/>
      <c r="H463" s="12"/>
      <c r="I463" s="12"/>
    </row>
    <row r="464" spans="1:9" ht="22.5" customHeight="1">
      <c r="A464" s="12"/>
      <c r="B464" s="12"/>
      <c r="C464" s="69"/>
      <c r="D464" s="12"/>
      <c r="E464" s="12"/>
      <c r="F464" s="70"/>
      <c r="G464" s="70"/>
      <c r="H464" s="12"/>
      <c r="I464" s="12"/>
    </row>
    <row r="465" spans="1:9" ht="22.5" customHeight="1">
      <c r="A465" s="12"/>
      <c r="B465" s="12"/>
      <c r="C465" s="69"/>
      <c r="D465" s="12"/>
      <c r="E465" s="12"/>
      <c r="F465" s="70"/>
      <c r="G465" s="70"/>
      <c r="H465" s="12"/>
      <c r="I465" s="12"/>
    </row>
    <row r="466" spans="1:9" ht="22.5" customHeight="1">
      <c r="A466" s="12"/>
      <c r="B466" s="12"/>
      <c r="C466" s="69"/>
      <c r="D466" s="12"/>
      <c r="E466" s="12"/>
      <c r="F466" s="70"/>
      <c r="G466" s="70"/>
      <c r="H466" s="12"/>
      <c r="I466" s="12"/>
    </row>
    <row r="467" spans="1:9" ht="22.5" customHeight="1">
      <c r="A467" s="12"/>
      <c r="B467" s="12"/>
      <c r="C467" s="69"/>
      <c r="D467" s="12"/>
      <c r="E467" s="12"/>
      <c r="F467" s="70"/>
      <c r="G467" s="70"/>
      <c r="H467" s="12"/>
      <c r="I467" s="12"/>
    </row>
    <row r="468" spans="1:9" ht="22.5" customHeight="1">
      <c r="A468" s="12"/>
      <c r="B468" s="12"/>
      <c r="C468" s="69"/>
      <c r="D468" s="12"/>
      <c r="E468" s="12"/>
      <c r="F468" s="70"/>
      <c r="G468" s="70"/>
      <c r="H468" s="12"/>
      <c r="I468" s="12"/>
    </row>
    <row r="469" spans="1:9" ht="22.5" customHeight="1">
      <c r="A469" s="12"/>
      <c r="B469" s="12"/>
      <c r="C469" s="69"/>
      <c r="D469" s="12"/>
      <c r="E469" s="12"/>
      <c r="F469" s="70"/>
      <c r="G469" s="70"/>
      <c r="H469" s="12"/>
      <c r="I469" s="12"/>
    </row>
    <row r="470" spans="1:9" ht="22.5" customHeight="1">
      <c r="A470" s="12"/>
      <c r="B470" s="12"/>
      <c r="C470" s="69"/>
      <c r="D470" s="12"/>
      <c r="E470" s="12"/>
      <c r="F470" s="70"/>
      <c r="G470" s="70"/>
      <c r="H470" s="12"/>
      <c r="I470" s="12"/>
    </row>
    <row r="471" spans="1:9" ht="22.5" customHeight="1">
      <c r="A471" s="12"/>
      <c r="B471" s="12"/>
      <c r="C471" s="69"/>
      <c r="D471" s="12"/>
      <c r="E471" s="12"/>
      <c r="F471" s="70"/>
      <c r="G471" s="70"/>
      <c r="H471" s="12"/>
      <c r="I471" s="12"/>
    </row>
    <row r="472" spans="1:9" ht="22.5" customHeight="1">
      <c r="A472" s="12"/>
      <c r="B472" s="12"/>
      <c r="C472" s="69"/>
      <c r="D472" s="12"/>
      <c r="E472" s="12"/>
      <c r="F472" s="70"/>
      <c r="G472" s="70"/>
      <c r="H472" s="12"/>
      <c r="I472" s="12"/>
    </row>
    <row r="473" spans="1:9" ht="22.5" customHeight="1">
      <c r="A473" s="12"/>
      <c r="B473" s="12"/>
      <c r="C473" s="69"/>
      <c r="D473" s="12"/>
      <c r="E473" s="12"/>
      <c r="F473" s="70"/>
      <c r="G473" s="70"/>
      <c r="H473" s="12"/>
      <c r="I473" s="12"/>
    </row>
    <row r="474" spans="1:9" ht="22.5" customHeight="1">
      <c r="A474" s="12"/>
      <c r="B474" s="12"/>
      <c r="C474" s="69"/>
      <c r="D474" s="12"/>
      <c r="E474" s="12"/>
      <c r="F474" s="70"/>
      <c r="G474" s="70"/>
      <c r="H474" s="12"/>
      <c r="I474" s="12"/>
    </row>
    <row r="475" spans="1:9" ht="22.5" customHeight="1">
      <c r="A475" s="12"/>
      <c r="B475" s="12"/>
      <c r="C475" s="69"/>
      <c r="D475" s="12"/>
      <c r="E475" s="12"/>
      <c r="F475" s="70"/>
      <c r="G475" s="70"/>
      <c r="H475" s="12"/>
      <c r="I475" s="12"/>
    </row>
    <row r="476" spans="1:9" ht="22.5" customHeight="1">
      <c r="A476" s="12"/>
      <c r="B476" s="12"/>
      <c r="C476" s="69"/>
      <c r="D476" s="12"/>
      <c r="E476" s="12"/>
      <c r="F476" s="70"/>
      <c r="G476" s="70"/>
      <c r="H476" s="12"/>
      <c r="I476" s="12"/>
    </row>
    <row r="477" spans="1:9" ht="22.5" customHeight="1">
      <c r="A477" s="12"/>
      <c r="B477" s="12"/>
      <c r="C477" s="69"/>
      <c r="D477" s="12"/>
      <c r="E477" s="12"/>
      <c r="F477" s="70"/>
      <c r="G477" s="70"/>
      <c r="H477" s="12"/>
      <c r="I477" s="12"/>
    </row>
    <row r="478" spans="1:9" ht="22.5" customHeight="1">
      <c r="A478" s="12"/>
      <c r="B478" s="12"/>
      <c r="C478" s="69"/>
      <c r="D478" s="12"/>
      <c r="E478" s="12"/>
      <c r="F478" s="70"/>
      <c r="G478" s="70"/>
      <c r="H478" s="12"/>
      <c r="I478" s="12"/>
    </row>
    <row r="479" spans="1:9" ht="22.5" customHeight="1">
      <c r="A479" s="12"/>
      <c r="B479" s="12"/>
      <c r="C479" s="69"/>
      <c r="D479" s="12"/>
      <c r="E479" s="12"/>
      <c r="F479" s="70"/>
      <c r="G479" s="70"/>
      <c r="H479" s="12"/>
      <c r="I479" s="12"/>
    </row>
    <row r="480" spans="1:9" ht="22.5" customHeight="1">
      <c r="A480" s="12"/>
      <c r="B480" s="12"/>
      <c r="C480" s="69"/>
      <c r="D480" s="12"/>
      <c r="E480" s="12"/>
      <c r="F480" s="70"/>
      <c r="G480" s="70"/>
      <c r="H480" s="12"/>
      <c r="I480" s="12"/>
    </row>
    <row r="481" spans="1:9" ht="22.5" customHeight="1">
      <c r="A481" s="12"/>
      <c r="B481" s="12"/>
      <c r="C481" s="69"/>
      <c r="D481" s="12"/>
      <c r="E481" s="12"/>
      <c r="F481" s="70"/>
      <c r="G481" s="70"/>
      <c r="H481" s="12"/>
      <c r="I481" s="12"/>
    </row>
    <row r="482" spans="1:9" ht="22.5" customHeight="1">
      <c r="A482" s="12"/>
      <c r="B482" s="12"/>
      <c r="C482" s="69"/>
      <c r="D482" s="12"/>
      <c r="E482" s="12"/>
      <c r="F482" s="70"/>
      <c r="G482" s="70"/>
      <c r="H482" s="12"/>
      <c r="I482" s="12"/>
    </row>
    <row r="483" spans="1:9" ht="22.5" customHeight="1">
      <c r="A483" s="12"/>
      <c r="B483" s="12"/>
      <c r="C483" s="69"/>
      <c r="D483" s="12"/>
      <c r="E483" s="12"/>
      <c r="F483" s="70"/>
      <c r="G483" s="70"/>
      <c r="H483" s="12"/>
      <c r="I483" s="12"/>
    </row>
    <row r="484" spans="1:9" ht="22.5" customHeight="1">
      <c r="A484" s="12"/>
      <c r="B484" s="12"/>
      <c r="C484" s="69"/>
      <c r="D484" s="12"/>
      <c r="E484" s="12"/>
      <c r="F484" s="70"/>
      <c r="G484" s="70"/>
      <c r="H484" s="12"/>
      <c r="I484" s="12"/>
    </row>
    <row r="485" spans="1:9" ht="22.5" customHeight="1">
      <c r="A485" s="12"/>
      <c r="B485" s="12"/>
      <c r="C485" s="69"/>
      <c r="D485" s="12"/>
      <c r="E485" s="12"/>
      <c r="F485" s="70"/>
      <c r="G485" s="70"/>
      <c r="H485" s="12"/>
      <c r="I485" s="12"/>
    </row>
    <row r="486" spans="1:9" ht="22.5" customHeight="1">
      <c r="A486" s="12"/>
      <c r="B486" s="12"/>
      <c r="C486" s="69"/>
      <c r="D486" s="12"/>
      <c r="E486" s="12"/>
      <c r="F486" s="70"/>
      <c r="G486" s="70"/>
      <c r="H486" s="12"/>
      <c r="I486" s="12"/>
    </row>
    <row r="487" spans="1:9" ht="22.5" customHeight="1">
      <c r="A487" s="12"/>
      <c r="B487" s="12"/>
      <c r="C487" s="69"/>
      <c r="D487" s="12"/>
      <c r="E487" s="12"/>
      <c r="F487" s="70"/>
      <c r="G487" s="70"/>
      <c r="H487" s="12"/>
      <c r="I487" s="12"/>
    </row>
    <row r="488" spans="1:9" ht="22.5" customHeight="1">
      <c r="A488" s="12"/>
      <c r="B488" s="12"/>
      <c r="C488" s="69"/>
      <c r="D488" s="12"/>
      <c r="E488" s="12"/>
      <c r="F488" s="70"/>
      <c r="G488" s="70"/>
      <c r="H488" s="12"/>
      <c r="I488" s="12"/>
    </row>
    <row r="489" spans="1:9" ht="22.5" customHeight="1">
      <c r="A489" s="12"/>
      <c r="B489" s="12"/>
      <c r="C489" s="69"/>
      <c r="D489" s="12"/>
      <c r="E489" s="12"/>
      <c r="F489" s="70"/>
      <c r="G489" s="70"/>
      <c r="H489" s="12"/>
      <c r="I489" s="12"/>
    </row>
    <row r="490" spans="1:9" ht="22.5" customHeight="1">
      <c r="A490" s="12"/>
      <c r="B490" s="12"/>
      <c r="C490" s="69"/>
      <c r="D490" s="12"/>
      <c r="E490" s="12"/>
      <c r="F490" s="70"/>
      <c r="G490" s="70"/>
      <c r="H490" s="12"/>
      <c r="I490" s="12"/>
    </row>
    <row r="491" spans="1:9" ht="22.5" customHeight="1">
      <c r="A491" s="12"/>
      <c r="B491" s="12"/>
      <c r="C491" s="69"/>
      <c r="D491" s="12"/>
      <c r="E491" s="12"/>
      <c r="F491" s="70"/>
      <c r="G491" s="70"/>
      <c r="H491" s="12"/>
      <c r="I491" s="12"/>
    </row>
    <row r="492" spans="1:9" ht="22.5" customHeight="1">
      <c r="A492" s="12"/>
      <c r="B492" s="12"/>
      <c r="C492" s="69"/>
      <c r="D492" s="12"/>
      <c r="E492" s="12"/>
      <c r="F492" s="70"/>
      <c r="G492" s="70"/>
      <c r="H492" s="12"/>
      <c r="I492" s="12"/>
    </row>
    <row r="493" spans="1:9" ht="22.5" customHeight="1">
      <c r="A493" s="12"/>
      <c r="B493" s="12"/>
      <c r="C493" s="69"/>
      <c r="D493" s="12"/>
      <c r="E493" s="12"/>
      <c r="F493" s="70"/>
      <c r="G493" s="70"/>
      <c r="H493" s="12"/>
      <c r="I493" s="12"/>
    </row>
    <row r="494" spans="1:9" ht="22.5" customHeight="1">
      <c r="A494" s="12"/>
      <c r="B494" s="12"/>
      <c r="C494" s="69"/>
      <c r="D494" s="12"/>
      <c r="E494" s="12"/>
      <c r="F494" s="70"/>
      <c r="G494" s="70"/>
      <c r="H494" s="12"/>
      <c r="I494" s="12"/>
    </row>
    <row r="495" spans="1:9" ht="22.5" customHeight="1">
      <c r="A495" s="12"/>
      <c r="B495" s="12"/>
      <c r="C495" s="69"/>
      <c r="D495" s="12"/>
      <c r="E495" s="12"/>
      <c r="F495" s="70"/>
      <c r="G495" s="70"/>
      <c r="H495" s="12"/>
      <c r="I495" s="12"/>
    </row>
    <row r="496" spans="1:9" ht="22.5" customHeight="1">
      <c r="A496" s="12"/>
      <c r="B496" s="12"/>
      <c r="C496" s="69"/>
      <c r="D496" s="12"/>
      <c r="E496" s="12"/>
      <c r="F496" s="70"/>
      <c r="G496" s="70"/>
      <c r="H496" s="12"/>
      <c r="I496" s="12"/>
    </row>
    <row r="497" spans="1:9" ht="22.5" customHeight="1">
      <c r="A497" s="12"/>
      <c r="B497" s="12"/>
      <c r="C497" s="69"/>
      <c r="D497" s="12"/>
      <c r="E497" s="12"/>
      <c r="F497" s="70"/>
      <c r="G497" s="70"/>
      <c r="H497" s="12"/>
      <c r="I497" s="12"/>
    </row>
    <row r="498" spans="1:9" ht="22.5" customHeight="1">
      <c r="A498" s="12"/>
      <c r="B498" s="12"/>
      <c r="C498" s="69"/>
      <c r="D498" s="12"/>
      <c r="E498" s="12"/>
      <c r="F498" s="70"/>
      <c r="G498" s="70"/>
      <c r="H498" s="12"/>
      <c r="I498" s="12"/>
    </row>
    <row r="499" spans="1:9" ht="22.5" customHeight="1">
      <c r="A499" s="12"/>
      <c r="B499" s="12"/>
      <c r="C499" s="69"/>
      <c r="D499" s="12"/>
      <c r="E499" s="12"/>
      <c r="F499" s="70"/>
      <c r="G499" s="70"/>
      <c r="H499" s="12"/>
      <c r="I499" s="12"/>
    </row>
    <row r="500" spans="1:9" ht="22.5" customHeight="1">
      <c r="A500" s="12"/>
      <c r="B500" s="12"/>
      <c r="C500" s="69"/>
      <c r="D500" s="12"/>
      <c r="E500" s="12"/>
      <c r="F500" s="70"/>
      <c r="G500" s="70"/>
      <c r="H500" s="12"/>
      <c r="I500" s="12"/>
    </row>
    <row r="501" spans="1:9" ht="22.5" customHeight="1">
      <c r="A501" s="12"/>
      <c r="B501" s="12"/>
      <c r="C501" s="69"/>
      <c r="D501" s="12"/>
      <c r="E501" s="12"/>
      <c r="F501" s="70"/>
      <c r="G501" s="70"/>
      <c r="H501" s="12"/>
      <c r="I501" s="12"/>
    </row>
    <row r="502" spans="1:9" ht="22.5" customHeight="1">
      <c r="A502" s="12"/>
      <c r="B502" s="12"/>
      <c r="C502" s="69"/>
      <c r="D502" s="12"/>
      <c r="E502" s="12"/>
      <c r="F502" s="70"/>
      <c r="G502" s="70"/>
      <c r="H502" s="12"/>
      <c r="I502" s="12"/>
    </row>
    <row r="503" spans="1:9" ht="22.5" customHeight="1">
      <c r="A503" s="12"/>
      <c r="B503" s="12"/>
      <c r="C503" s="69"/>
      <c r="D503" s="12"/>
      <c r="E503" s="12"/>
      <c r="F503" s="70"/>
      <c r="G503" s="70"/>
      <c r="H503" s="12"/>
      <c r="I503" s="12"/>
    </row>
    <row r="504" spans="1:9" ht="22.5" customHeight="1">
      <c r="A504" s="12"/>
      <c r="B504" s="12"/>
      <c r="C504" s="69"/>
      <c r="D504" s="12"/>
      <c r="E504" s="12"/>
      <c r="F504" s="70"/>
      <c r="G504" s="70"/>
      <c r="H504" s="12"/>
      <c r="I504" s="12"/>
    </row>
    <row r="505" spans="1:9" ht="22.5" customHeight="1">
      <c r="A505" s="12"/>
      <c r="B505" s="12"/>
      <c r="C505" s="69"/>
      <c r="D505" s="12"/>
      <c r="E505" s="12"/>
      <c r="F505" s="70"/>
      <c r="G505" s="70"/>
      <c r="H505" s="12"/>
      <c r="I505" s="12"/>
    </row>
    <row r="506" spans="1:9" ht="22.5" customHeight="1">
      <c r="A506" s="12"/>
      <c r="B506" s="12"/>
      <c r="C506" s="69"/>
      <c r="D506" s="12"/>
      <c r="E506" s="12"/>
      <c r="F506" s="70"/>
      <c r="G506" s="70"/>
      <c r="H506" s="12"/>
      <c r="I506" s="12"/>
    </row>
    <row r="507" spans="1:9" ht="22.5" customHeight="1">
      <c r="A507" s="12"/>
      <c r="B507" s="12"/>
      <c r="C507" s="69"/>
      <c r="D507" s="12"/>
      <c r="E507" s="12"/>
      <c r="F507" s="70"/>
      <c r="G507" s="70"/>
      <c r="H507" s="12"/>
      <c r="I507" s="12"/>
    </row>
    <row r="508" spans="1:9" ht="22.5" customHeight="1">
      <c r="A508" s="12"/>
      <c r="B508" s="12"/>
      <c r="C508" s="69"/>
      <c r="D508" s="12"/>
      <c r="E508" s="12"/>
      <c r="F508" s="70"/>
      <c r="G508" s="70"/>
      <c r="H508" s="12"/>
      <c r="I508" s="12"/>
    </row>
    <row r="509" spans="1:9" ht="22.5" customHeight="1">
      <c r="A509" s="12"/>
      <c r="B509" s="12"/>
      <c r="C509" s="69"/>
      <c r="D509" s="12"/>
      <c r="E509" s="12"/>
      <c r="F509" s="70"/>
      <c r="G509" s="70"/>
      <c r="H509" s="12"/>
      <c r="I509" s="12"/>
    </row>
    <row r="510" spans="1:9" ht="22.5" customHeight="1">
      <c r="A510" s="12"/>
      <c r="B510" s="12"/>
      <c r="C510" s="69"/>
      <c r="D510" s="12"/>
      <c r="E510" s="12"/>
      <c r="F510" s="70"/>
      <c r="G510" s="70"/>
      <c r="H510" s="12"/>
      <c r="I510" s="12"/>
    </row>
    <row r="511" spans="1:9" ht="22.5" customHeight="1">
      <c r="A511" s="12"/>
      <c r="B511" s="12"/>
      <c r="C511" s="69"/>
      <c r="D511" s="12"/>
      <c r="E511" s="12"/>
      <c r="F511" s="70"/>
      <c r="G511" s="70"/>
      <c r="H511" s="12"/>
      <c r="I511" s="12"/>
    </row>
    <row r="512" spans="1:9" ht="22.5" customHeight="1">
      <c r="A512" s="12"/>
      <c r="B512" s="12"/>
      <c r="C512" s="69"/>
      <c r="D512" s="12"/>
      <c r="E512" s="12"/>
      <c r="F512" s="70"/>
      <c r="G512" s="70"/>
      <c r="H512" s="12"/>
      <c r="I512" s="12"/>
    </row>
    <row r="513" spans="1:9" ht="22.5" customHeight="1">
      <c r="A513" s="12"/>
      <c r="B513" s="12"/>
      <c r="C513" s="69"/>
      <c r="D513" s="12"/>
      <c r="E513" s="12"/>
      <c r="F513" s="70"/>
      <c r="G513" s="70"/>
      <c r="H513" s="12"/>
      <c r="I513" s="12"/>
    </row>
    <row r="514" spans="1:9" ht="22.5" customHeight="1">
      <c r="A514" s="12"/>
      <c r="B514" s="12"/>
      <c r="C514" s="69"/>
      <c r="D514" s="12"/>
      <c r="E514" s="12"/>
      <c r="F514" s="70"/>
      <c r="G514" s="70"/>
      <c r="H514" s="12"/>
      <c r="I514" s="12"/>
    </row>
    <row r="515" spans="1:9" ht="22.5" customHeight="1">
      <c r="A515" s="12"/>
      <c r="B515" s="12"/>
      <c r="C515" s="69"/>
      <c r="D515" s="12"/>
      <c r="E515" s="12"/>
      <c r="F515" s="70"/>
      <c r="G515" s="70"/>
      <c r="H515" s="12"/>
      <c r="I515" s="12"/>
    </row>
    <row r="516" spans="1:9" ht="22.5" customHeight="1">
      <c r="A516" s="12"/>
      <c r="B516" s="12"/>
      <c r="C516" s="69"/>
      <c r="D516" s="12"/>
      <c r="E516" s="12"/>
      <c r="F516" s="70"/>
      <c r="G516" s="70"/>
      <c r="H516" s="12"/>
      <c r="I516" s="12"/>
    </row>
    <row r="517" spans="1:9" ht="22.5" customHeight="1">
      <c r="A517" s="12"/>
      <c r="B517" s="12"/>
      <c r="C517" s="69"/>
      <c r="D517" s="12"/>
      <c r="E517" s="12"/>
      <c r="F517" s="70"/>
      <c r="G517" s="70"/>
      <c r="H517" s="12"/>
      <c r="I517" s="12"/>
    </row>
    <row r="518" spans="1:9" ht="22.5" customHeight="1">
      <c r="A518" s="12"/>
      <c r="B518" s="12"/>
      <c r="C518" s="69"/>
      <c r="D518" s="12"/>
      <c r="E518" s="12"/>
      <c r="F518" s="70"/>
      <c r="G518" s="70"/>
      <c r="H518" s="12"/>
      <c r="I518" s="12"/>
    </row>
    <row r="519" spans="1:9" ht="22.5" customHeight="1">
      <c r="A519" s="12"/>
      <c r="B519" s="12"/>
      <c r="C519" s="69"/>
      <c r="D519" s="12"/>
      <c r="E519" s="12"/>
      <c r="F519" s="70"/>
      <c r="G519" s="70"/>
      <c r="H519" s="12"/>
      <c r="I519" s="12"/>
    </row>
    <row r="520" spans="1:9" ht="22.5" customHeight="1">
      <c r="A520" s="12"/>
      <c r="B520" s="12"/>
      <c r="C520" s="69"/>
      <c r="D520" s="12"/>
      <c r="E520" s="12"/>
      <c r="F520" s="70"/>
      <c r="G520" s="70"/>
      <c r="H520" s="12"/>
      <c r="I520" s="12"/>
    </row>
    <row r="521" spans="1:9" ht="22.5" customHeight="1">
      <c r="A521" s="12"/>
      <c r="B521" s="12"/>
      <c r="C521" s="69"/>
      <c r="D521" s="12"/>
      <c r="E521" s="12"/>
      <c r="F521" s="70"/>
      <c r="G521" s="70"/>
      <c r="H521" s="12"/>
      <c r="I521" s="12"/>
    </row>
    <row r="522" spans="1:9" ht="22.5" customHeight="1">
      <c r="A522" s="12"/>
      <c r="B522" s="12"/>
      <c r="C522" s="69"/>
      <c r="D522" s="12"/>
      <c r="E522" s="12"/>
      <c r="F522" s="70"/>
      <c r="G522" s="70"/>
      <c r="H522" s="12"/>
      <c r="I522" s="12"/>
    </row>
    <row r="523" spans="1:9" ht="22.5" customHeight="1">
      <c r="A523" s="12"/>
      <c r="B523" s="12"/>
      <c r="C523" s="69"/>
      <c r="D523" s="12"/>
      <c r="E523" s="12"/>
      <c r="F523" s="70"/>
      <c r="G523" s="70"/>
      <c r="H523" s="12"/>
      <c r="I523" s="12"/>
    </row>
    <row r="524" spans="1:9" ht="22.5" customHeight="1">
      <c r="A524" s="12"/>
      <c r="B524" s="12"/>
      <c r="C524" s="69"/>
      <c r="D524" s="12"/>
      <c r="E524" s="12"/>
      <c r="F524" s="70"/>
      <c r="G524" s="70"/>
      <c r="H524" s="12"/>
      <c r="I524" s="12"/>
    </row>
    <row r="525" spans="1:9" ht="22.5" customHeight="1">
      <c r="A525" s="12"/>
      <c r="B525" s="12"/>
      <c r="C525" s="69"/>
      <c r="D525" s="12"/>
      <c r="E525" s="12"/>
      <c r="F525" s="70"/>
      <c r="G525" s="70"/>
      <c r="H525" s="12"/>
      <c r="I525" s="12"/>
    </row>
    <row r="526" spans="1:9" ht="22.5" customHeight="1">
      <c r="A526" s="12"/>
      <c r="B526" s="12"/>
      <c r="C526" s="69"/>
      <c r="D526" s="12"/>
      <c r="E526" s="12"/>
      <c r="F526" s="70"/>
      <c r="G526" s="70"/>
      <c r="H526" s="12"/>
      <c r="I526" s="12"/>
    </row>
    <row r="527" spans="1:9" ht="22.5" customHeight="1">
      <c r="A527" s="12"/>
      <c r="B527" s="12"/>
      <c r="C527" s="69"/>
      <c r="D527" s="12"/>
      <c r="E527" s="12"/>
      <c r="F527" s="70"/>
      <c r="G527" s="70"/>
      <c r="H527" s="12"/>
      <c r="I527" s="12"/>
    </row>
    <row r="528" spans="1:9" ht="22.5" customHeight="1">
      <c r="A528" s="12"/>
      <c r="B528" s="12"/>
      <c r="C528" s="69"/>
      <c r="D528" s="12"/>
      <c r="E528" s="12"/>
      <c r="F528" s="70"/>
      <c r="G528" s="70"/>
      <c r="H528" s="12"/>
      <c r="I528" s="12"/>
    </row>
    <row r="529" spans="1:9" ht="22.5" customHeight="1">
      <c r="A529" s="12"/>
      <c r="B529" s="12"/>
      <c r="C529" s="69"/>
      <c r="D529" s="12"/>
      <c r="E529" s="12"/>
      <c r="F529" s="70"/>
      <c r="G529" s="70"/>
      <c r="H529" s="12"/>
      <c r="I529" s="12"/>
    </row>
    <row r="530" spans="1:9" ht="22.5" customHeight="1">
      <c r="A530" s="12"/>
      <c r="B530" s="12"/>
      <c r="C530" s="69"/>
      <c r="D530" s="12"/>
      <c r="E530" s="12"/>
      <c r="F530" s="70"/>
      <c r="G530" s="70"/>
      <c r="H530" s="12"/>
      <c r="I530" s="12"/>
    </row>
    <row r="531" spans="1:9" ht="22.5" customHeight="1">
      <c r="A531" s="12"/>
      <c r="B531" s="12"/>
      <c r="C531" s="69"/>
      <c r="D531" s="12"/>
      <c r="E531" s="12"/>
      <c r="F531" s="70"/>
      <c r="G531" s="70"/>
      <c r="H531" s="12"/>
      <c r="I531" s="12"/>
    </row>
    <row r="532" spans="1:9" ht="22.5" customHeight="1">
      <c r="A532" s="12"/>
      <c r="B532" s="12"/>
      <c r="C532" s="69"/>
      <c r="D532" s="12"/>
      <c r="E532" s="12"/>
      <c r="F532" s="70"/>
      <c r="G532" s="70"/>
      <c r="H532" s="12"/>
      <c r="I532" s="12"/>
    </row>
    <row r="533" spans="1:9" ht="22.5" customHeight="1">
      <c r="A533" s="12"/>
      <c r="B533" s="12"/>
      <c r="C533" s="69"/>
      <c r="D533" s="12"/>
      <c r="E533" s="12"/>
      <c r="F533" s="70"/>
      <c r="G533" s="70"/>
      <c r="H533" s="12"/>
      <c r="I533" s="12"/>
    </row>
    <row r="534" spans="1:9" ht="22.5" customHeight="1">
      <c r="A534" s="12"/>
      <c r="B534" s="12"/>
      <c r="C534" s="69"/>
      <c r="D534" s="12"/>
      <c r="E534" s="12"/>
      <c r="F534" s="70"/>
      <c r="G534" s="70"/>
      <c r="H534" s="12"/>
      <c r="I534" s="12"/>
    </row>
    <row r="535" spans="1:9" ht="22.5" customHeight="1">
      <c r="A535" s="12"/>
      <c r="B535" s="12"/>
      <c r="C535" s="69"/>
      <c r="D535" s="12"/>
      <c r="E535" s="12"/>
      <c r="F535" s="70"/>
      <c r="G535" s="70"/>
      <c r="H535" s="12"/>
      <c r="I535" s="12"/>
    </row>
    <row r="536" spans="1:9" ht="22.5" customHeight="1">
      <c r="A536" s="12"/>
      <c r="B536" s="12"/>
      <c r="C536" s="69"/>
      <c r="D536" s="12"/>
      <c r="E536" s="12"/>
      <c r="F536" s="70"/>
      <c r="G536" s="70"/>
      <c r="H536" s="12"/>
      <c r="I536" s="12"/>
    </row>
    <row r="537" spans="1:9" ht="22.5" customHeight="1">
      <c r="A537" s="12"/>
      <c r="B537" s="12"/>
      <c r="C537" s="69"/>
      <c r="D537" s="12"/>
      <c r="E537" s="12"/>
      <c r="F537" s="70"/>
      <c r="G537" s="70"/>
      <c r="H537" s="12"/>
      <c r="I537" s="12"/>
    </row>
    <row r="538" spans="1:9" ht="22.5" customHeight="1">
      <c r="A538" s="12"/>
      <c r="B538" s="12"/>
      <c r="C538" s="69"/>
      <c r="D538" s="12"/>
      <c r="E538" s="12"/>
      <c r="F538" s="70"/>
      <c r="G538" s="70"/>
      <c r="H538" s="12"/>
      <c r="I538" s="12"/>
    </row>
    <row r="539" spans="1:9" ht="22.5" customHeight="1">
      <c r="A539" s="12"/>
      <c r="B539" s="12"/>
      <c r="C539" s="69"/>
      <c r="D539" s="12"/>
      <c r="E539" s="12"/>
      <c r="F539" s="70"/>
      <c r="G539" s="70"/>
      <c r="H539" s="12"/>
      <c r="I539" s="12"/>
    </row>
    <row r="540" spans="1:9" ht="22.5" customHeight="1">
      <c r="A540" s="12"/>
      <c r="B540" s="12"/>
      <c r="C540" s="69"/>
      <c r="D540" s="12"/>
      <c r="E540" s="12"/>
      <c r="F540" s="70"/>
      <c r="G540" s="70"/>
      <c r="H540" s="12"/>
      <c r="I540" s="12"/>
    </row>
    <row r="541" spans="1:9" ht="22.5" customHeight="1">
      <c r="A541" s="12"/>
      <c r="B541" s="12"/>
      <c r="C541" s="69"/>
      <c r="D541" s="12"/>
      <c r="E541" s="12"/>
      <c r="F541" s="70"/>
      <c r="G541" s="70"/>
      <c r="H541" s="12"/>
      <c r="I541" s="12"/>
    </row>
    <row r="542" spans="1:9" ht="22.5" customHeight="1">
      <c r="A542" s="12"/>
      <c r="B542" s="12"/>
      <c r="C542" s="69"/>
      <c r="D542" s="12"/>
      <c r="E542" s="12"/>
      <c r="F542" s="70"/>
      <c r="G542" s="70"/>
      <c r="H542" s="12"/>
      <c r="I542" s="12"/>
    </row>
    <row r="543" spans="1:9" ht="22.5" customHeight="1">
      <c r="A543" s="12"/>
      <c r="B543" s="12"/>
      <c r="C543" s="69"/>
      <c r="D543" s="12"/>
      <c r="E543" s="12"/>
      <c r="F543" s="70"/>
      <c r="G543" s="70"/>
      <c r="H543" s="12"/>
      <c r="I543" s="12"/>
    </row>
    <row r="544" spans="1:9" ht="22.5" customHeight="1">
      <c r="A544" s="12"/>
      <c r="B544" s="12"/>
      <c r="C544" s="69"/>
      <c r="D544" s="12"/>
      <c r="E544" s="12"/>
      <c r="F544" s="70"/>
      <c r="G544" s="70"/>
      <c r="H544" s="12"/>
      <c r="I544" s="12"/>
    </row>
    <row r="545" spans="1:9" ht="22.5" customHeight="1">
      <c r="A545" s="12"/>
      <c r="B545" s="12"/>
      <c r="C545" s="69"/>
      <c r="D545" s="12"/>
      <c r="E545" s="12"/>
      <c r="F545" s="70"/>
      <c r="G545" s="70"/>
      <c r="H545" s="12"/>
      <c r="I545" s="12"/>
    </row>
    <row r="546" spans="1:9" ht="22.5" customHeight="1">
      <c r="A546" s="12"/>
      <c r="B546" s="12"/>
      <c r="C546" s="69"/>
      <c r="D546" s="12"/>
      <c r="E546" s="12"/>
      <c r="F546" s="70"/>
      <c r="G546" s="70"/>
      <c r="H546" s="12"/>
      <c r="I546" s="12"/>
    </row>
    <row r="547" spans="1:9" ht="22.5" customHeight="1">
      <c r="A547" s="12"/>
      <c r="B547" s="12"/>
      <c r="C547" s="69"/>
      <c r="D547" s="12"/>
      <c r="E547" s="12"/>
      <c r="F547" s="70"/>
      <c r="G547" s="70"/>
      <c r="H547" s="12"/>
      <c r="I547" s="12"/>
    </row>
    <row r="548" spans="1:9" ht="22.5" customHeight="1">
      <c r="A548" s="12"/>
      <c r="B548" s="12"/>
      <c r="C548" s="69"/>
      <c r="D548" s="12"/>
      <c r="E548" s="12"/>
      <c r="F548" s="70"/>
      <c r="G548" s="70"/>
      <c r="H548" s="12"/>
      <c r="I548" s="12"/>
    </row>
    <row r="549" spans="1:9" ht="22.5" customHeight="1">
      <c r="A549" s="12"/>
      <c r="B549" s="12"/>
      <c r="C549" s="69"/>
      <c r="D549" s="12"/>
      <c r="E549" s="12"/>
      <c r="F549" s="70"/>
      <c r="G549" s="70"/>
      <c r="H549" s="12"/>
      <c r="I549" s="12"/>
    </row>
    <row r="550" spans="1:9" ht="22.5" customHeight="1">
      <c r="A550" s="12"/>
      <c r="B550" s="12"/>
      <c r="C550" s="69"/>
      <c r="D550" s="12"/>
      <c r="E550" s="12"/>
      <c r="F550" s="70"/>
      <c r="G550" s="70"/>
      <c r="H550" s="12"/>
      <c r="I550" s="12"/>
    </row>
    <row r="551" spans="1:9" ht="22.5" customHeight="1">
      <c r="A551" s="12"/>
      <c r="B551" s="12"/>
      <c r="C551" s="69"/>
      <c r="D551" s="12"/>
      <c r="E551" s="12"/>
      <c r="F551" s="70"/>
      <c r="G551" s="70"/>
      <c r="H551" s="12"/>
      <c r="I551" s="12"/>
    </row>
    <row r="552" spans="1:9" ht="22.5" customHeight="1">
      <c r="A552" s="12"/>
      <c r="B552" s="12"/>
      <c r="C552" s="69"/>
      <c r="D552" s="12"/>
      <c r="E552" s="12"/>
      <c r="F552" s="70"/>
      <c r="G552" s="70"/>
      <c r="H552" s="12"/>
      <c r="I552" s="12"/>
    </row>
    <row r="553" spans="1:9" ht="22.5" customHeight="1">
      <c r="A553" s="12"/>
      <c r="B553" s="12"/>
      <c r="C553" s="69"/>
      <c r="D553" s="12"/>
      <c r="E553" s="12"/>
      <c r="F553" s="70"/>
      <c r="G553" s="70"/>
      <c r="H553" s="12"/>
      <c r="I553" s="12"/>
    </row>
    <row r="554" spans="1:9" ht="22.5" customHeight="1">
      <c r="A554" s="12"/>
      <c r="B554" s="12"/>
      <c r="C554" s="69"/>
      <c r="D554" s="12"/>
      <c r="E554" s="12"/>
      <c r="F554" s="70"/>
      <c r="G554" s="70"/>
      <c r="H554" s="12"/>
      <c r="I554" s="12"/>
    </row>
    <row r="555" spans="1:9" ht="22.5" customHeight="1">
      <c r="A555" s="12"/>
      <c r="B555" s="12"/>
      <c r="C555" s="69"/>
      <c r="D555" s="12"/>
      <c r="E555" s="12"/>
      <c r="F555" s="70"/>
      <c r="G555" s="70"/>
      <c r="H555" s="12"/>
      <c r="I555" s="12"/>
    </row>
    <row r="556" spans="1:9" ht="22.5" customHeight="1">
      <c r="A556" s="12"/>
      <c r="B556" s="12"/>
      <c r="C556" s="69"/>
      <c r="D556" s="12"/>
      <c r="E556" s="12"/>
      <c r="F556" s="70"/>
      <c r="G556" s="70"/>
      <c r="H556" s="12"/>
      <c r="I556" s="12"/>
    </row>
    <row r="557" spans="1:9" ht="22.5" customHeight="1">
      <c r="A557" s="12"/>
      <c r="B557" s="12"/>
      <c r="C557" s="69"/>
      <c r="D557" s="12"/>
      <c r="E557" s="12"/>
      <c r="F557" s="70"/>
      <c r="G557" s="70"/>
      <c r="H557" s="12"/>
      <c r="I557" s="12"/>
    </row>
    <row r="558" spans="1:9" ht="22.5" customHeight="1">
      <c r="A558" s="12"/>
      <c r="B558" s="12"/>
      <c r="C558" s="69"/>
      <c r="D558" s="12"/>
      <c r="E558" s="12"/>
      <c r="F558" s="70"/>
      <c r="G558" s="70"/>
      <c r="H558" s="12"/>
      <c r="I558" s="12"/>
    </row>
    <row r="559" spans="1:9" ht="22.5" customHeight="1">
      <c r="A559" s="12"/>
      <c r="B559" s="12"/>
      <c r="C559" s="69"/>
      <c r="D559" s="12"/>
      <c r="E559" s="12"/>
      <c r="F559" s="70"/>
      <c r="G559" s="70"/>
      <c r="H559" s="12"/>
      <c r="I559" s="12"/>
    </row>
    <row r="560" spans="1:9" ht="22.5" customHeight="1">
      <c r="A560" s="12"/>
      <c r="B560" s="12"/>
      <c r="C560" s="69"/>
      <c r="D560" s="12"/>
      <c r="E560" s="12"/>
      <c r="F560" s="70"/>
      <c r="G560" s="70"/>
      <c r="H560" s="12"/>
      <c r="I560" s="12"/>
    </row>
    <row r="561" spans="1:9" ht="22.5" customHeight="1">
      <c r="A561" s="12"/>
      <c r="B561" s="12"/>
      <c r="C561" s="69"/>
      <c r="D561" s="12"/>
      <c r="E561" s="12"/>
      <c r="F561" s="70"/>
      <c r="G561" s="70"/>
      <c r="H561" s="12"/>
      <c r="I561" s="12"/>
    </row>
    <row r="562" spans="1:9" ht="22.5" customHeight="1">
      <c r="A562" s="12"/>
      <c r="B562" s="12"/>
      <c r="C562" s="69"/>
      <c r="D562" s="12"/>
      <c r="E562" s="12"/>
      <c r="F562" s="70"/>
      <c r="G562" s="70"/>
      <c r="H562" s="12"/>
      <c r="I562" s="12"/>
    </row>
    <row r="563" spans="1:9" ht="22.5" customHeight="1">
      <c r="A563" s="12"/>
      <c r="B563" s="12"/>
      <c r="C563" s="69"/>
      <c r="D563" s="12"/>
      <c r="E563" s="12"/>
      <c r="F563" s="70"/>
      <c r="G563" s="70"/>
      <c r="H563" s="12"/>
      <c r="I563" s="12"/>
    </row>
    <row r="564" spans="1:9" ht="22.5" customHeight="1">
      <c r="A564" s="12"/>
      <c r="B564" s="12"/>
      <c r="C564" s="69"/>
      <c r="D564" s="12"/>
      <c r="E564" s="12"/>
      <c r="F564" s="70"/>
      <c r="G564" s="70"/>
      <c r="H564" s="12"/>
      <c r="I564" s="12"/>
    </row>
    <row r="565" spans="1:9" ht="22.5" customHeight="1">
      <c r="A565" s="12"/>
      <c r="B565" s="12"/>
      <c r="C565" s="69"/>
      <c r="D565" s="12"/>
      <c r="E565" s="12"/>
      <c r="F565" s="70"/>
      <c r="G565" s="70"/>
      <c r="H565" s="12"/>
      <c r="I565" s="12"/>
    </row>
    <row r="566" spans="1:9" ht="22.5" customHeight="1">
      <c r="A566" s="12"/>
      <c r="B566" s="12"/>
      <c r="C566" s="69"/>
      <c r="D566" s="12"/>
      <c r="E566" s="12"/>
      <c r="F566" s="70"/>
      <c r="G566" s="70"/>
      <c r="H566" s="12"/>
      <c r="I566" s="12"/>
    </row>
    <row r="567" spans="1:9" ht="22.5" customHeight="1">
      <c r="A567" s="12"/>
      <c r="B567" s="12"/>
      <c r="C567" s="69"/>
      <c r="D567" s="12"/>
      <c r="E567" s="12"/>
      <c r="F567" s="70"/>
      <c r="G567" s="70"/>
      <c r="H567" s="12"/>
      <c r="I567" s="12"/>
    </row>
    <row r="568" spans="1:9" ht="22.5" customHeight="1">
      <c r="A568" s="12"/>
      <c r="B568" s="12"/>
      <c r="C568" s="69"/>
      <c r="D568" s="12"/>
      <c r="E568" s="12"/>
      <c r="F568" s="70"/>
      <c r="G568" s="70"/>
      <c r="H568" s="12"/>
      <c r="I568" s="12"/>
    </row>
    <row r="569" spans="1:9" ht="22.5" customHeight="1">
      <c r="A569" s="12"/>
      <c r="B569" s="12"/>
      <c r="C569" s="69"/>
      <c r="D569" s="12"/>
      <c r="E569" s="12"/>
      <c r="F569" s="70"/>
      <c r="G569" s="70"/>
      <c r="H569" s="12"/>
      <c r="I569" s="12"/>
    </row>
    <row r="570" spans="1:9" ht="22.5" customHeight="1">
      <c r="A570" s="12"/>
      <c r="B570" s="12"/>
      <c r="C570" s="69"/>
      <c r="D570" s="12"/>
      <c r="E570" s="12"/>
      <c r="F570" s="70"/>
      <c r="G570" s="70"/>
      <c r="H570" s="12"/>
      <c r="I570" s="12"/>
    </row>
    <row r="571" spans="1:9" ht="22.5" customHeight="1">
      <c r="A571" s="12"/>
      <c r="B571" s="12"/>
      <c r="C571" s="69"/>
      <c r="D571" s="12"/>
      <c r="E571" s="12"/>
      <c r="F571" s="70"/>
      <c r="G571" s="70"/>
      <c r="H571" s="12"/>
      <c r="I571" s="12"/>
    </row>
    <row r="572" spans="1:9" ht="22.5" customHeight="1">
      <c r="A572" s="12"/>
      <c r="B572" s="12"/>
      <c r="C572" s="69"/>
      <c r="D572" s="12"/>
      <c r="E572" s="12"/>
      <c r="F572" s="70"/>
      <c r="G572" s="70"/>
      <c r="H572" s="12"/>
      <c r="I572" s="12"/>
    </row>
    <row r="573" spans="1:9" ht="22.5" customHeight="1">
      <c r="A573" s="12"/>
      <c r="B573" s="12"/>
      <c r="C573" s="69"/>
      <c r="D573" s="12"/>
      <c r="E573" s="12"/>
      <c r="F573" s="70"/>
      <c r="G573" s="70"/>
      <c r="H573" s="12"/>
      <c r="I573" s="12"/>
    </row>
    <row r="574" spans="1:9" ht="22.5" customHeight="1">
      <c r="A574" s="12"/>
      <c r="B574" s="12"/>
      <c r="C574" s="69"/>
      <c r="D574" s="12"/>
      <c r="E574" s="12"/>
      <c r="F574" s="70"/>
      <c r="G574" s="70"/>
      <c r="H574" s="12"/>
      <c r="I574" s="12"/>
    </row>
    <row r="575" spans="1:9" ht="22.5" customHeight="1">
      <c r="A575" s="12"/>
      <c r="B575" s="12"/>
      <c r="C575" s="69"/>
      <c r="D575" s="12"/>
      <c r="E575" s="12"/>
      <c r="F575" s="70"/>
      <c r="G575" s="70"/>
      <c r="H575" s="12"/>
      <c r="I575" s="12"/>
    </row>
    <row r="576" spans="1:9" ht="22.5" customHeight="1">
      <c r="A576" s="12"/>
      <c r="B576" s="12"/>
      <c r="C576" s="69"/>
      <c r="D576" s="12"/>
      <c r="E576" s="12"/>
      <c r="F576" s="70"/>
      <c r="G576" s="70"/>
      <c r="H576" s="12"/>
      <c r="I576" s="12"/>
    </row>
    <row r="577" spans="1:9" ht="22.5" customHeight="1">
      <c r="A577" s="12"/>
      <c r="B577" s="12"/>
      <c r="C577" s="69"/>
      <c r="D577" s="12"/>
      <c r="E577" s="12"/>
      <c r="F577" s="70"/>
      <c r="G577" s="70"/>
      <c r="H577" s="12"/>
      <c r="I577" s="12"/>
    </row>
    <row r="578" spans="1:9" ht="22.5" customHeight="1">
      <c r="A578" s="12"/>
      <c r="B578" s="12"/>
      <c r="C578" s="69"/>
      <c r="D578" s="12"/>
      <c r="E578" s="12"/>
      <c r="F578" s="70"/>
      <c r="G578" s="70"/>
      <c r="H578" s="12"/>
      <c r="I578" s="12"/>
    </row>
    <row r="579" spans="1:9" ht="22.5" customHeight="1">
      <c r="A579" s="12"/>
      <c r="B579" s="12"/>
      <c r="C579" s="69"/>
      <c r="D579" s="12"/>
      <c r="E579" s="12"/>
      <c r="F579" s="70"/>
      <c r="G579" s="70"/>
      <c r="H579" s="12"/>
      <c r="I579" s="12"/>
    </row>
    <row r="580" spans="1:9" ht="22.5" customHeight="1">
      <c r="A580" s="12"/>
      <c r="B580" s="12"/>
      <c r="C580" s="69"/>
      <c r="D580" s="12"/>
      <c r="E580" s="12"/>
      <c r="F580" s="70"/>
      <c r="G580" s="70"/>
      <c r="H580" s="12"/>
      <c r="I580" s="12"/>
    </row>
    <row r="581" spans="1:9" ht="22.5" customHeight="1">
      <c r="A581" s="12"/>
      <c r="B581" s="12"/>
      <c r="C581" s="69"/>
      <c r="D581" s="12"/>
      <c r="E581" s="12"/>
      <c r="F581" s="70"/>
      <c r="G581" s="70"/>
      <c r="H581" s="12"/>
      <c r="I581" s="12"/>
    </row>
    <row r="582" spans="1:9" ht="22.5" customHeight="1">
      <c r="A582" s="12"/>
      <c r="B582" s="12"/>
      <c r="C582" s="69"/>
      <c r="D582" s="12"/>
      <c r="E582" s="12"/>
      <c r="F582" s="70"/>
      <c r="G582" s="70"/>
      <c r="H582" s="12"/>
      <c r="I582" s="12"/>
    </row>
    <row r="583" spans="1:9" ht="22.5" customHeight="1">
      <c r="A583" s="12"/>
      <c r="B583" s="12"/>
      <c r="C583" s="69"/>
      <c r="D583" s="12"/>
      <c r="E583" s="12"/>
      <c r="F583" s="70"/>
      <c r="G583" s="70"/>
      <c r="H583" s="12"/>
      <c r="I583" s="12"/>
    </row>
    <row r="584" spans="1:9" ht="22.5" customHeight="1">
      <c r="A584" s="12"/>
      <c r="B584" s="12"/>
      <c r="C584" s="69"/>
      <c r="D584" s="12"/>
      <c r="E584" s="12"/>
      <c r="F584" s="70"/>
      <c r="G584" s="70"/>
      <c r="H584" s="12"/>
      <c r="I584" s="12"/>
    </row>
    <row r="585" spans="1:9" ht="22.5" customHeight="1">
      <c r="A585" s="12"/>
      <c r="B585" s="12"/>
      <c r="C585" s="69"/>
      <c r="D585" s="12"/>
      <c r="E585" s="12"/>
      <c r="F585" s="70"/>
      <c r="G585" s="70"/>
      <c r="H585" s="12"/>
      <c r="I585" s="12"/>
    </row>
    <row r="586" spans="1:9" ht="22.5" customHeight="1">
      <c r="A586" s="12"/>
      <c r="B586" s="12"/>
      <c r="C586" s="69"/>
      <c r="D586" s="12"/>
      <c r="E586" s="12"/>
      <c r="F586" s="70"/>
      <c r="G586" s="70"/>
      <c r="H586" s="12"/>
      <c r="I586" s="12"/>
    </row>
    <row r="587" spans="1:9" ht="22.5" customHeight="1">
      <c r="A587" s="12"/>
      <c r="B587" s="12"/>
      <c r="C587" s="69"/>
      <c r="D587" s="12"/>
      <c r="E587" s="12"/>
      <c r="F587" s="70"/>
      <c r="G587" s="70"/>
      <c r="H587" s="12"/>
      <c r="I587" s="12"/>
    </row>
    <row r="588" spans="1:9" ht="22.5" customHeight="1">
      <c r="A588" s="12"/>
      <c r="B588" s="12"/>
      <c r="C588" s="69"/>
      <c r="D588" s="12"/>
      <c r="E588" s="12"/>
      <c r="F588" s="70"/>
      <c r="G588" s="70"/>
      <c r="H588" s="12"/>
      <c r="I588" s="12"/>
    </row>
    <row r="589" spans="1:9" ht="22.5" customHeight="1">
      <c r="A589" s="12"/>
      <c r="B589" s="12"/>
      <c r="C589" s="69"/>
      <c r="D589" s="12"/>
      <c r="E589" s="12"/>
      <c r="F589" s="70"/>
      <c r="G589" s="70"/>
      <c r="H589" s="12"/>
      <c r="I589" s="12"/>
    </row>
    <row r="590" spans="1:9" ht="22.5" customHeight="1">
      <c r="A590" s="12"/>
      <c r="B590" s="12"/>
      <c r="C590" s="69"/>
      <c r="D590" s="12"/>
      <c r="E590" s="12"/>
      <c r="F590" s="70"/>
      <c r="G590" s="70"/>
      <c r="H590" s="12"/>
      <c r="I590" s="12"/>
    </row>
    <row r="591" spans="1:9" ht="22.5" customHeight="1">
      <c r="A591" s="12"/>
      <c r="B591" s="12"/>
      <c r="C591" s="69"/>
      <c r="D591" s="12"/>
      <c r="E591" s="12"/>
      <c r="F591" s="70"/>
      <c r="G591" s="70"/>
      <c r="H591" s="12"/>
      <c r="I591" s="12"/>
    </row>
    <row r="592" spans="1:9" ht="22.5" customHeight="1">
      <c r="A592" s="12"/>
      <c r="B592" s="12"/>
      <c r="C592" s="69"/>
      <c r="D592" s="12"/>
      <c r="E592" s="12"/>
      <c r="F592" s="70"/>
      <c r="G592" s="70"/>
      <c r="H592" s="12"/>
      <c r="I592" s="12"/>
    </row>
    <row r="593" spans="1:9" ht="22.5" customHeight="1">
      <c r="A593" s="12"/>
      <c r="B593" s="12"/>
      <c r="C593" s="69"/>
      <c r="D593" s="12"/>
      <c r="E593" s="12"/>
      <c r="F593" s="70"/>
      <c r="G593" s="70"/>
      <c r="H593" s="12"/>
      <c r="I593" s="12"/>
    </row>
    <row r="594" spans="1:9" ht="22.5" customHeight="1">
      <c r="A594" s="12"/>
      <c r="B594" s="12"/>
      <c r="C594" s="69"/>
      <c r="D594" s="12"/>
      <c r="E594" s="12"/>
      <c r="F594" s="70"/>
      <c r="G594" s="70"/>
      <c r="H594" s="12"/>
      <c r="I594" s="12"/>
    </row>
    <row r="595" spans="1:9" ht="22.5" customHeight="1">
      <c r="A595" s="12"/>
      <c r="B595" s="12"/>
      <c r="C595" s="69"/>
      <c r="D595" s="12"/>
      <c r="E595" s="12"/>
      <c r="F595" s="70"/>
      <c r="G595" s="70"/>
      <c r="H595" s="12"/>
      <c r="I595" s="12"/>
    </row>
    <row r="596" spans="1:9" ht="22.5" customHeight="1">
      <c r="A596" s="12"/>
      <c r="B596" s="12"/>
      <c r="C596" s="69"/>
      <c r="D596" s="12"/>
      <c r="E596" s="12"/>
      <c r="F596" s="70"/>
      <c r="G596" s="70"/>
      <c r="H596" s="12"/>
      <c r="I596" s="12"/>
    </row>
    <row r="597" spans="1:9" ht="22.5" customHeight="1">
      <c r="A597" s="12"/>
      <c r="B597" s="12"/>
      <c r="C597" s="69"/>
      <c r="D597" s="12"/>
      <c r="E597" s="12"/>
      <c r="F597" s="70"/>
      <c r="G597" s="70"/>
      <c r="H597" s="12"/>
      <c r="I597" s="12"/>
    </row>
    <row r="598" spans="1:9" ht="22.5" customHeight="1">
      <c r="A598" s="12"/>
      <c r="B598" s="12"/>
      <c r="C598" s="69"/>
      <c r="D598" s="12"/>
      <c r="E598" s="12"/>
      <c r="F598" s="70"/>
      <c r="G598" s="70"/>
      <c r="H598" s="12"/>
      <c r="I598" s="12"/>
    </row>
    <row r="599" spans="1:9" ht="22.5" customHeight="1">
      <c r="A599" s="12"/>
      <c r="B599" s="12"/>
      <c r="C599" s="69"/>
      <c r="D599" s="12"/>
      <c r="E599" s="12"/>
      <c r="F599" s="70"/>
      <c r="G599" s="70"/>
      <c r="H599" s="12"/>
      <c r="I599" s="12"/>
    </row>
    <row r="600" spans="1:9" ht="22.5" customHeight="1">
      <c r="A600" s="12"/>
      <c r="B600" s="12"/>
      <c r="C600" s="69"/>
      <c r="D600" s="12"/>
      <c r="E600" s="12"/>
      <c r="F600" s="70"/>
      <c r="G600" s="70"/>
      <c r="H600" s="12"/>
      <c r="I600" s="12"/>
    </row>
    <row r="601" spans="1:9" ht="22.5" customHeight="1">
      <c r="A601" s="12"/>
      <c r="B601" s="12"/>
      <c r="C601" s="69"/>
      <c r="D601" s="12"/>
      <c r="E601" s="12"/>
      <c r="F601" s="70"/>
      <c r="G601" s="70"/>
      <c r="H601" s="12"/>
      <c r="I601" s="12"/>
    </row>
    <row r="602" spans="1:9" ht="22.5" customHeight="1">
      <c r="A602" s="12"/>
      <c r="B602" s="12"/>
      <c r="C602" s="69"/>
      <c r="D602" s="12"/>
      <c r="E602" s="12"/>
      <c r="F602" s="70"/>
      <c r="G602" s="70"/>
      <c r="H602" s="12"/>
      <c r="I602" s="12"/>
    </row>
    <row r="603" spans="1:9" ht="22.5" customHeight="1">
      <c r="A603" s="12"/>
      <c r="B603" s="12"/>
      <c r="C603" s="69"/>
      <c r="D603" s="12"/>
      <c r="E603" s="12"/>
      <c r="F603" s="70"/>
      <c r="G603" s="70"/>
      <c r="H603" s="12"/>
      <c r="I603" s="12"/>
    </row>
    <row r="604" spans="1:9" ht="22.5" customHeight="1">
      <c r="A604" s="12"/>
      <c r="B604" s="12"/>
      <c r="C604" s="69"/>
      <c r="D604" s="12"/>
      <c r="E604" s="12"/>
      <c r="F604" s="70"/>
      <c r="G604" s="70"/>
      <c r="H604" s="12"/>
      <c r="I604" s="12"/>
    </row>
    <row r="605" spans="1:9" ht="22.5" customHeight="1">
      <c r="A605" s="12"/>
      <c r="B605" s="12"/>
      <c r="C605" s="69"/>
      <c r="D605" s="12"/>
      <c r="E605" s="12"/>
      <c r="F605" s="70"/>
      <c r="G605" s="70"/>
      <c r="H605" s="12"/>
      <c r="I605" s="12"/>
    </row>
    <row r="606" spans="1:9" ht="22.5" customHeight="1">
      <c r="A606" s="12"/>
      <c r="B606" s="12"/>
      <c r="C606" s="69"/>
      <c r="D606" s="12"/>
      <c r="E606" s="12"/>
      <c r="F606" s="70"/>
      <c r="G606" s="70"/>
      <c r="H606" s="12"/>
      <c r="I606" s="12"/>
    </row>
    <row r="607" spans="1:9" ht="22.5" customHeight="1">
      <c r="A607" s="12"/>
      <c r="B607" s="12"/>
      <c r="C607" s="69"/>
      <c r="D607" s="12"/>
      <c r="E607" s="12"/>
      <c r="F607" s="70"/>
      <c r="G607" s="70"/>
      <c r="H607" s="12"/>
      <c r="I607" s="12"/>
    </row>
    <row r="608" spans="1:9" ht="22.5" customHeight="1">
      <c r="A608" s="12"/>
      <c r="B608" s="12"/>
      <c r="C608" s="69"/>
      <c r="D608" s="12"/>
      <c r="E608" s="12"/>
      <c r="F608" s="70"/>
      <c r="G608" s="70"/>
      <c r="H608" s="12"/>
      <c r="I608" s="12"/>
    </row>
    <row r="609" spans="1:9" ht="22.5" customHeight="1">
      <c r="A609" s="12"/>
      <c r="B609" s="12"/>
      <c r="C609" s="69"/>
      <c r="D609" s="12"/>
      <c r="E609" s="12"/>
      <c r="F609" s="70"/>
      <c r="G609" s="70"/>
      <c r="H609" s="12"/>
      <c r="I609" s="12"/>
    </row>
    <row r="610" spans="1:9" ht="22.5" customHeight="1">
      <c r="A610" s="12"/>
      <c r="B610" s="12"/>
      <c r="C610" s="69"/>
      <c r="D610" s="12"/>
      <c r="E610" s="12"/>
      <c r="F610" s="70"/>
      <c r="G610" s="70"/>
      <c r="H610" s="12"/>
      <c r="I610" s="12"/>
    </row>
    <row r="611" spans="1:9" ht="22.5" customHeight="1">
      <c r="A611" s="12"/>
      <c r="B611" s="12"/>
      <c r="C611" s="69"/>
      <c r="D611" s="12"/>
      <c r="E611" s="12"/>
      <c r="F611" s="70"/>
      <c r="G611" s="70"/>
      <c r="H611" s="12"/>
      <c r="I611" s="12"/>
    </row>
    <row r="612" spans="1:9" ht="22.5" customHeight="1">
      <c r="A612" s="12"/>
      <c r="B612" s="12"/>
      <c r="C612" s="69"/>
      <c r="D612" s="12"/>
      <c r="E612" s="12"/>
      <c r="F612" s="70"/>
      <c r="G612" s="70"/>
      <c r="H612" s="12"/>
      <c r="I612" s="12"/>
    </row>
    <row r="613" spans="1:9" ht="22.5" customHeight="1">
      <c r="A613" s="12"/>
      <c r="B613" s="12"/>
      <c r="C613" s="69"/>
      <c r="D613" s="12"/>
      <c r="E613" s="12"/>
      <c r="F613" s="70"/>
      <c r="G613" s="70"/>
      <c r="H613" s="12"/>
      <c r="I613" s="12"/>
    </row>
    <row r="614" spans="1:9" ht="22.5" customHeight="1">
      <c r="A614" s="12"/>
      <c r="B614" s="12"/>
      <c r="C614" s="69"/>
      <c r="D614" s="12"/>
      <c r="E614" s="12"/>
      <c r="F614" s="70"/>
      <c r="G614" s="70"/>
      <c r="H614" s="12"/>
      <c r="I614" s="12"/>
    </row>
    <row r="615" spans="1:9" ht="22.5" customHeight="1">
      <c r="A615" s="12"/>
      <c r="B615" s="12"/>
      <c r="C615" s="69"/>
      <c r="D615" s="12"/>
      <c r="E615" s="12"/>
      <c r="F615" s="70"/>
      <c r="G615" s="70"/>
      <c r="H615" s="12"/>
      <c r="I615" s="12"/>
    </row>
    <row r="616" spans="1:9" ht="22.5" customHeight="1">
      <c r="A616" s="12"/>
      <c r="B616" s="12"/>
      <c r="C616" s="69"/>
      <c r="D616" s="12"/>
      <c r="E616" s="12"/>
      <c r="F616" s="70"/>
      <c r="G616" s="70"/>
      <c r="H616" s="12"/>
      <c r="I616" s="12"/>
    </row>
    <row r="617" spans="1:9" ht="22.5" customHeight="1">
      <c r="A617" s="12"/>
      <c r="B617" s="12"/>
      <c r="C617" s="69"/>
      <c r="D617" s="12"/>
      <c r="E617" s="12"/>
      <c r="F617" s="70"/>
      <c r="G617" s="70"/>
      <c r="H617" s="12"/>
      <c r="I617" s="12"/>
    </row>
    <row r="618" spans="1:9" ht="22.5" customHeight="1">
      <c r="A618" s="12"/>
      <c r="B618" s="12"/>
      <c r="C618" s="69"/>
      <c r="D618" s="12"/>
      <c r="E618" s="12"/>
      <c r="F618" s="70"/>
      <c r="G618" s="70"/>
      <c r="H618" s="12"/>
      <c r="I618" s="12"/>
    </row>
    <row r="619" spans="1:9" ht="22.5" customHeight="1">
      <c r="A619" s="12"/>
      <c r="B619" s="12"/>
      <c r="C619" s="69"/>
      <c r="D619" s="12"/>
      <c r="E619" s="12"/>
      <c r="F619" s="70"/>
      <c r="G619" s="70"/>
      <c r="H619" s="12"/>
      <c r="I619" s="12"/>
    </row>
    <row r="620" spans="1:9" ht="22.5" customHeight="1">
      <c r="A620" s="12"/>
      <c r="B620" s="12"/>
      <c r="C620" s="69"/>
      <c r="D620" s="12"/>
      <c r="E620" s="12"/>
      <c r="F620" s="70"/>
      <c r="G620" s="70"/>
      <c r="H620" s="12"/>
      <c r="I620" s="12"/>
    </row>
    <row r="621" spans="1:9" ht="22.5" customHeight="1">
      <c r="A621" s="12"/>
      <c r="B621" s="12"/>
      <c r="C621" s="69"/>
      <c r="D621" s="12"/>
      <c r="E621" s="12"/>
      <c r="F621" s="70"/>
      <c r="G621" s="70"/>
      <c r="H621" s="12"/>
      <c r="I621" s="12"/>
    </row>
    <row r="622" spans="1:9" ht="22.5" customHeight="1">
      <c r="A622" s="12"/>
      <c r="B622" s="12"/>
      <c r="C622" s="69"/>
      <c r="D622" s="12"/>
      <c r="E622" s="12"/>
      <c r="F622" s="70"/>
      <c r="G622" s="70"/>
      <c r="H622" s="12"/>
      <c r="I622" s="12"/>
    </row>
    <row r="623" spans="1:9" ht="22.5" customHeight="1">
      <c r="A623" s="12"/>
      <c r="B623" s="12"/>
      <c r="C623" s="69"/>
      <c r="D623" s="12"/>
      <c r="E623" s="12"/>
      <c r="F623" s="70"/>
      <c r="G623" s="70"/>
      <c r="H623" s="12"/>
      <c r="I623" s="12"/>
    </row>
    <row r="624" spans="1:9" ht="22.5" customHeight="1">
      <c r="A624" s="12"/>
      <c r="B624" s="12"/>
      <c r="C624" s="69"/>
      <c r="D624" s="12"/>
      <c r="E624" s="12"/>
      <c r="F624" s="70"/>
      <c r="G624" s="70"/>
      <c r="H624" s="12"/>
      <c r="I624" s="12"/>
    </row>
    <row r="625" spans="1:9" ht="22.5" customHeight="1">
      <c r="A625" s="12"/>
      <c r="B625" s="12"/>
      <c r="C625" s="69"/>
      <c r="D625" s="12"/>
      <c r="E625" s="12"/>
      <c r="F625" s="70"/>
      <c r="G625" s="70"/>
      <c r="H625" s="12"/>
      <c r="I625" s="12"/>
    </row>
    <row r="626" spans="1:9" ht="22.5" customHeight="1">
      <c r="A626" s="12"/>
      <c r="B626" s="12"/>
      <c r="C626" s="69"/>
      <c r="D626" s="12"/>
      <c r="E626" s="12"/>
      <c r="F626" s="70"/>
      <c r="G626" s="70"/>
      <c r="H626" s="12"/>
      <c r="I626" s="12"/>
    </row>
    <row r="627" spans="1:9" ht="22.5" customHeight="1">
      <c r="A627" s="12"/>
      <c r="B627" s="12"/>
      <c r="C627" s="69"/>
      <c r="D627" s="12"/>
      <c r="E627" s="12"/>
      <c r="F627" s="70"/>
      <c r="G627" s="70"/>
      <c r="H627" s="12"/>
      <c r="I627" s="12"/>
    </row>
    <row r="628" spans="1:9" ht="22.5" customHeight="1">
      <c r="A628" s="12"/>
      <c r="B628" s="12"/>
      <c r="C628" s="69"/>
      <c r="D628" s="12"/>
      <c r="E628" s="12"/>
      <c r="F628" s="70"/>
      <c r="G628" s="70"/>
      <c r="H628" s="12"/>
      <c r="I628" s="12"/>
    </row>
    <row r="629" spans="1:9" ht="22.5" customHeight="1">
      <c r="A629" s="12"/>
      <c r="B629" s="12"/>
      <c r="C629" s="69"/>
      <c r="D629" s="12"/>
      <c r="E629" s="12"/>
      <c r="F629" s="70"/>
      <c r="G629" s="70"/>
      <c r="H629" s="12"/>
      <c r="I629" s="12"/>
    </row>
    <row r="630" spans="1:9" ht="22.5" customHeight="1">
      <c r="A630" s="12"/>
      <c r="B630" s="12"/>
      <c r="C630" s="69"/>
      <c r="D630" s="12"/>
      <c r="E630" s="12"/>
      <c r="F630" s="70"/>
      <c r="G630" s="70"/>
      <c r="H630" s="12"/>
      <c r="I630" s="12"/>
    </row>
    <row r="631" spans="1:9" ht="22.5" customHeight="1">
      <c r="A631" s="12"/>
      <c r="B631" s="12"/>
      <c r="C631" s="69"/>
      <c r="D631" s="12"/>
      <c r="E631" s="12"/>
      <c r="F631" s="70"/>
      <c r="G631" s="70"/>
      <c r="H631" s="12"/>
      <c r="I631" s="12"/>
    </row>
    <row r="632" spans="1:9" ht="22.5" customHeight="1">
      <c r="A632" s="12"/>
      <c r="B632" s="12"/>
      <c r="C632" s="69"/>
      <c r="D632" s="12"/>
      <c r="E632" s="12"/>
      <c r="F632" s="70"/>
      <c r="G632" s="70"/>
      <c r="H632" s="12"/>
      <c r="I632" s="12"/>
    </row>
    <row r="633" spans="1:9" ht="22.5" customHeight="1">
      <c r="A633" s="12"/>
      <c r="B633" s="12"/>
      <c r="C633" s="69"/>
      <c r="D633" s="12"/>
      <c r="E633" s="12"/>
      <c r="F633" s="70"/>
      <c r="G633" s="70"/>
      <c r="H633" s="12"/>
      <c r="I633" s="12"/>
    </row>
    <row r="634" spans="1:9" ht="22.5" customHeight="1">
      <c r="A634" s="12"/>
      <c r="B634" s="12"/>
      <c r="C634" s="69"/>
      <c r="D634" s="12"/>
      <c r="E634" s="12"/>
      <c r="F634" s="70"/>
      <c r="G634" s="70"/>
      <c r="H634" s="12"/>
      <c r="I634" s="12"/>
    </row>
    <row r="635" spans="1:9" ht="22.5" customHeight="1">
      <c r="A635" s="12"/>
      <c r="B635" s="12"/>
      <c r="C635" s="69"/>
      <c r="D635" s="12"/>
      <c r="E635" s="12"/>
      <c r="F635" s="70"/>
      <c r="G635" s="70"/>
      <c r="H635" s="12"/>
      <c r="I635" s="12"/>
    </row>
    <row r="636" spans="1:9" ht="22.5" customHeight="1">
      <c r="A636" s="12"/>
      <c r="B636" s="12"/>
      <c r="C636" s="69"/>
      <c r="D636" s="12"/>
      <c r="E636" s="12"/>
      <c r="F636" s="70"/>
      <c r="G636" s="70"/>
      <c r="H636" s="12"/>
      <c r="I636" s="12"/>
    </row>
    <row r="637" spans="1:9" ht="22.5" customHeight="1">
      <c r="A637" s="12"/>
      <c r="B637" s="12"/>
      <c r="C637" s="69"/>
      <c r="D637" s="12"/>
      <c r="E637" s="12"/>
      <c r="F637" s="70"/>
      <c r="G637" s="70"/>
      <c r="H637" s="12"/>
      <c r="I637" s="12"/>
    </row>
    <row r="638" spans="1:9" ht="22.5" customHeight="1">
      <c r="A638" s="12"/>
      <c r="B638" s="12"/>
      <c r="C638" s="69"/>
      <c r="D638" s="12"/>
      <c r="E638" s="12"/>
      <c r="F638" s="70"/>
      <c r="G638" s="70"/>
      <c r="H638" s="12"/>
      <c r="I638" s="12"/>
    </row>
    <row r="639" spans="1:9" ht="22.5" customHeight="1">
      <c r="A639" s="12"/>
      <c r="B639" s="12"/>
      <c r="C639" s="69"/>
      <c r="D639" s="12"/>
      <c r="E639" s="12"/>
      <c r="F639" s="70"/>
      <c r="G639" s="70"/>
      <c r="H639" s="12"/>
      <c r="I639" s="12"/>
    </row>
    <row r="640" spans="1:9" ht="22.5" customHeight="1">
      <c r="A640" s="12"/>
      <c r="B640" s="12"/>
      <c r="C640" s="69"/>
      <c r="D640" s="12"/>
      <c r="E640" s="12"/>
      <c r="F640" s="70"/>
      <c r="G640" s="70"/>
      <c r="H640" s="12"/>
      <c r="I640" s="12"/>
    </row>
    <row r="641" spans="1:9" ht="22.5" customHeight="1">
      <c r="A641" s="12"/>
      <c r="B641" s="12"/>
      <c r="C641" s="69"/>
      <c r="D641" s="12"/>
      <c r="E641" s="12"/>
      <c r="F641" s="70"/>
      <c r="G641" s="70"/>
      <c r="H641" s="12"/>
      <c r="I641" s="12"/>
    </row>
    <row r="642" spans="1:9" ht="22.5" customHeight="1">
      <c r="A642" s="12"/>
      <c r="B642" s="12"/>
      <c r="C642" s="69"/>
      <c r="D642" s="12"/>
      <c r="E642" s="12"/>
      <c r="F642" s="70"/>
      <c r="G642" s="70"/>
      <c r="H642" s="12"/>
      <c r="I642" s="12"/>
    </row>
    <row r="643" spans="1:9" ht="22.5" customHeight="1">
      <c r="A643" s="12"/>
      <c r="B643" s="12"/>
      <c r="C643" s="69"/>
      <c r="D643" s="12"/>
      <c r="E643" s="12"/>
      <c r="F643" s="70"/>
      <c r="G643" s="70"/>
      <c r="H643" s="12"/>
      <c r="I643" s="12"/>
    </row>
    <row r="644" spans="1:9" ht="22.5" customHeight="1">
      <c r="A644" s="12"/>
      <c r="B644" s="12"/>
      <c r="C644" s="69"/>
      <c r="D644" s="12"/>
      <c r="E644" s="12"/>
      <c r="F644" s="70"/>
      <c r="G644" s="70"/>
      <c r="H644" s="12"/>
      <c r="I644" s="12"/>
    </row>
    <row r="645" spans="1:9" ht="22.5" customHeight="1">
      <c r="A645" s="12"/>
      <c r="B645" s="12"/>
      <c r="C645" s="69"/>
      <c r="D645" s="12"/>
      <c r="E645" s="12"/>
      <c r="F645" s="70"/>
      <c r="G645" s="70"/>
      <c r="H645" s="12"/>
      <c r="I645" s="12"/>
    </row>
    <row r="646" spans="1:9" ht="22.5" customHeight="1">
      <c r="A646" s="12"/>
      <c r="B646" s="12"/>
      <c r="C646" s="69"/>
      <c r="D646" s="12"/>
      <c r="E646" s="12"/>
      <c r="F646" s="70"/>
      <c r="G646" s="70"/>
      <c r="H646" s="12"/>
      <c r="I646" s="12"/>
    </row>
    <row r="647" spans="1:9" ht="22.5" customHeight="1">
      <c r="A647" s="12"/>
      <c r="B647" s="12"/>
      <c r="C647" s="69"/>
      <c r="D647" s="12"/>
      <c r="E647" s="12"/>
      <c r="F647" s="70"/>
      <c r="G647" s="70"/>
      <c r="H647" s="12"/>
      <c r="I647" s="12"/>
    </row>
    <row r="648" spans="1:9" ht="22.5" customHeight="1">
      <c r="A648" s="12"/>
      <c r="B648" s="12"/>
      <c r="C648" s="69"/>
      <c r="D648" s="12"/>
      <c r="E648" s="12"/>
      <c r="F648" s="70"/>
      <c r="G648" s="70"/>
      <c r="H648" s="12"/>
      <c r="I648" s="12"/>
    </row>
    <row r="649" spans="1:9" ht="22.5" customHeight="1">
      <c r="A649" s="12"/>
      <c r="B649" s="12"/>
      <c r="C649" s="69"/>
      <c r="D649" s="12"/>
      <c r="E649" s="12"/>
      <c r="F649" s="70"/>
      <c r="G649" s="70"/>
      <c r="H649" s="12"/>
      <c r="I649" s="12"/>
    </row>
    <row r="650" spans="1:9" ht="22.5" customHeight="1">
      <c r="A650" s="12"/>
      <c r="B650" s="12"/>
      <c r="C650" s="69"/>
      <c r="D650" s="12"/>
      <c r="E650" s="12"/>
      <c r="F650" s="70"/>
      <c r="G650" s="70"/>
      <c r="H650" s="12"/>
      <c r="I650" s="12"/>
    </row>
    <row r="651" spans="1:9" ht="22.5" customHeight="1">
      <c r="A651" s="12"/>
      <c r="B651" s="12"/>
      <c r="C651" s="69"/>
      <c r="D651" s="12"/>
      <c r="E651" s="12"/>
      <c r="F651" s="70"/>
      <c r="G651" s="70"/>
      <c r="H651" s="12"/>
      <c r="I651" s="12"/>
    </row>
    <row r="652" spans="1:9" ht="22.5" customHeight="1">
      <c r="A652" s="12"/>
      <c r="B652" s="12"/>
      <c r="C652" s="69"/>
      <c r="D652" s="12"/>
      <c r="E652" s="12"/>
      <c r="F652" s="70"/>
      <c r="G652" s="70"/>
      <c r="H652" s="12"/>
      <c r="I652" s="12"/>
    </row>
    <row r="653" spans="1:9" ht="22.5" customHeight="1">
      <c r="A653" s="12"/>
      <c r="B653" s="12"/>
      <c r="C653" s="69"/>
      <c r="D653" s="12"/>
      <c r="E653" s="12"/>
      <c r="F653" s="70"/>
      <c r="G653" s="70"/>
      <c r="H653" s="12"/>
      <c r="I653" s="12"/>
    </row>
    <row r="654" spans="1:9" ht="22.5" customHeight="1">
      <c r="A654" s="12"/>
      <c r="B654" s="12"/>
      <c r="C654" s="69"/>
      <c r="D654" s="12"/>
      <c r="E654" s="12"/>
      <c r="F654" s="70"/>
      <c r="G654" s="70"/>
      <c r="H654" s="12"/>
      <c r="I654" s="12"/>
    </row>
    <row r="655" spans="1:9" ht="22.5" customHeight="1">
      <c r="A655" s="12"/>
      <c r="B655" s="12"/>
      <c r="C655" s="69"/>
      <c r="D655" s="12"/>
      <c r="E655" s="12"/>
      <c r="F655" s="70"/>
      <c r="G655" s="70"/>
      <c r="H655" s="12"/>
      <c r="I655" s="12"/>
    </row>
    <row r="656" spans="1:9" ht="22.5" customHeight="1">
      <c r="A656" s="12"/>
      <c r="B656" s="12"/>
      <c r="C656" s="69"/>
      <c r="D656" s="12"/>
      <c r="E656" s="12"/>
      <c r="F656" s="70"/>
      <c r="G656" s="70"/>
      <c r="H656" s="12"/>
      <c r="I656" s="12"/>
    </row>
    <row r="657" spans="1:9" ht="22.5" customHeight="1">
      <c r="A657" s="12"/>
      <c r="B657" s="12"/>
      <c r="C657" s="69"/>
      <c r="D657" s="12"/>
      <c r="E657" s="12"/>
      <c r="F657" s="70"/>
      <c r="G657" s="70"/>
      <c r="H657" s="12"/>
      <c r="I657" s="12"/>
    </row>
    <row r="658" spans="1:9" ht="22.5" customHeight="1">
      <c r="A658" s="12"/>
      <c r="B658" s="12"/>
      <c r="C658" s="69"/>
      <c r="D658" s="12"/>
      <c r="E658" s="12"/>
      <c r="F658" s="70"/>
      <c r="G658" s="70"/>
      <c r="H658" s="12"/>
      <c r="I658" s="12"/>
    </row>
    <row r="659" spans="1:9" ht="22.5" customHeight="1">
      <c r="A659" s="12"/>
      <c r="B659" s="12"/>
      <c r="C659" s="69"/>
      <c r="D659" s="12"/>
      <c r="E659" s="12"/>
      <c r="F659" s="70"/>
      <c r="G659" s="70"/>
      <c r="H659" s="12"/>
      <c r="I659" s="12"/>
    </row>
    <row r="660" spans="1:9" ht="22.5" customHeight="1">
      <c r="A660" s="12"/>
      <c r="B660" s="12"/>
      <c r="C660" s="69"/>
      <c r="D660" s="12"/>
      <c r="E660" s="12"/>
      <c r="F660" s="70"/>
      <c r="G660" s="70"/>
      <c r="H660" s="12"/>
      <c r="I660" s="12"/>
    </row>
    <row r="661" spans="1:9" ht="22.5" customHeight="1">
      <c r="A661" s="12"/>
      <c r="B661" s="12"/>
      <c r="C661" s="69"/>
      <c r="D661" s="12"/>
      <c r="E661" s="12"/>
      <c r="F661" s="70"/>
      <c r="G661" s="70"/>
      <c r="H661" s="12"/>
      <c r="I661" s="12"/>
    </row>
    <row r="662" spans="1:9" ht="22.5" customHeight="1">
      <c r="A662" s="12"/>
      <c r="B662" s="12"/>
      <c r="C662" s="69"/>
      <c r="D662" s="12"/>
      <c r="E662" s="12"/>
      <c r="F662" s="70"/>
      <c r="G662" s="70"/>
      <c r="H662" s="12"/>
      <c r="I662" s="12"/>
    </row>
    <row r="663" spans="1:9" ht="22.5" customHeight="1">
      <c r="A663" s="12"/>
      <c r="B663" s="12"/>
      <c r="C663" s="69"/>
      <c r="D663" s="12"/>
      <c r="E663" s="12"/>
      <c r="F663" s="70"/>
      <c r="G663" s="70"/>
      <c r="H663" s="12"/>
      <c r="I663" s="12"/>
    </row>
    <row r="664" spans="1:9" ht="22.5" customHeight="1">
      <c r="A664" s="12"/>
      <c r="B664" s="12"/>
      <c r="C664" s="69"/>
      <c r="D664" s="12"/>
      <c r="E664" s="12"/>
      <c r="F664" s="70"/>
      <c r="G664" s="70"/>
      <c r="H664" s="12"/>
      <c r="I664" s="12"/>
    </row>
    <row r="665" spans="1:9" ht="22.5" customHeight="1">
      <c r="A665" s="12"/>
      <c r="B665" s="12"/>
      <c r="C665" s="69"/>
      <c r="D665" s="12"/>
      <c r="E665" s="12"/>
      <c r="F665" s="70"/>
      <c r="G665" s="70"/>
      <c r="H665" s="12"/>
      <c r="I665" s="12"/>
    </row>
    <row r="666" spans="1:9" ht="22.5" customHeight="1">
      <c r="A666" s="12"/>
      <c r="B666" s="12"/>
      <c r="C666" s="69"/>
      <c r="D666" s="12"/>
      <c r="E666" s="12"/>
      <c r="F666" s="70"/>
      <c r="G666" s="70"/>
      <c r="H666" s="12"/>
      <c r="I666" s="12"/>
    </row>
    <row r="667" spans="1:9" ht="22.5" customHeight="1">
      <c r="A667" s="12"/>
      <c r="B667" s="12"/>
      <c r="C667" s="69"/>
      <c r="D667" s="12"/>
      <c r="E667" s="12"/>
      <c r="F667" s="70"/>
      <c r="G667" s="70"/>
      <c r="H667" s="12"/>
      <c r="I667" s="12"/>
    </row>
    <row r="668" spans="1:9" ht="22.5" customHeight="1">
      <c r="A668" s="12"/>
      <c r="B668" s="12"/>
      <c r="C668" s="69"/>
      <c r="D668" s="12"/>
      <c r="E668" s="12"/>
      <c r="F668" s="70"/>
      <c r="G668" s="70"/>
      <c r="H668" s="12"/>
      <c r="I668" s="12"/>
    </row>
    <row r="669" spans="1:9" ht="22.5" customHeight="1">
      <c r="A669" s="12"/>
      <c r="B669" s="12"/>
      <c r="C669" s="69"/>
      <c r="D669" s="12"/>
      <c r="E669" s="12"/>
      <c r="F669" s="70"/>
      <c r="G669" s="70"/>
      <c r="H669" s="12"/>
      <c r="I669" s="12"/>
    </row>
    <row r="670" spans="1:9" ht="22.5" customHeight="1">
      <c r="A670" s="12"/>
      <c r="B670" s="12"/>
      <c r="C670" s="69"/>
      <c r="D670" s="12"/>
      <c r="E670" s="12"/>
      <c r="F670" s="70"/>
      <c r="G670" s="70"/>
      <c r="H670" s="12"/>
      <c r="I670" s="12"/>
    </row>
    <row r="671" spans="1:9" ht="22.5" customHeight="1">
      <c r="A671" s="12"/>
      <c r="B671" s="12"/>
      <c r="C671" s="69"/>
      <c r="D671" s="12"/>
      <c r="E671" s="12"/>
      <c r="F671" s="70"/>
      <c r="G671" s="70"/>
      <c r="H671" s="12"/>
      <c r="I671" s="12"/>
    </row>
    <row r="672" spans="1:9" ht="22.5" customHeight="1">
      <c r="A672" s="12"/>
      <c r="B672" s="12"/>
      <c r="C672" s="69"/>
      <c r="D672" s="12"/>
      <c r="E672" s="12"/>
      <c r="F672" s="70"/>
      <c r="G672" s="70"/>
      <c r="H672" s="12"/>
      <c r="I672" s="12"/>
    </row>
    <row r="673" spans="1:9" ht="22.5" customHeight="1">
      <c r="A673" s="12"/>
      <c r="B673" s="12"/>
      <c r="C673" s="69"/>
      <c r="D673" s="12"/>
      <c r="E673" s="12"/>
      <c r="F673" s="70"/>
      <c r="G673" s="70"/>
      <c r="H673" s="12"/>
      <c r="I673" s="12"/>
    </row>
    <row r="674" spans="1:9" ht="22.5" customHeight="1">
      <c r="A674" s="12"/>
      <c r="B674" s="12"/>
      <c r="C674" s="69"/>
      <c r="D674" s="12"/>
      <c r="E674" s="12"/>
      <c r="F674" s="70"/>
      <c r="G674" s="70"/>
      <c r="H674" s="12"/>
      <c r="I674" s="12"/>
    </row>
    <row r="675" spans="1:9" ht="22.5" customHeight="1">
      <c r="A675" s="12"/>
      <c r="B675" s="12"/>
      <c r="C675" s="69"/>
      <c r="D675" s="12"/>
      <c r="E675" s="12"/>
      <c r="F675" s="70"/>
      <c r="G675" s="70"/>
      <c r="H675" s="12"/>
      <c r="I675" s="12"/>
    </row>
    <row r="676" spans="1:9" ht="22.5" customHeight="1">
      <c r="A676" s="12"/>
      <c r="B676" s="12"/>
      <c r="C676" s="69"/>
      <c r="D676" s="12"/>
      <c r="E676" s="12"/>
      <c r="F676" s="70"/>
      <c r="G676" s="70"/>
      <c r="H676" s="12"/>
      <c r="I676" s="12"/>
    </row>
    <row r="677" spans="1:9" ht="22.5" customHeight="1">
      <c r="A677" s="12"/>
      <c r="B677" s="12"/>
      <c r="C677" s="69"/>
      <c r="D677" s="12"/>
      <c r="E677" s="12"/>
      <c r="F677" s="70"/>
      <c r="G677" s="70"/>
      <c r="H677" s="12"/>
      <c r="I677" s="12"/>
    </row>
    <row r="678" spans="1:9" ht="22.5" customHeight="1">
      <c r="A678" s="12"/>
      <c r="B678" s="12"/>
      <c r="C678" s="69"/>
      <c r="D678" s="12"/>
      <c r="E678" s="12"/>
      <c r="F678" s="70"/>
      <c r="G678" s="70"/>
      <c r="H678" s="12"/>
      <c r="I678" s="12"/>
    </row>
    <row r="679" spans="1:9" ht="22.5" customHeight="1">
      <c r="A679" s="12"/>
      <c r="B679" s="12"/>
      <c r="C679" s="69"/>
      <c r="D679" s="12"/>
      <c r="E679" s="12"/>
      <c r="F679" s="70"/>
      <c r="G679" s="70"/>
      <c r="H679" s="12"/>
      <c r="I679" s="12"/>
    </row>
    <row r="680" spans="1:9" ht="22.5" customHeight="1">
      <c r="A680" s="12"/>
      <c r="B680" s="12"/>
      <c r="C680" s="69"/>
      <c r="D680" s="12"/>
      <c r="E680" s="12"/>
      <c r="F680" s="70"/>
      <c r="G680" s="70"/>
      <c r="H680" s="12"/>
      <c r="I680" s="12"/>
    </row>
    <row r="681" spans="1:9" ht="22.5" customHeight="1">
      <c r="A681" s="12"/>
      <c r="B681" s="12"/>
      <c r="C681" s="69"/>
      <c r="D681" s="12"/>
      <c r="E681" s="12"/>
      <c r="F681" s="70"/>
      <c r="G681" s="70"/>
      <c r="H681" s="12"/>
      <c r="I681" s="12"/>
    </row>
    <row r="682" spans="1:9" ht="22.5" customHeight="1">
      <c r="A682" s="12"/>
      <c r="B682" s="12"/>
      <c r="C682" s="69"/>
      <c r="D682" s="12"/>
      <c r="E682" s="12"/>
      <c r="F682" s="70"/>
      <c r="G682" s="70"/>
      <c r="H682" s="12"/>
      <c r="I682" s="12"/>
    </row>
    <row r="683" spans="1:9" ht="22.5" customHeight="1">
      <c r="A683" s="12"/>
      <c r="B683" s="12"/>
      <c r="C683" s="69"/>
      <c r="D683" s="12"/>
      <c r="E683" s="12"/>
      <c r="F683" s="70"/>
      <c r="G683" s="70"/>
      <c r="H683" s="12"/>
      <c r="I683" s="12"/>
    </row>
    <row r="684" spans="1:9" ht="22.5" customHeight="1">
      <c r="A684" s="12"/>
      <c r="B684" s="12"/>
      <c r="C684" s="69"/>
      <c r="D684" s="12"/>
      <c r="E684" s="12"/>
      <c r="F684" s="70"/>
      <c r="G684" s="70"/>
      <c r="H684" s="12"/>
      <c r="I684" s="12"/>
    </row>
    <row r="685" spans="1:9" ht="22.5" customHeight="1">
      <c r="A685" s="12"/>
      <c r="B685" s="12"/>
      <c r="C685" s="69"/>
      <c r="D685" s="12"/>
      <c r="E685" s="12"/>
      <c r="F685" s="70"/>
      <c r="G685" s="70"/>
      <c r="H685" s="12"/>
      <c r="I685" s="12"/>
    </row>
    <row r="686" spans="1:9" ht="22.5" customHeight="1">
      <c r="A686" s="12"/>
      <c r="B686" s="12"/>
      <c r="C686" s="69"/>
      <c r="D686" s="12"/>
      <c r="E686" s="12"/>
      <c r="F686" s="70"/>
      <c r="G686" s="70"/>
      <c r="H686" s="12"/>
      <c r="I686" s="12"/>
    </row>
    <row r="687" spans="1:9" ht="22.5" customHeight="1">
      <c r="A687" s="12"/>
      <c r="B687" s="12"/>
      <c r="C687" s="69"/>
      <c r="D687" s="12"/>
      <c r="E687" s="12"/>
      <c r="F687" s="70"/>
      <c r="G687" s="70"/>
      <c r="H687" s="12"/>
      <c r="I687" s="12"/>
    </row>
    <row r="688" spans="1:9" ht="22.5" customHeight="1">
      <c r="A688" s="12"/>
      <c r="B688" s="12"/>
      <c r="C688" s="69"/>
      <c r="D688" s="12"/>
      <c r="E688" s="12"/>
      <c r="F688" s="70"/>
      <c r="G688" s="70"/>
      <c r="H688" s="12"/>
      <c r="I688" s="12"/>
    </row>
    <row r="689" spans="1:9" ht="22.5" customHeight="1">
      <c r="A689" s="12"/>
      <c r="B689" s="12"/>
      <c r="C689" s="69"/>
      <c r="D689" s="12"/>
      <c r="E689" s="12"/>
      <c r="F689" s="70"/>
      <c r="G689" s="70"/>
      <c r="H689" s="12"/>
      <c r="I689" s="12"/>
    </row>
    <row r="690" spans="1:9" ht="22.5" customHeight="1">
      <c r="A690" s="12"/>
      <c r="B690" s="12"/>
      <c r="C690" s="69"/>
      <c r="D690" s="12"/>
      <c r="E690" s="12"/>
      <c r="F690" s="70"/>
      <c r="G690" s="70"/>
      <c r="H690" s="12"/>
      <c r="I690" s="12"/>
    </row>
    <row r="691" spans="1:9" ht="22.5" customHeight="1">
      <c r="A691" s="12"/>
      <c r="B691" s="12"/>
      <c r="C691" s="69"/>
      <c r="D691" s="12"/>
      <c r="E691" s="12"/>
      <c r="F691" s="70"/>
      <c r="G691" s="70"/>
      <c r="H691" s="12"/>
      <c r="I691" s="12"/>
    </row>
    <row r="692" spans="1:9" ht="22.5" customHeight="1">
      <c r="A692" s="12"/>
      <c r="B692" s="12"/>
      <c r="C692" s="69"/>
      <c r="D692" s="12"/>
      <c r="E692" s="12"/>
      <c r="F692" s="70"/>
      <c r="G692" s="70"/>
      <c r="H692" s="12"/>
      <c r="I692" s="12"/>
    </row>
    <row r="693" spans="1:9" ht="22.5" customHeight="1">
      <c r="A693" s="12"/>
      <c r="B693" s="12"/>
      <c r="C693" s="69"/>
      <c r="D693" s="12"/>
      <c r="E693" s="12"/>
      <c r="F693" s="70"/>
      <c r="G693" s="70"/>
      <c r="H693" s="12"/>
      <c r="I693" s="12"/>
    </row>
    <row r="694" spans="1:9" ht="22.5" customHeight="1">
      <c r="A694" s="12"/>
      <c r="B694" s="12"/>
      <c r="C694" s="69"/>
      <c r="D694" s="12"/>
      <c r="E694" s="12"/>
      <c r="F694" s="70"/>
      <c r="G694" s="70"/>
      <c r="H694" s="12"/>
      <c r="I694" s="12"/>
    </row>
    <row r="695" spans="1:9" ht="22.5" customHeight="1">
      <c r="A695" s="12"/>
      <c r="B695" s="12"/>
      <c r="C695" s="69"/>
      <c r="D695" s="12"/>
      <c r="E695" s="12"/>
      <c r="F695" s="70"/>
      <c r="G695" s="70"/>
      <c r="H695" s="12"/>
      <c r="I695" s="12"/>
    </row>
    <row r="696" spans="1:9" ht="22.5" customHeight="1">
      <c r="A696" s="12"/>
      <c r="B696" s="12"/>
      <c r="C696" s="69"/>
      <c r="D696" s="12"/>
      <c r="E696" s="12"/>
      <c r="F696" s="70"/>
      <c r="G696" s="70"/>
      <c r="H696" s="12"/>
      <c r="I696" s="12"/>
    </row>
    <row r="697" spans="1:9" ht="22.5" customHeight="1">
      <c r="A697" s="12"/>
      <c r="B697" s="12"/>
      <c r="C697" s="69"/>
      <c r="D697" s="12"/>
      <c r="E697" s="12"/>
      <c r="F697" s="70"/>
      <c r="G697" s="70"/>
      <c r="H697" s="12"/>
      <c r="I697" s="12"/>
    </row>
    <row r="698" spans="1:9" ht="22.5" customHeight="1">
      <c r="A698" s="12"/>
      <c r="B698" s="12"/>
      <c r="C698" s="69"/>
      <c r="D698" s="12"/>
      <c r="E698" s="12"/>
      <c r="F698" s="70"/>
      <c r="G698" s="70"/>
      <c r="H698" s="12"/>
      <c r="I698" s="12"/>
    </row>
    <row r="699" spans="1:9" ht="22.5" customHeight="1">
      <c r="A699" s="12"/>
      <c r="B699" s="12"/>
      <c r="C699" s="69"/>
      <c r="D699" s="12"/>
      <c r="E699" s="12"/>
      <c r="F699" s="70"/>
      <c r="G699" s="70"/>
      <c r="H699" s="12"/>
      <c r="I699" s="12"/>
    </row>
    <row r="700" spans="1:9" ht="22.5" customHeight="1">
      <c r="A700" s="12"/>
      <c r="B700" s="12"/>
      <c r="C700" s="69"/>
      <c r="D700" s="12"/>
      <c r="E700" s="12"/>
      <c r="F700" s="70"/>
      <c r="G700" s="70"/>
      <c r="H700" s="12"/>
      <c r="I700" s="12"/>
    </row>
    <row r="701" spans="1:9" ht="22.5" customHeight="1">
      <c r="A701" s="12"/>
      <c r="B701" s="12"/>
      <c r="C701" s="69"/>
      <c r="D701" s="12"/>
      <c r="E701" s="12"/>
      <c r="F701" s="70"/>
      <c r="G701" s="70"/>
      <c r="H701" s="12"/>
      <c r="I701" s="12"/>
    </row>
    <row r="702" spans="1:9" ht="22.5" customHeight="1">
      <c r="A702" s="12"/>
      <c r="B702" s="12"/>
      <c r="C702" s="69"/>
      <c r="D702" s="12"/>
      <c r="E702" s="12"/>
      <c r="F702" s="70"/>
      <c r="G702" s="70"/>
      <c r="H702" s="12"/>
      <c r="I702" s="12"/>
    </row>
    <row r="703" spans="1:9" ht="22.5" customHeight="1">
      <c r="A703" s="12"/>
      <c r="B703" s="12"/>
      <c r="C703" s="69"/>
      <c r="D703" s="12"/>
      <c r="E703" s="12"/>
      <c r="F703" s="70"/>
      <c r="G703" s="70"/>
      <c r="H703" s="12"/>
      <c r="I703" s="12"/>
    </row>
    <row r="704" spans="1:9" ht="22.5" customHeight="1">
      <c r="A704" s="12"/>
      <c r="B704" s="12"/>
      <c r="C704" s="69"/>
      <c r="D704" s="12"/>
      <c r="E704" s="12"/>
      <c r="F704" s="70"/>
      <c r="G704" s="70"/>
      <c r="H704" s="12"/>
      <c r="I704" s="12"/>
    </row>
    <row r="705" spans="1:9" ht="22.5" customHeight="1">
      <c r="A705" s="12"/>
      <c r="B705" s="12"/>
      <c r="C705" s="69"/>
      <c r="D705" s="12"/>
      <c r="E705" s="12"/>
      <c r="F705" s="70"/>
      <c r="G705" s="70"/>
      <c r="H705" s="12"/>
      <c r="I705" s="12"/>
    </row>
    <row r="706" spans="1:9" ht="22.5" customHeight="1">
      <c r="A706" s="12"/>
      <c r="B706" s="12"/>
      <c r="C706" s="69"/>
      <c r="D706" s="12"/>
      <c r="E706" s="12"/>
      <c r="F706" s="70"/>
      <c r="G706" s="70"/>
      <c r="H706" s="12"/>
      <c r="I706" s="12"/>
    </row>
    <row r="707" spans="1:9" ht="22.5" customHeight="1">
      <c r="A707" s="12"/>
      <c r="B707" s="12"/>
      <c r="C707" s="69"/>
      <c r="D707" s="12"/>
      <c r="E707" s="12"/>
      <c r="F707" s="70"/>
      <c r="G707" s="70"/>
      <c r="H707" s="12"/>
      <c r="I707" s="12"/>
    </row>
    <row r="708" spans="1:9" ht="22.5" customHeight="1">
      <c r="A708" s="12"/>
      <c r="B708" s="12"/>
      <c r="C708" s="69"/>
      <c r="D708" s="12"/>
      <c r="E708" s="12"/>
      <c r="F708" s="70"/>
      <c r="G708" s="70"/>
      <c r="H708" s="12"/>
      <c r="I708" s="12"/>
    </row>
    <row r="709" spans="1:9" ht="22.5" customHeight="1">
      <c r="A709" s="12"/>
      <c r="B709" s="12"/>
      <c r="C709" s="69"/>
      <c r="D709" s="12"/>
      <c r="E709" s="12"/>
      <c r="F709" s="70"/>
      <c r="G709" s="70"/>
      <c r="H709" s="12"/>
      <c r="I709" s="12"/>
    </row>
    <row r="710" spans="1:9" ht="22.5" customHeight="1">
      <c r="A710" s="12"/>
      <c r="B710" s="12"/>
      <c r="C710" s="69"/>
      <c r="D710" s="12"/>
      <c r="E710" s="12"/>
      <c r="F710" s="70"/>
      <c r="G710" s="70"/>
      <c r="H710" s="12"/>
      <c r="I710" s="12"/>
    </row>
    <row r="711" spans="1:9" ht="22.5" customHeight="1">
      <c r="A711" s="12"/>
      <c r="B711" s="12"/>
      <c r="C711" s="69"/>
      <c r="D711" s="12"/>
      <c r="E711" s="12"/>
      <c r="F711" s="70"/>
      <c r="G711" s="70"/>
      <c r="H711" s="12"/>
      <c r="I711" s="12"/>
    </row>
    <row r="712" spans="1:9" ht="22.5" customHeight="1">
      <c r="A712" s="12"/>
      <c r="B712" s="12"/>
      <c r="C712" s="69"/>
      <c r="D712" s="12"/>
      <c r="E712" s="12"/>
      <c r="F712" s="70"/>
      <c r="G712" s="70"/>
      <c r="H712" s="12"/>
      <c r="I712" s="12"/>
    </row>
    <row r="713" spans="1:9" ht="22.5" customHeight="1">
      <c r="A713" s="12"/>
      <c r="B713" s="12"/>
      <c r="C713" s="69"/>
      <c r="D713" s="12"/>
      <c r="E713" s="12"/>
      <c r="F713" s="70"/>
      <c r="G713" s="70"/>
      <c r="H713" s="12"/>
      <c r="I713" s="12"/>
    </row>
    <row r="714" spans="1:9" ht="22.5" customHeight="1">
      <c r="A714" s="12"/>
      <c r="B714" s="12"/>
      <c r="C714" s="69"/>
      <c r="D714" s="12"/>
      <c r="E714" s="12"/>
      <c r="F714" s="70"/>
      <c r="G714" s="70"/>
      <c r="H714" s="12"/>
      <c r="I714" s="12"/>
    </row>
    <row r="715" spans="1:9" ht="22.5" customHeight="1">
      <c r="A715" s="12"/>
      <c r="B715" s="12"/>
      <c r="C715" s="69"/>
      <c r="D715" s="12"/>
      <c r="E715" s="12"/>
      <c r="F715" s="70"/>
      <c r="G715" s="70"/>
      <c r="H715" s="12"/>
      <c r="I715" s="12"/>
    </row>
    <row r="716" spans="1:9" ht="22.5" customHeight="1">
      <c r="A716" s="12"/>
      <c r="B716" s="12"/>
      <c r="C716" s="69"/>
      <c r="D716" s="12"/>
      <c r="E716" s="12"/>
      <c r="F716" s="70"/>
      <c r="G716" s="70"/>
      <c r="H716" s="12"/>
      <c r="I716" s="12"/>
    </row>
    <row r="717" spans="1:9" ht="22.5" customHeight="1">
      <c r="A717" s="12"/>
      <c r="B717" s="12"/>
      <c r="C717" s="69"/>
      <c r="D717" s="12"/>
      <c r="E717" s="12"/>
      <c r="F717" s="70"/>
      <c r="G717" s="70"/>
      <c r="H717" s="12"/>
      <c r="I717" s="12"/>
    </row>
    <row r="718" spans="1:9" ht="22.5" customHeight="1">
      <c r="A718" s="12"/>
      <c r="B718" s="12"/>
      <c r="C718" s="69"/>
      <c r="D718" s="12"/>
      <c r="E718" s="12"/>
      <c r="F718" s="70"/>
      <c r="G718" s="70"/>
      <c r="H718" s="12"/>
      <c r="I718" s="12"/>
    </row>
    <row r="719" spans="1:9" ht="22.5" customHeight="1">
      <c r="A719" s="12"/>
      <c r="B719" s="12"/>
      <c r="C719" s="69"/>
      <c r="D719" s="12"/>
      <c r="E719" s="12"/>
      <c r="F719" s="70"/>
      <c r="G719" s="70"/>
      <c r="H719" s="12"/>
      <c r="I719" s="12"/>
    </row>
    <row r="720" spans="1:9" ht="22.5" customHeight="1">
      <c r="A720" s="12"/>
      <c r="B720" s="12"/>
      <c r="C720" s="69"/>
      <c r="D720" s="12"/>
      <c r="E720" s="12"/>
      <c r="F720" s="70"/>
      <c r="G720" s="70"/>
      <c r="H720" s="12"/>
      <c r="I720" s="12"/>
    </row>
    <row r="721" spans="1:9" ht="22.5" customHeight="1">
      <c r="A721" s="12"/>
      <c r="B721" s="12"/>
      <c r="C721" s="69"/>
      <c r="D721" s="12"/>
      <c r="E721" s="12"/>
      <c r="F721" s="70"/>
      <c r="G721" s="70"/>
      <c r="H721" s="12"/>
      <c r="I721" s="12"/>
    </row>
    <row r="722" spans="1:9" ht="22.5" customHeight="1">
      <c r="A722" s="12"/>
      <c r="B722" s="12"/>
      <c r="C722" s="69"/>
      <c r="D722" s="12"/>
      <c r="E722" s="12"/>
      <c r="F722" s="70"/>
      <c r="G722" s="70"/>
      <c r="H722" s="12"/>
      <c r="I722" s="12"/>
    </row>
    <row r="723" spans="1:9" ht="22.5" customHeight="1">
      <c r="A723" s="12"/>
      <c r="B723" s="12"/>
      <c r="C723" s="69"/>
      <c r="D723" s="12"/>
      <c r="E723" s="12"/>
      <c r="F723" s="70"/>
      <c r="G723" s="70"/>
      <c r="H723" s="12"/>
      <c r="I723" s="12"/>
    </row>
    <row r="724" spans="1:9" ht="22.5" customHeight="1">
      <c r="A724" s="12"/>
      <c r="B724" s="12"/>
      <c r="C724" s="69"/>
      <c r="D724" s="12"/>
      <c r="E724" s="12"/>
      <c r="F724" s="70"/>
      <c r="G724" s="70"/>
      <c r="H724" s="12"/>
      <c r="I724" s="12"/>
    </row>
    <row r="725" spans="1:9" ht="22.5" customHeight="1">
      <c r="A725" s="12"/>
      <c r="B725" s="12"/>
      <c r="C725" s="69"/>
      <c r="D725" s="12"/>
      <c r="E725" s="12"/>
      <c r="F725" s="70"/>
      <c r="G725" s="70"/>
      <c r="H725" s="12"/>
      <c r="I725" s="12"/>
    </row>
    <row r="726" spans="1:9" ht="22.5" customHeight="1">
      <c r="A726" s="12"/>
      <c r="B726" s="12"/>
      <c r="C726" s="69"/>
      <c r="D726" s="12"/>
      <c r="E726" s="12"/>
      <c r="F726" s="70"/>
      <c r="G726" s="70"/>
      <c r="H726" s="12"/>
      <c r="I726" s="12"/>
    </row>
    <row r="727" spans="1:9" ht="22.5" customHeight="1">
      <c r="A727" s="12"/>
      <c r="B727" s="12"/>
      <c r="C727" s="69"/>
      <c r="D727" s="12"/>
      <c r="E727" s="12"/>
      <c r="F727" s="70"/>
      <c r="G727" s="70"/>
      <c r="H727" s="12"/>
      <c r="I727" s="12"/>
    </row>
    <row r="728" spans="1:9" ht="22.5" customHeight="1">
      <c r="A728" s="12"/>
      <c r="B728" s="12"/>
      <c r="C728" s="69"/>
      <c r="D728" s="12"/>
      <c r="E728" s="12"/>
      <c r="F728" s="70"/>
      <c r="G728" s="70"/>
      <c r="H728" s="12"/>
      <c r="I728" s="12"/>
    </row>
    <row r="729" spans="1:9" ht="22.5" customHeight="1">
      <c r="A729" s="12"/>
      <c r="B729" s="12"/>
      <c r="C729" s="69"/>
      <c r="D729" s="12"/>
      <c r="E729" s="12"/>
      <c r="F729" s="70"/>
      <c r="G729" s="70"/>
      <c r="H729" s="12"/>
      <c r="I729" s="12"/>
    </row>
    <row r="730" spans="1:9" ht="22.5" customHeight="1">
      <c r="A730" s="12"/>
      <c r="B730" s="12"/>
      <c r="C730" s="69"/>
      <c r="D730" s="12"/>
      <c r="E730" s="12"/>
      <c r="F730" s="70"/>
      <c r="G730" s="70"/>
      <c r="H730" s="12"/>
      <c r="I730" s="12"/>
    </row>
    <row r="731" spans="1:9" ht="22.5" customHeight="1">
      <c r="A731" s="12"/>
      <c r="B731" s="12"/>
      <c r="C731" s="69"/>
      <c r="D731" s="12"/>
      <c r="E731" s="12"/>
      <c r="F731" s="70"/>
      <c r="G731" s="70"/>
      <c r="H731" s="12"/>
      <c r="I731" s="12"/>
    </row>
    <row r="732" spans="1:9" ht="22.5" customHeight="1">
      <c r="A732" s="12"/>
      <c r="B732" s="12"/>
      <c r="C732" s="69"/>
      <c r="D732" s="12"/>
      <c r="E732" s="12"/>
      <c r="F732" s="70"/>
      <c r="G732" s="70"/>
      <c r="H732" s="12"/>
      <c r="I732" s="12"/>
    </row>
    <row r="733" spans="1:9" ht="22.5" customHeight="1">
      <c r="A733" s="12"/>
      <c r="B733" s="12"/>
      <c r="C733" s="69"/>
      <c r="D733" s="12"/>
      <c r="E733" s="12"/>
      <c r="F733" s="70"/>
      <c r="G733" s="70"/>
      <c r="H733" s="12"/>
      <c r="I733" s="12"/>
    </row>
    <row r="734" spans="1:9" ht="22.5" customHeight="1">
      <c r="A734" s="12"/>
      <c r="B734" s="12"/>
      <c r="C734" s="69"/>
      <c r="D734" s="12"/>
      <c r="E734" s="12"/>
      <c r="F734" s="70"/>
      <c r="G734" s="70"/>
      <c r="H734" s="12"/>
      <c r="I734" s="12"/>
    </row>
    <row r="735" spans="1:9" ht="22.5" customHeight="1">
      <c r="A735" s="12"/>
      <c r="B735" s="12"/>
      <c r="C735" s="69"/>
      <c r="D735" s="12"/>
      <c r="E735" s="12"/>
      <c r="F735" s="70"/>
      <c r="G735" s="70"/>
      <c r="H735" s="12"/>
      <c r="I735" s="12"/>
    </row>
    <row r="736" spans="1:9" ht="22.5" customHeight="1">
      <c r="A736" s="12"/>
      <c r="B736" s="12"/>
      <c r="C736" s="69"/>
      <c r="D736" s="12"/>
      <c r="E736" s="12"/>
      <c r="F736" s="70"/>
      <c r="G736" s="70"/>
      <c r="H736" s="12"/>
      <c r="I736" s="12"/>
    </row>
    <row r="737" spans="1:9" ht="22.5" customHeight="1">
      <c r="A737" s="12"/>
      <c r="B737" s="12"/>
      <c r="C737" s="69"/>
      <c r="D737" s="12"/>
      <c r="E737" s="12"/>
      <c r="F737" s="70"/>
      <c r="G737" s="70"/>
      <c r="H737" s="12"/>
      <c r="I737" s="12"/>
    </row>
    <row r="738" spans="1:9" ht="22.5" customHeight="1">
      <c r="A738" s="12"/>
      <c r="B738" s="12"/>
      <c r="C738" s="69"/>
      <c r="D738" s="12"/>
      <c r="E738" s="12"/>
      <c r="F738" s="70"/>
      <c r="G738" s="70"/>
      <c r="H738" s="12"/>
      <c r="I738" s="12"/>
    </row>
    <row r="739" spans="1:9" ht="22.5" customHeight="1">
      <c r="A739" s="12"/>
      <c r="B739" s="12"/>
      <c r="C739" s="69"/>
      <c r="D739" s="12"/>
      <c r="E739" s="12"/>
      <c r="F739" s="70"/>
      <c r="G739" s="70"/>
      <c r="H739" s="12"/>
      <c r="I739" s="12"/>
    </row>
    <row r="740" spans="1:9" ht="22.5" customHeight="1">
      <c r="A740" s="12"/>
      <c r="B740" s="12"/>
      <c r="C740" s="69"/>
      <c r="D740" s="12"/>
      <c r="E740" s="12"/>
      <c r="F740" s="70"/>
      <c r="G740" s="70"/>
      <c r="H740" s="12"/>
      <c r="I740" s="12"/>
    </row>
    <row r="741" spans="1:9" ht="22.5" customHeight="1">
      <c r="A741" s="12"/>
      <c r="B741" s="12"/>
      <c r="C741" s="69"/>
      <c r="D741" s="12"/>
      <c r="E741" s="12"/>
      <c r="F741" s="70"/>
      <c r="G741" s="70"/>
      <c r="H741" s="12"/>
      <c r="I741" s="12"/>
    </row>
    <row r="742" spans="1:9" ht="22.5" customHeight="1">
      <c r="A742" s="12"/>
      <c r="B742" s="12"/>
      <c r="C742" s="69"/>
      <c r="D742" s="12"/>
      <c r="E742" s="12"/>
      <c r="F742" s="70"/>
      <c r="G742" s="70"/>
      <c r="H742" s="12"/>
      <c r="I742" s="12"/>
    </row>
    <row r="743" spans="1:9" ht="22.5" customHeight="1">
      <c r="A743" s="12"/>
      <c r="B743" s="12"/>
      <c r="C743" s="69"/>
      <c r="D743" s="12"/>
      <c r="E743" s="12"/>
      <c r="F743" s="70"/>
      <c r="G743" s="70"/>
      <c r="H743" s="12"/>
      <c r="I743" s="12"/>
    </row>
    <row r="744" spans="1:9" ht="22.5" customHeight="1">
      <c r="A744" s="12"/>
      <c r="B744" s="12"/>
      <c r="C744" s="69"/>
      <c r="D744" s="12"/>
      <c r="E744" s="12"/>
      <c r="F744" s="70"/>
      <c r="G744" s="70"/>
      <c r="H744" s="12"/>
      <c r="I744" s="12"/>
    </row>
    <row r="745" spans="1:9" ht="22.5" customHeight="1">
      <c r="A745" s="12"/>
      <c r="B745" s="12"/>
      <c r="C745" s="69"/>
      <c r="D745" s="12"/>
      <c r="E745" s="12"/>
      <c r="F745" s="70"/>
      <c r="G745" s="70"/>
      <c r="H745" s="12"/>
      <c r="I745" s="12"/>
    </row>
    <row r="746" spans="1:9" ht="22.5" customHeight="1">
      <c r="A746" s="12"/>
      <c r="B746" s="12"/>
      <c r="C746" s="69"/>
      <c r="D746" s="12"/>
      <c r="E746" s="12"/>
      <c r="F746" s="70"/>
      <c r="G746" s="70"/>
      <c r="H746" s="12"/>
      <c r="I746" s="12"/>
    </row>
    <row r="747" spans="1:9" ht="22.5" customHeight="1">
      <c r="A747" s="12"/>
      <c r="B747" s="12"/>
      <c r="C747" s="69"/>
      <c r="D747" s="12"/>
      <c r="E747" s="12"/>
      <c r="F747" s="70"/>
      <c r="G747" s="70"/>
      <c r="H747" s="12"/>
      <c r="I747" s="12"/>
    </row>
    <row r="748" spans="1:9" ht="22.5" customHeight="1">
      <c r="A748" s="12"/>
      <c r="B748" s="12"/>
      <c r="C748" s="69"/>
      <c r="D748" s="12"/>
      <c r="E748" s="12"/>
      <c r="F748" s="70"/>
      <c r="G748" s="70"/>
      <c r="H748" s="12"/>
      <c r="I748" s="12"/>
    </row>
    <row r="749" spans="1:9" ht="22.5" customHeight="1">
      <c r="A749" s="12"/>
      <c r="B749" s="12"/>
      <c r="C749" s="69"/>
      <c r="D749" s="12"/>
      <c r="E749" s="12"/>
      <c r="F749" s="70"/>
      <c r="G749" s="70"/>
      <c r="H749" s="12"/>
      <c r="I749" s="12"/>
    </row>
    <row r="750" spans="1:9" ht="22.5" customHeight="1">
      <c r="A750" s="12"/>
      <c r="B750" s="12"/>
      <c r="C750" s="69"/>
      <c r="D750" s="12"/>
      <c r="E750" s="12"/>
      <c r="F750" s="70"/>
      <c r="G750" s="70"/>
      <c r="H750" s="12"/>
      <c r="I750" s="12"/>
    </row>
    <row r="751" spans="1:9" ht="22.5" customHeight="1">
      <c r="A751" s="12"/>
      <c r="B751" s="12"/>
      <c r="C751" s="69"/>
      <c r="D751" s="12"/>
      <c r="E751" s="12"/>
      <c r="F751" s="70"/>
      <c r="G751" s="70"/>
      <c r="H751" s="12"/>
      <c r="I751" s="12"/>
    </row>
    <row r="752" spans="1:9" ht="22.5" customHeight="1">
      <c r="A752" s="12"/>
      <c r="B752" s="12"/>
      <c r="C752" s="69"/>
      <c r="D752" s="12"/>
      <c r="E752" s="12"/>
      <c r="F752" s="70"/>
      <c r="G752" s="70"/>
      <c r="H752" s="12"/>
      <c r="I752" s="12"/>
    </row>
    <row r="753" spans="1:9" ht="22.5" customHeight="1">
      <c r="A753" s="12"/>
      <c r="B753" s="12"/>
      <c r="C753" s="69"/>
      <c r="D753" s="12"/>
      <c r="E753" s="12"/>
      <c r="F753" s="70"/>
      <c r="G753" s="70"/>
      <c r="H753" s="12"/>
      <c r="I753" s="12"/>
    </row>
    <row r="754" spans="1:9" ht="22.5" customHeight="1">
      <c r="A754" s="12"/>
      <c r="B754" s="12"/>
      <c r="C754" s="69"/>
      <c r="D754" s="12"/>
      <c r="E754" s="12"/>
      <c r="F754" s="70"/>
      <c r="G754" s="70"/>
      <c r="H754" s="12"/>
      <c r="I754" s="12"/>
    </row>
    <row r="755" spans="1:9" ht="22.5" customHeight="1">
      <c r="A755" s="12"/>
      <c r="B755" s="12"/>
      <c r="C755" s="69"/>
      <c r="D755" s="12"/>
      <c r="E755" s="12"/>
      <c r="F755" s="70"/>
      <c r="G755" s="70"/>
      <c r="H755" s="12"/>
      <c r="I755" s="12"/>
    </row>
    <row r="756" spans="1:9" ht="22.5" customHeight="1">
      <c r="A756" s="12"/>
      <c r="B756" s="12"/>
      <c r="C756" s="69"/>
      <c r="D756" s="12"/>
      <c r="E756" s="12"/>
      <c r="F756" s="70"/>
      <c r="G756" s="70"/>
      <c r="H756" s="12"/>
      <c r="I756" s="12"/>
    </row>
    <row r="757" spans="1:9" ht="22.5" customHeight="1">
      <c r="A757" s="12"/>
      <c r="B757" s="12"/>
      <c r="C757" s="69"/>
      <c r="D757" s="12"/>
      <c r="E757" s="12"/>
      <c r="F757" s="70"/>
      <c r="G757" s="70"/>
      <c r="H757" s="12"/>
      <c r="I757" s="12"/>
    </row>
    <row r="758" spans="1:9" ht="22.5" customHeight="1">
      <c r="A758" s="12"/>
      <c r="B758" s="12"/>
      <c r="C758" s="69"/>
      <c r="D758" s="12"/>
      <c r="E758" s="12"/>
      <c r="F758" s="70"/>
      <c r="G758" s="70"/>
      <c r="H758" s="12"/>
      <c r="I758" s="12"/>
    </row>
    <row r="759" spans="1:9" ht="22.5" customHeight="1">
      <c r="A759" s="12"/>
      <c r="B759" s="12"/>
      <c r="C759" s="69"/>
      <c r="D759" s="12"/>
      <c r="E759" s="12"/>
      <c r="F759" s="70"/>
      <c r="G759" s="70"/>
      <c r="H759" s="12"/>
      <c r="I759" s="12"/>
    </row>
    <row r="760" spans="1:9" ht="22.5" customHeight="1">
      <c r="A760" s="12"/>
      <c r="B760" s="12"/>
      <c r="C760" s="69"/>
      <c r="D760" s="12"/>
      <c r="E760" s="12"/>
      <c r="F760" s="70"/>
      <c r="G760" s="70"/>
      <c r="H760" s="12"/>
      <c r="I760" s="12"/>
    </row>
    <row r="761" spans="1:9" ht="22.5" customHeight="1">
      <c r="A761" s="12"/>
      <c r="B761" s="12"/>
      <c r="C761" s="69"/>
      <c r="D761" s="12"/>
      <c r="E761" s="12"/>
      <c r="F761" s="70"/>
      <c r="G761" s="70"/>
      <c r="H761" s="12"/>
      <c r="I761" s="12"/>
    </row>
    <row r="762" spans="1:9" ht="22.5" customHeight="1">
      <c r="A762" s="12"/>
      <c r="B762" s="12"/>
      <c r="C762" s="69"/>
      <c r="D762" s="12"/>
      <c r="E762" s="12"/>
      <c r="F762" s="70"/>
      <c r="G762" s="70"/>
      <c r="H762" s="12"/>
      <c r="I762" s="12"/>
    </row>
    <row r="763" spans="1:9" ht="22.5" customHeight="1">
      <c r="A763" s="12"/>
      <c r="B763" s="12"/>
      <c r="C763" s="69"/>
      <c r="D763" s="12"/>
      <c r="E763" s="12"/>
      <c r="F763" s="70"/>
      <c r="G763" s="70"/>
      <c r="H763" s="12"/>
      <c r="I763" s="12"/>
    </row>
    <row r="764" spans="1:9" ht="22.5" customHeight="1">
      <c r="A764" s="12"/>
      <c r="B764" s="12"/>
      <c r="C764" s="69"/>
      <c r="D764" s="12"/>
      <c r="E764" s="12"/>
      <c r="F764" s="70"/>
      <c r="G764" s="70"/>
      <c r="H764" s="12"/>
      <c r="I764" s="12"/>
    </row>
    <row r="765" spans="1:9" ht="22.5" customHeight="1">
      <c r="A765" s="12"/>
      <c r="B765" s="12"/>
      <c r="C765" s="69"/>
      <c r="D765" s="12"/>
      <c r="E765" s="12"/>
      <c r="F765" s="70"/>
      <c r="G765" s="70"/>
      <c r="H765" s="12"/>
      <c r="I765" s="12"/>
    </row>
    <row r="766" spans="1:9" ht="22.5" customHeight="1">
      <c r="A766" s="12"/>
      <c r="B766" s="12"/>
      <c r="C766" s="69"/>
      <c r="D766" s="12"/>
      <c r="E766" s="12"/>
      <c r="F766" s="70"/>
      <c r="G766" s="70"/>
      <c r="H766" s="12"/>
      <c r="I766" s="12"/>
    </row>
    <row r="767" spans="1:9" ht="22.5" customHeight="1">
      <c r="A767" s="12"/>
      <c r="B767" s="12"/>
      <c r="C767" s="69"/>
      <c r="D767" s="12"/>
      <c r="E767" s="12"/>
      <c r="F767" s="70"/>
      <c r="G767" s="70"/>
      <c r="H767" s="12"/>
      <c r="I767" s="12"/>
    </row>
    <row r="768" spans="1:9" ht="22.5" customHeight="1">
      <c r="A768" s="12"/>
      <c r="B768" s="12"/>
      <c r="C768" s="69"/>
      <c r="D768" s="12"/>
      <c r="E768" s="12"/>
      <c r="F768" s="70"/>
      <c r="G768" s="70"/>
      <c r="H768" s="12"/>
      <c r="I768" s="12"/>
    </row>
    <row r="769" spans="1:9" ht="22.5" customHeight="1">
      <c r="A769" s="12"/>
      <c r="B769" s="12"/>
      <c r="C769" s="69"/>
      <c r="D769" s="12"/>
      <c r="E769" s="12"/>
      <c r="F769" s="70"/>
      <c r="G769" s="70"/>
      <c r="H769" s="12"/>
      <c r="I769" s="12"/>
    </row>
    <row r="770" spans="1:9" ht="22.5" customHeight="1">
      <c r="A770" s="12"/>
      <c r="B770" s="12"/>
      <c r="C770" s="69"/>
      <c r="D770" s="12"/>
      <c r="E770" s="12"/>
      <c r="F770" s="70"/>
      <c r="G770" s="70"/>
      <c r="H770" s="12"/>
      <c r="I770" s="12"/>
    </row>
    <row r="771" spans="1:9" ht="22.5" customHeight="1">
      <c r="A771" s="12"/>
      <c r="B771" s="12"/>
      <c r="C771" s="69"/>
      <c r="D771" s="12"/>
      <c r="E771" s="12"/>
      <c r="F771" s="70"/>
      <c r="G771" s="70"/>
      <c r="H771" s="12"/>
      <c r="I771" s="12"/>
    </row>
    <row r="772" spans="1:9" ht="22.5" customHeight="1">
      <c r="A772" s="12"/>
      <c r="B772" s="12"/>
      <c r="C772" s="69"/>
      <c r="D772" s="12"/>
      <c r="E772" s="12"/>
      <c r="F772" s="70"/>
      <c r="G772" s="70"/>
      <c r="H772" s="12"/>
      <c r="I772" s="12"/>
    </row>
    <row r="773" spans="1:9" ht="22.5" customHeight="1">
      <c r="A773" s="12"/>
      <c r="B773" s="12"/>
      <c r="C773" s="69"/>
      <c r="D773" s="12"/>
      <c r="E773" s="12"/>
      <c r="F773" s="70"/>
      <c r="G773" s="70"/>
      <c r="H773" s="12"/>
      <c r="I773" s="12"/>
    </row>
    <row r="774" spans="1:9" ht="22.5" customHeight="1">
      <c r="A774" s="12"/>
      <c r="B774" s="12"/>
      <c r="C774" s="69"/>
      <c r="D774" s="12"/>
      <c r="E774" s="12"/>
      <c r="F774" s="70"/>
      <c r="G774" s="70"/>
      <c r="H774" s="12"/>
      <c r="I774" s="12"/>
    </row>
    <row r="775" spans="1:9" ht="22.5" customHeight="1">
      <c r="A775" s="12"/>
      <c r="B775" s="12"/>
      <c r="C775" s="69"/>
      <c r="D775" s="12"/>
      <c r="E775" s="12"/>
      <c r="F775" s="70"/>
      <c r="G775" s="70"/>
      <c r="H775" s="12"/>
      <c r="I775" s="12"/>
    </row>
    <row r="776" spans="1:9" ht="22.5" customHeight="1">
      <c r="A776" s="12"/>
      <c r="B776" s="12"/>
      <c r="C776" s="69"/>
      <c r="D776" s="12"/>
      <c r="E776" s="12"/>
      <c r="F776" s="70"/>
      <c r="G776" s="70"/>
      <c r="H776" s="12"/>
      <c r="I776" s="12"/>
    </row>
    <row r="777" spans="1:9" ht="22.5" customHeight="1">
      <c r="A777" s="12"/>
      <c r="B777" s="12"/>
      <c r="C777" s="69"/>
      <c r="D777" s="12"/>
      <c r="E777" s="12"/>
      <c r="F777" s="70"/>
      <c r="G777" s="70"/>
      <c r="H777" s="12"/>
      <c r="I777" s="12"/>
    </row>
    <row r="778" spans="1:9" ht="22.5" customHeight="1">
      <c r="A778" s="12"/>
      <c r="B778" s="12"/>
      <c r="C778" s="69"/>
      <c r="D778" s="12"/>
      <c r="E778" s="12"/>
      <c r="F778" s="70"/>
      <c r="G778" s="70"/>
      <c r="H778" s="12"/>
      <c r="I778" s="12"/>
    </row>
    <row r="779" spans="1:9" ht="22.5" customHeight="1">
      <c r="A779" s="12"/>
      <c r="B779" s="12"/>
      <c r="C779" s="69"/>
      <c r="D779" s="12"/>
      <c r="E779" s="12"/>
      <c r="F779" s="70"/>
      <c r="G779" s="70"/>
      <c r="H779" s="12"/>
      <c r="I779" s="12"/>
    </row>
    <row r="780" spans="1:9" ht="22.5" customHeight="1">
      <c r="A780" s="12"/>
      <c r="B780" s="12"/>
      <c r="C780" s="69"/>
      <c r="D780" s="12"/>
      <c r="E780" s="12"/>
      <c r="F780" s="70"/>
      <c r="G780" s="70"/>
      <c r="H780" s="12"/>
      <c r="I780" s="12"/>
    </row>
    <row r="781" spans="1:9" ht="22.5" customHeight="1">
      <c r="A781" s="12"/>
      <c r="B781" s="12"/>
      <c r="C781" s="69"/>
      <c r="D781" s="12"/>
      <c r="E781" s="12"/>
      <c r="F781" s="70"/>
      <c r="G781" s="70"/>
      <c r="H781" s="12"/>
      <c r="I781" s="12"/>
    </row>
    <row r="782" spans="1:9" ht="22.5" customHeight="1">
      <c r="A782" s="12"/>
      <c r="B782" s="12"/>
      <c r="C782" s="69"/>
      <c r="D782" s="12"/>
      <c r="E782" s="12"/>
      <c r="F782" s="70"/>
      <c r="G782" s="70"/>
      <c r="H782" s="12"/>
      <c r="I782" s="12"/>
    </row>
    <row r="783" spans="1:9" ht="22.5" customHeight="1">
      <c r="A783" s="12"/>
      <c r="B783" s="12"/>
      <c r="C783" s="69"/>
      <c r="D783" s="12"/>
      <c r="E783" s="12"/>
      <c r="F783" s="70"/>
      <c r="G783" s="70"/>
      <c r="H783" s="12"/>
      <c r="I783" s="12"/>
    </row>
    <row r="784" spans="1:9" ht="22.5" customHeight="1">
      <c r="A784" s="12"/>
      <c r="B784" s="12"/>
      <c r="C784" s="69"/>
      <c r="D784" s="12"/>
      <c r="E784" s="12"/>
      <c r="F784" s="70"/>
      <c r="G784" s="70"/>
      <c r="H784" s="12"/>
      <c r="I784" s="12"/>
    </row>
    <row r="785" spans="1:9" ht="22.5" customHeight="1">
      <c r="A785" s="12"/>
      <c r="B785" s="12"/>
      <c r="C785" s="69"/>
      <c r="D785" s="12"/>
      <c r="E785" s="12"/>
      <c r="F785" s="70"/>
      <c r="G785" s="70"/>
      <c r="H785" s="12"/>
      <c r="I785" s="12"/>
    </row>
    <row r="786" spans="1:9" ht="22.5" customHeight="1">
      <c r="A786" s="12"/>
      <c r="B786" s="12"/>
      <c r="C786" s="69"/>
      <c r="D786" s="12"/>
      <c r="E786" s="12"/>
      <c r="F786" s="70"/>
      <c r="G786" s="70"/>
      <c r="H786" s="12"/>
      <c r="I786" s="12"/>
    </row>
    <row r="787" spans="1:9" ht="22.5" customHeight="1">
      <c r="A787" s="12"/>
      <c r="B787" s="12"/>
      <c r="C787" s="69"/>
      <c r="D787" s="12"/>
      <c r="E787" s="12"/>
      <c r="F787" s="70"/>
      <c r="G787" s="70"/>
      <c r="H787" s="12"/>
      <c r="I787" s="12"/>
    </row>
    <row r="788" spans="1:9" ht="22.5" customHeight="1">
      <c r="A788" s="12"/>
      <c r="B788" s="12"/>
      <c r="C788" s="69"/>
      <c r="D788" s="12"/>
      <c r="E788" s="12"/>
      <c r="F788" s="70"/>
      <c r="G788" s="70"/>
      <c r="H788" s="12"/>
      <c r="I788" s="12"/>
    </row>
    <row r="789" spans="1:9" ht="22.5" customHeight="1">
      <c r="A789" s="12"/>
      <c r="B789" s="12"/>
      <c r="C789" s="69"/>
      <c r="D789" s="12"/>
      <c r="E789" s="12"/>
      <c r="F789" s="70"/>
      <c r="G789" s="70"/>
      <c r="H789" s="12"/>
      <c r="I789" s="12"/>
    </row>
    <row r="790" spans="1:9" ht="22.5" customHeight="1">
      <c r="A790" s="12"/>
      <c r="B790" s="12"/>
      <c r="C790" s="69"/>
      <c r="D790" s="12"/>
      <c r="E790" s="12"/>
      <c r="F790" s="70"/>
      <c r="G790" s="70"/>
      <c r="H790" s="12"/>
      <c r="I790" s="12"/>
    </row>
    <row r="791" spans="1:9" ht="22.5" customHeight="1">
      <c r="A791" s="12"/>
      <c r="B791" s="12"/>
      <c r="C791" s="69"/>
      <c r="D791" s="12"/>
      <c r="E791" s="12"/>
      <c r="F791" s="70"/>
      <c r="G791" s="70"/>
      <c r="H791" s="12"/>
      <c r="I791" s="12"/>
    </row>
    <row r="792" spans="1:9" ht="22.5" customHeight="1">
      <c r="A792" s="12"/>
      <c r="B792" s="12"/>
      <c r="C792" s="69"/>
      <c r="D792" s="12"/>
      <c r="E792" s="12"/>
      <c r="F792" s="70"/>
      <c r="G792" s="70"/>
      <c r="H792" s="12"/>
      <c r="I792" s="12"/>
    </row>
    <row r="793" spans="1:9" ht="22.5" customHeight="1">
      <c r="A793" s="12"/>
      <c r="B793" s="12"/>
      <c r="C793" s="69"/>
      <c r="D793" s="12"/>
      <c r="E793" s="12"/>
      <c r="F793" s="70"/>
      <c r="G793" s="70"/>
      <c r="H793" s="12"/>
      <c r="I793" s="12"/>
    </row>
    <row r="794" spans="1:9" ht="22.5" customHeight="1">
      <c r="A794" s="12"/>
      <c r="B794" s="12"/>
      <c r="C794" s="69"/>
      <c r="D794" s="12"/>
      <c r="E794" s="12"/>
      <c r="F794" s="70"/>
      <c r="G794" s="70"/>
      <c r="H794" s="12"/>
      <c r="I794" s="12"/>
    </row>
    <row r="795" spans="1:9" ht="22.5" customHeight="1">
      <c r="A795" s="12"/>
      <c r="B795" s="12"/>
      <c r="C795" s="69"/>
      <c r="D795" s="12"/>
      <c r="E795" s="12"/>
      <c r="F795" s="70"/>
      <c r="G795" s="70"/>
      <c r="H795" s="12"/>
      <c r="I795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22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3.7109375" customWidth="1"/>
    <col min="2" max="2" width="14.28515625" customWidth="1"/>
    <col min="3" max="3" width="6" customWidth="1"/>
    <col min="4" max="4" width="4.140625" customWidth="1"/>
    <col min="5" max="5" width="11.140625" customWidth="1"/>
    <col min="6" max="6" width="15" customWidth="1"/>
    <col min="7" max="7" width="14.28515625" customWidth="1"/>
    <col min="8" max="8" width="12.140625" customWidth="1"/>
    <col min="9" max="10" width="10.42578125" customWidth="1"/>
    <col min="11" max="11" width="7.5703125" customWidth="1"/>
    <col min="12" max="12" width="11" customWidth="1"/>
    <col min="13" max="13" width="9.42578125" customWidth="1"/>
    <col min="14" max="14" width="11.7109375" customWidth="1"/>
    <col min="15" max="15" width="39.42578125" customWidth="1"/>
  </cols>
  <sheetData>
    <row r="1" spans="1:23" ht="25.5" customHeight="1">
      <c r="A1" s="71" t="s">
        <v>853</v>
      </c>
      <c r="B1" s="71" t="s">
        <v>854</v>
      </c>
      <c r="C1" s="71" t="s">
        <v>855</v>
      </c>
      <c r="D1" s="71" t="s">
        <v>856</v>
      </c>
      <c r="E1" s="71" t="s">
        <v>857</v>
      </c>
      <c r="F1" s="72" t="s">
        <v>858</v>
      </c>
      <c r="G1" s="71" t="s">
        <v>859</v>
      </c>
      <c r="H1" s="71" t="s">
        <v>4</v>
      </c>
      <c r="I1" s="73" t="s">
        <v>5</v>
      </c>
      <c r="J1" s="71" t="s">
        <v>860</v>
      </c>
      <c r="K1" s="74" t="s">
        <v>861</v>
      </c>
      <c r="L1" s="75" t="s">
        <v>862</v>
      </c>
      <c r="M1" s="74" t="s">
        <v>863</v>
      </c>
      <c r="N1" s="75" t="s">
        <v>864</v>
      </c>
      <c r="O1" s="75" t="s">
        <v>7</v>
      </c>
      <c r="P1" s="76"/>
      <c r="Q1" s="76"/>
      <c r="R1" s="76"/>
      <c r="S1" s="76"/>
      <c r="T1" s="76"/>
      <c r="U1" s="76"/>
      <c r="V1" s="76"/>
      <c r="W1" s="76"/>
    </row>
    <row r="2" spans="1:23" ht="12.75">
      <c r="A2" s="77">
        <v>1</v>
      </c>
      <c r="B2" s="78">
        <v>45607</v>
      </c>
      <c r="C2" s="77">
        <f t="shared" ref="C2:C7" si="0">YEAR(B2)</f>
        <v>2024</v>
      </c>
      <c r="D2" s="79">
        <f t="shared" ref="D2:D7" si="1">MONTH(B2)</f>
        <v>11</v>
      </c>
      <c r="E2" s="77" t="s">
        <v>865</v>
      </c>
      <c r="F2" s="80" t="s">
        <v>10</v>
      </c>
      <c r="G2" s="81" t="s">
        <v>866</v>
      </c>
      <c r="H2" s="82">
        <v>499.28969999999998</v>
      </c>
      <c r="I2" s="82"/>
      <c r="J2" s="83" t="s">
        <v>867</v>
      </c>
      <c r="K2" s="84" t="b">
        <v>1</v>
      </c>
      <c r="L2" s="85">
        <f>SUM(H2:H15)</f>
        <v>1452.3151</v>
      </c>
      <c r="M2" s="86">
        <v>45693</v>
      </c>
      <c r="N2" s="87" t="s">
        <v>868</v>
      </c>
      <c r="O2" s="87" t="s">
        <v>869</v>
      </c>
      <c r="P2" s="76"/>
      <c r="Q2" s="76"/>
      <c r="R2" s="76"/>
      <c r="S2" s="76"/>
      <c r="T2" s="76"/>
      <c r="U2" s="76"/>
      <c r="V2" s="76"/>
      <c r="W2" s="76"/>
    </row>
    <row r="3" spans="1:23" ht="12.75">
      <c r="A3" s="77">
        <v>2</v>
      </c>
      <c r="B3" s="78">
        <v>45607</v>
      </c>
      <c r="C3" s="77">
        <f t="shared" si="0"/>
        <v>2024</v>
      </c>
      <c r="D3" s="79">
        <f t="shared" si="1"/>
        <v>11</v>
      </c>
      <c r="E3" s="77" t="s">
        <v>865</v>
      </c>
      <c r="F3" s="80" t="s">
        <v>10</v>
      </c>
      <c r="G3" s="81" t="s">
        <v>866</v>
      </c>
      <c r="H3" s="82">
        <v>100</v>
      </c>
      <c r="I3" s="82"/>
      <c r="J3" s="83" t="s">
        <v>867</v>
      </c>
      <c r="K3" s="84" t="b">
        <v>1</v>
      </c>
      <c r="L3" s="88">
        <v>1452.3151</v>
      </c>
      <c r="M3" s="89">
        <v>45693</v>
      </c>
      <c r="N3" s="90" t="s">
        <v>868</v>
      </c>
      <c r="O3" s="90" t="s">
        <v>869</v>
      </c>
      <c r="P3" s="76"/>
      <c r="Q3" s="76"/>
      <c r="R3" s="76"/>
      <c r="S3" s="76"/>
      <c r="T3" s="76"/>
      <c r="U3" s="76"/>
      <c r="V3" s="76"/>
      <c r="W3" s="76"/>
    </row>
    <row r="4" spans="1:23" ht="12.75">
      <c r="A4" s="77">
        <v>3</v>
      </c>
      <c r="B4" s="78">
        <v>45618</v>
      </c>
      <c r="C4" s="77">
        <f t="shared" si="0"/>
        <v>2024</v>
      </c>
      <c r="D4" s="79">
        <f t="shared" si="1"/>
        <v>11</v>
      </c>
      <c r="E4" s="77" t="s">
        <v>865</v>
      </c>
      <c r="F4" s="80" t="s">
        <v>10</v>
      </c>
      <c r="G4" s="81" t="s">
        <v>866</v>
      </c>
      <c r="H4" s="82">
        <v>16.202999999999999</v>
      </c>
      <c r="I4" s="82"/>
      <c r="J4" s="83" t="s">
        <v>867</v>
      </c>
      <c r="K4" s="84" t="b">
        <v>1</v>
      </c>
      <c r="L4" s="88">
        <v>1452.3151</v>
      </c>
      <c r="M4" s="89">
        <v>45693</v>
      </c>
      <c r="N4" s="90" t="s">
        <v>868</v>
      </c>
      <c r="O4" s="90" t="s">
        <v>869</v>
      </c>
      <c r="P4" s="76"/>
      <c r="Q4" s="76"/>
      <c r="R4" s="76"/>
      <c r="S4" s="76"/>
      <c r="T4" s="76"/>
      <c r="U4" s="76"/>
      <c r="V4" s="76"/>
      <c r="W4" s="76"/>
    </row>
    <row r="5" spans="1:23" ht="12.75">
      <c r="A5" s="77">
        <v>4</v>
      </c>
      <c r="B5" s="78">
        <v>45623</v>
      </c>
      <c r="C5" s="77">
        <f t="shared" si="0"/>
        <v>2024</v>
      </c>
      <c r="D5" s="79">
        <f t="shared" si="1"/>
        <v>11</v>
      </c>
      <c r="E5" s="77" t="s">
        <v>865</v>
      </c>
      <c r="F5" s="80" t="s">
        <v>10</v>
      </c>
      <c r="G5" s="81" t="s">
        <v>866</v>
      </c>
      <c r="H5" s="82">
        <v>7.9985999999999997</v>
      </c>
      <c r="I5" s="82"/>
      <c r="J5" s="83" t="s">
        <v>867</v>
      </c>
      <c r="K5" s="84" t="b">
        <v>1</v>
      </c>
      <c r="L5" s="88">
        <v>1452.3151</v>
      </c>
      <c r="M5" s="89">
        <v>45693</v>
      </c>
      <c r="N5" s="90" t="s">
        <v>868</v>
      </c>
      <c r="O5" s="90" t="s">
        <v>869</v>
      </c>
      <c r="P5" s="76"/>
      <c r="Q5" s="76"/>
      <c r="R5" s="76"/>
      <c r="S5" s="76"/>
      <c r="T5" s="76"/>
      <c r="U5" s="76"/>
      <c r="V5" s="76"/>
      <c r="W5" s="76"/>
    </row>
    <row r="6" spans="1:23" ht="12.75">
      <c r="A6" s="77">
        <v>5</v>
      </c>
      <c r="B6" s="78">
        <v>45624</v>
      </c>
      <c r="C6" s="77">
        <f t="shared" si="0"/>
        <v>2024</v>
      </c>
      <c r="D6" s="79">
        <f t="shared" si="1"/>
        <v>11</v>
      </c>
      <c r="E6" s="77" t="s">
        <v>865</v>
      </c>
      <c r="F6" s="80" t="s">
        <v>10</v>
      </c>
      <c r="G6" s="81" t="s">
        <v>866</v>
      </c>
      <c r="H6" s="82">
        <v>12.589</v>
      </c>
      <c r="I6" s="82"/>
      <c r="J6" s="83" t="s">
        <v>867</v>
      </c>
      <c r="K6" s="84" t="b">
        <v>1</v>
      </c>
      <c r="L6" s="88">
        <v>1452.3151</v>
      </c>
      <c r="M6" s="89">
        <v>45693</v>
      </c>
      <c r="N6" s="90" t="s">
        <v>868</v>
      </c>
      <c r="O6" s="90" t="s">
        <v>869</v>
      </c>
      <c r="P6" s="76"/>
      <c r="Q6" s="76"/>
      <c r="R6" s="76"/>
      <c r="S6" s="76"/>
      <c r="T6" s="76"/>
      <c r="U6" s="76"/>
      <c r="V6" s="76"/>
      <c r="W6" s="76"/>
    </row>
    <row r="7" spans="1:23" ht="12.75">
      <c r="A7" s="77">
        <v>6</v>
      </c>
      <c r="B7" s="78">
        <v>45625</v>
      </c>
      <c r="C7" s="77">
        <f t="shared" si="0"/>
        <v>2024</v>
      </c>
      <c r="D7" s="79">
        <f t="shared" si="1"/>
        <v>11</v>
      </c>
      <c r="E7" s="77" t="s">
        <v>865</v>
      </c>
      <c r="F7" s="80" t="s">
        <v>10</v>
      </c>
      <c r="G7" s="81" t="s">
        <v>866</v>
      </c>
      <c r="H7" s="82">
        <v>7.2088999999999999</v>
      </c>
      <c r="I7" s="82"/>
      <c r="J7" s="83" t="s">
        <v>867</v>
      </c>
      <c r="K7" s="84" t="b">
        <v>1</v>
      </c>
      <c r="L7" s="88">
        <v>1452.3151</v>
      </c>
      <c r="M7" s="89">
        <v>45693</v>
      </c>
      <c r="N7" s="90" t="s">
        <v>868</v>
      </c>
      <c r="O7" s="90" t="s">
        <v>869</v>
      </c>
      <c r="P7" s="76"/>
      <c r="Q7" s="76"/>
      <c r="R7" s="76"/>
      <c r="S7" s="76"/>
      <c r="T7" s="76"/>
      <c r="U7" s="76"/>
      <c r="V7" s="76"/>
      <c r="W7" s="76"/>
    </row>
    <row r="8" spans="1:23" ht="12.75">
      <c r="A8" s="77">
        <v>7</v>
      </c>
      <c r="B8" s="91">
        <v>45629</v>
      </c>
      <c r="C8" s="92">
        <v>2024</v>
      </c>
      <c r="D8" s="92">
        <v>12</v>
      </c>
      <c r="E8" s="92" t="s">
        <v>865</v>
      </c>
      <c r="F8" s="80" t="s">
        <v>10</v>
      </c>
      <c r="G8" s="81" t="s">
        <v>866</v>
      </c>
      <c r="H8" s="93">
        <v>16.757200000000001</v>
      </c>
      <c r="I8" s="93"/>
      <c r="J8" s="83" t="s">
        <v>867</v>
      </c>
      <c r="K8" s="84" t="b">
        <v>1</v>
      </c>
      <c r="L8" s="88">
        <v>1452.3151</v>
      </c>
      <c r="M8" s="89">
        <v>45693</v>
      </c>
      <c r="N8" s="90" t="s">
        <v>868</v>
      </c>
      <c r="O8" s="90" t="s">
        <v>869</v>
      </c>
      <c r="P8" s="76"/>
      <c r="Q8" s="76"/>
      <c r="R8" s="76"/>
      <c r="S8" s="76"/>
      <c r="T8" s="76"/>
      <c r="U8" s="76"/>
      <c r="V8" s="76"/>
      <c r="W8" s="76"/>
    </row>
    <row r="9" spans="1:23" ht="12.75">
      <c r="A9" s="77">
        <v>8</v>
      </c>
      <c r="B9" s="91">
        <v>45632</v>
      </c>
      <c r="C9" s="92">
        <v>2024</v>
      </c>
      <c r="D9" s="92">
        <v>12</v>
      </c>
      <c r="E9" s="92" t="s">
        <v>865</v>
      </c>
      <c r="F9" s="80" t="s">
        <v>10</v>
      </c>
      <c r="G9" s="81" t="s">
        <v>866</v>
      </c>
      <c r="H9" s="93">
        <v>3.9876</v>
      </c>
      <c r="I9" s="93"/>
      <c r="J9" s="83" t="s">
        <v>867</v>
      </c>
      <c r="K9" s="84" t="b">
        <v>1</v>
      </c>
      <c r="L9" s="88">
        <v>1452.3151</v>
      </c>
      <c r="M9" s="89">
        <v>45693</v>
      </c>
      <c r="N9" s="90" t="s">
        <v>868</v>
      </c>
      <c r="O9" s="90" t="s">
        <v>869</v>
      </c>
      <c r="P9" s="76"/>
      <c r="Q9" s="76"/>
      <c r="R9" s="76"/>
      <c r="S9" s="76"/>
      <c r="T9" s="76"/>
      <c r="U9" s="76"/>
      <c r="V9" s="76"/>
      <c r="W9" s="76"/>
    </row>
    <row r="10" spans="1:23" ht="12.75">
      <c r="A10" s="77">
        <v>9</v>
      </c>
      <c r="B10" s="94">
        <v>45636</v>
      </c>
      <c r="C10" s="92">
        <v>2024</v>
      </c>
      <c r="D10" s="92">
        <v>12</v>
      </c>
      <c r="E10" s="92" t="s">
        <v>865</v>
      </c>
      <c r="F10" s="80" t="s">
        <v>10</v>
      </c>
      <c r="G10" s="81" t="s">
        <v>866</v>
      </c>
      <c r="H10" s="93">
        <v>16.8003</v>
      </c>
      <c r="I10" s="93"/>
      <c r="J10" s="83" t="s">
        <v>867</v>
      </c>
      <c r="K10" s="84" t="b">
        <v>1</v>
      </c>
      <c r="L10" s="88">
        <v>1452.3151</v>
      </c>
      <c r="M10" s="89">
        <v>45693</v>
      </c>
      <c r="N10" s="90" t="s">
        <v>868</v>
      </c>
      <c r="O10" s="90" t="s">
        <v>869</v>
      </c>
      <c r="P10" s="76"/>
      <c r="Q10" s="76"/>
      <c r="R10" s="76"/>
      <c r="S10" s="76"/>
      <c r="T10" s="76"/>
      <c r="U10" s="76"/>
      <c r="V10" s="76"/>
      <c r="W10" s="76"/>
    </row>
    <row r="11" spans="1:23" ht="12.75">
      <c r="A11" s="77">
        <v>10</v>
      </c>
      <c r="B11" s="94">
        <v>45636</v>
      </c>
      <c r="C11" s="92">
        <v>2024</v>
      </c>
      <c r="D11" s="92">
        <v>12</v>
      </c>
      <c r="E11" s="92" t="s">
        <v>865</v>
      </c>
      <c r="F11" s="80" t="s">
        <v>10</v>
      </c>
      <c r="G11" s="81" t="s">
        <v>866</v>
      </c>
      <c r="H11" s="93">
        <v>600</v>
      </c>
      <c r="I11" s="93"/>
      <c r="J11" s="83" t="s">
        <v>867</v>
      </c>
      <c r="K11" s="84" t="b">
        <v>1</v>
      </c>
      <c r="L11" s="88">
        <v>1452.3151</v>
      </c>
      <c r="M11" s="89">
        <v>45693</v>
      </c>
      <c r="N11" s="90" t="s">
        <v>868</v>
      </c>
      <c r="O11" s="90" t="s">
        <v>869</v>
      </c>
      <c r="P11" s="76"/>
      <c r="Q11" s="76"/>
      <c r="R11" s="76"/>
      <c r="S11" s="76"/>
      <c r="T11" s="76"/>
      <c r="U11" s="76"/>
      <c r="V11" s="76"/>
      <c r="W11" s="76"/>
    </row>
    <row r="12" spans="1:23" ht="12.75">
      <c r="A12" s="77">
        <v>11</v>
      </c>
      <c r="B12" s="94">
        <v>45643</v>
      </c>
      <c r="C12" s="92">
        <v>2024</v>
      </c>
      <c r="D12" s="92">
        <v>12</v>
      </c>
      <c r="E12" s="92" t="s">
        <v>865</v>
      </c>
      <c r="F12" s="80" t="s">
        <v>10</v>
      </c>
      <c r="G12" s="81" t="s">
        <v>866</v>
      </c>
      <c r="H12" s="93">
        <v>10.9808</v>
      </c>
      <c r="I12" s="93"/>
      <c r="J12" s="83" t="s">
        <v>867</v>
      </c>
      <c r="K12" s="84" t="b">
        <v>1</v>
      </c>
      <c r="L12" s="88">
        <v>1452.3151</v>
      </c>
      <c r="M12" s="89">
        <v>45693</v>
      </c>
      <c r="N12" s="90" t="s">
        <v>868</v>
      </c>
      <c r="O12" s="90" t="s">
        <v>869</v>
      </c>
      <c r="P12" s="76"/>
      <c r="Q12" s="76"/>
      <c r="R12" s="76"/>
      <c r="S12" s="76"/>
      <c r="T12" s="76"/>
      <c r="U12" s="76"/>
      <c r="V12" s="76"/>
      <c r="W12" s="76"/>
    </row>
    <row r="13" spans="1:23" ht="12.75">
      <c r="A13" s="77">
        <v>12</v>
      </c>
      <c r="B13" s="94">
        <v>45652</v>
      </c>
      <c r="C13" s="92">
        <v>2024</v>
      </c>
      <c r="D13" s="92">
        <v>12</v>
      </c>
      <c r="E13" s="92" t="s">
        <v>865</v>
      </c>
      <c r="F13" s="80" t="s">
        <v>10</v>
      </c>
      <c r="G13" s="81" t="s">
        <v>866</v>
      </c>
      <c r="H13" s="93">
        <v>120</v>
      </c>
      <c r="I13" s="93"/>
      <c r="J13" s="83" t="s">
        <v>867</v>
      </c>
      <c r="K13" s="84" t="b">
        <v>1</v>
      </c>
      <c r="L13" s="88">
        <v>1452.3151</v>
      </c>
      <c r="M13" s="89">
        <v>45693</v>
      </c>
      <c r="N13" s="90" t="s">
        <v>868</v>
      </c>
      <c r="O13" s="90" t="s">
        <v>869</v>
      </c>
      <c r="P13" s="76"/>
      <c r="Q13" s="76"/>
      <c r="R13" s="76"/>
      <c r="S13" s="76"/>
      <c r="T13" s="76"/>
      <c r="U13" s="76"/>
      <c r="V13" s="76"/>
      <c r="W13" s="76"/>
    </row>
    <row r="14" spans="1:23" ht="12.75">
      <c r="A14" s="77">
        <v>13</v>
      </c>
      <c r="B14" s="94">
        <v>45653</v>
      </c>
      <c r="C14" s="92">
        <v>2024</v>
      </c>
      <c r="D14" s="92">
        <v>12</v>
      </c>
      <c r="E14" s="92" t="s">
        <v>865</v>
      </c>
      <c r="F14" s="80" t="s">
        <v>10</v>
      </c>
      <c r="G14" s="81" t="s">
        <v>866</v>
      </c>
      <c r="H14" s="93">
        <v>20.25</v>
      </c>
      <c r="I14" s="93"/>
      <c r="J14" s="83" t="s">
        <v>867</v>
      </c>
      <c r="K14" s="84" t="b">
        <v>1</v>
      </c>
      <c r="L14" s="88">
        <v>1452.3151</v>
      </c>
      <c r="M14" s="89">
        <v>45693</v>
      </c>
      <c r="N14" s="90" t="s">
        <v>868</v>
      </c>
      <c r="O14" s="90" t="s">
        <v>869</v>
      </c>
      <c r="P14" s="76"/>
      <c r="Q14" s="76"/>
      <c r="R14" s="76"/>
      <c r="S14" s="76"/>
      <c r="T14" s="76"/>
      <c r="U14" s="76"/>
      <c r="V14" s="76"/>
      <c r="W14" s="76"/>
    </row>
    <row r="15" spans="1:23" ht="12.75">
      <c r="A15" s="77">
        <v>14</v>
      </c>
      <c r="B15" s="94">
        <v>45654</v>
      </c>
      <c r="C15" s="92">
        <v>2024</v>
      </c>
      <c r="D15" s="92">
        <v>12</v>
      </c>
      <c r="E15" s="92" t="s">
        <v>865</v>
      </c>
      <c r="F15" s="80" t="s">
        <v>10</v>
      </c>
      <c r="G15" s="81" t="s">
        <v>866</v>
      </c>
      <c r="H15" s="93">
        <v>20.25</v>
      </c>
      <c r="I15" s="93"/>
      <c r="J15" s="83" t="s">
        <v>867</v>
      </c>
      <c r="K15" s="84" t="b">
        <v>1</v>
      </c>
      <c r="L15" s="95">
        <v>1452.3151</v>
      </c>
      <c r="M15" s="96">
        <v>45693</v>
      </c>
      <c r="N15" s="97" t="s">
        <v>868</v>
      </c>
      <c r="O15" s="97" t="s">
        <v>869</v>
      </c>
      <c r="P15" s="76"/>
      <c r="Q15" s="76"/>
      <c r="R15" s="76"/>
      <c r="S15" s="76"/>
      <c r="T15" s="76"/>
      <c r="U15" s="76"/>
      <c r="V15" s="76"/>
      <c r="W15" s="76"/>
    </row>
    <row r="16" spans="1:23" ht="12.75">
      <c r="A16" s="77">
        <v>15</v>
      </c>
      <c r="B16" s="94">
        <v>45598</v>
      </c>
      <c r="C16" s="81">
        <v>2024</v>
      </c>
      <c r="D16" s="98">
        <v>11</v>
      </c>
      <c r="E16" s="77" t="s">
        <v>870</v>
      </c>
      <c r="F16" s="80" t="s">
        <v>10</v>
      </c>
      <c r="G16" s="81" t="s">
        <v>871</v>
      </c>
      <c r="H16" s="82"/>
      <c r="I16" s="93">
        <v>41.06</v>
      </c>
      <c r="J16" s="99"/>
      <c r="K16" s="100" t="b">
        <v>1</v>
      </c>
      <c r="L16" s="97"/>
      <c r="M16" s="101"/>
      <c r="N16" s="97"/>
      <c r="O16" s="81" t="s">
        <v>872</v>
      </c>
      <c r="P16" s="76"/>
      <c r="Q16" s="76"/>
      <c r="R16" s="76"/>
      <c r="S16" s="76"/>
      <c r="T16" s="76"/>
      <c r="U16" s="76"/>
      <c r="V16" s="76"/>
      <c r="W16" s="76"/>
    </row>
    <row r="17" spans="1:23" ht="12.75">
      <c r="A17" s="77">
        <v>16</v>
      </c>
      <c r="B17" s="94">
        <v>45628</v>
      </c>
      <c r="C17" s="81">
        <v>2024</v>
      </c>
      <c r="D17" s="98">
        <v>12</v>
      </c>
      <c r="E17" s="77" t="s">
        <v>870</v>
      </c>
      <c r="F17" s="80" t="s">
        <v>10</v>
      </c>
      <c r="G17" s="81" t="s">
        <v>871</v>
      </c>
      <c r="H17" s="82"/>
      <c r="I17" s="93">
        <v>62.8</v>
      </c>
      <c r="J17" s="99"/>
      <c r="K17" s="100" t="b">
        <v>1</v>
      </c>
      <c r="L17" s="97"/>
      <c r="M17" s="101"/>
      <c r="N17" s="97"/>
      <c r="O17" s="81" t="s">
        <v>872</v>
      </c>
      <c r="P17" s="76"/>
      <c r="Q17" s="76"/>
      <c r="R17" s="76"/>
      <c r="S17" s="76"/>
      <c r="T17" s="76"/>
      <c r="U17" s="76"/>
      <c r="V17" s="76"/>
      <c r="W17" s="76"/>
    </row>
    <row r="18" spans="1:23" ht="12.75">
      <c r="A18" s="77">
        <v>17</v>
      </c>
      <c r="B18" s="94">
        <v>45642</v>
      </c>
      <c r="C18" s="81">
        <v>2024</v>
      </c>
      <c r="D18" s="98">
        <v>12</v>
      </c>
      <c r="E18" s="77" t="s">
        <v>870</v>
      </c>
      <c r="F18" s="80" t="s">
        <v>10</v>
      </c>
      <c r="G18" s="81" t="s">
        <v>871</v>
      </c>
      <c r="H18" s="82"/>
      <c r="I18" s="93">
        <v>36.35</v>
      </c>
      <c r="J18" s="99"/>
      <c r="K18" s="100" t="b">
        <v>1</v>
      </c>
      <c r="L18" s="97"/>
      <c r="M18" s="101"/>
      <c r="N18" s="97"/>
      <c r="O18" s="81" t="s">
        <v>873</v>
      </c>
      <c r="P18" s="76"/>
      <c r="Q18" s="76"/>
      <c r="R18" s="76"/>
      <c r="S18" s="76"/>
      <c r="T18" s="76"/>
      <c r="U18" s="76"/>
      <c r="V18" s="76"/>
      <c r="W18" s="76"/>
    </row>
    <row r="19" spans="1:23" ht="12.75">
      <c r="A19" s="77">
        <v>18</v>
      </c>
      <c r="B19" s="94">
        <v>45659</v>
      </c>
      <c r="C19" s="81">
        <v>2025</v>
      </c>
      <c r="D19" s="98">
        <v>1</v>
      </c>
      <c r="E19" s="77" t="s">
        <v>865</v>
      </c>
      <c r="F19" s="80" t="s">
        <v>10</v>
      </c>
      <c r="G19" s="81" t="s">
        <v>866</v>
      </c>
      <c r="H19" s="82">
        <v>8</v>
      </c>
      <c r="I19" s="93"/>
      <c r="J19" s="99" t="s">
        <v>867</v>
      </c>
      <c r="K19" s="100" t="b">
        <v>1</v>
      </c>
      <c r="L19" s="100"/>
      <c r="M19" s="84"/>
      <c r="N19" s="100"/>
      <c r="O19" s="100"/>
      <c r="P19" s="76"/>
      <c r="Q19" s="76"/>
      <c r="R19" s="76"/>
      <c r="S19" s="76"/>
      <c r="T19" s="76"/>
      <c r="U19" s="76"/>
      <c r="V19" s="76"/>
      <c r="W19" s="76"/>
    </row>
    <row r="20" spans="1:23" ht="12.75">
      <c r="A20" s="77">
        <v>19</v>
      </c>
      <c r="B20" s="94">
        <v>45663</v>
      </c>
      <c r="C20" s="81">
        <v>2025</v>
      </c>
      <c r="D20" s="98">
        <v>1</v>
      </c>
      <c r="E20" s="77" t="s">
        <v>865</v>
      </c>
      <c r="F20" s="80" t="s">
        <v>10</v>
      </c>
      <c r="G20" s="81" t="s">
        <v>866</v>
      </c>
      <c r="H20" s="82">
        <v>2.4900000000000002</v>
      </c>
      <c r="I20" s="93"/>
      <c r="J20" s="99" t="s">
        <v>867</v>
      </c>
      <c r="K20" s="100" t="b">
        <v>1</v>
      </c>
      <c r="L20" s="100"/>
      <c r="M20" s="84"/>
      <c r="N20" s="100"/>
      <c r="O20" s="100"/>
      <c r="P20" s="76"/>
      <c r="Q20" s="76"/>
      <c r="R20" s="76"/>
      <c r="S20" s="76"/>
      <c r="T20" s="76"/>
      <c r="U20" s="76"/>
      <c r="V20" s="76"/>
      <c r="W20" s="76"/>
    </row>
    <row r="21" spans="1:23" ht="12.75">
      <c r="A21" s="77">
        <v>20</v>
      </c>
      <c r="B21" s="94">
        <v>45664</v>
      </c>
      <c r="C21" s="81">
        <v>2025</v>
      </c>
      <c r="D21" s="98">
        <v>1</v>
      </c>
      <c r="E21" s="77" t="s">
        <v>865</v>
      </c>
      <c r="F21" s="80" t="s">
        <v>10</v>
      </c>
      <c r="G21" s="81" t="s">
        <v>866</v>
      </c>
      <c r="H21" s="82">
        <v>17.7271</v>
      </c>
      <c r="I21" s="93"/>
      <c r="J21" s="99" t="s">
        <v>867</v>
      </c>
      <c r="K21" s="100" t="b">
        <v>1</v>
      </c>
      <c r="L21" s="100"/>
      <c r="M21" s="84"/>
      <c r="N21" s="100"/>
      <c r="O21" s="100"/>
      <c r="P21" s="76"/>
      <c r="Q21" s="76"/>
      <c r="R21" s="76"/>
      <c r="S21" s="76"/>
      <c r="T21" s="76"/>
      <c r="U21" s="76"/>
      <c r="V21" s="76"/>
      <c r="W21" s="76"/>
    </row>
    <row r="22" spans="1:23" ht="12.75">
      <c r="A22" s="77">
        <v>21</v>
      </c>
      <c r="B22" s="94">
        <v>45667</v>
      </c>
      <c r="C22" s="81">
        <v>2025</v>
      </c>
      <c r="D22" s="98">
        <v>1</v>
      </c>
      <c r="E22" s="77" t="s">
        <v>874</v>
      </c>
      <c r="F22" s="80" t="s">
        <v>10</v>
      </c>
      <c r="G22" s="81" t="s">
        <v>866</v>
      </c>
      <c r="H22" s="82">
        <v>600</v>
      </c>
      <c r="I22" s="93"/>
      <c r="J22" s="99" t="s">
        <v>867</v>
      </c>
      <c r="K22" s="100" t="b">
        <v>1</v>
      </c>
      <c r="L22" s="100"/>
      <c r="M22" s="84"/>
      <c r="N22" s="100"/>
      <c r="O22" s="100"/>
      <c r="P22" s="76"/>
      <c r="Q22" s="76"/>
      <c r="R22" s="76"/>
      <c r="S22" s="76"/>
      <c r="T22" s="76"/>
      <c r="U22" s="76"/>
      <c r="V22" s="76"/>
      <c r="W22" s="76"/>
    </row>
    <row r="23" spans="1:23" ht="12.75">
      <c r="A23" s="77">
        <v>22</v>
      </c>
      <c r="B23" s="94">
        <v>45667</v>
      </c>
      <c r="C23" s="81">
        <v>2025</v>
      </c>
      <c r="D23" s="98">
        <v>1</v>
      </c>
      <c r="E23" s="77" t="s">
        <v>865</v>
      </c>
      <c r="F23" s="80" t="s">
        <v>10</v>
      </c>
      <c r="G23" s="81" t="s">
        <v>866</v>
      </c>
      <c r="H23" s="82">
        <v>72.010900000000007</v>
      </c>
      <c r="I23" s="93"/>
      <c r="J23" s="99" t="s">
        <v>867</v>
      </c>
      <c r="K23" s="100" t="b">
        <v>1</v>
      </c>
      <c r="L23" s="100"/>
      <c r="M23" s="84"/>
      <c r="N23" s="100"/>
      <c r="O23" s="100"/>
      <c r="P23" s="76"/>
      <c r="Q23" s="76"/>
      <c r="R23" s="76"/>
      <c r="S23" s="76"/>
      <c r="T23" s="76"/>
      <c r="U23" s="76"/>
      <c r="V23" s="76"/>
      <c r="W23" s="76"/>
    </row>
    <row r="24" spans="1:23" ht="12.75">
      <c r="A24" s="77">
        <v>23</v>
      </c>
      <c r="B24" s="94">
        <v>45668</v>
      </c>
      <c r="C24" s="81">
        <v>2025</v>
      </c>
      <c r="D24" s="98">
        <v>1</v>
      </c>
      <c r="E24" s="77" t="s">
        <v>865</v>
      </c>
      <c r="F24" s="80" t="s">
        <v>10</v>
      </c>
      <c r="G24" s="81" t="s">
        <v>866</v>
      </c>
      <c r="H24" s="82">
        <v>2</v>
      </c>
      <c r="I24" s="93"/>
      <c r="J24" s="99" t="s">
        <v>867</v>
      </c>
      <c r="K24" s="100" t="b">
        <v>1</v>
      </c>
      <c r="L24" s="100"/>
      <c r="M24" s="84"/>
      <c r="N24" s="100"/>
      <c r="O24" s="100"/>
      <c r="P24" s="76"/>
      <c r="Q24" s="76"/>
      <c r="R24" s="76"/>
      <c r="S24" s="76"/>
      <c r="T24" s="76"/>
      <c r="U24" s="76"/>
      <c r="V24" s="76"/>
      <c r="W24" s="76"/>
    </row>
    <row r="25" spans="1:23" ht="12.75">
      <c r="A25" s="77">
        <v>24</v>
      </c>
      <c r="B25" s="94">
        <v>45668</v>
      </c>
      <c r="C25" s="81">
        <v>2025</v>
      </c>
      <c r="D25" s="98">
        <v>1</v>
      </c>
      <c r="E25" s="77" t="s">
        <v>865</v>
      </c>
      <c r="F25" s="80" t="s">
        <v>10</v>
      </c>
      <c r="G25" s="81" t="s">
        <v>866</v>
      </c>
      <c r="H25" s="82">
        <v>2</v>
      </c>
      <c r="I25" s="93"/>
      <c r="J25" s="99" t="s">
        <v>867</v>
      </c>
      <c r="K25" s="100" t="b">
        <v>1</v>
      </c>
      <c r="L25" s="100"/>
      <c r="M25" s="84"/>
      <c r="N25" s="100"/>
      <c r="O25" s="100"/>
      <c r="P25" s="76"/>
      <c r="Q25" s="76"/>
      <c r="R25" s="76"/>
      <c r="S25" s="76"/>
      <c r="T25" s="76"/>
      <c r="U25" s="76"/>
      <c r="V25" s="76"/>
      <c r="W25" s="76"/>
    </row>
    <row r="26" spans="1:23" ht="12.75">
      <c r="A26" s="77">
        <v>25</v>
      </c>
      <c r="B26" s="94">
        <v>45673</v>
      </c>
      <c r="C26" s="81">
        <v>2025</v>
      </c>
      <c r="D26" s="98">
        <v>1</v>
      </c>
      <c r="E26" s="77" t="s">
        <v>874</v>
      </c>
      <c r="F26" s="80" t="s">
        <v>10</v>
      </c>
      <c r="G26" s="81" t="s">
        <v>866</v>
      </c>
      <c r="H26" s="82">
        <v>6.7847</v>
      </c>
      <c r="I26" s="93"/>
      <c r="J26" s="99" t="s">
        <v>867</v>
      </c>
      <c r="K26" s="100" t="b">
        <v>1</v>
      </c>
      <c r="L26" s="100"/>
      <c r="M26" s="84"/>
      <c r="N26" s="100"/>
      <c r="O26" s="100"/>
      <c r="P26" s="76"/>
      <c r="Q26" s="76"/>
      <c r="R26" s="76"/>
      <c r="S26" s="76"/>
      <c r="T26" s="76"/>
      <c r="U26" s="76"/>
      <c r="V26" s="76"/>
      <c r="W26" s="76"/>
    </row>
    <row r="27" spans="1:23" ht="12.75">
      <c r="A27" s="77">
        <v>26</v>
      </c>
      <c r="B27" s="94">
        <v>45673</v>
      </c>
      <c r="C27" s="81">
        <v>2025</v>
      </c>
      <c r="D27" s="98">
        <v>1</v>
      </c>
      <c r="E27" s="77" t="s">
        <v>865</v>
      </c>
      <c r="F27" s="80" t="s">
        <v>10</v>
      </c>
      <c r="G27" s="81" t="s">
        <v>866</v>
      </c>
      <c r="H27" s="82">
        <v>17.993200000000002</v>
      </c>
      <c r="I27" s="93"/>
      <c r="J27" s="99" t="s">
        <v>867</v>
      </c>
      <c r="K27" s="100" t="b">
        <v>1</v>
      </c>
      <c r="L27" s="100"/>
      <c r="M27" s="84"/>
      <c r="N27" s="100"/>
      <c r="O27" s="100"/>
      <c r="P27" s="76"/>
      <c r="Q27" s="76"/>
      <c r="R27" s="76"/>
      <c r="S27" s="76"/>
      <c r="T27" s="76"/>
      <c r="U27" s="76"/>
      <c r="V27" s="76"/>
      <c r="W27" s="76"/>
    </row>
    <row r="28" spans="1:23" ht="12.75">
      <c r="A28" s="77">
        <v>27</v>
      </c>
      <c r="B28" s="94">
        <v>45673</v>
      </c>
      <c r="C28" s="81">
        <v>2025</v>
      </c>
      <c r="D28" s="98">
        <v>1</v>
      </c>
      <c r="E28" s="77" t="s">
        <v>865</v>
      </c>
      <c r="F28" s="80" t="s">
        <v>10</v>
      </c>
      <c r="G28" s="81" t="s">
        <v>866</v>
      </c>
      <c r="H28" s="82">
        <v>70.005499999999998</v>
      </c>
      <c r="I28" s="93"/>
      <c r="J28" s="99" t="s">
        <v>867</v>
      </c>
      <c r="K28" s="100" t="b">
        <v>1</v>
      </c>
      <c r="L28" s="100"/>
      <c r="M28" s="84"/>
      <c r="N28" s="100"/>
      <c r="O28" s="100"/>
      <c r="P28" s="76"/>
      <c r="Q28" s="76"/>
      <c r="R28" s="76"/>
      <c r="S28" s="76"/>
      <c r="T28" s="76"/>
      <c r="U28" s="76"/>
      <c r="V28" s="76"/>
      <c r="W28" s="76"/>
    </row>
    <row r="29" spans="1:23" ht="12.75">
      <c r="A29" s="77">
        <v>28</v>
      </c>
      <c r="B29" s="94">
        <v>45681</v>
      </c>
      <c r="C29" s="81">
        <v>2025</v>
      </c>
      <c r="D29" s="98">
        <v>1</v>
      </c>
      <c r="E29" s="77" t="s">
        <v>865</v>
      </c>
      <c r="F29" s="80" t="s">
        <v>10</v>
      </c>
      <c r="G29" s="81" t="s">
        <v>866</v>
      </c>
      <c r="H29" s="82">
        <v>5.9711999999999996</v>
      </c>
      <c r="I29" s="93"/>
      <c r="J29" s="99" t="s">
        <v>867</v>
      </c>
      <c r="K29" s="100" t="b">
        <v>1</v>
      </c>
      <c r="L29" s="100"/>
      <c r="M29" s="84"/>
      <c r="N29" s="100"/>
      <c r="O29" s="100"/>
      <c r="P29" s="76"/>
      <c r="Q29" s="76"/>
      <c r="R29" s="76"/>
      <c r="S29" s="76"/>
      <c r="T29" s="76"/>
      <c r="U29" s="76"/>
      <c r="V29" s="76"/>
      <c r="W29" s="76"/>
    </row>
    <row r="30" spans="1:23" ht="12.75">
      <c r="A30" s="77">
        <v>29</v>
      </c>
      <c r="B30" s="94">
        <v>45685</v>
      </c>
      <c r="C30" s="81">
        <v>2025</v>
      </c>
      <c r="D30" s="98">
        <v>1</v>
      </c>
      <c r="E30" s="77" t="s">
        <v>874</v>
      </c>
      <c r="F30" s="80" t="s">
        <v>10</v>
      </c>
      <c r="G30" s="81" t="s">
        <v>866</v>
      </c>
      <c r="H30" s="82">
        <v>3.9986000000000002</v>
      </c>
      <c r="I30" s="93"/>
      <c r="J30" s="99" t="s">
        <v>867</v>
      </c>
      <c r="K30" s="100" t="b">
        <v>1</v>
      </c>
      <c r="L30" s="100"/>
      <c r="M30" s="84"/>
      <c r="N30" s="100"/>
      <c r="O30" s="100"/>
      <c r="P30" s="76"/>
      <c r="Q30" s="76"/>
      <c r="R30" s="76"/>
      <c r="S30" s="76"/>
      <c r="T30" s="76"/>
      <c r="U30" s="76"/>
      <c r="V30" s="76"/>
      <c r="W30" s="76"/>
    </row>
    <row r="31" spans="1:23" ht="12.75">
      <c r="A31" s="77">
        <v>30</v>
      </c>
      <c r="B31" s="94">
        <v>45688</v>
      </c>
      <c r="C31" s="81">
        <v>2025</v>
      </c>
      <c r="D31" s="98">
        <v>1</v>
      </c>
      <c r="E31" s="77" t="s">
        <v>865</v>
      </c>
      <c r="F31" s="80" t="s">
        <v>10</v>
      </c>
      <c r="G31" s="81" t="s">
        <v>866</v>
      </c>
      <c r="H31" s="82">
        <v>18.193899999999999</v>
      </c>
      <c r="I31" s="93"/>
      <c r="J31" s="99" t="s">
        <v>867</v>
      </c>
      <c r="K31" s="100" t="b">
        <v>1</v>
      </c>
      <c r="L31" s="100"/>
      <c r="M31" s="84"/>
      <c r="N31" s="100"/>
      <c r="O31" s="100"/>
      <c r="P31" s="76"/>
      <c r="Q31" s="76"/>
      <c r="R31" s="76"/>
      <c r="S31" s="76"/>
      <c r="T31" s="76"/>
      <c r="U31" s="76"/>
      <c r="V31" s="76"/>
      <c r="W31" s="76"/>
    </row>
    <row r="32" spans="1:23" ht="12.75">
      <c r="A32" s="77">
        <v>31</v>
      </c>
      <c r="B32" s="94">
        <v>45698</v>
      </c>
      <c r="C32" s="81">
        <v>2025</v>
      </c>
      <c r="D32" s="102">
        <v>2</v>
      </c>
      <c r="E32" s="77" t="s">
        <v>865</v>
      </c>
      <c r="F32" s="80" t="s">
        <v>875</v>
      </c>
      <c r="G32" s="81" t="s">
        <v>871</v>
      </c>
      <c r="H32" s="82"/>
      <c r="I32" s="103">
        <v>1452.3151</v>
      </c>
      <c r="J32" s="99" t="s">
        <v>867</v>
      </c>
      <c r="K32" s="100" t="b">
        <v>1</v>
      </c>
      <c r="L32" s="95">
        <v>1452.3151</v>
      </c>
      <c r="M32" s="96">
        <v>45693</v>
      </c>
      <c r="N32" s="97" t="s">
        <v>868</v>
      </c>
      <c r="O32" s="100" t="s">
        <v>876</v>
      </c>
      <c r="P32" s="76"/>
      <c r="Q32" s="76"/>
      <c r="R32" s="76"/>
      <c r="S32" s="76"/>
      <c r="T32" s="76"/>
      <c r="U32" s="76"/>
      <c r="V32" s="76"/>
      <c r="W32" s="76"/>
    </row>
    <row r="33" spans="1:23" ht="12.75">
      <c r="A33" s="77">
        <v>32</v>
      </c>
      <c r="B33" s="94">
        <v>45698</v>
      </c>
      <c r="C33" s="81">
        <v>2025</v>
      </c>
      <c r="D33" s="102">
        <v>2</v>
      </c>
      <c r="E33" s="77" t="s">
        <v>870</v>
      </c>
      <c r="F33" s="80" t="s">
        <v>10</v>
      </c>
      <c r="G33" s="81" t="s">
        <v>871</v>
      </c>
      <c r="H33" s="82"/>
      <c r="I33" s="103">
        <v>41.41</v>
      </c>
      <c r="J33" s="99" t="s">
        <v>867</v>
      </c>
      <c r="K33" s="100" t="b">
        <v>1</v>
      </c>
      <c r="L33" s="100"/>
      <c r="M33" s="84"/>
      <c r="N33" s="100"/>
      <c r="O33" s="104" t="s">
        <v>872</v>
      </c>
      <c r="P33" s="76"/>
      <c r="Q33" s="76"/>
      <c r="R33" s="76"/>
      <c r="S33" s="76"/>
      <c r="T33" s="76"/>
      <c r="U33" s="76"/>
      <c r="V33" s="76"/>
      <c r="W33" s="76"/>
    </row>
    <row r="34" spans="1:23" ht="12.75">
      <c r="A34" s="77">
        <v>33</v>
      </c>
      <c r="B34" s="94">
        <v>45698</v>
      </c>
      <c r="C34" s="81">
        <v>2025</v>
      </c>
      <c r="D34" s="102">
        <v>2</v>
      </c>
      <c r="E34" s="77" t="s">
        <v>865</v>
      </c>
      <c r="F34" s="80" t="s">
        <v>10</v>
      </c>
      <c r="G34" s="81" t="s">
        <v>866</v>
      </c>
      <c r="H34" s="82">
        <v>600</v>
      </c>
      <c r="I34" s="93"/>
      <c r="J34" s="99" t="s">
        <v>867</v>
      </c>
      <c r="K34" s="100" t="b">
        <v>1</v>
      </c>
      <c r="L34" s="100"/>
      <c r="M34" s="84"/>
      <c r="N34" s="100"/>
      <c r="O34" s="100" t="s">
        <v>877</v>
      </c>
      <c r="P34" s="76"/>
      <c r="Q34" s="76"/>
      <c r="R34" s="76"/>
      <c r="S34" s="76"/>
      <c r="T34" s="76"/>
      <c r="U34" s="76"/>
      <c r="V34" s="76"/>
      <c r="W34" s="76"/>
    </row>
    <row r="35" spans="1:23" ht="12.75">
      <c r="A35" s="77">
        <v>34</v>
      </c>
      <c r="B35" s="94">
        <v>45699</v>
      </c>
      <c r="C35" s="81">
        <v>2025</v>
      </c>
      <c r="D35" s="102">
        <v>2</v>
      </c>
      <c r="E35" s="77" t="s">
        <v>865</v>
      </c>
      <c r="F35" s="80" t="s">
        <v>10</v>
      </c>
      <c r="G35" s="81" t="s">
        <v>866</v>
      </c>
      <c r="H35" s="82">
        <v>48.9617</v>
      </c>
      <c r="I35" s="93"/>
      <c r="J35" s="99" t="s">
        <v>867</v>
      </c>
      <c r="K35" s="100" t="b">
        <v>1</v>
      </c>
      <c r="L35" s="100"/>
      <c r="M35" s="84"/>
      <c r="N35" s="100"/>
      <c r="O35" s="100"/>
      <c r="P35" s="76"/>
      <c r="Q35" s="76"/>
      <c r="R35" s="76"/>
      <c r="S35" s="76"/>
      <c r="T35" s="76"/>
      <c r="U35" s="76"/>
      <c r="V35" s="76"/>
      <c r="W35" s="76"/>
    </row>
    <row r="36" spans="1:23" ht="12.75">
      <c r="A36" s="77">
        <v>35</v>
      </c>
      <c r="B36" s="94">
        <v>45705</v>
      </c>
      <c r="C36" s="81">
        <v>2025</v>
      </c>
      <c r="D36" s="102">
        <v>2</v>
      </c>
      <c r="E36" s="77" t="s">
        <v>874</v>
      </c>
      <c r="F36" s="80" t="s">
        <v>10</v>
      </c>
      <c r="G36" s="81" t="s">
        <v>866</v>
      </c>
      <c r="H36" s="82">
        <v>70.151700000000005</v>
      </c>
      <c r="I36" s="93"/>
      <c r="J36" s="77"/>
      <c r="K36" s="100" t="b">
        <v>1</v>
      </c>
      <c r="L36" s="100"/>
      <c r="M36" s="84"/>
      <c r="N36" s="100"/>
      <c r="O36" s="100"/>
      <c r="P36" s="76"/>
      <c r="Q36" s="76"/>
      <c r="R36" s="76"/>
      <c r="S36" s="76"/>
      <c r="T36" s="76"/>
      <c r="U36" s="76"/>
      <c r="V36" s="76"/>
      <c r="W36" s="76"/>
    </row>
    <row r="37" spans="1:23" ht="12.75">
      <c r="A37" s="77">
        <v>36</v>
      </c>
      <c r="B37" s="94">
        <v>45707</v>
      </c>
      <c r="C37" s="81">
        <v>2025</v>
      </c>
      <c r="D37" s="102">
        <v>2</v>
      </c>
      <c r="E37" s="77" t="s">
        <v>865</v>
      </c>
      <c r="F37" s="80" t="s">
        <v>10</v>
      </c>
      <c r="G37" s="81" t="s">
        <v>866</v>
      </c>
      <c r="H37" s="82">
        <v>100</v>
      </c>
      <c r="I37" s="93"/>
      <c r="J37" s="77"/>
      <c r="K37" s="100" t="b">
        <v>1</v>
      </c>
      <c r="L37" s="100"/>
      <c r="M37" s="84"/>
      <c r="N37" s="100"/>
      <c r="O37" s="100"/>
      <c r="P37" s="76"/>
      <c r="Q37" s="76"/>
      <c r="R37" s="76"/>
      <c r="S37" s="76"/>
      <c r="T37" s="76"/>
      <c r="U37" s="76"/>
      <c r="V37" s="76"/>
      <c r="W37" s="76"/>
    </row>
    <row r="38" spans="1:23" ht="12.75">
      <c r="A38" s="77">
        <v>37</v>
      </c>
      <c r="B38" s="94">
        <v>45714</v>
      </c>
      <c r="C38" s="81">
        <v>2025</v>
      </c>
      <c r="D38" s="102">
        <v>2</v>
      </c>
      <c r="E38" s="77" t="s">
        <v>865</v>
      </c>
      <c r="F38" s="80" t="s">
        <v>10</v>
      </c>
      <c r="G38" s="81" t="s">
        <v>866</v>
      </c>
      <c r="H38" s="82">
        <v>2.9986000000000002</v>
      </c>
      <c r="I38" s="93"/>
      <c r="J38" s="77"/>
      <c r="K38" s="100" t="b">
        <v>1</v>
      </c>
      <c r="L38" s="100"/>
      <c r="M38" s="84"/>
      <c r="N38" s="100"/>
      <c r="O38" s="100"/>
      <c r="P38" s="76"/>
      <c r="Q38" s="76"/>
      <c r="R38" s="76"/>
      <c r="S38" s="76"/>
      <c r="T38" s="76"/>
      <c r="U38" s="76"/>
      <c r="V38" s="76"/>
      <c r="W38" s="76"/>
    </row>
    <row r="39" spans="1:23" ht="12.75">
      <c r="A39" s="77">
        <v>38</v>
      </c>
      <c r="B39" s="94">
        <v>45718</v>
      </c>
      <c r="C39" s="81">
        <v>2025</v>
      </c>
      <c r="D39" s="98">
        <v>3</v>
      </c>
      <c r="E39" s="77" t="s">
        <v>865</v>
      </c>
      <c r="F39" s="80" t="s">
        <v>10</v>
      </c>
      <c r="G39" s="81" t="s">
        <v>866</v>
      </c>
      <c r="H39" s="82">
        <v>59.982100000000003</v>
      </c>
      <c r="I39" s="93"/>
      <c r="J39" s="77"/>
      <c r="K39" s="100" t="b">
        <v>1</v>
      </c>
      <c r="L39" s="100"/>
      <c r="M39" s="84"/>
      <c r="N39" s="100"/>
      <c r="O39" s="100"/>
      <c r="P39" s="76"/>
      <c r="Q39" s="76"/>
      <c r="R39" s="76"/>
      <c r="S39" s="76"/>
      <c r="T39" s="76"/>
      <c r="U39" s="76"/>
      <c r="V39" s="76"/>
      <c r="W39" s="76"/>
    </row>
    <row r="40" spans="1:23" ht="12.75">
      <c r="A40" s="77">
        <v>39</v>
      </c>
      <c r="B40" s="94">
        <v>45718</v>
      </c>
      <c r="C40" s="81">
        <v>2025</v>
      </c>
      <c r="D40" s="98">
        <v>3</v>
      </c>
      <c r="E40" s="77" t="s">
        <v>865</v>
      </c>
      <c r="F40" s="80" t="s">
        <v>10</v>
      </c>
      <c r="G40" s="81" t="s">
        <v>866</v>
      </c>
      <c r="H40" s="82">
        <v>59.982199999999999</v>
      </c>
      <c r="I40" s="93"/>
      <c r="J40" s="77"/>
      <c r="K40" s="100" t="b">
        <v>1</v>
      </c>
      <c r="L40" s="100"/>
      <c r="M40" s="84"/>
      <c r="N40" s="100"/>
      <c r="O40" s="100"/>
      <c r="P40" s="76"/>
      <c r="Q40" s="76"/>
      <c r="R40" s="76"/>
      <c r="S40" s="76"/>
      <c r="T40" s="76"/>
      <c r="U40" s="76"/>
      <c r="V40" s="76"/>
      <c r="W40" s="76"/>
    </row>
    <row r="41" spans="1:23" ht="12.75">
      <c r="A41" s="77">
        <v>40</v>
      </c>
      <c r="B41" s="94">
        <v>45719</v>
      </c>
      <c r="C41" s="81">
        <v>2025</v>
      </c>
      <c r="D41" s="98">
        <v>3</v>
      </c>
      <c r="E41" s="77" t="s">
        <v>865</v>
      </c>
      <c r="F41" s="80" t="s">
        <v>10</v>
      </c>
      <c r="G41" s="81" t="s">
        <v>866</v>
      </c>
      <c r="H41" s="82">
        <v>1.1919999999999999</v>
      </c>
      <c r="I41" s="93"/>
      <c r="J41" s="77"/>
      <c r="K41" s="100" t="b">
        <v>1</v>
      </c>
      <c r="L41" s="100"/>
      <c r="M41" s="84"/>
      <c r="N41" s="100"/>
      <c r="O41" s="100"/>
      <c r="P41" s="76"/>
      <c r="Q41" s="76"/>
      <c r="R41" s="76"/>
      <c r="S41" s="76"/>
      <c r="T41" s="76"/>
      <c r="U41" s="76"/>
      <c r="V41" s="76"/>
      <c r="W41" s="76"/>
    </row>
    <row r="42" spans="1:23" ht="12.75">
      <c r="A42" s="77">
        <v>41</v>
      </c>
      <c r="B42" s="94">
        <v>45720</v>
      </c>
      <c r="C42" s="81">
        <v>2025</v>
      </c>
      <c r="D42" s="98">
        <v>3</v>
      </c>
      <c r="E42" s="77" t="s">
        <v>865</v>
      </c>
      <c r="F42" s="80" t="s">
        <v>10</v>
      </c>
      <c r="G42" s="81" t="s">
        <v>871</v>
      </c>
      <c r="H42" s="82"/>
      <c r="I42" s="93">
        <v>2818.57</v>
      </c>
      <c r="J42" s="99" t="s">
        <v>867</v>
      </c>
      <c r="K42" s="100" t="b">
        <v>1</v>
      </c>
      <c r="L42" s="100"/>
      <c r="M42" s="84"/>
      <c r="N42" s="100"/>
      <c r="O42" s="100" t="s">
        <v>878</v>
      </c>
      <c r="P42" s="76"/>
      <c r="Q42" s="76"/>
      <c r="R42" s="76"/>
      <c r="S42" s="76"/>
      <c r="T42" s="76"/>
      <c r="U42" s="76"/>
      <c r="V42" s="76"/>
      <c r="W42" s="76"/>
    </row>
    <row r="43" spans="1:23" ht="12.75">
      <c r="A43" s="77">
        <v>42</v>
      </c>
      <c r="B43" s="94">
        <v>45720</v>
      </c>
      <c r="C43" s="81">
        <v>2025</v>
      </c>
      <c r="D43" s="98">
        <v>3</v>
      </c>
      <c r="E43" s="77" t="s">
        <v>865</v>
      </c>
      <c r="F43" s="80" t="s">
        <v>10</v>
      </c>
      <c r="G43" s="81" t="s">
        <v>866</v>
      </c>
      <c r="H43" s="82">
        <v>23.9863</v>
      </c>
      <c r="I43" s="93"/>
      <c r="J43" s="77"/>
      <c r="K43" s="100" t="b">
        <v>1</v>
      </c>
      <c r="L43" s="100"/>
      <c r="M43" s="84"/>
      <c r="N43" s="100"/>
      <c r="O43" s="100"/>
      <c r="P43" s="76"/>
      <c r="Q43" s="76"/>
      <c r="R43" s="76"/>
      <c r="S43" s="76"/>
      <c r="T43" s="76"/>
      <c r="U43" s="76"/>
      <c r="V43" s="76"/>
      <c r="W43" s="76"/>
    </row>
    <row r="44" spans="1:23" ht="12.75">
      <c r="A44" s="77">
        <v>43</v>
      </c>
      <c r="B44" s="94">
        <v>45720</v>
      </c>
      <c r="C44" s="81">
        <v>2025</v>
      </c>
      <c r="D44" s="98">
        <v>3</v>
      </c>
      <c r="E44" s="77" t="s">
        <v>865</v>
      </c>
      <c r="F44" s="80" t="s">
        <v>10</v>
      </c>
      <c r="G44" s="81" t="s">
        <v>866</v>
      </c>
      <c r="H44" s="82">
        <v>6.9985999999999997</v>
      </c>
      <c r="I44" s="93"/>
      <c r="J44" s="77"/>
      <c r="K44" s="100" t="b">
        <v>1</v>
      </c>
      <c r="L44" s="100"/>
      <c r="M44" s="84"/>
      <c r="N44" s="100"/>
      <c r="O44" s="100"/>
      <c r="P44" s="76"/>
      <c r="Q44" s="76"/>
      <c r="R44" s="76"/>
      <c r="S44" s="76"/>
      <c r="T44" s="76"/>
      <c r="U44" s="76"/>
      <c r="V44" s="76"/>
      <c r="W44" s="76"/>
    </row>
    <row r="45" spans="1:23" ht="12.75">
      <c r="A45" s="77">
        <v>44</v>
      </c>
      <c r="B45" s="94">
        <v>45720</v>
      </c>
      <c r="C45" s="81">
        <v>2025</v>
      </c>
      <c r="D45" s="98">
        <v>3</v>
      </c>
      <c r="E45" s="77" t="s">
        <v>865</v>
      </c>
      <c r="F45" s="80" t="s">
        <v>10</v>
      </c>
      <c r="G45" s="81" t="s">
        <v>866</v>
      </c>
      <c r="H45" s="82">
        <v>60.159599999999998</v>
      </c>
      <c r="I45" s="93"/>
      <c r="J45" s="77"/>
      <c r="K45" s="100" t="b">
        <v>1</v>
      </c>
      <c r="L45" s="100"/>
      <c r="M45" s="84"/>
      <c r="N45" s="100"/>
      <c r="O45" s="100"/>
      <c r="P45" s="76"/>
      <c r="Q45" s="76"/>
      <c r="R45" s="76"/>
      <c r="S45" s="76"/>
      <c r="T45" s="76"/>
      <c r="U45" s="76"/>
      <c r="V45" s="76"/>
      <c r="W45" s="76"/>
    </row>
    <row r="46" spans="1:23" ht="12.75">
      <c r="A46" s="77">
        <v>45</v>
      </c>
      <c r="B46" s="94">
        <v>45721</v>
      </c>
      <c r="C46" s="81">
        <v>2025</v>
      </c>
      <c r="D46" s="98">
        <v>3</v>
      </c>
      <c r="E46" s="77" t="s">
        <v>865</v>
      </c>
      <c r="F46" s="80" t="s">
        <v>10</v>
      </c>
      <c r="G46" s="81" t="s">
        <v>866</v>
      </c>
      <c r="H46" s="82">
        <v>49.980699999999999</v>
      </c>
      <c r="I46" s="93"/>
      <c r="J46" s="77"/>
      <c r="K46" s="100" t="b">
        <v>1</v>
      </c>
      <c r="L46" s="100"/>
      <c r="M46" s="84"/>
      <c r="N46" s="100"/>
      <c r="O46" s="100"/>
      <c r="P46" s="76"/>
      <c r="Q46" s="76"/>
      <c r="R46" s="76"/>
      <c r="S46" s="76"/>
      <c r="T46" s="76"/>
      <c r="U46" s="76"/>
      <c r="V46" s="76"/>
      <c r="W46" s="76"/>
    </row>
    <row r="47" spans="1:23" ht="12.75">
      <c r="A47" s="77">
        <v>46</v>
      </c>
      <c r="B47" s="94">
        <v>45721</v>
      </c>
      <c r="C47" s="81">
        <v>2025</v>
      </c>
      <c r="D47" s="98">
        <v>3</v>
      </c>
      <c r="E47" s="77" t="s">
        <v>865</v>
      </c>
      <c r="F47" s="80" t="s">
        <v>10</v>
      </c>
      <c r="G47" s="81" t="s">
        <v>866</v>
      </c>
      <c r="H47" s="82">
        <v>17.983499999999999</v>
      </c>
      <c r="I47" s="93"/>
      <c r="J47" s="77"/>
      <c r="K47" s="100" t="b">
        <v>1</v>
      </c>
      <c r="L47" s="100"/>
      <c r="M47" s="84"/>
      <c r="N47" s="100"/>
      <c r="O47" s="100"/>
      <c r="P47" s="76"/>
      <c r="Q47" s="76"/>
      <c r="R47" s="76"/>
      <c r="S47" s="76"/>
      <c r="T47" s="76"/>
      <c r="U47" s="76"/>
      <c r="V47" s="76"/>
      <c r="W47" s="76"/>
    </row>
    <row r="48" spans="1:23" ht="12.75">
      <c r="A48" s="77">
        <v>47</v>
      </c>
      <c r="B48" s="94">
        <v>45721</v>
      </c>
      <c r="C48" s="81">
        <v>2025</v>
      </c>
      <c r="D48" s="98">
        <v>3</v>
      </c>
      <c r="E48" s="77" t="s">
        <v>874</v>
      </c>
      <c r="F48" s="80" t="s">
        <v>879</v>
      </c>
      <c r="G48" s="81" t="s">
        <v>866</v>
      </c>
      <c r="H48" s="82">
        <v>5.39</v>
      </c>
      <c r="I48" s="93"/>
      <c r="J48" s="77"/>
      <c r="K48" s="100" t="b">
        <v>1</v>
      </c>
      <c r="L48" s="100"/>
      <c r="M48" s="84"/>
      <c r="N48" s="100"/>
      <c r="O48" s="100" t="s">
        <v>880</v>
      </c>
      <c r="P48" s="76"/>
      <c r="Q48" s="76"/>
      <c r="R48" s="76"/>
      <c r="S48" s="76"/>
      <c r="T48" s="76"/>
      <c r="U48" s="76"/>
      <c r="V48" s="76"/>
      <c r="W48" s="76"/>
    </row>
    <row r="49" spans="1:23" ht="12.75">
      <c r="A49" s="77">
        <v>48</v>
      </c>
      <c r="B49" s="94">
        <v>45727</v>
      </c>
      <c r="C49" s="81">
        <v>2025</v>
      </c>
      <c r="D49" s="98">
        <v>3</v>
      </c>
      <c r="E49" s="77" t="s">
        <v>865</v>
      </c>
      <c r="F49" s="80" t="s">
        <v>10</v>
      </c>
      <c r="G49" s="81" t="s">
        <v>866</v>
      </c>
      <c r="H49" s="82">
        <v>600</v>
      </c>
      <c r="I49" s="93"/>
      <c r="J49" s="77"/>
      <c r="K49" s="100" t="b">
        <v>1</v>
      </c>
      <c r="L49" s="100"/>
      <c r="M49" s="84"/>
      <c r="N49" s="100"/>
      <c r="O49" s="100"/>
      <c r="P49" s="76"/>
      <c r="Q49" s="76"/>
      <c r="R49" s="76"/>
      <c r="S49" s="76"/>
      <c r="T49" s="76"/>
      <c r="U49" s="76"/>
      <c r="V49" s="76"/>
      <c r="W49" s="76"/>
    </row>
    <row r="50" spans="1:23" ht="12.75">
      <c r="A50" s="77">
        <v>49</v>
      </c>
      <c r="B50" s="94">
        <v>45730</v>
      </c>
      <c r="C50" s="81">
        <v>2025</v>
      </c>
      <c r="D50" s="98">
        <v>3</v>
      </c>
      <c r="E50" s="77" t="s">
        <v>865</v>
      </c>
      <c r="F50" s="80" t="s">
        <v>10</v>
      </c>
      <c r="G50" s="81" t="s">
        <v>866</v>
      </c>
      <c r="H50" s="82">
        <v>50.053899999999999</v>
      </c>
      <c r="I50" s="93"/>
      <c r="J50" s="77"/>
      <c r="K50" s="100" t="b">
        <v>1</v>
      </c>
      <c r="L50" s="100"/>
      <c r="M50" s="84"/>
      <c r="N50" s="100"/>
      <c r="O50" s="100"/>
      <c r="P50" s="76"/>
      <c r="Q50" s="76"/>
      <c r="R50" s="76"/>
      <c r="S50" s="76"/>
      <c r="T50" s="76"/>
      <c r="U50" s="76"/>
      <c r="V50" s="76"/>
      <c r="W50" s="76"/>
    </row>
    <row r="51" spans="1:23" ht="12.75">
      <c r="A51" s="77">
        <v>50</v>
      </c>
      <c r="B51" s="94">
        <v>45732</v>
      </c>
      <c r="C51" s="81">
        <v>2025</v>
      </c>
      <c r="D51" s="98">
        <v>3</v>
      </c>
      <c r="E51" s="77" t="s">
        <v>865</v>
      </c>
      <c r="F51" s="80" t="s">
        <v>10</v>
      </c>
      <c r="G51" s="81" t="s">
        <v>866</v>
      </c>
      <c r="H51" s="82">
        <v>69.977900000000005</v>
      </c>
      <c r="I51" s="93"/>
      <c r="J51" s="77"/>
      <c r="K51" s="100" t="b">
        <v>1</v>
      </c>
      <c r="L51" s="100"/>
      <c r="M51" s="84"/>
      <c r="N51" s="100"/>
      <c r="O51" s="100"/>
      <c r="P51" s="76"/>
      <c r="Q51" s="76"/>
      <c r="R51" s="76"/>
      <c r="S51" s="76"/>
      <c r="T51" s="76"/>
      <c r="U51" s="76"/>
      <c r="V51" s="76"/>
      <c r="W51" s="76"/>
    </row>
    <row r="52" spans="1:23" ht="12.75">
      <c r="A52" s="77">
        <v>51</v>
      </c>
      <c r="B52" s="94">
        <v>45734</v>
      </c>
      <c r="C52" s="81">
        <v>2025</v>
      </c>
      <c r="D52" s="98">
        <v>3</v>
      </c>
      <c r="E52" s="77" t="s">
        <v>865</v>
      </c>
      <c r="F52" s="80" t="s">
        <v>10</v>
      </c>
      <c r="G52" s="81" t="s">
        <v>866</v>
      </c>
      <c r="H52" s="82">
        <v>110</v>
      </c>
      <c r="I52" s="93"/>
      <c r="J52" s="77"/>
      <c r="K52" s="100" t="b">
        <v>1</v>
      </c>
      <c r="L52" s="100"/>
      <c r="M52" s="84"/>
      <c r="N52" s="100"/>
      <c r="O52" s="100"/>
      <c r="P52" s="76"/>
      <c r="Q52" s="76"/>
      <c r="R52" s="76"/>
      <c r="S52" s="76"/>
      <c r="T52" s="76"/>
      <c r="U52" s="76"/>
      <c r="V52" s="76"/>
      <c r="W52" s="76"/>
    </row>
    <row r="53" spans="1:23" ht="12.75">
      <c r="A53" s="77">
        <v>52</v>
      </c>
      <c r="B53" s="94">
        <v>45737</v>
      </c>
      <c r="C53" s="81">
        <v>2025</v>
      </c>
      <c r="D53" s="98">
        <v>3</v>
      </c>
      <c r="E53" s="77" t="s">
        <v>865</v>
      </c>
      <c r="F53" s="80" t="s">
        <v>10</v>
      </c>
      <c r="G53" s="81" t="s">
        <v>866</v>
      </c>
      <c r="H53" s="82">
        <v>9.5833999999999993</v>
      </c>
      <c r="I53" s="93"/>
      <c r="J53" s="77"/>
      <c r="K53" s="100" t="b">
        <v>1</v>
      </c>
      <c r="L53" s="100"/>
      <c r="M53" s="84"/>
      <c r="N53" s="100"/>
      <c r="O53" s="100"/>
      <c r="P53" s="76"/>
      <c r="Q53" s="76"/>
      <c r="R53" s="76"/>
      <c r="S53" s="76"/>
      <c r="T53" s="76"/>
      <c r="U53" s="76"/>
      <c r="V53" s="76"/>
      <c r="W53" s="76"/>
    </row>
    <row r="54" spans="1:23" ht="12.75">
      <c r="A54" s="77">
        <v>53</v>
      </c>
      <c r="B54" s="94">
        <v>45738</v>
      </c>
      <c r="C54" s="81">
        <v>2025</v>
      </c>
      <c r="D54" s="98">
        <v>3</v>
      </c>
      <c r="E54" s="77" t="s">
        <v>865</v>
      </c>
      <c r="F54" s="80" t="s">
        <v>10</v>
      </c>
      <c r="G54" s="81" t="s">
        <v>866</v>
      </c>
      <c r="H54" s="82">
        <v>49.9876</v>
      </c>
      <c r="I54" s="93"/>
      <c r="J54" s="77"/>
      <c r="K54" s="100" t="b">
        <v>1</v>
      </c>
      <c r="L54" s="100"/>
      <c r="M54" s="84"/>
      <c r="N54" s="100"/>
      <c r="O54" s="100"/>
      <c r="P54" s="76"/>
      <c r="Q54" s="76"/>
      <c r="R54" s="76"/>
      <c r="S54" s="76"/>
      <c r="T54" s="76"/>
      <c r="U54" s="76"/>
      <c r="V54" s="76"/>
      <c r="W54" s="76"/>
    </row>
    <row r="55" spans="1:23" ht="12.75">
      <c r="A55" s="77">
        <v>54</v>
      </c>
      <c r="B55" s="105">
        <v>45741</v>
      </c>
      <c r="C55" s="106">
        <v>2025</v>
      </c>
      <c r="D55" s="107">
        <v>3</v>
      </c>
      <c r="E55" s="108" t="s">
        <v>874</v>
      </c>
      <c r="F55" s="80" t="s">
        <v>879</v>
      </c>
      <c r="G55" s="81" t="s">
        <v>866</v>
      </c>
      <c r="H55" s="109">
        <v>3.99</v>
      </c>
      <c r="I55" s="110"/>
      <c r="J55" s="111"/>
      <c r="K55" s="100" t="b">
        <v>1</v>
      </c>
      <c r="L55" s="112"/>
      <c r="M55" s="112"/>
      <c r="N55" s="112"/>
      <c r="O55" s="112" t="s">
        <v>881</v>
      </c>
      <c r="P55" s="113"/>
      <c r="Q55" s="113"/>
      <c r="R55" s="113"/>
      <c r="S55" s="113"/>
      <c r="T55" s="113"/>
      <c r="U55" s="113"/>
      <c r="V55" s="113"/>
      <c r="W55" s="113"/>
    </row>
    <row r="56" spans="1:23" ht="12.75">
      <c r="A56" s="77">
        <v>55</v>
      </c>
      <c r="B56" s="105">
        <v>45743</v>
      </c>
      <c r="C56" s="106">
        <v>2025</v>
      </c>
      <c r="D56" s="107">
        <v>3</v>
      </c>
      <c r="E56" s="108" t="s">
        <v>874</v>
      </c>
      <c r="F56" s="80" t="s">
        <v>879</v>
      </c>
      <c r="G56" s="81" t="s">
        <v>866</v>
      </c>
      <c r="H56" s="109">
        <v>1.79</v>
      </c>
      <c r="I56" s="110"/>
      <c r="J56" s="111"/>
      <c r="K56" s="100" t="b">
        <v>1</v>
      </c>
      <c r="L56" s="112"/>
      <c r="M56" s="112"/>
      <c r="N56" s="112"/>
      <c r="O56" s="112" t="s">
        <v>882</v>
      </c>
      <c r="P56" s="113"/>
      <c r="Q56" s="113"/>
      <c r="R56" s="113"/>
      <c r="S56" s="113"/>
      <c r="T56" s="113"/>
      <c r="U56" s="113"/>
      <c r="V56" s="113"/>
      <c r="W56" s="113"/>
    </row>
    <row r="57" spans="1:23" ht="12.75">
      <c r="A57" s="77">
        <v>56</v>
      </c>
      <c r="B57" s="94">
        <v>45744</v>
      </c>
      <c r="C57" s="81">
        <v>2025</v>
      </c>
      <c r="D57" s="98">
        <v>3</v>
      </c>
      <c r="E57" s="77" t="s">
        <v>865</v>
      </c>
      <c r="F57" s="80" t="s">
        <v>10</v>
      </c>
      <c r="G57" s="81" t="s">
        <v>866</v>
      </c>
      <c r="H57" s="82">
        <v>60</v>
      </c>
      <c r="I57" s="93"/>
      <c r="J57" s="77"/>
      <c r="K57" s="100" t="b">
        <v>1</v>
      </c>
      <c r="L57" s="100"/>
      <c r="M57" s="84"/>
      <c r="N57" s="100"/>
      <c r="O57" s="100"/>
      <c r="P57" s="76"/>
      <c r="Q57" s="76"/>
      <c r="R57" s="76"/>
      <c r="S57" s="76"/>
      <c r="T57" s="76"/>
      <c r="U57" s="76"/>
      <c r="V57" s="76"/>
      <c r="W57" s="76"/>
    </row>
    <row r="58" spans="1:23" ht="12.75">
      <c r="A58" s="77">
        <v>57</v>
      </c>
      <c r="B58" s="94">
        <v>45744</v>
      </c>
      <c r="C58" s="81">
        <v>2025</v>
      </c>
      <c r="D58" s="98">
        <v>3</v>
      </c>
      <c r="E58" s="77" t="s">
        <v>865</v>
      </c>
      <c r="F58" s="80" t="s">
        <v>10</v>
      </c>
      <c r="G58" s="81" t="s">
        <v>866</v>
      </c>
      <c r="H58" s="82">
        <v>212.87479999999999</v>
      </c>
      <c r="I58" s="93"/>
      <c r="J58" s="77"/>
      <c r="K58" s="100" t="b">
        <v>1</v>
      </c>
      <c r="L58" s="100"/>
      <c r="M58" s="84"/>
      <c r="N58" s="100"/>
      <c r="O58" s="100"/>
      <c r="P58" s="76"/>
      <c r="Q58" s="76"/>
      <c r="R58" s="76"/>
      <c r="S58" s="76"/>
      <c r="T58" s="76"/>
      <c r="U58" s="76"/>
      <c r="V58" s="76"/>
      <c r="W58" s="76"/>
    </row>
    <row r="59" spans="1:23" ht="12.75">
      <c r="A59" s="77">
        <v>58</v>
      </c>
      <c r="B59" s="94">
        <v>45746</v>
      </c>
      <c r="C59" s="81">
        <v>2025</v>
      </c>
      <c r="D59" s="98">
        <v>3</v>
      </c>
      <c r="E59" s="77" t="s">
        <v>865</v>
      </c>
      <c r="F59" s="80" t="s">
        <v>10</v>
      </c>
      <c r="G59" s="81" t="s">
        <v>866</v>
      </c>
      <c r="H59" s="82">
        <v>120.0702</v>
      </c>
      <c r="I59" s="93"/>
      <c r="J59" s="77"/>
      <c r="K59" s="100" t="b">
        <v>1</v>
      </c>
      <c r="L59" s="100"/>
      <c r="M59" s="84"/>
      <c r="N59" s="100"/>
      <c r="O59" s="100"/>
      <c r="P59" s="76"/>
      <c r="Q59" s="76"/>
      <c r="R59" s="76"/>
      <c r="S59" s="76"/>
      <c r="T59" s="76"/>
      <c r="U59" s="76"/>
      <c r="V59" s="76"/>
      <c r="W59" s="76"/>
    </row>
    <row r="60" spans="1:23" ht="12.75">
      <c r="A60" s="77">
        <v>59</v>
      </c>
      <c r="B60" s="114">
        <v>45748</v>
      </c>
      <c r="C60" s="81">
        <v>2025</v>
      </c>
      <c r="D60" s="102">
        <v>4</v>
      </c>
      <c r="E60" s="77" t="s">
        <v>865</v>
      </c>
      <c r="F60" s="80" t="s">
        <v>10</v>
      </c>
      <c r="G60" s="81" t="s">
        <v>866</v>
      </c>
      <c r="H60" s="82">
        <v>11.99</v>
      </c>
      <c r="I60" s="93"/>
      <c r="J60" s="77"/>
      <c r="K60" s="100" t="b">
        <v>1</v>
      </c>
      <c r="L60" s="100"/>
      <c r="M60" s="84"/>
      <c r="N60" s="100"/>
      <c r="O60" s="100"/>
      <c r="P60" s="76"/>
      <c r="Q60" s="76"/>
      <c r="R60" s="76"/>
      <c r="S60" s="76"/>
      <c r="T60" s="76"/>
      <c r="U60" s="76"/>
      <c r="V60" s="76"/>
      <c r="W60" s="76"/>
    </row>
    <row r="61" spans="1:23" ht="12.75">
      <c r="A61" s="77">
        <v>60</v>
      </c>
      <c r="B61" s="114">
        <v>45748</v>
      </c>
      <c r="C61" s="81">
        <v>2025</v>
      </c>
      <c r="D61" s="102">
        <v>4</v>
      </c>
      <c r="E61" s="77" t="s">
        <v>865</v>
      </c>
      <c r="F61" s="80" t="s">
        <v>10</v>
      </c>
      <c r="G61" s="81" t="s">
        <v>866</v>
      </c>
      <c r="H61" s="82">
        <v>11.99</v>
      </c>
      <c r="I61" s="93"/>
      <c r="J61" s="77"/>
      <c r="K61" s="100" t="b">
        <v>1</v>
      </c>
      <c r="L61" s="100"/>
      <c r="M61" s="84"/>
      <c r="N61" s="100"/>
      <c r="O61" s="100"/>
      <c r="P61" s="76"/>
      <c r="Q61" s="76"/>
      <c r="R61" s="76"/>
      <c r="S61" s="76"/>
      <c r="T61" s="76"/>
      <c r="U61" s="76"/>
      <c r="V61" s="76"/>
      <c r="W61" s="76"/>
    </row>
    <row r="62" spans="1:23" ht="12.75">
      <c r="A62" s="77">
        <v>61</v>
      </c>
      <c r="B62" s="114">
        <v>45749</v>
      </c>
      <c r="C62" s="81">
        <v>2025</v>
      </c>
      <c r="D62" s="102">
        <v>4</v>
      </c>
      <c r="E62" s="77" t="s">
        <v>865</v>
      </c>
      <c r="F62" s="80" t="s">
        <v>879</v>
      </c>
      <c r="G62" s="81" t="s">
        <v>866</v>
      </c>
      <c r="H62" s="82">
        <v>2.99</v>
      </c>
      <c r="I62" s="93"/>
      <c r="J62" s="77"/>
      <c r="K62" s="100" t="b">
        <v>1</v>
      </c>
      <c r="L62" s="100"/>
      <c r="M62" s="84"/>
      <c r="N62" s="100"/>
      <c r="O62" s="100" t="s">
        <v>883</v>
      </c>
      <c r="P62" s="76"/>
      <c r="Q62" s="76"/>
      <c r="R62" s="76"/>
      <c r="S62" s="76"/>
      <c r="T62" s="76"/>
      <c r="U62" s="76"/>
      <c r="V62" s="76"/>
      <c r="W62" s="76"/>
    </row>
    <row r="63" spans="1:23" ht="12.75">
      <c r="A63" s="77">
        <v>62</v>
      </c>
      <c r="B63" s="114">
        <v>45751</v>
      </c>
      <c r="C63" s="81">
        <v>2025</v>
      </c>
      <c r="D63" s="102">
        <v>4</v>
      </c>
      <c r="E63" s="77" t="s">
        <v>865</v>
      </c>
      <c r="F63" s="80" t="s">
        <v>10</v>
      </c>
      <c r="G63" s="81" t="s">
        <v>866</v>
      </c>
      <c r="H63" s="82">
        <v>15.9726</v>
      </c>
      <c r="I63" s="93"/>
      <c r="J63" s="77"/>
      <c r="K63" s="100" t="b">
        <v>1</v>
      </c>
      <c r="L63" s="100"/>
      <c r="M63" s="84"/>
      <c r="N63" s="100"/>
      <c r="O63" s="100"/>
      <c r="P63" s="76"/>
      <c r="Q63" s="76"/>
      <c r="R63" s="76"/>
      <c r="S63" s="76"/>
      <c r="T63" s="76"/>
      <c r="U63" s="76"/>
      <c r="V63" s="76"/>
      <c r="W63" s="76"/>
    </row>
    <row r="64" spans="1:23" ht="12.75">
      <c r="A64" s="77">
        <v>63</v>
      </c>
      <c r="B64" s="114">
        <v>45753</v>
      </c>
      <c r="C64" s="81">
        <v>2025</v>
      </c>
      <c r="D64" s="102">
        <v>4</v>
      </c>
      <c r="E64" s="77" t="s">
        <v>865</v>
      </c>
      <c r="F64" s="80" t="s">
        <v>10</v>
      </c>
      <c r="G64" s="81" t="s">
        <v>866</v>
      </c>
      <c r="H64" s="82">
        <v>110</v>
      </c>
      <c r="I64" s="93"/>
      <c r="J64" s="77"/>
      <c r="K64" s="100" t="b">
        <v>1</v>
      </c>
      <c r="L64" s="100"/>
      <c r="M64" s="84"/>
      <c r="N64" s="100"/>
      <c r="O64" s="100"/>
      <c r="P64" s="76"/>
      <c r="Q64" s="76"/>
      <c r="R64" s="76"/>
      <c r="S64" s="76"/>
      <c r="T64" s="76"/>
      <c r="U64" s="76"/>
      <c r="V64" s="76"/>
      <c r="W64" s="76"/>
    </row>
    <row r="65" spans="1:23" ht="12.75">
      <c r="A65" s="77">
        <v>64</v>
      </c>
      <c r="B65" s="114">
        <v>45754</v>
      </c>
      <c r="C65" s="81">
        <v>2025</v>
      </c>
      <c r="D65" s="102">
        <v>4</v>
      </c>
      <c r="E65" s="77" t="s">
        <v>865</v>
      </c>
      <c r="F65" s="80" t="s">
        <v>10</v>
      </c>
      <c r="G65" s="81" t="s">
        <v>866</v>
      </c>
      <c r="H65" s="82">
        <v>17.989999999999998</v>
      </c>
      <c r="I65" s="93"/>
      <c r="J65" s="77"/>
      <c r="K65" s="100" t="b">
        <v>1</v>
      </c>
      <c r="L65" s="100"/>
      <c r="M65" s="84"/>
      <c r="N65" s="100"/>
      <c r="O65" s="100"/>
      <c r="P65" s="76"/>
      <c r="Q65" s="76"/>
      <c r="R65" s="76"/>
      <c r="S65" s="76"/>
      <c r="T65" s="76"/>
      <c r="U65" s="76"/>
      <c r="V65" s="76"/>
      <c r="W65" s="76"/>
    </row>
    <row r="66" spans="1:23" ht="12.75">
      <c r="A66" s="77">
        <v>65</v>
      </c>
      <c r="B66" s="114">
        <v>45754</v>
      </c>
      <c r="C66" s="81">
        <v>2025</v>
      </c>
      <c r="D66" s="102">
        <v>4</v>
      </c>
      <c r="E66" s="77" t="s">
        <v>865</v>
      </c>
      <c r="F66" s="80" t="s">
        <v>879</v>
      </c>
      <c r="G66" s="81" t="s">
        <v>866</v>
      </c>
      <c r="H66" s="82">
        <v>0.99</v>
      </c>
      <c r="I66" s="93"/>
      <c r="J66" s="77"/>
      <c r="K66" s="100" t="b">
        <v>1</v>
      </c>
      <c r="L66" s="100"/>
      <c r="M66" s="84"/>
      <c r="N66" s="100"/>
      <c r="O66" s="100" t="s">
        <v>884</v>
      </c>
      <c r="P66" s="76"/>
      <c r="Q66" s="76"/>
      <c r="R66" s="76"/>
      <c r="S66" s="76"/>
      <c r="T66" s="76"/>
      <c r="U66" s="76"/>
      <c r="V66" s="76"/>
      <c r="W66" s="76"/>
    </row>
    <row r="67" spans="1:23" ht="12.75">
      <c r="A67" s="77">
        <v>66</v>
      </c>
      <c r="B67" s="114">
        <v>45755</v>
      </c>
      <c r="C67" s="81">
        <v>2025</v>
      </c>
      <c r="D67" s="102">
        <v>4</v>
      </c>
      <c r="E67" s="77" t="s">
        <v>865</v>
      </c>
      <c r="F67" s="80" t="s">
        <v>879</v>
      </c>
      <c r="G67" s="81" t="s">
        <v>866</v>
      </c>
      <c r="H67" s="82">
        <v>2.99</v>
      </c>
      <c r="I67" s="93"/>
      <c r="J67" s="77"/>
      <c r="K67" s="100" t="b">
        <v>1</v>
      </c>
      <c r="L67" s="100"/>
      <c r="M67" s="84"/>
      <c r="N67" s="100"/>
      <c r="O67" s="100" t="s">
        <v>885</v>
      </c>
      <c r="P67" s="76"/>
      <c r="Q67" s="76"/>
      <c r="R67" s="76"/>
      <c r="S67" s="76"/>
      <c r="T67" s="76"/>
      <c r="U67" s="76"/>
      <c r="V67" s="76"/>
      <c r="W67" s="76"/>
    </row>
    <row r="68" spans="1:23" ht="12.75">
      <c r="A68" s="77">
        <v>67</v>
      </c>
      <c r="B68" s="114">
        <v>45757</v>
      </c>
      <c r="C68" s="81">
        <v>2025</v>
      </c>
      <c r="D68" s="102">
        <v>4</v>
      </c>
      <c r="E68" s="77" t="s">
        <v>865</v>
      </c>
      <c r="F68" s="80" t="s">
        <v>10</v>
      </c>
      <c r="G68" s="81" t="s">
        <v>866</v>
      </c>
      <c r="H68" s="82">
        <v>600</v>
      </c>
      <c r="I68" s="93"/>
      <c r="J68" s="77"/>
      <c r="K68" s="100" t="b">
        <v>1</v>
      </c>
      <c r="L68" s="100"/>
      <c r="M68" s="84"/>
      <c r="N68" s="100"/>
      <c r="O68" s="100"/>
      <c r="P68" s="76"/>
      <c r="Q68" s="76"/>
      <c r="R68" s="76"/>
      <c r="S68" s="76"/>
      <c r="T68" s="76"/>
      <c r="U68" s="76"/>
      <c r="V68" s="76"/>
      <c r="W68" s="76"/>
    </row>
    <row r="69" spans="1:23" ht="12.75">
      <c r="A69" s="77">
        <v>68</v>
      </c>
      <c r="B69" s="114">
        <v>45759</v>
      </c>
      <c r="C69" s="81">
        <v>2025</v>
      </c>
      <c r="D69" s="102">
        <v>4</v>
      </c>
      <c r="E69" s="77" t="s">
        <v>865</v>
      </c>
      <c r="F69" s="80" t="s">
        <v>10</v>
      </c>
      <c r="G69" s="81" t="s">
        <v>866</v>
      </c>
      <c r="H69" s="82">
        <v>7.9904000000000002</v>
      </c>
      <c r="I69" s="93"/>
      <c r="J69" s="77"/>
      <c r="K69" s="100" t="b">
        <v>1</v>
      </c>
      <c r="L69" s="100"/>
      <c r="M69" s="84"/>
      <c r="N69" s="100"/>
      <c r="O69" s="100"/>
      <c r="P69" s="76"/>
      <c r="Q69" s="76"/>
      <c r="R69" s="76"/>
      <c r="S69" s="76"/>
      <c r="T69" s="76"/>
      <c r="U69" s="76"/>
      <c r="V69" s="76"/>
      <c r="W69" s="76"/>
    </row>
    <row r="70" spans="1:23" ht="12.75">
      <c r="A70" s="77">
        <v>69</v>
      </c>
      <c r="B70" s="115">
        <v>45761</v>
      </c>
      <c r="C70" s="116">
        <v>2025</v>
      </c>
      <c r="D70" s="117">
        <v>4</v>
      </c>
      <c r="E70" s="118" t="s">
        <v>865</v>
      </c>
      <c r="F70" s="119" t="s">
        <v>10</v>
      </c>
      <c r="G70" s="81" t="s">
        <v>866</v>
      </c>
      <c r="H70" s="120">
        <v>15.99</v>
      </c>
      <c r="I70" s="121"/>
      <c r="J70" s="118"/>
      <c r="K70" s="116" t="b">
        <v>1</v>
      </c>
      <c r="L70" s="116"/>
      <c r="M70" s="117"/>
      <c r="N70" s="116"/>
      <c r="O70" s="358" t="s">
        <v>886</v>
      </c>
      <c r="P70" s="76"/>
      <c r="Q70" s="76"/>
      <c r="R70" s="76"/>
      <c r="S70" s="76"/>
      <c r="T70" s="76"/>
      <c r="U70" s="76"/>
      <c r="V70" s="76"/>
      <c r="W70" s="76"/>
    </row>
    <row r="71" spans="1:23" ht="12.75">
      <c r="A71" s="77">
        <v>70</v>
      </c>
      <c r="B71" s="115">
        <v>45761</v>
      </c>
      <c r="C71" s="116">
        <v>2025</v>
      </c>
      <c r="D71" s="117">
        <v>4</v>
      </c>
      <c r="E71" s="118" t="s">
        <v>865</v>
      </c>
      <c r="F71" s="119" t="s">
        <v>10</v>
      </c>
      <c r="G71" s="81" t="s">
        <v>866</v>
      </c>
      <c r="H71" s="120">
        <v>11.99</v>
      </c>
      <c r="I71" s="121"/>
      <c r="J71" s="118"/>
      <c r="K71" s="116" t="b">
        <v>1</v>
      </c>
      <c r="L71" s="116"/>
      <c r="M71" s="117"/>
      <c r="N71" s="116"/>
      <c r="O71" s="359"/>
      <c r="P71" s="76"/>
      <c r="Q71" s="76"/>
      <c r="R71" s="76"/>
      <c r="S71" s="76"/>
      <c r="T71" s="76"/>
      <c r="U71" s="76"/>
      <c r="V71" s="76"/>
      <c r="W71" s="76"/>
    </row>
    <row r="72" spans="1:23" ht="12.75">
      <c r="A72" s="77">
        <v>71</v>
      </c>
      <c r="B72" s="114">
        <v>45762</v>
      </c>
      <c r="C72" s="81">
        <v>2025</v>
      </c>
      <c r="D72" s="102">
        <v>4</v>
      </c>
      <c r="E72" s="77" t="s">
        <v>865</v>
      </c>
      <c r="F72" s="80" t="s">
        <v>10</v>
      </c>
      <c r="G72" s="81" t="s">
        <v>866</v>
      </c>
      <c r="H72" s="82">
        <v>283.08</v>
      </c>
      <c r="I72" s="93"/>
      <c r="J72" s="77"/>
      <c r="K72" s="100" t="b">
        <v>1</v>
      </c>
      <c r="L72" s="100"/>
      <c r="M72" s="84"/>
      <c r="N72" s="100"/>
      <c r="O72" s="100"/>
      <c r="P72" s="76"/>
      <c r="Q72" s="76"/>
      <c r="R72" s="76"/>
      <c r="S72" s="76"/>
      <c r="T72" s="76"/>
      <c r="U72" s="76"/>
      <c r="V72" s="76"/>
      <c r="W72" s="76"/>
    </row>
    <row r="73" spans="1:23" ht="12.75">
      <c r="A73" s="77">
        <v>72</v>
      </c>
      <c r="B73" s="114">
        <v>45763</v>
      </c>
      <c r="C73" s="81">
        <v>2025</v>
      </c>
      <c r="D73" s="102">
        <v>4</v>
      </c>
      <c r="E73" s="77" t="s">
        <v>865</v>
      </c>
      <c r="F73" s="80" t="s">
        <v>10</v>
      </c>
      <c r="G73" s="81" t="s">
        <v>866</v>
      </c>
      <c r="H73" s="82">
        <v>69.989999999999995</v>
      </c>
      <c r="I73" s="93"/>
      <c r="J73" s="77"/>
      <c r="K73" s="100" t="b">
        <v>1</v>
      </c>
      <c r="L73" s="100"/>
      <c r="M73" s="84"/>
      <c r="N73" s="100"/>
      <c r="O73" s="100"/>
      <c r="P73" s="76"/>
      <c r="Q73" s="76"/>
      <c r="R73" s="76"/>
      <c r="S73" s="76"/>
      <c r="T73" s="76"/>
      <c r="U73" s="76"/>
      <c r="V73" s="76"/>
      <c r="W73" s="76"/>
    </row>
    <row r="74" spans="1:23" ht="12.75">
      <c r="A74" s="77">
        <v>73</v>
      </c>
      <c r="B74" s="114">
        <v>45764</v>
      </c>
      <c r="C74" s="81">
        <v>2025</v>
      </c>
      <c r="D74" s="102">
        <v>4</v>
      </c>
      <c r="E74" s="77" t="s">
        <v>865</v>
      </c>
      <c r="F74" s="80" t="s">
        <v>10</v>
      </c>
      <c r="G74" s="81" t="s">
        <v>866</v>
      </c>
      <c r="H74" s="82">
        <v>421.56438711655437</v>
      </c>
      <c r="I74" s="93"/>
      <c r="J74" s="77"/>
      <c r="K74" s="100" t="b">
        <v>1</v>
      </c>
      <c r="L74" s="100"/>
      <c r="M74" s="84"/>
      <c r="N74" s="100"/>
      <c r="O74" s="100"/>
      <c r="P74" s="76"/>
      <c r="Q74" s="76"/>
      <c r="R74" s="76"/>
      <c r="S74" s="76"/>
      <c r="T74" s="76"/>
      <c r="U74" s="76"/>
      <c r="V74" s="76"/>
      <c r="W74" s="76"/>
    </row>
    <row r="75" spans="1:23" ht="12.75">
      <c r="A75" s="77">
        <v>74</v>
      </c>
      <c r="B75" s="114">
        <v>45764</v>
      </c>
      <c r="C75" s="81">
        <v>2025</v>
      </c>
      <c r="D75" s="102">
        <v>4</v>
      </c>
      <c r="E75" s="77" t="s">
        <v>865</v>
      </c>
      <c r="F75" s="80" t="s">
        <v>10</v>
      </c>
      <c r="G75" s="81" t="s">
        <v>866</v>
      </c>
      <c r="H75" s="82">
        <v>14.99</v>
      </c>
      <c r="I75" s="93"/>
      <c r="J75" s="77"/>
      <c r="K75" s="100" t="b">
        <v>1</v>
      </c>
      <c r="L75" s="100"/>
      <c r="M75" s="84"/>
      <c r="N75" s="100"/>
      <c r="O75" s="100"/>
      <c r="P75" s="76"/>
      <c r="Q75" s="76"/>
      <c r="R75" s="76"/>
      <c r="S75" s="76"/>
      <c r="T75" s="76"/>
      <c r="U75" s="76"/>
      <c r="V75" s="76"/>
      <c r="W75" s="76"/>
    </row>
    <row r="76" spans="1:23" ht="12.75">
      <c r="A76" s="77">
        <v>75</v>
      </c>
      <c r="B76" s="114">
        <v>45765</v>
      </c>
      <c r="C76" s="81">
        <v>2025</v>
      </c>
      <c r="D76" s="102">
        <v>4</v>
      </c>
      <c r="E76" s="77" t="s">
        <v>865</v>
      </c>
      <c r="F76" s="80" t="s">
        <v>10</v>
      </c>
      <c r="G76" s="81" t="s">
        <v>866</v>
      </c>
      <c r="H76" s="82">
        <v>14.99</v>
      </c>
      <c r="I76" s="93"/>
      <c r="J76" s="77"/>
      <c r="K76" s="100" t="b">
        <v>1</v>
      </c>
      <c r="L76" s="100"/>
      <c r="M76" s="84"/>
      <c r="N76" s="100"/>
      <c r="O76" s="100"/>
      <c r="P76" s="76"/>
      <c r="Q76" s="76"/>
      <c r="R76" s="76"/>
      <c r="S76" s="76"/>
      <c r="T76" s="76"/>
      <c r="U76" s="76"/>
      <c r="V76" s="76"/>
      <c r="W76" s="76"/>
    </row>
    <row r="77" spans="1:23" ht="12.75">
      <c r="A77" s="77">
        <v>76</v>
      </c>
      <c r="B77" s="114">
        <v>45765</v>
      </c>
      <c r="C77" s="81">
        <v>2025</v>
      </c>
      <c r="D77" s="102">
        <v>4</v>
      </c>
      <c r="E77" s="77" t="s">
        <v>865</v>
      </c>
      <c r="F77" s="80" t="s">
        <v>10</v>
      </c>
      <c r="G77" s="81" t="s">
        <v>866</v>
      </c>
      <c r="H77" s="82">
        <v>110</v>
      </c>
      <c r="I77" s="93"/>
      <c r="J77" s="77"/>
      <c r="K77" s="100" t="b">
        <v>1</v>
      </c>
      <c r="L77" s="100"/>
      <c r="M77" s="84"/>
      <c r="N77" s="100"/>
      <c r="O77" s="100"/>
      <c r="P77" s="76"/>
      <c r="Q77" s="76"/>
      <c r="R77" s="76"/>
      <c r="S77" s="76"/>
      <c r="T77" s="76"/>
      <c r="U77" s="76"/>
      <c r="V77" s="76"/>
      <c r="W77" s="76"/>
    </row>
    <row r="78" spans="1:23" ht="12.75">
      <c r="A78" s="77">
        <v>77</v>
      </c>
      <c r="B78" s="114">
        <v>45765</v>
      </c>
      <c r="C78" s="81">
        <v>2025</v>
      </c>
      <c r="D78" s="102">
        <v>4</v>
      </c>
      <c r="E78" s="77" t="s">
        <v>865</v>
      </c>
      <c r="F78" s="80" t="s">
        <v>10</v>
      </c>
      <c r="G78" s="81" t="s">
        <v>866</v>
      </c>
      <c r="H78" s="82">
        <v>14.99</v>
      </c>
      <c r="I78" s="93"/>
      <c r="J78" s="77"/>
      <c r="K78" s="100" t="b">
        <v>1</v>
      </c>
      <c r="L78" s="100"/>
      <c r="M78" s="84"/>
      <c r="N78" s="100"/>
      <c r="O78" s="100"/>
      <c r="P78" s="76"/>
      <c r="Q78" s="76"/>
      <c r="R78" s="76"/>
      <c r="S78" s="76"/>
      <c r="T78" s="76"/>
      <c r="U78" s="76"/>
      <c r="V78" s="76"/>
      <c r="W78" s="76"/>
    </row>
    <row r="79" spans="1:23" ht="12.75">
      <c r="A79" s="77">
        <v>78</v>
      </c>
      <c r="B79" s="114">
        <v>45768</v>
      </c>
      <c r="C79" s="81">
        <v>2025</v>
      </c>
      <c r="D79" s="102">
        <v>4</v>
      </c>
      <c r="E79" s="77" t="s">
        <v>865</v>
      </c>
      <c r="F79" s="80" t="s">
        <v>10</v>
      </c>
      <c r="G79" s="81" t="s">
        <v>866</v>
      </c>
      <c r="H79" s="82">
        <v>3.99</v>
      </c>
      <c r="I79" s="93"/>
      <c r="J79" s="77"/>
      <c r="K79" s="100" t="b">
        <v>1</v>
      </c>
      <c r="L79" s="100"/>
      <c r="M79" s="84"/>
      <c r="N79" s="100"/>
      <c r="O79" s="100"/>
      <c r="P79" s="76"/>
      <c r="Q79" s="76"/>
      <c r="R79" s="76"/>
      <c r="S79" s="76"/>
      <c r="T79" s="76"/>
      <c r="U79" s="76"/>
      <c r="V79" s="76"/>
      <c r="W79" s="76"/>
    </row>
    <row r="80" spans="1:23" ht="12.75">
      <c r="A80" s="77">
        <v>79</v>
      </c>
      <c r="B80" s="114">
        <v>45773</v>
      </c>
      <c r="C80" s="81">
        <v>2025</v>
      </c>
      <c r="D80" s="102">
        <v>4</v>
      </c>
      <c r="E80" s="77" t="s">
        <v>865</v>
      </c>
      <c r="F80" s="80" t="s">
        <v>10</v>
      </c>
      <c r="G80" s="81" t="s">
        <v>866</v>
      </c>
      <c r="H80" s="82">
        <v>179</v>
      </c>
      <c r="I80" s="93"/>
      <c r="J80" s="77"/>
      <c r="K80" s="100" t="b">
        <v>1</v>
      </c>
      <c r="L80" s="100"/>
      <c r="M80" s="84"/>
      <c r="N80" s="100"/>
      <c r="O80" s="100"/>
      <c r="P80" s="76"/>
      <c r="Q80" s="76"/>
      <c r="R80" s="76"/>
      <c r="S80" s="76"/>
      <c r="T80" s="76"/>
      <c r="U80" s="76"/>
      <c r="V80" s="76"/>
      <c r="W80" s="76"/>
    </row>
    <row r="81" spans="1:23" ht="12.75">
      <c r="A81" s="77">
        <v>80</v>
      </c>
      <c r="B81" s="114">
        <v>45773</v>
      </c>
      <c r="C81" s="81">
        <v>2025</v>
      </c>
      <c r="D81" s="102">
        <v>4</v>
      </c>
      <c r="E81" s="77" t="s">
        <v>865</v>
      </c>
      <c r="F81" s="80" t="s">
        <v>10</v>
      </c>
      <c r="G81" s="81" t="s">
        <v>866</v>
      </c>
      <c r="H81" s="82">
        <v>119.98</v>
      </c>
      <c r="I81" s="93"/>
      <c r="J81" s="77"/>
      <c r="K81" s="100" t="b">
        <v>1</v>
      </c>
      <c r="L81" s="100"/>
      <c r="M81" s="84"/>
      <c r="N81" s="100"/>
      <c r="O81" s="100"/>
      <c r="P81" s="76"/>
      <c r="Q81" s="76"/>
      <c r="R81" s="76"/>
      <c r="S81" s="76"/>
      <c r="T81" s="76"/>
      <c r="U81" s="76"/>
      <c r="V81" s="76"/>
      <c r="W81" s="76"/>
    </row>
    <row r="82" spans="1:23" ht="12.75">
      <c r="A82" s="77">
        <v>81</v>
      </c>
      <c r="B82" s="114">
        <v>45775</v>
      </c>
      <c r="C82" s="81">
        <v>2025</v>
      </c>
      <c r="D82" s="102">
        <v>4</v>
      </c>
      <c r="E82" s="77" t="s">
        <v>865</v>
      </c>
      <c r="F82" s="80" t="s">
        <v>10</v>
      </c>
      <c r="G82" s="81" t="s">
        <v>866</v>
      </c>
      <c r="H82" s="82">
        <v>2.99</v>
      </c>
      <c r="I82" s="93"/>
      <c r="J82" s="77"/>
      <c r="K82" s="100" t="b">
        <v>1</v>
      </c>
      <c r="L82" s="100"/>
      <c r="M82" s="84"/>
      <c r="N82" s="100"/>
      <c r="O82" s="100"/>
      <c r="P82" s="76"/>
      <c r="Q82" s="76"/>
      <c r="R82" s="76"/>
      <c r="S82" s="76"/>
      <c r="T82" s="76"/>
      <c r="U82" s="76"/>
      <c r="V82" s="76"/>
      <c r="W82" s="76"/>
    </row>
    <row r="83" spans="1:23" ht="12.75">
      <c r="A83" s="77">
        <v>82</v>
      </c>
      <c r="B83" s="114">
        <v>45776</v>
      </c>
      <c r="C83" s="81">
        <v>2025</v>
      </c>
      <c r="D83" s="102">
        <v>4</v>
      </c>
      <c r="E83" s="77" t="s">
        <v>865</v>
      </c>
      <c r="F83" s="80" t="s">
        <v>10</v>
      </c>
      <c r="G83" s="81" t="s">
        <v>866</v>
      </c>
      <c r="H83" s="82">
        <v>70.989999999999995</v>
      </c>
      <c r="I83" s="93"/>
      <c r="J83" s="77"/>
      <c r="K83" s="100" t="b">
        <v>1</v>
      </c>
      <c r="L83" s="100"/>
      <c r="M83" s="84"/>
      <c r="N83" s="100"/>
      <c r="O83" s="100"/>
      <c r="P83" s="76"/>
      <c r="Q83" s="76"/>
      <c r="R83" s="76"/>
      <c r="S83" s="76"/>
      <c r="T83" s="76"/>
      <c r="U83" s="76"/>
      <c r="V83" s="76"/>
      <c r="W83" s="76"/>
    </row>
    <row r="84" spans="1:23" ht="12.75">
      <c r="A84" s="77">
        <v>83</v>
      </c>
      <c r="B84" s="114">
        <v>45777</v>
      </c>
      <c r="C84" s="81">
        <v>2025</v>
      </c>
      <c r="D84" s="102">
        <v>4</v>
      </c>
      <c r="E84" s="77" t="s">
        <v>865</v>
      </c>
      <c r="F84" s="80" t="s">
        <v>10</v>
      </c>
      <c r="G84" s="81" t="s">
        <v>866</v>
      </c>
      <c r="H84" s="82">
        <v>213</v>
      </c>
      <c r="I84" s="93"/>
      <c r="J84" s="77"/>
      <c r="K84" s="100" t="b">
        <v>1</v>
      </c>
      <c r="L84" s="100"/>
      <c r="M84" s="84"/>
      <c r="N84" s="100"/>
      <c r="O84" s="100"/>
      <c r="P84" s="76"/>
      <c r="Q84" s="76"/>
      <c r="R84" s="76"/>
      <c r="S84" s="76"/>
      <c r="T84" s="76"/>
      <c r="U84" s="76"/>
      <c r="V84" s="76"/>
      <c r="W84" s="76"/>
    </row>
    <row r="85" spans="1:23" ht="12.75">
      <c r="A85" s="77">
        <v>84</v>
      </c>
      <c r="B85" s="122">
        <v>45779</v>
      </c>
      <c r="C85" s="81">
        <v>2025</v>
      </c>
      <c r="D85" s="98">
        <v>5</v>
      </c>
      <c r="E85" s="77" t="s">
        <v>865</v>
      </c>
      <c r="F85" s="80" t="s">
        <v>10</v>
      </c>
      <c r="G85" s="81" t="s">
        <v>866</v>
      </c>
      <c r="H85" s="82">
        <v>19.059999999999999</v>
      </c>
      <c r="I85" s="93"/>
      <c r="J85" s="77"/>
      <c r="K85" s="100" t="b">
        <v>1</v>
      </c>
      <c r="L85" s="100"/>
      <c r="M85" s="84"/>
      <c r="N85" s="100"/>
      <c r="O85" s="123"/>
      <c r="P85" s="76"/>
      <c r="Q85" s="76"/>
      <c r="R85" s="76"/>
      <c r="S85" s="76"/>
      <c r="T85" s="76"/>
      <c r="U85" s="76"/>
      <c r="V85" s="76"/>
      <c r="W85" s="76"/>
    </row>
    <row r="86" spans="1:23" ht="12.75">
      <c r="A86" s="77">
        <v>85</v>
      </c>
      <c r="B86" s="122">
        <v>45780</v>
      </c>
      <c r="C86" s="81">
        <v>2025</v>
      </c>
      <c r="D86" s="98">
        <v>5</v>
      </c>
      <c r="E86" s="77" t="s">
        <v>865</v>
      </c>
      <c r="F86" s="80" t="s">
        <v>10</v>
      </c>
      <c r="G86" s="81" t="s">
        <v>866</v>
      </c>
      <c r="H86" s="82">
        <v>69.989999999999995</v>
      </c>
      <c r="I86" s="93"/>
      <c r="J86" s="77"/>
      <c r="K86" s="100" t="b">
        <v>1</v>
      </c>
      <c r="L86" s="100"/>
      <c r="M86" s="84"/>
      <c r="N86" s="100"/>
      <c r="O86" s="123"/>
      <c r="P86" s="76"/>
      <c r="Q86" s="76"/>
      <c r="R86" s="76"/>
      <c r="S86" s="76"/>
      <c r="T86" s="76"/>
      <c r="U86" s="76"/>
      <c r="V86" s="76"/>
      <c r="W86" s="76"/>
    </row>
    <row r="87" spans="1:23" ht="12.75">
      <c r="A87" s="77">
        <v>86</v>
      </c>
      <c r="B87" s="122">
        <v>45780</v>
      </c>
      <c r="C87" s="81">
        <v>2025</v>
      </c>
      <c r="D87" s="98">
        <v>5</v>
      </c>
      <c r="E87" s="77" t="s">
        <v>865</v>
      </c>
      <c r="F87" s="80" t="s">
        <v>10</v>
      </c>
      <c r="G87" s="81" t="s">
        <v>866</v>
      </c>
      <c r="H87" s="82">
        <v>5.49</v>
      </c>
      <c r="I87" s="93"/>
      <c r="J87" s="77"/>
      <c r="K87" s="100" t="b">
        <v>1</v>
      </c>
      <c r="L87" s="100"/>
      <c r="M87" s="84"/>
      <c r="N87" s="100"/>
      <c r="O87" s="100"/>
      <c r="P87" s="76"/>
      <c r="Q87" s="76"/>
      <c r="R87" s="76"/>
      <c r="S87" s="76"/>
      <c r="T87" s="76"/>
      <c r="U87" s="76"/>
      <c r="V87" s="76"/>
      <c r="W87" s="76"/>
    </row>
    <row r="88" spans="1:23" ht="12.75">
      <c r="A88" s="77">
        <v>87</v>
      </c>
      <c r="B88" s="122">
        <v>45781</v>
      </c>
      <c r="C88" s="81">
        <v>2025</v>
      </c>
      <c r="D88" s="98">
        <v>5</v>
      </c>
      <c r="E88" s="77" t="s">
        <v>865</v>
      </c>
      <c r="F88" s="80" t="s">
        <v>10</v>
      </c>
      <c r="G88" s="81" t="s">
        <v>866</v>
      </c>
      <c r="H88" s="82">
        <v>8.9700000000000006</v>
      </c>
      <c r="I88" s="93"/>
      <c r="J88" s="77"/>
      <c r="K88" s="100" t="b">
        <v>1</v>
      </c>
      <c r="L88" s="100"/>
      <c r="M88" s="84"/>
      <c r="N88" s="100"/>
      <c r="O88" s="100"/>
      <c r="P88" s="76"/>
      <c r="Q88" s="76"/>
      <c r="R88" s="76"/>
      <c r="S88" s="76"/>
      <c r="T88" s="76"/>
      <c r="U88" s="76"/>
      <c r="V88" s="76"/>
      <c r="W88" s="76"/>
    </row>
    <row r="89" spans="1:23" ht="12.75">
      <c r="A89" s="77">
        <v>88</v>
      </c>
      <c r="B89" s="122">
        <v>45782</v>
      </c>
      <c r="C89" s="81">
        <v>2025</v>
      </c>
      <c r="D89" s="98">
        <v>5</v>
      </c>
      <c r="E89" s="77" t="s">
        <v>865</v>
      </c>
      <c r="F89" s="80" t="s">
        <v>10</v>
      </c>
      <c r="G89" s="81" t="s">
        <v>866</v>
      </c>
      <c r="H89" s="82">
        <v>17.989999999999998</v>
      </c>
      <c r="I89" s="93"/>
      <c r="J89" s="77"/>
      <c r="K89" s="100" t="b">
        <v>1</v>
      </c>
      <c r="L89" s="100"/>
      <c r="M89" s="84"/>
      <c r="N89" s="100"/>
      <c r="O89" s="100"/>
      <c r="P89" s="76"/>
      <c r="Q89" s="76"/>
      <c r="R89" s="76"/>
      <c r="S89" s="76"/>
      <c r="T89" s="76"/>
      <c r="U89" s="76"/>
      <c r="V89" s="76"/>
      <c r="W89" s="76"/>
    </row>
    <row r="90" spans="1:23" ht="12.75">
      <c r="A90" s="77">
        <v>89</v>
      </c>
      <c r="B90" s="122">
        <v>45782</v>
      </c>
      <c r="C90" s="81">
        <v>2025</v>
      </c>
      <c r="D90" s="98">
        <v>5</v>
      </c>
      <c r="E90" s="77" t="s">
        <v>865</v>
      </c>
      <c r="F90" s="80" t="s">
        <v>10</v>
      </c>
      <c r="G90" s="81" t="s">
        <v>866</v>
      </c>
      <c r="H90" s="82">
        <v>110</v>
      </c>
      <c r="I90" s="93"/>
      <c r="J90" s="77"/>
      <c r="K90" s="100" t="b">
        <v>1</v>
      </c>
      <c r="L90" s="100"/>
      <c r="M90" s="84"/>
      <c r="N90" s="100"/>
      <c r="O90" s="100"/>
      <c r="P90" s="76"/>
      <c r="Q90" s="76"/>
      <c r="R90" s="76"/>
      <c r="S90" s="76"/>
      <c r="T90" s="76"/>
      <c r="U90" s="76"/>
      <c r="V90" s="76"/>
      <c r="W90" s="76"/>
    </row>
    <row r="91" spans="1:23" ht="12.75">
      <c r="A91" s="77">
        <v>90</v>
      </c>
      <c r="B91" s="122">
        <v>45783</v>
      </c>
      <c r="C91" s="81">
        <v>2025</v>
      </c>
      <c r="D91" s="98">
        <v>5</v>
      </c>
      <c r="E91" s="77" t="s">
        <v>865</v>
      </c>
      <c r="F91" s="80" t="s">
        <v>879</v>
      </c>
      <c r="G91" s="81" t="s">
        <v>866</v>
      </c>
      <c r="H91" s="82">
        <v>0.99</v>
      </c>
      <c r="I91" s="93"/>
      <c r="J91" s="77"/>
      <c r="K91" s="100" t="b">
        <v>1</v>
      </c>
      <c r="L91" s="100"/>
      <c r="M91" s="84"/>
      <c r="N91" s="100"/>
      <c r="O91" s="100" t="s">
        <v>887</v>
      </c>
      <c r="P91" s="76"/>
      <c r="Q91" s="76"/>
      <c r="R91" s="76"/>
      <c r="S91" s="76"/>
      <c r="T91" s="76"/>
      <c r="U91" s="76"/>
      <c r="V91" s="76"/>
      <c r="W91" s="76"/>
    </row>
    <row r="92" spans="1:23" ht="12.75">
      <c r="A92" s="77">
        <v>91</v>
      </c>
      <c r="B92" s="122">
        <v>45785</v>
      </c>
      <c r="C92" s="81">
        <v>2025</v>
      </c>
      <c r="D92" s="98">
        <v>5</v>
      </c>
      <c r="E92" s="77" t="s">
        <v>865</v>
      </c>
      <c r="F92" s="80" t="s">
        <v>10</v>
      </c>
      <c r="G92" s="81" t="s">
        <v>866</v>
      </c>
      <c r="H92" s="82">
        <v>29.99</v>
      </c>
      <c r="I92" s="93"/>
      <c r="J92" s="77"/>
      <c r="K92" s="100" t="b">
        <v>1</v>
      </c>
      <c r="L92" s="100"/>
      <c r="M92" s="84"/>
      <c r="N92" s="100"/>
      <c r="O92" s="100"/>
      <c r="P92" s="76"/>
      <c r="Q92" s="76"/>
      <c r="R92" s="76"/>
      <c r="S92" s="76"/>
      <c r="T92" s="76"/>
      <c r="U92" s="76"/>
      <c r="V92" s="76"/>
      <c r="W92" s="76"/>
    </row>
    <row r="93" spans="1:23" ht="12.75">
      <c r="A93" s="77">
        <v>92</v>
      </c>
      <c r="B93" s="94">
        <v>45785</v>
      </c>
      <c r="C93" s="81">
        <v>2025</v>
      </c>
      <c r="D93" s="98">
        <v>5</v>
      </c>
      <c r="E93" s="77" t="s">
        <v>865</v>
      </c>
      <c r="F93" s="80" t="s">
        <v>10</v>
      </c>
      <c r="G93" s="81" t="s">
        <v>866</v>
      </c>
      <c r="H93" s="82">
        <v>536</v>
      </c>
      <c r="I93" s="93"/>
      <c r="J93" s="77"/>
      <c r="K93" s="100" t="b">
        <v>1</v>
      </c>
      <c r="L93" s="100"/>
      <c r="M93" s="84"/>
      <c r="N93" s="100"/>
      <c r="O93" s="100" t="s">
        <v>888</v>
      </c>
      <c r="P93" s="76"/>
      <c r="Q93" s="76"/>
      <c r="R93" s="76"/>
      <c r="S93" s="76"/>
      <c r="T93" s="76"/>
      <c r="U93" s="76"/>
      <c r="V93" s="76"/>
      <c r="W93" s="76"/>
    </row>
    <row r="94" spans="1:23" ht="12.75">
      <c r="A94" s="77">
        <v>93</v>
      </c>
      <c r="B94" s="122">
        <v>45786</v>
      </c>
      <c r="C94" s="81">
        <v>2025</v>
      </c>
      <c r="D94" s="98">
        <v>5</v>
      </c>
      <c r="E94" s="77" t="s">
        <v>865</v>
      </c>
      <c r="F94" s="80" t="s">
        <v>10</v>
      </c>
      <c r="G94" s="81" t="s">
        <v>866</v>
      </c>
      <c r="H94" s="82">
        <v>12.99</v>
      </c>
      <c r="I94" s="93"/>
      <c r="J94" s="77"/>
      <c r="K94" s="100" t="b">
        <v>1</v>
      </c>
      <c r="L94" s="100"/>
      <c r="M94" s="84"/>
      <c r="N94" s="100"/>
      <c r="O94" s="100"/>
      <c r="P94" s="76"/>
      <c r="Q94" s="76"/>
      <c r="R94" s="76"/>
      <c r="S94" s="76"/>
      <c r="T94" s="76"/>
      <c r="U94" s="76"/>
      <c r="V94" s="76"/>
      <c r="W94" s="76"/>
    </row>
    <row r="95" spans="1:23" ht="12.75">
      <c r="A95" s="77">
        <v>94</v>
      </c>
      <c r="B95" s="122">
        <v>45786</v>
      </c>
      <c r="C95" s="81">
        <v>2025</v>
      </c>
      <c r="D95" s="98">
        <v>5</v>
      </c>
      <c r="E95" s="77" t="s">
        <v>865</v>
      </c>
      <c r="F95" s="80" t="s">
        <v>10</v>
      </c>
      <c r="G95" s="81" t="s">
        <v>866</v>
      </c>
      <c r="H95" s="82">
        <v>600</v>
      </c>
      <c r="I95" s="93"/>
      <c r="J95" s="77"/>
      <c r="K95" s="100" t="b">
        <v>1</v>
      </c>
      <c r="L95" s="100"/>
      <c r="M95" s="84"/>
      <c r="N95" s="100"/>
      <c r="O95" s="100"/>
      <c r="P95" s="76"/>
      <c r="Q95" s="76"/>
      <c r="R95" s="76"/>
      <c r="S95" s="76"/>
      <c r="T95" s="76"/>
      <c r="U95" s="76"/>
      <c r="V95" s="76"/>
      <c r="W95" s="76"/>
    </row>
    <row r="96" spans="1:23" ht="12.75">
      <c r="A96" s="77">
        <v>95</v>
      </c>
      <c r="B96" s="122">
        <v>45788</v>
      </c>
      <c r="C96" s="81">
        <v>2025</v>
      </c>
      <c r="D96" s="98">
        <v>5</v>
      </c>
      <c r="E96" s="77" t="s">
        <v>865</v>
      </c>
      <c r="F96" s="80" t="s">
        <v>10</v>
      </c>
      <c r="G96" s="81" t="s">
        <v>866</v>
      </c>
      <c r="H96" s="82">
        <v>2.99</v>
      </c>
      <c r="I96" s="93"/>
      <c r="J96" s="77"/>
      <c r="K96" s="100" t="b">
        <v>1</v>
      </c>
      <c r="L96" s="100"/>
      <c r="M96" s="84"/>
      <c r="N96" s="100"/>
      <c r="O96" s="100"/>
      <c r="P96" s="76"/>
      <c r="Q96" s="76"/>
      <c r="R96" s="76"/>
      <c r="S96" s="76"/>
      <c r="T96" s="76"/>
      <c r="U96" s="76"/>
      <c r="V96" s="76"/>
      <c r="W96" s="76"/>
    </row>
    <row r="97" spans="1:23" ht="12.75">
      <c r="A97" s="77">
        <v>96</v>
      </c>
      <c r="B97" s="122">
        <v>45789</v>
      </c>
      <c r="C97" s="81">
        <v>2025</v>
      </c>
      <c r="D97" s="98">
        <v>5</v>
      </c>
      <c r="E97" s="77" t="s">
        <v>865</v>
      </c>
      <c r="F97" s="80" t="s">
        <v>10</v>
      </c>
      <c r="G97" s="81" t="s">
        <v>866</v>
      </c>
      <c r="H97" s="82">
        <v>287.39999999999998</v>
      </c>
      <c r="I97" s="93"/>
      <c r="J97" s="77"/>
      <c r="K97" s="100" t="b">
        <v>1</v>
      </c>
      <c r="L97" s="100"/>
      <c r="M97" s="84"/>
      <c r="N97" s="100"/>
      <c r="O97" s="100"/>
      <c r="P97" s="76"/>
      <c r="Q97" s="76"/>
      <c r="R97" s="76"/>
      <c r="S97" s="76"/>
      <c r="T97" s="76"/>
      <c r="U97" s="76"/>
      <c r="V97" s="76"/>
      <c r="W97" s="76"/>
    </row>
    <row r="98" spans="1:23" ht="12.75">
      <c r="A98" s="77">
        <v>97</v>
      </c>
      <c r="B98" s="122">
        <v>45790</v>
      </c>
      <c r="C98" s="81">
        <v>2025</v>
      </c>
      <c r="D98" s="98">
        <v>5</v>
      </c>
      <c r="E98" s="77" t="s">
        <v>865</v>
      </c>
      <c r="F98" s="80" t="s">
        <v>10</v>
      </c>
      <c r="G98" s="81" t="s">
        <v>866</v>
      </c>
      <c r="H98" s="82">
        <v>16.09</v>
      </c>
      <c r="I98" s="93"/>
      <c r="J98" s="77"/>
      <c r="K98" s="100" t="b">
        <v>1</v>
      </c>
      <c r="L98" s="100"/>
      <c r="M98" s="84"/>
      <c r="N98" s="100"/>
      <c r="O98" s="100"/>
      <c r="P98" s="76"/>
      <c r="Q98" s="76"/>
      <c r="R98" s="76"/>
      <c r="S98" s="76"/>
      <c r="T98" s="76"/>
      <c r="U98" s="76"/>
      <c r="V98" s="76"/>
      <c r="W98" s="76"/>
    </row>
    <row r="99" spans="1:23" ht="12.75">
      <c r="A99" s="77">
        <v>98</v>
      </c>
      <c r="B99" s="122">
        <v>45794</v>
      </c>
      <c r="C99" s="81">
        <v>2025</v>
      </c>
      <c r="D99" s="98">
        <v>5</v>
      </c>
      <c r="E99" s="77" t="s">
        <v>865</v>
      </c>
      <c r="F99" s="80" t="s">
        <v>879</v>
      </c>
      <c r="G99" s="81" t="s">
        <v>866</v>
      </c>
      <c r="H99" s="82">
        <v>3.99</v>
      </c>
      <c r="I99" s="93"/>
      <c r="J99" s="77"/>
      <c r="K99" s="100" t="b">
        <v>1</v>
      </c>
      <c r="L99" s="100"/>
      <c r="M99" s="84"/>
      <c r="N99" s="100"/>
      <c r="O99" s="100" t="s">
        <v>889</v>
      </c>
      <c r="P99" s="76"/>
      <c r="Q99" s="76"/>
      <c r="R99" s="76"/>
      <c r="S99" s="76"/>
      <c r="T99" s="76"/>
      <c r="U99" s="76"/>
      <c r="V99" s="76"/>
      <c r="W99" s="76"/>
    </row>
    <row r="100" spans="1:23" ht="12.75">
      <c r="A100" s="77">
        <v>99</v>
      </c>
      <c r="B100" s="122">
        <v>45794</v>
      </c>
      <c r="C100" s="81">
        <v>2025</v>
      </c>
      <c r="D100" s="98">
        <v>5</v>
      </c>
      <c r="E100" s="77" t="s">
        <v>865</v>
      </c>
      <c r="F100" s="80" t="s">
        <v>10</v>
      </c>
      <c r="G100" s="81" t="s">
        <v>866</v>
      </c>
      <c r="H100" s="82">
        <v>99.99</v>
      </c>
      <c r="I100" s="93"/>
      <c r="J100" s="77"/>
      <c r="K100" s="100" t="b">
        <v>1</v>
      </c>
      <c r="L100" s="100"/>
      <c r="M100" s="84"/>
      <c r="N100" s="100"/>
      <c r="O100" s="100"/>
      <c r="P100" s="76"/>
      <c r="Q100" s="76"/>
      <c r="R100" s="76"/>
      <c r="S100" s="76"/>
      <c r="T100" s="76"/>
      <c r="U100" s="76"/>
      <c r="V100" s="76"/>
      <c r="W100" s="76"/>
    </row>
    <row r="101" spans="1:23" ht="12.75">
      <c r="A101" s="77">
        <v>100</v>
      </c>
      <c r="B101" s="122">
        <v>45794</v>
      </c>
      <c r="C101" s="81">
        <v>2025</v>
      </c>
      <c r="D101" s="98">
        <v>5</v>
      </c>
      <c r="E101" s="77" t="s">
        <v>865</v>
      </c>
      <c r="F101" s="80" t="s">
        <v>10</v>
      </c>
      <c r="G101" s="81" t="s">
        <v>866</v>
      </c>
      <c r="H101" s="82">
        <v>160</v>
      </c>
      <c r="I101" s="93"/>
      <c r="J101" s="77"/>
      <c r="K101" s="100" t="b">
        <v>1</v>
      </c>
      <c r="L101" s="100"/>
      <c r="M101" s="84"/>
      <c r="N101" s="100"/>
      <c r="O101" s="100"/>
      <c r="P101" s="76"/>
      <c r="Q101" s="76"/>
      <c r="R101" s="76"/>
      <c r="S101" s="76"/>
      <c r="T101" s="76"/>
      <c r="U101" s="76"/>
      <c r="V101" s="76"/>
      <c r="W101" s="76"/>
    </row>
    <row r="102" spans="1:23" ht="12.75">
      <c r="A102" s="77">
        <v>101</v>
      </c>
      <c r="B102" s="122">
        <v>45795</v>
      </c>
      <c r="C102" s="81">
        <v>2025</v>
      </c>
      <c r="D102" s="98">
        <v>5</v>
      </c>
      <c r="E102" s="77" t="s">
        <v>865</v>
      </c>
      <c r="F102" s="80" t="s">
        <v>10</v>
      </c>
      <c r="G102" s="81" t="s">
        <v>866</v>
      </c>
      <c r="H102" s="82">
        <v>110</v>
      </c>
      <c r="I102" s="93"/>
      <c r="J102" s="77"/>
      <c r="K102" s="100" t="b">
        <v>1</v>
      </c>
      <c r="L102" s="100"/>
      <c r="M102" s="84"/>
      <c r="N102" s="100"/>
      <c r="O102" s="100"/>
      <c r="P102" s="76"/>
      <c r="Q102" s="76"/>
      <c r="R102" s="76"/>
      <c r="S102" s="76"/>
      <c r="T102" s="76"/>
      <c r="U102" s="76"/>
      <c r="V102" s="76"/>
      <c r="W102" s="76"/>
    </row>
    <row r="103" spans="1:23" ht="12.75">
      <c r="A103" s="77">
        <v>102</v>
      </c>
      <c r="B103" s="122">
        <v>45797</v>
      </c>
      <c r="C103" s="81">
        <v>2025</v>
      </c>
      <c r="D103" s="98">
        <v>5</v>
      </c>
      <c r="E103" s="77" t="s">
        <v>865</v>
      </c>
      <c r="F103" s="80" t="s">
        <v>10</v>
      </c>
      <c r="G103" s="81" t="s">
        <v>866</v>
      </c>
      <c r="H103" s="82">
        <v>8.99</v>
      </c>
      <c r="I103" s="93"/>
      <c r="J103" s="77"/>
      <c r="K103" s="100" t="b">
        <v>1</v>
      </c>
      <c r="L103" s="100"/>
      <c r="M103" s="84"/>
      <c r="N103" s="100"/>
      <c r="O103" s="100"/>
      <c r="P103" s="76"/>
      <c r="Q103" s="76"/>
      <c r="R103" s="76"/>
      <c r="S103" s="76"/>
      <c r="T103" s="76"/>
      <c r="U103" s="76"/>
      <c r="V103" s="76"/>
      <c r="W103" s="76"/>
    </row>
    <row r="104" spans="1:23" ht="12.75">
      <c r="A104" s="77">
        <v>103</v>
      </c>
      <c r="B104" s="122">
        <v>45799</v>
      </c>
      <c r="C104" s="81">
        <v>2025</v>
      </c>
      <c r="D104" s="98">
        <v>5</v>
      </c>
      <c r="E104" s="77" t="s">
        <v>865</v>
      </c>
      <c r="F104" s="80" t="s">
        <v>10</v>
      </c>
      <c r="G104" s="81" t="s">
        <v>866</v>
      </c>
      <c r="H104" s="82">
        <v>20.69</v>
      </c>
      <c r="I104" s="93"/>
      <c r="J104" s="77"/>
      <c r="K104" s="100" t="b">
        <v>1</v>
      </c>
      <c r="L104" s="100"/>
      <c r="M104" s="84"/>
      <c r="N104" s="100"/>
      <c r="O104" s="100"/>
      <c r="P104" s="76"/>
      <c r="Q104" s="76"/>
      <c r="R104" s="76"/>
      <c r="S104" s="76"/>
      <c r="T104" s="76"/>
      <c r="U104" s="76"/>
      <c r="V104" s="76"/>
      <c r="W104" s="76"/>
    </row>
    <row r="105" spans="1:23" ht="12.75">
      <c r="A105" s="77">
        <v>104</v>
      </c>
      <c r="B105" s="122">
        <v>45799</v>
      </c>
      <c r="C105" s="81">
        <v>2025</v>
      </c>
      <c r="D105" s="98">
        <v>5</v>
      </c>
      <c r="E105" s="77" t="s">
        <v>865</v>
      </c>
      <c r="F105" s="80" t="s">
        <v>10</v>
      </c>
      <c r="G105" s="81" t="s">
        <v>866</v>
      </c>
      <c r="H105" s="82">
        <v>11.69</v>
      </c>
      <c r="I105" s="93"/>
      <c r="J105" s="77"/>
      <c r="K105" s="100" t="b">
        <v>1</v>
      </c>
      <c r="L105" s="100"/>
      <c r="M105" s="84"/>
      <c r="N105" s="100"/>
      <c r="O105" s="100"/>
      <c r="P105" s="76"/>
      <c r="Q105" s="76"/>
      <c r="R105" s="76"/>
      <c r="S105" s="76"/>
      <c r="T105" s="76"/>
      <c r="U105" s="76"/>
      <c r="V105" s="76"/>
      <c r="W105" s="76"/>
    </row>
    <row r="106" spans="1:23" ht="12.75">
      <c r="A106" s="77">
        <v>105</v>
      </c>
      <c r="B106" s="122">
        <v>45803</v>
      </c>
      <c r="C106" s="81">
        <v>2025</v>
      </c>
      <c r="D106" s="98">
        <v>5</v>
      </c>
      <c r="E106" s="77" t="s">
        <v>865</v>
      </c>
      <c r="F106" s="80" t="s">
        <v>10</v>
      </c>
      <c r="G106" s="81" t="s">
        <v>866</v>
      </c>
      <c r="H106" s="82">
        <v>8.99</v>
      </c>
      <c r="I106" s="93"/>
      <c r="J106" s="77"/>
      <c r="K106" s="100" t="b">
        <v>1</v>
      </c>
      <c r="L106" s="100"/>
      <c r="M106" s="84"/>
      <c r="N106" s="100"/>
      <c r="O106" s="100"/>
      <c r="P106" s="76"/>
      <c r="Q106" s="76"/>
      <c r="R106" s="76"/>
      <c r="S106" s="76"/>
      <c r="T106" s="76"/>
      <c r="U106" s="76"/>
      <c r="V106" s="76"/>
      <c r="W106" s="76"/>
    </row>
    <row r="107" spans="1:23" ht="12.75">
      <c r="A107" s="77">
        <v>106</v>
      </c>
      <c r="B107" s="124">
        <v>45806</v>
      </c>
      <c r="C107" s="125">
        <v>2025</v>
      </c>
      <c r="D107" s="98">
        <v>5</v>
      </c>
      <c r="E107" s="126" t="s">
        <v>865</v>
      </c>
      <c r="F107" s="127" t="s">
        <v>10</v>
      </c>
      <c r="G107" s="81" t="s">
        <v>866</v>
      </c>
      <c r="H107" s="128">
        <v>215</v>
      </c>
      <c r="I107" s="129"/>
      <c r="J107" s="126"/>
      <c r="K107" s="125" t="b">
        <v>1</v>
      </c>
      <c r="L107" s="125"/>
      <c r="M107" s="130"/>
      <c r="N107" s="125"/>
      <c r="O107" s="360" t="s">
        <v>890</v>
      </c>
      <c r="P107" s="76"/>
      <c r="Q107" s="76"/>
      <c r="R107" s="76"/>
      <c r="S107" s="76"/>
      <c r="T107" s="76"/>
      <c r="U107" s="76"/>
      <c r="V107" s="76"/>
      <c r="W107" s="76"/>
    </row>
    <row r="108" spans="1:23" ht="12.75">
      <c r="A108" s="77">
        <v>107</v>
      </c>
      <c r="B108" s="124">
        <v>45807</v>
      </c>
      <c r="C108" s="125">
        <v>2025</v>
      </c>
      <c r="D108" s="98">
        <v>5</v>
      </c>
      <c r="E108" s="126" t="s">
        <v>865</v>
      </c>
      <c r="F108" s="127" t="s">
        <v>10</v>
      </c>
      <c r="G108" s="81" t="s">
        <v>866</v>
      </c>
      <c r="H108" s="128">
        <v>17</v>
      </c>
      <c r="I108" s="129"/>
      <c r="J108" s="126"/>
      <c r="K108" s="125" t="b">
        <v>1</v>
      </c>
      <c r="L108" s="125"/>
      <c r="M108" s="130"/>
      <c r="N108" s="125"/>
      <c r="O108" s="361"/>
      <c r="P108" s="76"/>
      <c r="Q108" s="76"/>
      <c r="R108" s="76"/>
      <c r="S108" s="76"/>
      <c r="T108" s="76"/>
      <c r="U108" s="76"/>
      <c r="V108" s="76"/>
      <c r="W108" s="76"/>
    </row>
    <row r="109" spans="1:23" ht="12.75">
      <c r="A109" s="77">
        <v>108</v>
      </c>
      <c r="B109" s="124">
        <v>45807</v>
      </c>
      <c r="C109" s="125">
        <v>2025</v>
      </c>
      <c r="D109" s="98">
        <v>5</v>
      </c>
      <c r="E109" s="126" t="s">
        <v>865</v>
      </c>
      <c r="F109" s="127" t="s">
        <v>10</v>
      </c>
      <c r="G109" s="81" t="s">
        <v>866</v>
      </c>
      <c r="H109" s="128">
        <v>17</v>
      </c>
      <c r="I109" s="129"/>
      <c r="J109" s="126"/>
      <c r="K109" s="125" t="b">
        <v>1</v>
      </c>
      <c r="L109" s="125"/>
      <c r="M109" s="130"/>
      <c r="N109" s="125"/>
      <c r="O109" s="359"/>
      <c r="P109" s="76"/>
      <c r="Q109" s="76"/>
      <c r="R109" s="76"/>
      <c r="S109" s="76"/>
      <c r="T109" s="76"/>
      <c r="U109" s="76"/>
      <c r="V109" s="76"/>
      <c r="W109" s="76"/>
    </row>
    <row r="110" spans="1:23" ht="12.75">
      <c r="A110" s="77">
        <v>109</v>
      </c>
      <c r="B110" s="122">
        <v>45808</v>
      </c>
      <c r="C110" s="81">
        <v>2025</v>
      </c>
      <c r="D110" s="98">
        <v>5</v>
      </c>
      <c r="E110" s="77" t="s">
        <v>865</v>
      </c>
      <c r="F110" s="80" t="s">
        <v>10</v>
      </c>
      <c r="G110" s="81" t="s">
        <v>866</v>
      </c>
      <c r="H110" s="82">
        <v>23.98</v>
      </c>
      <c r="I110" s="93"/>
      <c r="J110" s="77"/>
      <c r="K110" s="100" t="b">
        <v>1</v>
      </c>
      <c r="L110" s="100"/>
      <c r="M110" s="84"/>
      <c r="N110" s="100"/>
      <c r="O110" s="100"/>
      <c r="P110" s="76"/>
      <c r="Q110" s="76"/>
      <c r="R110" s="76"/>
      <c r="S110" s="76"/>
      <c r="T110" s="76"/>
      <c r="U110" s="76"/>
      <c r="V110" s="76"/>
      <c r="W110" s="76"/>
    </row>
    <row r="111" spans="1:23" ht="12.75">
      <c r="A111" s="77">
        <v>110</v>
      </c>
      <c r="B111" s="94">
        <v>45811</v>
      </c>
      <c r="C111" s="81">
        <v>2025</v>
      </c>
      <c r="D111" s="102">
        <v>6</v>
      </c>
      <c r="E111" s="77" t="s">
        <v>865</v>
      </c>
      <c r="F111" s="80" t="s">
        <v>10</v>
      </c>
      <c r="G111" s="81" t="s">
        <v>871</v>
      </c>
      <c r="H111" s="82"/>
      <c r="I111" s="93">
        <v>61.46</v>
      </c>
      <c r="J111" s="99" t="s">
        <v>867</v>
      </c>
      <c r="K111" s="100" t="b">
        <v>1</v>
      </c>
      <c r="L111" s="100"/>
      <c r="M111" s="84"/>
      <c r="N111" s="100"/>
      <c r="O111" s="100" t="s">
        <v>891</v>
      </c>
      <c r="P111" s="76"/>
      <c r="Q111" s="76"/>
      <c r="R111" s="76"/>
      <c r="S111" s="76"/>
      <c r="T111" s="76"/>
      <c r="U111" s="76"/>
      <c r="V111" s="76"/>
      <c r="W111" s="76"/>
    </row>
    <row r="112" spans="1:23" ht="12.75">
      <c r="A112" s="77">
        <v>111</v>
      </c>
      <c r="B112" s="94">
        <v>45811</v>
      </c>
      <c r="C112" s="81">
        <v>2025</v>
      </c>
      <c r="D112" s="102">
        <v>6</v>
      </c>
      <c r="E112" s="77" t="s">
        <v>865</v>
      </c>
      <c r="F112" s="80" t="s">
        <v>10</v>
      </c>
      <c r="G112" s="81" t="s">
        <v>871</v>
      </c>
      <c r="H112" s="82"/>
      <c r="I112" s="93">
        <v>30</v>
      </c>
      <c r="J112" s="99" t="s">
        <v>867</v>
      </c>
      <c r="K112" s="100" t="b">
        <v>1</v>
      </c>
      <c r="L112" s="100"/>
      <c r="M112" s="84"/>
      <c r="N112" s="100"/>
      <c r="O112" s="100" t="s">
        <v>892</v>
      </c>
      <c r="P112" s="76"/>
      <c r="Q112" s="76"/>
      <c r="R112" s="76"/>
      <c r="S112" s="76"/>
      <c r="T112" s="76"/>
      <c r="U112" s="76"/>
      <c r="V112" s="76"/>
      <c r="W112" s="76"/>
    </row>
    <row r="113" spans="1:23" ht="12.75">
      <c r="A113" s="77">
        <v>112</v>
      </c>
      <c r="B113" s="94">
        <v>45835</v>
      </c>
      <c r="C113" s="81">
        <v>2025</v>
      </c>
      <c r="D113" s="102">
        <v>6</v>
      </c>
      <c r="E113" s="77" t="s">
        <v>865</v>
      </c>
      <c r="F113" s="80" t="s">
        <v>10</v>
      </c>
      <c r="G113" s="81" t="s">
        <v>871</v>
      </c>
      <c r="H113" s="82"/>
      <c r="I113" s="93">
        <v>35.0075</v>
      </c>
      <c r="J113" s="99" t="s">
        <v>867</v>
      </c>
      <c r="K113" s="100" t="b">
        <v>1</v>
      </c>
      <c r="L113" s="100"/>
      <c r="M113" s="84"/>
      <c r="N113" s="100"/>
      <c r="O113" s="81" t="s">
        <v>873</v>
      </c>
      <c r="P113" s="76"/>
      <c r="Q113" s="76"/>
      <c r="R113" s="76"/>
      <c r="S113" s="76"/>
      <c r="T113" s="76"/>
      <c r="U113" s="76"/>
      <c r="V113" s="76"/>
      <c r="W113" s="76"/>
    </row>
    <row r="114" spans="1:23" ht="12.75">
      <c r="A114" s="77">
        <v>113</v>
      </c>
      <c r="B114" s="94">
        <v>45809</v>
      </c>
      <c r="C114" s="81">
        <v>2025</v>
      </c>
      <c r="D114" s="102">
        <v>6</v>
      </c>
      <c r="E114" s="77" t="s">
        <v>865</v>
      </c>
      <c r="F114" s="80" t="s">
        <v>10</v>
      </c>
      <c r="G114" s="81" t="s">
        <v>866</v>
      </c>
      <c r="H114" s="82">
        <v>23.98</v>
      </c>
      <c r="I114" s="93"/>
      <c r="J114" s="77"/>
      <c r="K114" s="100" t="b">
        <v>1</v>
      </c>
      <c r="L114" s="100"/>
      <c r="M114" s="84"/>
      <c r="N114" s="100"/>
      <c r="O114" s="100"/>
      <c r="P114" s="76"/>
      <c r="Q114" s="76"/>
      <c r="R114" s="76"/>
      <c r="S114" s="76"/>
      <c r="T114" s="76"/>
      <c r="U114" s="76"/>
      <c r="V114" s="76"/>
      <c r="W114" s="76"/>
    </row>
    <row r="115" spans="1:23" ht="12.75">
      <c r="A115" s="77">
        <v>114</v>
      </c>
      <c r="B115" s="94">
        <v>45809</v>
      </c>
      <c r="C115" s="81">
        <v>2025</v>
      </c>
      <c r="D115" s="102">
        <v>6</v>
      </c>
      <c r="E115" s="77" t="s">
        <v>865</v>
      </c>
      <c r="F115" s="80" t="s">
        <v>10</v>
      </c>
      <c r="G115" s="81" t="s">
        <v>866</v>
      </c>
      <c r="H115" s="82">
        <v>119.98</v>
      </c>
      <c r="I115" s="93"/>
      <c r="J115" s="77"/>
      <c r="K115" s="100" t="b">
        <v>1</v>
      </c>
      <c r="L115" s="100"/>
      <c r="M115" s="84"/>
      <c r="N115" s="100"/>
      <c r="O115" s="100"/>
      <c r="P115" s="76"/>
      <c r="Q115" s="76"/>
      <c r="R115" s="76"/>
      <c r="S115" s="76"/>
      <c r="T115" s="76"/>
      <c r="U115" s="76"/>
      <c r="V115" s="76"/>
      <c r="W115" s="76"/>
    </row>
    <row r="116" spans="1:23" ht="12.75">
      <c r="A116" s="77">
        <v>115</v>
      </c>
      <c r="B116" s="94">
        <v>45809</v>
      </c>
      <c r="C116" s="81">
        <v>2025</v>
      </c>
      <c r="D116" s="102">
        <v>6</v>
      </c>
      <c r="E116" s="77" t="s">
        <v>865</v>
      </c>
      <c r="F116" s="80" t="s">
        <v>10</v>
      </c>
      <c r="G116" s="81" t="s">
        <v>866</v>
      </c>
      <c r="H116" s="82">
        <v>10.39</v>
      </c>
      <c r="I116" s="93"/>
      <c r="J116" s="77"/>
      <c r="K116" s="131" t="b">
        <v>1</v>
      </c>
      <c r="L116" s="100"/>
      <c r="M116" s="84"/>
      <c r="N116" s="100"/>
      <c r="O116" s="100" t="s">
        <v>893</v>
      </c>
      <c r="P116" s="76"/>
      <c r="Q116" s="76"/>
      <c r="R116" s="76"/>
      <c r="S116" s="76"/>
      <c r="T116" s="76"/>
      <c r="U116" s="76"/>
      <c r="V116" s="76"/>
      <c r="W116" s="76"/>
    </row>
    <row r="117" spans="1:23" ht="12.75">
      <c r="A117" s="77">
        <v>116</v>
      </c>
      <c r="B117" s="94">
        <v>45812</v>
      </c>
      <c r="C117" s="81">
        <v>2025</v>
      </c>
      <c r="D117" s="102">
        <v>6</v>
      </c>
      <c r="E117" s="77" t="s">
        <v>865</v>
      </c>
      <c r="F117" s="80" t="s">
        <v>10</v>
      </c>
      <c r="G117" s="81" t="s">
        <v>866</v>
      </c>
      <c r="H117" s="82">
        <v>93.59</v>
      </c>
      <c r="I117" s="93"/>
      <c r="J117" s="77"/>
      <c r="K117" s="100" t="b">
        <v>1</v>
      </c>
      <c r="L117" s="100"/>
      <c r="M117" s="84"/>
      <c r="N117" s="100"/>
      <c r="O117" s="100"/>
      <c r="P117" s="76"/>
      <c r="Q117" s="76"/>
      <c r="R117" s="76"/>
      <c r="S117" s="76"/>
      <c r="T117" s="76"/>
      <c r="U117" s="76"/>
      <c r="V117" s="76"/>
      <c r="W117" s="76"/>
    </row>
    <row r="118" spans="1:23" ht="12.75">
      <c r="A118" s="77">
        <v>117</v>
      </c>
      <c r="B118" s="94">
        <v>45813</v>
      </c>
      <c r="C118" s="81">
        <v>2025</v>
      </c>
      <c r="D118" s="102">
        <v>6</v>
      </c>
      <c r="E118" s="77" t="s">
        <v>865</v>
      </c>
      <c r="F118" s="80" t="s">
        <v>10</v>
      </c>
      <c r="G118" s="81" t="s">
        <v>866</v>
      </c>
      <c r="H118" s="82">
        <v>110</v>
      </c>
      <c r="I118" s="93"/>
      <c r="J118" s="77"/>
      <c r="K118" s="100" t="b">
        <v>1</v>
      </c>
      <c r="L118" s="100"/>
      <c r="M118" s="84"/>
      <c r="N118" s="100"/>
      <c r="O118" s="100"/>
      <c r="P118" s="76"/>
      <c r="Q118" s="76"/>
      <c r="R118" s="76"/>
      <c r="S118" s="76"/>
      <c r="T118" s="76"/>
      <c r="U118" s="76"/>
      <c r="V118" s="76"/>
      <c r="W118" s="76"/>
    </row>
    <row r="119" spans="1:23" ht="12.75">
      <c r="A119" s="77">
        <v>118</v>
      </c>
      <c r="B119" s="94">
        <v>45813</v>
      </c>
      <c r="C119" s="81">
        <v>2025</v>
      </c>
      <c r="D119" s="102">
        <v>6</v>
      </c>
      <c r="E119" s="77" t="s">
        <v>865</v>
      </c>
      <c r="F119" s="80" t="s">
        <v>10</v>
      </c>
      <c r="G119" s="81" t="s">
        <v>866</v>
      </c>
      <c r="H119" s="82">
        <v>29.97</v>
      </c>
      <c r="I119" s="93"/>
      <c r="J119" s="77"/>
      <c r="K119" s="100" t="b">
        <v>1</v>
      </c>
      <c r="L119" s="100"/>
      <c r="M119" s="84"/>
      <c r="N119" s="100"/>
      <c r="O119" s="100"/>
      <c r="P119" s="76"/>
      <c r="Q119" s="76"/>
      <c r="R119" s="76"/>
      <c r="S119" s="76"/>
      <c r="T119" s="76"/>
      <c r="U119" s="76"/>
      <c r="V119" s="76"/>
      <c r="W119" s="76"/>
    </row>
    <row r="120" spans="1:23" ht="12.75">
      <c r="A120" s="77">
        <v>119</v>
      </c>
      <c r="B120" s="94">
        <v>45813</v>
      </c>
      <c r="C120" s="81">
        <v>2025</v>
      </c>
      <c r="D120" s="102">
        <v>6</v>
      </c>
      <c r="E120" s="77" t="s">
        <v>865</v>
      </c>
      <c r="F120" s="80" t="s">
        <v>10</v>
      </c>
      <c r="G120" s="81" t="s">
        <v>866</v>
      </c>
      <c r="H120" s="82">
        <v>0.99</v>
      </c>
      <c r="I120" s="93"/>
      <c r="J120" s="77"/>
      <c r="K120" s="131" t="b">
        <v>1</v>
      </c>
      <c r="L120" s="100"/>
      <c r="M120" s="84"/>
      <c r="N120" s="100"/>
      <c r="O120" s="100" t="s">
        <v>894</v>
      </c>
      <c r="P120" s="76"/>
      <c r="Q120" s="76"/>
      <c r="R120" s="76"/>
      <c r="S120" s="76"/>
      <c r="T120" s="76"/>
      <c r="U120" s="76"/>
      <c r="V120" s="76"/>
      <c r="W120" s="76"/>
    </row>
    <row r="121" spans="1:23" ht="12.75">
      <c r="A121" s="77">
        <v>120</v>
      </c>
      <c r="B121" s="94">
        <v>45813</v>
      </c>
      <c r="C121" s="81">
        <v>2025</v>
      </c>
      <c r="D121" s="102">
        <v>6</v>
      </c>
      <c r="E121" s="77" t="s">
        <v>865</v>
      </c>
      <c r="F121" s="80" t="s">
        <v>10</v>
      </c>
      <c r="G121" s="81" t="s">
        <v>866</v>
      </c>
      <c r="H121" s="82">
        <v>1.4</v>
      </c>
      <c r="I121" s="93"/>
      <c r="J121" s="77"/>
      <c r="K121" s="131" t="b">
        <v>1</v>
      </c>
      <c r="L121" s="100"/>
      <c r="M121" s="84"/>
      <c r="N121" s="100"/>
      <c r="O121" s="100" t="s">
        <v>895</v>
      </c>
      <c r="P121" s="76"/>
      <c r="Q121" s="76"/>
      <c r="R121" s="76"/>
      <c r="S121" s="76"/>
      <c r="T121" s="76"/>
      <c r="U121" s="76"/>
      <c r="V121" s="76"/>
      <c r="W121" s="76"/>
    </row>
    <row r="122" spans="1:23" ht="12.75">
      <c r="A122" s="77">
        <v>121</v>
      </c>
      <c r="B122" s="94">
        <v>45813</v>
      </c>
      <c r="C122" s="81">
        <v>2025</v>
      </c>
      <c r="D122" s="102">
        <v>6</v>
      </c>
      <c r="E122" s="77" t="s">
        <v>865</v>
      </c>
      <c r="F122" s="80" t="s">
        <v>10</v>
      </c>
      <c r="G122" s="81" t="s">
        <v>866</v>
      </c>
      <c r="H122" s="82">
        <v>14</v>
      </c>
      <c r="I122" s="93"/>
      <c r="J122" s="77"/>
      <c r="K122" s="100" t="b">
        <v>1</v>
      </c>
      <c r="L122" s="100"/>
      <c r="M122" s="84"/>
      <c r="N122" s="100"/>
      <c r="O122" s="100"/>
      <c r="P122" s="76"/>
      <c r="Q122" s="76"/>
      <c r="R122" s="76"/>
      <c r="S122" s="76"/>
      <c r="T122" s="76"/>
      <c r="U122" s="76"/>
      <c r="V122" s="76"/>
      <c r="W122" s="76"/>
    </row>
    <row r="123" spans="1:23" ht="12.75">
      <c r="A123" s="77">
        <v>122</v>
      </c>
      <c r="B123" s="94">
        <v>45814</v>
      </c>
      <c r="C123" s="81">
        <v>2025</v>
      </c>
      <c r="D123" s="102">
        <v>6</v>
      </c>
      <c r="E123" s="77" t="s">
        <v>865</v>
      </c>
      <c r="F123" s="80" t="s">
        <v>10</v>
      </c>
      <c r="G123" s="81" t="s">
        <v>866</v>
      </c>
      <c r="H123" s="82">
        <v>69.760454052249401</v>
      </c>
      <c r="I123" s="93"/>
      <c r="J123" s="77"/>
      <c r="K123" s="100" t="b">
        <v>1</v>
      </c>
      <c r="L123" s="100"/>
      <c r="M123" s="84"/>
      <c r="N123" s="100"/>
      <c r="O123" s="100"/>
      <c r="P123" s="76"/>
      <c r="Q123" s="76"/>
      <c r="R123" s="76"/>
      <c r="S123" s="76"/>
      <c r="T123" s="76"/>
      <c r="U123" s="76"/>
      <c r="V123" s="76"/>
      <c r="W123" s="76"/>
    </row>
    <row r="124" spans="1:23" ht="12.75">
      <c r="A124" s="77">
        <v>123</v>
      </c>
      <c r="B124" s="94">
        <v>45815</v>
      </c>
      <c r="C124" s="81">
        <v>2025</v>
      </c>
      <c r="D124" s="102">
        <v>6</v>
      </c>
      <c r="E124" s="77" t="s">
        <v>865</v>
      </c>
      <c r="F124" s="80" t="s">
        <v>10</v>
      </c>
      <c r="G124" s="81" t="s">
        <v>866</v>
      </c>
      <c r="H124" s="82">
        <v>17.989999999999998</v>
      </c>
      <c r="I124" s="93"/>
      <c r="J124" s="77"/>
      <c r="K124" s="100" t="b">
        <v>1</v>
      </c>
      <c r="L124" s="100"/>
      <c r="M124" s="84"/>
      <c r="N124" s="100"/>
      <c r="O124" s="100"/>
      <c r="P124" s="76"/>
      <c r="Q124" s="76"/>
      <c r="R124" s="76"/>
      <c r="S124" s="76"/>
      <c r="T124" s="76"/>
      <c r="U124" s="76"/>
      <c r="V124" s="76"/>
      <c r="W124" s="76"/>
    </row>
    <row r="125" spans="1:23" ht="12.75">
      <c r="A125" s="77">
        <v>124</v>
      </c>
      <c r="B125" s="94">
        <v>45815</v>
      </c>
      <c r="C125" s="81">
        <v>2025</v>
      </c>
      <c r="D125" s="102">
        <v>6</v>
      </c>
      <c r="E125" s="77" t="s">
        <v>865</v>
      </c>
      <c r="F125" s="80" t="s">
        <v>10</v>
      </c>
      <c r="G125" s="81" t="s">
        <v>866</v>
      </c>
      <c r="H125" s="82">
        <v>7.99</v>
      </c>
      <c r="I125" s="93"/>
      <c r="J125" s="77"/>
      <c r="K125" s="100" t="b">
        <v>1</v>
      </c>
      <c r="L125" s="100"/>
      <c r="M125" s="84"/>
      <c r="N125" s="100"/>
      <c r="O125" s="100"/>
      <c r="P125" s="76"/>
      <c r="Q125" s="76"/>
      <c r="R125" s="76"/>
      <c r="S125" s="76"/>
      <c r="T125" s="76"/>
      <c r="U125" s="76"/>
      <c r="V125" s="76"/>
      <c r="W125" s="76"/>
    </row>
    <row r="126" spans="1:23" ht="12.75">
      <c r="A126" s="77">
        <v>125</v>
      </c>
      <c r="B126" s="94">
        <v>45815</v>
      </c>
      <c r="C126" s="81">
        <v>2025</v>
      </c>
      <c r="D126" s="102">
        <v>6</v>
      </c>
      <c r="E126" s="77" t="s">
        <v>865</v>
      </c>
      <c r="F126" s="80" t="s">
        <v>10</v>
      </c>
      <c r="G126" s="81" t="s">
        <v>866</v>
      </c>
      <c r="H126" s="82">
        <v>20.25</v>
      </c>
      <c r="I126" s="93"/>
      <c r="J126" s="77"/>
      <c r="K126" s="131" t="b">
        <v>1</v>
      </c>
      <c r="L126" s="100"/>
      <c r="M126" s="84"/>
      <c r="N126" s="100"/>
      <c r="O126" s="100" t="s">
        <v>896</v>
      </c>
      <c r="P126" s="76"/>
      <c r="Q126" s="76"/>
      <c r="R126" s="76"/>
      <c r="S126" s="76"/>
      <c r="T126" s="76"/>
      <c r="U126" s="76"/>
      <c r="V126" s="76"/>
      <c r="W126" s="76"/>
    </row>
    <row r="127" spans="1:23" ht="12.75">
      <c r="A127" s="77">
        <v>126</v>
      </c>
      <c r="B127" s="94">
        <v>45817</v>
      </c>
      <c r="C127" s="81">
        <v>2025</v>
      </c>
      <c r="D127" s="102">
        <v>6</v>
      </c>
      <c r="E127" s="77" t="s">
        <v>865</v>
      </c>
      <c r="F127" s="80" t="s">
        <v>10</v>
      </c>
      <c r="G127" s="81" t="s">
        <v>866</v>
      </c>
      <c r="H127" s="82">
        <v>6.9895991423121373</v>
      </c>
      <c r="I127" s="93"/>
      <c r="J127" s="77"/>
      <c r="K127" s="100" t="b">
        <v>1</v>
      </c>
      <c r="L127" s="100"/>
      <c r="M127" s="84"/>
      <c r="N127" s="100"/>
      <c r="O127" s="100"/>
      <c r="P127" s="76"/>
      <c r="Q127" s="76"/>
      <c r="R127" s="76"/>
      <c r="S127" s="76"/>
      <c r="T127" s="76"/>
      <c r="U127" s="76"/>
      <c r="V127" s="76"/>
      <c r="W127" s="76"/>
    </row>
    <row r="128" spans="1:23" ht="12.75">
      <c r="A128" s="77">
        <v>127</v>
      </c>
      <c r="B128" s="94">
        <v>45818</v>
      </c>
      <c r="C128" s="81">
        <v>2025</v>
      </c>
      <c r="D128" s="102">
        <v>6</v>
      </c>
      <c r="E128" s="77" t="s">
        <v>865</v>
      </c>
      <c r="F128" s="80" t="s">
        <v>10</v>
      </c>
      <c r="G128" s="81" t="s">
        <v>866</v>
      </c>
      <c r="H128" s="82">
        <v>2.39</v>
      </c>
      <c r="I128" s="93"/>
      <c r="J128" s="77"/>
      <c r="K128" s="131" t="b">
        <v>1</v>
      </c>
      <c r="L128" s="100"/>
      <c r="M128" s="84"/>
      <c r="N128" s="100"/>
      <c r="O128" s="100" t="s">
        <v>897</v>
      </c>
      <c r="P128" s="76"/>
      <c r="Q128" s="76"/>
      <c r="R128" s="76"/>
      <c r="S128" s="76"/>
      <c r="T128" s="76"/>
      <c r="U128" s="76"/>
      <c r="V128" s="76"/>
      <c r="W128" s="76"/>
    </row>
    <row r="129" spans="1:23" ht="12.75">
      <c r="A129" s="77">
        <v>128</v>
      </c>
      <c r="B129" s="94">
        <v>45818</v>
      </c>
      <c r="C129" s="81">
        <v>2025</v>
      </c>
      <c r="D129" s="102">
        <v>6</v>
      </c>
      <c r="E129" s="77" t="s">
        <v>865</v>
      </c>
      <c r="F129" s="80" t="s">
        <v>10</v>
      </c>
      <c r="G129" s="81" t="s">
        <v>866</v>
      </c>
      <c r="H129" s="82">
        <v>600</v>
      </c>
      <c r="I129" s="93"/>
      <c r="J129" s="77"/>
      <c r="K129" s="100" t="b">
        <v>1</v>
      </c>
      <c r="L129" s="100"/>
      <c r="M129" s="84"/>
      <c r="N129" s="100"/>
      <c r="O129" s="100"/>
      <c r="P129" s="76"/>
      <c r="Q129" s="76"/>
      <c r="R129" s="76"/>
      <c r="S129" s="76"/>
      <c r="T129" s="76"/>
      <c r="U129" s="76"/>
      <c r="V129" s="76"/>
      <c r="W129" s="76"/>
    </row>
    <row r="130" spans="1:23" ht="12.75">
      <c r="A130" s="77">
        <v>129</v>
      </c>
      <c r="B130" s="94">
        <v>45818</v>
      </c>
      <c r="C130" s="81">
        <v>2025</v>
      </c>
      <c r="D130" s="102">
        <v>6</v>
      </c>
      <c r="E130" s="77" t="s">
        <v>865</v>
      </c>
      <c r="F130" s="80" t="s">
        <v>10</v>
      </c>
      <c r="G130" s="81" t="s">
        <v>866</v>
      </c>
      <c r="H130" s="82">
        <v>14</v>
      </c>
      <c r="I130" s="93"/>
      <c r="J130" s="77"/>
      <c r="K130" s="100" t="b">
        <v>1</v>
      </c>
      <c r="L130" s="100"/>
      <c r="M130" s="84"/>
      <c r="N130" s="100"/>
      <c r="O130" s="100"/>
      <c r="P130" s="76"/>
      <c r="Q130" s="76"/>
      <c r="R130" s="76"/>
      <c r="S130" s="76"/>
      <c r="T130" s="76"/>
      <c r="U130" s="76"/>
      <c r="V130" s="76"/>
      <c r="W130" s="76"/>
    </row>
    <row r="131" spans="1:23" ht="12.75">
      <c r="A131" s="77">
        <v>130</v>
      </c>
      <c r="B131" s="94">
        <v>45818</v>
      </c>
      <c r="C131" s="81">
        <v>2025</v>
      </c>
      <c r="D131" s="102">
        <v>6</v>
      </c>
      <c r="E131" s="77" t="s">
        <v>865</v>
      </c>
      <c r="F131" s="80" t="s">
        <v>10</v>
      </c>
      <c r="G131" s="81" t="s">
        <v>866</v>
      </c>
      <c r="H131" s="82">
        <v>20.69</v>
      </c>
      <c r="I131" s="93"/>
      <c r="J131" s="77"/>
      <c r="K131" s="100" t="b">
        <v>1</v>
      </c>
      <c r="L131" s="100"/>
      <c r="M131" s="84"/>
      <c r="N131" s="100"/>
      <c r="O131" s="100"/>
      <c r="P131" s="76"/>
      <c r="Q131" s="76"/>
      <c r="R131" s="76"/>
      <c r="S131" s="76"/>
      <c r="T131" s="76"/>
      <c r="U131" s="76"/>
      <c r="V131" s="76"/>
      <c r="W131" s="76"/>
    </row>
    <row r="132" spans="1:23" ht="12.75">
      <c r="A132" s="77">
        <v>131</v>
      </c>
      <c r="B132" s="94">
        <v>45827</v>
      </c>
      <c r="C132" s="81">
        <v>2025</v>
      </c>
      <c r="D132" s="102">
        <v>6</v>
      </c>
      <c r="E132" s="77" t="s">
        <v>865</v>
      </c>
      <c r="F132" s="80" t="s">
        <v>10</v>
      </c>
      <c r="G132" s="81" t="s">
        <v>866</v>
      </c>
      <c r="H132" s="82">
        <v>283.08</v>
      </c>
      <c r="I132" s="93"/>
      <c r="J132" s="77"/>
      <c r="K132" s="100" t="b">
        <v>1</v>
      </c>
      <c r="L132" s="100"/>
      <c r="M132" s="84"/>
      <c r="N132" s="100"/>
      <c r="O132" s="100"/>
      <c r="P132" s="76"/>
      <c r="Q132" s="76"/>
      <c r="R132" s="76"/>
      <c r="S132" s="76"/>
      <c r="T132" s="76"/>
      <c r="U132" s="76"/>
      <c r="V132" s="76"/>
      <c r="W132" s="76"/>
    </row>
    <row r="133" spans="1:23" ht="12.75">
      <c r="A133" s="77">
        <v>132</v>
      </c>
      <c r="B133" s="94">
        <v>45827</v>
      </c>
      <c r="C133" s="81">
        <v>2025</v>
      </c>
      <c r="D133" s="102">
        <v>6</v>
      </c>
      <c r="E133" s="77" t="s">
        <v>865</v>
      </c>
      <c r="F133" s="80" t="s">
        <v>10</v>
      </c>
      <c r="G133" s="81" t="s">
        <v>866</v>
      </c>
      <c r="H133" s="82">
        <v>381.59</v>
      </c>
      <c r="I133" s="93"/>
      <c r="J133" s="77"/>
      <c r="K133" s="100" t="b">
        <v>1</v>
      </c>
      <c r="L133" s="100"/>
      <c r="M133" s="84"/>
      <c r="N133" s="100"/>
      <c r="O133" s="100"/>
      <c r="P133" s="76"/>
      <c r="Q133" s="76"/>
      <c r="R133" s="76"/>
      <c r="S133" s="76"/>
      <c r="T133" s="76"/>
      <c r="U133" s="76"/>
      <c r="V133" s="76"/>
      <c r="W133" s="76"/>
    </row>
    <row r="134" spans="1:23" ht="12.75">
      <c r="A134" s="77">
        <v>133</v>
      </c>
      <c r="B134" s="94">
        <v>45827</v>
      </c>
      <c r="C134" s="81">
        <v>2025</v>
      </c>
      <c r="D134" s="102">
        <v>6</v>
      </c>
      <c r="E134" s="77" t="s">
        <v>865</v>
      </c>
      <c r="F134" s="80" t="s">
        <v>10</v>
      </c>
      <c r="G134" s="81" t="s">
        <v>866</v>
      </c>
      <c r="H134" s="82">
        <v>122.4</v>
      </c>
      <c r="I134" s="93"/>
      <c r="J134" s="77"/>
      <c r="K134" s="100" t="b">
        <v>1</v>
      </c>
      <c r="L134" s="100"/>
      <c r="M134" s="84"/>
      <c r="N134" s="100"/>
      <c r="O134" s="100"/>
      <c r="P134" s="76"/>
      <c r="Q134" s="76"/>
      <c r="R134" s="76"/>
      <c r="S134" s="76"/>
      <c r="T134" s="76"/>
      <c r="U134" s="76"/>
      <c r="V134" s="76"/>
      <c r="W134" s="76"/>
    </row>
    <row r="135" spans="1:23" ht="12.75">
      <c r="A135" s="77">
        <v>134</v>
      </c>
      <c r="B135" s="94">
        <v>45827</v>
      </c>
      <c r="C135" s="81">
        <v>2025</v>
      </c>
      <c r="D135" s="102">
        <v>6</v>
      </c>
      <c r="E135" s="77" t="s">
        <v>865</v>
      </c>
      <c r="F135" s="80" t="s">
        <v>10</v>
      </c>
      <c r="G135" s="81" t="s">
        <v>866</v>
      </c>
      <c r="H135" s="82">
        <v>110</v>
      </c>
      <c r="I135" s="93"/>
      <c r="J135" s="77"/>
      <c r="K135" s="100" t="b">
        <v>1</v>
      </c>
      <c r="L135" s="100"/>
      <c r="M135" s="84"/>
      <c r="N135" s="100"/>
      <c r="O135" s="100"/>
      <c r="P135" s="76"/>
      <c r="Q135" s="76"/>
      <c r="R135" s="76"/>
      <c r="S135" s="76"/>
      <c r="T135" s="76"/>
      <c r="U135" s="76"/>
      <c r="V135" s="76"/>
      <c r="W135" s="76"/>
    </row>
    <row r="136" spans="1:23" ht="12.75">
      <c r="A136" s="77">
        <v>135</v>
      </c>
      <c r="B136" s="94">
        <v>45827</v>
      </c>
      <c r="C136" s="81">
        <v>2025</v>
      </c>
      <c r="D136" s="102">
        <v>6</v>
      </c>
      <c r="E136" s="77" t="s">
        <v>865</v>
      </c>
      <c r="F136" s="80" t="s">
        <v>10</v>
      </c>
      <c r="G136" s="81" t="s">
        <v>866</v>
      </c>
      <c r="H136" s="82">
        <v>25.25</v>
      </c>
      <c r="I136" s="93"/>
      <c r="J136" s="77"/>
      <c r="K136" s="100" t="b">
        <v>1</v>
      </c>
      <c r="L136" s="100"/>
      <c r="M136" s="84"/>
      <c r="N136" s="100"/>
      <c r="O136" s="100"/>
      <c r="P136" s="76"/>
      <c r="Q136" s="76"/>
      <c r="R136" s="76"/>
      <c r="S136" s="76"/>
      <c r="T136" s="76"/>
      <c r="U136" s="76"/>
      <c r="V136" s="76"/>
      <c r="W136" s="76"/>
    </row>
    <row r="137" spans="1:23" ht="12.75">
      <c r="A137" s="77">
        <v>136</v>
      </c>
      <c r="B137" s="94">
        <v>45827</v>
      </c>
      <c r="C137" s="81">
        <v>2025</v>
      </c>
      <c r="D137" s="102">
        <v>6</v>
      </c>
      <c r="E137" s="77" t="s">
        <v>865</v>
      </c>
      <c r="F137" s="80" t="s">
        <v>10</v>
      </c>
      <c r="G137" s="81" t="s">
        <v>866</v>
      </c>
      <c r="H137" s="82">
        <v>69.989999999999995</v>
      </c>
      <c r="I137" s="93"/>
      <c r="J137" s="77"/>
      <c r="K137" s="100" t="b">
        <v>1</v>
      </c>
      <c r="L137" s="100"/>
      <c r="M137" s="84"/>
      <c r="N137" s="100"/>
      <c r="O137" s="100"/>
      <c r="P137" s="76"/>
      <c r="Q137" s="76"/>
      <c r="R137" s="76"/>
      <c r="S137" s="76"/>
      <c r="T137" s="76"/>
      <c r="U137" s="76"/>
      <c r="V137" s="76"/>
      <c r="W137" s="76"/>
    </row>
    <row r="138" spans="1:23" ht="12.75">
      <c r="A138" s="77">
        <v>137</v>
      </c>
      <c r="B138" s="94">
        <v>45827</v>
      </c>
      <c r="C138" s="81">
        <v>2025</v>
      </c>
      <c r="D138" s="102">
        <v>6</v>
      </c>
      <c r="E138" s="77" t="s">
        <v>865</v>
      </c>
      <c r="F138" s="80" t="s">
        <v>10</v>
      </c>
      <c r="G138" s="81" t="s">
        <v>866</v>
      </c>
      <c r="H138" s="82">
        <v>25.25</v>
      </c>
      <c r="I138" s="93"/>
      <c r="J138" s="77"/>
      <c r="K138" s="100" t="b">
        <v>1</v>
      </c>
      <c r="L138" s="100"/>
      <c r="M138" s="84"/>
      <c r="N138" s="100"/>
      <c r="O138" s="100"/>
      <c r="P138" s="76"/>
      <c r="Q138" s="76"/>
      <c r="R138" s="76"/>
      <c r="S138" s="76"/>
      <c r="T138" s="76"/>
      <c r="U138" s="76"/>
      <c r="V138" s="76"/>
      <c r="W138" s="76"/>
    </row>
    <row r="139" spans="1:23" ht="12.75">
      <c r="A139" s="77">
        <v>138</v>
      </c>
      <c r="B139" s="94">
        <v>45831</v>
      </c>
      <c r="C139" s="81">
        <v>2025</v>
      </c>
      <c r="D139" s="102">
        <v>6</v>
      </c>
      <c r="E139" s="77" t="s">
        <v>865</v>
      </c>
      <c r="F139" s="80" t="s">
        <v>10</v>
      </c>
      <c r="G139" s="81" t="s">
        <v>866</v>
      </c>
      <c r="H139" s="82">
        <v>0</v>
      </c>
      <c r="I139" s="93"/>
      <c r="J139" s="77">
        <v>13.8627</v>
      </c>
      <c r="K139" s="100" t="b">
        <v>0</v>
      </c>
      <c r="L139" s="100"/>
      <c r="M139" s="84"/>
      <c r="N139" s="100"/>
      <c r="O139" s="100" t="s">
        <v>898</v>
      </c>
      <c r="P139" s="76"/>
      <c r="Q139" s="76"/>
      <c r="R139" s="76"/>
      <c r="S139" s="76"/>
      <c r="T139" s="76"/>
      <c r="U139" s="76"/>
      <c r="V139" s="76"/>
      <c r="W139" s="76"/>
    </row>
    <row r="140" spans="1:23" ht="12.75">
      <c r="A140" s="77">
        <v>139</v>
      </c>
      <c r="B140" s="94">
        <v>45835</v>
      </c>
      <c r="C140" s="81">
        <v>2025</v>
      </c>
      <c r="D140" s="102">
        <v>6</v>
      </c>
      <c r="E140" s="77" t="s">
        <v>865</v>
      </c>
      <c r="F140" s="80" t="s">
        <v>10</v>
      </c>
      <c r="G140" s="81" t="s">
        <v>866</v>
      </c>
      <c r="H140" s="82">
        <v>11.69</v>
      </c>
      <c r="I140" s="93"/>
      <c r="J140" s="77"/>
      <c r="K140" s="100" t="b">
        <v>1</v>
      </c>
      <c r="L140" s="100"/>
      <c r="M140" s="84"/>
      <c r="N140" s="100"/>
      <c r="O140" s="100"/>
      <c r="P140" s="76"/>
      <c r="Q140" s="76"/>
      <c r="R140" s="76"/>
      <c r="S140" s="76"/>
      <c r="T140" s="76"/>
      <c r="U140" s="76"/>
      <c r="V140" s="76"/>
      <c r="W140" s="76"/>
    </row>
    <row r="141" spans="1:23" ht="12.75">
      <c r="A141" s="77">
        <v>140</v>
      </c>
      <c r="B141" s="94">
        <v>45836</v>
      </c>
      <c r="C141" s="81">
        <v>2025</v>
      </c>
      <c r="D141" s="102">
        <v>6</v>
      </c>
      <c r="E141" s="77" t="s">
        <v>865</v>
      </c>
      <c r="F141" s="80" t="s">
        <v>10</v>
      </c>
      <c r="G141" s="81" t="s">
        <v>866</v>
      </c>
      <c r="H141" s="82">
        <v>13.99</v>
      </c>
      <c r="I141" s="93"/>
      <c r="J141" s="77"/>
      <c r="K141" s="100" t="b">
        <v>1</v>
      </c>
      <c r="L141" s="100"/>
      <c r="M141" s="84"/>
      <c r="N141" s="100"/>
      <c r="O141" s="100"/>
      <c r="P141" s="76"/>
      <c r="Q141" s="76"/>
      <c r="R141" s="76"/>
      <c r="S141" s="76"/>
      <c r="T141" s="76"/>
      <c r="U141" s="76"/>
      <c r="V141" s="76"/>
      <c r="W141" s="76"/>
    </row>
    <row r="142" spans="1:23" ht="12.75">
      <c r="A142" s="77">
        <v>141</v>
      </c>
      <c r="B142" s="94">
        <v>45837</v>
      </c>
      <c r="C142" s="81">
        <v>2025</v>
      </c>
      <c r="D142" s="102">
        <v>6</v>
      </c>
      <c r="E142" s="77" t="s">
        <v>865</v>
      </c>
      <c r="F142" s="80" t="s">
        <v>10</v>
      </c>
      <c r="G142" s="81" t="s">
        <v>866</v>
      </c>
      <c r="H142" s="82">
        <v>34</v>
      </c>
      <c r="I142" s="93"/>
      <c r="J142" s="77"/>
      <c r="K142" s="100" t="b">
        <v>1</v>
      </c>
      <c r="L142" s="100"/>
      <c r="M142" s="84"/>
      <c r="N142" s="100"/>
      <c r="O142" s="100"/>
      <c r="P142" s="76"/>
      <c r="Q142" s="76"/>
      <c r="R142" s="76"/>
      <c r="S142" s="76"/>
      <c r="T142" s="76"/>
      <c r="U142" s="76"/>
      <c r="V142" s="76"/>
      <c r="W142" s="76"/>
    </row>
    <row r="143" spans="1:23" ht="12.75">
      <c r="A143" s="77">
        <v>142</v>
      </c>
      <c r="B143" s="94">
        <v>45848</v>
      </c>
      <c r="C143" s="81">
        <v>2025</v>
      </c>
      <c r="D143" s="98">
        <v>7</v>
      </c>
      <c r="E143" s="77" t="s">
        <v>865</v>
      </c>
      <c r="F143" s="80" t="s">
        <v>10</v>
      </c>
      <c r="G143" s="81" t="s">
        <v>871</v>
      </c>
      <c r="H143" s="82"/>
      <c r="I143" s="93">
        <v>1185.1400000000001</v>
      </c>
      <c r="J143" s="99" t="s">
        <v>867</v>
      </c>
      <c r="K143" s="132" t="b">
        <v>1</v>
      </c>
      <c r="L143" s="100"/>
      <c r="M143" s="84"/>
      <c r="N143" s="100"/>
      <c r="O143" s="100" t="s">
        <v>899</v>
      </c>
      <c r="P143" s="76"/>
      <c r="Q143" s="76"/>
      <c r="R143" s="76"/>
      <c r="S143" s="76"/>
      <c r="T143" s="76"/>
      <c r="U143" s="76"/>
      <c r="V143" s="76"/>
      <c r="W143" s="76"/>
    </row>
    <row r="144" spans="1:23" ht="12.75">
      <c r="A144" s="77">
        <v>143</v>
      </c>
      <c r="B144" s="94">
        <v>45844</v>
      </c>
      <c r="C144" s="81">
        <v>2025</v>
      </c>
      <c r="D144" s="98">
        <v>7</v>
      </c>
      <c r="E144" s="77" t="s">
        <v>865</v>
      </c>
      <c r="F144" s="80" t="s">
        <v>10</v>
      </c>
      <c r="G144" s="81" t="s">
        <v>871</v>
      </c>
      <c r="H144" s="82"/>
      <c r="I144" s="93">
        <v>133.01</v>
      </c>
      <c r="J144" s="99" t="s">
        <v>867</v>
      </c>
      <c r="K144" s="132" t="b">
        <v>1</v>
      </c>
      <c r="L144" s="100"/>
      <c r="M144" s="84"/>
      <c r="N144" s="100"/>
      <c r="O144" s="81" t="s">
        <v>872</v>
      </c>
      <c r="P144" s="76"/>
      <c r="Q144" s="76"/>
      <c r="R144" s="76"/>
      <c r="S144" s="76"/>
      <c r="T144" s="76"/>
      <c r="U144" s="76"/>
      <c r="V144" s="76"/>
      <c r="W144" s="76"/>
    </row>
    <row r="145" spans="1:23" ht="12.75">
      <c r="A145" s="77">
        <v>144</v>
      </c>
      <c r="B145" s="94">
        <v>45853</v>
      </c>
      <c r="C145" s="81">
        <v>2025</v>
      </c>
      <c r="D145" s="98">
        <v>7</v>
      </c>
      <c r="E145" s="77" t="s">
        <v>865</v>
      </c>
      <c r="F145" s="80" t="s">
        <v>10</v>
      </c>
      <c r="G145" s="81" t="s">
        <v>871</v>
      </c>
      <c r="H145" s="82"/>
      <c r="I145" s="93">
        <v>126.76</v>
      </c>
      <c r="J145" s="99" t="s">
        <v>867</v>
      </c>
      <c r="K145" s="132" t="b">
        <v>1</v>
      </c>
      <c r="L145" s="100"/>
      <c r="M145" s="84"/>
      <c r="N145" s="100"/>
      <c r="O145" s="100" t="s">
        <v>900</v>
      </c>
      <c r="P145" s="76"/>
      <c r="Q145" s="76"/>
      <c r="R145" s="76"/>
      <c r="S145" s="76"/>
      <c r="T145" s="76"/>
      <c r="U145" s="76"/>
      <c r="V145" s="76"/>
      <c r="W145" s="76"/>
    </row>
    <row r="146" spans="1:23" ht="12.75">
      <c r="A146" s="77">
        <v>145</v>
      </c>
      <c r="B146" s="94">
        <v>45848</v>
      </c>
      <c r="C146" s="81">
        <v>2025</v>
      </c>
      <c r="D146" s="98">
        <v>7</v>
      </c>
      <c r="E146" s="77" t="s">
        <v>865</v>
      </c>
      <c r="F146" s="80" t="s">
        <v>10</v>
      </c>
      <c r="G146" s="81" t="s">
        <v>871</v>
      </c>
      <c r="H146" s="82"/>
      <c r="I146" s="93"/>
      <c r="J146" s="99"/>
      <c r="K146" s="100"/>
      <c r="L146" s="100"/>
      <c r="M146" s="84"/>
      <c r="N146" s="100"/>
      <c r="O146" s="133" t="s">
        <v>901</v>
      </c>
      <c r="P146" s="76"/>
      <c r="Q146" s="76"/>
      <c r="R146" s="76"/>
      <c r="S146" s="76"/>
      <c r="T146" s="76"/>
      <c r="U146" s="76"/>
      <c r="V146" s="76"/>
      <c r="W146" s="76"/>
    </row>
    <row r="147" spans="1:23" ht="12.75">
      <c r="A147" s="77">
        <v>146</v>
      </c>
      <c r="B147" s="94">
        <v>45848</v>
      </c>
      <c r="C147" s="81">
        <v>2025</v>
      </c>
      <c r="D147" s="98">
        <v>7</v>
      </c>
      <c r="E147" s="77" t="s">
        <v>865</v>
      </c>
      <c r="F147" s="80" t="s">
        <v>10</v>
      </c>
      <c r="G147" s="81" t="s">
        <v>871</v>
      </c>
      <c r="H147" s="82"/>
      <c r="I147" s="93">
        <v>6</v>
      </c>
      <c r="J147" s="99" t="s">
        <v>867</v>
      </c>
      <c r="K147" s="132" t="b">
        <v>1</v>
      </c>
      <c r="L147" s="100"/>
      <c r="M147" s="84"/>
      <c r="N147" s="100"/>
      <c r="O147" s="100" t="s">
        <v>902</v>
      </c>
      <c r="P147" s="76"/>
      <c r="Q147" s="76"/>
      <c r="R147" s="76"/>
      <c r="S147" s="76"/>
      <c r="T147" s="76"/>
      <c r="U147" s="76"/>
      <c r="V147" s="76"/>
      <c r="W147" s="76"/>
    </row>
    <row r="148" spans="1:23" ht="12.75">
      <c r="A148" s="77">
        <v>147</v>
      </c>
      <c r="B148" s="94">
        <v>45861</v>
      </c>
      <c r="C148" s="81">
        <v>2025</v>
      </c>
      <c r="D148" s="98">
        <v>7</v>
      </c>
      <c r="E148" s="77" t="s">
        <v>865</v>
      </c>
      <c r="F148" s="80" t="s">
        <v>10</v>
      </c>
      <c r="G148" s="81" t="s">
        <v>871</v>
      </c>
      <c r="H148" s="82"/>
      <c r="I148" s="93">
        <v>49.3</v>
      </c>
      <c r="J148" s="99" t="s">
        <v>867</v>
      </c>
      <c r="K148" s="132" t="b">
        <v>1</v>
      </c>
      <c r="L148" s="100"/>
      <c r="M148" s="84"/>
      <c r="N148" s="100"/>
      <c r="O148" s="100" t="s">
        <v>903</v>
      </c>
      <c r="P148" s="76"/>
      <c r="Q148" s="76"/>
      <c r="R148" s="76"/>
      <c r="S148" s="76"/>
      <c r="T148" s="76"/>
      <c r="U148" s="76"/>
      <c r="V148" s="76"/>
      <c r="W148" s="76"/>
    </row>
    <row r="149" spans="1:23" ht="12.75">
      <c r="A149" s="134">
        <v>148</v>
      </c>
      <c r="B149" s="135">
        <v>45840</v>
      </c>
      <c r="C149" s="136">
        <v>2025</v>
      </c>
      <c r="D149" s="137">
        <v>7</v>
      </c>
      <c r="E149" s="134" t="s">
        <v>865</v>
      </c>
      <c r="F149" s="138" t="s">
        <v>10</v>
      </c>
      <c r="G149" s="136" t="s">
        <v>866</v>
      </c>
      <c r="H149" s="139">
        <v>12.99</v>
      </c>
      <c r="I149" s="140"/>
      <c r="J149" s="134"/>
      <c r="K149" s="136" t="b">
        <v>1</v>
      </c>
      <c r="L149" s="136"/>
      <c r="M149" s="137"/>
      <c r="N149" s="136"/>
      <c r="O149" s="136" t="s">
        <v>904</v>
      </c>
      <c r="P149" s="141"/>
      <c r="Q149" s="141"/>
      <c r="R149" s="141"/>
      <c r="S149" s="141"/>
      <c r="T149" s="141"/>
      <c r="U149" s="141"/>
      <c r="V149" s="141"/>
      <c r="W149" s="141"/>
    </row>
    <row r="150" spans="1:23" ht="12.75">
      <c r="A150" s="77">
        <v>149</v>
      </c>
      <c r="B150" s="142">
        <v>45840</v>
      </c>
      <c r="C150" s="81">
        <v>2025</v>
      </c>
      <c r="D150" s="98">
        <v>7</v>
      </c>
      <c r="E150" s="77" t="s">
        <v>865</v>
      </c>
      <c r="F150" s="80" t="s">
        <v>10</v>
      </c>
      <c r="G150" s="81" t="s">
        <v>866</v>
      </c>
      <c r="H150" s="82">
        <v>6.49</v>
      </c>
      <c r="I150" s="93"/>
      <c r="J150" s="77"/>
      <c r="K150" s="100" t="b">
        <v>1</v>
      </c>
      <c r="L150" s="100"/>
      <c r="M150" s="84"/>
      <c r="N150" s="100"/>
      <c r="O150" s="100"/>
      <c r="P150" s="76"/>
      <c r="Q150" s="76"/>
      <c r="R150" s="76"/>
      <c r="S150" s="76"/>
      <c r="T150" s="76"/>
      <c r="U150" s="76"/>
      <c r="V150" s="76"/>
      <c r="W150" s="76"/>
    </row>
    <row r="151" spans="1:23" ht="12.75">
      <c r="A151" s="77">
        <v>150</v>
      </c>
      <c r="B151" s="142">
        <v>45843</v>
      </c>
      <c r="C151" s="81">
        <v>2025</v>
      </c>
      <c r="D151" s="98">
        <v>7</v>
      </c>
      <c r="E151" s="77" t="s">
        <v>865</v>
      </c>
      <c r="F151" s="80" t="s">
        <v>10</v>
      </c>
      <c r="G151" s="81" t="s">
        <v>866</v>
      </c>
      <c r="H151" s="82">
        <v>51.48</v>
      </c>
      <c r="I151" s="93"/>
      <c r="J151" s="77"/>
      <c r="K151" s="100" t="b">
        <v>1</v>
      </c>
      <c r="L151" s="100"/>
      <c r="M151" s="84"/>
      <c r="N151" s="100"/>
      <c r="O151" s="100"/>
      <c r="P151" s="76"/>
      <c r="Q151" s="76"/>
      <c r="R151" s="76"/>
      <c r="S151" s="76"/>
      <c r="T151" s="76"/>
      <c r="U151" s="76"/>
      <c r="V151" s="76"/>
      <c r="W151" s="76"/>
    </row>
    <row r="152" spans="1:23" ht="12.75">
      <c r="A152" s="77">
        <v>151</v>
      </c>
      <c r="B152" s="142">
        <v>45843</v>
      </c>
      <c r="C152" s="81">
        <v>2025</v>
      </c>
      <c r="D152" s="98">
        <v>7</v>
      </c>
      <c r="E152" s="77" t="s">
        <v>865</v>
      </c>
      <c r="F152" s="80" t="s">
        <v>10</v>
      </c>
      <c r="G152" s="81" t="s">
        <v>866</v>
      </c>
      <c r="H152" s="82">
        <v>8.58</v>
      </c>
      <c r="I152" s="93"/>
      <c r="J152" s="77"/>
      <c r="K152" s="100" t="b">
        <v>1</v>
      </c>
      <c r="L152" s="100"/>
      <c r="M152" s="84"/>
      <c r="N152" s="100"/>
      <c r="O152" s="100"/>
      <c r="P152" s="76"/>
      <c r="Q152" s="76"/>
      <c r="R152" s="76"/>
      <c r="S152" s="76"/>
      <c r="T152" s="76"/>
      <c r="U152" s="76"/>
      <c r="V152" s="76"/>
      <c r="W152" s="76"/>
    </row>
    <row r="153" spans="1:23" ht="12.75">
      <c r="A153" s="77">
        <v>152</v>
      </c>
      <c r="B153" s="142">
        <v>45843</v>
      </c>
      <c r="C153" s="81">
        <v>2025</v>
      </c>
      <c r="D153" s="98">
        <v>7</v>
      </c>
      <c r="E153" s="77" t="s">
        <v>865</v>
      </c>
      <c r="F153" s="80" t="s">
        <v>10</v>
      </c>
      <c r="G153" s="81" t="s">
        <v>866</v>
      </c>
      <c r="H153" s="82">
        <v>110</v>
      </c>
      <c r="I153" s="93"/>
      <c r="J153" s="77"/>
      <c r="K153" s="100" t="b">
        <v>1</v>
      </c>
      <c r="L153" s="100"/>
      <c r="M153" s="84"/>
      <c r="N153" s="100"/>
      <c r="O153" s="100"/>
      <c r="P153" s="76"/>
      <c r="Q153" s="76"/>
      <c r="R153" s="76"/>
      <c r="S153" s="76"/>
      <c r="T153" s="76"/>
      <c r="U153" s="76"/>
      <c r="V153" s="76"/>
      <c r="W153" s="76"/>
    </row>
    <row r="154" spans="1:23" ht="12.75">
      <c r="A154" s="77">
        <v>153</v>
      </c>
      <c r="B154" s="142">
        <v>45845</v>
      </c>
      <c r="C154" s="81">
        <v>2025</v>
      </c>
      <c r="D154" s="98">
        <v>7</v>
      </c>
      <c r="E154" s="77" t="s">
        <v>865</v>
      </c>
      <c r="F154" s="80" t="s">
        <v>10</v>
      </c>
      <c r="G154" s="81" t="s">
        <v>866</v>
      </c>
      <c r="H154" s="82">
        <v>1.98</v>
      </c>
      <c r="I154" s="93"/>
      <c r="J154" s="77"/>
      <c r="K154" s="100" t="b">
        <v>1</v>
      </c>
      <c r="L154" s="100"/>
      <c r="M154" s="84"/>
      <c r="N154" s="100"/>
      <c r="O154" s="100"/>
      <c r="P154" s="76"/>
      <c r="Q154" s="76"/>
      <c r="R154" s="76"/>
      <c r="S154" s="76"/>
      <c r="T154" s="76"/>
      <c r="U154" s="76"/>
      <c r="V154" s="76"/>
      <c r="W154" s="76"/>
    </row>
    <row r="155" spans="1:23" ht="12.75">
      <c r="A155" s="77">
        <v>154</v>
      </c>
      <c r="B155" s="142">
        <v>45845</v>
      </c>
      <c r="C155" s="81">
        <v>2025</v>
      </c>
      <c r="D155" s="98">
        <v>7</v>
      </c>
      <c r="E155" s="77" t="s">
        <v>865</v>
      </c>
      <c r="F155" s="80" t="s">
        <v>10</v>
      </c>
      <c r="G155" s="81" t="s">
        <v>866</v>
      </c>
      <c r="H155" s="82">
        <v>30</v>
      </c>
      <c r="I155" s="93"/>
      <c r="J155" s="77"/>
      <c r="K155" s="100" t="b">
        <v>1</v>
      </c>
      <c r="L155" s="100"/>
      <c r="M155" s="84"/>
      <c r="N155" s="100"/>
      <c r="O155" s="100"/>
      <c r="P155" s="76"/>
      <c r="Q155" s="76"/>
      <c r="R155" s="76"/>
      <c r="S155" s="76"/>
      <c r="T155" s="76"/>
      <c r="U155" s="76"/>
      <c r="V155" s="76"/>
      <c r="W155" s="76"/>
    </row>
    <row r="156" spans="1:23" ht="12.75">
      <c r="A156" s="77">
        <v>155</v>
      </c>
      <c r="B156" s="142">
        <v>45847</v>
      </c>
      <c r="C156" s="81">
        <v>2025</v>
      </c>
      <c r="D156" s="98">
        <v>7</v>
      </c>
      <c r="E156" s="77" t="s">
        <v>865</v>
      </c>
      <c r="F156" s="80" t="s">
        <v>10</v>
      </c>
      <c r="G156" s="81" t="s">
        <v>866</v>
      </c>
      <c r="H156" s="82">
        <v>67.989999999999995</v>
      </c>
      <c r="I156" s="93"/>
      <c r="J156" s="77"/>
      <c r="K156" s="100" t="b">
        <v>1</v>
      </c>
      <c r="L156" s="100"/>
      <c r="M156" s="84"/>
      <c r="N156" s="100"/>
      <c r="O156" s="100"/>
      <c r="P156" s="76"/>
      <c r="Q156" s="76"/>
      <c r="R156" s="76"/>
      <c r="S156" s="76"/>
      <c r="T156" s="76"/>
      <c r="U156" s="76"/>
      <c r="V156" s="76"/>
      <c r="W156" s="76"/>
    </row>
    <row r="157" spans="1:23" ht="12.75">
      <c r="A157" s="77">
        <v>156</v>
      </c>
      <c r="B157" s="142">
        <v>45848</v>
      </c>
      <c r="C157" s="81">
        <v>2025</v>
      </c>
      <c r="D157" s="98">
        <v>7</v>
      </c>
      <c r="E157" s="77" t="s">
        <v>865</v>
      </c>
      <c r="F157" s="80" t="s">
        <v>10</v>
      </c>
      <c r="G157" s="81" t="s">
        <v>866</v>
      </c>
      <c r="H157" s="82">
        <v>1752.08</v>
      </c>
      <c r="I157" s="93"/>
      <c r="J157" s="77"/>
      <c r="K157" s="100" t="b">
        <v>1</v>
      </c>
      <c r="L157" s="100"/>
      <c r="M157" s="84"/>
      <c r="N157" s="100"/>
      <c r="O157" s="100"/>
      <c r="P157" s="76"/>
      <c r="Q157" s="76"/>
      <c r="R157" s="76"/>
      <c r="S157" s="76"/>
      <c r="T157" s="76"/>
      <c r="U157" s="76"/>
      <c r="V157" s="76"/>
      <c r="W157" s="76"/>
    </row>
    <row r="158" spans="1:23" ht="12.75">
      <c r="A158" s="77">
        <v>157</v>
      </c>
      <c r="B158" s="142">
        <v>45848</v>
      </c>
      <c r="C158" s="81">
        <v>2025</v>
      </c>
      <c r="D158" s="98">
        <v>7</v>
      </c>
      <c r="E158" s="77" t="s">
        <v>865</v>
      </c>
      <c r="F158" s="80" t="s">
        <v>10</v>
      </c>
      <c r="G158" s="81" t="s">
        <v>866</v>
      </c>
      <c r="H158" s="82">
        <v>600</v>
      </c>
      <c r="I158" s="93"/>
      <c r="J158" s="77"/>
      <c r="K158" s="100" t="b">
        <v>1</v>
      </c>
      <c r="L158" s="100"/>
      <c r="M158" s="84"/>
      <c r="N158" s="100"/>
      <c r="O158" s="100" t="s">
        <v>905</v>
      </c>
      <c r="P158" s="76"/>
      <c r="Q158" s="76"/>
      <c r="R158" s="76"/>
      <c r="S158" s="76"/>
      <c r="T158" s="76"/>
      <c r="U158" s="76"/>
      <c r="V158" s="76"/>
      <c r="W158" s="76"/>
    </row>
    <row r="159" spans="1:23" ht="12.75">
      <c r="A159" s="77">
        <v>158</v>
      </c>
      <c r="B159" s="142">
        <v>45848</v>
      </c>
      <c r="C159" s="81">
        <v>2025</v>
      </c>
      <c r="D159" s="98">
        <v>7</v>
      </c>
      <c r="E159" s="77" t="s">
        <v>865</v>
      </c>
      <c r="F159" s="80" t="s">
        <v>10</v>
      </c>
      <c r="G159" s="81" t="s">
        <v>866</v>
      </c>
      <c r="H159" s="82">
        <v>15.99</v>
      </c>
      <c r="I159" s="93"/>
      <c r="J159" s="77"/>
      <c r="K159" s="100" t="b">
        <v>1</v>
      </c>
      <c r="L159" s="100"/>
      <c r="M159" s="84"/>
      <c r="N159" s="100"/>
      <c r="O159" s="100"/>
      <c r="P159" s="76"/>
      <c r="Q159" s="76"/>
      <c r="R159" s="76"/>
      <c r="S159" s="76"/>
      <c r="T159" s="76"/>
      <c r="U159" s="76"/>
      <c r="V159" s="76"/>
      <c r="W159" s="76"/>
    </row>
    <row r="160" spans="1:23" ht="12.75">
      <c r="A160" s="77">
        <v>159</v>
      </c>
      <c r="B160" s="142">
        <v>45848</v>
      </c>
      <c r="C160" s="81">
        <v>2025</v>
      </c>
      <c r="D160" s="98">
        <v>7</v>
      </c>
      <c r="E160" s="77" t="s">
        <v>865</v>
      </c>
      <c r="F160" s="80" t="s">
        <v>10</v>
      </c>
      <c r="G160" s="81" t="s">
        <v>866</v>
      </c>
      <c r="H160" s="82">
        <v>45</v>
      </c>
      <c r="I160" s="93"/>
      <c r="J160" s="77"/>
      <c r="K160" s="100" t="b">
        <v>1</v>
      </c>
      <c r="L160" s="100"/>
      <c r="M160" s="84"/>
      <c r="N160" s="100"/>
      <c r="O160" s="100"/>
      <c r="P160" s="76"/>
      <c r="Q160" s="76"/>
      <c r="R160" s="76"/>
      <c r="S160" s="76"/>
      <c r="T160" s="76"/>
      <c r="U160" s="76"/>
      <c r="V160" s="76"/>
      <c r="W160" s="76"/>
    </row>
    <row r="161" spans="1:23" ht="12.75">
      <c r="A161" s="77">
        <v>160</v>
      </c>
      <c r="B161" s="142">
        <v>45848</v>
      </c>
      <c r="C161" s="81">
        <v>2025</v>
      </c>
      <c r="D161" s="98">
        <v>7</v>
      </c>
      <c r="E161" s="77" t="s">
        <v>865</v>
      </c>
      <c r="F161" s="80" t="s">
        <v>10</v>
      </c>
      <c r="G161" s="81" t="s">
        <v>866</v>
      </c>
      <c r="H161" s="82">
        <v>930</v>
      </c>
      <c r="I161" s="93"/>
      <c r="J161" s="77"/>
      <c r="K161" s="100" t="b">
        <v>1</v>
      </c>
      <c r="L161" s="100"/>
      <c r="M161" s="84"/>
      <c r="N161" s="100"/>
      <c r="O161" s="100"/>
      <c r="P161" s="76"/>
      <c r="Q161" s="76"/>
      <c r="R161" s="76"/>
      <c r="S161" s="76"/>
      <c r="T161" s="76"/>
      <c r="U161" s="76"/>
      <c r="V161" s="76"/>
      <c r="W161" s="76"/>
    </row>
    <row r="162" spans="1:23" ht="12.75">
      <c r="A162" s="77">
        <v>161</v>
      </c>
      <c r="B162" s="142">
        <v>45849</v>
      </c>
      <c r="C162" s="81">
        <v>2025</v>
      </c>
      <c r="D162" s="98">
        <v>7</v>
      </c>
      <c r="E162" s="77" t="s">
        <v>865</v>
      </c>
      <c r="F162" s="80" t="s">
        <v>10</v>
      </c>
      <c r="G162" s="81" t="s">
        <v>866</v>
      </c>
      <c r="H162" s="82">
        <v>26.99</v>
      </c>
      <c r="I162" s="93"/>
      <c r="J162" s="77"/>
      <c r="K162" s="100" t="b">
        <v>1</v>
      </c>
      <c r="L162" s="100"/>
      <c r="M162" s="84"/>
      <c r="N162" s="100"/>
      <c r="O162" s="100"/>
      <c r="P162" s="76"/>
      <c r="Q162" s="76"/>
      <c r="R162" s="76"/>
      <c r="S162" s="76"/>
      <c r="T162" s="76"/>
      <c r="U162" s="76"/>
      <c r="V162" s="76"/>
      <c r="W162" s="76"/>
    </row>
    <row r="163" spans="1:23" ht="12.75">
      <c r="A163" s="77">
        <v>162</v>
      </c>
      <c r="B163" s="142">
        <v>45850</v>
      </c>
      <c r="C163" s="81">
        <v>2025</v>
      </c>
      <c r="D163" s="98">
        <v>7</v>
      </c>
      <c r="E163" s="77" t="s">
        <v>865</v>
      </c>
      <c r="F163" s="80" t="s">
        <v>10</v>
      </c>
      <c r="G163" s="81" t="s">
        <v>866</v>
      </c>
      <c r="H163" s="82">
        <v>22.99</v>
      </c>
      <c r="I163" s="93"/>
      <c r="J163" s="77"/>
      <c r="K163" s="100" t="b">
        <v>1</v>
      </c>
      <c r="L163" s="100"/>
      <c r="M163" s="84"/>
      <c r="N163" s="100"/>
      <c r="O163" s="100" t="s">
        <v>906</v>
      </c>
      <c r="P163" s="76"/>
      <c r="Q163" s="76"/>
      <c r="R163" s="76"/>
      <c r="S163" s="76"/>
      <c r="T163" s="76"/>
      <c r="U163" s="76"/>
      <c r="V163" s="76"/>
      <c r="W163" s="76"/>
    </row>
    <row r="164" spans="1:23" ht="12.75">
      <c r="A164" s="77">
        <v>163</v>
      </c>
      <c r="B164" s="142">
        <v>45850</v>
      </c>
      <c r="C164" s="81">
        <v>2025</v>
      </c>
      <c r="D164" s="98">
        <v>7</v>
      </c>
      <c r="E164" s="77" t="s">
        <v>865</v>
      </c>
      <c r="F164" s="80" t="s">
        <v>10</v>
      </c>
      <c r="G164" s="81" t="s">
        <v>866</v>
      </c>
      <c r="H164" s="82">
        <v>24.29</v>
      </c>
      <c r="I164" s="93"/>
      <c r="J164" s="77"/>
      <c r="K164" s="100" t="b">
        <v>1</v>
      </c>
      <c r="L164" s="100"/>
      <c r="M164" s="84"/>
      <c r="N164" s="100"/>
      <c r="O164" s="100"/>
      <c r="P164" s="76"/>
      <c r="Q164" s="76"/>
      <c r="R164" s="76"/>
      <c r="S164" s="76"/>
      <c r="T164" s="76"/>
      <c r="U164" s="76"/>
      <c r="V164" s="76"/>
      <c r="W164" s="76"/>
    </row>
    <row r="165" spans="1:23" ht="12.75">
      <c r="A165" s="77">
        <v>164</v>
      </c>
      <c r="B165" s="142">
        <v>45852</v>
      </c>
      <c r="C165" s="81">
        <v>2025</v>
      </c>
      <c r="D165" s="98">
        <v>7</v>
      </c>
      <c r="E165" s="77" t="s">
        <v>865</v>
      </c>
      <c r="F165" s="80" t="s">
        <v>10</v>
      </c>
      <c r="G165" s="81" t="s">
        <v>866</v>
      </c>
      <c r="H165" s="82">
        <v>26.99</v>
      </c>
      <c r="I165" s="93"/>
      <c r="J165" s="77"/>
      <c r="K165" s="100" t="b">
        <v>1</v>
      </c>
      <c r="L165" s="100"/>
      <c r="M165" s="84"/>
      <c r="N165" s="100"/>
      <c r="O165" s="100"/>
      <c r="P165" s="76"/>
      <c r="Q165" s="76"/>
      <c r="R165" s="76"/>
      <c r="S165" s="76"/>
      <c r="T165" s="76"/>
      <c r="U165" s="76"/>
      <c r="V165" s="76"/>
      <c r="W165" s="76"/>
    </row>
    <row r="166" spans="1:23" ht="12.75">
      <c r="A166" s="77">
        <v>165</v>
      </c>
      <c r="B166" s="142">
        <v>45852</v>
      </c>
      <c r="C166" s="81">
        <v>2025</v>
      </c>
      <c r="D166" s="98">
        <v>7</v>
      </c>
      <c r="E166" s="77" t="s">
        <v>865</v>
      </c>
      <c r="F166" s="80" t="s">
        <v>10</v>
      </c>
      <c r="G166" s="81" t="s">
        <v>866</v>
      </c>
      <c r="H166" s="82">
        <v>17.989999999999998</v>
      </c>
      <c r="I166" s="93"/>
      <c r="J166" s="77"/>
      <c r="K166" s="100" t="b">
        <v>1</v>
      </c>
      <c r="L166" s="100"/>
      <c r="M166" s="84"/>
      <c r="N166" s="100"/>
      <c r="O166" s="100"/>
      <c r="P166" s="76"/>
      <c r="Q166" s="76"/>
      <c r="R166" s="76"/>
      <c r="S166" s="76"/>
      <c r="T166" s="76"/>
      <c r="U166" s="76"/>
      <c r="V166" s="76"/>
      <c r="W166" s="76"/>
    </row>
    <row r="167" spans="1:23" ht="12.75">
      <c r="A167" s="77">
        <v>166</v>
      </c>
      <c r="B167" s="142">
        <v>45854</v>
      </c>
      <c r="C167" s="81">
        <v>2025</v>
      </c>
      <c r="D167" s="98">
        <v>7</v>
      </c>
      <c r="E167" s="77" t="s">
        <v>865</v>
      </c>
      <c r="F167" s="80" t="s">
        <v>10</v>
      </c>
      <c r="G167" s="81" t="s">
        <v>866</v>
      </c>
      <c r="H167" s="82">
        <v>164.5</v>
      </c>
      <c r="I167" s="93"/>
      <c r="J167" s="77"/>
      <c r="K167" s="100" t="b">
        <v>1</v>
      </c>
      <c r="L167" s="100"/>
      <c r="M167" s="84"/>
      <c r="N167" s="100"/>
      <c r="O167" s="100"/>
      <c r="P167" s="76"/>
      <c r="Q167" s="76"/>
      <c r="R167" s="76"/>
      <c r="S167" s="76"/>
      <c r="T167" s="76"/>
      <c r="U167" s="76"/>
      <c r="V167" s="76"/>
      <c r="W167" s="76"/>
    </row>
    <row r="168" spans="1:23" ht="12.75">
      <c r="A168" s="77">
        <v>167</v>
      </c>
      <c r="B168" s="142">
        <v>45855</v>
      </c>
      <c r="C168" s="81">
        <v>2025</v>
      </c>
      <c r="D168" s="98">
        <v>7</v>
      </c>
      <c r="E168" s="77" t="s">
        <v>865</v>
      </c>
      <c r="F168" s="80" t="s">
        <v>10</v>
      </c>
      <c r="G168" s="81" t="s">
        <v>866</v>
      </c>
      <c r="H168" s="82">
        <v>283.08</v>
      </c>
      <c r="I168" s="93"/>
      <c r="J168" s="77"/>
      <c r="K168" s="100" t="b">
        <v>1</v>
      </c>
      <c r="L168" s="100"/>
      <c r="M168" s="84"/>
      <c r="N168" s="100"/>
      <c r="O168" s="100"/>
      <c r="P168" s="76"/>
      <c r="Q168" s="76"/>
      <c r="R168" s="76"/>
      <c r="S168" s="76"/>
      <c r="T168" s="76"/>
      <c r="U168" s="76"/>
      <c r="V168" s="76"/>
      <c r="W168" s="76"/>
    </row>
    <row r="169" spans="1:23" ht="12.75">
      <c r="A169" s="77">
        <v>168</v>
      </c>
      <c r="B169" s="142">
        <v>45855</v>
      </c>
      <c r="C169" s="81">
        <v>2025</v>
      </c>
      <c r="D169" s="98">
        <v>7</v>
      </c>
      <c r="E169" s="77" t="s">
        <v>865</v>
      </c>
      <c r="F169" s="80" t="s">
        <v>10</v>
      </c>
      <c r="G169" s="81" t="s">
        <v>866</v>
      </c>
      <c r="H169" s="82">
        <v>233.96471310773379</v>
      </c>
      <c r="I169" s="93"/>
      <c r="J169" s="77"/>
      <c r="K169" s="100" t="b">
        <v>1</v>
      </c>
      <c r="L169" s="100"/>
      <c r="M169" s="84"/>
      <c r="N169" s="100"/>
      <c r="O169" s="100"/>
      <c r="P169" s="76"/>
      <c r="Q169" s="76"/>
      <c r="R169" s="76"/>
      <c r="S169" s="76"/>
      <c r="T169" s="76"/>
      <c r="U169" s="76"/>
      <c r="V169" s="76"/>
      <c r="W169" s="76"/>
    </row>
    <row r="170" spans="1:23" ht="12.75">
      <c r="A170" s="77">
        <v>169</v>
      </c>
      <c r="B170" s="142">
        <v>45855</v>
      </c>
      <c r="C170" s="81">
        <v>2025</v>
      </c>
      <c r="D170" s="98">
        <v>7</v>
      </c>
      <c r="E170" s="77" t="s">
        <v>865</v>
      </c>
      <c r="F170" s="80" t="s">
        <v>10</v>
      </c>
      <c r="G170" s="81" t="s">
        <v>866</v>
      </c>
      <c r="H170" s="82">
        <v>36</v>
      </c>
      <c r="I170" s="93"/>
      <c r="J170" s="77"/>
      <c r="K170" s="100" t="b">
        <v>1</v>
      </c>
      <c r="L170" s="100"/>
      <c r="M170" s="84"/>
      <c r="N170" s="100"/>
      <c r="O170" s="100"/>
      <c r="P170" s="76"/>
      <c r="Q170" s="76"/>
      <c r="R170" s="76"/>
      <c r="S170" s="76"/>
      <c r="T170" s="76"/>
      <c r="U170" s="76"/>
      <c r="V170" s="76"/>
      <c r="W170" s="76"/>
    </row>
    <row r="171" spans="1:23" ht="12.75">
      <c r="A171" s="77">
        <v>170</v>
      </c>
      <c r="B171" s="142">
        <v>45856</v>
      </c>
      <c r="C171" s="81">
        <v>2025</v>
      </c>
      <c r="D171" s="98">
        <v>7</v>
      </c>
      <c r="E171" s="77" t="s">
        <v>865</v>
      </c>
      <c r="F171" s="80" t="s">
        <v>10</v>
      </c>
      <c r="G171" s="81" t="s">
        <v>866</v>
      </c>
      <c r="H171" s="82">
        <v>110</v>
      </c>
      <c r="I171" s="93"/>
      <c r="J171" s="77"/>
      <c r="K171" s="100" t="b">
        <v>1</v>
      </c>
      <c r="L171" s="100"/>
      <c r="M171" s="84"/>
      <c r="N171" s="100"/>
      <c r="O171" s="100"/>
      <c r="P171" s="76"/>
      <c r="Q171" s="76"/>
      <c r="R171" s="76"/>
      <c r="S171" s="76"/>
      <c r="T171" s="76"/>
      <c r="U171" s="76"/>
      <c r="V171" s="76"/>
      <c r="W171" s="76"/>
    </row>
    <row r="172" spans="1:23" ht="12.75">
      <c r="A172" s="77">
        <v>171</v>
      </c>
      <c r="B172" s="142">
        <v>45858</v>
      </c>
      <c r="C172" s="81">
        <v>2025</v>
      </c>
      <c r="D172" s="98">
        <v>7</v>
      </c>
      <c r="E172" s="77" t="s">
        <v>865</v>
      </c>
      <c r="F172" s="80" t="s">
        <v>10</v>
      </c>
      <c r="G172" s="81" t="s">
        <v>866</v>
      </c>
      <c r="H172" s="82">
        <v>22.99</v>
      </c>
      <c r="I172" s="93"/>
      <c r="J172" s="77"/>
      <c r="K172" s="100" t="b">
        <v>1</v>
      </c>
      <c r="L172" s="100"/>
      <c r="M172" s="84"/>
      <c r="N172" s="100"/>
      <c r="O172" s="100"/>
      <c r="P172" s="76"/>
      <c r="Q172" s="76"/>
      <c r="R172" s="76"/>
      <c r="S172" s="76"/>
      <c r="T172" s="76"/>
      <c r="U172" s="76"/>
      <c r="V172" s="76"/>
      <c r="W172" s="76"/>
    </row>
    <row r="173" spans="1:23" ht="12.75">
      <c r="A173" s="77">
        <v>172</v>
      </c>
      <c r="B173" s="142">
        <v>45859</v>
      </c>
      <c r="C173" s="81">
        <v>2025</v>
      </c>
      <c r="D173" s="98">
        <v>7</v>
      </c>
      <c r="E173" s="77" t="s">
        <v>865</v>
      </c>
      <c r="F173" s="80" t="s">
        <v>10</v>
      </c>
      <c r="G173" s="81" t="s">
        <v>866</v>
      </c>
      <c r="H173" s="82">
        <v>73.83</v>
      </c>
      <c r="I173" s="93"/>
      <c r="J173" s="77"/>
      <c r="K173" s="100" t="b">
        <v>1</v>
      </c>
      <c r="L173" s="100"/>
      <c r="M173" s="84"/>
      <c r="N173" s="100"/>
      <c r="O173" s="100"/>
      <c r="P173" s="76"/>
      <c r="Q173" s="76"/>
      <c r="R173" s="76"/>
      <c r="S173" s="76"/>
      <c r="T173" s="76"/>
      <c r="U173" s="76"/>
      <c r="V173" s="76"/>
      <c r="W173" s="76"/>
    </row>
    <row r="174" spans="1:23" ht="12.75">
      <c r="A174" s="77">
        <v>173</v>
      </c>
      <c r="B174" s="142">
        <v>45860</v>
      </c>
      <c r="C174" s="81">
        <v>2025</v>
      </c>
      <c r="D174" s="98">
        <v>7</v>
      </c>
      <c r="E174" s="77" t="s">
        <v>865</v>
      </c>
      <c r="F174" s="80" t="s">
        <v>10</v>
      </c>
      <c r="G174" s="81" t="s">
        <v>866</v>
      </c>
      <c r="H174" s="82">
        <v>48.58</v>
      </c>
      <c r="I174" s="93"/>
      <c r="J174" s="77"/>
      <c r="K174" s="100" t="b">
        <v>1</v>
      </c>
      <c r="L174" s="100"/>
      <c r="M174" s="84"/>
      <c r="N174" s="100"/>
      <c r="O174" s="100"/>
      <c r="P174" s="76"/>
      <c r="Q174" s="76"/>
      <c r="R174" s="76"/>
      <c r="S174" s="76"/>
      <c r="T174" s="76"/>
      <c r="U174" s="76"/>
      <c r="V174" s="76"/>
      <c r="W174" s="76"/>
    </row>
    <row r="175" spans="1:23" ht="12.75">
      <c r="A175" s="77">
        <v>174</v>
      </c>
      <c r="B175" s="142">
        <v>45860</v>
      </c>
      <c r="C175" s="81">
        <v>2025</v>
      </c>
      <c r="D175" s="98">
        <v>7</v>
      </c>
      <c r="E175" s="77" t="s">
        <v>865</v>
      </c>
      <c r="F175" s="80" t="s">
        <v>10</v>
      </c>
      <c r="G175" s="81" t="s">
        <v>866</v>
      </c>
      <c r="H175" s="82">
        <v>99.99</v>
      </c>
      <c r="I175" s="93"/>
      <c r="J175" s="77"/>
      <c r="K175" s="100" t="b">
        <v>1</v>
      </c>
      <c r="L175" s="100"/>
      <c r="M175" s="84"/>
      <c r="N175" s="100"/>
      <c r="O175" s="100"/>
      <c r="P175" s="76"/>
      <c r="Q175" s="76"/>
      <c r="R175" s="76"/>
      <c r="S175" s="76"/>
      <c r="T175" s="76"/>
      <c r="U175" s="76"/>
      <c r="V175" s="76"/>
      <c r="W175" s="76"/>
    </row>
    <row r="176" spans="1:23" ht="12.75">
      <c r="A176" s="77">
        <v>175</v>
      </c>
      <c r="B176" s="142">
        <v>45860</v>
      </c>
      <c r="C176" s="81">
        <v>2025</v>
      </c>
      <c r="D176" s="98">
        <v>7</v>
      </c>
      <c r="E176" s="77" t="s">
        <v>865</v>
      </c>
      <c r="F176" s="80" t="s">
        <v>10</v>
      </c>
      <c r="G176" s="81" t="s">
        <v>866</v>
      </c>
      <c r="H176" s="82">
        <v>99.99</v>
      </c>
      <c r="I176" s="93"/>
      <c r="J176" s="77"/>
      <c r="K176" s="100" t="b">
        <v>1</v>
      </c>
      <c r="L176" s="100"/>
      <c r="M176" s="84"/>
      <c r="N176" s="100"/>
      <c r="O176" s="100"/>
      <c r="P176" s="76"/>
      <c r="Q176" s="76"/>
      <c r="R176" s="76"/>
      <c r="S176" s="76"/>
      <c r="T176" s="76"/>
      <c r="U176" s="76"/>
      <c r="V176" s="76"/>
      <c r="W176" s="76"/>
    </row>
    <row r="177" spans="1:23" ht="12.75">
      <c r="A177" s="77">
        <v>176</v>
      </c>
      <c r="B177" s="142">
        <v>45861</v>
      </c>
      <c r="C177" s="81">
        <v>2025</v>
      </c>
      <c r="D177" s="98">
        <v>7</v>
      </c>
      <c r="E177" s="77" t="s">
        <v>865</v>
      </c>
      <c r="F177" s="80" t="s">
        <v>10</v>
      </c>
      <c r="G177" s="81" t="s">
        <v>866</v>
      </c>
      <c r="H177" s="82">
        <v>21.99</v>
      </c>
      <c r="I177" s="93"/>
      <c r="J177" s="77"/>
      <c r="K177" s="100" t="b">
        <v>1</v>
      </c>
      <c r="L177" s="100"/>
      <c r="M177" s="84"/>
      <c r="N177" s="100"/>
      <c r="O177" s="100"/>
      <c r="P177" s="76"/>
      <c r="Q177" s="76"/>
      <c r="R177" s="76"/>
      <c r="S177" s="76"/>
      <c r="T177" s="76"/>
      <c r="U177" s="76"/>
      <c r="V177" s="76"/>
      <c r="W177" s="76"/>
    </row>
    <row r="178" spans="1:23" ht="12.75">
      <c r="A178" s="77">
        <v>177</v>
      </c>
      <c r="B178" s="142">
        <v>45862</v>
      </c>
      <c r="C178" s="81">
        <v>2025</v>
      </c>
      <c r="D178" s="98">
        <v>7</v>
      </c>
      <c r="E178" s="77" t="s">
        <v>865</v>
      </c>
      <c r="F178" s="80" t="s">
        <v>10</v>
      </c>
      <c r="G178" s="81" t="s">
        <v>866</v>
      </c>
      <c r="H178" s="82">
        <v>6.49</v>
      </c>
      <c r="I178" s="93"/>
      <c r="J178" s="77"/>
      <c r="K178" s="100" t="b">
        <v>1</v>
      </c>
      <c r="L178" s="100"/>
      <c r="M178" s="84"/>
      <c r="N178" s="100"/>
      <c r="O178" s="100"/>
      <c r="P178" s="76"/>
      <c r="Q178" s="76"/>
      <c r="R178" s="76"/>
      <c r="S178" s="76"/>
      <c r="T178" s="76"/>
      <c r="U178" s="76"/>
      <c r="V178" s="76"/>
      <c r="W178" s="76"/>
    </row>
    <row r="179" spans="1:23" ht="12.75">
      <c r="A179" s="77">
        <v>178</v>
      </c>
      <c r="B179" s="142">
        <v>45863</v>
      </c>
      <c r="C179" s="81">
        <v>2025</v>
      </c>
      <c r="D179" s="98">
        <v>7</v>
      </c>
      <c r="E179" s="77" t="s">
        <v>865</v>
      </c>
      <c r="F179" s="80" t="s">
        <v>10</v>
      </c>
      <c r="G179" s="81" t="s">
        <v>866</v>
      </c>
      <c r="H179" s="82">
        <v>195.7</v>
      </c>
      <c r="I179" s="93"/>
      <c r="J179" s="77"/>
      <c r="K179" s="100" t="b">
        <v>1</v>
      </c>
      <c r="L179" s="100"/>
      <c r="M179" s="84"/>
      <c r="N179" s="100"/>
      <c r="O179" s="100"/>
      <c r="P179" s="76"/>
      <c r="Q179" s="76"/>
      <c r="R179" s="76"/>
      <c r="S179" s="76"/>
      <c r="T179" s="76"/>
      <c r="U179" s="76"/>
      <c r="V179" s="76"/>
      <c r="W179" s="76"/>
    </row>
    <row r="180" spans="1:23" ht="12.75">
      <c r="A180" s="77">
        <v>179</v>
      </c>
      <c r="B180" s="142">
        <v>45863</v>
      </c>
      <c r="C180" s="81">
        <v>2025</v>
      </c>
      <c r="D180" s="98">
        <v>7</v>
      </c>
      <c r="E180" s="77" t="s">
        <v>865</v>
      </c>
      <c r="F180" s="80" t="s">
        <v>10</v>
      </c>
      <c r="G180" s="81" t="s">
        <v>866</v>
      </c>
      <c r="H180" s="82">
        <v>90</v>
      </c>
      <c r="I180" s="93"/>
      <c r="J180" s="77"/>
      <c r="K180" s="100" t="b">
        <v>1</v>
      </c>
      <c r="L180" s="100"/>
      <c r="M180" s="84"/>
      <c r="N180" s="100"/>
      <c r="O180" s="100"/>
      <c r="P180" s="76"/>
      <c r="Q180" s="76"/>
      <c r="R180" s="76"/>
      <c r="S180" s="76"/>
      <c r="T180" s="76"/>
      <c r="U180" s="76"/>
      <c r="V180" s="76"/>
      <c r="W180" s="76"/>
    </row>
    <row r="181" spans="1:23" ht="12.75">
      <c r="A181" s="77">
        <v>180</v>
      </c>
      <c r="B181" s="142">
        <v>45864</v>
      </c>
      <c r="C181" s="81">
        <v>2025</v>
      </c>
      <c r="D181" s="98">
        <v>7</v>
      </c>
      <c r="E181" s="77" t="s">
        <v>865</v>
      </c>
      <c r="F181" s="80" t="s">
        <v>10</v>
      </c>
      <c r="G181" s="81" t="s">
        <v>866</v>
      </c>
      <c r="H181" s="82">
        <v>25.109120050887817</v>
      </c>
      <c r="I181" s="93"/>
      <c r="J181" s="77"/>
      <c r="K181" s="100" t="b">
        <v>1</v>
      </c>
      <c r="L181" s="100"/>
      <c r="M181" s="84"/>
      <c r="N181" s="100"/>
      <c r="O181" s="100"/>
      <c r="P181" s="76"/>
      <c r="Q181" s="76"/>
      <c r="R181" s="76"/>
      <c r="S181" s="76"/>
      <c r="T181" s="76"/>
      <c r="U181" s="76"/>
      <c r="V181" s="76"/>
      <c r="W181" s="76"/>
    </row>
    <row r="182" spans="1:23" ht="12.75">
      <c r="A182" s="77">
        <v>182</v>
      </c>
      <c r="B182" s="142">
        <v>45865</v>
      </c>
      <c r="C182" s="81">
        <v>2025</v>
      </c>
      <c r="D182" s="98">
        <v>7</v>
      </c>
      <c r="E182" s="77" t="s">
        <v>865</v>
      </c>
      <c r="F182" s="80" t="s">
        <v>10</v>
      </c>
      <c r="G182" s="81" t="s">
        <v>866</v>
      </c>
      <c r="H182" s="82">
        <v>24.5</v>
      </c>
      <c r="I182" s="93"/>
      <c r="J182" s="77"/>
      <c r="K182" s="100" t="b">
        <v>1</v>
      </c>
      <c r="L182" s="100"/>
      <c r="M182" s="84"/>
      <c r="N182" s="100"/>
      <c r="O182" s="100"/>
      <c r="P182" s="76"/>
      <c r="Q182" s="76"/>
      <c r="R182" s="76"/>
      <c r="S182" s="76"/>
      <c r="T182" s="76"/>
      <c r="U182" s="76"/>
      <c r="V182" s="76"/>
      <c r="W182" s="76"/>
    </row>
    <row r="183" spans="1:23" ht="12.75">
      <c r="A183" s="77">
        <v>183</v>
      </c>
      <c r="B183" s="142">
        <v>45866</v>
      </c>
      <c r="C183" s="81">
        <v>2025</v>
      </c>
      <c r="D183" s="98">
        <v>7</v>
      </c>
      <c r="E183" s="77" t="s">
        <v>865</v>
      </c>
      <c r="F183" s="80" t="s">
        <v>10</v>
      </c>
      <c r="G183" s="81" t="s">
        <v>866</v>
      </c>
      <c r="H183" s="82">
        <v>46.74</v>
      </c>
      <c r="I183" s="93"/>
      <c r="J183" s="77"/>
      <c r="K183" s="100" t="b">
        <v>1</v>
      </c>
      <c r="L183" s="100"/>
      <c r="M183" s="84"/>
      <c r="N183" s="100"/>
      <c r="O183" s="100"/>
      <c r="P183" s="76"/>
      <c r="Q183" s="76"/>
      <c r="R183" s="76"/>
      <c r="S183" s="76"/>
      <c r="T183" s="76"/>
      <c r="U183" s="76"/>
      <c r="V183" s="76"/>
      <c r="W183" s="76"/>
    </row>
    <row r="184" spans="1:23" ht="12.75">
      <c r="A184" s="77">
        <v>184</v>
      </c>
      <c r="B184" s="142">
        <v>45868</v>
      </c>
      <c r="C184" s="81">
        <v>2025</v>
      </c>
      <c r="D184" s="98">
        <v>7</v>
      </c>
      <c r="E184" s="77" t="s">
        <v>865</v>
      </c>
      <c r="F184" s="80" t="s">
        <v>10</v>
      </c>
      <c r="G184" s="81" t="s">
        <v>866</v>
      </c>
      <c r="H184" s="82">
        <v>180</v>
      </c>
      <c r="I184" s="93"/>
      <c r="J184" s="77"/>
      <c r="K184" s="100" t="b">
        <v>1</v>
      </c>
      <c r="L184" s="100"/>
      <c r="M184" s="84"/>
      <c r="N184" s="100"/>
      <c r="O184" s="100"/>
      <c r="P184" s="76"/>
      <c r="Q184" s="76"/>
      <c r="R184" s="76"/>
      <c r="S184" s="76"/>
      <c r="T184" s="76"/>
      <c r="U184" s="76"/>
      <c r="V184" s="76"/>
      <c r="W184" s="76"/>
    </row>
    <row r="185" spans="1:23" ht="12.75">
      <c r="A185" s="77">
        <v>185</v>
      </c>
      <c r="B185" s="142">
        <v>45873</v>
      </c>
      <c r="C185" s="81">
        <v>2025</v>
      </c>
      <c r="D185" s="98">
        <v>8</v>
      </c>
      <c r="E185" s="77" t="s">
        <v>865</v>
      </c>
      <c r="F185" s="80" t="s">
        <v>10</v>
      </c>
      <c r="G185" s="81" t="s">
        <v>871</v>
      </c>
      <c r="H185" s="82"/>
      <c r="I185" s="93">
        <v>1204</v>
      </c>
      <c r="J185" s="99" t="s">
        <v>867</v>
      </c>
      <c r="K185" s="132" t="b">
        <v>1</v>
      </c>
      <c r="L185" s="100"/>
      <c r="M185" s="84"/>
      <c r="N185" s="100"/>
      <c r="O185" s="100" t="s">
        <v>907</v>
      </c>
      <c r="P185" s="76"/>
      <c r="Q185" s="76"/>
      <c r="R185" s="76"/>
      <c r="S185" s="76"/>
      <c r="T185" s="76"/>
      <c r="U185" s="76"/>
      <c r="V185" s="76"/>
      <c r="W185" s="76"/>
    </row>
    <row r="186" spans="1:23" ht="12.75">
      <c r="A186" s="77">
        <v>186</v>
      </c>
      <c r="B186" s="143">
        <v>45871</v>
      </c>
      <c r="C186" s="81">
        <v>2025</v>
      </c>
      <c r="D186" s="98">
        <v>8</v>
      </c>
      <c r="E186" s="77" t="s">
        <v>865</v>
      </c>
      <c r="F186" s="80" t="s">
        <v>10</v>
      </c>
      <c r="G186" s="81" t="s">
        <v>866</v>
      </c>
      <c r="H186" s="82">
        <v>119.98</v>
      </c>
      <c r="I186" s="93"/>
      <c r="J186" s="77"/>
      <c r="K186" s="100" t="b">
        <v>1</v>
      </c>
      <c r="L186" s="100"/>
      <c r="M186" s="84"/>
      <c r="N186" s="100"/>
      <c r="O186" s="100"/>
      <c r="P186" s="76"/>
      <c r="Q186" s="76"/>
      <c r="R186" s="76"/>
      <c r="S186" s="76"/>
      <c r="T186" s="76"/>
      <c r="U186" s="76"/>
      <c r="V186" s="76"/>
      <c r="W186" s="76"/>
    </row>
    <row r="187" spans="1:23" ht="12.75">
      <c r="A187" s="77">
        <v>187</v>
      </c>
      <c r="B187" s="143">
        <v>45873</v>
      </c>
      <c r="C187" s="81">
        <v>2025</v>
      </c>
      <c r="D187" s="98">
        <v>8</v>
      </c>
      <c r="E187" s="77" t="s">
        <v>865</v>
      </c>
      <c r="F187" s="80" t="s">
        <v>10</v>
      </c>
      <c r="G187" s="81" t="s">
        <v>866</v>
      </c>
      <c r="H187" s="82">
        <v>27.86</v>
      </c>
      <c r="I187" s="93"/>
      <c r="J187" s="77"/>
      <c r="K187" s="100" t="b">
        <v>1</v>
      </c>
      <c r="L187" s="100"/>
      <c r="M187" s="84"/>
      <c r="N187" s="100"/>
      <c r="O187" s="100"/>
      <c r="P187" s="76"/>
      <c r="Q187" s="76"/>
      <c r="R187" s="76"/>
      <c r="S187" s="76"/>
      <c r="T187" s="76"/>
      <c r="U187" s="76"/>
      <c r="V187" s="76"/>
      <c r="W187" s="76"/>
    </row>
    <row r="188" spans="1:23" ht="12.75">
      <c r="A188" s="77">
        <v>188</v>
      </c>
      <c r="B188" s="143">
        <v>45874</v>
      </c>
      <c r="C188" s="81">
        <v>2025</v>
      </c>
      <c r="D188" s="98">
        <v>8</v>
      </c>
      <c r="E188" s="77" t="s">
        <v>865</v>
      </c>
      <c r="F188" s="80" t="s">
        <v>10</v>
      </c>
      <c r="G188" s="81" t="s">
        <v>866</v>
      </c>
      <c r="H188" s="82">
        <v>110</v>
      </c>
      <c r="I188" s="93"/>
      <c r="J188" s="77"/>
      <c r="K188" s="100" t="b">
        <v>1</v>
      </c>
      <c r="L188" s="100"/>
      <c r="M188" s="84"/>
      <c r="N188" s="100"/>
      <c r="O188" s="100"/>
      <c r="P188" s="76"/>
      <c r="Q188" s="76"/>
      <c r="R188" s="76"/>
      <c r="S188" s="76"/>
      <c r="T188" s="76"/>
      <c r="U188" s="76"/>
      <c r="V188" s="76"/>
      <c r="W188" s="76"/>
    </row>
    <row r="189" spans="1:23" ht="12.75">
      <c r="A189" s="77">
        <v>189</v>
      </c>
      <c r="B189" s="143">
        <v>45876</v>
      </c>
      <c r="C189" s="81">
        <v>2025</v>
      </c>
      <c r="D189" s="98">
        <v>8</v>
      </c>
      <c r="E189" s="77" t="s">
        <v>865</v>
      </c>
      <c r="F189" s="80" t="s">
        <v>10</v>
      </c>
      <c r="G189" s="81" t="s">
        <v>866</v>
      </c>
      <c r="H189" s="82">
        <v>2.99</v>
      </c>
      <c r="I189" s="93"/>
      <c r="J189" s="77"/>
      <c r="K189" s="100" t="b">
        <v>1</v>
      </c>
      <c r="L189" s="100"/>
      <c r="M189" s="84"/>
      <c r="N189" s="100"/>
      <c r="O189" s="100" t="s">
        <v>908</v>
      </c>
      <c r="P189" s="76"/>
      <c r="Q189" s="76"/>
      <c r="R189" s="76"/>
      <c r="S189" s="76"/>
      <c r="T189" s="76"/>
      <c r="U189" s="76"/>
      <c r="V189" s="76"/>
      <c r="W189" s="76"/>
    </row>
    <row r="190" spans="1:23" ht="12.75">
      <c r="A190" s="77">
        <v>190</v>
      </c>
      <c r="B190" s="143">
        <v>45876</v>
      </c>
      <c r="C190" s="81">
        <v>2025</v>
      </c>
      <c r="D190" s="98">
        <v>8</v>
      </c>
      <c r="E190" s="77" t="s">
        <v>865</v>
      </c>
      <c r="F190" s="80" t="s">
        <v>10</v>
      </c>
      <c r="G190" s="81" t="s">
        <v>866</v>
      </c>
      <c r="H190" s="82">
        <v>17.989999999999998</v>
      </c>
      <c r="I190" s="93"/>
      <c r="J190" s="77"/>
      <c r="K190" s="100" t="b">
        <v>1</v>
      </c>
      <c r="L190" s="100"/>
      <c r="M190" s="84"/>
      <c r="N190" s="100"/>
      <c r="O190" s="100"/>
      <c r="P190" s="76"/>
      <c r="Q190" s="76"/>
      <c r="R190" s="76"/>
      <c r="S190" s="76"/>
      <c r="T190" s="76"/>
      <c r="U190" s="76"/>
      <c r="V190" s="76"/>
      <c r="W190" s="76"/>
    </row>
    <row r="191" spans="1:23" ht="12.75">
      <c r="A191" s="77">
        <v>191</v>
      </c>
      <c r="B191" s="143">
        <v>45876</v>
      </c>
      <c r="C191" s="81">
        <v>2025</v>
      </c>
      <c r="D191" s="98">
        <v>8</v>
      </c>
      <c r="E191" s="77" t="s">
        <v>865</v>
      </c>
      <c r="F191" s="80" t="s">
        <v>10</v>
      </c>
      <c r="G191" s="81" t="s">
        <v>866</v>
      </c>
      <c r="H191" s="82">
        <v>3441.55</v>
      </c>
      <c r="I191" s="93"/>
      <c r="J191" s="77"/>
      <c r="K191" s="100" t="b">
        <v>1</v>
      </c>
      <c r="L191" s="100"/>
      <c r="M191" s="84"/>
      <c r="N191" s="100"/>
      <c r="O191" s="100"/>
      <c r="P191" s="76"/>
      <c r="Q191" s="76"/>
      <c r="R191" s="76"/>
      <c r="S191" s="76"/>
      <c r="T191" s="76"/>
      <c r="U191" s="76"/>
      <c r="V191" s="76"/>
      <c r="W191" s="76"/>
    </row>
    <row r="192" spans="1:23" ht="12.75">
      <c r="A192" s="77">
        <v>192</v>
      </c>
      <c r="B192" s="143">
        <v>45879</v>
      </c>
      <c r="C192" s="81">
        <v>2025</v>
      </c>
      <c r="D192" s="98">
        <v>8</v>
      </c>
      <c r="E192" s="77" t="s">
        <v>865</v>
      </c>
      <c r="F192" s="80" t="s">
        <v>10</v>
      </c>
      <c r="G192" s="81" t="s">
        <v>866</v>
      </c>
      <c r="H192" s="82">
        <v>60.99</v>
      </c>
      <c r="I192" s="93"/>
      <c r="J192" s="77"/>
      <c r="K192" s="100" t="b">
        <v>1</v>
      </c>
      <c r="L192" s="100"/>
      <c r="M192" s="84"/>
      <c r="N192" s="100"/>
      <c r="O192" s="100"/>
      <c r="P192" s="76"/>
      <c r="Q192" s="76"/>
      <c r="R192" s="76"/>
      <c r="S192" s="76"/>
      <c r="T192" s="76"/>
      <c r="U192" s="76"/>
      <c r="V192" s="76"/>
      <c r="W192" s="76"/>
    </row>
    <row r="193" spans="1:23" ht="12.75">
      <c r="A193" s="77">
        <v>193</v>
      </c>
      <c r="B193" s="143">
        <v>45879</v>
      </c>
      <c r="C193" s="81">
        <v>2025</v>
      </c>
      <c r="D193" s="98">
        <v>8</v>
      </c>
      <c r="E193" s="77" t="s">
        <v>865</v>
      </c>
      <c r="F193" s="80" t="s">
        <v>10</v>
      </c>
      <c r="G193" s="81" t="s">
        <v>866</v>
      </c>
      <c r="H193" s="82">
        <v>600</v>
      </c>
      <c r="I193" s="93"/>
      <c r="J193" s="77"/>
      <c r="K193" s="100" t="b">
        <v>1</v>
      </c>
      <c r="L193" s="100"/>
      <c r="M193" s="84"/>
      <c r="N193" s="100"/>
      <c r="O193" s="100"/>
      <c r="P193" s="76"/>
      <c r="Q193" s="76"/>
      <c r="R193" s="76"/>
      <c r="S193" s="76"/>
      <c r="T193" s="76"/>
      <c r="U193" s="76"/>
      <c r="V193" s="76"/>
      <c r="W193" s="76"/>
    </row>
    <row r="194" spans="1:23" ht="12.75">
      <c r="A194" s="77">
        <v>194</v>
      </c>
      <c r="B194" s="143">
        <v>45880</v>
      </c>
      <c r="C194" s="81">
        <v>2025</v>
      </c>
      <c r="D194" s="98">
        <v>8</v>
      </c>
      <c r="E194" s="77" t="s">
        <v>865</v>
      </c>
      <c r="F194" s="80" t="s">
        <v>10</v>
      </c>
      <c r="G194" s="81" t="s">
        <v>866</v>
      </c>
      <c r="H194" s="82">
        <v>88.99</v>
      </c>
      <c r="I194" s="93"/>
      <c r="J194" s="77"/>
      <c r="K194" s="100" t="b">
        <v>1</v>
      </c>
      <c r="L194" s="100"/>
      <c r="M194" s="84"/>
      <c r="N194" s="100"/>
      <c r="O194" s="100"/>
      <c r="P194" s="76"/>
      <c r="Q194" s="76"/>
      <c r="R194" s="76"/>
      <c r="S194" s="76"/>
      <c r="T194" s="76"/>
      <c r="U194" s="76"/>
      <c r="V194" s="76"/>
      <c r="W194" s="76"/>
    </row>
    <row r="195" spans="1:23" ht="12.75">
      <c r="A195" s="77">
        <v>195</v>
      </c>
      <c r="B195" s="143">
        <v>45880</v>
      </c>
      <c r="C195" s="81">
        <v>2025</v>
      </c>
      <c r="D195" s="98">
        <v>8</v>
      </c>
      <c r="E195" s="77" t="s">
        <v>865</v>
      </c>
      <c r="F195" s="80" t="s">
        <v>10</v>
      </c>
      <c r="G195" s="81" t="s">
        <v>866</v>
      </c>
      <c r="H195" s="82">
        <v>156</v>
      </c>
      <c r="I195" s="93"/>
      <c r="J195" s="77"/>
      <c r="K195" s="100" t="b">
        <v>1</v>
      </c>
      <c r="L195" s="100"/>
      <c r="M195" s="84"/>
      <c r="N195" s="100"/>
      <c r="O195" s="100"/>
      <c r="P195" s="76"/>
      <c r="Q195" s="76"/>
      <c r="R195" s="76"/>
      <c r="S195" s="76"/>
      <c r="T195" s="76"/>
      <c r="U195" s="76"/>
      <c r="V195" s="76"/>
      <c r="W195" s="76"/>
    </row>
    <row r="196" spans="1:23" ht="12.75">
      <c r="A196" s="77">
        <v>196</v>
      </c>
      <c r="B196" s="143">
        <v>45880</v>
      </c>
      <c r="C196" s="81">
        <v>2025</v>
      </c>
      <c r="D196" s="98">
        <v>8</v>
      </c>
      <c r="E196" s="77" t="s">
        <v>865</v>
      </c>
      <c r="F196" s="80" t="s">
        <v>10</v>
      </c>
      <c r="G196" s="81" t="s">
        <v>866</v>
      </c>
      <c r="H196" s="82">
        <v>180</v>
      </c>
      <c r="I196" s="93"/>
      <c r="J196" s="77"/>
      <c r="K196" s="100" t="b">
        <v>1</v>
      </c>
      <c r="L196" s="100"/>
      <c r="M196" s="84"/>
      <c r="N196" s="100"/>
      <c r="O196" s="100"/>
      <c r="P196" s="76"/>
      <c r="Q196" s="76"/>
      <c r="R196" s="76"/>
      <c r="S196" s="76"/>
      <c r="T196" s="76"/>
      <c r="U196" s="76"/>
      <c r="V196" s="76"/>
      <c r="W196" s="76"/>
    </row>
    <row r="197" spans="1:23" ht="12.75">
      <c r="A197" s="77">
        <v>197</v>
      </c>
      <c r="B197" s="143">
        <v>45880</v>
      </c>
      <c r="C197" s="81">
        <v>2025</v>
      </c>
      <c r="D197" s="98">
        <v>8</v>
      </c>
      <c r="E197" s="77" t="s">
        <v>865</v>
      </c>
      <c r="F197" s="80" t="s">
        <v>10</v>
      </c>
      <c r="G197" s="81" t="s">
        <v>866</v>
      </c>
      <c r="H197" s="82">
        <v>751.93</v>
      </c>
      <c r="I197" s="93"/>
      <c r="J197" s="77"/>
      <c r="K197" s="100" t="b">
        <v>1</v>
      </c>
      <c r="L197" s="100"/>
      <c r="M197" s="84"/>
      <c r="N197" s="100"/>
      <c r="O197" s="100"/>
      <c r="P197" s="76"/>
      <c r="Q197" s="76"/>
      <c r="R197" s="76"/>
      <c r="S197" s="76"/>
      <c r="T197" s="76"/>
      <c r="U197" s="76"/>
      <c r="V197" s="76"/>
      <c r="W197" s="76"/>
    </row>
    <row r="198" spans="1:23" ht="12.75">
      <c r="A198" s="77">
        <v>198</v>
      </c>
      <c r="B198" s="143">
        <v>45880</v>
      </c>
      <c r="C198" s="81">
        <v>2025</v>
      </c>
      <c r="D198" s="98">
        <v>8</v>
      </c>
      <c r="E198" s="77" t="s">
        <v>865</v>
      </c>
      <c r="F198" s="80" t="s">
        <v>10</v>
      </c>
      <c r="G198" s="81" t="s">
        <v>866</v>
      </c>
      <c r="H198" s="82">
        <v>24.37</v>
      </c>
      <c r="I198" s="93"/>
      <c r="J198" s="77"/>
      <c r="K198" s="100" t="b">
        <v>1</v>
      </c>
      <c r="L198" s="100"/>
      <c r="M198" s="84"/>
      <c r="N198" s="100"/>
      <c r="O198" s="100"/>
      <c r="P198" s="76"/>
      <c r="Q198" s="76"/>
      <c r="R198" s="76"/>
      <c r="S198" s="76"/>
      <c r="T198" s="76"/>
      <c r="U198" s="76"/>
      <c r="V198" s="76"/>
      <c r="W198" s="76"/>
    </row>
    <row r="199" spans="1:23" ht="12.75">
      <c r="A199" s="77">
        <v>199</v>
      </c>
      <c r="B199" s="143">
        <v>45881</v>
      </c>
      <c r="C199" s="81">
        <v>2025</v>
      </c>
      <c r="D199" s="98">
        <v>8</v>
      </c>
      <c r="E199" s="77" t="s">
        <v>865</v>
      </c>
      <c r="F199" s="80" t="s">
        <v>10</v>
      </c>
      <c r="G199" s="81" t="s">
        <v>909</v>
      </c>
      <c r="H199" s="82"/>
      <c r="I199" s="82">
        <v>751.93</v>
      </c>
      <c r="J199" s="77"/>
      <c r="K199" s="132" t="b">
        <v>1</v>
      </c>
      <c r="L199" s="100"/>
      <c r="M199" s="84"/>
      <c r="N199" s="100"/>
      <c r="O199" s="100" t="s">
        <v>910</v>
      </c>
      <c r="P199" s="76"/>
      <c r="Q199" s="76"/>
      <c r="R199" s="76"/>
      <c r="S199" s="76"/>
      <c r="T199" s="76"/>
      <c r="U199" s="76"/>
      <c r="V199" s="76"/>
      <c r="W199" s="76"/>
    </row>
    <row r="200" spans="1:23" ht="12.75">
      <c r="A200" s="77">
        <v>200</v>
      </c>
      <c r="B200" s="143">
        <v>45883</v>
      </c>
      <c r="C200" s="81">
        <v>2025</v>
      </c>
      <c r="D200" s="98">
        <v>8</v>
      </c>
      <c r="E200" s="77" t="s">
        <v>865</v>
      </c>
      <c r="F200" s="80" t="s">
        <v>10</v>
      </c>
      <c r="G200" s="81" t="s">
        <v>866</v>
      </c>
      <c r="H200" s="82">
        <v>24.39</v>
      </c>
      <c r="I200" s="93"/>
      <c r="J200" s="77"/>
      <c r="K200" s="100" t="b">
        <v>1</v>
      </c>
      <c r="L200" s="100"/>
      <c r="M200" s="84"/>
      <c r="N200" s="100"/>
      <c r="O200" s="100"/>
      <c r="P200" s="76"/>
      <c r="Q200" s="76"/>
      <c r="R200" s="76"/>
      <c r="S200" s="76"/>
      <c r="T200" s="76"/>
      <c r="U200" s="76"/>
      <c r="V200" s="76"/>
      <c r="W200" s="76"/>
    </row>
    <row r="201" spans="1:23" ht="12.75">
      <c r="A201" s="77">
        <v>201</v>
      </c>
      <c r="B201" s="143">
        <v>45885</v>
      </c>
      <c r="C201" s="81">
        <v>2025</v>
      </c>
      <c r="D201" s="98">
        <v>8</v>
      </c>
      <c r="E201" s="77" t="s">
        <v>865</v>
      </c>
      <c r="F201" s="80" t="s">
        <v>10</v>
      </c>
      <c r="G201" s="81" t="s">
        <v>866</v>
      </c>
      <c r="H201" s="82">
        <v>164.5</v>
      </c>
      <c r="I201" s="93"/>
      <c r="J201" s="77"/>
      <c r="K201" s="100" t="b">
        <v>1</v>
      </c>
      <c r="L201" s="100"/>
      <c r="M201" s="84"/>
      <c r="N201" s="100"/>
      <c r="O201" s="100"/>
      <c r="P201" s="76"/>
      <c r="Q201" s="76"/>
      <c r="R201" s="76"/>
      <c r="S201" s="76"/>
      <c r="T201" s="76"/>
      <c r="U201" s="76"/>
      <c r="V201" s="76"/>
      <c r="W201" s="76"/>
    </row>
    <row r="202" spans="1:23" ht="12.75">
      <c r="A202" s="77">
        <v>202</v>
      </c>
      <c r="B202" s="143">
        <v>45886</v>
      </c>
      <c r="C202" s="81">
        <v>2025</v>
      </c>
      <c r="D202" s="98">
        <v>8</v>
      </c>
      <c r="E202" s="77" t="s">
        <v>865</v>
      </c>
      <c r="F202" s="80" t="s">
        <v>10</v>
      </c>
      <c r="G202" s="81" t="s">
        <v>866</v>
      </c>
      <c r="H202" s="82">
        <v>283.08</v>
      </c>
      <c r="I202" s="93"/>
      <c r="J202" s="77"/>
      <c r="K202" s="100" t="b">
        <v>1</v>
      </c>
      <c r="L202" s="100"/>
      <c r="M202" s="84"/>
      <c r="N202" s="100"/>
      <c r="O202" s="100"/>
      <c r="P202" s="76"/>
      <c r="Q202" s="76"/>
      <c r="R202" s="76"/>
      <c r="S202" s="76"/>
      <c r="T202" s="76"/>
      <c r="U202" s="76"/>
      <c r="V202" s="76"/>
      <c r="W202" s="76"/>
    </row>
    <row r="203" spans="1:23" ht="12.75">
      <c r="A203" s="77">
        <v>203</v>
      </c>
      <c r="B203" s="143">
        <v>45887</v>
      </c>
      <c r="C203" s="81">
        <v>2025</v>
      </c>
      <c r="D203" s="98">
        <v>8</v>
      </c>
      <c r="E203" s="77" t="s">
        <v>865</v>
      </c>
      <c r="F203" s="80" t="s">
        <v>10</v>
      </c>
      <c r="G203" s="81" t="s">
        <v>866</v>
      </c>
      <c r="H203" s="82">
        <v>1880.4664113875474</v>
      </c>
      <c r="I203" s="93"/>
      <c r="J203" s="77"/>
      <c r="K203" s="100" t="b">
        <v>1</v>
      </c>
      <c r="L203" s="100"/>
      <c r="M203" s="84"/>
      <c r="N203" s="100"/>
      <c r="O203" s="100"/>
      <c r="P203" s="76"/>
      <c r="Q203" s="76"/>
      <c r="R203" s="76"/>
      <c r="S203" s="76"/>
      <c r="T203" s="76"/>
      <c r="U203" s="76"/>
      <c r="V203" s="76"/>
      <c r="W203" s="76"/>
    </row>
    <row r="204" spans="1:23" ht="12.75">
      <c r="A204" s="77">
        <v>204</v>
      </c>
      <c r="B204" s="143">
        <v>45887</v>
      </c>
      <c r="C204" s="81">
        <v>2025</v>
      </c>
      <c r="D204" s="98">
        <v>8</v>
      </c>
      <c r="E204" s="77" t="s">
        <v>865</v>
      </c>
      <c r="F204" s="80" t="s">
        <v>10</v>
      </c>
      <c r="G204" s="81" t="s">
        <v>866</v>
      </c>
      <c r="H204" s="82">
        <v>37.090000000000003</v>
      </c>
      <c r="I204" s="93"/>
      <c r="J204" s="77"/>
      <c r="K204" s="100" t="b">
        <v>1</v>
      </c>
      <c r="L204" s="100"/>
      <c r="M204" s="84"/>
      <c r="N204" s="100"/>
      <c r="O204" s="100"/>
      <c r="P204" s="76"/>
      <c r="Q204" s="76"/>
      <c r="R204" s="76"/>
      <c r="S204" s="76"/>
      <c r="T204" s="76"/>
      <c r="U204" s="76"/>
      <c r="V204" s="76"/>
      <c r="W204" s="76"/>
    </row>
    <row r="205" spans="1:23" ht="12.75">
      <c r="A205" s="77">
        <v>205</v>
      </c>
      <c r="B205" s="143">
        <v>45887</v>
      </c>
      <c r="C205" s="81">
        <v>2025</v>
      </c>
      <c r="D205" s="98">
        <v>8</v>
      </c>
      <c r="E205" s="77" t="s">
        <v>865</v>
      </c>
      <c r="F205" s="80" t="s">
        <v>10</v>
      </c>
      <c r="G205" s="81" t="s">
        <v>866</v>
      </c>
      <c r="H205" s="82">
        <v>36</v>
      </c>
      <c r="I205" s="93"/>
      <c r="J205" s="77"/>
      <c r="K205" s="100" t="b">
        <v>1</v>
      </c>
      <c r="L205" s="100"/>
      <c r="M205" s="84"/>
      <c r="N205" s="100"/>
      <c r="O205" s="100"/>
      <c r="P205" s="76"/>
      <c r="Q205" s="76"/>
      <c r="R205" s="76"/>
      <c r="S205" s="76"/>
      <c r="T205" s="76"/>
      <c r="U205" s="76"/>
      <c r="V205" s="76"/>
      <c r="W205" s="76"/>
    </row>
    <row r="206" spans="1:23" ht="12.75">
      <c r="A206" s="77"/>
      <c r="B206" s="143">
        <v>45887</v>
      </c>
      <c r="C206" s="81"/>
      <c r="D206" s="98"/>
      <c r="E206" s="77"/>
      <c r="F206" s="80"/>
      <c r="G206" s="81" t="s">
        <v>911</v>
      </c>
      <c r="H206" s="82"/>
      <c r="I206" s="93">
        <v>11000</v>
      </c>
      <c r="J206" s="77"/>
      <c r="K206" s="132" t="b">
        <v>1</v>
      </c>
      <c r="L206" s="100"/>
      <c r="M206" s="84"/>
      <c r="N206" s="100"/>
      <c r="O206" s="100"/>
      <c r="P206" s="76"/>
      <c r="Q206" s="76"/>
      <c r="R206" s="76"/>
      <c r="S206" s="76"/>
      <c r="T206" s="76"/>
      <c r="U206" s="76"/>
      <c r="V206" s="76"/>
      <c r="W206" s="76"/>
    </row>
    <row r="207" spans="1:23" ht="12.75">
      <c r="A207" s="77">
        <v>206</v>
      </c>
      <c r="B207" s="143">
        <v>45888</v>
      </c>
      <c r="C207" s="81">
        <v>2025</v>
      </c>
      <c r="D207" s="98">
        <v>8</v>
      </c>
      <c r="E207" s="77" t="s">
        <v>865</v>
      </c>
      <c r="F207" s="80" t="s">
        <v>10</v>
      </c>
      <c r="G207" s="81" t="s">
        <v>866</v>
      </c>
      <c r="H207" s="82">
        <v>6.49</v>
      </c>
      <c r="I207" s="93"/>
      <c r="J207" s="77"/>
      <c r="K207" s="100" t="b">
        <v>1</v>
      </c>
      <c r="L207" s="100"/>
      <c r="M207" s="84"/>
      <c r="N207" s="100"/>
      <c r="O207" s="100" t="s">
        <v>912</v>
      </c>
      <c r="P207" s="76"/>
      <c r="Q207" s="76"/>
      <c r="R207" s="76"/>
      <c r="S207" s="76"/>
      <c r="T207" s="76"/>
      <c r="U207" s="76"/>
      <c r="V207" s="76"/>
      <c r="W207" s="76"/>
    </row>
    <row r="208" spans="1:23" ht="12.75">
      <c r="A208" s="77">
        <v>207</v>
      </c>
      <c r="B208" s="143">
        <v>45888</v>
      </c>
      <c r="C208" s="81">
        <v>2025</v>
      </c>
      <c r="D208" s="98">
        <v>8</v>
      </c>
      <c r="E208" s="77" t="s">
        <v>865</v>
      </c>
      <c r="F208" s="80" t="s">
        <v>10</v>
      </c>
      <c r="G208" s="81" t="s">
        <v>866</v>
      </c>
      <c r="H208" s="82">
        <v>111.34</v>
      </c>
      <c r="I208" s="93"/>
      <c r="J208" s="77"/>
      <c r="K208" s="100" t="b">
        <v>1</v>
      </c>
      <c r="L208" s="100"/>
      <c r="M208" s="84"/>
      <c r="N208" s="100"/>
      <c r="O208" s="100"/>
      <c r="P208" s="76"/>
      <c r="Q208" s="76"/>
      <c r="R208" s="76"/>
      <c r="S208" s="76"/>
      <c r="T208" s="76"/>
      <c r="U208" s="76"/>
      <c r="V208" s="76"/>
      <c r="W208" s="76"/>
    </row>
    <row r="209" spans="1:23" ht="12.75">
      <c r="A209" s="77">
        <v>208</v>
      </c>
      <c r="B209" s="143">
        <v>45896</v>
      </c>
      <c r="C209" s="81">
        <v>2025</v>
      </c>
      <c r="D209" s="98">
        <v>8</v>
      </c>
      <c r="E209" s="77" t="s">
        <v>865</v>
      </c>
      <c r="F209" s="80" t="s">
        <v>10</v>
      </c>
      <c r="G209" s="81" t="s">
        <v>866</v>
      </c>
      <c r="H209" s="82">
        <v>374.48735057186173</v>
      </c>
      <c r="I209" s="93"/>
      <c r="J209" s="77"/>
      <c r="K209" s="100" t="b">
        <v>1</v>
      </c>
      <c r="L209" s="100"/>
      <c r="M209" s="84"/>
      <c r="N209" s="100"/>
      <c r="O209" s="100"/>
      <c r="P209" s="76"/>
      <c r="Q209" s="76"/>
      <c r="R209" s="76"/>
      <c r="S209" s="76"/>
      <c r="T209" s="76"/>
      <c r="U209" s="76"/>
      <c r="V209" s="76"/>
      <c r="W209" s="76"/>
    </row>
    <row r="210" spans="1:23" ht="12.75">
      <c r="A210" s="77">
        <v>209</v>
      </c>
      <c r="B210" s="143">
        <v>45897</v>
      </c>
      <c r="C210" s="81">
        <v>2025</v>
      </c>
      <c r="D210" s="98">
        <v>8</v>
      </c>
      <c r="E210" s="77" t="s">
        <v>865</v>
      </c>
      <c r="F210" s="80" t="s">
        <v>10</v>
      </c>
      <c r="G210" s="81" t="s">
        <v>866</v>
      </c>
      <c r="H210" s="82">
        <v>27.86</v>
      </c>
      <c r="I210" s="93"/>
      <c r="J210" s="77"/>
      <c r="K210" s="100" t="b">
        <v>1</v>
      </c>
      <c r="L210" s="100"/>
      <c r="M210" s="84"/>
      <c r="N210" s="100"/>
      <c r="O210" s="100"/>
      <c r="P210" s="76"/>
      <c r="Q210" s="76"/>
      <c r="R210" s="76"/>
      <c r="S210" s="76"/>
      <c r="T210" s="76"/>
      <c r="U210" s="76"/>
      <c r="V210" s="76"/>
      <c r="W210" s="76"/>
    </row>
    <row r="211" spans="1:23" ht="12.75">
      <c r="A211" s="77">
        <v>210</v>
      </c>
      <c r="B211" s="143">
        <v>45900</v>
      </c>
      <c r="C211" s="81">
        <v>2025</v>
      </c>
      <c r="D211" s="98">
        <v>8</v>
      </c>
      <c r="E211" s="77" t="s">
        <v>865</v>
      </c>
      <c r="F211" s="80" t="s">
        <v>10</v>
      </c>
      <c r="G211" s="81" t="s">
        <v>866</v>
      </c>
      <c r="H211" s="82">
        <v>4240</v>
      </c>
      <c r="I211" s="93"/>
      <c r="J211" s="77"/>
      <c r="K211" s="100" t="b">
        <v>1</v>
      </c>
      <c r="L211" s="100"/>
      <c r="M211" s="84"/>
      <c r="N211" s="100"/>
      <c r="O211" s="100"/>
      <c r="P211" s="76"/>
      <c r="Q211" s="76"/>
      <c r="R211" s="76"/>
      <c r="S211" s="76"/>
      <c r="T211" s="76"/>
      <c r="U211" s="76"/>
      <c r="V211" s="76"/>
      <c r="W211" s="76"/>
    </row>
    <row r="212" spans="1:23" ht="12.75">
      <c r="A212" s="77">
        <v>211</v>
      </c>
      <c r="B212" s="143">
        <v>45907</v>
      </c>
      <c r="C212" s="81">
        <v>2025</v>
      </c>
      <c r="D212" s="98">
        <v>9</v>
      </c>
      <c r="E212" s="77" t="s">
        <v>865</v>
      </c>
      <c r="F212" s="80" t="s">
        <v>10</v>
      </c>
      <c r="G212" s="81" t="s">
        <v>871</v>
      </c>
      <c r="H212" s="82"/>
      <c r="I212" s="93">
        <v>1101.1099999999999</v>
      </c>
      <c r="J212" s="99" t="s">
        <v>867</v>
      </c>
      <c r="K212" s="132" t="b">
        <v>1</v>
      </c>
      <c r="L212" s="100"/>
      <c r="M212" s="84"/>
      <c r="N212" s="100"/>
      <c r="O212" s="100" t="s">
        <v>913</v>
      </c>
      <c r="P212" s="76"/>
      <c r="Q212" s="76"/>
      <c r="R212" s="76"/>
      <c r="S212" s="76"/>
      <c r="T212" s="76"/>
      <c r="U212" s="76"/>
      <c r="V212" s="76"/>
      <c r="W212" s="76"/>
    </row>
    <row r="213" spans="1:23" ht="12.75">
      <c r="A213" s="77"/>
      <c r="B213" s="143">
        <v>45907</v>
      </c>
      <c r="C213" s="81">
        <v>2025</v>
      </c>
      <c r="D213" s="98">
        <v>9</v>
      </c>
      <c r="E213" s="77" t="s">
        <v>865</v>
      </c>
      <c r="F213" s="80" t="s">
        <v>10</v>
      </c>
      <c r="G213" s="81" t="s">
        <v>871</v>
      </c>
      <c r="H213" s="82"/>
      <c r="I213" s="93">
        <v>727</v>
      </c>
      <c r="J213" s="99" t="s">
        <v>867</v>
      </c>
      <c r="K213" s="132" t="b">
        <v>1</v>
      </c>
      <c r="L213" s="100"/>
      <c r="M213" s="84"/>
      <c r="N213" s="100"/>
      <c r="O213" s="100" t="s">
        <v>914</v>
      </c>
      <c r="P213" s="76"/>
      <c r="Q213" s="76"/>
      <c r="R213" s="76"/>
      <c r="S213" s="76"/>
      <c r="T213" s="76"/>
      <c r="U213" s="76"/>
      <c r="V213" s="76"/>
      <c r="W213" s="76"/>
    </row>
    <row r="214" spans="1:23" ht="12.75">
      <c r="A214" s="77">
        <v>212</v>
      </c>
      <c r="B214" s="143">
        <v>45907</v>
      </c>
      <c r="C214" s="81">
        <v>2025</v>
      </c>
      <c r="D214" s="98">
        <v>9</v>
      </c>
      <c r="E214" s="77" t="s">
        <v>865</v>
      </c>
      <c r="F214" s="80" t="s">
        <v>10</v>
      </c>
      <c r="G214" s="81" t="s">
        <v>871</v>
      </c>
      <c r="H214" s="82"/>
      <c r="I214" s="93">
        <v>29.12</v>
      </c>
      <c r="J214" s="99" t="s">
        <v>867</v>
      </c>
      <c r="K214" s="132" t="b">
        <v>1</v>
      </c>
      <c r="L214" s="100"/>
      <c r="M214" s="84"/>
      <c r="N214" s="100"/>
      <c r="O214" s="100" t="s">
        <v>915</v>
      </c>
      <c r="P214" s="76"/>
      <c r="Q214" s="76"/>
      <c r="R214" s="76"/>
      <c r="S214" s="76"/>
      <c r="T214" s="76"/>
      <c r="U214" s="76"/>
      <c r="V214" s="76"/>
      <c r="W214" s="76"/>
    </row>
    <row r="215" spans="1:23" ht="12.75">
      <c r="A215" s="77">
        <v>214</v>
      </c>
      <c r="B215" s="143">
        <v>45902</v>
      </c>
      <c r="C215" s="81">
        <v>2025</v>
      </c>
      <c r="D215" s="98">
        <v>9</v>
      </c>
      <c r="E215" s="77" t="s">
        <v>865</v>
      </c>
      <c r="F215" s="80" t="s">
        <v>10</v>
      </c>
      <c r="G215" s="81" t="s">
        <v>871</v>
      </c>
      <c r="H215" s="82"/>
      <c r="I215" s="93">
        <v>1491.2028169014086</v>
      </c>
      <c r="J215" s="99" t="s">
        <v>867</v>
      </c>
      <c r="K215" s="132" t="b">
        <v>1</v>
      </c>
      <c r="L215" s="100"/>
      <c r="M215" s="84"/>
      <c r="N215" s="100"/>
      <c r="O215" s="100" t="s">
        <v>916</v>
      </c>
      <c r="P215" s="76"/>
      <c r="Q215" s="76"/>
      <c r="R215" s="76"/>
      <c r="S215" s="76"/>
      <c r="T215" s="76"/>
      <c r="U215" s="76"/>
      <c r="V215" s="76"/>
      <c r="W215" s="76"/>
    </row>
    <row r="216" spans="1:23" ht="14.25">
      <c r="A216" s="77">
        <v>215</v>
      </c>
      <c r="B216" s="144">
        <v>45901</v>
      </c>
      <c r="C216" s="81">
        <v>2025</v>
      </c>
      <c r="D216" s="98">
        <v>9</v>
      </c>
      <c r="E216" s="77" t="s">
        <v>865</v>
      </c>
      <c r="F216" s="80" t="s">
        <v>10</v>
      </c>
      <c r="G216" s="81" t="s">
        <v>866</v>
      </c>
      <c r="H216" s="82">
        <v>119.98</v>
      </c>
      <c r="I216" s="93"/>
      <c r="J216" s="77"/>
      <c r="K216" s="100" t="b">
        <v>1</v>
      </c>
      <c r="L216" s="100"/>
      <c r="M216" s="84"/>
      <c r="N216" s="100"/>
      <c r="O216" s="100"/>
      <c r="P216" s="76"/>
      <c r="Q216" s="76"/>
      <c r="R216" s="76"/>
      <c r="S216" s="76"/>
      <c r="T216" s="76"/>
      <c r="U216" s="76"/>
      <c r="V216" s="76"/>
      <c r="W216" s="76"/>
    </row>
    <row r="217" spans="1:23" ht="14.25">
      <c r="A217" s="77">
        <v>216</v>
      </c>
      <c r="B217" s="144">
        <v>45905</v>
      </c>
      <c r="C217" s="81">
        <v>2025</v>
      </c>
      <c r="D217" s="98">
        <v>9</v>
      </c>
      <c r="E217" s="77" t="s">
        <v>865</v>
      </c>
      <c r="F217" s="80" t="s">
        <v>10</v>
      </c>
      <c r="G217" s="81" t="s">
        <v>866</v>
      </c>
      <c r="H217" s="82">
        <v>110</v>
      </c>
      <c r="I217" s="93"/>
      <c r="J217" s="77"/>
      <c r="K217" s="100" t="b">
        <v>1</v>
      </c>
      <c r="L217" s="100"/>
      <c r="M217" s="84"/>
      <c r="N217" s="100"/>
      <c r="O217" s="100"/>
      <c r="P217" s="76"/>
      <c r="Q217" s="76"/>
      <c r="R217" s="76"/>
      <c r="S217" s="76"/>
      <c r="T217" s="76"/>
      <c r="U217" s="76"/>
      <c r="V217" s="76"/>
      <c r="W217" s="76"/>
    </row>
    <row r="218" spans="1:23" ht="14.25">
      <c r="A218" s="77">
        <v>217</v>
      </c>
      <c r="B218" s="144">
        <v>45906</v>
      </c>
      <c r="C218" s="81">
        <v>2025</v>
      </c>
      <c r="D218" s="98">
        <v>9</v>
      </c>
      <c r="E218" s="77" t="s">
        <v>865</v>
      </c>
      <c r="F218" s="80" t="s">
        <v>10</v>
      </c>
      <c r="G218" s="81" t="s">
        <v>866</v>
      </c>
      <c r="H218" s="82">
        <v>18.989999999999998</v>
      </c>
      <c r="I218" s="93"/>
      <c r="J218" s="77"/>
      <c r="K218" s="100" t="b">
        <v>1</v>
      </c>
      <c r="L218" s="100"/>
      <c r="M218" s="84"/>
      <c r="N218" s="100"/>
      <c r="O218" s="100"/>
      <c r="P218" s="76"/>
      <c r="Q218" s="76"/>
      <c r="R218" s="76"/>
      <c r="S218" s="76"/>
      <c r="T218" s="76"/>
      <c r="U218" s="76"/>
      <c r="V218" s="76"/>
      <c r="W218" s="76"/>
    </row>
    <row r="219" spans="1:23" ht="14.25">
      <c r="A219" s="77">
        <v>218</v>
      </c>
      <c r="B219" s="144">
        <v>45909</v>
      </c>
      <c r="C219" s="81">
        <v>2025</v>
      </c>
      <c r="D219" s="98">
        <v>9</v>
      </c>
      <c r="E219" s="77" t="s">
        <v>865</v>
      </c>
      <c r="F219" s="80" t="s">
        <v>10</v>
      </c>
      <c r="G219" s="81" t="s">
        <v>866</v>
      </c>
      <c r="H219" s="82">
        <v>205.53</v>
      </c>
      <c r="I219" s="93"/>
      <c r="J219" s="77"/>
      <c r="K219" s="100" t="b">
        <v>1</v>
      </c>
      <c r="L219" s="100"/>
      <c r="M219" s="84"/>
      <c r="N219" s="100"/>
      <c r="O219" s="100"/>
      <c r="P219" s="76"/>
      <c r="Q219" s="76"/>
      <c r="R219" s="76"/>
      <c r="S219" s="76"/>
      <c r="T219" s="76"/>
      <c r="U219" s="76"/>
      <c r="V219" s="76"/>
      <c r="W219" s="76"/>
    </row>
    <row r="220" spans="1:23" ht="14.25">
      <c r="A220" s="77">
        <v>219</v>
      </c>
      <c r="B220" s="144">
        <v>45909</v>
      </c>
      <c r="C220" s="81">
        <v>2025</v>
      </c>
      <c r="D220" s="98">
        <v>9</v>
      </c>
      <c r="E220" s="77" t="s">
        <v>865</v>
      </c>
      <c r="F220" s="80" t="s">
        <v>10</v>
      </c>
      <c r="G220" s="81" t="s">
        <v>866</v>
      </c>
      <c r="H220" s="82">
        <v>600</v>
      </c>
      <c r="I220" s="93"/>
      <c r="J220" s="77"/>
      <c r="K220" s="100" t="b">
        <v>1</v>
      </c>
      <c r="L220" s="100"/>
      <c r="M220" s="84"/>
      <c r="N220" s="100"/>
      <c r="O220" s="100" t="s">
        <v>917</v>
      </c>
      <c r="P220" s="76"/>
      <c r="Q220" s="76"/>
      <c r="R220" s="76"/>
      <c r="S220" s="76"/>
      <c r="T220" s="76"/>
      <c r="U220" s="76"/>
      <c r="V220" s="76"/>
      <c r="W220" s="76"/>
    </row>
    <row r="221" spans="1:23" ht="14.25">
      <c r="A221" s="77">
        <v>220</v>
      </c>
      <c r="B221" s="144">
        <v>45909</v>
      </c>
      <c r="C221" s="81">
        <v>2025</v>
      </c>
      <c r="D221" s="98">
        <v>9</v>
      </c>
      <c r="E221" s="77" t="s">
        <v>865</v>
      </c>
      <c r="F221" s="80" t="s">
        <v>10</v>
      </c>
      <c r="G221" s="81" t="s">
        <v>866</v>
      </c>
      <c r="H221" s="82">
        <v>200.5</v>
      </c>
      <c r="I221" s="93"/>
      <c r="J221" s="77"/>
      <c r="K221" s="100" t="b">
        <v>1</v>
      </c>
      <c r="L221" s="100"/>
      <c r="M221" s="84"/>
      <c r="N221" s="100"/>
      <c r="O221" s="100"/>
      <c r="P221" s="76"/>
      <c r="Q221" s="76"/>
      <c r="R221" s="76"/>
      <c r="S221" s="76"/>
      <c r="T221" s="76"/>
      <c r="U221" s="76"/>
      <c r="V221" s="76"/>
      <c r="W221" s="76"/>
    </row>
    <row r="222" spans="1:23" ht="14.25">
      <c r="A222" s="77">
        <v>221</v>
      </c>
      <c r="B222" s="144">
        <v>45910</v>
      </c>
      <c r="C222" s="81">
        <v>2025</v>
      </c>
      <c r="D222" s="98">
        <v>9</v>
      </c>
      <c r="E222" s="77" t="s">
        <v>865</v>
      </c>
      <c r="F222" s="80" t="s">
        <v>10</v>
      </c>
      <c r="G222" s="81" t="s">
        <v>866</v>
      </c>
      <c r="H222" s="82">
        <v>12.78</v>
      </c>
      <c r="I222" s="93"/>
      <c r="J222" s="77"/>
      <c r="K222" s="100" t="b">
        <v>1</v>
      </c>
      <c r="L222" s="100"/>
      <c r="M222" s="84"/>
      <c r="N222" s="100"/>
      <c r="O222" s="100"/>
      <c r="P222" s="76"/>
      <c r="Q222" s="76"/>
      <c r="R222" s="76"/>
      <c r="S222" s="76"/>
      <c r="T222" s="76"/>
      <c r="U222" s="76"/>
      <c r="V222" s="76"/>
      <c r="W222" s="76"/>
    </row>
    <row r="223" spans="1:23" ht="14.25">
      <c r="A223" s="77">
        <v>223</v>
      </c>
      <c r="B223" s="144">
        <v>45911</v>
      </c>
      <c r="C223" s="81">
        <v>2025</v>
      </c>
      <c r="D223" s="98">
        <v>9</v>
      </c>
      <c r="E223" s="77" t="s">
        <v>865</v>
      </c>
      <c r="F223" s="80" t="s">
        <v>10</v>
      </c>
      <c r="G223" s="81" t="s">
        <v>866</v>
      </c>
      <c r="H223" s="82">
        <v>17.989999999999998</v>
      </c>
      <c r="I223" s="93"/>
      <c r="J223" s="77"/>
      <c r="K223" s="100" t="b">
        <v>1</v>
      </c>
      <c r="L223" s="100"/>
      <c r="M223" s="84"/>
      <c r="N223" s="100"/>
      <c r="O223" s="100"/>
      <c r="P223" s="76"/>
      <c r="Q223" s="76"/>
      <c r="R223" s="76"/>
      <c r="S223" s="76"/>
      <c r="T223" s="76"/>
      <c r="U223" s="76"/>
      <c r="V223" s="76"/>
      <c r="W223" s="76"/>
    </row>
    <row r="224" spans="1:23" ht="14.25">
      <c r="A224" s="77">
        <v>224</v>
      </c>
      <c r="B224" s="144">
        <v>45913</v>
      </c>
      <c r="C224" s="81">
        <v>2025</v>
      </c>
      <c r="D224" s="98">
        <v>9</v>
      </c>
      <c r="E224" s="77" t="s">
        <v>865</v>
      </c>
      <c r="F224" s="80" t="s">
        <v>10</v>
      </c>
      <c r="G224" s="81" t="s">
        <v>866</v>
      </c>
      <c r="H224" s="82">
        <v>126</v>
      </c>
      <c r="I224" s="93"/>
      <c r="J224" s="77"/>
      <c r="K224" s="100" t="b">
        <v>1</v>
      </c>
      <c r="L224" s="100"/>
      <c r="M224" s="84"/>
      <c r="N224" s="100"/>
      <c r="O224" s="100"/>
      <c r="P224" s="76"/>
      <c r="Q224" s="76"/>
      <c r="R224" s="76"/>
      <c r="S224" s="76"/>
      <c r="T224" s="76"/>
      <c r="U224" s="76"/>
      <c r="V224" s="76"/>
      <c r="W224" s="76"/>
    </row>
    <row r="225" spans="1:23" ht="14.25">
      <c r="A225" s="77">
        <v>225</v>
      </c>
      <c r="B225" s="144">
        <v>45915</v>
      </c>
      <c r="C225" s="81">
        <v>2025</v>
      </c>
      <c r="D225" s="98">
        <v>9</v>
      </c>
      <c r="E225" s="77" t="s">
        <v>865</v>
      </c>
      <c r="F225" s="80" t="s">
        <v>10</v>
      </c>
      <c r="G225" s="81" t="s">
        <v>866</v>
      </c>
      <c r="H225" s="82">
        <v>119.39</v>
      </c>
      <c r="I225" s="93"/>
      <c r="J225" s="77"/>
      <c r="K225" s="100" t="b">
        <v>1</v>
      </c>
      <c r="L225" s="100"/>
      <c r="M225" s="84"/>
      <c r="N225" s="100"/>
      <c r="O225" s="100"/>
      <c r="P225" s="76"/>
      <c r="Q225" s="76"/>
      <c r="R225" s="76"/>
      <c r="S225" s="76"/>
      <c r="T225" s="76"/>
      <c r="U225" s="76"/>
      <c r="V225" s="76"/>
      <c r="W225" s="76"/>
    </row>
    <row r="226" spans="1:23" ht="14.25">
      <c r="A226" s="77">
        <v>226</v>
      </c>
      <c r="B226" s="144">
        <v>45917</v>
      </c>
      <c r="C226" s="81">
        <v>2025</v>
      </c>
      <c r="D226" s="98">
        <v>9</v>
      </c>
      <c r="E226" s="77" t="s">
        <v>865</v>
      </c>
      <c r="F226" s="80" t="s">
        <v>10</v>
      </c>
      <c r="G226" s="81" t="s">
        <v>866</v>
      </c>
      <c r="H226" s="82">
        <v>283.08</v>
      </c>
      <c r="I226" s="93"/>
      <c r="J226" s="77"/>
      <c r="K226" s="100" t="b">
        <v>1</v>
      </c>
      <c r="L226" s="100"/>
      <c r="M226" s="84"/>
      <c r="N226" s="100"/>
      <c r="O226" s="100"/>
      <c r="P226" s="76"/>
      <c r="Q226" s="76"/>
      <c r="R226" s="76"/>
      <c r="S226" s="76"/>
      <c r="T226" s="76"/>
      <c r="U226" s="76"/>
      <c r="V226" s="76"/>
      <c r="W226" s="76"/>
    </row>
    <row r="227" spans="1:23" ht="14.25">
      <c r="A227" s="77">
        <v>227</v>
      </c>
      <c r="B227" s="144">
        <v>45917</v>
      </c>
      <c r="C227" s="81">
        <v>2025</v>
      </c>
      <c r="D227" s="98">
        <v>9</v>
      </c>
      <c r="E227" s="77" t="s">
        <v>865</v>
      </c>
      <c r="F227" s="80" t="s">
        <v>10</v>
      </c>
      <c r="G227" s="81" t="s">
        <v>866</v>
      </c>
      <c r="H227" s="82">
        <v>11.69</v>
      </c>
      <c r="I227" s="93"/>
      <c r="J227" s="77"/>
      <c r="K227" s="100" t="b">
        <v>1</v>
      </c>
      <c r="L227" s="100"/>
      <c r="M227" s="84"/>
      <c r="N227" s="100"/>
      <c r="O227" s="100" t="s">
        <v>918</v>
      </c>
      <c r="P227" s="76"/>
      <c r="Q227" s="76"/>
      <c r="R227" s="76"/>
      <c r="S227" s="76"/>
      <c r="T227" s="76"/>
      <c r="U227" s="76"/>
      <c r="V227" s="76"/>
      <c r="W227" s="76"/>
    </row>
    <row r="228" spans="1:23" ht="14.25">
      <c r="A228" s="77">
        <v>228</v>
      </c>
      <c r="B228" s="144">
        <v>45917</v>
      </c>
      <c r="C228" s="81">
        <v>2025</v>
      </c>
      <c r="D228" s="98">
        <v>9</v>
      </c>
      <c r="E228" s="77" t="s">
        <v>865</v>
      </c>
      <c r="F228" s="80" t="s">
        <v>10</v>
      </c>
      <c r="G228" s="81" t="s">
        <v>866</v>
      </c>
      <c r="H228" s="82">
        <v>37.090000000000003</v>
      </c>
      <c r="I228" s="93"/>
      <c r="J228" s="77"/>
      <c r="K228" s="100" t="b">
        <v>1</v>
      </c>
      <c r="L228" s="100"/>
      <c r="M228" s="84"/>
      <c r="N228" s="100"/>
      <c r="O228" s="100"/>
      <c r="P228" s="76"/>
      <c r="Q228" s="76"/>
      <c r="R228" s="76"/>
      <c r="S228" s="76"/>
      <c r="T228" s="76"/>
      <c r="U228" s="76"/>
      <c r="V228" s="76"/>
      <c r="W228" s="76"/>
    </row>
    <row r="229" spans="1:23" ht="14.25">
      <c r="A229" s="77">
        <v>229</v>
      </c>
      <c r="B229" s="144">
        <v>45918</v>
      </c>
      <c r="C229" s="81">
        <v>2025</v>
      </c>
      <c r="D229" s="98">
        <v>9</v>
      </c>
      <c r="E229" s="77" t="s">
        <v>865</v>
      </c>
      <c r="F229" s="80" t="s">
        <v>10</v>
      </c>
      <c r="G229" s="81" t="s">
        <v>866</v>
      </c>
      <c r="H229" s="82">
        <v>110</v>
      </c>
      <c r="I229" s="93"/>
      <c r="J229" s="77"/>
      <c r="K229" s="100" t="b">
        <v>1</v>
      </c>
      <c r="L229" s="100"/>
      <c r="M229" s="84"/>
      <c r="N229" s="100"/>
      <c r="O229" s="100"/>
      <c r="P229" s="76"/>
      <c r="Q229" s="76"/>
      <c r="R229" s="76"/>
      <c r="S229" s="76"/>
      <c r="T229" s="76"/>
      <c r="U229" s="76"/>
      <c r="V229" s="76"/>
      <c r="W229" s="76"/>
    </row>
    <row r="230" spans="1:23" ht="14.25">
      <c r="A230" s="77">
        <v>230</v>
      </c>
      <c r="B230" s="144">
        <v>45919</v>
      </c>
      <c r="C230" s="81">
        <v>2025</v>
      </c>
      <c r="D230" s="98">
        <v>9</v>
      </c>
      <c r="E230" s="77" t="s">
        <v>865</v>
      </c>
      <c r="F230" s="80" t="s">
        <v>10</v>
      </c>
      <c r="G230" s="81" t="s">
        <v>866</v>
      </c>
      <c r="H230" s="82">
        <v>16.989999999999998</v>
      </c>
      <c r="I230" s="93"/>
      <c r="J230" s="77"/>
      <c r="K230" s="100" t="b">
        <v>1</v>
      </c>
      <c r="L230" s="100"/>
      <c r="M230" s="84"/>
      <c r="N230" s="100"/>
      <c r="O230" s="100"/>
      <c r="P230" s="76"/>
      <c r="Q230" s="76"/>
      <c r="R230" s="76"/>
      <c r="S230" s="76"/>
      <c r="T230" s="76"/>
      <c r="U230" s="76"/>
      <c r="V230" s="76"/>
      <c r="W230" s="76"/>
    </row>
    <row r="231" spans="1:23" ht="14.25">
      <c r="A231" s="77">
        <v>231</v>
      </c>
      <c r="B231" s="144">
        <v>45922</v>
      </c>
      <c r="C231" s="81">
        <v>2025</v>
      </c>
      <c r="D231" s="98">
        <v>9</v>
      </c>
      <c r="E231" s="77" t="s">
        <v>865</v>
      </c>
      <c r="F231" s="80" t="s">
        <v>10</v>
      </c>
      <c r="G231" s="81" t="s">
        <v>866</v>
      </c>
      <c r="H231" s="82">
        <v>27.86</v>
      </c>
      <c r="I231" s="93"/>
      <c r="J231" s="77"/>
      <c r="K231" s="100" t="b">
        <v>1</v>
      </c>
      <c r="L231" s="100"/>
      <c r="M231" s="84"/>
      <c r="N231" s="100"/>
      <c r="O231" s="100"/>
      <c r="P231" s="76"/>
      <c r="Q231" s="76"/>
      <c r="R231" s="76"/>
      <c r="S231" s="76"/>
      <c r="T231" s="76"/>
      <c r="U231" s="76"/>
      <c r="V231" s="76"/>
      <c r="W231" s="76"/>
    </row>
    <row r="232" spans="1:23" ht="14.25">
      <c r="A232" s="77">
        <v>232</v>
      </c>
      <c r="B232" s="144">
        <v>45923</v>
      </c>
      <c r="C232" s="81">
        <v>2025</v>
      </c>
      <c r="D232" s="98">
        <v>9</v>
      </c>
      <c r="E232" s="77" t="s">
        <v>865</v>
      </c>
      <c r="F232" s="80" t="s">
        <v>10</v>
      </c>
      <c r="G232" s="81" t="s">
        <v>866</v>
      </c>
      <c r="H232" s="82">
        <v>337.27</v>
      </c>
      <c r="I232" s="93"/>
      <c r="J232" s="77"/>
      <c r="K232" s="100" t="b">
        <v>1</v>
      </c>
      <c r="L232" s="100"/>
      <c r="M232" s="84"/>
      <c r="N232" s="100"/>
      <c r="O232" s="100"/>
      <c r="P232" s="76"/>
      <c r="Q232" s="76"/>
      <c r="R232" s="76"/>
      <c r="S232" s="76"/>
      <c r="T232" s="76"/>
      <c r="U232" s="76"/>
      <c r="V232" s="76"/>
      <c r="W232" s="76"/>
    </row>
    <row r="233" spans="1:23" ht="14.25">
      <c r="A233" s="77">
        <v>233</v>
      </c>
      <c r="B233" s="144">
        <v>45924</v>
      </c>
      <c r="C233" s="81">
        <v>2025</v>
      </c>
      <c r="D233" s="98">
        <v>9</v>
      </c>
      <c r="E233" s="77" t="s">
        <v>865</v>
      </c>
      <c r="F233" s="80" t="s">
        <v>10</v>
      </c>
      <c r="G233" s="81" t="s">
        <v>866</v>
      </c>
      <c r="H233" s="82">
        <v>28</v>
      </c>
      <c r="I233" s="93"/>
      <c r="J233" s="77"/>
      <c r="K233" s="100" t="b">
        <v>1</v>
      </c>
      <c r="L233" s="100"/>
      <c r="M233" s="84"/>
      <c r="N233" s="100"/>
      <c r="O233" s="100"/>
      <c r="P233" s="76"/>
      <c r="Q233" s="76"/>
      <c r="R233" s="76"/>
      <c r="S233" s="76"/>
      <c r="T233" s="76"/>
      <c r="U233" s="76"/>
      <c r="V233" s="76"/>
      <c r="W233" s="76"/>
    </row>
    <row r="234" spans="1:23" ht="14.25">
      <c r="A234" s="77">
        <v>234</v>
      </c>
      <c r="B234" s="144">
        <v>45924</v>
      </c>
      <c r="C234" s="81">
        <v>2025</v>
      </c>
      <c r="D234" s="98">
        <v>9</v>
      </c>
      <c r="E234" s="77" t="s">
        <v>865</v>
      </c>
      <c r="F234" s="80" t="s">
        <v>10</v>
      </c>
      <c r="G234" s="81" t="s">
        <v>866</v>
      </c>
      <c r="H234" s="82">
        <v>84.99</v>
      </c>
      <c r="I234" s="93"/>
      <c r="J234" s="77"/>
      <c r="K234" s="100" t="b">
        <v>1</v>
      </c>
      <c r="L234" s="100"/>
      <c r="M234" s="84"/>
      <c r="N234" s="100"/>
      <c r="O234" s="100"/>
      <c r="P234" s="76"/>
      <c r="Q234" s="76"/>
      <c r="R234" s="76"/>
      <c r="S234" s="76"/>
      <c r="T234" s="76"/>
      <c r="U234" s="76"/>
      <c r="V234" s="76"/>
      <c r="W234" s="76"/>
    </row>
    <row r="235" spans="1:23" ht="14.25">
      <c r="A235" s="77">
        <v>235</v>
      </c>
      <c r="B235" s="144">
        <v>45924</v>
      </c>
      <c r="C235" s="81">
        <v>2025</v>
      </c>
      <c r="D235" s="98">
        <v>9</v>
      </c>
      <c r="E235" s="77" t="s">
        <v>865</v>
      </c>
      <c r="F235" s="80" t="s">
        <v>10</v>
      </c>
      <c r="G235" s="81" t="s">
        <v>866</v>
      </c>
      <c r="H235" s="82">
        <v>18.989999999999998</v>
      </c>
      <c r="I235" s="93"/>
      <c r="J235" s="77"/>
      <c r="K235" s="100" t="b">
        <v>1</v>
      </c>
      <c r="L235" s="100"/>
      <c r="M235" s="84"/>
      <c r="N235" s="100"/>
      <c r="O235" s="100"/>
      <c r="P235" s="76"/>
      <c r="Q235" s="76"/>
      <c r="R235" s="76"/>
      <c r="S235" s="76"/>
      <c r="T235" s="76"/>
      <c r="U235" s="76"/>
      <c r="V235" s="76"/>
      <c r="W235" s="76"/>
    </row>
    <row r="236" spans="1:23" ht="14.25">
      <c r="A236" s="77">
        <v>236</v>
      </c>
      <c r="B236" s="144">
        <v>45925</v>
      </c>
      <c r="C236" s="81">
        <v>2025</v>
      </c>
      <c r="D236" s="98">
        <v>9</v>
      </c>
      <c r="E236" s="77" t="s">
        <v>865</v>
      </c>
      <c r="F236" s="80" t="s">
        <v>10</v>
      </c>
      <c r="G236" s="81" t="s">
        <v>866</v>
      </c>
      <c r="H236" s="82">
        <v>12.78</v>
      </c>
      <c r="I236" s="93"/>
      <c r="J236" s="77"/>
      <c r="K236" s="100" t="b">
        <v>1</v>
      </c>
      <c r="L236" s="100"/>
      <c r="M236" s="84"/>
      <c r="N236" s="100"/>
      <c r="O236" s="100"/>
      <c r="P236" s="76"/>
      <c r="Q236" s="76"/>
      <c r="R236" s="76"/>
      <c r="S236" s="76"/>
      <c r="T236" s="76"/>
      <c r="U236" s="76"/>
      <c r="V236" s="76"/>
      <c r="W236" s="76"/>
    </row>
    <row r="237" spans="1:23" ht="14.25">
      <c r="A237" s="77">
        <v>237</v>
      </c>
      <c r="B237" s="144">
        <v>45925</v>
      </c>
      <c r="C237" s="81">
        <v>2025</v>
      </c>
      <c r="D237" s="98">
        <v>9</v>
      </c>
      <c r="E237" s="77" t="s">
        <v>865</v>
      </c>
      <c r="F237" s="80" t="s">
        <v>10</v>
      </c>
      <c r="G237" s="81" t="s">
        <v>866</v>
      </c>
      <c r="H237" s="82">
        <v>376.0305763370132</v>
      </c>
      <c r="I237" s="93"/>
      <c r="J237" s="77"/>
      <c r="K237" s="100" t="b">
        <v>1</v>
      </c>
      <c r="L237" s="100"/>
      <c r="M237" s="84"/>
      <c r="N237" s="100"/>
      <c r="O237" s="100"/>
      <c r="P237" s="76"/>
      <c r="Q237" s="76"/>
      <c r="R237" s="76"/>
      <c r="S237" s="76"/>
      <c r="T237" s="76"/>
      <c r="U237" s="76"/>
      <c r="V237" s="76"/>
      <c r="W237" s="76"/>
    </row>
    <row r="238" spans="1:23" ht="14.25">
      <c r="A238" s="77">
        <v>238</v>
      </c>
      <c r="B238" s="144">
        <v>45928</v>
      </c>
      <c r="C238" s="81">
        <v>2025</v>
      </c>
      <c r="D238" s="98">
        <v>9</v>
      </c>
      <c r="E238" s="77" t="s">
        <v>865</v>
      </c>
      <c r="F238" s="80" t="s">
        <v>10</v>
      </c>
      <c r="G238" s="81" t="s">
        <v>866</v>
      </c>
      <c r="H238" s="82">
        <v>119.98</v>
      </c>
      <c r="I238" s="93"/>
      <c r="J238" s="77"/>
      <c r="K238" s="100" t="b">
        <v>1</v>
      </c>
      <c r="L238" s="100"/>
      <c r="M238" s="84"/>
      <c r="N238" s="100"/>
      <c r="O238" s="100"/>
      <c r="P238" s="76"/>
      <c r="Q238" s="76"/>
      <c r="R238" s="76"/>
      <c r="S238" s="76"/>
      <c r="T238" s="76"/>
      <c r="U238" s="76"/>
      <c r="V238" s="76"/>
      <c r="W238" s="76"/>
    </row>
    <row r="239" spans="1:23" ht="14.25">
      <c r="A239" s="77">
        <v>239</v>
      </c>
      <c r="B239" s="144">
        <v>45930</v>
      </c>
      <c r="C239" s="81">
        <v>2025</v>
      </c>
      <c r="D239" s="98">
        <v>9</v>
      </c>
      <c r="E239" s="77" t="s">
        <v>865</v>
      </c>
      <c r="F239" s="80" t="s">
        <v>10</v>
      </c>
      <c r="G239" s="81" t="s">
        <v>866</v>
      </c>
      <c r="H239" s="82">
        <v>4500</v>
      </c>
      <c r="I239" s="93"/>
      <c r="J239" s="77"/>
      <c r="K239" s="100" t="b">
        <v>1</v>
      </c>
      <c r="L239" s="100"/>
      <c r="M239" s="84"/>
      <c r="N239" s="100"/>
      <c r="O239" s="100"/>
      <c r="P239" s="76"/>
      <c r="Q239" s="76"/>
      <c r="R239" s="76"/>
      <c r="S239" s="76"/>
      <c r="T239" s="76"/>
      <c r="U239" s="76"/>
      <c r="V239" s="76"/>
      <c r="W239" s="76"/>
    </row>
    <row r="240" spans="1:23" ht="14.25">
      <c r="A240" s="77">
        <v>240</v>
      </c>
      <c r="B240" s="144">
        <v>45930</v>
      </c>
      <c r="C240" s="81">
        <v>2025</v>
      </c>
      <c r="D240" s="98">
        <v>9</v>
      </c>
      <c r="E240" s="77" t="s">
        <v>865</v>
      </c>
      <c r="F240" s="80" t="s">
        <v>10</v>
      </c>
      <c r="G240" s="81" t="s">
        <v>866</v>
      </c>
      <c r="H240" s="82">
        <v>390</v>
      </c>
      <c r="I240" s="93"/>
      <c r="J240" s="77"/>
      <c r="K240" s="100" t="b">
        <v>1</v>
      </c>
      <c r="L240" s="100"/>
      <c r="M240" s="84"/>
      <c r="N240" s="100"/>
      <c r="O240" s="100"/>
      <c r="P240" s="76"/>
      <c r="Q240" s="76"/>
      <c r="R240" s="76"/>
      <c r="S240" s="76"/>
      <c r="T240" s="76"/>
      <c r="U240" s="76"/>
      <c r="V240" s="76"/>
      <c r="W240" s="76"/>
    </row>
    <row r="241" spans="1:23" ht="14.25">
      <c r="A241" s="77">
        <v>241</v>
      </c>
      <c r="B241" s="144">
        <v>45931</v>
      </c>
      <c r="C241" s="81">
        <v>2025</v>
      </c>
      <c r="D241" s="98">
        <v>10</v>
      </c>
      <c r="E241" s="77" t="s">
        <v>865</v>
      </c>
      <c r="F241" s="80" t="s">
        <v>10</v>
      </c>
      <c r="G241" s="81" t="s">
        <v>866</v>
      </c>
      <c r="H241" s="82">
        <v>22.99</v>
      </c>
      <c r="I241" s="93"/>
      <c r="J241" s="77"/>
      <c r="K241" s="100" t="b">
        <v>1</v>
      </c>
      <c r="L241" s="100"/>
      <c r="M241" s="84"/>
      <c r="N241" s="100"/>
      <c r="O241" s="100"/>
      <c r="P241" s="76"/>
      <c r="Q241" s="76"/>
      <c r="R241" s="76"/>
      <c r="S241" s="76"/>
      <c r="T241" s="76"/>
      <c r="U241" s="76"/>
      <c r="V241" s="76"/>
      <c r="W241" s="76"/>
    </row>
    <row r="242" spans="1:23" ht="14.25">
      <c r="A242" s="77">
        <v>242</v>
      </c>
      <c r="B242" s="144">
        <v>45932</v>
      </c>
      <c r="C242" s="81">
        <v>2025</v>
      </c>
      <c r="D242" s="98">
        <v>10</v>
      </c>
      <c r="E242" s="77" t="s">
        <v>865</v>
      </c>
      <c r="F242" s="80" t="s">
        <v>10</v>
      </c>
      <c r="G242" s="81" t="s">
        <v>866</v>
      </c>
      <c r="H242" s="82">
        <v>9.49</v>
      </c>
      <c r="I242" s="93"/>
      <c r="J242" s="77"/>
      <c r="K242" s="100" t="b">
        <v>1</v>
      </c>
      <c r="L242" s="100"/>
      <c r="M242" s="84"/>
      <c r="N242" s="100"/>
      <c r="O242" s="100"/>
      <c r="P242" s="76"/>
      <c r="Q242" s="76"/>
      <c r="R242" s="76"/>
      <c r="S242" s="76"/>
      <c r="T242" s="76"/>
      <c r="U242" s="76"/>
      <c r="V242" s="76"/>
      <c r="W242" s="76"/>
    </row>
    <row r="243" spans="1:23" ht="14.25">
      <c r="A243" s="77">
        <v>243</v>
      </c>
      <c r="B243" s="144">
        <v>45935</v>
      </c>
      <c r="C243" s="81">
        <v>2025</v>
      </c>
      <c r="D243" s="98">
        <v>10</v>
      </c>
      <c r="E243" s="77" t="s">
        <v>865</v>
      </c>
      <c r="F243" s="80" t="s">
        <v>10</v>
      </c>
      <c r="G243" s="81" t="s">
        <v>866</v>
      </c>
      <c r="H243" s="82">
        <v>24.6</v>
      </c>
      <c r="I243" s="93"/>
      <c r="J243" s="77"/>
      <c r="K243" s="100" t="b">
        <v>1</v>
      </c>
      <c r="L243" s="100"/>
      <c r="M243" s="84"/>
      <c r="N243" s="100"/>
      <c r="O243" s="100"/>
      <c r="P243" s="76"/>
      <c r="Q243" s="76"/>
      <c r="R243" s="76"/>
      <c r="S243" s="76"/>
      <c r="T243" s="76"/>
      <c r="U243" s="76"/>
      <c r="V243" s="76"/>
      <c r="W243" s="76"/>
    </row>
    <row r="244" spans="1:23" ht="14.25">
      <c r="A244" s="77">
        <v>244</v>
      </c>
      <c r="B244" s="144">
        <v>45935</v>
      </c>
      <c r="C244" s="81">
        <v>2025</v>
      </c>
      <c r="D244" s="98">
        <v>10</v>
      </c>
      <c r="E244" s="77" t="s">
        <v>865</v>
      </c>
      <c r="F244" s="80" t="s">
        <v>10</v>
      </c>
      <c r="G244" s="81" t="s">
        <v>866</v>
      </c>
      <c r="H244" s="82">
        <v>110</v>
      </c>
      <c r="I244" s="93"/>
      <c r="J244" s="77"/>
      <c r="K244" s="100" t="b">
        <v>1</v>
      </c>
      <c r="L244" s="100"/>
      <c r="M244" s="84"/>
      <c r="N244" s="100"/>
      <c r="O244" s="100"/>
      <c r="P244" s="76"/>
      <c r="Q244" s="76"/>
      <c r="R244" s="76"/>
      <c r="S244" s="76"/>
      <c r="T244" s="76"/>
      <c r="U244" s="76"/>
      <c r="V244" s="76"/>
      <c r="W244" s="76"/>
    </row>
    <row r="245" spans="1:23" ht="14.25">
      <c r="A245" s="77"/>
      <c r="B245" s="144">
        <v>45936</v>
      </c>
      <c r="C245" s="81"/>
      <c r="D245" s="98"/>
      <c r="E245" s="77"/>
      <c r="F245" s="80"/>
      <c r="G245" s="81"/>
      <c r="H245" s="82">
        <v>27.5</v>
      </c>
      <c r="I245" s="93"/>
      <c r="J245" s="77"/>
      <c r="K245" s="100" t="b">
        <v>1</v>
      </c>
      <c r="L245" s="100"/>
      <c r="M245" s="84"/>
      <c r="N245" s="100"/>
      <c r="O245" s="100"/>
      <c r="P245" s="76"/>
      <c r="Q245" s="76"/>
      <c r="R245" s="76"/>
      <c r="S245" s="76"/>
      <c r="T245" s="76"/>
      <c r="U245" s="76"/>
      <c r="V245" s="76"/>
      <c r="W245" s="76"/>
    </row>
    <row r="246" spans="1:23" ht="14.25">
      <c r="A246" s="77">
        <v>245</v>
      </c>
      <c r="B246" s="144">
        <v>45937</v>
      </c>
      <c r="C246" s="81">
        <v>2025</v>
      </c>
      <c r="D246" s="98">
        <v>10</v>
      </c>
      <c r="E246" s="77" t="s">
        <v>865</v>
      </c>
      <c r="F246" s="80" t="s">
        <v>10</v>
      </c>
      <c r="G246" s="81" t="s">
        <v>871</v>
      </c>
      <c r="H246" s="82"/>
      <c r="I246" s="93">
        <v>5460.29</v>
      </c>
      <c r="J246" s="99" t="s">
        <v>867</v>
      </c>
      <c r="K246" s="132" t="b">
        <v>1</v>
      </c>
      <c r="L246" s="100"/>
      <c r="M246" s="84"/>
      <c r="N246" s="100"/>
      <c r="O246" s="100" t="s">
        <v>919</v>
      </c>
      <c r="P246" s="76"/>
      <c r="Q246" s="76"/>
      <c r="R246" s="76"/>
      <c r="S246" s="76"/>
      <c r="T246" s="76"/>
      <c r="U246" s="76"/>
      <c r="V246" s="76"/>
      <c r="W246" s="76"/>
    </row>
    <row r="247" spans="1:23" ht="14.25">
      <c r="A247" s="77">
        <v>246</v>
      </c>
      <c r="B247" s="144">
        <v>45940</v>
      </c>
      <c r="C247" s="81">
        <v>2025</v>
      </c>
      <c r="D247" s="98">
        <v>10</v>
      </c>
      <c r="E247" s="77" t="s">
        <v>865</v>
      </c>
      <c r="F247" s="80" t="s">
        <v>10</v>
      </c>
      <c r="G247" s="81" t="s">
        <v>871</v>
      </c>
      <c r="H247" s="82"/>
      <c r="I247" s="93">
        <v>1609.1549295774648</v>
      </c>
      <c r="J247" s="99" t="s">
        <v>867</v>
      </c>
      <c r="K247" s="132" t="b">
        <v>1</v>
      </c>
      <c r="L247" s="100"/>
      <c r="M247" s="84"/>
      <c r="N247" s="100"/>
      <c r="O247" s="100" t="s">
        <v>920</v>
      </c>
      <c r="P247" s="76"/>
      <c r="Q247" s="76"/>
      <c r="R247" s="76"/>
      <c r="S247" s="76"/>
      <c r="T247" s="76"/>
      <c r="U247" s="76"/>
      <c r="V247" s="76"/>
      <c r="W247" s="76"/>
    </row>
    <row r="248" spans="1:23" ht="14.25">
      <c r="A248" s="77">
        <v>247</v>
      </c>
      <c r="B248" s="144">
        <v>45939</v>
      </c>
      <c r="C248" s="81">
        <v>2025</v>
      </c>
      <c r="D248" s="98">
        <v>10</v>
      </c>
      <c r="E248" s="77" t="s">
        <v>865</v>
      </c>
      <c r="F248" s="80" t="s">
        <v>10</v>
      </c>
      <c r="G248" s="81" t="s">
        <v>866</v>
      </c>
      <c r="H248" s="82">
        <v>600</v>
      </c>
      <c r="I248" s="93"/>
      <c r="J248" s="77"/>
      <c r="K248" s="100" t="b">
        <v>1</v>
      </c>
      <c r="L248" s="100"/>
      <c r="M248" s="84"/>
      <c r="N248" s="100"/>
      <c r="O248" s="100"/>
      <c r="P248" s="76"/>
      <c r="Q248" s="76"/>
      <c r="R248" s="76"/>
      <c r="S248" s="76"/>
      <c r="T248" s="76"/>
      <c r="U248" s="76"/>
      <c r="V248" s="76"/>
      <c r="W248" s="76"/>
    </row>
    <row r="249" spans="1:23" ht="14.25">
      <c r="A249" s="77">
        <v>248</v>
      </c>
      <c r="B249" s="144">
        <v>45939</v>
      </c>
      <c r="C249" s="81">
        <v>2025</v>
      </c>
      <c r="D249" s="98">
        <v>10</v>
      </c>
      <c r="E249" s="77" t="s">
        <v>865</v>
      </c>
      <c r="F249" s="80" t="s">
        <v>10</v>
      </c>
      <c r="G249" s="81" t="s">
        <v>866</v>
      </c>
      <c r="H249" s="82">
        <v>17.989999999999998</v>
      </c>
      <c r="I249" s="93"/>
      <c r="J249" s="77"/>
      <c r="K249" s="100" t="b">
        <v>1</v>
      </c>
      <c r="L249" s="100"/>
      <c r="M249" s="84"/>
      <c r="N249" s="100"/>
      <c r="O249" s="100"/>
      <c r="P249" s="76"/>
      <c r="Q249" s="76"/>
      <c r="R249" s="76"/>
      <c r="S249" s="76"/>
      <c r="T249" s="76"/>
      <c r="U249" s="76"/>
      <c r="V249" s="76"/>
      <c r="W249" s="76"/>
    </row>
    <row r="250" spans="1:23" ht="14.25">
      <c r="A250" s="77">
        <v>249</v>
      </c>
      <c r="B250" s="144">
        <v>45940</v>
      </c>
      <c r="C250" s="81">
        <v>2025</v>
      </c>
      <c r="D250" s="98">
        <v>10</v>
      </c>
      <c r="E250" s="77" t="s">
        <v>865</v>
      </c>
      <c r="F250" s="80" t="s">
        <v>10</v>
      </c>
      <c r="G250" s="81" t="s">
        <v>866</v>
      </c>
      <c r="H250" s="82">
        <v>9.49</v>
      </c>
      <c r="I250" s="93"/>
      <c r="J250" s="77"/>
      <c r="K250" s="100" t="b">
        <v>1</v>
      </c>
      <c r="L250" s="100"/>
      <c r="M250" s="84"/>
      <c r="N250" s="100"/>
      <c r="O250" s="100" t="s">
        <v>921</v>
      </c>
      <c r="P250" s="76"/>
      <c r="Q250" s="76"/>
      <c r="R250" s="76"/>
      <c r="S250" s="76"/>
      <c r="T250" s="76"/>
      <c r="U250" s="76"/>
      <c r="V250" s="76"/>
      <c r="W250" s="76"/>
    </row>
    <row r="251" spans="1:23" ht="14.25">
      <c r="A251" s="77">
        <v>250</v>
      </c>
      <c r="B251" s="144">
        <v>45940</v>
      </c>
      <c r="C251" s="81">
        <v>2025</v>
      </c>
      <c r="D251" s="98">
        <v>10</v>
      </c>
      <c r="E251" s="77" t="s">
        <v>865</v>
      </c>
      <c r="F251" s="80" t="s">
        <v>10</v>
      </c>
      <c r="G251" s="81" t="s">
        <v>866</v>
      </c>
      <c r="H251" s="82">
        <v>24.5</v>
      </c>
      <c r="I251" s="93"/>
      <c r="J251" s="77"/>
      <c r="K251" s="100" t="b">
        <v>1</v>
      </c>
      <c r="L251" s="100"/>
      <c r="M251" s="84"/>
      <c r="N251" s="100"/>
      <c r="O251" s="100"/>
      <c r="P251" s="76"/>
      <c r="Q251" s="76"/>
      <c r="R251" s="76"/>
      <c r="S251" s="76"/>
      <c r="T251" s="76"/>
      <c r="U251" s="76"/>
      <c r="V251" s="76"/>
      <c r="W251" s="76"/>
    </row>
    <row r="252" spans="1:23" ht="14.25">
      <c r="A252" s="77">
        <v>251</v>
      </c>
      <c r="B252" s="144">
        <v>45943</v>
      </c>
      <c r="C252" s="81">
        <v>2025</v>
      </c>
      <c r="D252" s="98">
        <v>10</v>
      </c>
      <c r="E252" s="77" t="s">
        <v>865</v>
      </c>
      <c r="F252" s="80" t="s">
        <v>10</v>
      </c>
      <c r="G252" s="81" t="s">
        <v>866</v>
      </c>
      <c r="H252" s="82">
        <v>1.99</v>
      </c>
      <c r="I252" s="93"/>
      <c r="J252" s="77"/>
      <c r="K252" s="100" t="b">
        <v>1</v>
      </c>
      <c r="L252" s="100"/>
      <c r="M252" s="84"/>
      <c r="N252" s="100"/>
      <c r="O252" s="100" t="s">
        <v>922</v>
      </c>
      <c r="P252" s="76"/>
      <c r="Q252" s="76"/>
      <c r="R252" s="76"/>
      <c r="S252" s="76"/>
      <c r="T252" s="76"/>
      <c r="U252" s="76"/>
      <c r="V252" s="76"/>
      <c r="W252" s="76"/>
    </row>
    <row r="253" spans="1:23" ht="14.25">
      <c r="A253" s="77">
        <v>252</v>
      </c>
      <c r="B253" s="144">
        <v>45945</v>
      </c>
      <c r="C253" s="81">
        <v>2025</v>
      </c>
      <c r="D253" s="98">
        <v>10</v>
      </c>
      <c r="E253" s="77" t="s">
        <v>865</v>
      </c>
      <c r="F253" s="80" t="s">
        <v>10</v>
      </c>
      <c r="G253" s="81" t="s">
        <v>866</v>
      </c>
      <c r="H253" s="82">
        <v>470.5</v>
      </c>
      <c r="I253" s="93"/>
      <c r="J253" s="77"/>
      <c r="K253" s="100" t="b">
        <v>1</v>
      </c>
      <c r="L253" s="100"/>
      <c r="M253" s="84"/>
      <c r="N253" s="100"/>
      <c r="O253" s="100"/>
      <c r="P253" s="76"/>
      <c r="Q253" s="76"/>
      <c r="R253" s="76"/>
      <c r="S253" s="76"/>
      <c r="T253" s="76"/>
      <c r="U253" s="76"/>
      <c r="V253" s="76"/>
      <c r="W253" s="76"/>
    </row>
    <row r="254" spans="1:23" ht="14.25">
      <c r="A254" s="77">
        <v>253</v>
      </c>
      <c r="B254" s="144">
        <v>45946</v>
      </c>
      <c r="C254" s="81">
        <v>2025</v>
      </c>
      <c r="D254" s="98">
        <v>10</v>
      </c>
      <c r="E254" s="77" t="s">
        <v>865</v>
      </c>
      <c r="F254" s="80" t="s">
        <v>10</v>
      </c>
      <c r="G254" s="81" t="s">
        <v>866</v>
      </c>
      <c r="H254" s="82">
        <v>16.99034575662326</v>
      </c>
      <c r="I254" s="93"/>
      <c r="J254" s="77"/>
      <c r="K254" s="100" t="b">
        <v>1</v>
      </c>
      <c r="L254" s="100"/>
      <c r="M254" s="84"/>
      <c r="N254" s="100"/>
      <c r="O254" s="100"/>
      <c r="P254" s="76"/>
      <c r="Q254" s="76"/>
      <c r="R254" s="76"/>
      <c r="S254" s="76"/>
      <c r="T254" s="76"/>
      <c r="U254" s="76"/>
      <c r="V254" s="76"/>
      <c r="W254" s="76"/>
    </row>
    <row r="255" spans="1:23" ht="14.25">
      <c r="A255" s="77">
        <v>254</v>
      </c>
      <c r="B255" s="144">
        <v>45947</v>
      </c>
      <c r="C255" s="81">
        <v>2025</v>
      </c>
      <c r="D255" s="98">
        <v>10</v>
      </c>
      <c r="E255" s="77" t="s">
        <v>865</v>
      </c>
      <c r="F255" s="80" t="s">
        <v>10</v>
      </c>
      <c r="G255" s="81" t="s">
        <v>866</v>
      </c>
      <c r="H255" s="82">
        <v>24.57</v>
      </c>
      <c r="I255" s="93"/>
      <c r="J255" s="77"/>
      <c r="K255" s="100" t="b">
        <v>1</v>
      </c>
      <c r="L255" s="100"/>
      <c r="M255" s="84"/>
      <c r="N255" s="100"/>
      <c r="O255" s="100"/>
      <c r="P255" s="76"/>
      <c r="Q255" s="76"/>
      <c r="R255" s="76"/>
      <c r="S255" s="76"/>
      <c r="T255" s="76"/>
      <c r="U255" s="76"/>
      <c r="V255" s="76"/>
      <c r="W255" s="76"/>
    </row>
    <row r="256" spans="1:23" ht="14.25">
      <c r="A256" s="77">
        <v>255</v>
      </c>
      <c r="B256" s="144">
        <v>45947</v>
      </c>
      <c r="C256" s="81">
        <v>2025</v>
      </c>
      <c r="D256" s="98">
        <v>10</v>
      </c>
      <c r="E256" s="77" t="s">
        <v>865</v>
      </c>
      <c r="F256" s="80" t="s">
        <v>10</v>
      </c>
      <c r="G256" s="81" t="s">
        <v>866</v>
      </c>
      <c r="H256" s="82">
        <v>283.08</v>
      </c>
      <c r="I256" s="93"/>
      <c r="J256" s="77"/>
      <c r="K256" s="100" t="b">
        <v>1</v>
      </c>
      <c r="L256" s="100"/>
      <c r="M256" s="84"/>
      <c r="N256" s="100"/>
      <c r="O256" s="100"/>
      <c r="P256" s="76"/>
      <c r="Q256" s="76"/>
      <c r="R256" s="76"/>
      <c r="S256" s="76"/>
      <c r="T256" s="76"/>
      <c r="U256" s="76"/>
      <c r="V256" s="76"/>
      <c r="W256" s="76"/>
    </row>
    <row r="257" spans="1:23" ht="14.25">
      <c r="A257" s="77">
        <v>256</v>
      </c>
      <c r="B257" s="144">
        <v>45947</v>
      </c>
      <c r="C257" s="81">
        <v>2025</v>
      </c>
      <c r="D257" s="98">
        <v>10</v>
      </c>
      <c r="E257" s="77" t="s">
        <v>865</v>
      </c>
      <c r="F257" s="80" t="s">
        <v>10</v>
      </c>
      <c r="G257" s="81" t="s">
        <v>866</v>
      </c>
      <c r="H257" s="82">
        <v>20.69</v>
      </c>
      <c r="I257" s="93"/>
      <c r="J257" s="77"/>
      <c r="K257" s="100" t="b">
        <v>1</v>
      </c>
      <c r="L257" s="100"/>
      <c r="M257" s="84"/>
      <c r="N257" s="100"/>
      <c r="O257" s="100"/>
      <c r="P257" s="76"/>
      <c r="Q257" s="76"/>
      <c r="R257" s="76"/>
      <c r="S257" s="76"/>
      <c r="T257" s="76"/>
      <c r="U257" s="76"/>
      <c r="V257" s="76"/>
      <c r="W257" s="76"/>
    </row>
    <row r="258" spans="1:23" ht="14.25">
      <c r="A258" s="77">
        <v>257</v>
      </c>
      <c r="B258" s="144">
        <v>45948</v>
      </c>
      <c r="C258" s="81">
        <v>2025</v>
      </c>
      <c r="D258" s="98">
        <v>10</v>
      </c>
      <c r="E258" s="77" t="s">
        <v>865</v>
      </c>
      <c r="F258" s="80" t="s">
        <v>10</v>
      </c>
      <c r="G258" s="81" t="s">
        <v>866</v>
      </c>
      <c r="H258" s="82">
        <v>110</v>
      </c>
      <c r="I258" s="93"/>
      <c r="J258" s="77"/>
      <c r="K258" s="100" t="b">
        <v>1</v>
      </c>
      <c r="L258" s="100"/>
      <c r="M258" s="84"/>
      <c r="N258" s="100"/>
      <c r="O258" s="100"/>
      <c r="P258" s="76"/>
      <c r="Q258" s="76"/>
      <c r="R258" s="76"/>
      <c r="S258" s="76"/>
      <c r="T258" s="76"/>
      <c r="U258" s="76"/>
      <c r="V258" s="76"/>
      <c r="W258" s="76"/>
    </row>
    <row r="259" spans="1:23" ht="14.25">
      <c r="A259" s="77">
        <v>258</v>
      </c>
      <c r="B259" s="144">
        <v>45948</v>
      </c>
      <c r="C259" s="81">
        <v>2025</v>
      </c>
      <c r="D259" s="98">
        <v>10</v>
      </c>
      <c r="E259" s="77" t="s">
        <v>865</v>
      </c>
      <c r="F259" s="80" t="s">
        <v>10</v>
      </c>
      <c r="G259" s="81" t="s">
        <v>866</v>
      </c>
      <c r="H259" s="82">
        <v>589.26</v>
      </c>
      <c r="I259" s="93"/>
      <c r="J259" s="77"/>
      <c r="K259" s="100" t="b">
        <v>1</v>
      </c>
      <c r="L259" s="100"/>
      <c r="M259" s="84"/>
      <c r="N259" s="100"/>
      <c r="O259" s="100"/>
      <c r="P259" s="76"/>
      <c r="Q259" s="76"/>
      <c r="R259" s="76"/>
      <c r="S259" s="76"/>
      <c r="T259" s="76"/>
      <c r="U259" s="76"/>
      <c r="V259" s="76"/>
      <c r="W259" s="76"/>
    </row>
    <row r="260" spans="1:23" ht="14.25">
      <c r="A260" s="77">
        <v>259</v>
      </c>
      <c r="B260" s="144">
        <v>45950</v>
      </c>
      <c r="C260" s="81">
        <v>2025</v>
      </c>
      <c r="D260" s="98">
        <v>10</v>
      </c>
      <c r="E260" s="77" t="s">
        <v>865</v>
      </c>
      <c r="F260" s="80" t="s">
        <v>10</v>
      </c>
      <c r="G260" s="81" t="s">
        <v>866</v>
      </c>
      <c r="H260" s="82">
        <v>24.55</v>
      </c>
      <c r="I260" s="93"/>
      <c r="J260" s="77"/>
      <c r="K260" s="100" t="b">
        <v>1</v>
      </c>
      <c r="L260" s="100"/>
      <c r="M260" s="84"/>
      <c r="N260" s="100"/>
      <c r="O260" s="100"/>
      <c r="P260" s="76"/>
      <c r="Q260" s="76"/>
      <c r="R260" s="76"/>
      <c r="S260" s="76"/>
      <c r="T260" s="76"/>
      <c r="U260" s="76"/>
      <c r="V260" s="76"/>
      <c r="W260" s="76"/>
    </row>
    <row r="261" spans="1:23" ht="14.25">
      <c r="A261" s="77">
        <v>260</v>
      </c>
      <c r="B261" s="144">
        <v>45952</v>
      </c>
      <c r="C261" s="81">
        <v>2025</v>
      </c>
      <c r="D261" s="98">
        <v>10</v>
      </c>
      <c r="E261" s="77" t="s">
        <v>865</v>
      </c>
      <c r="F261" s="80" t="s">
        <v>10</v>
      </c>
      <c r="G261" s="81" t="s">
        <v>866</v>
      </c>
      <c r="H261" s="82">
        <v>337.27</v>
      </c>
      <c r="I261" s="93"/>
      <c r="J261" s="77"/>
      <c r="K261" s="100" t="b">
        <v>1</v>
      </c>
      <c r="L261" s="100"/>
      <c r="M261" s="84"/>
      <c r="N261" s="100"/>
      <c r="O261" s="100"/>
      <c r="P261" s="76"/>
      <c r="Q261" s="76"/>
      <c r="R261" s="76"/>
      <c r="S261" s="76"/>
      <c r="T261" s="76"/>
      <c r="U261" s="76"/>
      <c r="V261" s="76"/>
      <c r="W261" s="76"/>
    </row>
    <row r="262" spans="1:23" ht="14.25">
      <c r="A262" s="77">
        <v>261</v>
      </c>
      <c r="B262" s="144">
        <v>45952</v>
      </c>
      <c r="C262" s="81">
        <v>2025</v>
      </c>
      <c r="D262" s="98">
        <v>10</v>
      </c>
      <c r="E262" s="77" t="s">
        <v>865</v>
      </c>
      <c r="F262" s="80" t="s">
        <v>10</v>
      </c>
      <c r="G262" s="81" t="s">
        <v>866</v>
      </c>
      <c r="H262" s="82">
        <v>12.6</v>
      </c>
      <c r="I262" s="93"/>
      <c r="J262" s="77"/>
      <c r="K262" s="100" t="b">
        <v>1</v>
      </c>
      <c r="L262" s="100"/>
      <c r="M262" s="84"/>
      <c r="N262" s="100"/>
      <c r="O262" s="100"/>
      <c r="P262" s="76"/>
      <c r="Q262" s="76"/>
      <c r="R262" s="76"/>
      <c r="S262" s="76"/>
      <c r="T262" s="76"/>
      <c r="U262" s="76"/>
      <c r="V262" s="76"/>
      <c r="W262" s="76"/>
    </row>
    <row r="263" spans="1:23" ht="14.25">
      <c r="A263" s="77">
        <v>262</v>
      </c>
      <c r="B263" s="144">
        <v>45953</v>
      </c>
      <c r="C263" s="81">
        <v>2025</v>
      </c>
      <c r="D263" s="98">
        <v>10</v>
      </c>
      <c r="E263" s="77" t="s">
        <v>865</v>
      </c>
      <c r="F263" s="80" t="s">
        <v>10</v>
      </c>
      <c r="G263" s="81" t="s">
        <v>866</v>
      </c>
      <c r="H263" s="82">
        <v>27.86</v>
      </c>
      <c r="I263" s="93"/>
      <c r="J263" s="77"/>
      <c r="K263" s="100" t="b">
        <v>1</v>
      </c>
      <c r="L263" s="100"/>
      <c r="M263" s="84"/>
      <c r="N263" s="100"/>
      <c r="O263" s="100"/>
      <c r="P263" s="76"/>
      <c r="Q263" s="76"/>
      <c r="R263" s="76"/>
      <c r="S263" s="76"/>
      <c r="T263" s="76"/>
      <c r="U263" s="76"/>
      <c r="V263" s="76"/>
      <c r="W263" s="76"/>
    </row>
    <row r="264" spans="1:23" ht="14.25">
      <c r="A264" s="77">
        <v>263</v>
      </c>
      <c r="B264" s="144">
        <v>45953</v>
      </c>
      <c r="C264" s="81">
        <v>2025</v>
      </c>
      <c r="D264" s="98">
        <v>10</v>
      </c>
      <c r="E264" s="77" t="s">
        <v>865</v>
      </c>
      <c r="F264" s="80" t="s">
        <v>10</v>
      </c>
      <c r="G264" s="81" t="s">
        <v>866</v>
      </c>
      <c r="H264" s="82">
        <v>84.99</v>
      </c>
      <c r="I264" s="93"/>
      <c r="J264" s="77"/>
      <c r="K264" s="100" t="b">
        <v>1</v>
      </c>
      <c r="L264" s="100"/>
      <c r="M264" s="84"/>
      <c r="N264" s="100"/>
      <c r="O264" s="100"/>
      <c r="P264" s="76"/>
      <c r="Q264" s="76"/>
      <c r="R264" s="76"/>
      <c r="S264" s="76"/>
      <c r="T264" s="76"/>
      <c r="U264" s="76"/>
      <c r="V264" s="76"/>
      <c r="W264" s="76"/>
    </row>
    <row r="265" spans="1:23" ht="14.25">
      <c r="A265" s="77">
        <v>264</v>
      </c>
      <c r="B265" s="144">
        <v>45954</v>
      </c>
      <c r="C265" s="81">
        <v>2025</v>
      </c>
      <c r="D265" s="98">
        <v>10</v>
      </c>
      <c r="E265" s="77" t="s">
        <v>865</v>
      </c>
      <c r="F265" s="80" t="s">
        <v>10</v>
      </c>
      <c r="G265" s="81" t="s">
        <v>866</v>
      </c>
      <c r="H265" s="82">
        <v>376.17255652764658</v>
      </c>
      <c r="I265" s="93"/>
      <c r="J265" s="77"/>
      <c r="K265" s="100" t="b">
        <v>1</v>
      </c>
      <c r="L265" s="100"/>
      <c r="M265" s="84"/>
      <c r="N265" s="100"/>
      <c r="O265" s="100"/>
      <c r="P265" s="76"/>
      <c r="Q265" s="76"/>
      <c r="R265" s="76"/>
      <c r="S265" s="76"/>
      <c r="T265" s="76"/>
      <c r="U265" s="76"/>
      <c r="V265" s="76"/>
      <c r="W265" s="76"/>
    </row>
    <row r="266" spans="1:23" ht="14.25">
      <c r="A266" s="77">
        <v>265</v>
      </c>
      <c r="B266" s="144">
        <v>45957</v>
      </c>
      <c r="C266" s="81">
        <v>2025</v>
      </c>
      <c r="D266" s="98">
        <v>10</v>
      </c>
      <c r="E266" s="77" t="s">
        <v>865</v>
      </c>
      <c r="F266" s="80" t="s">
        <v>10</v>
      </c>
      <c r="G266" s="81" t="s">
        <v>866</v>
      </c>
      <c r="H266" s="82">
        <v>197.25</v>
      </c>
      <c r="I266" s="93"/>
      <c r="J266" s="77"/>
      <c r="K266" s="100" t="b">
        <v>1</v>
      </c>
      <c r="L266" s="100"/>
      <c r="M266" s="84"/>
      <c r="N266" s="100"/>
      <c r="O266" s="100"/>
      <c r="P266" s="76"/>
      <c r="Q266" s="76"/>
      <c r="R266" s="76"/>
      <c r="S266" s="76"/>
      <c r="T266" s="76"/>
      <c r="U266" s="76"/>
      <c r="V266" s="76"/>
      <c r="W266" s="76"/>
    </row>
    <row r="267" spans="1:23" ht="14.25">
      <c r="A267" s="77">
        <v>266</v>
      </c>
      <c r="B267" s="144">
        <v>45958</v>
      </c>
      <c r="C267" s="81">
        <v>2025</v>
      </c>
      <c r="D267" s="98">
        <v>10</v>
      </c>
      <c r="E267" s="77" t="s">
        <v>865</v>
      </c>
      <c r="F267" s="80" t="s">
        <v>10</v>
      </c>
      <c r="G267" s="81" t="s">
        <v>866</v>
      </c>
      <c r="H267" s="82">
        <v>22.99</v>
      </c>
      <c r="I267" s="93"/>
      <c r="J267" s="77"/>
      <c r="K267" s="100" t="b">
        <v>1</v>
      </c>
      <c r="L267" s="100"/>
      <c r="M267" s="84"/>
      <c r="N267" s="100"/>
      <c r="O267" s="100"/>
      <c r="P267" s="76"/>
      <c r="Q267" s="76"/>
      <c r="R267" s="76"/>
      <c r="S267" s="76"/>
      <c r="T267" s="76"/>
      <c r="U267" s="76"/>
      <c r="V267" s="76"/>
      <c r="W267" s="76"/>
    </row>
    <row r="268" spans="1:23" ht="14.25">
      <c r="A268" s="77">
        <v>267</v>
      </c>
      <c r="B268" s="144">
        <v>45959</v>
      </c>
      <c r="C268" s="81">
        <v>2025</v>
      </c>
      <c r="D268" s="98">
        <v>10</v>
      </c>
      <c r="E268" s="77" t="s">
        <v>865</v>
      </c>
      <c r="F268" s="80" t="s">
        <v>10</v>
      </c>
      <c r="G268" s="81" t="s">
        <v>866</v>
      </c>
      <c r="H268" s="82"/>
      <c r="I268" s="82">
        <v>192.25</v>
      </c>
      <c r="J268" s="99" t="s">
        <v>867</v>
      </c>
      <c r="K268" s="132" t="b">
        <v>1</v>
      </c>
      <c r="L268" s="100"/>
      <c r="M268" s="84"/>
      <c r="N268" s="100"/>
      <c r="O268" s="100" t="s">
        <v>923</v>
      </c>
      <c r="P268" s="76"/>
      <c r="Q268" s="76"/>
      <c r="R268" s="76"/>
      <c r="S268" s="76"/>
      <c r="T268" s="76"/>
      <c r="U268" s="76"/>
      <c r="V268" s="76"/>
      <c r="W268" s="76"/>
    </row>
    <row r="269" spans="1:23" ht="14.25">
      <c r="A269" s="77">
        <v>268</v>
      </c>
      <c r="B269" s="144">
        <v>45959</v>
      </c>
      <c r="C269" s="81">
        <v>2025</v>
      </c>
      <c r="D269" s="98">
        <v>10</v>
      </c>
      <c r="E269" s="77" t="s">
        <v>865</v>
      </c>
      <c r="F269" s="80" t="s">
        <v>10</v>
      </c>
      <c r="G269" s="81" t="s">
        <v>866</v>
      </c>
      <c r="H269" s="82">
        <v>300</v>
      </c>
      <c r="I269" s="93"/>
      <c r="J269" s="77"/>
      <c r="K269" s="100" t="b">
        <v>1</v>
      </c>
      <c r="L269" s="100"/>
      <c r="M269" s="84"/>
      <c r="N269" s="100"/>
      <c r="O269" s="100"/>
      <c r="P269" s="76"/>
      <c r="Q269" s="76"/>
      <c r="R269" s="76"/>
      <c r="S269" s="76"/>
      <c r="T269" s="76"/>
      <c r="U269" s="76"/>
      <c r="V269" s="76"/>
      <c r="W269" s="76"/>
    </row>
    <row r="270" spans="1:23" ht="14.25">
      <c r="A270" s="77">
        <v>269</v>
      </c>
      <c r="B270" s="144">
        <v>45960</v>
      </c>
      <c r="C270" s="81">
        <v>2025</v>
      </c>
      <c r="D270" s="98">
        <v>10</v>
      </c>
      <c r="E270" s="77" t="s">
        <v>865</v>
      </c>
      <c r="F270" s="80" t="s">
        <v>10</v>
      </c>
      <c r="G270" s="81" t="s">
        <v>866</v>
      </c>
      <c r="H270" s="82">
        <v>24.65</v>
      </c>
      <c r="I270" s="93"/>
      <c r="J270" s="77"/>
      <c r="K270" s="100" t="b">
        <v>1</v>
      </c>
      <c r="L270" s="100"/>
      <c r="M270" s="84"/>
      <c r="N270" s="100"/>
      <c r="O270" s="100"/>
      <c r="P270" s="76"/>
      <c r="Q270" s="76"/>
      <c r="R270" s="76"/>
      <c r="S270" s="76"/>
      <c r="T270" s="76"/>
      <c r="U270" s="76"/>
      <c r="V270" s="76"/>
      <c r="W270" s="76"/>
    </row>
    <row r="271" spans="1:23" ht="14.25">
      <c r="A271" s="77">
        <v>270</v>
      </c>
      <c r="B271" s="144">
        <v>45961</v>
      </c>
      <c r="C271" s="81">
        <v>2025</v>
      </c>
      <c r="D271" s="98">
        <v>10</v>
      </c>
      <c r="E271" s="77" t="s">
        <v>865</v>
      </c>
      <c r="F271" s="80" t="s">
        <v>10</v>
      </c>
      <c r="G271" s="81" t="s">
        <v>866</v>
      </c>
      <c r="H271" s="82">
        <v>5278.87</v>
      </c>
      <c r="I271" s="93"/>
      <c r="J271" s="77"/>
      <c r="K271" s="100" t="b">
        <v>1</v>
      </c>
      <c r="L271" s="100"/>
      <c r="M271" s="84"/>
      <c r="N271" s="100"/>
      <c r="O271" s="100"/>
      <c r="P271" s="76"/>
      <c r="Q271" s="76"/>
      <c r="R271" s="76"/>
      <c r="S271" s="76"/>
      <c r="T271" s="76"/>
      <c r="U271" s="76"/>
      <c r="V271" s="76"/>
      <c r="W271" s="76"/>
    </row>
    <row r="272" spans="1:23" ht="14.25">
      <c r="A272" s="77">
        <v>271</v>
      </c>
      <c r="B272" s="144">
        <v>45961</v>
      </c>
      <c r="C272" s="81">
        <v>2025</v>
      </c>
      <c r="D272" s="98">
        <v>10</v>
      </c>
      <c r="E272" s="77" t="s">
        <v>865</v>
      </c>
      <c r="F272" s="80" t="s">
        <v>10</v>
      </c>
      <c r="G272" s="81" t="s">
        <v>866</v>
      </c>
      <c r="H272" s="82">
        <v>7.99</v>
      </c>
      <c r="I272" s="93"/>
      <c r="J272" s="77"/>
      <c r="K272" s="100" t="b">
        <v>1</v>
      </c>
      <c r="L272" s="100"/>
      <c r="M272" s="84"/>
      <c r="N272" s="100"/>
      <c r="O272" s="100"/>
      <c r="P272" s="76"/>
      <c r="Q272" s="76"/>
      <c r="R272" s="76"/>
      <c r="S272" s="76"/>
      <c r="T272" s="76"/>
      <c r="U272" s="76"/>
      <c r="V272" s="76"/>
      <c r="W272" s="76"/>
    </row>
    <row r="273" spans="1:23" ht="12.75">
      <c r="A273" s="77">
        <v>272</v>
      </c>
      <c r="B273" s="91">
        <v>45981</v>
      </c>
      <c r="C273" s="81">
        <v>2025</v>
      </c>
      <c r="D273" s="98">
        <v>11</v>
      </c>
      <c r="E273" s="77" t="s">
        <v>865</v>
      </c>
      <c r="F273" s="80" t="s">
        <v>10</v>
      </c>
      <c r="G273" s="81" t="s">
        <v>871</v>
      </c>
      <c r="H273" s="82"/>
      <c r="I273" s="93">
        <v>23.09</v>
      </c>
      <c r="J273" s="99" t="s">
        <v>867</v>
      </c>
      <c r="K273" s="132" t="b">
        <v>1</v>
      </c>
      <c r="L273" s="100"/>
      <c r="M273" s="84"/>
      <c r="N273" s="100"/>
      <c r="O273" s="100" t="s">
        <v>924</v>
      </c>
      <c r="P273" s="76"/>
      <c r="Q273" s="76"/>
      <c r="R273" s="76"/>
      <c r="S273" s="76"/>
      <c r="T273" s="76"/>
      <c r="U273" s="76"/>
      <c r="V273" s="76"/>
      <c r="W273" s="76"/>
    </row>
    <row r="274" spans="1:23" ht="12.75">
      <c r="A274" s="77">
        <v>273</v>
      </c>
      <c r="B274" s="91">
        <v>45985</v>
      </c>
      <c r="C274" s="81">
        <v>2025</v>
      </c>
      <c r="D274" s="98">
        <v>11</v>
      </c>
      <c r="E274" s="77" t="s">
        <v>865</v>
      </c>
      <c r="F274" s="80" t="s">
        <v>10</v>
      </c>
      <c r="G274" s="81" t="s">
        <v>871</v>
      </c>
      <c r="H274" s="82"/>
      <c r="I274" s="93">
        <v>676.09490000000005</v>
      </c>
      <c r="J274" s="99" t="s">
        <v>867</v>
      </c>
      <c r="K274" s="132" t="b">
        <v>1</v>
      </c>
      <c r="L274" s="100"/>
      <c r="M274" s="84"/>
      <c r="N274" s="100"/>
      <c r="O274" s="100" t="s">
        <v>925</v>
      </c>
      <c r="P274" s="76"/>
      <c r="Q274" s="76"/>
      <c r="R274" s="76"/>
      <c r="S274" s="76"/>
      <c r="T274" s="76"/>
      <c r="U274" s="76"/>
      <c r="V274" s="76"/>
      <c r="W274" s="76"/>
    </row>
    <row r="275" spans="1:23" ht="12.75">
      <c r="A275" s="77">
        <v>274</v>
      </c>
      <c r="B275" s="91">
        <v>45988</v>
      </c>
      <c r="C275" s="81">
        <v>2025</v>
      </c>
      <c r="D275" s="98">
        <v>11</v>
      </c>
      <c r="E275" s="77" t="s">
        <v>865</v>
      </c>
      <c r="F275" s="80" t="s">
        <v>10</v>
      </c>
      <c r="G275" s="81" t="s">
        <v>871</v>
      </c>
      <c r="H275" s="82"/>
      <c r="I275" s="93">
        <v>360.96</v>
      </c>
      <c r="J275" s="99" t="s">
        <v>867</v>
      </c>
      <c r="K275" s="132" t="b">
        <v>1</v>
      </c>
      <c r="L275" s="100"/>
      <c r="M275" s="84"/>
      <c r="N275" s="100"/>
      <c r="O275" s="100" t="s">
        <v>926</v>
      </c>
      <c r="P275" s="76"/>
      <c r="Q275" s="76"/>
      <c r="R275" s="76"/>
      <c r="S275" s="76"/>
      <c r="T275" s="76"/>
      <c r="U275" s="76"/>
      <c r="V275" s="76"/>
      <c r="W275" s="76"/>
    </row>
    <row r="276" spans="1:23" ht="12.75">
      <c r="A276" s="77">
        <v>275</v>
      </c>
      <c r="B276" s="143">
        <v>45965</v>
      </c>
      <c r="C276" s="81">
        <v>2025</v>
      </c>
      <c r="D276" s="98">
        <v>11</v>
      </c>
      <c r="E276" s="77" t="s">
        <v>865</v>
      </c>
      <c r="F276" s="80" t="s">
        <v>10</v>
      </c>
      <c r="G276" s="81" t="s">
        <v>871</v>
      </c>
      <c r="H276" s="82"/>
      <c r="I276" s="93"/>
      <c r="J276" s="99"/>
      <c r="K276" s="100" t="b">
        <v>1</v>
      </c>
      <c r="L276" s="100"/>
      <c r="M276" s="84"/>
      <c r="N276" s="100"/>
      <c r="O276" s="100"/>
      <c r="P276" s="76"/>
      <c r="Q276" s="76"/>
      <c r="R276" s="76"/>
      <c r="S276" s="76"/>
      <c r="T276" s="76"/>
      <c r="U276" s="76"/>
      <c r="V276" s="76"/>
      <c r="W276" s="76"/>
    </row>
    <row r="277" spans="1:23" ht="12.75">
      <c r="A277" s="77">
        <v>276</v>
      </c>
      <c r="B277" s="91">
        <v>45962</v>
      </c>
      <c r="C277" s="81">
        <v>2025</v>
      </c>
      <c r="D277" s="98">
        <v>11</v>
      </c>
      <c r="E277" s="77" t="s">
        <v>865</v>
      </c>
      <c r="F277" s="80" t="s">
        <v>10</v>
      </c>
      <c r="G277" s="81" t="s">
        <v>866</v>
      </c>
      <c r="H277" s="82">
        <v>98.44</v>
      </c>
      <c r="I277" s="93"/>
      <c r="J277" s="77"/>
      <c r="K277" s="100" t="b">
        <v>1</v>
      </c>
      <c r="L277" s="100"/>
      <c r="M277" s="84"/>
      <c r="N277" s="100"/>
      <c r="O277" s="100"/>
      <c r="P277" s="76"/>
      <c r="Q277" s="76"/>
      <c r="R277" s="76"/>
      <c r="S277" s="76"/>
      <c r="T277" s="76"/>
      <c r="U277" s="76"/>
      <c r="V277" s="76"/>
      <c r="W277" s="76"/>
    </row>
    <row r="278" spans="1:23" ht="12.75">
      <c r="A278" s="77">
        <v>277</v>
      </c>
      <c r="B278" s="91">
        <v>45965</v>
      </c>
      <c r="C278" s="81">
        <v>2025</v>
      </c>
      <c r="D278" s="98">
        <v>11</v>
      </c>
      <c r="E278" s="77" t="s">
        <v>865</v>
      </c>
      <c r="F278" s="80" t="s">
        <v>10</v>
      </c>
      <c r="G278" s="81" t="s">
        <v>866</v>
      </c>
      <c r="H278" s="82">
        <v>147.54</v>
      </c>
      <c r="I278" s="93"/>
      <c r="J278" s="77"/>
      <c r="K278" s="100" t="b">
        <v>1</v>
      </c>
      <c r="L278" s="100"/>
      <c r="M278" s="84"/>
      <c r="N278" s="100"/>
      <c r="O278" s="100"/>
      <c r="P278" s="76"/>
      <c r="Q278" s="76"/>
      <c r="R278" s="76"/>
      <c r="S278" s="76"/>
      <c r="T278" s="76"/>
      <c r="U278" s="76"/>
      <c r="V278" s="76"/>
      <c r="W278" s="76"/>
    </row>
    <row r="279" spans="1:23" ht="12.75">
      <c r="A279" s="77">
        <v>278</v>
      </c>
      <c r="B279" s="91">
        <v>45965</v>
      </c>
      <c r="C279" s="81">
        <v>2025</v>
      </c>
      <c r="D279" s="98">
        <v>11</v>
      </c>
      <c r="E279" s="77" t="s">
        <v>865</v>
      </c>
      <c r="F279" s="80" t="s">
        <v>10</v>
      </c>
      <c r="G279" s="81" t="s">
        <v>866</v>
      </c>
      <c r="H279" s="82">
        <v>110</v>
      </c>
      <c r="I279" s="93"/>
      <c r="J279" s="77"/>
      <c r="K279" s="100" t="b">
        <v>1</v>
      </c>
      <c r="L279" s="100"/>
      <c r="M279" s="84"/>
      <c r="N279" s="100"/>
      <c r="O279" s="100"/>
      <c r="P279" s="76"/>
      <c r="Q279" s="76"/>
      <c r="R279" s="76"/>
      <c r="S279" s="76"/>
      <c r="T279" s="76"/>
      <c r="U279" s="76"/>
      <c r="V279" s="76"/>
      <c r="W279" s="76"/>
    </row>
    <row r="280" spans="1:23" ht="12.75">
      <c r="A280" s="77"/>
      <c r="B280" s="91">
        <v>45965</v>
      </c>
      <c r="C280" s="81"/>
      <c r="D280" s="98"/>
      <c r="E280" s="77"/>
      <c r="F280" s="80"/>
      <c r="G280" s="81" t="s">
        <v>871</v>
      </c>
      <c r="H280" s="82"/>
      <c r="I280" s="93">
        <v>963.24</v>
      </c>
      <c r="J280" s="77"/>
      <c r="K280" s="132" t="b">
        <v>1</v>
      </c>
      <c r="L280" s="100"/>
      <c r="M280" s="84"/>
      <c r="N280" s="100"/>
      <c r="O280" s="100" t="s">
        <v>927</v>
      </c>
      <c r="P280" s="76"/>
      <c r="Q280" s="76"/>
      <c r="R280" s="76"/>
      <c r="S280" s="76"/>
      <c r="T280" s="76"/>
      <c r="U280" s="76"/>
      <c r="V280" s="76"/>
      <c r="W280" s="76"/>
    </row>
    <row r="281" spans="1:23" ht="12.75">
      <c r="A281" s="77"/>
      <c r="B281" s="91">
        <v>45965</v>
      </c>
      <c r="C281" s="81"/>
      <c r="D281" s="98"/>
      <c r="E281" s="77"/>
      <c r="F281" s="80"/>
      <c r="G281" s="81" t="s">
        <v>871</v>
      </c>
      <c r="H281" s="82"/>
      <c r="I281" s="93">
        <v>8721.17</v>
      </c>
      <c r="J281" s="77"/>
      <c r="K281" s="132" t="b">
        <v>1</v>
      </c>
      <c r="L281" s="100"/>
      <c r="M281" s="84"/>
      <c r="N281" s="100"/>
      <c r="O281" s="100" t="s">
        <v>928</v>
      </c>
      <c r="P281" s="76"/>
      <c r="Q281" s="76"/>
      <c r="R281" s="76"/>
      <c r="S281" s="76"/>
      <c r="T281" s="76"/>
      <c r="U281" s="76"/>
      <c r="V281" s="76"/>
      <c r="W281" s="76"/>
    </row>
    <row r="282" spans="1:23" ht="12.75">
      <c r="A282" s="77"/>
      <c r="B282" s="91">
        <v>45966</v>
      </c>
      <c r="C282" s="81"/>
      <c r="D282" s="98"/>
      <c r="E282" s="77"/>
      <c r="F282" s="80"/>
      <c r="G282" s="81"/>
      <c r="H282" s="82">
        <v>45.04</v>
      </c>
      <c r="I282" s="93"/>
      <c r="J282" s="77"/>
      <c r="K282" s="100" t="b">
        <v>1</v>
      </c>
      <c r="L282" s="100"/>
      <c r="M282" s="84"/>
      <c r="N282" s="100"/>
      <c r="O282" s="100"/>
      <c r="P282" s="76"/>
      <c r="Q282" s="76"/>
      <c r="R282" s="76"/>
      <c r="S282" s="76"/>
      <c r="T282" s="76"/>
      <c r="U282" s="76"/>
      <c r="V282" s="76"/>
      <c r="W282" s="76"/>
    </row>
    <row r="283" spans="1:23" ht="12.75">
      <c r="A283" s="77">
        <v>279</v>
      </c>
      <c r="B283" s="91">
        <v>45966</v>
      </c>
      <c r="C283" s="81">
        <v>2025</v>
      </c>
      <c r="D283" s="98">
        <v>11</v>
      </c>
      <c r="E283" s="77" t="s">
        <v>865</v>
      </c>
      <c r="F283" s="80" t="s">
        <v>10</v>
      </c>
      <c r="G283" s="81" t="s">
        <v>866</v>
      </c>
      <c r="H283" s="82">
        <v>17.989999999999998</v>
      </c>
      <c r="I283" s="93"/>
      <c r="J283" s="77"/>
      <c r="K283" s="100" t="b">
        <v>1</v>
      </c>
      <c r="L283" s="100"/>
      <c r="M283" s="84"/>
      <c r="N283" s="100"/>
      <c r="O283" s="100"/>
      <c r="P283" s="76"/>
      <c r="Q283" s="76"/>
      <c r="R283" s="76"/>
      <c r="S283" s="76"/>
      <c r="T283" s="76"/>
      <c r="U283" s="76"/>
      <c r="V283" s="76"/>
      <c r="W283" s="76"/>
    </row>
    <row r="284" spans="1:23" ht="12.75">
      <c r="A284" s="77">
        <v>280</v>
      </c>
      <c r="B284" s="91">
        <v>45966</v>
      </c>
      <c r="C284" s="81">
        <v>2025</v>
      </c>
      <c r="D284" s="98">
        <v>11</v>
      </c>
      <c r="E284" s="77" t="s">
        <v>865</v>
      </c>
      <c r="F284" s="80" t="s">
        <v>10</v>
      </c>
      <c r="G284" s="81" t="s">
        <v>866</v>
      </c>
      <c r="H284" s="82">
        <v>70.989999999999995</v>
      </c>
      <c r="I284" s="93"/>
      <c r="J284" s="77"/>
      <c r="K284" s="100" t="b">
        <v>1</v>
      </c>
      <c r="L284" s="100"/>
      <c r="M284" s="84"/>
      <c r="N284" s="100"/>
      <c r="O284" s="100"/>
      <c r="P284" s="76"/>
      <c r="Q284" s="76"/>
      <c r="R284" s="76"/>
      <c r="S284" s="76"/>
      <c r="T284" s="76"/>
      <c r="U284" s="76"/>
      <c r="V284" s="76"/>
      <c r="W284" s="76"/>
    </row>
    <row r="285" spans="1:23" ht="12.75">
      <c r="A285" s="77">
        <v>281</v>
      </c>
      <c r="B285" s="91">
        <v>45966</v>
      </c>
      <c r="C285" s="81">
        <v>2025</v>
      </c>
      <c r="D285" s="98">
        <v>11</v>
      </c>
      <c r="E285" s="77" t="s">
        <v>865</v>
      </c>
      <c r="F285" s="80" t="s">
        <v>10</v>
      </c>
      <c r="G285" s="81" t="s">
        <v>866</v>
      </c>
      <c r="H285" s="82">
        <v>38.39</v>
      </c>
      <c r="I285" s="93"/>
      <c r="J285" s="77"/>
      <c r="K285" s="100" t="b">
        <v>1</v>
      </c>
      <c r="L285" s="100"/>
      <c r="M285" s="84"/>
      <c r="N285" s="100"/>
      <c r="O285" s="100"/>
      <c r="P285" s="76"/>
      <c r="Q285" s="76"/>
      <c r="R285" s="76"/>
      <c r="S285" s="76"/>
      <c r="T285" s="76"/>
      <c r="U285" s="76"/>
      <c r="V285" s="76"/>
      <c r="W285" s="76"/>
    </row>
    <row r="286" spans="1:23" ht="12.75">
      <c r="A286" s="77">
        <v>282</v>
      </c>
      <c r="B286" s="91">
        <v>45967</v>
      </c>
      <c r="C286" s="81">
        <v>2025</v>
      </c>
      <c r="D286" s="98">
        <v>11</v>
      </c>
      <c r="E286" s="77" t="s">
        <v>865</v>
      </c>
      <c r="F286" s="80" t="s">
        <v>10</v>
      </c>
      <c r="G286" s="81" t="s">
        <v>866</v>
      </c>
      <c r="H286" s="82">
        <v>300</v>
      </c>
      <c r="I286" s="93"/>
      <c r="J286" s="77"/>
      <c r="K286" s="100" t="b">
        <v>1</v>
      </c>
      <c r="L286" s="100"/>
      <c r="M286" s="84"/>
      <c r="N286" s="100"/>
      <c r="O286" s="100"/>
      <c r="P286" s="76"/>
      <c r="Q286" s="76"/>
      <c r="R286" s="76"/>
      <c r="S286" s="76"/>
      <c r="T286" s="76"/>
      <c r="U286" s="76"/>
      <c r="V286" s="76"/>
      <c r="W286" s="76"/>
    </row>
    <row r="287" spans="1:23" ht="12.75">
      <c r="A287" s="77">
        <v>283</v>
      </c>
      <c r="B287" s="91">
        <v>45968</v>
      </c>
      <c r="C287" s="81">
        <v>2025</v>
      </c>
      <c r="D287" s="98">
        <v>11</v>
      </c>
      <c r="E287" s="77" t="s">
        <v>865</v>
      </c>
      <c r="F287" s="80" t="s">
        <v>10</v>
      </c>
      <c r="G287" s="81" t="s">
        <v>866</v>
      </c>
      <c r="H287" s="82">
        <v>24.6</v>
      </c>
      <c r="I287" s="93"/>
      <c r="J287" s="77"/>
      <c r="K287" s="100" t="b">
        <v>1</v>
      </c>
      <c r="L287" s="100"/>
      <c r="M287" s="84"/>
      <c r="N287" s="100"/>
      <c r="O287" s="100"/>
      <c r="P287" s="76"/>
      <c r="Q287" s="76"/>
      <c r="R287" s="76"/>
      <c r="S287" s="76"/>
      <c r="T287" s="76"/>
      <c r="U287" s="76"/>
      <c r="V287" s="76"/>
      <c r="W287" s="76"/>
    </row>
    <row r="288" spans="1:23" ht="12.75">
      <c r="A288" s="77">
        <v>285</v>
      </c>
      <c r="B288" s="91">
        <v>45970</v>
      </c>
      <c r="C288" s="81">
        <v>2025</v>
      </c>
      <c r="D288" s="98">
        <v>11</v>
      </c>
      <c r="E288" s="77" t="s">
        <v>865</v>
      </c>
      <c r="F288" s="80" t="s">
        <v>10</v>
      </c>
      <c r="G288" s="81" t="s">
        <v>866</v>
      </c>
      <c r="H288" s="82">
        <v>16.989999999999998</v>
      </c>
      <c r="I288" s="93"/>
      <c r="J288" s="77"/>
      <c r="K288" s="100" t="b">
        <v>1</v>
      </c>
      <c r="L288" s="100"/>
      <c r="M288" s="84"/>
      <c r="N288" s="100"/>
      <c r="O288" s="100" t="s">
        <v>929</v>
      </c>
      <c r="P288" s="76"/>
      <c r="Q288" s="76"/>
      <c r="R288" s="76"/>
      <c r="S288" s="76"/>
      <c r="T288" s="76"/>
      <c r="U288" s="76"/>
      <c r="V288" s="76"/>
      <c r="W288" s="76"/>
    </row>
    <row r="289" spans="1:23" ht="12.75">
      <c r="A289" s="77">
        <v>286</v>
      </c>
      <c r="B289" s="91">
        <v>45971</v>
      </c>
      <c r="C289" s="81">
        <v>2025</v>
      </c>
      <c r="D289" s="98">
        <v>11</v>
      </c>
      <c r="E289" s="77" t="s">
        <v>865</v>
      </c>
      <c r="F289" s="80" t="s">
        <v>10</v>
      </c>
      <c r="G289" s="81" t="s">
        <v>866</v>
      </c>
      <c r="H289" s="82">
        <v>9.49</v>
      </c>
      <c r="I289" s="93"/>
      <c r="J289" s="77"/>
      <c r="K289" s="100" t="b">
        <v>1</v>
      </c>
      <c r="L289" s="100"/>
      <c r="M289" s="84"/>
      <c r="N289" s="100"/>
      <c r="O289" s="100"/>
      <c r="P289" s="76"/>
      <c r="Q289" s="76"/>
      <c r="R289" s="76"/>
      <c r="S289" s="76"/>
      <c r="T289" s="76"/>
      <c r="U289" s="76"/>
      <c r="V289" s="76"/>
      <c r="W289" s="76"/>
    </row>
    <row r="290" spans="1:23" ht="12.75">
      <c r="A290" s="77">
        <v>287</v>
      </c>
      <c r="B290" s="91">
        <v>45971</v>
      </c>
      <c r="C290" s="81">
        <v>2025</v>
      </c>
      <c r="D290" s="98">
        <v>11</v>
      </c>
      <c r="E290" s="77" t="s">
        <v>865</v>
      </c>
      <c r="F290" s="80" t="s">
        <v>10</v>
      </c>
      <c r="G290" s="81" t="s">
        <v>866</v>
      </c>
      <c r="H290" s="82">
        <v>9.49</v>
      </c>
      <c r="I290" s="93"/>
      <c r="J290" s="77"/>
      <c r="K290" s="100" t="b">
        <v>1</v>
      </c>
      <c r="L290" s="100"/>
      <c r="M290" s="84"/>
      <c r="N290" s="100"/>
      <c r="O290" s="100" t="s">
        <v>930</v>
      </c>
      <c r="P290" s="76"/>
      <c r="Q290" s="76"/>
      <c r="R290" s="76"/>
      <c r="S290" s="76"/>
      <c r="T290" s="76"/>
      <c r="U290" s="76"/>
      <c r="V290" s="76"/>
      <c r="W290" s="76"/>
    </row>
    <row r="291" spans="1:23" ht="12.75">
      <c r="A291" s="77">
        <v>288</v>
      </c>
      <c r="B291" s="91">
        <v>45971</v>
      </c>
      <c r="C291" s="81">
        <v>2025</v>
      </c>
      <c r="D291" s="98">
        <v>11</v>
      </c>
      <c r="E291" s="77" t="s">
        <v>865</v>
      </c>
      <c r="F291" s="80" t="s">
        <v>10</v>
      </c>
      <c r="G291" s="81" t="s">
        <v>866</v>
      </c>
      <c r="H291" s="82">
        <v>42</v>
      </c>
      <c r="I291" s="93"/>
      <c r="J291" s="77"/>
      <c r="K291" s="100" t="b">
        <v>1</v>
      </c>
      <c r="L291" s="100"/>
      <c r="M291" s="84"/>
      <c r="N291" s="100"/>
      <c r="O291" s="100"/>
      <c r="P291" s="76"/>
      <c r="Q291" s="76"/>
      <c r="R291" s="76"/>
      <c r="S291" s="76"/>
      <c r="T291" s="76"/>
      <c r="U291" s="76"/>
      <c r="V291" s="76"/>
      <c r="W291" s="76"/>
    </row>
    <row r="292" spans="1:23" ht="12.75">
      <c r="A292" s="77">
        <v>289</v>
      </c>
      <c r="B292" s="91">
        <v>45971</v>
      </c>
      <c r="C292" s="81">
        <v>2025</v>
      </c>
      <c r="D292" s="98">
        <v>11</v>
      </c>
      <c r="E292" s="77" t="s">
        <v>865</v>
      </c>
      <c r="F292" s="80" t="s">
        <v>10</v>
      </c>
      <c r="G292" s="81" t="s">
        <v>866</v>
      </c>
      <c r="H292" s="82">
        <v>600</v>
      </c>
      <c r="I292" s="93"/>
      <c r="J292" s="77"/>
      <c r="K292" s="100" t="b">
        <v>1</v>
      </c>
      <c r="L292" s="100"/>
      <c r="M292" s="84"/>
      <c r="N292" s="100"/>
      <c r="O292" s="100"/>
      <c r="P292" s="76"/>
      <c r="Q292" s="76"/>
      <c r="R292" s="76"/>
      <c r="S292" s="76"/>
      <c r="T292" s="76"/>
      <c r="U292" s="76"/>
      <c r="V292" s="76"/>
      <c r="W292" s="76"/>
    </row>
    <row r="293" spans="1:23" ht="12.75">
      <c r="A293" s="77">
        <v>290</v>
      </c>
      <c r="B293" s="91">
        <v>45971</v>
      </c>
      <c r="C293" s="81">
        <v>2025</v>
      </c>
      <c r="D293" s="98">
        <v>11</v>
      </c>
      <c r="E293" s="77" t="s">
        <v>865</v>
      </c>
      <c r="F293" s="80" t="s">
        <v>10</v>
      </c>
      <c r="G293" s="81" t="s">
        <v>866</v>
      </c>
      <c r="H293" s="82">
        <v>355.56</v>
      </c>
      <c r="I293" s="93"/>
      <c r="J293" s="77"/>
      <c r="K293" s="100" t="b">
        <v>1</v>
      </c>
      <c r="L293" s="100"/>
      <c r="M293" s="84"/>
      <c r="N293" s="100"/>
      <c r="O293" s="100"/>
      <c r="P293" s="76"/>
      <c r="Q293" s="76"/>
      <c r="R293" s="76"/>
      <c r="S293" s="76"/>
      <c r="T293" s="76"/>
      <c r="U293" s="76"/>
      <c r="V293" s="76"/>
      <c r="W293" s="76"/>
    </row>
    <row r="294" spans="1:23" ht="12.75">
      <c r="A294" s="77">
        <v>291</v>
      </c>
      <c r="B294" s="91">
        <v>45972</v>
      </c>
      <c r="C294" s="81">
        <v>2025</v>
      </c>
      <c r="D294" s="98">
        <v>11</v>
      </c>
      <c r="E294" s="77" t="s">
        <v>865</v>
      </c>
      <c r="F294" s="80" t="s">
        <v>10</v>
      </c>
      <c r="G294" s="81" t="s">
        <v>866</v>
      </c>
      <c r="H294" s="82">
        <v>60</v>
      </c>
      <c r="I294" s="93"/>
      <c r="J294" s="77"/>
      <c r="K294" s="100" t="b">
        <v>1</v>
      </c>
      <c r="L294" s="100"/>
      <c r="M294" s="84"/>
      <c r="N294" s="100"/>
      <c r="O294" s="100"/>
      <c r="P294" s="76"/>
      <c r="Q294" s="76"/>
      <c r="R294" s="76"/>
      <c r="S294" s="76"/>
      <c r="T294" s="76"/>
      <c r="U294" s="76"/>
      <c r="V294" s="76"/>
      <c r="W294" s="76"/>
    </row>
    <row r="295" spans="1:23" ht="12.75">
      <c r="A295" s="77">
        <v>292</v>
      </c>
      <c r="B295" s="91">
        <v>45973</v>
      </c>
      <c r="C295" s="81">
        <v>2025</v>
      </c>
      <c r="D295" s="98">
        <v>11</v>
      </c>
      <c r="E295" s="77" t="s">
        <v>865</v>
      </c>
      <c r="F295" s="80" t="s">
        <v>10</v>
      </c>
      <c r="G295" s="81" t="s">
        <v>866</v>
      </c>
      <c r="H295" s="82">
        <v>368.7</v>
      </c>
      <c r="I295" s="93"/>
      <c r="J295" s="77"/>
      <c r="K295" s="100" t="b">
        <v>1</v>
      </c>
      <c r="L295" s="100"/>
      <c r="M295" s="84"/>
      <c r="N295" s="100"/>
      <c r="O295" s="100"/>
      <c r="P295" s="76"/>
      <c r="Q295" s="76"/>
      <c r="R295" s="76"/>
      <c r="S295" s="76"/>
      <c r="T295" s="76"/>
      <c r="U295" s="76"/>
      <c r="V295" s="76"/>
      <c r="W295" s="76"/>
    </row>
    <row r="296" spans="1:23" ht="12.75">
      <c r="A296" s="77">
        <v>293</v>
      </c>
      <c r="B296" s="91">
        <v>45974</v>
      </c>
      <c r="C296" s="81">
        <v>2025</v>
      </c>
      <c r="D296" s="98">
        <v>11</v>
      </c>
      <c r="E296" s="77" t="s">
        <v>865</v>
      </c>
      <c r="F296" s="80" t="s">
        <v>10</v>
      </c>
      <c r="G296" s="81" t="s">
        <v>866</v>
      </c>
      <c r="H296" s="82">
        <v>470.5</v>
      </c>
      <c r="I296" s="93"/>
      <c r="J296" s="77"/>
      <c r="K296" s="100" t="b">
        <v>1</v>
      </c>
      <c r="L296" s="100"/>
      <c r="M296" s="84"/>
      <c r="N296" s="100"/>
      <c r="O296" s="100"/>
      <c r="P296" s="76"/>
      <c r="Q296" s="76"/>
      <c r="R296" s="76"/>
      <c r="S296" s="76"/>
      <c r="T296" s="76"/>
      <c r="U296" s="76"/>
      <c r="V296" s="76"/>
      <c r="W296" s="76"/>
    </row>
    <row r="297" spans="1:23" ht="12.75">
      <c r="A297" s="77">
        <v>294</v>
      </c>
      <c r="B297" s="91">
        <v>45974</v>
      </c>
      <c r="C297" s="81">
        <v>2025</v>
      </c>
      <c r="D297" s="98">
        <v>11</v>
      </c>
      <c r="E297" s="77" t="s">
        <v>865</v>
      </c>
      <c r="F297" s="80" t="s">
        <v>10</v>
      </c>
      <c r="G297" s="81" t="s">
        <v>866</v>
      </c>
      <c r="H297" s="82">
        <v>662.22</v>
      </c>
      <c r="I297" s="93"/>
      <c r="J297" s="77"/>
      <c r="K297" s="100" t="b">
        <v>1</v>
      </c>
      <c r="L297" s="100"/>
      <c r="M297" s="84"/>
      <c r="N297" s="100"/>
      <c r="O297" s="100"/>
      <c r="P297" s="76"/>
      <c r="Q297" s="76"/>
      <c r="R297" s="76"/>
      <c r="S297" s="76"/>
      <c r="T297" s="76"/>
      <c r="U297" s="76"/>
      <c r="V297" s="76"/>
      <c r="W297" s="76"/>
    </row>
    <row r="298" spans="1:23" ht="12.75">
      <c r="A298" s="77">
        <v>295</v>
      </c>
      <c r="B298" s="91">
        <v>45975</v>
      </c>
      <c r="C298" s="81">
        <v>2025</v>
      </c>
      <c r="D298" s="98">
        <v>11</v>
      </c>
      <c r="E298" s="77" t="s">
        <v>865</v>
      </c>
      <c r="F298" s="80" t="s">
        <v>10</v>
      </c>
      <c r="G298" s="81" t="s">
        <v>866</v>
      </c>
      <c r="H298" s="82">
        <v>98.41</v>
      </c>
      <c r="I298" s="93"/>
      <c r="J298" s="77"/>
      <c r="K298" s="100" t="b">
        <v>1</v>
      </c>
      <c r="L298" s="100"/>
      <c r="M298" s="84"/>
      <c r="N298" s="100"/>
      <c r="O298" s="100"/>
      <c r="P298" s="76"/>
      <c r="Q298" s="76"/>
      <c r="R298" s="76"/>
      <c r="S298" s="76"/>
      <c r="T298" s="76"/>
      <c r="U298" s="76"/>
      <c r="V298" s="76"/>
      <c r="W298" s="76"/>
    </row>
    <row r="299" spans="1:23" ht="12.75">
      <c r="A299" s="77">
        <v>296</v>
      </c>
      <c r="B299" s="91">
        <v>45975</v>
      </c>
      <c r="C299" s="81">
        <v>2025</v>
      </c>
      <c r="D299" s="98">
        <v>11</v>
      </c>
      <c r="E299" s="77" t="s">
        <v>865</v>
      </c>
      <c r="F299" s="80" t="s">
        <v>10</v>
      </c>
      <c r="G299" s="81" t="s">
        <v>866</v>
      </c>
      <c r="H299" s="82">
        <v>12.6</v>
      </c>
      <c r="I299" s="93"/>
      <c r="J299" s="77"/>
      <c r="K299" s="100" t="b">
        <v>1</v>
      </c>
      <c r="L299" s="100"/>
      <c r="M299" s="84"/>
      <c r="N299" s="100"/>
      <c r="O299" s="100"/>
      <c r="P299" s="76"/>
      <c r="Q299" s="76"/>
      <c r="R299" s="76"/>
      <c r="S299" s="76"/>
      <c r="T299" s="76"/>
      <c r="U299" s="76"/>
      <c r="V299" s="76"/>
      <c r="W299" s="76"/>
    </row>
    <row r="300" spans="1:23" ht="12.75">
      <c r="A300" s="77">
        <v>297</v>
      </c>
      <c r="B300" s="91">
        <v>45977</v>
      </c>
      <c r="C300" s="81">
        <v>2025</v>
      </c>
      <c r="D300" s="98">
        <v>11</v>
      </c>
      <c r="E300" s="77" t="s">
        <v>865</v>
      </c>
      <c r="F300" s="80" t="s">
        <v>10</v>
      </c>
      <c r="G300" s="81" t="s">
        <v>866</v>
      </c>
      <c r="H300" s="82">
        <v>16.989999999999998</v>
      </c>
      <c r="I300" s="93"/>
      <c r="J300" s="77"/>
      <c r="K300" s="100" t="b">
        <v>1</v>
      </c>
      <c r="L300" s="100"/>
      <c r="M300" s="84"/>
      <c r="N300" s="100"/>
      <c r="O300" s="100"/>
      <c r="P300" s="76"/>
      <c r="Q300" s="76"/>
      <c r="R300" s="76"/>
      <c r="S300" s="76"/>
      <c r="T300" s="76"/>
      <c r="U300" s="76"/>
      <c r="V300" s="76"/>
      <c r="W300" s="76"/>
    </row>
    <row r="301" spans="1:23" ht="12.75">
      <c r="A301" s="77">
        <v>298</v>
      </c>
      <c r="B301" s="91">
        <v>45979</v>
      </c>
      <c r="C301" s="81">
        <v>2025</v>
      </c>
      <c r="D301" s="98">
        <v>11</v>
      </c>
      <c r="E301" s="77" t="s">
        <v>865</v>
      </c>
      <c r="F301" s="80" t="s">
        <v>10</v>
      </c>
      <c r="G301" s="81" t="s">
        <v>866</v>
      </c>
      <c r="H301" s="82">
        <v>486</v>
      </c>
      <c r="I301" s="93"/>
      <c r="J301" s="77"/>
      <c r="K301" s="100" t="b">
        <v>1</v>
      </c>
      <c r="L301" s="100"/>
      <c r="M301" s="84"/>
      <c r="N301" s="100"/>
      <c r="O301" s="100"/>
      <c r="P301" s="76"/>
      <c r="Q301" s="76"/>
      <c r="R301" s="76"/>
      <c r="S301" s="76"/>
      <c r="T301" s="76"/>
      <c r="U301" s="76"/>
      <c r="V301" s="76"/>
      <c r="W301" s="76"/>
    </row>
    <row r="302" spans="1:23" ht="12.75">
      <c r="A302" s="77">
        <v>299</v>
      </c>
      <c r="B302" s="91">
        <v>45979</v>
      </c>
      <c r="C302" s="81">
        <v>2025</v>
      </c>
      <c r="D302" s="98">
        <v>11</v>
      </c>
      <c r="E302" s="77" t="s">
        <v>865</v>
      </c>
      <c r="F302" s="80" t="s">
        <v>10</v>
      </c>
      <c r="G302" s="81" t="s">
        <v>866</v>
      </c>
      <c r="H302" s="82">
        <v>110</v>
      </c>
      <c r="I302" s="93"/>
      <c r="J302" s="77"/>
      <c r="K302" s="100" t="b">
        <v>1</v>
      </c>
      <c r="L302" s="100"/>
      <c r="M302" s="84"/>
      <c r="N302" s="100"/>
      <c r="O302" s="100"/>
      <c r="P302" s="76"/>
      <c r="Q302" s="76"/>
      <c r="R302" s="76"/>
      <c r="S302" s="76"/>
      <c r="T302" s="76"/>
      <c r="U302" s="76"/>
      <c r="V302" s="76"/>
      <c r="W302" s="76"/>
    </row>
    <row r="303" spans="1:23" ht="12.75">
      <c r="A303" s="77">
        <v>300</v>
      </c>
      <c r="B303" s="91">
        <v>45979</v>
      </c>
      <c r="C303" s="81">
        <v>2025</v>
      </c>
      <c r="D303" s="98">
        <v>11</v>
      </c>
      <c r="E303" s="77" t="s">
        <v>865</v>
      </c>
      <c r="F303" s="80" t="s">
        <v>10</v>
      </c>
      <c r="G303" s="81" t="s">
        <v>866</v>
      </c>
      <c r="H303" s="82">
        <v>13.592569039163932</v>
      </c>
      <c r="I303" s="93"/>
      <c r="J303" s="77"/>
      <c r="K303" s="100" t="b">
        <v>1</v>
      </c>
      <c r="L303" s="100"/>
      <c r="M303" s="84"/>
      <c r="N303" s="100"/>
      <c r="O303" s="100"/>
      <c r="P303" s="76"/>
      <c r="Q303" s="76"/>
      <c r="R303" s="76"/>
      <c r="S303" s="76"/>
      <c r="T303" s="76"/>
      <c r="U303" s="76"/>
      <c r="V303" s="76"/>
      <c r="W303" s="76"/>
    </row>
    <row r="304" spans="1:23" ht="12.75">
      <c r="A304" s="77">
        <v>301</v>
      </c>
      <c r="B304" s="91">
        <v>45980</v>
      </c>
      <c r="C304" s="81">
        <v>2025</v>
      </c>
      <c r="D304" s="98">
        <v>11</v>
      </c>
      <c r="E304" s="77" t="s">
        <v>865</v>
      </c>
      <c r="F304" s="80" t="s">
        <v>10</v>
      </c>
      <c r="G304" s="81" t="s">
        <v>866</v>
      </c>
      <c r="H304" s="82">
        <v>99</v>
      </c>
      <c r="I304" s="93"/>
      <c r="J304" s="77"/>
      <c r="K304" s="100" t="b">
        <v>1</v>
      </c>
      <c r="L304" s="100"/>
      <c r="M304" s="84"/>
      <c r="N304" s="100"/>
      <c r="O304" s="100"/>
      <c r="P304" s="76"/>
      <c r="Q304" s="76"/>
      <c r="R304" s="76"/>
      <c r="S304" s="76"/>
      <c r="T304" s="76"/>
      <c r="U304" s="76"/>
      <c r="V304" s="76"/>
      <c r="W304" s="76"/>
    </row>
    <row r="305" spans="1:23" ht="12.75">
      <c r="A305" s="77">
        <v>302</v>
      </c>
      <c r="B305" s="91">
        <v>45980</v>
      </c>
      <c r="C305" s="81">
        <v>2025</v>
      </c>
      <c r="D305" s="98">
        <v>11</v>
      </c>
      <c r="E305" s="77" t="s">
        <v>865</v>
      </c>
      <c r="F305" s="80" t="s">
        <v>10</v>
      </c>
      <c r="G305" s="81" t="s">
        <v>866</v>
      </c>
      <c r="H305" s="82">
        <v>189.93</v>
      </c>
      <c r="I305" s="93"/>
      <c r="J305" s="77"/>
      <c r="K305" s="100" t="b">
        <v>1</v>
      </c>
      <c r="L305" s="100"/>
      <c r="M305" s="84"/>
      <c r="N305" s="100"/>
      <c r="O305" s="100"/>
      <c r="P305" s="76"/>
      <c r="Q305" s="76"/>
      <c r="R305" s="76"/>
      <c r="S305" s="76"/>
      <c r="T305" s="76"/>
      <c r="U305" s="76"/>
      <c r="V305" s="76"/>
      <c r="W305" s="76"/>
    </row>
    <row r="306" spans="1:23" ht="12.75">
      <c r="A306" s="77">
        <v>303</v>
      </c>
      <c r="B306" s="91">
        <v>45983</v>
      </c>
      <c r="C306" s="81">
        <v>2025</v>
      </c>
      <c r="D306" s="98">
        <v>11</v>
      </c>
      <c r="E306" s="77" t="s">
        <v>865</v>
      </c>
      <c r="F306" s="80" t="s">
        <v>10</v>
      </c>
      <c r="G306" s="81" t="s">
        <v>866</v>
      </c>
      <c r="H306" s="82">
        <v>99</v>
      </c>
      <c r="I306" s="93"/>
      <c r="J306" s="77"/>
      <c r="K306" s="100" t="b">
        <v>1</v>
      </c>
      <c r="L306" s="100"/>
      <c r="M306" s="84"/>
      <c r="N306" s="100"/>
      <c r="O306" s="100"/>
      <c r="P306" s="76"/>
      <c r="Q306" s="76"/>
      <c r="R306" s="76"/>
      <c r="S306" s="76"/>
      <c r="T306" s="76"/>
      <c r="U306" s="76"/>
      <c r="V306" s="76"/>
      <c r="W306" s="76"/>
    </row>
    <row r="307" spans="1:23" ht="12.75">
      <c r="A307" s="77">
        <v>304</v>
      </c>
      <c r="B307" s="91">
        <v>45985</v>
      </c>
      <c r="C307" s="81">
        <v>2025</v>
      </c>
      <c r="D307" s="98">
        <v>11</v>
      </c>
      <c r="E307" s="77" t="s">
        <v>865</v>
      </c>
      <c r="F307" s="80" t="s">
        <v>10</v>
      </c>
      <c r="G307" s="81" t="s">
        <v>866</v>
      </c>
      <c r="H307" s="82">
        <v>70.325367344556327</v>
      </c>
      <c r="I307" s="93"/>
      <c r="J307" s="77"/>
      <c r="K307" s="100" t="b">
        <v>1</v>
      </c>
      <c r="L307" s="100"/>
      <c r="M307" s="84"/>
      <c r="N307" s="100"/>
      <c r="O307" s="100"/>
      <c r="P307" s="76"/>
      <c r="Q307" s="76"/>
      <c r="R307" s="76"/>
      <c r="S307" s="76"/>
      <c r="T307" s="76"/>
      <c r="U307" s="76"/>
      <c r="V307" s="76"/>
      <c r="W307" s="76"/>
    </row>
    <row r="308" spans="1:23" ht="12.75">
      <c r="A308" s="77">
        <v>305</v>
      </c>
      <c r="B308" s="91">
        <v>45985</v>
      </c>
      <c r="C308" s="81">
        <v>2025</v>
      </c>
      <c r="D308" s="98">
        <v>11</v>
      </c>
      <c r="E308" s="77" t="s">
        <v>865</v>
      </c>
      <c r="F308" s="80" t="s">
        <v>10</v>
      </c>
      <c r="G308" s="81" t="s">
        <v>866</v>
      </c>
      <c r="H308" s="82">
        <v>447.2693363113782</v>
      </c>
      <c r="I308" s="93"/>
      <c r="J308" s="77"/>
      <c r="K308" s="100" t="b">
        <v>1</v>
      </c>
      <c r="L308" s="100"/>
      <c r="M308" s="84"/>
      <c r="N308" s="100"/>
      <c r="O308" s="100"/>
      <c r="P308" s="76"/>
      <c r="Q308" s="76"/>
      <c r="R308" s="76"/>
      <c r="S308" s="76"/>
      <c r="T308" s="76"/>
      <c r="U308" s="76"/>
      <c r="V308" s="76"/>
      <c r="W308" s="76"/>
    </row>
    <row r="309" spans="1:23" ht="12.75">
      <c r="A309" s="77">
        <v>306</v>
      </c>
      <c r="B309" s="91">
        <v>45985</v>
      </c>
      <c r="C309" s="81">
        <v>2025</v>
      </c>
      <c r="D309" s="98">
        <v>11</v>
      </c>
      <c r="E309" s="77" t="s">
        <v>865</v>
      </c>
      <c r="F309" s="80" t="s">
        <v>10</v>
      </c>
      <c r="G309" s="81" t="s">
        <v>866</v>
      </c>
      <c r="H309" s="82">
        <v>81.99</v>
      </c>
      <c r="I309" s="93"/>
      <c r="J309" s="77"/>
      <c r="K309" s="100" t="b">
        <v>1</v>
      </c>
      <c r="L309" s="100"/>
      <c r="M309" s="84"/>
      <c r="N309" s="100"/>
      <c r="O309" s="100"/>
      <c r="P309" s="76"/>
      <c r="Q309" s="76"/>
      <c r="R309" s="76"/>
      <c r="S309" s="76"/>
      <c r="T309" s="76"/>
      <c r="U309" s="76"/>
      <c r="V309" s="76"/>
      <c r="W309" s="76"/>
    </row>
    <row r="310" spans="1:23" ht="12.75">
      <c r="A310" s="77">
        <v>307</v>
      </c>
      <c r="B310" s="91">
        <v>45985</v>
      </c>
      <c r="C310" s="81">
        <v>2025</v>
      </c>
      <c r="D310" s="98">
        <v>11</v>
      </c>
      <c r="E310" s="77" t="s">
        <v>865</v>
      </c>
      <c r="F310" s="80" t="s">
        <v>10</v>
      </c>
      <c r="G310" s="81" t="s">
        <v>866</v>
      </c>
      <c r="H310" s="82">
        <v>84.99</v>
      </c>
      <c r="I310" s="93"/>
      <c r="J310" s="77"/>
      <c r="K310" s="100" t="b">
        <v>1</v>
      </c>
      <c r="L310" s="100"/>
      <c r="M310" s="84"/>
      <c r="N310" s="100"/>
      <c r="O310" s="100"/>
      <c r="P310" s="76"/>
      <c r="Q310" s="76"/>
      <c r="R310" s="76"/>
      <c r="S310" s="76"/>
      <c r="T310" s="76"/>
      <c r="U310" s="76"/>
      <c r="V310" s="76"/>
      <c r="W310" s="76"/>
    </row>
    <row r="311" spans="1:23" ht="12.75">
      <c r="A311" s="77">
        <v>308</v>
      </c>
      <c r="B311" s="91">
        <v>45986</v>
      </c>
      <c r="C311" s="81">
        <v>2025</v>
      </c>
      <c r="D311" s="98">
        <v>11</v>
      </c>
      <c r="E311" s="77" t="s">
        <v>865</v>
      </c>
      <c r="F311" s="80" t="s">
        <v>10</v>
      </c>
      <c r="G311" s="81" t="s">
        <v>866</v>
      </c>
      <c r="H311" s="82">
        <v>198</v>
      </c>
      <c r="I311" s="93"/>
      <c r="J311" s="77"/>
      <c r="K311" s="100" t="b">
        <v>1</v>
      </c>
      <c r="L311" s="100"/>
      <c r="M311" s="84"/>
      <c r="N311" s="100"/>
      <c r="O311" s="100"/>
      <c r="P311" s="76"/>
      <c r="Q311" s="76"/>
      <c r="R311" s="76"/>
      <c r="S311" s="76"/>
      <c r="T311" s="76"/>
      <c r="U311" s="76"/>
      <c r="V311" s="76"/>
      <c r="W311" s="76"/>
    </row>
    <row r="312" spans="1:23" ht="12.75">
      <c r="A312" s="77">
        <v>309</v>
      </c>
      <c r="B312" s="91">
        <v>45986</v>
      </c>
      <c r="C312" s="81">
        <v>2025</v>
      </c>
      <c r="D312" s="98">
        <v>11</v>
      </c>
      <c r="E312" s="77" t="s">
        <v>865</v>
      </c>
      <c r="F312" s="80" t="s">
        <v>10</v>
      </c>
      <c r="G312" s="81" t="s">
        <v>866</v>
      </c>
      <c r="H312" s="82">
        <v>422</v>
      </c>
      <c r="I312" s="93"/>
      <c r="J312" s="77"/>
      <c r="K312" s="100" t="b">
        <v>1</v>
      </c>
      <c r="L312" s="100"/>
      <c r="M312" s="84"/>
      <c r="N312" s="100"/>
      <c r="O312" s="100"/>
      <c r="P312" s="76"/>
      <c r="Q312" s="76"/>
      <c r="R312" s="76"/>
      <c r="S312" s="76"/>
      <c r="T312" s="76"/>
      <c r="U312" s="76"/>
      <c r="V312" s="76"/>
      <c r="W312" s="76"/>
    </row>
    <row r="313" spans="1:23" ht="12.75">
      <c r="A313" s="77">
        <v>310</v>
      </c>
      <c r="B313" s="91">
        <v>45987</v>
      </c>
      <c r="C313" s="81">
        <v>2025</v>
      </c>
      <c r="D313" s="98">
        <v>11</v>
      </c>
      <c r="E313" s="77" t="s">
        <v>865</v>
      </c>
      <c r="F313" s="80" t="s">
        <v>10</v>
      </c>
      <c r="G313" s="81" t="s">
        <v>866</v>
      </c>
      <c r="H313" s="82">
        <v>300</v>
      </c>
      <c r="I313" s="93"/>
      <c r="J313" s="77"/>
      <c r="K313" s="100" t="b">
        <v>1</v>
      </c>
      <c r="L313" s="100"/>
      <c r="M313" s="84"/>
      <c r="N313" s="100"/>
      <c r="O313" s="100"/>
      <c r="P313" s="76"/>
      <c r="Q313" s="76"/>
      <c r="R313" s="76"/>
      <c r="S313" s="76"/>
      <c r="T313" s="76"/>
      <c r="U313" s="76"/>
      <c r="V313" s="76"/>
      <c r="W313" s="76"/>
    </row>
    <row r="314" spans="1:23" ht="12.75">
      <c r="A314" s="77">
        <v>311</v>
      </c>
      <c r="B314" s="91">
        <v>45988</v>
      </c>
      <c r="C314" s="81">
        <v>2025</v>
      </c>
      <c r="D314" s="98">
        <v>11</v>
      </c>
      <c r="E314" s="77" t="s">
        <v>865</v>
      </c>
      <c r="F314" s="80" t="s">
        <v>10</v>
      </c>
      <c r="G314" s="81" t="s">
        <v>866</v>
      </c>
      <c r="H314" s="82">
        <v>27.86</v>
      </c>
      <c r="I314" s="93"/>
      <c r="J314" s="77"/>
      <c r="K314" s="100" t="b">
        <v>1</v>
      </c>
      <c r="L314" s="100"/>
      <c r="M314" s="84"/>
      <c r="N314" s="100"/>
      <c r="O314" s="100"/>
      <c r="P314" s="76"/>
      <c r="Q314" s="76"/>
      <c r="R314" s="76"/>
      <c r="S314" s="76"/>
      <c r="T314" s="76"/>
      <c r="U314" s="76"/>
      <c r="V314" s="76"/>
      <c r="W314" s="76"/>
    </row>
    <row r="315" spans="1:23" ht="12.75">
      <c r="A315" s="77">
        <v>312</v>
      </c>
      <c r="B315" s="91">
        <v>45988</v>
      </c>
      <c r="C315" s="81">
        <v>2025</v>
      </c>
      <c r="D315" s="98">
        <v>11</v>
      </c>
      <c r="E315" s="77" t="s">
        <v>865</v>
      </c>
      <c r="F315" s="80" t="s">
        <v>10</v>
      </c>
      <c r="G315" s="81" t="s">
        <v>866</v>
      </c>
      <c r="H315" s="82">
        <v>173</v>
      </c>
      <c r="I315" s="93"/>
      <c r="J315" s="77"/>
      <c r="K315" s="100" t="b">
        <v>1</v>
      </c>
      <c r="L315" s="100"/>
      <c r="M315" s="84"/>
      <c r="N315" s="100"/>
      <c r="O315" s="100"/>
      <c r="P315" s="76"/>
      <c r="Q315" s="76"/>
      <c r="R315" s="76"/>
      <c r="S315" s="76"/>
      <c r="T315" s="76"/>
      <c r="U315" s="76"/>
      <c r="V315" s="76"/>
      <c r="W315" s="76"/>
    </row>
    <row r="316" spans="1:23" ht="12.75">
      <c r="A316" s="77">
        <v>313</v>
      </c>
      <c r="B316" s="91">
        <v>45991</v>
      </c>
      <c r="C316" s="81">
        <v>2025</v>
      </c>
      <c r="D316" s="98">
        <v>11</v>
      </c>
      <c r="E316" s="77" t="s">
        <v>865</v>
      </c>
      <c r="F316" s="80" t="s">
        <v>10</v>
      </c>
      <c r="G316" s="81" t="s">
        <v>866</v>
      </c>
      <c r="H316" s="82">
        <v>12.49</v>
      </c>
      <c r="I316" s="93"/>
      <c r="J316" s="77"/>
      <c r="K316" s="100" t="b">
        <v>1</v>
      </c>
      <c r="L316" s="100"/>
      <c r="M316" s="84"/>
      <c r="N316" s="100"/>
      <c r="O316" s="100" t="s">
        <v>931</v>
      </c>
      <c r="P316" s="76"/>
      <c r="Q316" s="76"/>
      <c r="R316" s="76"/>
      <c r="S316" s="76"/>
      <c r="T316" s="76"/>
      <c r="U316" s="76"/>
      <c r="V316" s="76"/>
      <c r="W316" s="76"/>
    </row>
    <row r="317" spans="1:23" ht="12.75">
      <c r="A317" s="77">
        <v>314</v>
      </c>
      <c r="B317" s="91">
        <v>45965</v>
      </c>
      <c r="C317" s="81">
        <v>2025</v>
      </c>
      <c r="D317" s="98">
        <v>11</v>
      </c>
      <c r="E317" s="77" t="s">
        <v>865</v>
      </c>
      <c r="F317" s="80" t="s">
        <v>10</v>
      </c>
      <c r="G317" s="81" t="s">
        <v>871</v>
      </c>
      <c r="H317" s="145"/>
      <c r="I317" s="93"/>
      <c r="J317" s="99"/>
      <c r="K317" s="100" t="b">
        <v>1</v>
      </c>
      <c r="L317" s="100"/>
      <c r="M317" s="84"/>
      <c r="N317" s="100"/>
      <c r="O317" s="100" t="s">
        <v>932</v>
      </c>
      <c r="P317" s="76"/>
      <c r="Q317" s="76"/>
      <c r="R317" s="76"/>
      <c r="S317" s="76"/>
      <c r="T317" s="76"/>
      <c r="U317" s="76"/>
      <c r="V317" s="76"/>
      <c r="W317" s="76"/>
    </row>
    <row r="318" spans="1:23" ht="12.75">
      <c r="A318" s="77">
        <v>315</v>
      </c>
      <c r="B318" s="91">
        <v>45965</v>
      </c>
      <c r="C318" s="81">
        <v>2025</v>
      </c>
      <c r="D318" s="98">
        <v>11</v>
      </c>
      <c r="E318" s="77" t="s">
        <v>865</v>
      </c>
      <c r="F318" s="80" t="s">
        <v>10</v>
      </c>
      <c r="G318" s="81" t="s">
        <v>871</v>
      </c>
      <c r="H318" s="145"/>
      <c r="I318" s="93"/>
      <c r="J318" s="99"/>
      <c r="K318" s="100" t="b">
        <v>1</v>
      </c>
      <c r="L318" s="100"/>
      <c r="M318" s="84"/>
      <c r="N318" s="100"/>
      <c r="O318" s="100" t="s">
        <v>933</v>
      </c>
      <c r="P318" s="76"/>
      <c r="Q318" s="76"/>
      <c r="R318" s="76"/>
      <c r="S318" s="76"/>
      <c r="T318" s="76"/>
      <c r="U318" s="76"/>
      <c r="V318" s="76"/>
      <c r="W318" s="76"/>
    </row>
    <row r="319" spans="1:23" ht="12.75">
      <c r="A319" s="77">
        <v>316</v>
      </c>
      <c r="B319" s="91">
        <v>45965</v>
      </c>
      <c r="C319" s="81">
        <v>2025</v>
      </c>
      <c r="D319" s="98">
        <v>11</v>
      </c>
      <c r="E319" s="77" t="s">
        <v>865</v>
      </c>
      <c r="F319" s="80" t="s">
        <v>10</v>
      </c>
      <c r="G319" s="81" t="s">
        <v>871</v>
      </c>
      <c r="H319" s="145"/>
      <c r="I319" s="93"/>
      <c r="J319" s="99"/>
      <c r="K319" s="100" t="b">
        <v>1</v>
      </c>
      <c r="L319" s="100"/>
      <c r="M319" s="84"/>
      <c r="N319" s="100"/>
      <c r="O319" s="100" t="s">
        <v>934</v>
      </c>
      <c r="P319" s="76"/>
      <c r="Q319" s="76"/>
      <c r="R319" s="76"/>
      <c r="S319" s="76"/>
      <c r="T319" s="76"/>
      <c r="U319" s="76"/>
      <c r="V319" s="76"/>
      <c r="W319" s="76"/>
    </row>
    <row r="320" spans="1:23" ht="12.75">
      <c r="A320" s="77">
        <v>317</v>
      </c>
      <c r="B320" s="91">
        <v>45994</v>
      </c>
      <c r="C320" s="81">
        <v>2025</v>
      </c>
      <c r="D320" s="98">
        <v>12</v>
      </c>
      <c r="E320" s="77" t="s">
        <v>865</v>
      </c>
      <c r="F320" s="80" t="s">
        <v>10</v>
      </c>
      <c r="G320" s="81" t="s">
        <v>871</v>
      </c>
      <c r="H320" s="145"/>
      <c r="I320" s="93">
        <v>7494.29</v>
      </c>
      <c r="J320" s="99" t="s">
        <v>867</v>
      </c>
      <c r="K320" s="132" t="b">
        <v>1</v>
      </c>
      <c r="L320" s="100"/>
      <c r="M320" s="84"/>
      <c r="N320" s="100"/>
      <c r="O320" s="100" t="s">
        <v>935</v>
      </c>
      <c r="P320" s="76"/>
      <c r="Q320" s="76"/>
      <c r="R320" s="76"/>
      <c r="S320" s="76"/>
      <c r="T320" s="76"/>
      <c r="U320" s="76"/>
      <c r="V320" s="76"/>
      <c r="W320" s="76"/>
    </row>
    <row r="321" spans="1:23" ht="12.75">
      <c r="A321" s="77"/>
      <c r="B321" s="78">
        <v>45993</v>
      </c>
      <c r="C321" s="81"/>
      <c r="D321" s="98"/>
      <c r="E321" s="77"/>
      <c r="F321" s="80"/>
      <c r="G321" s="81" t="s">
        <v>871</v>
      </c>
      <c r="H321" s="123"/>
      <c r="I321" s="93">
        <v>9.23</v>
      </c>
      <c r="J321" s="77"/>
      <c r="K321" s="132" t="b">
        <v>1</v>
      </c>
      <c r="L321" s="100"/>
      <c r="M321" s="84"/>
      <c r="N321" s="100"/>
      <c r="O321" s="100" t="s">
        <v>936</v>
      </c>
      <c r="P321" s="76"/>
      <c r="Q321" s="76"/>
      <c r="R321" s="76"/>
      <c r="S321" s="76"/>
      <c r="T321" s="76"/>
      <c r="U321" s="76"/>
      <c r="V321" s="76"/>
      <c r="W321" s="76"/>
    </row>
    <row r="322" spans="1:23" ht="12.75">
      <c r="A322" s="77">
        <v>319</v>
      </c>
      <c r="B322" s="78">
        <v>45995</v>
      </c>
      <c r="C322" s="81">
        <v>2025</v>
      </c>
      <c r="D322" s="98">
        <v>12</v>
      </c>
      <c r="E322" s="77" t="s">
        <v>865</v>
      </c>
      <c r="F322" s="80" t="s">
        <v>10</v>
      </c>
      <c r="G322" s="81" t="s">
        <v>866</v>
      </c>
      <c r="H322" s="123">
        <v>300</v>
      </c>
      <c r="I322" s="93"/>
      <c r="J322" s="77"/>
      <c r="K322" s="100" t="b">
        <v>1</v>
      </c>
      <c r="L322" s="100"/>
      <c r="M322" s="84"/>
      <c r="N322" s="100"/>
      <c r="O322" s="100"/>
      <c r="P322" s="76"/>
      <c r="Q322" s="76"/>
      <c r="R322" s="76"/>
      <c r="S322" s="76"/>
      <c r="T322" s="76"/>
      <c r="U322" s="76"/>
      <c r="V322" s="76"/>
      <c r="W322" s="76"/>
    </row>
    <row r="323" spans="1:23" ht="12.75">
      <c r="A323" s="77">
        <v>320</v>
      </c>
      <c r="B323" s="78">
        <v>45995</v>
      </c>
      <c r="C323" s="81">
        <v>2025</v>
      </c>
      <c r="D323" s="98">
        <v>12</v>
      </c>
      <c r="E323" s="77" t="s">
        <v>865</v>
      </c>
      <c r="F323" s="80" t="s">
        <v>10</v>
      </c>
      <c r="G323" s="81" t="s">
        <v>866</v>
      </c>
      <c r="H323" s="123">
        <v>300</v>
      </c>
      <c r="I323" s="93"/>
      <c r="J323" s="77"/>
      <c r="K323" s="100" t="b">
        <v>1</v>
      </c>
      <c r="L323" s="100"/>
      <c r="M323" s="84"/>
      <c r="N323" s="100"/>
      <c r="O323" s="100"/>
      <c r="P323" s="76"/>
      <c r="Q323" s="76"/>
      <c r="R323" s="76"/>
      <c r="S323" s="76"/>
      <c r="T323" s="76"/>
      <c r="U323" s="76"/>
      <c r="V323" s="76"/>
      <c r="W323" s="76"/>
    </row>
    <row r="324" spans="1:23" ht="12.75">
      <c r="A324" s="77">
        <v>321</v>
      </c>
      <c r="B324" s="78">
        <v>45996</v>
      </c>
      <c r="C324" s="81">
        <v>2025</v>
      </c>
      <c r="D324" s="98">
        <v>12</v>
      </c>
      <c r="E324" s="77" t="s">
        <v>865</v>
      </c>
      <c r="F324" s="80" t="s">
        <v>10</v>
      </c>
      <c r="G324" s="81" t="s">
        <v>866</v>
      </c>
      <c r="H324" s="123">
        <v>96.264784784501359</v>
      </c>
      <c r="I324" s="93"/>
      <c r="J324" s="77"/>
      <c r="K324" s="100" t="b">
        <v>1</v>
      </c>
      <c r="L324" s="100"/>
      <c r="M324" s="84"/>
      <c r="N324" s="100"/>
      <c r="O324" s="100"/>
      <c r="P324" s="76"/>
      <c r="Q324" s="76"/>
      <c r="R324" s="76"/>
      <c r="S324" s="76"/>
      <c r="T324" s="76"/>
      <c r="U324" s="76"/>
      <c r="V324" s="76"/>
      <c r="W324" s="76"/>
    </row>
    <row r="325" spans="1:23" ht="12.75">
      <c r="A325" s="77">
        <v>322</v>
      </c>
      <c r="B325" s="78">
        <v>45996</v>
      </c>
      <c r="C325" s="81">
        <v>2025</v>
      </c>
      <c r="D325" s="98">
        <v>12</v>
      </c>
      <c r="E325" s="77" t="s">
        <v>865</v>
      </c>
      <c r="F325" s="80" t="s">
        <v>10</v>
      </c>
      <c r="G325" s="81" t="s">
        <v>866</v>
      </c>
      <c r="H325" s="123">
        <v>110</v>
      </c>
      <c r="I325" s="93"/>
      <c r="J325" s="77"/>
      <c r="K325" s="100" t="b">
        <v>1</v>
      </c>
      <c r="L325" s="100"/>
      <c r="M325" s="84"/>
      <c r="N325" s="100"/>
      <c r="O325" s="100"/>
      <c r="P325" s="76"/>
      <c r="Q325" s="76"/>
      <c r="R325" s="76"/>
      <c r="S325" s="76"/>
      <c r="T325" s="76"/>
      <c r="U325" s="76"/>
      <c r="V325" s="76"/>
      <c r="W325" s="76"/>
    </row>
    <row r="326" spans="1:23" ht="12.75">
      <c r="A326" s="77">
        <v>323</v>
      </c>
      <c r="B326" s="78">
        <v>45998</v>
      </c>
      <c r="C326" s="81">
        <v>2025</v>
      </c>
      <c r="D326" s="98">
        <v>12</v>
      </c>
      <c r="E326" s="77" t="s">
        <v>865</v>
      </c>
      <c r="F326" s="80" t="s">
        <v>10</v>
      </c>
      <c r="G326" s="81" t="s">
        <v>866</v>
      </c>
      <c r="H326" s="123">
        <v>3.99</v>
      </c>
      <c r="I326" s="93"/>
      <c r="J326" s="77"/>
      <c r="K326" s="100" t="b">
        <v>1</v>
      </c>
      <c r="L326" s="100"/>
      <c r="M326" s="84"/>
      <c r="N326" s="100"/>
      <c r="O326" s="100"/>
      <c r="P326" s="76"/>
      <c r="Q326" s="76"/>
      <c r="R326" s="76"/>
      <c r="S326" s="76"/>
      <c r="T326" s="76"/>
      <c r="U326" s="76"/>
      <c r="V326" s="76"/>
      <c r="W326" s="76"/>
    </row>
    <row r="327" spans="1:23" ht="12.75">
      <c r="A327" s="77">
        <v>324</v>
      </c>
      <c r="B327" s="78">
        <v>46000</v>
      </c>
      <c r="C327" s="81">
        <v>2025</v>
      </c>
      <c r="D327" s="98">
        <v>12</v>
      </c>
      <c r="E327" s="77" t="s">
        <v>865</v>
      </c>
      <c r="F327" s="80" t="s">
        <v>10</v>
      </c>
      <c r="G327" s="81" t="s">
        <v>866</v>
      </c>
      <c r="H327" s="123">
        <v>300</v>
      </c>
      <c r="I327" s="93"/>
      <c r="J327" s="77"/>
      <c r="K327" s="100" t="b">
        <v>1</v>
      </c>
      <c r="L327" s="100"/>
      <c r="M327" s="84"/>
      <c r="N327" s="100"/>
      <c r="O327" s="100"/>
      <c r="P327" s="76"/>
      <c r="Q327" s="76"/>
      <c r="R327" s="76"/>
      <c r="S327" s="76"/>
      <c r="T327" s="76"/>
      <c r="U327" s="76"/>
      <c r="V327" s="76"/>
      <c r="W327" s="76"/>
    </row>
    <row r="328" spans="1:23" ht="12.75">
      <c r="A328" s="77">
        <v>325</v>
      </c>
      <c r="B328" s="78">
        <v>46001</v>
      </c>
      <c r="C328" s="81">
        <v>2025</v>
      </c>
      <c r="D328" s="98">
        <v>12</v>
      </c>
      <c r="E328" s="77" t="s">
        <v>865</v>
      </c>
      <c r="F328" s="80" t="s">
        <v>10</v>
      </c>
      <c r="G328" s="81" t="s">
        <v>866</v>
      </c>
      <c r="H328" s="123">
        <v>600</v>
      </c>
      <c r="I328" s="93"/>
      <c r="J328" s="77"/>
      <c r="K328" s="100" t="b">
        <v>1</v>
      </c>
      <c r="L328" s="100"/>
      <c r="M328" s="84"/>
      <c r="N328" s="100"/>
      <c r="O328" s="100"/>
      <c r="P328" s="76"/>
      <c r="Q328" s="76"/>
      <c r="R328" s="76"/>
      <c r="S328" s="76"/>
      <c r="T328" s="76"/>
      <c r="U328" s="76"/>
      <c r="V328" s="76"/>
      <c r="W328" s="76"/>
    </row>
    <row r="329" spans="1:23" ht="12.75">
      <c r="A329" s="77">
        <v>326</v>
      </c>
      <c r="B329" s="78">
        <v>46005</v>
      </c>
      <c r="C329" s="81">
        <v>2025</v>
      </c>
      <c r="D329" s="98">
        <v>12</v>
      </c>
      <c r="E329" s="77" t="s">
        <v>865</v>
      </c>
      <c r="F329" s="80" t="s">
        <v>10</v>
      </c>
      <c r="G329" s="81" t="s">
        <v>866</v>
      </c>
      <c r="H329" s="123">
        <v>20.25</v>
      </c>
      <c r="I329" s="93"/>
      <c r="J329" s="77"/>
      <c r="K329" s="100" t="b">
        <v>1</v>
      </c>
      <c r="L329" s="100"/>
      <c r="M329" s="84"/>
      <c r="N329" s="100"/>
      <c r="O329" s="100"/>
      <c r="P329" s="76"/>
      <c r="Q329" s="76"/>
      <c r="R329" s="76"/>
      <c r="S329" s="76"/>
      <c r="T329" s="76"/>
      <c r="U329" s="76"/>
      <c r="V329" s="76"/>
      <c r="W329" s="76"/>
    </row>
    <row r="330" spans="1:23" ht="12.75">
      <c r="A330" s="77">
        <v>327</v>
      </c>
      <c r="B330" s="78">
        <v>46006</v>
      </c>
      <c r="C330" s="81">
        <v>2025</v>
      </c>
      <c r="D330" s="98">
        <v>12</v>
      </c>
      <c r="E330" s="77" t="s">
        <v>865</v>
      </c>
      <c r="F330" s="80" t="s">
        <v>10</v>
      </c>
      <c r="G330" s="81" t="s">
        <v>866</v>
      </c>
      <c r="H330" s="123">
        <v>13.59</v>
      </c>
      <c r="I330" s="93"/>
      <c r="J330" s="77"/>
      <c r="K330" s="100" t="b">
        <v>1</v>
      </c>
      <c r="L330" s="100"/>
      <c r="M330" s="84"/>
      <c r="N330" s="100"/>
      <c r="O330" s="100"/>
      <c r="P330" s="76"/>
      <c r="Q330" s="76"/>
      <c r="R330" s="76"/>
      <c r="S330" s="76"/>
      <c r="T330" s="76"/>
      <c r="U330" s="76"/>
      <c r="V330" s="76"/>
      <c r="W330" s="76"/>
    </row>
    <row r="331" spans="1:23" ht="12.75">
      <c r="A331" s="77">
        <v>328</v>
      </c>
      <c r="B331" s="78">
        <v>46007</v>
      </c>
      <c r="C331" s="81">
        <v>2025</v>
      </c>
      <c r="D331" s="98">
        <v>12</v>
      </c>
      <c r="E331" s="77" t="s">
        <v>865</v>
      </c>
      <c r="F331" s="80" t="s">
        <v>10</v>
      </c>
      <c r="G331" s="81" t="s">
        <v>866</v>
      </c>
      <c r="H331" s="123">
        <v>17.989999999999998</v>
      </c>
      <c r="I331" s="93"/>
      <c r="J331" s="77"/>
      <c r="K331" s="100" t="b">
        <v>1</v>
      </c>
      <c r="L331" s="100"/>
      <c r="M331" s="84"/>
      <c r="N331" s="100"/>
      <c r="O331" s="100"/>
      <c r="P331" s="76"/>
      <c r="Q331" s="76"/>
      <c r="R331" s="76"/>
      <c r="S331" s="76"/>
      <c r="T331" s="76"/>
      <c r="U331" s="76"/>
      <c r="V331" s="76"/>
      <c r="W331" s="76"/>
    </row>
    <row r="332" spans="1:23" ht="12.75">
      <c r="A332" s="77">
        <v>329</v>
      </c>
      <c r="B332" s="78">
        <v>46007</v>
      </c>
      <c r="C332" s="81">
        <v>2025</v>
      </c>
      <c r="D332" s="98">
        <v>12</v>
      </c>
      <c r="E332" s="77" t="s">
        <v>865</v>
      </c>
      <c r="F332" s="80" t="s">
        <v>10</v>
      </c>
      <c r="G332" s="81" t="s">
        <v>866</v>
      </c>
      <c r="H332" s="123">
        <v>59.99</v>
      </c>
      <c r="I332" s="93"/>
      <c r="J332" s="77"/>
      <c r="K332" s="100" t="b">
        <v>1</v>
      </c>
      <c r="L332" s="100"/>
      <c r="M332" s="84"/>
      <c r="N332" s="100"/>
      <c r="O332" s="100"/>
      <c r="P332" s="76"/>
      <c r="Q332" s="76"/>
      <c r="R332" s="76"/>
      <c r="S332" s="76"/>
      <c r="T332" s="76"/>
      <c r="U332" s="76"/>
      <c r="V332" s="76"/>
      <c r="W332" s="76"/>
    </row>
    <row r="333" spans="1:23" ht="12.75">
      <c r="A333" s="77">
        <v>330</v>
      </c>
      <c r="B333" s="78">
        <v>46007</v>
      </c>
      <c r="C333" s="81">
        <v>2025</v>
      </c>
      <c r="D333" s="98">
        <v>12</v>
      </c>
      <c r="E333" s="77" t="s">
        <v>865</v>
      </c>
      <c r="F333" s="80" t="s">
        <v>10</v>
      </c>
      <c r="G333" s="81" t="s">
        <v>866</v>
      </c>
      <c r="H333" s="123">
        <v>4.9893217729404498</v>
      </c>
      <c r="I333" s="93"/>
      <c r="J333" s="77"/>
      <c r="K333" s="100" t="b">
        <v>1</v>
      </c>
      <c r="L333" s="100"/>
      <c r="M333" s="84"/>
      <c r="N333" s="100"/>
      <c r="O333" s="100" t="s">
        <v>937</v>
      </c>
      <c r="P333" s="76"/>
      <c r="Q333" s="76"/>
      <c r="R333" s="76"/>
      <c r="S333" s="76"/>
      <c r="T333" s="76"/>
      <c r="U333" s="76"/>
      <c r="V333" s="76"/>
      <c r="W333" s="76"/>
    </row>
    <row r="334" spans="1:23" ht="12.75">
      <c r="A334" s="77">
        <v>331</v>
      </c>
      <c r="B334" s="78">
        <v>46007</v>
      </c>
      <c r="C334" s="81">
        <v>2025</v>
      </c>
      <c r="D334" s="98">
        <v>12</v>
      </c>
      <c r="E334" s="77" t="s">
        <v>865</v>
      </c>
      <c r="F334" s="80" t="s">
        <v>10</v>
      </c>
      <c r="G334" s="81" t="s">
        <v>866</v>
      </c>
      <c r="H334" s="123">
        <v>23.19</v>
      </c>
      <c r="I334" s="93"/>
      <c r="J334" s="77"/>
      <c r="K334" s="100" t="b">
        <v>1</v>
      </c>
      <c r="L334" s="100"/>
      <c r="M334" s="84"/>
      <c r="N334" s="100"/>
      <c r="O334" s="100"/>
      <c r="P334" s="76"/>
      <c r="Q334" s="76"/>
      <c r="R334" s="76"/>
      <c r="S334" s="76"/>
      <c r="T334" s="76"/>
      <c r="U334" s="76"/>
      <c r="V334" s="76"/>
      <c r="W334" s="76"/>
    </row>
    <row r="335" spans="1:23" ht="12.75">
      <c r="A335" s="77">
        <v>332</v>
      </c>
      <c r="B335" s="78">
        <v>46009</v>
      </c>
      <c r="C335" s="81">
        <v>2025</v>
      </c>
      <c r="D335" s="98">
        <v>12</v>
      </c>
      <c r="E335" s="77" t="s">
        <v>865</v>
      </c>
      <c r="F335" s="80" t="s">
        <v>10</v>
      </c>
      <c r="G335" s="81" t="s">
        <v>866</v>
      </c>
      <c r="H335" s="123">
        <v>11.18</v>
      </c>
      <c r="I335" s="93"/>
      <c r="J335" s="77"/>
      <c r="K335" s="100" t="b">
        <v>1</v>
      </c>
      <c r="L335" s="100"/>
      <c r="M335" s="84"/>
      <c r="N335" s="100"/>
      <c r="O335" s="100"/>
      <c r="P335" s="76"/>
      <c r="Q335" s="76"/>
      <c r="R335" s="76"/>
      <c r="S335" s="76"/>
      <c r="T335" s="76"/>
      <c r="U335" s="76"/>
      <c r="V335" s="76"/>
      <c r="W335" s="76"/>
    </row>
    <row r="336" spans="1:23" ht="12.75">
      <c r="A336" s="77">
        <v>333</v>
      </c>
      <c r="B336" s="78">
        <v>46009</v>
      </c>
      <c r="C336" s="81">
        <v>2025</v>
      </c>
      <c r="D336" s="98">
        <v>12</v>
      </c>
      <c r="E336" s="77" t="s">
        <v>865</v>
      </c>
      <c r="F336" s="80" t="s">
        <v>10</v>
      </c>
      <c r="G336" s="81" t="s">
        <v>866</v>
      </c>
      <c r="H336" s="123">
        <v>500.5</v>
      </c>
      <c r="I336" s="93"/>
      <c r="J336" s="77"/>
      <c r="K336" s="100" t="b">
        <v>1</v>
      </c>
      <c r="L336" s="100"/>
      <c r="M336" s="84"/>
      <c r="N336" s="100"/>
      <c r="O336" s="100"/>
      <c r="P336" s="76"/>
      <c r="Q336" s="76"/>
      <c r="R336" s="76"/>
      <c r="S336" s="76"/>
      <c r="T336" s="76"/>
      <c r="U336" s="76"/>
      <c r="V336" s="76"/>
      <c r="W336" s="76"/>
    </row>
    <row r="337" spans="1:23" ht="12.75">
      <c r="A337" s="77">
        <v>334</v>
      </c>
      <c r="B337" s="78">
        <v>46009</v>
      </c>
      <c r="C337" s="81">
        <v>2025</v>
      </c>
      <c r="D337" s="98">
        <v>12</v>
      </c>
      <c r="E337" s="77" t="s">
        <v>865</v>
      </c>
      <c r="F337" s="80" t="s">
        <v>10</v>
      </c>
      <c r="G337" s="81" t="s">
        <v>866</v>
      </c>
      <c r="H337" s="123">
        <v>110</v>
      </c>
      <c r="I337" s="93"/>
      <c r="J337" s="77"/>
      <c r="K337" s="100" t="b">
        <v>1</v>
      </c>
      <c r="L337" s="100"/>
      <c r="M337" s="84"/>
      <c r="N337" s="100"/>
      <c r="O337" s="100"/>
      <c r="P337" s="76"/>
      <c r="Q337" s="76"/>
      <c r="R337" s="76"/>
      <c r="S337" s="76"/>
      <c r="T337" s="76"/>
      <c r="U337" s="76"/>
      <c r="V337" s="76"/>
      <c r="W337" s="76"/>
    </row>
    <row r="338" spans="1:23" ht="12.75">
      <c r="A338" s="77">
        <v>335</v>
      </c>
      <c r="B338" s="78">
        <v>46010</v>
      </c>
      <c r="C338" s="81">
        <v>2025</v>
      </c>
      <c r="D338" s="98">
        <v>12</v>
      </c>
      <c r="E338" s="77" t="s">
        <v>865</v>
      </c>
      <c r="F338" s="80" t="s">
        <v>10</v>
      </c>
      <c r="G338" s="81" t="s">
        <v>866</v>
      </c>
      <c r="H338" s="123">
        <v>20.25</v>
      </c>
      <c r="I338" s="93"/>
      <c r="J338" s="77"/>
      <c r="K338" s="100" t="b">
        <v>1</v>
      </c>
      <c r="L338" s="100"/>
      <c r="M338" s="84"/>
      <c r="N338" s="100"/>
      <c r="O338" s="100"/>
      <c r="P338" s="76"/>
      <c r="Q338" s="76"/>
      <c r="R338" s="76"/>
      <c r="S338" s="76"/>
      <c r="T338" s="76"/>
      <c r="U338" s="76"/>
      <c r="V338" s="76"/>
      <c r="W338" s="76"/>
    </row>
    <row r="339" spans="1:23" ht="12.75">
      <c r="A339" s="77">
        <v>336</v>
      </c>
      <c r="B339" s="78">
        <v>46013</v>
      </c>
      <c r="C339" s="81">
        <v>2025</v>
      </c>
      <c r="D339" s="98">
        <v>12</v>
      </c>
      <c r="E339" s="77" t="s">
        <v>865</v>
      </c>
      <c r="F339" s="80" t="s">
        <v>10</v>
      </c>
      <c r="G339" s="81" t="s">
        <v>866</v>
      </c>
      <c r="H339" s="123">
        <v>9.49</v>
      </c>
      <c r="I339" s="93"/>
      <c r="J339" s="77"/>
      <c r="K339" s="100" t="b">
        <v>1</v>
      </c>
      <c r="L339" s="100"/>
      <c r="M339" s="84"/>
      <c r="N339" s="100"/>
      <c r="O339" s="100"/>
      <c r="P339" s="76"/>
      <c r="Q339" s="76"/>
      <c r="R339" s="76"/>
      <c r="S339" s="76"/>
      <c r="T339" s="76"/>
      <c r="U339" s="76"/>
      <c r="V339" s="76"/>
      <c r="W339" s="76"/>
    </row>
    <row r="340" spans="1:23" ht="12.75">
      <c r="A340" s="77">
        <v>337</v>
      </c>
      <c r="B340" s="78">
        <v>46013</v>
      </c>
      <c r="C340" s="81">
        <v>2025</v>
      </c>
      <c r="D340" s="98">
        <v>12</v>
      </c>
      <c r="E340" s="77" t="s">
        <v>865</v>
      </c>
      <c r="F340" s="80" t="s">
        <v>10</v>
      </c>
      <c r="G340" s="81" t="s">
        <v>866</v>
      </c>
      <c r="H340" s="123">
        <v>27.86</v>
      </c>
      <c r="I340" s="93"/>
      <c r="J340" s="77"/>
      <c r="K340" s="100" t="b">
        <v>1</v>
      </c>
      <c r="L340" s="100"/>
      <c r="M340" s="84"/>
      <c r="N340" s="100"/>
      <c r="O340" s="100"/>
      <c r="P340" s="76"/>
      <c r="Q340" s="76"/>
      <c r="R340" s="76"/>
      <c r="S340" s="76"/>
      <c r="T340" s="76"/>
      <c r="U340" s="76"/>
      <c r="V340" s="76"/>
      <c r="W340" s="76"/>
    </row>
    <row r="341" spans="1:23" ht="12.75">
      <c r="A341" s="77">
        <v>338</v>
      </c>
      <c r="B341" s="78">
        <v>46017</v>
      </c>
      <c r="C341" s="81">
        <v>2025</v>
      </c>
      <c r="D341" s="98">
        <v>12</v>
      </c>
      <c r="E341" s="77" t="s">
        <v>865</v>
      </c>
      <c r="F341" s="80" t="s">
        <v>10</v>
      </c>
      <c r="G341" s="81" t="s">
        <v>866</v>
      </c>
      <c r="H341" s="123">
        <v>3.99</v>
      </c>
      <c r="I341" s="93"/>
      <c r="J341" s="77"/>
      <c r="K341" s="100" t="b">
        <v>1</v>
      </c>
      <c r="L341" s="100"/>
      <c r="M341" s="84"/>
      <c r="N341" s="100"/>
      <c r="O341" s="100"/>
      <c r="P341" s="76"/>
      <c r="Q341" s="76"/>
      <c r="R341" s="76"/>
      <c r="S341" s="76"/>
      <c r="T341" s="76"/>
      <c r="U341" s="76"/>
      <c r="V341" s="76"/>
      <c r="W341" s="76"/>
    </row>
    <row r="342" spans="1:23" ht="12.75">
      <c r="A342" s="77">
        <v>339</v>
      </c>
      <c r="B342" s="78">
        <v>46018</v>
      </c>
      <c r="C342" s="81">
        <v>2025</v>
      </c>
      <c r="D342" s="98">
        <v>12</v>
      </c>
      <c r="E342" s="77" t="s">
        <v>865</v>
      </c>
      <c r="F342" s="80" t="s">
        <v>10</v>
      </c>
      <c r="G342" s="81" t="s">
        <v>866</v>
      </c>
      <c r="H342" s="123">
        <v>7.99</v>
      </c>
      <c r="I342" s="93"/>
      <c r="J342" s="77"/>
      <c r="K342" s="100" t="b">
        <v>1</v>
      </c>
      <c r="L342" s="100"/>
      <c r="M342" s="84"/>
      <c r="N342" s="100"/>
      <c r="O342" s="100"/>
      <c r="P342" s="76"/>
      <c r="Q342" s="76"/>
      <c r="R342" s="76"/>
      <c r="S342" s="76"/>
      <c r="T342" s="76"/>
      <c r="U342" s="76"/>
      <c r="V342" s="76"/>
      <c r="W342" s="76"/>
    </row>
    <row r="343" spans="1:23" ht="12.75">
      <c r="A343" s="77">
        <v>340</v>
      </c>
      <c r="B343" s="78">
        <v>46018</v>
      </c>
      <c r="C343" s="81">
        <v>2025</v>
      </c>
      <c r="D343" s="98">
        <v>12</v>
      </c>
      <c r="E343" s="77" t="s">
        <v>865</v>
      </c>
      <c r="F343" s="80" t="s">
        <v>10</v>
      </c>
      <c r="G343" s="81" t="s">
        <v>866</v>
      </c>
      <c r="H343" s="123">
        <v>20.25</v>
      </c>
      <c r="I343" s="93"/>
      <c r="J343" s="77"/>
      <c r="K343" s="100" t="b">
        <v>1</v>
      </c>
      <c r="L343" s="100"/>
      <c r="M343" s="84"/>
      <c r="N343" s="100"/>
      <c r="O343" s="100" t="s">
        <v>938</v>
      </c>
      <c r="P343" s="76"/>
      <c r="Q343" s="76"/>
      <c r="R343" s="76"/>
      <c r="S343" s="76"/>
      <c r="T343" s="76"/>
      <c r="U343" s="76"/>
      <c r="V343" s="76"/>
      <c r="W343" s="76"/>
    </row>
    <row r="344" spans="1:23" ht="12.75">
      <c r="A344" s="77">
        <v>341</v>
      </c>
      <c r="B344" s="78">
        <v>46022</v>
      </c>
      <c r="C344" s="81">
        <v>2025</v>
      </c>
      <c r="D344" s="98">
        <v>12</v>
      </c>
      <c r="E344" s="77" t="s">
        <v>865</v>
      </c>
      <c r="F344" s="80" t="s">
        <v>10</v>
      </c>
      <c r="G344" s="81" t="s">
        <v>866</v>
      </c>
      <c r="H344" s="123">
        <v>460</v>
      </c>
      <c r="I344" s="93"/>
      <c r="J344" s="77"/>
      <c r="K344" s="100" t="b">
        <v>1</v>
      </c>
      <c r="L344" s="100"/>
      <c r="M344" s="84"/>
      <c r="N344" s="100"/>
      <c r="O344" s="100"/>
      <c r="P344" s="76"/>
      <c r="Q344" s="76"/>
      <c r="R344" s="76"/>
      <c r="S344" s="76"/>
      <c r="T344" s="76"/>
      <c r="U344" s="76"/>
      <c r="V344" s="76"/>
      <c r="W344" s="76"/>
    </row>
    <row r="345" spans="1:23" ht="12.75">
      <c r="A345" s="77">
        <v>342</v>
      </c>
      <c r="B345" s="78">
        <v>45999</v>
      </c>
      <c r="C345" s="81">
        <v>2025</v>
      </c>
      <c r="D345" s="98">
        <v>12</v>
      </c>
      <c r="E345" s="77" t="s">
        <v>865</v>
      </c>
      <c r="F345" s="80" t="s">
        <v>10</v>
      </c>
      <c r="G345" s="81" t="s">
        <v>871</v>
      </c>
      <c r="H345" s="145"/>
      <c r="I345" s="93" t="s">
        <v>939</v>
      </c>
      <c r="J345" s="99" t="s">
        <v>867</v>
      </c>
      <c r="K345" s="132" t="b">
        <v>1</v>
      </c>
      <c r="L345" s="100"/>
      <c r="M345" s="84"/>
      <c r="N345" s="100"/>
      <c r="O345" s="100" t="s">
        <v>940</v>
      </c>
      <c r="P345" s="76"/>
      <c r="Q345" s="76"/>
      <c r="R345" s="76"/>
      <c r="S345" s="76"/>
      <c r="T345" s="76"/>
      <c r="U345" s="76"/>
      <c r="V345" s="76"/>
      <c r="W345" s="76"/>
    </row>
    <row r="346" spans="1:23" ht="12.75">
      <c r="A346" s="77"/>
      <c r="B346" s="78">
        <v>46002</v>
      </c>
      <c r="C346" s="81"/>
      <c r="D346" s="98"/>
      <c r="E346" s="77"/>
      <c r="F346" s="80"/>
      <c r="G346" s="81"/>
      <c r="H346" s="145"/>
      <c r="I346" s="93">
        <v>32.78</v>
      </c>
      <c r="J346" s="99"/>
      <c r="K346" s="132" t="b">
        <v>1</v>
      </c>
      <c r="L346" s="100"/>
      <c r="M346" s="84"/>
      <c r="N346" s="100"/>
      <c r="O346" s="100" t="s">
        <v>941</v>
      </c>
      <c r="P346" s="76"/>
      <c r="Q346" s="76"/>
      <c r="R346" s="76"/>
      <c r="S346" s="76"/>
      <c r="T346" s="76"/>
      <c r="U346" s="76"/>
      <c r="V346" s="76"/>
      <c r="W346" s="76"/>
    </row>
    <row r="347" spans="1:23" ht="12.75">
      <c r="A347" s="77">
        <v>343</v>
      </c>
      <c r="B347" s="78">
        <v>46014</v>
      </c>
      <c r="C347" s="81">
        <v>2025</v>
      </c>
      <c r="D347" s="98">
        <v>12</v>
      </c>
      <c r="E347" s="77" t="s">
        <v>865</v>
      </c>
      <c r="F347" s="80" t="s">
        <v>10</v>
      </c>
      <c r="G347" s="81" t="s">
        <v>871</v>
      </c>
      <c r="H347" s="145"/>
      <c r="I347" s="93" t="s">
        <v>942</v>
      </c>
      <c r="J347" s="99" t="s">
        <v>867</v>
      </c>
      <c r="K347" s="132" t="b">
        <v>1</v>
      </c>
      <c r="L347" s="100"/>
      <c r="M347" s="84"/>
      <c r="N347" s="100"/>
      <c r="O347" s="100" t="s">
        <v>943</v>
      </c>
      <c r="P347" s="76"/>
      <c r="Q347" s="76"/>
      <c r="R347" s="76"/>
      <c r="S347" s="76"/>
      <c r="T347" s="76"/>
      <c r="U347" s="76"/>
      <c r="V347" s="76"/>
      <c r="W347" s="76"/>
    </row>
    <row r="348" spans="1:23" ht="12.75">
      <c r="A348" s="77">
        <v>344</v>
      </c>
      <c r="B348" s="78">
        <v>46026</v>
      </c>
      <c r="C348" s="81">
        <v>2026</v>
      </c>
      <c r="D348" s="98">
        <v>1</v>
      </c>
      <c r="E348" s="77" t="s">
        <v>865</v>
      </c>
      <c r="F348" s="80" t="s">
        <v>10</v>
      </c>
      <c r="G348" s="81" t="s">
        <v>871</v>
      </c>
      <c r="H348" s="145"/>
      <c r="I348" s="146">
        <v>1778.8</v>
      </c>
      <c r="J348" s="99" t="s">
        <v>867</v>
      </c>
      <c r="K348" s="132" t="b">
        <v>1</v>
      </c>
      <c r="L348" s="100"/>
      <c r="M348" s="84"/>
      <c r="N348" s="100"/>
      <c r="O348" s="100" t="s">
        <v>944</v>
      </c>
      <c r="P348" s="76"/>
      <c r="Q348" s="76"/>
      <c r="R348" s="76"/>
      <c r="S348" s="76"/>
      <c r="T348" s="76"/>
      <c r="U348" s="76"/>
      <c r="V348" s="76"/>
      <c r="W348" s="76"/>
    </row>
    <row r="349" spans="1:23" ht="12.75">
      <c r="A349" s="77"/>
      <c r="B349" s="78"/>
      <c r="C349" s="81"/>
      <c r="D349" s="92"/>
      <c r="E349" s="77" t="s">
        <v>865</v>
      </c>
      <c r="F349" s="80" t="s">
        <v>10</v>
      </c>
      <c r="G349" s="81" t="s">
        <v>866</v>
      </c>
      <c r="H349" s="145"/>
      <c r="I349" s="93"/>
      <c r="J349" s="77"/>
      <c r="K349" s="100" t="b">
        <v>0</v>
      </c>
      <c r="L349" s="100"/>
      <c r="M349" s="84"/>
      <c r="N349" s="100"/>
      <c r="O349" s="100"/>
      <c r="P349" s="76"/>
      <c r="Q349" s="76"/>
      <c r="R349" s="76"/>
      <c r="S349" s="76"/>
      <c r="T349" s="76"/>
      <c r="U349" s="76"/>
      <c r="V349" s="76"/>
      <c r="W349" s="76"/>
    </row>
    <row r="350" spans="1:23" ht="12.75">
      <c r="A350" s="77"/>
      <c r="B350" s="78"/>
      <c r="C350" s="81"/>
      <c r="D350" s="92"/>
      <c r="E350" s="77" t="s">
        <v>865</v>
      </c>
      <c r="F350" s="80" t="s">
        <v>10</v>
      </c>
      <c r="G350" s="81" t="s">
        <v>866</v>
      </c>
      <c r="H350" s="145"/>
      <c r="I350" s="93"/>
      <c r="J350" s="77"/>
      <c r="K350" s="100" t="b">
        <v>0</v>
      </c>
      <c r="L350" s="100"/>
      <c r="M350" s="84"/>
      <c r="N350" s="100"/>
      <c r="O350" s="100"/>
      <c r="P350" s="76"/>
      <c r="Q350" s="76"/>
      <c r="R350" s="76"/>
      <c r="S350" s="76"/>
      <c r="T350" s="76"/>
      <c r="U350" s="76"/>
      <c r="V350" s="76"/>
      <c r="W350" s="76"/>
    </row>
    <row r="351" spans="1:23" ht="12.75">
      <c r="A351" s="77"/>
      <c r="B351" s="78"/>
      <c r="C351" s="81"/>
      <c r="D351" s="92"/>
      <c r="E351" s="77" t="s">
        <v>865</v>
      </c>
      <c r="F351" s="80" t="s">
        <v>10</v>
      </c>
      <c r="G351" s="81" t="s">
        <v>866</v>
      </c>
      <c r="H351" s="145"/>
      <c r="I351" s="93"/>
      <c r="J351" s="77"/>
      <c r="K351" s="100" t="b">
        <v>0</v>
      </c>
      <c r="L351" s="100"/>
      <c r="M351" s="84"/>
      <c r="N351" s="100"/>
      <c r="O351" s="100"/>
      <c r="P351" s="76"/>
      <c r="Q351" s="76"/>
      <c r="R351" s="76"/>
      <c r="S351" s="76"/>
      <c r="T351" s="76"/>
      <c r="U351" s="76"/>
      <c r="V351" s="76"/>
      <c r="W351" s="76"/>
    </row>
    <row r="352" spans="1:23" ht="12.75">
      <c r="A352" s="77"/>
      <c r="B352" s="78"/>
      <c r="C352" s="81"/>
      <c r="D352" s="92"/>
      <c r="E352" s="77" t="s">
        <v>865</v>
      </c>
      <c r="F352" s="80" t="s">
        <v>10</v>
      </c>
      <c r="G352" s="81" t="s">
        <v>866</v>
      </c>
      <c r="H352" s="145"/>
      <c r="I352" s="93"/>
      <c r="J352" s="77"/>
      <c r="K352" s="100" t="b">
        <v>0</v>
      </c>
      <c r="L352" s="100"/>
      <c r="M352" s="84"/>
      <c r="N352" s="100"/>
      <c r="O352" s="100"/>
      <c r="P352" s="76"/>
      <c r="Q352" s="76"/>
      <c r="R352" s="76"/>
      <c r="S352" s="76"/>
      <c r="T352" s="76"/>
      <c r="U352" s="76"/>
      <c r="V352" s="76"/>
      <c r="W352" s="76"/>
    </row>
    <row r="353" spans="1:23" ht="12.75">
      <c r="A353" s="77"/>
      <c r="B353" s="78"/>
      <c r="C353" s="81"/>
      <c r="D353" s="92"/>
      <c r="E353" s="77" t="s">
        <v>865</v>
      </c>
      <c r="F353" s="80" t="s">
        <v>10</v>
      </c>
      <c r="G353" s="81" t="s">
        <v>866</v>
      </c>
      <c r="H353" s="145"/>
      <c r="I353" s="93"/>
      <c r="J353" s="77"/>
      <c r="K353" s="100" t="b">
        <v>0</v>
      </c>
      <c r="L353" s="100"/>
      <c r="M353" s="84"/>
      <c r="N353" s="100"/>
      <c r="O353" s="100"/>
      <c r="P353" s="76"/>
      <c r="Q353" s="76"/>
      <c r="R353" s="76"/>
      <c r="S353" s="76"/>
      <c r="T353" s="76"/>
      <c r="U353" s="76"/>
      <c r="V353" s="76"/>
      <c r="W353" s="76"/>
    </row>
    <row r="354" spans="1:23" ht="12.75">
      <c r="A354" s="77"/>
      <c r="B354" s="78"/>
      <c r="C354" s="81"/>
      <c r="D354" s="92"/>
      <c r="E354" s="77" t="s">
        <v>865</v>
      </c>
      <c r="F354" s="80" t="s">
        <v>10</v>
      </c>
      <c r="G354" s="81" t="s">
        <v>866</v>
      </c>
      <c r="H354" s="145"/>
      <c r="I354" s="93"/>
      <c r="J354" s="77"/>
      <c r="K354" s="100" t="b">
        <v>0</v>
      </c>
      <c r="L354" s="100"/>
      <c r="M354" s="84"/>
      <c r="N354" s="100"/>
      <c r="O354" s="100"/>
      <c r="P354" s="76"/>
      <c r="Q354" s="76"/>
      <c r="R354" s="76"/>
      <c r="S354" s="76"/>
      <c r="T354" s="76"/>
      <c r="U354" s="76"/>
      <c r="V354" s="76"/>
      <c r="W354" s="76"/>
    </row>
    <row r="355" spans="1:23" ht="12.75">
      <c r="A355" s="77"/>
      <c r="B355" s="78"/>
      <c r="C355" s="81"/>
      <c r="D355" s="92"/>
      <c r="E355" s="77" t="s">
        <v>865</v>
      </c>
      <c r="F355" s="80" t="s">
        <v>10</v>
      </c>
      <c r="G355" s="81" t="s">
        <v>866</v>
      </c>
      <c r="H355" s="145"/>
      <c r="I355" s="93"/>
      <c r="J355" s="77"/>
      <c r="K355" s="100" t="b">
        <v>0</v>
      </c>
      <c r="L355" s="100"/>
      <c r="M355" s="84"/>
      <c r="N355" s="100"/>
      <c r="O355" s="100"/>
      <c r="P355" s="76"/>
      <c r="Q355" s="76"/>
      <c r="R355" s="76"/>
      <c r="S355" s="76"/>
      <c r="T355" s="76"/>
      <c r="U355" s="76"/>
      <c r="V355" s="76"/>
      <c r="W355" s="76"/>
    </row>
    <row r="356" spans="1:23" ht="12.75">
      <c r="A356" s="77"/>
      <c r="B356" s="78"/>
      <c r="C356" s="81"/>
      <c r="D356" s="92"/>
      <c r="E356" s="77" t="s">
        <v>865</v>
      </c>
      <c r="F356" s="80" t="s">
        <v>10</v>
      </c>
      <c r="G356" s="81" t="s">
        <v>866</v>
      </c>
      <c r="H356" s="145"/>
      <c r="I356" s="93"/>
      <c r="J356" s="77"/>
      <c r="K356" s="100" t="b">
        <v>0</v>
      </c>
      <c r="L356" s="100"/>
      <c r="M356" s="84"/>
      <c r="N356" s="100"/>
      <c r="O356" s="100"/>
      <c r="P356" s="76"/>
      <c r="Q356" s="76"/>
      <c r="R356" s="76"/>
      <c r="S356" s="76"/>
      <c r="T356" s="76"/>
      <c r="U356" s="76"/>
      <c r="V356" s="76"/>
      <c r="W356" s="76"/>
    </row>
    <row r="357" spans="1:23" ht="12.75">
      <c r="A357" s="362"/>
      <c r="B357" s="352"/>
      <c r="C357" s="352"/>
      <c r="D357" s="352"/>
      <c r="E357" s="352"/>
      <c r="F357" s="352"/>
      <c r="G357" s="353"/>
      <c r="H357" s="147">
        <f t="shared" ref="H357:I357" si="2">SUM(H16:H343)</f>
        <v>54392.109793302938</v>
      </c>
      <c r="I357" s="147">
        <f t="shared" si="2"/>
        <v>47893.31524647888</v>
      </c>
      <c r="J357" s="147">
        <f>H357-I357</f>
        <v>6498.7945468240578</v>
      </c>
      <c r="K357" s="100"/>
      <c r="L357" s="100"/>
      <c r="M357" s="84"/>
      <c r="N357" s="100"/>
      <c r="O357" s="100"/>
      <c r="P357" s="76"/>
      <c r="Q357" s="76"/>
      <c r="R357" s="76"/>
      <c r="S357" s="76"/>
      <c r="T357" s="76"/>
      <c r="U357" s="76"/>
      <c r="V357" s="76"/>
      <c r="W357" s="76"/>
    </row>
    <row r="358" spans="1:23" ht="12.75">
      <c r="A358" s="76"/>
      <c r="B358" s="76"/>
      <c r="C358" s="76"/>
      <c r="D358" s="69"/>
      <c r="E358" s="76"/>
      <c r="F358" s="76"/>
      <c r="G358" s="76"/>
      <c r="H358" s="76"/>
      <c r="I358" s="76"/>
      <c r="J358" s="76"/>
      <c r="K358" s="76"/>
      <c r="L358" s="76"/>
      <c r="M358" s="69"/>
      <c r="N358" s="76"/>
      <c r="O358" s="76"/>
      <c r="P358" s="76"/>
      <c r="Q358" s="76"/>
      <c r="R358" s="76"/>
      <c r="S358" s="76"/>
      <c r="T358" s="76"/>
      <c r="U358" s="76"/>
      <c r="V358" s="76"/>
      <c r="W358" s="76"/>
    </row>
    <row r="359" spans="1:23" ht="12.75">
      <c r="A359" s="76"/>
      <c r="B359" s="76"/>
      <c r="C359" s="76"/>
      <c r="D359" s="69"/>
      <c r="E359" s="76"/>
      <c r="F359" s="76"/>
      <c r="G359" s="76"/>
      <c r="H359" s="76"/>
      <c r="I359" s="76"/>
      <c r="J359" s="76"/>
      <c r="K359" s="76"/>
      <c r="L359" s="76"/>
      <c r="M359" s="69"/>
      <c r="N359" s="76"/>
      <c r="O359" s="76"/>
      <c r="P359" s="76"/>
      <c r="Q359" s="76"/>
      <c r="R359" s="76"/>
      <c r="S359" s="76"/>
      <c r="T359" s="76"/>
      <c r="U359" s="76"/>
      <c r="V359" s="76"/>
      <c r="W359" s="76"/>
    </row>
    <row r="360" spans="1:23" ht="12.75">
      <c r="A360" s="76"/>
      <c r="B360" s="76"/>
      <c r="C360" s="76"/>
      <c r="D360" s="69"/>
      <c r="E360" s="76"/>
      <c r="F360" s="76"/>
      <c r="G360" s="76"/>
      <c r="H360" s="76"/>
      <c r="I360" s="76"/>
      <c r="J360" s="76"/>
      <c r="K360" s="76"/>
      <c r="L360" s="76"/>
      <c r="M360" s="69"/>
      <c r="N360" s="76"/>
      <c r="O360" s="76"/>
      <c r="P360" s="76"/>
      <c r="Q360" s="76"/>
      <c r="R360" s="76"/>
      <c r="S360" s="76"/>
      <c r="T360" s="76"/>
      <c r="U360" s="76"/>
      <c r="V360" s="76"/>
      <c r="W360" s="76"/>
    </row>
    <row r="361" spans="1:23" ht="12.75">
      <c r="A361" s="76"/>
      <c r="B361" s="76"/>
      <c r="C361" s="76"/>
      <c r="D361" s="69"/>
      <c r="E361" s="76"/>
      <c r="F361" s="76"/>
      <c r="G361" s="76"/>
      <c r="H361" s="76"/>
      <c r="I361" s="76"/>
      <c r="J361" s="76"/>
      <c r="K361" s="76"/>
      <c r="L361" s="76"/>
      <c r="M361" s="69"/>
      <c r="N361" s="76"/>
      <c r="O361" s="76"/>
      <c r="P361" s="76"/>
      <c r="Q361" s="76"/>
      <c r="R361" s="76"/>
      <c r="S361" s="76"/>
      <c r="T361" s="76"/>
      <c r="U361" s="76"/>
      <c r="V361" s="76"/>
      <c r="W361" s="76"/>
    </row>
    <row r="362" spans="1:23" ht="12.75">
      <c r="A362" s="76"/>
      <c r="B362" s="76"/>
      <c r="C362" s="76"/>
      <c r="D362" s="69"/>
      <c r="E362" s="76"/>
      <c r="F362" s="76"/>
      <c r="G362" s="76"/>
      <c r="H362" s="76"/>
      <c r="I362" s="76"/>
      <c r="J362" s="76"/>
      <c r="K362" s="76"/>
      <c r="L362" s="76"/>
      <c r="M362" s="69"/>
      <c r="N362" s="76"/>
      <c r="O362" s="76"/>
      <c r="P362" s="76"/>
      <c r="Q362" s="76"/>
      <c r="R362" s="76"/>
      <c r="S362" s="76"/>
      <c r="T362" s="76"/>
      <c r="U362" s="76"/>
      <c r="V362" s="76"/>
      <c r="W362" s="76"/>
    </row>
    <row r="363" spans="1:23" ht="12.75">
      <c r="A363" s="76"/>
      <c r="B363" s="76"/>
      <c r="C363" s="76"/>
      <c r="D363" s="69"/>
      <c r="E363" s="76"/>
      <c r="F363" s="76"/>
      <c r="G363" s="76"/>
      <c r="H363" s="76"/>
      <c r="I363" s="76"/>
      <c r="J363" s="76"/>
      <c r="K363" s="76"/>
      <c r="L363" s="76"/>
      <c r="M363" s="69"/>
      <c r="N363" s="76"/>
      <c r="O363" s="76"/>
      <c r="P363" s="76"/>
      <c r="Q363" s="76"/>
      <c r="R363" s="76"/>
      <c r="S363" s="76"/>
      <c r="T363" s="76"/>
      <c r="U363" s="76"/>
      <c r="V363" s="76"/>
      <c r="W363" s="76"/>
    </row>
    <row r="364" spans="1:23" ht="12.75">
      <c r="A364" s="76"/>
      <c r="B364" s="76"/>
      <c r="C364" s="76"/>
      <c r="D364" s="69"/>
      <c r="E364" s="76"/>
      <c r="F364" s="76"/>
      <c r="G364" s="76"/>
      <c r="H364" s="76"/>
      <c r="I364" s="76"/>
      <c r="J364" s="76"/>
      <c r="K364" s="76"/>
      <c r="L364" s="76"/>
      <c r="M364" s="69"/>
      <c r="N364" s="76"/>
      <c r="O364" s="76"/>
      <c r="P364" s="76"/>
      <c r="Q364" s="76"/>
      <c r="R364" s="76"/>
      <c r="S364" s="76"/>
      <c r="T364" s="76"/>
      <c r="U364" s="76"/>
      <c r="V364" s="76"/>
      <c r="W364" s="76"/>
    </row>
    <row r="365" spans="1:23" ht="12.75">
      <c r="A365" s="76"/>
      <c r="B365" s="76"/>
      <c r="C365" s="76"/>
      <c r="D365" s="69"/>
      <c r="E365" s="76"/>
      <c r="F365" s="76"/>
      <c r="G365" s="76"/>
      <c r="H365" s="76"/>
      <c r="I365" s="76"/>
      <c r="J365" s="76"/>
      <c r="K365" s="76"/>
      <c r="L365" s="76"/>
      <c r="M365" s="69"/>
      <c r="N365" s="76"/>
      <c r="O365" s="76"/>
      <c r="P365" s="76"/>
      <c r="Q365" s="76"/>
      <c r="R365" s="76"/>
      <c r="S365" s="76"/>
      <c r="T365" s="76"/>
      <c r="U365" s="76"/>
      <c r="V365" s="76"/>
      <c r="W365" s="76"/>
    </row>
    <row r="366" spans="1:23" ht="12.75">
      <c r="A366" s="76"/>
      <c r="B366" s="76"/>
      <c r="C366" s="76"/>
      <c r="D366" s="69"/>
      <c r="E366" s="76"/>
      <c r="F366" s="76"/>
      <c r="G366" s="76"/>
      <c r="H366" s="76"/>
      <c r="I366" s="76"/>
      <c r="J366" s="76"/>
      <c r="K366" s="76"/>
      <c r="L366" s="76"/>
      <c r="M366" s="69"/>
      <c r="N366" s="76"/>
      <c r="O366" s="76"/>
      <c r="P366" s="76"/>
      <c r="Q366" s="76"/>
      <c r="R366" s="76"/>
      <c r="S366" s="76"/>
      <c r="T366" s="76"/>
      <c r="U366" s="76"/>
      <c r="V366" s="76"/>
      <c r="W366" s="76"/>
    </row>
    <row r="367" spans="1:23" ht="12.75">
      <c r="A367" s="76"/>
      <c r="B367" s="76"/>
      <c r="C367" s="76"/>
      <c r="D367" s="69"/>
      <c r="E367" s="76"/>
      <c r="F367" s="76"/>
      <c r="G367" s="76"/>
      <c r="H367" s="76"/>
      <c r="I367" s="76"/>
      <c r="J367" s="76"/>
      <c r="K367" s="76"/>
      <c r="L367" s="76"/>
      <c r="M367" s="69"/>
      <c r="N367" s="76"/>
      <c r="O367" s="76"/>
      <c r="P367" s="76"/>
      <c r="Q367" s="76"/>
      <c r="R367" s="76"/>
      <c r="S367" s="76"/>
      <c r="T367" s="76"/>
      <c r="U367" s="76"/>
      <c r="V367" s="76"/>
      <c r="W367" s="76"/>
    </row>
    <row r="368" spans="1:23" ht="12.75">
      <c r="A368" s="76"/>
      <c r="B368" s="76"/>
      <c r="C368" s="76"/>
      <c r="D368" s="69"/>
      <c r="E368" s="76"/>
      <c r="F368" s="76"/>
      <c r="G368" s="76"/>
      <c r="H368" s="76"/>
      <c r="I368" s="76"/>
      <c r="J368" s="76"/>
      <c r="K368" s="76"/>
      <c r="L368" s="76"/>
      <c r="M368" s="69"/>
      <c r="N368" s="76"/>
      <c r="O368" s="76"/>
      <c r="P368" s="76"/>
      <c r="Q368" s="76"/>
      <c r="R368" s="76"/>
      <c r="S368" s="76"/>
      <c r="T368" s="76"/>
      <c r="U368" s="76"/>
      <c r="V368" s="76"/>
      <c r="W368" s="76"/>
    </row>
    <row r="369" spans="1:23" ht="12.75">
      <c r="A369" s="76"/>
      <c r="B369" s="76"/>
      <c r="C369" s="76"/>
      <c r="D369" s="69"/>
      <c r="E369" s="76"/>
      <c r="F369" s="76"/>
      <c r="G369" s="76"/>
      <c r="H369" s="76"/>
      <c r="I369" s="76"/>
      <c r="J369" s="76"/>
      <c r="K369" s="76"/>
      <c r="L369" s="76"/>
      <c r="M369" s="69"/>
      <c r="N369" s="76"/>
      <c r="O369" s="76"/>
      <c r="P369" s="76"/>
      <c r="Q369" s="76"/>
      <c r="R369" s="76"/>
      <c r="S369" s="76"/>
      <c r="T369" s="76"/>
      <c r="U369" s="76"/>
      <c r="V369" s="76"/>
      <c r="W369" s="76"/>
    </row>
    <row r="370" spans="1:23" ht="12.75">
      <c r="A370" s="76"/>
      <c r="B370" s="76"/>
      <c r="C370" s="76"/>
      <c r="D370" s="69"/>
      <c r="E370" s="76"/>
      <c r="F370" s="76"/>
      <c r="G370" s="76"/>
      <c r="H370" s="76"/>
      <c r="I370" s="76"/>
      <c r="J370" s="76"/>
      <c r="K370" s="76"/>
      <c r="L370" s="76"/>
      <c r="M370" s="69"/>
      <c r="N370" s="76"/>
      <c r="O370" s="76"/>
      <c r="P370" s="76"/>
      <c r="Q370" s="76"/>
      <c r="R370" s="76"/>
      <c r="S370" s="76"/>
      <c r="T370" s="76"/>
      <c r="U370" s="76"/>
      <c r="V370" s="76"/>
      <c r="W370" s="76"/>
    </row>
    <row r="371" spans="1:23" ht="12.75">
      <c r="A371" s="76"/>
      <c r="B371" s="76"/>
      <c r="C371" s="76"/>
      <c r="D371" s="69"/>
      <c r="E371" s="76"/>
      <c r="F371" s="76"/>
      <c r="G371" s="76"/>
      <c r="H371" s="76"/>
      <c r="I371" s="76"/>
      <c r="J371" s="76"/>
      <c r="K371" s="76"/>
      <c r="L371" s="76"/>
      <c r="M371" s="69"/>
      <c r="N371" s="76"/>
      <c r="O371" s="76"/>
      <c r="P371" s="76"/>
      <c r="Q371" s="76"/>
      <c r="R371" s="76"/>
      <c r="S371" s="76"/>
      <c r="T371" s="76"/>
      <c r="U371" s="76"/>
      <c r="V371" s="76"/>
      <c r="W371" s="76"/>
    </row>
    <row r="372" spans="1:23" ht="12.75">
      <c r="A372" s="76"/>
      <c r="B372" s="76"/>
      <c r="C372" s="76"/>
      <c r="D372" s="69"/>
      <c r="E372" s="76"/>
      <c r="F372" s="76"/>
      <c r="G372" s="76"/>
      <c r="H372" s="76"/>
      <c r="I372" s="76"/>
      <c r="J372" s="76"/>
      <c r="K372" s="76"/>
      <c r="L372" s="76"/>
      <c r="M372" s="69"/>
      <c r="N372" s="76"/>
      <c r="O372" s="76"/>
      <c r="P372" s="76"/>
      <c r="Q372" s="76"/>
      <c r="R372" s="76"/>
      <c r="S372" s="76"/>
      <c r="T372" s="76"/>
      <c r="U372" s="76"/>
      <c r="V372" s="76"/>
      <c r="W372" s="76"/>
    </row>
    <row r="373" spans="1:23" ht="12.75">
      <c r="A373" s="76"/>
      <c r="B373" s="76"/>
      <c r="C373" s="76"/>
      <c r="D373" s="69"/>
      <c r="E373" s="76"/>
      <c r="F373" s="76"/>
      <c r="G373" s="76"/>
      <c r="H373" s="76"/>
      <c r="I373" s="76"/>
      <c r="J373" s="76"/>
      <c r="K373" s="76"/>
      <c r="L373" s="76"/>
      <c r="M373" s="69"/>
      <c r="N373" s="76"/>
      <c r="O373" s="76"/>
      <c r="P373" s="76"/>
      <c r="Q373" s="76"/>
      <c r="R373" s="76"/>
      <c r="S373" s="76"/>
      <c r="T373" s="76"/>
      <c r="U373" s="76"/>
      <c r="V373" s="76"/>
      <c r="W373" s="76"/>
    </row>
    <row r="374" spans="1:23" ht="12.75">
      <c r="A374" s="76"/>
      <c r="B374" s="76"/>
      <c r="C374" s="76"/>
      <c r="D374" s="69"/>
      <c r="E374" s="76"/>
      <c r="F374" s="76"/>
      <c r="G374" s="76"/>
      <c r="H374" s="76"/>
      <c r="I374" s="76"/>
      <c r="J374" s="76"/>
      <c r="K374" s="76"/>
      <c r="L374" s="76"/>
      <c r="M374" s="69"/>
      <c r="N374" s="76"/>
      <c r="O374" s="76"/>
      <c r="P374" s="76"/>
      <c r="Q374" s="76"/>
      <c r="R374" s="76"/>
      <c r="S374" s="76"/>
      <c r="T374" s="76"/>
      <c r="U374" s="76"/>
      <c r="V374" s="76"/>
      <c r="W374" s="76"/>
    </row>
    <row r="375" spans="1:23" ht="12.75">
      <c r="A375" s="76"/>
      <c r="B375" s="76"/>
      <c r="C375" s="76"/>
      <c r="D375" s="69"/>
      <c r="E375" s="76"/>
      <c r="F375" s="76"/>
      <c r="G375" s="76"/>
      <c r="H375" s="76"/>
      <c r="I375" s="76"/>
      <c r="J375" s="76"/>
      <c r="K375" s="76"/>
      <c r="L375" s="76"/>
      <c r="M375" s="69"/>
      <c r="N375" s="76"/>
      <c r="O375" s="76"/>
      <c r="P375" s="76"/>
      <c r="Q375" s="76"/>
      <c r="R375" s="76"/>
      <c r="S375" s="76"/>
      <c r="T375" s="76"/>
      <c r="U375" s="76"/>
      <c r="V375" s="76"/>
      <c r="W375" s="76"/>
    </row>
    <row r="376" spans="1:23" ht="12.75">
      <c r="A376" s="76"/>
      <c r="B376" s="76"/>
      <c r="C376" s="76"/>
      <c r="D376" s="69"/>
      <c r="E376" s="76"/>
      <c r="F376" s="76"/>
      <c r="G376" s="76"/>
      <c r="H376" s="76"/>
      <c r="I376" s="76"/>
      <c r="J376" s="76"/>
      <c r="K376" s="76"/>
      <c r="L376" s="76"/>
      <c r="M376" s="69"/>
      <c r="N376" s="76"/>
      <c r="O376" s="76"/>
      <c r="P376" s="76"/>
      <c r="Q376" s="76"/>
      <c r="R376" s="76"/>
      <c r="S376" s="76"/>
      <c r="T376" s="76"/>
      <c r="U376" s="76"/>
      <c r="V376" s="76"/>
      <c r="W376" s="76"/>
    </row>
    <row r="377" spans="1:23" ht="12.75">
      <c r="A377" s="76"/>
      <c r="B377" s="76"/>
      <c r="C377" s="76"/>
      <c r="D377" s="69"/>
      <c r="E377" s="76"/>
      <c r="F377" s="76"/>
      <c r="G377" s="76"/>
      <c r="H377" s="76"/>
      <c r="I377" s="76"/>
      <c r="J377" s="76"/>
      <c r="K377" s="76"/>
      <c r="L377" s="76"/>
      <c r="M377" s="69"/>
      <c r="N377" s="76"/>
      <c r="O377" s="76"/>
      <c r="P377" s="76"/>
      <c r="Q377" s="76"/>
      <c r="R377" s="76"/>
      <c r="S377" s="76"/>
      <c r="T377" s="76"/>
      <c r="U377" s="76"/>
      <c r="V377" s="76"/>
      <c r="W377" s="76"/>
    </row>
    <row r="378" spans="1:23" ht="12.75">
      <c r="A378" s="76"/>
      <c r="B378" s="76"/>
      <c r="C378" s="76"/>
      <c r="D378" s="69"/>
      <c r="E378" s="76"/>
      <c r="F378" s="76"/>
      <c r="G378" s="76"/>
      <c r="H378" s="76"/>
      <c r="I378" s="76"/>
      <c r="J378" s="76"/>
      <c r="K378" s="76"/>
      <c r="L378" s="76"/>
      <c r="M378" s="69"/>
      <c r="N378" s="76"/>
      <c r="O378" s="76"/>
      <c r="P378" s="76"/>
      <c r="Q378" s="76"/>
      <c r="R378" s="76"/>
      <c r="S378" s="76"/>
      <c r="T378" s="76"/>
      <c r="U378" s="76"/>
      <c r="V378" s="76"/>
      <c r="W378" s="76"/>
    </row>
    <row r="379" spans="1:23" ht="12.75">
      <c r="A379" s="76"/>
      <c r="B379" s="76"/>
      <c r="C379" s="76"/>
      <c r="D379" s="69"/>
      <c r="E379" s="76"/>
      <c r="F379" s="76"/>
      <c r="G379" s="76"/>
      <c r="H379" s="76"/>
      <c r="I379" s="76"/>
      <c r="J379" s="76"/>
      <c r="K379" s="76"/>
      <c r="L379" s="76"/>
      <c r="M379" s="69"/>
      <c r="N379" s="76"/>
      <c r="O379" s="76"/>
      <c r="P379" s="76"/>
      <c r="Q379" s="76"/>
      <c r="R379" s="76"/>
      <c r="S379" s="76"/>
      <c r="T379" s="76"/>
      <c r="U379" s="76"/>
      <c r="V379" s="76"/>
      <c r="W379" s="76"/>
    </row>
    <row r="380" spans="1:23" ht="12.75">
      <c r="A380" s="76"/>
      <c r="B380" s="76"/>
      <c r="C380" s="76"/>
      <c r="D380" s="69"/>
      <c r="E380" s="76"/>
      <c r="F380" s="76"/>
      <c r="G380" s="76"/>
      <c r="H380" s="76"/>
      <c r="I380" s="76"/>
      <c r="J380" s="76"/>
      <c r="K380" s="76"/>
      <c r="L380" s="76"/>
      <c r="M380" s="69"/>
      <c r="N380" s="76"/>
      <c r="O380" s="76"/>
      <c r="P380" s="76"/>
      <c r="Q380" s="76"/>
      <c r="R380" s="76"/>
      <c r="S380" s="76"/>
      <c r="T380" s="76"/>
      <c r="U380" s="76"/>
      <c r="V380" s="76"/>
      <c r="W380" s="76"/>
    </row>
    <row r="381" spans="1:23" ht="12.75">
      <c r="A381" s="76"/>
      <c r="B381" s="76"/>
      <c r="C381" s="76"/>
      <c r="D381" s="69"/>
      <c r="E381" s="76"/>
      <c r="F381" s="76"/>
      <c r="G381" s="76"/>
      <c r="H381" s="76"/>
      <c r="I381" s="76"/>
      <c r="J381" s="76"/>
      <c r="K381" s="76"/>
      <c r="L381" s="76"/>
      <c r="M381" s="69"/>
      <c r="N381" s="76"/>
      <c r="O381" s="76"/>
      <c r="P381" s="76"/>
      <c r="Q381" s="76"/>
      <c r="R381" s="76"/>
      <c r="S381" s="76"/>
      <c r="T381" s="76"/>
      <c r="U381" s="76"/>
      <c r="V381" s="76"/>
      <c r="W381" s="76"/>
    </row>
    <row r="382" spans="1:23" ht="12.75">
      <c r="A382" s="76"/>
      <c r="B382" s="76"/>
      <c r="C382" s="76"/>
      <c r="D382" s="69"/>
      <c r="E382" s="76"/>
      <c r="F382" s="76"/>
      <c r="G382" s="76"/>
      <c r="H382" s="76"/>
      <c r="I382" s="76"/>
      <c r="J382" s="76"/>
      <c r="K382" s="76"/>
      <c r="L382" s="76"/>
      <c r="M382" s="69"/>
      <c r="N382" s="76"/>
      <c r="O382" s="76"/>
      <c r="P382" s="76"/>
      <c r="Q382" s="76"/>
      <c r="R382" s="76"/>
      <c r="S382" s="76"/>
      <c r="T382" s="76"/>
      <c r="U382" s="76"/>
      <c r="V382" s="76"/>
      <c r="W382" s="76"/>
    </row>
    <row r="383" spans="1:23" ht="12.75">
      <c r="A383" s="76"/>
      <c r="B383" s="76"/>
      <c r="C383" s="76"/>
      <c r="D383" s="69"/>
      <c r="E383" s="76"/>
      <c r="F383" s="76"/>
      <c r="G383" s="76"/>
      <c r="H383" s="76"/>
      <c r="I383" s="76"/>
      <c r="J383" s="76"/>
      <c r="K383" s="76"/>
      <c r="L383" s="76"/>
      <c r="M383" s="69"/>
      <c r="N383" s="76"/>
      <c r="O383" s="76"/>
      <c r="P383" s="76"/>
      <c r="Q383" s="76"/>
      <c r="R383" s="76"/>
      <c r="S383" s="76"/>
      <c r="T383" s="76"/>
      <c r="U383" s="76"/>
      <c r="V383" s="76"/>
      <c r="W383" s="76"/>
    </row>
    <row r="384" spans="1:23" ht="12.75">
      <c r="A384" s="76"/>
      <c r="B384" s="76"/>
      <c r="C384" s="76"/>
      <c r="D384" s="69"/>
      <c r="E384" s="76"/>
      <c r="F384" s="76"/>
      <c r="G384" s="76"/>
      <c r="H384" s="76"/>
      <c r="I384" s="76"/>
      <c r="J384" s="76"/>
      <c r="K384" s="76"/>
      <c r="L384" s="76"/>
      <c r="M384" s="69"/>
      <c r="N384" s="76"/>
      <c r="O384" s="76"/>
      <c r="P384" s="76"/>
      <c r="Q384" s="76"/>
      <c r="R384" s="76"/>
      <c r="S384" s="76"/>
      <c r="T384" s="76"/>
      <c r="U384" s="76"/>
      <c r="V384" s="76"/>
      <c r="W384" s="76"/>
    </row>
    <row r="385" spans="1:23" ht="12.75">
      <c r="A385" s="76"/>
      <c r="B385" s="76"/>
      <c r="C385" s="76"/>
      <c r="D385" s="69"/>
      <c r="E385" s="76"/>
      <c r="F385" s="76"/>
      <c r="G385" s="76"/>
      <c r="H385" s="76"/>
      <c r="I385" s="76"/>
      <c r="J385" s="76"/>
      <c r="K385" s="76"/>
      <c r="L385" s="76"/>
      <c r="M385" s="69"/>
      <c r="N385" s="76"/>
      <c r="O385" s="76"/>
      <c r="P385" s="76"/>
      <c r="Q385" s="76"/>
      <c r="R385" s="76"/>
      <c r="S385" s="76"/>
      <c r="T385" s="76"/>
      <c r="U385" s="76"/>
      <c r="V385" s="76"/>
      <c r="W385" s="76"/>
    </row>
    <row r="386" spans="1:23" ht="12.75">
      <c r="A386" s="76"/>
      <c r="B386" s="76"/>
      <c r="C386" s="76"/>
      <c r="D386" s="69"/>
      <c r="E386" s="76"/>
      <c r="F386" s="76"/>
      <c r="G386" s="76"/>
      <c r="H386" s="76"/>
      <c r="I386" s="76"/>
      <c r="J386" s="76"/>
      <c r="K386" s="76"/>
      <c r="L386" s="76"/>
      <c r="M386" s="69"/>
      <c r="N386" s="76"/>
      <c r="O386" s="76"/>
      <c r="P386" s="76"/>
      <c r="Q386" s="76"/>
      <c r="R386" s="76"/>
      <c r="S386" s="76"/>
      <c r="T386" s="76"/>
      <c r="U386" s="76"/>
      <c r="V386" s="76"/>
      <c r="W386" s="76"/>
    </row>
    <row r="387" spans="1:23" ht="12.75">
      <c r="A387" s="76"/>
      <c r="B387" s="76"/>
      <c r="C387" s="76"/>
      <c r="D387" s="69"/>
      <c r="E387" s="76"/>
      <c r="F387" s="76"/>
      <c r="G387" s="76"/>
      <c r="H387" s="76"/>
      <c r="I387" s="76"/>
      <c r="J387" s="76"/>
      <c r="K387" s="76"/>
      <c r="L387" s="76"/>
      <c r="M387" s="69"/>
      <c r="N387" s="76"/>
      <c r="O387" s="76"/>
      <c r="P387" s="76"/>
      <c r="Q387" s="76"/>
      <c r="R387" s="76"/>
      <c r="S387" s="76"/>
      <c r="T387" s="76"/>
      <c r="U387" s="76"/>
      <c r="V387" s="76"/>
      <c r="W387" s="76"/>
    </row>
    <row r="388" spans="1:23" ht="12.75">
      <c r="A388" s="76"/>
      <c r="B388" s="76"/>
      <c r="C388" s="76"/>
      <c r="D388" s="69"/>
      <c r="E388" s="76"/>
      <c r="F388" s="76"/>
      <c r="G388" s="76"/>
      <c r="H388" s="76"/>
      <c r="I388" s="76"/>
      <c r="J388" s="76"/>
      <c r="K388" s="76"/>
      <c r="L388" s="76"/>
      <c r="M388" s="69"/>
      <c r="N388" s="76"/>
      <c r="O388" s="76"/>
      <c r="P388" s="76"/>
      <c r="Q388" s="76"/>
      <c r="R388" s="76"/>
      <c r="S388" s="76"/>
      <c r="T388" s="76"/>
      <c r="U388" s="76"/>
      <c r="V388" s="76"/>
      <c r="W388" s="76"/>
    </row>
    <row r="389" spans="1:23" ht="12.75">
      <c r="A389" s="76"/>
      <c r="B389" s="76"/>
      <c r="C389" s="76"/>
      <c r="D389" s="69"/>
      <c r="E389" s="76"/>
      <c r="F389" s="76"/>
      <c r="G389" s="76"/>
      <c r="H389" s="76"/>
      <c r="I389" s="76"/>
      <c r="J389" s="76"/>
      <c r="K389" s="76"/>
      <c r="L389" s="76"/>
      <c r="M389" s="69"/>
      <c r="N389" s="76"/>
      <c r="O389" s="76"/>
      <c r="P389" s="76"/>
      <c r="Q389" s="76"/>
      <c r="R389" s="76"/>
      <c r="S389" s="76"/>
      <c r="T389" s="76"/>
      <c r="U389" s="76"/>
      <c r="V389" s="76"/>
      <c r="W389" s="76"/>
    </row>
    <row r="390" spans="1:23" ht="12.75">
      <c r="A390" s="76"/>
      <c r="B390" s="76"/>
      <c r="C390" s="76"/>
      <c r="D390" s="69"/>
      <c r="E390" s="76"/>
      <c r="F390" s="76"/>
      <c r="G390" s="76"/>
      <c r="H390" s="76"/>
      <c r="I390" s="76"/>
      <c r="J390" s="76"/>
      <c r="K390" s="76"/>
      <c r="L390" s="76"/>
      <c r="M390" s="69"/>
      <c r="N390" s="76"/>
      <c r="O390" s="76"/>
      <c r="P390" s="76"/>
      <c r="Q390" s="76"/>
      <c r="R390" s="76"/>
      <c r="S390" s="76"/>
      <c r="T390" s="76"/>
      <c r="U390" s="76"/>
      <c r="V390" s="76"/>
      <c r="W390" s="76"/>
    </row>
    <row r="391" spans="1:23" ht="12.75">
      <c r="A391" s="76"/>
      <c r="B391" s="76"/>
      <c r="C391" s="76"/>
      <c r="D391" s="69"/>
      <c r="E391" s="76"/>
      <c r="F391" s="76"/>
      <c r="G391" s="76"/>
      <c r="H391" s="76"/>
      <c r="I391" s="76"/>
      <c r="J391" s="76"/>
      <c r="K391" s="76"/>
      <c r="L391" s="76"/>
      <c r="M391" s="69"/>
      <c r="N391" s="76"/>
      <c r="O391" s="76"/>
      <c r="P391" s="76"/>
      <c r="Q391" s="76"/>
      <c r="R391" s="76"/>
      <c r="S391" s="76"/>
      <c r="T391" s="76"/>
      <c r="U391" s="76"/>
      <c r="V391" s="76"/>
      <c r="W391" s="76"/>
    </row>
    <row r="392" spans="1:23" ht="12.75">
      <c r="A392" s="76"/>
      <c r="B392" s="76"/>
      <c r="C392" s="76"/>
      <c r="D392" s="69"/>
      <c r="E392" s="76"/>
      <c r="F392" s="76"/>
      <c r="G392" s="76"/>
      <c r="H392" s="76"/>
      <c r="I392" s="76"/>
      <c r="J392" s="76"/>
      <c r="K392" s="76"/>
      <c r="L392" s="76"/>
      <c r="M392" s="69"/>
      <c r="N392" s="76"/>
      <c r="O392" s="76"/>
      <c r="P392" s="76"/>
      <c r="Q392" s="76"/>
      <c r="R392" s="76"/>
      <c r="S392" s="76"/>
      <c r="T392" s="76"/>
      <c r="U392" s="76"/>
      <c r="V392" s="76"/>
      <c r="W392" s="76"/>
    </row>
    <row r="393" spans="1:23" ht="12.75">
      <c r="A393" s="76"/>
      <c r="B393" s="76"/>
      <c r="C393" s="76"/>
      <c r="D393" s="69"/>
      <c r="E393" s="76"/>
      <c r="F393" s="76"/>
      <c r="G393" s="76"/>
      <c r="H393" s="76"/>
      <c r="I393" s="76"/>
      <c r="J393" s="76"/>
      <c r="K393" s="76"/>
      <c r="L393" s="76"/>
      <c r="M393" s="69"/>
      <c r="N393" s="76"/>
      <c r="O393" s="76"/>
      <c r="P393" s="76"/>
      <c r="Q393" s="76"/>
      <c r="R393" s="76"/>
      <c r="S393" s="76"/>
      <c r="T393" s="76"/>
      <c r="U393" s="76"/>
      <c r="V393" s="76"/>
      <c r="W393" s="76"/>
    </row>
    <row r="394" spans="1:23" ht="12.75">
      <c r="A394" s="76"/>
      <c r="B394" s="76"/>
      <c r="C394" s="76"/>
      <c r="D394" s="69"/>
      <c r="E394" s="76"/>
      <c r="F394" s="76"/>
      <c r="G394" s="76"/>
      <c r="H394" s="76"/>
      <c r="I394" s="76"/>
      <c r="J394" s="76"/>
      <c r="K394" s="76"/>
      <c r="L394" s="76"/>
      <c r="M394" s="69"/>
      <c r="N394" s="76"/>
      <c r="O394" s="76"/>
      <c r="P394" s="76"/>
      <c r="Q394" s="76"/>
      <c r="R394" s="76"/>
      <c r="S394" s="76"/>
      <c r="T394" s="76"/>
      <c r="U394" s="76"/>
      <c r="V394" s="76"/>
      <c r="W394" s="76"/>
    </row>
    <row r="395" spans="1:23" ht="12.75">
      <c r="A395" s="76"/>
      <c r="B395" s="76"/>
      <c r="C395" s="76"/>
      <c r="D395" s="69"/>
      <c r="E395" s="76"/>
      <c r="F395" s="76"/>
      <c r="G395" s="76"/>
      <c r="H395" s="76"/>
      <c r="I395" s="76"/>
      <c r="J395" s="76"/>
      <c r="K395" s="76"/>
      <c r="L395" s="76"/>
      <c r="M395" s="69"/>
      <c r="N395" s="76"/>
      <c r="O395" s="76"/>
      <c r="P395" s="76"/>
      <c r="Q395" s="76"/>
      <c r="R395" s="76"/>
      <c r="S395" s="76"/>
      <c r="T395" s="76"/>
      <c r="U395" s="76"/>
      <c r="V395" s="76"/>
      <c r="W395" s="76"/>
    </row>
    <row r="396" spans="1:23" ht="12.75">
      <c r="A396" s="76"/>
      <c r="B396" s="76"/>
      <c r="C396" s="76"/>
      <c r="D396" s="69"/>
      <c r="E396" s="76"/>
      <c r="F396" s="76"/>
      <c r="G396" s="76"/>
      <c r="H396" s="76"/>
      <c r="I396" s="76"/>
      <c r="J396" s="76"/>
      <c r="K396" s="76"/>
      <c r="L396" s="76"/>
      <c r="M396" s="69"/>
      <c r="N396" s="76"/>
      <c r="O396" s="76"/>
      <c r="P396" s="76"/>
      <c r="Q396" s="76"/>
      <c r="R396" s="76"/>
      <c r="S396" s="76"/>
      <c r="T396" s="76"/>
      <c r="U396" s="76"/>
      <c r="V396" s="76"/>
      <c r="W396" s="76"/>
    </row>
    <row r="397" spans="1:23" ht="12.75">
      <c r="A397" s="76"/>
      <c r="B397" s="76"/>
      <c r="C397" s="76"/>
      <c r="D397" s="69"/>
      <c r="E397" s="76"/>
      <c r="F397" s="76"/>
      <c r="G397" s="76"/>
      <c r="H397" s="76"/>
      <c r="I397" s="76"/>
      <c r="J397" s="76"/>
      <c r="K397" s="76"/>
      <c r="L397" s="76"/>
      <c r="M397" s="69"/>
      <c r="N397" s="76"/>
      <c r="O397" s="76"/>
      <c r="P397" s="76"/>
      <c r="Q397" s="76"/>
      <c r="R397" s="76"/>
      <c r="S397" s="76"/>
      <c r="T397" s="76"/>
      <c r="U397" s="76"/>
      <c r="V397" s="76"/>
      <c r="W397" s="76"/>
    </row>
    <row r="398" spans="1:23" ht="12.75">
      <c r="A398" s="76"/>
      <c r="B398" s="76"/>
      <c r="C398" s="76"/>
      <c r="D398" s="69"/>
      <c r="E398" s="76"/>
      <c r="F398" s="76"/>
      <c r="G398" s="76"/>
      <c r="H398" s="76"/>
      <c r="I398" s="76"/>
      <c r="J398" s="76"/>
      <c r="K398" s="76"/>
      <c r="L398" s="76"/>
      <c r="M398" s="69"/>
      <c r="N398" s="76"/>
      <c r="O398" s="76"/>
      <c r="P398" s="76"/>
      <c r="Q398" s="76"/>
      <c r="R398" s="76"/>
      <c r="S398" s="76"/>
      <c r="T398" s="76"/>
      <c r="U398" s="76"/>
      <c r="V398" s="76"/>
      <c r="W398" s="76"/>
    </row>
    <row r="399" spans="1:23" ht="12.75">
      <c r="A399" s="76"/>
      <c r="B399" s="76"/>
      <c r="C399" s="76"/>
      <c r="D399" s="69"/>
      <c r="E399" s="76"/>
      <c r="F399" s="76"/>
      <c r="G399" s="76"/>
      <c r="H399" s="76"/>
      <c r="I399" s="76"/>
      <c r="J399" s="76"/>
      <c r="K399" s="76"/>
      <c r="L399" s="76"/>
      <c r="M399" s="69"/>
      <c r="N399" s="76"/>
      <c r="O399" s="76"/>
      <c r="P399" s="76"/>
      <c r="Q399" s="76"/>
      <c r="R399" s="76"/>
      <c r="S399" s="76"/>
      <c r="T399" s="76"/>
      <c r="U399" s="76"/>
      <c r="V399" s="76"/>
      <c r="W399" s="76"/>
    </row>
    <row r="400" spans="1:23" ht="12.75">
      <c r="A400" s="76"/>
      <c r="B400" s="76"/>
      <c r="C400" s="76"/>
      <c r="D400" s="69"/>
      <c r="E400" s="76"/>
      <c r="F400" s="76"/>
      <c r="G400" s="76"/>
      <c r="H400" s="76"/>
      <c r="I400" s="76"/>
      <c r="J400" s="76"/>
      <c r="K400" s="76"/>
      <c r="L400" s="76"/>
      <c r="M400" s="69"/>
      <c r="N400" s="76"/>
      <c r="O400" s="76"/>
      <c r="P400" s="76"/>
      <c r="Q400" s="76"/>
      <c r="R400" s="76"/>
      <c r="S400" s="76"/>
      <c r="T400" s="76"/>
      <c r="U400" s="76"/>
      <c r="V400" s="76"/>
      <c r="W400" s="76"/>
    </row>
    <row r="401" spans="1:23" ht="12.75">
      <c r="A401" s="76"/>
      <c r="B401" s="76"/>
      <c r="C401" s="76"/>
      <c r="D401" s="69"/>
      <c r="E401" s="76"/>
      <c r="F401" s="76"/>
      <c r="G401" s="76"/>
      <c r="H401" s="76"/>
      <c r="I401" s="76"/>
      <c r="J401" s="76"/>
      <c r="K401" s="76"/>
      <c r="L401" s="76"/>
      <c r="M401" s="69"/>
      <c r="N401" s="76"/>
      <c r="O401" s="76"/>
      <c r="P401" s="76"/>
      <c r="Q401" s="76"/>
      <c r="R401" s="76"/>
      <c r="S401" s="76"/>
      <c r="T401" s="76"/>
      <c r="U401" s="76"/>
      <c r="V401" s="76"/>
      <c r="W401" s="76"/>
    </row>
    <row r="402" spans="1:23" ht="12.75">
      <c r="A402" s="76"/>
      <c r="B402" s="76"/>
      <c r="C402" s="76"/>
      <c r="D402" s="69"/>
      <c r="E402" s="76"/>
      <c r="F402" s="76"/>
      <c r="G402" s="76"/>
      <c r="H402" s="76"/>
      <c r="I402" s="76"/>
      <c r="J402" s="76"/>
      <c r="K402" s="76"/>
      <c r="L402" s="76"/>
      <c r="M402" s="69"/>
      <c r="N402" s="76"/>
      <c r="O402" s="76"/>
      <c r="P402" s="76"/>
      <c r="Q402" s="76"/>
      <c r="R402" s="76"/>
      <c r="S402" s="76"/>
      <c r="T402" s="76"/>
      <c r="U402" s="76"/>
      <c r="V402" s="76"/>
      <c r="W402" s="76"/>
    </row>
    <row r="403" spans="1:23" ht="12.75">
      <c r="A403" s="76"/>
      <c r="B403" s="76"/>
      <c r="C403" s="76"/>
      <c r="D403" s="69"/>
      <c r="E403" s="76"/>
      <c r="F403" s="76"/>
      <c r="G403" s="76"/>
      <c r="H403" s="76"/>
      <c r="I403" s="76"/>
      <c r="J403" s="76"/>
      <c r="K403" s="76"/>
      <c r="L403" s="76"/>
      <c r="M403" s="69"/>
      <c r="N403" s="76"/>
      <c r="O403" s="76"/>
      <c r="P403" s="76"/>
      <c r="Q403" s="76"/>
      <c r="R403" s="76"/>
      <c r="S403" s="76"/>
      <c r="T403" s="76"/>
      <c r="U403" s="76"/>
      <c r="V403" s="76"/>
      <c r="W403" s="76"/>
    </row>
    <row r="404" spans="1:23" ht="12.75">
      <c r="A404" s="76"/>
      <c r="B404" s="76"/>
      <c r="C404" s="76"/>
      <c r="D404" s="69"/>
      <c r="E404" s="76"/>
      <c r="F404" s="76"/>
      <c r="G404" s="76"/>
      <c r="H404" s="76"/>
      <c r="I404" s="76"/>
      <c r="J404" s="76"/>
      <c r="K404" s="76"/>
      <c r="L404" s="76"/>
      <c r="M404" s="69"/>
      <c r="N404" s="76"/>
      <c r="O404" s="76"/>
      <c r="P404" s="76"/>
      <c r="Q404" s="76"/>
      <c r="R404" s="76"/>
      <c r="S404" s="76"/>
      <c r="T404" s="76"/>
      <c r="U404" s="76"/>
      <c r="V404" s="76"/>
      <c r="W404" s="76"/>
    </row>
    <row r="405" spans="1:23" ht="12.75">
      <c r="A405" s="76"/>
      <c r="B405" s="76"/>
      <c r="C405" s="76"/>
      <c r="D405" s="69"/>
      <c r="E405" s="76"/>
      <c r="F405" s="76"/>
      <c r="G405" s="76"/>
      <c r="H405" s="76"/>
      <c r="I405" s="76"/>
      <c r="J405" s="76"/>
      <c r="K405" s="76"/>
      <c r="L405" s="76"/>
      <c r="M405" s="69"/>
      <c r="N405" s="76"/>
      <c r="O405" s="76"/>
      <c r="P405" s="76"/>
      <c r="Q405" s="76"/>
      <c r="R405" s="76"/>
      <c r="S405" s="76"/>
      <c r="T405" s="76"/>
      <c r="U405" s="76"/>
      <c r="V405" s="76"/>
      <c r="W405" s="76"/>
    </row>
    <row r="406" spans="1:23" ht="12.75">
      <c r="A406" s="76"/>
      <c r="B406" s="76"/>
      <c r="C406" s="76"/>
      <c r="D406" s="69"/>
      <c r="E406" s="76"/>
      <c r="F406" s="76"/>
      <c r="G406" s="76"/>
      <c r="H406" s="76"/>
      <c r="I406" s="76"/>
      <c r="J406" s="76"/>
      <c r="K406" s="76"/>
      <c r="L406" s="76"/>
      <c r="M406" s="69"/>
      <c r="N406" s="76"/>
      <c r="O406" s="76"/>
      <c r="P406" s="76"/>
      <c r="Q406" s="76"/>
      <c r="R406" s="76"/>
      <c r="S406" s="76"/>
      <c r="T406" s="76"/>
      <c r="U406" s="76"/>
      <c r="V406" s="76"/>
      <c r="W406" s="76"/>
    </row>
    <row r="407" spans="1:23" ht="12.75">
      <c r="A407" s="76"/>
      <c r="B407" s="76"/>
      <c r="C407" s="76"/>
      <c r="D407" s="69"/>
      <c r="E407" s="76"/>
      <c r="F407" s="76"/>
      <c r="G407" s="76"/>
      <c r="H407" s="76"/>
      <c r="I407" s="76"/>
      <c r="J407" s="76"/>
      <c r="K407" s="76"/>
      <c r="L407" s="76"/>
      <c r="M407" s="69"/>
      <c r="N407" s="76"/>
      <c r="O407" s="76"/>
      <c r="P407" s="76"/>
      <c r="Q407" s="76"/>
      <c r="R407" s="76"/>
      <c r="S407" s="76"/>
      <c r="T407" s="76"/>
      <c r="U407" s="76"/>
      <c r="V407" s="76"/>
      <c r="W407" s="76"/>
    </row>
    <row r="408" spans="1:23" ht="12.75">
      <c r="A408" s="76"/>
      <c r="B408" s="76"/>
      <c r="C408" s="76"/>
      <c r="D408" s="69"/>
      <c r="E408" s="76"/>
      <c r="F408" s="76"/>
      <c r="G408" s="76"/>
      <c r="H408" s="76"/>
      <c r="I408" s="76"/>
      <c r="J408" s="76"/>
      <c r="K408" s="76"/>
      <c r="L408" s="76"/>
      <c r="M408" s="69"/>
      <c r="N408" s="76"/>
      <c r="O408" s="76"/>
      <c r="P408" s="76"/>
      <c r="Q408" s="76"/>
      <c r="R408" s="76"/>
      <c r="S408" s="76"/>
      <c r="T408" s="76"/>
      <c r="U408" s="76"/>
      <c r="V408" s="76"/>
      <c r="W408" s="76"/>
    </row>
    <row r="409" spans="1:23" ht="12.75">
      <c r="A409" s="76"/>
      <c r="B409" s="76"/>
      <c r="C409" s="76"/>
      <c r="D409" s="69"/>
      <c r="E409" s="76"/>
      <c r="F409" s="76"/>
      <c r="G409" s="76"/>
      <c r="H409" s="76"/>
      <c r="I409" s="76"/>
      <c r="J409" s="76"/>
      <c r="K409" s="76"/>
      <c r="L409" s="76"/>
      <c r="M409" s="69"/>
      <c r="N409" s="76"/>
      <c r="O409" s="76"/>
      <c r="P409" s="76"/>
      <c r="Q409" s="76"/>
      <c r="R409" s="76"/>
      <c r="S409" s="76"/>
      <c r="T409" s="76"/>
      <c r="U409" s="76"/>
      <c r="V409" s="76"/>
      <c r="W409" s="76"/>
    </row>
    <row r="410" spans="1:23" ht="12.75">
      <c r="A410" s="76"/>
      <c r="B410" s="76"/>
      <c r="C410" s="76"/>
      <c r="D410" s="69"/>
      <c r="E410" s="76"/>
      <c r="F410" s="76"/>
      <c r="G410" s="76"/>
      <c r="H410" s="76"/>
      <c r="I410" s="76"/>
      <c r="J410" s="76"/>
      <c r="K410" s="76"/>
      <c r="L410" s="76"/>
      <c r="M410" s="69"/>
      <c r="N410" s="76"/>
      <c r="O410" s="76"/>
      <c r="P410" s="76"/>
      <c r="Q410" s="76"/>
      <c r="R410" s="76"/>
      <c r="S410" s="76"/>
      <c r="T410" s="76"/>
      <c r="U410" s="76"/>
      <c r="V410" s="76"/>
      <c r="W410" s="76"/>
    </row>
    <row r="411" spans="1:23" ht="12.75">
      <c r="A411" s="76"/>
      <c r="B411" s="76"/>
      <c r="C411" s="76"/>
      <c r="D411" s="69"/>
      <c r="E411" s="76"/>
      <c r="F411" s="76"/>
      <c r="G411" s="76"/>
      <c r="H411" s="76"/>
      <c r="I411" s="76"/>
      <c r="J411" s="76"/>
      <c r="K411" s="76"/>
      <c r="L411" s="76"/>
      <c r="M411" s="69"/>
      <c r="N411" s="76"/>
      <c r="O411" s="76"/>
      <c r="P411" s="76"/>
      <c r="Q411" s="76"/>
      <c r="R411" s="76"/>
      <c r="S411" s="76"/>
      <c r="T411" s="76"/>
      <c r="U411" s="76"/>
      <c r="V411" s="76"/>
      <c r="W411" s="76"/>
    </row>
    <row r="412" spans="1:23" ht="12.75">
      <c r="A412" s="76"/>
      <c r="B412" s="76"/>
      <c r="C412" s="76"/>
      <c r="D412" s="69"/>
      <c r="E412" s="76"/>
      <c r="F412" s="76"/>
      <c r="G412" s="76"/>
      <c r="H412" s="76"/>
      <c r="I412" s="76"/>
      <c r="J412" s="76"/>
      <c r="K412" s="76"/>
      <c r="L412" s="76"/>
      <c r="M412" s="69"/>
      <c r="N412" s="76"/>
      <c r="O412" s="76"/>
      <c r="P412" s="76"/>
      <c r="Q412" s="76"/>
      <c r="R412" s="76"/>
      <c r="S412" s="76"/>
      <c r="T412" s="76"/>
      <c r="U412" s="76"/>
      <c r="V412" s="76"/>
      <c r="W412" s="76"/>
    </row>
    <row r="413" spans="1:23" ht="12.75">
      <c r="A413" s="76"/>
      <c r="B413" s="76"/>
      <c r="C413" s="76"/>
      <c r="D413" s="69"/>
      <c r="E413" s="76"/>
      <c r="F413" s="76"/>
      <c r="G413" s="76"/>
      <c r="H413" s="76"/>
      <c r="I413" s="76"/>
      <c r="J413" s="76"/>
      <c r="K413" s="76"/>
      <c r="L413" s="76"/>
      <c r="M413" s="69"/>
      <c r="N413" s="76"/>
      <c r="O413" s="76"/>
      <c r="P413" s="76"/>
      <c r="Q413" s="76"/>
      <c r="R413" s="76"/>
      <c r="S413" s="76"/>
      <c r="T413" s="76"/>
      <c r="U413" s="76"/>
      <c r="V413" s="76"/>
      <c r="W413" s="76"/>
    </row>
    <row r="414" spans="1:23" ht="12.75">
      <c r="A414" s="76"/>
      <c r="B414" s="76"/>
      <c r="C414" s="76"/>
      <c r="D414" s="69"/>
      <c r="E414" s="76"/>
      <c r="F414" s="76"/>
      <c r="G414" s="76"/>
      <c r="H414" s="76"/>
      <c r="I414" s="76"/>
      <c r="J414" s="76"/>
      <c r="K414" s="76"/>
      <c r="L414" s="76"/>
      <c r="M414" s="69"/>
      <c r="N414" s="76"/>
      <c r="O414" s="76"/>
      <c r="P414" s="76"/>
      <c r="Q414" s="76"/>
      <c r="R414" s="76"/>
      <c r="S414" s="76"/>
      <c r="T414" s="76"/>
      <c r="U414" s="76"/>
      <c r="V414" s="76"/>
      <c r="W414" s="76"/>
    </row>
    <row r="415" spans="1:23" ht="12.75">
      <c r="A415" s="76"/>
      <c r="B415" s="76"/>
      <c r="C415" s="76"/>
      <c r="D415" s="69"/>
      <c r="E415" s="76"/>
      <c r="F415" s="76"/>
      <c r="G415" s="76"/>
      <c r="H415" s="76"/>
      <c r="I415" s="76"/>
      <c r="J415" s="76"/>
      <c r="K415" s="76"/>
      <c r="L415" s="76"/>
      <c r="M415" s="69"/>
      <c r="N415" s="76"/>
      <c r="O415" s="76"/>
      <c r="P415" s="76"/>
      <c r="Q415" s="76"/>
      <c r="R415" s="76"/>
      <c r="S415" s="76"/>
      <c r="T415" s="76"/>
      <c r="U415" s="76"/>
      <c r="V415" s="76"/>
      <c r="W415" s="76"/>
    </row>
    <row r="416" spans="1:23" ht="12.75">
      <c r="A416" s="76"/>
      <c r="B416" s="76"/>
      <c r="C416" s="76"/>
      <c r="D416" s="69"/>
      <c r="E416" s="76"/>
      <c r="F416" s="76"/>
      <c r="G416" s="76"/>
      <c r="H416" s="76"/>
      <c r="I416" s="76"/>
      <c r="J416" s="76"/>
      <c r="K416" s="76"/>
      <c r="L416" s="76"/>
      <c r="M416" s="69"/>
      <c r="N416" s="76"/>
      <c r="O416" s="76"/>
      <c r="P416" s="76"/>
      <c r="Q416" s="76"/>
      <c r="R416" s="76"/>
      <c r="S416" s="76"/>
      <c r="T416" s="76"/>
      <c r="U416" s="76"/>
      <c r="V416" s="76"/>
      <c r="W416" s="76"/>
    </row>
    <row r="417" spans="1:23" ht="12.75">
      <c r="A417" s="76"/>
      <c r="B417" s="76"/>
      <c r="C417" s="76"/>
      <c r="D417" s="69"/>
      <c r="E417" s="76"/>
      <c r="F417" s="76"/>
      <c r="G417" s="76"/>
      <c r="H417" s="76"/>
      <c r="I417" s="76"/>
      <c r="J417" s="76"/>
      <c r="K417" s="76"/>
      <c r="L417" s="76"/>
      <c r="M417" s="69"/>
      <c r="N417" s="76"/>
      <c r="O417" s="76"/>
      <c r="P417" s="76"/>
      <c r="Q417" s="76"/>
      <c r="R417" s="76"/>
      <c r="S417" s="76"/>
      <c r="T417" s="76"/>
      <c r="U417" s="76"/>
      <c r="V417" s="76"/>
      <c r="W417" s="76"/>
    </row>
    <row r="418" spans="1:23" ht="12.75">
      <c r="A418" s="76"/>
      <c r="B418" s="76"/>
      <c r="C418" s="76"/>
      <c r="D418" s="69"/>
      <c r="E418" s="76"/>
      <c r="F418" s="76"/>
      <c r="G418" s="76"/>
      <c r="H418" s="76"/>
      <c r="I418" s="76"/>
      <c r="J418" s="76"/>
      <c r="K418" s="76"/>
      <c r="L418" s="76"/>
      <c r="M418" s="69"/>
      <c r="N418" s="76"/>
      <c r="O418" s="76"/>
      <c r="P418" s="76"/>
      <c r="Q418" s="76"/>
      <c r="R418" s="76"/>
      <c r="S418" s="76"/>
      <c r="T418" s="76"/>
      <c r="U418" s="76"/>
      <c r="V418" s="76"/>
      <c r="W418" s="76"/>
    </row>
    <row r="419" spans="1:23" ht="12.75">
      <c r="A419" s="76"/>
      <c r="B419" s="76"/>
      <c r="C419" s="76"/>
      <c r="D419" s="69"/>
      <c r="E419" s="76"/>
      <c r="F419" s="76"/>
      <c r="G419" s="76"/>
      <c r="H419" s="76"/>
      <c r="I419" s="76"/>
      <c r="J419" s="76"/>
      <c r="K419" s="76"/>
      <c r="L419" s="76"/>
      <c r="M419" s="69"/>
      <c r="N419" s="76"/>
      <c r="O419" s="76"/>
      <c r="P419" s="76"/>
      <c r="Q419" s="76"/>
      <c r="R419" s="76"/>
      <c r="S419" s="76"/>
      <c r="T419" s="76"/>
      <c r="U419" s="76"/>
      <c r="V419" s="76"/>
      <c r="W419" s="76"/>
    </row>
    <row r="420" spans="1:23" ht="12.75">
      <c r="A420" s="76"/>
      <c r="B420" s="76"/>
      <c r="C420" s="76"/>
      <c r="D420" s="69"/>
      <c r="E420" s="76"/>
      <c r="F420" s="76"/>
      <c r="G420" s="76"/>
      <c r="H420" s="76"/>
      <c r="I420" s="76"/>
      <c r="J420" s="76"/>
      <c r="K420" s="76"/>
      <c r="L420" s="76"/>
      <c r="M420" s="69"/>
      <c r="N420" s="76"/>
      <c r="O420" s="76"/>
      <c r="P420" s="76"/>
      <c r="Q420" s="76"/>
      <c r="R420" s="76"/>
      <c r="S420" s="76"/>
      <c r="T420" s="76"/>
      <c r="U420" s="76"/>
      <c r="V420" s="76"/>
      <c r="W420" s="76"/>
    </row>
    <row r="421" spans="1:23" ht="12.75">
      <c r="A421" s="76"/>
      <c r="B421" s="76"/>
      <c r="C421" s="76"/>
      <c r="D421" s="69"/>
      <c r="E421" s="76"/>
      <c r="F421" s="76"/>
      <c r="G421" s="76"/>
      <c r="H421" s="76"/>
      <c r="I421" s="76"/>
      <c r="J421" s="76"/>
      <c r="K421" s="76"/>
      <c r="L421" s="76"/>
      <c r="M421" s="69"/>
      <c r="N421" s="76"/>
      <c r="O421" s="76"/>
      <c r="P421" s="76"/>
      <c r="Q421" s="76"/>
      <c r="R421" s="76"/>
      <c r="S421" s="76"/>
      <c r="T421" s="76"/>
      <c r="U421" s="76"/>
      <c r="V421" s="76"/>
      <c r="W421" s="76"/>
    </row>
    <row r="422" spans="1:23" ht="12.75">
      <c r="A422" s="76"/>
      <c r="B422" s="76"/>
      <c r="C422" s="76"/>
      <c r="D422" s="69"/>
      <c r="E422" s="76"/>
      <c r="F422" s="76"/>
      <c r="G422" s="76"/>
      <c r="H422" s="76"/>
      <c r="I422" s="76"/>
      <c r="J422" s="76"/>
      <c r="K422" s="76"/>
      <c r="L422" s="76"/>
      <c r="M422" s="69"/>
      <c r="N422" s="76"/>
      <c r="O422" s="76"/>
      <c r="P422" s="76"/>
      <c r="Q422" s="76"/>
      <c r="R422" s="76"/>
      <c r="S422" s="76"/>
      <c r="T422" s="76"/>
      <c r="U422" s="76"/>
      <c r="V422" s="76"/>
      <c r="W422" s="76"/>
    </row>
    <row r="423" spans="1:23" ht="12.75">
      <c r="A423" s="76"/>
      <c r="B423" s="76"/>
      <c r="C423" s="76"/>
      <c r="D423" s="69"/>
      <c r="E423" s="76"/>
      <c r="F423" s="76"/>
      <c r="G423" s="76"/>
      <c r="H423" s="76"/>
      <c r="I423" s="76"/>
      <c r="J423" s="76"/>
      <c r="K423" s="76"/>
      <c r="L423" s="76"/>
      <c r="M423" s="69"/>
      <c r="N423" s="76"/>
      <c r="O423" s="76"/>
      <c r="P423" s="76"/>
      <c r="Q423" s="76"/>
      <c r="R423" s="76"/>
      <c r="S423" s="76"/>
      <c r="T423" s="76"/>
      <c r="U423" s="76"/>
      <c r="V423" s="76"/>
      <c r="W423" s="76"/>
    </row>
    <row r="424" spans="1:23" ht="12.75">
      <c r="A424" s="76"/>
      <c r="B424" s="76"/>
      <c r="C424" s="76"/>
      <c r="D424" s="69"/>
      <c r="E424" s="76"/>
      <c r="F424" s="76"/>
      <c r="G424" s="76"/>
      <c r="H424" s="76"/>
      <c r="I424" s="76"/>
      <c r="J424" s="76"/>
      <c r="K424" s="76"/>
      <c r="L424" s="76"/>
      <c r="M424" s="69"/>
      <c r="N424" s="76"/>
      <c r="O424" s="76"/>
      <c r="P424" s="76"/>
      <c r="Q424" s="76"/>
      <c r="R424" s="76"/>
      <c r="S424" s="76"/>
      <c r="T424" s="76"/>
      <c r="U424" s="76"/>
      <c r="V424" s="76"/>
      <c r="W424" s="76"/>
    </row>
    <row r="425" spans="1:23" ht="12.75">
      <c r="A425" s="76"/>
      <c r="B425" s="76"/>
      <c r="C425" s="76"/>
      <c r="D425" s="69"/>
      <c r="E425" s="76"/>
      <c r="F425" s="76"/>
      <c r="G425" s="76"/>
      <c r="H425" s="76"/>
      <c r="I425" s="76"/>
      <c r="J425" s="76"/>
      <c r="K425" s="76"/>
      <c r="L425" s="76"/>
      <c r="M425" s="69"/>
      <c r="N425" s="76"/>
      <c r="O425" s="76"/>
      <c r="P425" s="76"/>
      <c r="Q425" s="76"/>
      <c r="R425" s="76"/>
      <c r="S425" s="76"/>
      <c r="T425" s="76"/>
      <c r="U425" s="76"/>
      <c r="V425" s="76"/>
      <c r="W425" s="76"/>
    </row>
    <row r="426" spans="1:23" ht="12.75">
      <c r="A426" s="76"/>
      <c r="B426" s="76"/>
      <c r="C426" s="76"/>
      <c r="D426" s="69"/>
      <c r="E426" s="76"/>
      <c r="F426" s="76"/>
      <c r="G426" s="76"/>
      <c r="H426" s="76"/>
      <c r="I426" s="76"/>
      <c r="J426" s="76"/>
      <c r="K426" s="76"/>
      <c r="L426" s="76"/>
      <c r="M426" s="69"/>
      <c r="N426" s="76"/>
      <c r="O426" s="76"/>
      <c r="P426" s="76"/>
      <c r="Q426" s="76"/>
      <c r="R426" s="76"/>
      <c r="S426" s="76"/>
      <c r="T426" s="76"/>
      <c r="U426" s="76"/>
      <c r="V426" s="76"/>
      <c r="W426" s="76"/>
    </row>
    <row r="427" spans="1:23" ht="12.75">
      <c r="A427" s="76"/>
      <c r="B427" s="76"/>
      <c r="C427" s="76"/>
      <c r="D427" s="69"/>
      <c r="E427" s="76"/>
      <c r="F427" s="76"/>
      <c r="G427" s="76"/>
      <c r="H427" s="76"/>
      <c r="I427" s="76"/>
      <c r="J427" s="76"/>
      <c r="K427" s="76"/>
      <c r="L427" s="76"/>
      <c r="M427" s="69"/>
      <c r="N427" s="76"/>
      <c r="O427" s="76"/>
      <c r="P427" s="76"/>
      <c r="Q427" s="76"/>
      <c r="R427" s="76"/>
      <c r="S427" s="76"/>
      <c r="T427" s="76"/>
      <c r="U427" s="76"/>
      <c r="V427" s="76"/>
      <c r="W427" s="76"/>
    </row>
    <row r="428" spans="1:23" ht="12.75">
      <c r="A428" s="76"/>
      <c r="B428" s="76"/>
      <c r="C428" s="76"/>
      <c r="D428" s="69"/>
      <c r="E428" s="76"/>
      <c r="F428" s="76"/>
      <c r="G428" s="76"/>
      <c r="H428" s="76"/>
      <c r="I428" s="76"/>
      <c r="J428" s="76"/>
      <c r="K428" s="76"/>
      <c r="L428" s="76"/>
      <c r="M428" s="69"/>
      <c r="N428" s="76"/>
      <c r="O428" s="76"/>
      <c r="P428" s="76"/>
      <c r="Q428" s="76"/>
      <c r="R428" s="76"/>
      <c r="S428" s="76"/>
      <c r="T428" s="76"/>
      <c r="U428" s="76"/>
      <c r="V428" s="76"/>
      <c r="W428" s="76"/>
    </row>
    <row r="429" spans="1:23" ht="12.75">
      <c r="A429" s="76"/>
      <c r="B429" s="76"/>
      <c r="C429" s="76"/>
      <c r="D429" s="69"/>
      <c r="E429" s="76"/>
      <c r="F429" s="76"/>
      <c r="G429" s="76"/>
      <c r="H429" s="76"/>
      <c r="I429" s="76"/>
      <c r="J429" s="76"/>
      <c r="K429" s="76"/>
      <c r="L429" s="76"/>
      <c r="M429" s="69"/>
      <c r="N429" s="76"/>
      <c r="O429" s="76"/>
      <c r="P429" s="76"/>
      <c r="Q429" s="76"/>
      <c r="R429" s="76"/>
      <c r="S429" s="76"/>
      <c r="T429" s="76"/>
      <c r="U429" s="76"/>
      <c r="V429" s="76"/>
      <c r="W429" s="76"/>
    </row>
    <row r="430" spans="1:23" ht="12.75">
      <c r="A430" s="76"/>
      <c r="B430" s="76"/>
      <c r="C430" s="76"/>
      <c r="D430" s="69"/>
      <c r="E430" s="76"/>
      <c r="F430" s="76"/>
      <c r="G430" s="76"/>
      <c r="H430" s="76"/>
      <c r="I430" s="76"/>
      <c r="J430" s="76"/>
      <c r="K430" s="76"/>
      <c r="L430" s="76"/>
      <c r="M430" s="69"/>
      <c r="N430" s="76"/>
      <c r="O430" s="76"/>
      <c r="P430" s="76"/>
      <c r="Q430" s="76"/>
      <c r="R430" s="76"/>
      <c r="S430" s="76"/>
      <c r="T430" s="76"/>
      <c r="U430" s="76"/>
      <c r="V430" s="76"/>
      <c r="W430" s="76"/>
    </row>
    <row r="431" spans="1:23" ht="12.75">
      <c r="A431" s="76"/>
      <c r="B431" s="76"/>
      <c r="C431" s="76"/>
      <c r="D431" s="69"/>
      <c r="E431" s="76"/>
      <c r="F431" s="76"/>
      <c r="G431" s="76"/>
      <c r="H431" s="76"/>
      <c r="I431" s="76"/>
      <c r="J431" s="76"/>
      <c r="K431" s="76"/>
      <c r="L431" s="76"/>
      <c r="M431" s="69"/>
      <c r="N431" s="76"/>
      <c r="O431" s="76"/>
      <c r="P431" s="76"/>
      <c r="Q431" s="76"/>
      <c r="R431" s="76"/>
      <c r="S431" s="76"/>
      <c r="T431" s="76"/>
      <c r="U431" s="76"/>
      <c r="V431" s="76"/>
      <c r="W431" s="76"/>
    </row>
    <row r="432" spans="1:23" ht="12.75">
      <c r="A432" s="76"/>
      <c r="B432" s="76"/>
      <c r="C432" s="76"/>
      <c r="D432" s="69"/>
      <c r="E432" s="76"/>
      <c r="F432" s="76"/>
      <c r="G432" s="76"/>
      <c r="H432" s="76"/>
      <c r="I432" s="76"/>
      <c r="J432" s="76"/>
      <c r="K432" s="76"/>
      <c r="L432" s="76"/>
      <c r="M432" s="69"/>
      <c r="N432" s="76"/>
      <c r="O432" s="76"/>
      <c r="P432" s="76"/>
      <c r="Q432" s="76"/>
      <c r="R432" s="76"/>
      <c r="S432" s="76"/>
      <c r="T432" s="76"/>
      <c r="U432" s="76"/>
      <c r="V432" s="76"/>
      <c r="W432" s="76"/>
    </row>
    <row r="433" spans="1:23" ht="12.75">
      <c r="A433" s="76"/>
      <c r="B433" s="76"/>
      <c r="C433" s="76"/>
      <c r="D433" s="69"/>
      <c r="E433" s="76"/>
      <c r="F433" s="76"/>
      <c r="G433" s="76"/>
      <c r="H433" s="76"/>
      <c r="I433" s="76"/>
      <c r="J433" s="76"/>
      <c r="K433" s="76"/>
      <c r="L433" s="76"/>
      <c r="M433" s="69"/>
      <c r="N433" s="76"/>
      <c r="O433" s="76"/>
      <c r="P433" s="76"/>
      <c r="Q433" s="76"/>
      <c r="R433" s="76"/>
      <c r="S433" s="76"/>
      <c r="T433" s="76"/>
      <c r="U433" s="76"/>
      <c r="V433" s="76"/>
      <c r="W433" s="76"/>
    </row>
    <row r="434" spans="1:23" ht="12.75">
      <c r="A434" s="76"/>
      <c r="B434" s="76"/>
      <c r="C434" s="76"/>
      <c r="D434" s="69"/>
      <c r="E434" s="76"/>
      <c r="F434" s="76"/>
      <c r="G434" s="76"/>
      <c r="H434" s="76"/>
      <c r="I434" s="76"/>
      <c r="J434" s="76"/>
      <c r="K434" s="76"/>
      <c r="L434" s="76"/>
      <c r="M434" s="69"/>
      <c r="N434" s="76"/>
      <c r="O434" s="76"/>
      <c r="P434" s="76"/>
      <c r="Q434" s="76"/>
      <c r="R434" s="76"/>
      <c r="S434" s="76"/>
      <c r="T434" s="76"/>
      <c r="U434" s="76"/>
      <c r="V434" s="76"/>
      <c r="W434" s="76"/>
    </row>
    <row r="435" spans="1:23" ht="12.75">
      <c r="A435" s="76"/>
      <c r="B435" s="76"/>
      <c r="C435" s="76"/>
      <c r="D435" s="69"/>
      <c r="E435" s="76"/>
      <c r="F435" s="76"/>
      <c r="G435" s="76"/>
      <c r="H435" s="76"/>
      <c r="I435" s="76"/>
      <c r="J435" s="76"/>
      <c r="K435" s="76"/>
      <c r="L435" s="76"/>
      <c r="M435" s="69"/>
      <c r="N435" s="76"/>
      <c r="O435" s="76"/>
      <c r="P435" s="76"/>
      <c r="Q435" s="76"/>
      <c r="R435" s="76"/>
      <c r="S435" s="76"/>
      <c r="T435" s="76"/>
      <c r="U435" s="76"/>
      <c r="V435" s="76"/>
      <c r="W435" s="76"/>
    </row>
    <row r="436" spans="1:23" ht="12.75">
      <c r="A436" s="76"/>
      <c r="B436" s="76"/>
      <c r="C436" s="76"/>
      <c r="D436" s="69"/>
      <c r="E436" s="76"/>
      <c r="F436" s="76"/>
      <c r="G436" s="76"/>
      <c r="H436" s="76"/>
      <c r="I436" s="76"/>
      <c r="J436" s="76"/>
      <c r="K436" s="76"/>
      <c r="L436" s="76"/>
      <c r="M436" s="69"/>
      <c r="N436" s="76"/>
      <c r="O436" s="76"/>
      <c r="P436" s="76"/>
      <c r="Q436" s="76"/>
      <c r="R436" s="76"/>
      <c r="S436" s="76"/>
      <c r="T436" s="76"/>
      <c r="U436" s="76"/>
      <c r="V436" s="76"/>
      <c r="W436" s="76"/>
    </row>
    <row r="437" spans="1:23" ht="12.75">
      <c r="A437" s="76"/>
      <c r="B437" s="76"/>
      <c r="C437" s="76"/>
      <c r="D437" s="69"/>
      <c r="E437" s="76"/>
      <c r="F437" s="76"/>
      <c r="G437" s="76"/>
      <c r="H437" s="76"/>
      <c r="I437" s="76"/>
      <c r="J437" s="76"/>
      <c r="K437" s="76"/>
      <c r="L437" s="76"/>
      <c r="M437" s="69"/>
      <c r="N437" s="76"/>
      <c r="O437" s="76"/>
      <c r="P437" s="76"/>
      <c r="Q437" s="76"/>
      <c r="R437" s="76"/>
      <c r="S437" s="76"/>
      <c r="T437" s="76"/>
      <c r="U437" s="76"/>
      <c r="V437" s="76"/>
      <c r="W437" s="76"/>
    </row>
    <row r="438" spans="1:23" ht="12.75">
      <c r="A438" s="76"/>
      <c r="B438" s="76"/>
      <c r="C438" s="76"/>
      <c r="D438" s="69"/>
      <c r="E438" s="76"/>
      <c r="F438" s="76"/>
      <c r="G438" s="76"/>
      <c r="H438" s="76"/>
      <c r="I438" s="76"/>
      <c r="J438" s="76"/>
      <c r="K438" s="76"/>
      <c r="L438" s="76"/>
      <c r="M438" s="69"/>
      <c r="N438" s="76"/>
      <c r="O438" s="76"/>
      <c r="P438" s="76"/>
      <c r="Q438" s="76"/>
      <c r="R438" s="76"/>
      <c r="S438" s="76"/>
      <c r="T438" s="76"/>
      <c r="U438" s="76"/>
      <c r="V438" s="76"/>
      <c r="W438" s="76"/>
    </row>
    <row r="439" spans="1:23" ht="12.75">
      <c r="A439" s="76"/>
      <c r="B439" s="76"/>
      <c r="C439" s="76"/>
      <c r="D439" s="69"/>
      <c r="E439" s="76"/>
      <c r="F439" s="76"/>
      <c r="G439" s="76"/>
      <c r="H439" s="76"/>
      <c r="I439" s="76"/>
      <c r="J439" s="76"/>
      <c r="K439" s="76"/>
      <c r="L439" s="76"/>
      <c r="M439" s="69"/>
      <c r="N439" s="76"/>
      <c r="O439" s="76"/>
      <c r="P439" s="76"/>
      <c r="Q439" s="76"/>
      <c r="R439" s="76"/>
      <c r="S439" s="76"/>
      <c r="T439" s="76"/>
      <c r="U439" s="76"/>
      <c r="V439" s="76"/>
      <c r="W439" s="76"/>
    </row>
    <row r="440" spans="1:23" ht="12.75">
      <c r="A440" s="76"/>
      <c r="B440" s="76"/>
      <c r="C440" s="76"/>
      <c r="D440" s="69"/>
      <c r="E440" s="76"/>
      <c r="F440" s="76"/>
      <c r="G440" s="76"/>
      <c r="H440" s="76"/>
      <c r="I440" s="76"/>
      <c r="J440" s="76"/>
      <c r="K440" s="76"/>
      <c r="L440" s="76"/>
      <c r="M440" s="69"/>
      <c r="N440" s="76"/>
      <c r="O440" s="76"/>
      <c r="P440" s="76"/>
      <c r="Q440" s="76"/>
      <c r="R440" s="76"/>
      <c r="S440" s="76"/>
      <c r="T440" s="76"/>
      <c r="U440" s="76"/>
      <c r="V440" s="76"/>
      <c r="W440" s="76"/>
    </row>
    <row r="441" spans="1:23" ht="12.75">
      <c r="A441" s="76"/>
      <c r="B441" s="76"/>
      <c r="C441" s="76"/>
      <c r="D441" s="69"/>
      <c r="E441" s="76"/>
      <c r="F441" s="76"/>
      <c r="G441" s="76"/>
      <c r="H441" s="76"/>
      <c r="I441" s="76"/>
      <c r="J441" s="76"/>
      <c r="K441" s="76"/>
      <c r="L441" s="76"/>
      <c r="M441" s="69"/>
      <c r="N441" s="76"/>
      <c r="O441" s="76"/>
      <c r="P441" s="76"/>
      <c r="Q441" s="76"/>
      <c r="R441" s="76"/>
      <c r="S441" s="76"/>
      <c r="T441" s="76"/>
      <c r="U441" s="76"/>
      <c r="V441" s="76"/>
      <c r="W441" s="76"/>
    </row>
    <row r="442" spans="1:23" ht="12.75">
      <c r="A442" s="76"/>
      <c r="B442" s="76"/>
      <c r="C442" s="76"/>
      <c r="D442" s="69"/>
      <c r="E442" s="76"/>
      <c r="F442" s="76"/>
      <c r="G442" s="76"/>
      <c r="H442" s="76"/>
      <c r="I442" s="76"/>
      <c r="J442" s="76"/>
      <c r="K442" s="76"/>
      <c r="L442" s="76"/>
      <c r="M442" s="69"/>
      <c r="N442" s="76"/>
      <c r="O442" s="76"/>
      <c r="P442" s="76"/>
      <c r="Q442" s="76"/>
      <c r="R442" s="76"/>
      <c r="S442" s="76"/>
      <c r="T442" s="76"/>
      <c r="U442" s="76"/>
      <c r="V442" s="76"/>
      <c r="W442" s="76"/>
    </row>
    <row r="443" spans="1:23" ht="12.75">
      <c r="A443" s="76"/>
      <c r="B443" s="76"/>
      <c r="C443" s="76"/>
      <c r="D443" s="69"/>
      <c r="E443" s="76"/>
      <c r="F443" s="76"/>
      <c r="G443" s="76"/>
      <c r="H443" s="76"/>
      <c r="I443" s="76"/>
      <c r="J443" s="76"/>
      <c r="K443" s="76"/>
      <c r="L443" s="76"/>
      <c r="M443" s="69"/>
      <c r="N443" s="76"/>
      <c r="O443" s="76"/>
      <c r="P443" s="76"/>
      <c r="Q443" s="76"/>
      <c r="R443" s="76"/>
      <c r="S443" s="76"/>
      <c r="T443" s="76"/>
      <c r="U443" s="76"/>
      <c r="V443" s="76"/>
      <c r="W443" s="76"/>
    </row>
    <row r="444" spans="1:23" ht="12.75">
      <c r="A444" s="76"/>
      <c r="B444" s="76"/>
      <c r="C444" s="76"/>
      <c r="D444" s="69"/>
      <c r="E444" s="76"/>
      <c r="F444" s="76"/>
      <c r="G444" s="76"/>
      <c r="H444" s="76"/>
      <c r="I444" s="76"/>
      <c r="J444" s="76"/>
      <c r="K444" s="76"/>
      <c r="L444" s="76"/>
      <c r="M444" s="69"/>
      <c r="N444" s="76"/>
      <c r="O444" s="76"/>
      <c r="P444" s="76"/>
      <c r="Q444" s="76"/>
      <c r="R444" s="76"/>
      <c r="S444" s="76"/>
      <c r="T444" s="76"/>
      <c r="U444" s="76"/>
      <c r="V444" s="76"/>
      <c r="W444" s="76"/>
    </row>
    <row r="445" spans="1:23" ht="12.75">
      <c r="A445" s="76"/>
      <c r="B445" s="76"/>
      <c r="C445" s="76"/>
      <c r="D445" s="69"/>
      <c r="E445" s="76"/>
      <c r="F445" s="76"/>
      <c r="G445" s="76"/>
      <c r="H445" s="76"/>
      <c r="I445" s="76"/>
      <c r="J445" s="76"/>
      <c r="K445" s="76"/>
      <c r="L445" s="76"/>
      <c r="M445" s="69"/>
      <c r="N445" s="76"/>
      <c r="O445" s="76"/>
      <c r="P445" s="76"/>
      <c r="Q445" s="76"/>
      <c r="R445" s="76"/>
      <c r="S445" s="76"/>
      <c r="T445" s="76"/>
      <c r="U445" s="76"/>
      <c r="V445" s="76"/>
      <c r="W445" s="76"/>
    </row>
    <row r="446" spans="1:23" ht="12.75">
      <c r="A446" s="76"/>
      <c r="B446" s="76"/>
      <c r="C446" s="76"/>
      <c r="D446" s="69"/>
      <c r="E446" s="76"/>
      <c r="F446" s="76"/>
      <c r="G446" s="76"/>
      <c r="H446" s="76"/>
      <c r="I446" s="76"/>
      <c r="J446" s="76"/>
      <c r="K446" s="76"/>
      <c r="L446" s="76"/>
      <c r="M446" s="69"/>
      <c r="N446" s="76"/>
      <c r="O446" s="76"/>
      <c r="P446" s="76"/>
      <c r="Q446" s="76"/>
      <c r="R446" s="76"/>
      <c r="S446" s="76"/>
      <c r="T446" s="76"/>
      <c r="U446" s="76"/>
      <c r="V446" s="76"/>
      <c r="W446" s="76"/>
    </row>
    <row r="447" spans="1:23" ht="12.75">
      <c r="A447" s="76"/>
      <c r="B447" s="76"/>
      <c r="C447" s="76"/>
      <c r="D447" s="69"/>
      <c r="E447" s="76"/>
      <c r="F447" s="76"/>
      <c r="G447" s="76"/>
      <c r="H447" s="76"/>
      <c r="I447" s="76"/>
      <c r="J447" s="76"/>
      <c r="K447" s="76"/>
      <c r="L447" s="76"/>
      <c r="M447" s="69"/>
      <c r="N447" s="76"/>
      <c r="O447" s="76"/>
      <c r="P447" s="76"/>
      <c r="Q447" s="76"/>
      <c r="R447" s="76"/>
      <c r="S447" s="76"/>
      <c r="T447" s="76"/>
      <c r="U447" s="76"/>
      <c r="V447" s="76"/>
      <c r="W447" s="76"/>
    </row>
    <row r="448" spans="1:23" ht="12.75">
      <c r="A448" s="76"/>
      <c r="B448" s="76"/>
      <c r="C448" s="76"/>
      <c r="D448" s="69"/>
      <c r="E448" s="76"/>
      <c r="F448" s="76"/>
      <c r="G448" s="76"/>
      <c r="H448" s="76"/>
      <c r="I448" s="76"/>
      <c r="J448" s="76"/>
      <c r="K448" s="76"/>
      <c r="L448" s="76"/>
      <c r="M448" s="69"/>
      <c r="N448" s="76"/>
      <c r="O448" s="76"/>
      <c r="P448" s="76"/>
      <c r="Q448" s="76"/>
      <c r="R448" s="76"/>
      <c r="S448" s="76"/>
      <c r="T448" s="76"/>
      <c r="U448" s="76"/>
      <c r="V448" s="76"/>
      <c r="W448" s="76"/>
    </row>
    <row r="449" spans="1:23" ht="12.75">
      <c r="A449" s="76"/>
      <c r="B449" s="76"/>
      <c r="C449" s="76"/>
      <c r="D449" s="69"/>
      <c r="E449" s="76"/>
      <c r="F449" s="76"/>
      <c r="G449" s="76"/>
      <c r="H449" s="76"/>
      <c r="I449" s="76"/>
      <c r="J449" s="76"/>
      <c r="K449" s="76"/>
      <c r="L449" s="76"/>
      <c r="M449" s="69"/>
      <c r="N449" s="76"/>
      <c r="O449" s="76"/>
      <c r="P449" s="76"/>
      <c r="Q449" s="76"/>
      <c r="R449" s="76"/>
      <c r="S449" s="76"/>
      <c r="T449" s="76"/>
      <c r="U449" s="76"/>
      <c r="V449" s="76"/>
      <c r="W449" s="76"/>
    </row>
    <row r="450" spans="1:23" ht="12.75">
      <c r="A450" s="76"/>
      <c r="B450" s="76"/>
      <c r="C450" s="76"/>
      <c r="D450" s="69"/>
      <c r="E450" s="76"/>
      <c r="F450" s="76"/>
      <c r="G450" s="76"/>
      <c r="H450" s="76"/>
      <c r="I450" s="76"/>
      <c r="J450" s="76"/>
      <c r="K450" s="76"/>
      <c r="L450" s="76"/>
      <c r="M450" s="69"/>
      <c r="N450" s="76"/>
      <c r="O450" s="76"/>
      <c r="P450" s="76"/>
      <c r="Q450" s="76"/>
      <c r="R450" s="76"/>
      <c r="S450" s="76"/>
      <c r="T450" s="76"/>
      <c r="U450" s="76"/>
      <c r="V450" s="76"/>
      <c r="W450" s="76"/>
    </row>
    <row r="451" spans="1:23" ht="12.75">
      <c r="A451" s="76"/>
      <c r="B451" s="76"/>
      <c r="C451" s="76"/>
      <c r="D451" s="69"/>
      <c r="E451" s="76"/>
      <c r="F451" s="76"/>
      <c r="G451" s="76"/>
      <c r="H451" s="76"/>
      <c r="I451" s="76"/>
      <c r="J451" s="76"/>
      <c r="K451" s="76"/>
      <c r="L451" s="76"/>
      <c r="M451" s="69"/>
      <c r="N451" s="76"/>
      <c r="O451" s="76"/>
      <c r="P451" s="76"/>
      <c r="Q451" s="76"/>
      <c r="R451" s="76"/>
      <c r="S451" s="76"/>
      <c r="T451" s="76"/>
      <c r="U451" s="76"/>
      <c r="V451" s="76"/>
      <c r="W451" s="76"/>
    </row>
    <row r="452" spans="1:23" ht="12.75">
      <c r="A452" s="76"/>
      <c r="B452" s="76"/>
      <c r="C452" s="76"/>
      <c r="D452" s="69"/>
      <c r="E452" s="76"/>
      <c r="F452" s="76"/>
      <c r="G452" s="76"/>
      <c r="H452" s="76"/>
      <c r="I452" s="76"/>
      <c r="J452" s="76"/>
      <c r="K452" s="76"/>
      <c r="L452" s="76"/>
      <c r="M452" s="69"/>
      <c r="N452" s="76"/>
      <c r="O452" s="76"/>
      <c r="P452" s="76"/>
      <c r="Q452" s="76"/>
      <c r="R452" s="76"/>
      <c r="S452" s="76"/>
      <c r="T452" s="76"/>
      <c r="U452" s="76"/>
      <c r="V452" s="76"/>
      <c r="W452" s="76"/>
    </row>
    <row r="453" spans="1:23" ht="12.75">
      <c r="A453" s="76"/>
      <c r="B453" s="76"/>
      <c r="C453" s="76"/>
      <c r="D453" s="69"/>
      <c r="E453" s="76"/>
      <c r="F453" s="76"/>
      <c r="G453" s="76"/>
      <c r="H453" s="76"/>
      <c r="I453" s="76"/>
      <c r="J453" s="76"/>
      <c r="K453" s="76"/>
      <c r="L453" s="76"/>
      <c r="M453" s="69"/>
      <c r="N453" s="76"/>
      <c r="O453" s="76"/>
      <c r="P453" s="76"/>
      <c r="Q453" s="76"/>
      <c r="R453" s="76"/>
      <c r="S453" s="76"/>
      <c r="T453" s="76"/>
      <c r="U453" s="76"/>
      <c r="V453" s="76"/>
      <c r="W453" s="76"/>
    </row>
    <row r="454" spans="1:23" ht="12.75">
      <c r="A454" s="76"/>
      <c r="B454" s="76"/>
      <c r="C454" s="76"/>
      <c r="D454" s="69"/>
      <c r="E454" s="76"/>
      <c r="F454" s="76"/>
      <c r="G454" s="76"/>
      <c r="H454" s="76"/>
      <c r="I454" s="76"/>
      <c r="J454" s="76"/>
      <c r="K454" s="76"/>
      <c r="L454" s="76"/>
      <c r="M454" s="69"/>
      <c r="N454" s="76"/>
      <c r="O454" s="76"/>
      <c r="P454" s="76"/>
      <c r="Q454" s="76"/>
      <c r="R454" s="76"/>
      <c r="S454" s="76"/>
      <c r="T454" s="76"/>
      <c r="U454" s="76"/>
      <c r="V454" s="76"/>
      <c r="W454" s="76"/>
    </row>
    <row r="455" spans="1:23" ht="12.75">
      <c r="A455" s="76"/>
      <c r="B455" s="76"/>
      <c r="C455" s="76"/>
      <c r="D455" s="69"/>
      <c r="E455" s="76"/>
      <c r="F455" s="76"/>
      <c r="G455" s="76"/>
      <c r="H455" s="76"/>
      <c r="I455" s="76"/>
      <c r="J455" s="76"/>
      <c r="K455" s="76"/>
      <c r="L455" s="76"/>
      <c r="M455" s="69"/>
      <c r="N455" s="76"/>
      <c r="O455" s="76"/>
      <c r="P455" s="76"/>
      <c r="Q455" s="76"/>
      <c r="R455" s="76"/>
      <c r="S455" s="76"/>
      <c r="T455" s="76"/>
      <c r="U455" s="76"/>
      <c r="V455" s="76"/>
      <c r="W455" s="76"/>
    </row>
    <row r="456" spans="1:23" ht="12.75">
      <c r="A456" s="76"/>
      <c r="B456" s="76"/>
      <c r="C456" s="76"/>
      <c r="D456" s="69"/>
      <c r="E456" s="76"/>
      <c r="F456" s="76"/>
      <c r="G456" s="76"/>
      <c r="H456" s="76"/>
      <c r="I456" s="76"/>
      <c r="J456" s="76"/>
      <c r="K456" s="76"/>
      <c r="L456" s="76"/>
      <c r="M456" s="69"/>
      <c r="N456" s="76"/>
      <c r="O456" s="76"/>
      <c r="P456" s="76"/>
      <c r="Q456" s="76"/>
      <c r="R456" s="76"/>
      <c r="S456" s="76"/>
      <c r="T456" s="76"/>
      <c r="U456" s="76"/>
      <c r="V456" s="76"/>
      <c r="W456" s="76"/>
    </row>
    <row r="457" spans="1:23" ht="12.75">
      <c r="A457" s="76"/>
      <c r="B457" s="76"/>
      <c r="C457" s="76"/>
      <c r="D457" s="69"/>
      <c r="E457" s="76"/>
      <c r="F457" s="76"/>
      <c r="G457" s="76"/>
      <c r="H457" s="76"/>
      <c r="I457" s="76"/>
      <c r="J457" s="76"/>
      <c r="K457" s="76"/>
      <c r="L457" s="76"/>
      <c r="M457" s="69"/>
      <c r="N457" s="76"/>
      <c r="O457" s="76"/>
      <c r="P457" s="76"/>
      <c r="Q457" s="76"/>
      <c r="R457" s="76"/>
      <c r="S457" s="76"/>
      <c r="T457" s="76"/>
      <c r="U457" s="76"/>
      <c r="V457" s="76"/>
      <c r="W457" s="76"/>
    </row>
    <row r="458" spans="1:23" ht="12.75">
      <c r="A458" s="76"/>
      <c r="B458" s="76"/>
      <c r="C458" s="76"/>
      <c r="D458" s="69"/>
      <c r="E458" s="76"/>
      <c r="F458" s="76"/>
      <c r="G458" s="76"/>
      <c r="H458" s="76"/>
      <c r="I458" s="76"/>
      <c r="J458" s="76"/>
      <c r="K458" s="76"/>
      <c r="L458" s="76"/>
      <c r="M458" s="69"/>
      <c r="N458" s="76"/>
      <c r="O458" s="76"/>
      <c r="P458" s="76"/>
      <c r="Q458" s="76"/>
      <c r="R458" s="76"/>
      <c r="S458" s="76"/>
      <c r="T458" s="76"/>
      <c r="U458" s="76"/>
      <c r="V458" s="76"/>
      <c r="W458" s="76"/>
    </row>
    <row r="459" spans="1:23" ht="12.75">
      <c r="A459" s="76"/>
      <c r="B459" s="76"/>
      <c r="C459" s="76"/>
      <c r="D459" s="69"/>
      <c r="E459" s="76"/>
      <c r="F459" s="76"/>
      <c r="G459" s="76"/>
      <c r="H459" s="76"/>
      <c r="I459" s="76"/>
      <c r="J459" s="76"/>
      <c r="K459" s="76"/>
      <c r="L459" s="76"/>
      <c r="M459" s="69"/>
      <c r="N459" s="76"/>
      <c r="O459" s="76"/>
      <c r="P459" s="76"/>
      <c r="Q459" s="76"/>
      <c r="R459" s="76"/>
      <c r="S459" s="76"/>
      <c r="T459" s="76"/>
      <c r="U459" s="76"/>
      <c r="V459" s="76"/>
      <c r="W459" s="76"/>
    </row>
    <row r="460" spans="1:23" ht="12.75">
      <c r="A460" s="76"/>
      <c r="B460" s="76"/>
      <c r="C460" s="76"/>
      <c r="D460" s="69"/>
      <c r="E460" s="76"/>
      <c r="F460" s="76"/>
      <c r="G460" s="76"/>
      <c r="H460" s="76"/>
      <c r="I460" s="76"/>
      <c r="J460" s="76"/>
      <c r="K460" s="76"/>
      <c r="L460" s="76"/>
      <c r="M460" s="69"/>
      <c r="N460" s="76"/>
      <c r="O460" s="76"/>
      <c r="P460" s="76"/>
      <c r="Q460" s="76"/>
      <c r="R460" s="76"/>
      <c r="S460" s="76"/>
      <c r="T460" s="76"/>
      <c r="U460" s="76"/>
      <c r="V460" s="76"/>
      <c r="W460" s="76"/>
    </row>
    <row r="461" spans="1:23" ht="12.75">
      <c r="A461" s="76"/>
      <c r="B461" s="76"/>
      <c r="C461" s="76"/>
      <c r="D461" s="69"/>
      <c r="E461" s="76"/>
      <c r="F461" s="76"/>
      <c r="G461" s="76"/>
      <c r="H461" s="76"/>
      <c r="I461" s="76"/>
      <c r="J461" s="76"/>
      <c r="K461" s="76"/>
      <c r="L461" s="76"/>
      <c r="M461" s="69"/>
      <c r="N461" s="76"/>
      <c r="O461" s="76"/>
      <c r="P461" s="76"/>
      <c r="Q461" s="76"/>
      <c r="R461" s="76"/>
      <c r="S461" s="76"/>
      <c r="T461" s="76"/>
      <c r="U461" s="76"/>
      <c r="V461" s="76"/>
      <c r="W461" s="76"/>
    </row>
    <row r="462" spans="1:23" ht="12.75">
      <c r="A462" s="76"/>
      <c r="B462" s="76"/>
      <c r="C462" s="76"/>
      <c r="D462" s="69"/>
      <c r="E462" s="76"/>
      <c r="F462" s="76"/>
      <c r="G462" s="76"/>
      <c r="H462" s="76"/>
      <c r="I462" s="76"/>
      <c r="J462" s="76"/>
      <c r="K462" s="76"/>
      <c r="L462" s="76"/>
      <c r="M462" s="69"/>
      <c r="N462" s="76"/>
      <c r="O462" s="76"/>
      <c r="P462" s="76"/>
      <c r="Q462" s="76"/>
      <c r="R462" s="76"/>
      <c r="S462" s="76"/>
      <c r="T462" s="76"/>
      <c r="U462" s="76"/>
      <c r="V462" s="76"/>
      <c r="W462" s="76"/>
    </row>
    <row r="463" spans="1:23" ht="12.75">
      <c r="A463" s="76"/>
      <c r="B463" s="76"/>
      <c r="C463" s="76"/>
      <c r="D463" s="69"/>
      <c r="E463" s="76"/>
      <c r="F463" s="76"/>
      <c r="G463" s="76"/>
      <c r="H463" s="76"/>
      <c r="I463" s="76"/>
      <c r="J463" s="76"/>
      <c r="K463" s="76"/>
      <c r="L463" s="76"/>
      <c r="M463" s="69"/>
      <c r="N463" s="76"/>
      <c r="O463" s="76"/>
      <c r="P463" s="76"/>
      <c r="Q463" s="76"/>
      <c r="R463" s="76"/>
      <c r="S463" s="76"/>
      <c r="T463" s="76"/>
      <c r="U463" s="76"/>
      <c r="V463" s="76"/>
      <c r="W463" s="76"/>
    </row>
    <row r="464" spans="1:23" ht="12.75">
      <c r="A464" s="76"/>
      <c r="B464" s="76"/>
      <c r="C464" s="76"/>
      <c r="D464" s="69"/>
      <c r="E464" s="76"/>
      <c r="F464" s="76"/>
      <c r="G464" s="76"/>
      <c r="H464" s="76"/>
      <c r="I464" s="76"/>
      <c r="J464" s="76"/>
      <c r="K464" s="76"/>
      <c r="L464" s="76"/>
      <c r="M464" s="69"/>
      <c r="N464" s="76"/>
      <c r="O464" s="76"/>
      <c r="P464" s="76"/>
      <c r="Q464" s="76"/>
      <c r="R464" s="76"/>
      <c r="S464" s="76"/>
      <c r="T464" s="76"/>
      <c r="U464" s="76"/>
      <c r="V464" s="76"/>
      <c r="W464" s="76"/>
    </row>
    <row r="465" spans="1:23" ht="12.75">
      <c r="A465" s="76"/>
      <c r="B465" s="76"/>
      <c r="C465" s="76"/>
      <c r="D465" s="69"/>
      <c r="E465" s="76"/>
      <c r="F465" s="76"/>
      <c r="G465" s="76"/>
      <c r="H465" s="76"/>
      <c r="I465" s="76"/>
      <c r="J465" s="76"/>
      <c r="K465" s="76"/>
      <c r="L465" s="76"/>
      <c r="M465" s="69"/>
      <c r="N465" s="76"/>
      <c r="O465" s="76"/>
      <c r="P465" s="76"/>
      <c r="Q465" s="76"/>
      <c r="R465" s="76"/>
      <c r="S465" s="76"/>
      <c r="T465" s="76"/>
      <c r="U465" s="76"/>
      <c r="V465" s="76"/>
      <c r="W465" s="76"/>
    </row>
    <row r="466" spans="1:23" ht="12.75">
      <c r="A466" s="76"/>
      <c r="B466" s="76"/>
      <c r="C466" s="76"/>
      <c r="D466" s="69"/>
      <c r="E466" s="76"/>
      <c r="F466" s="76"/>
      <c r="G466" s="76"/>
      <c r="H466" s="76"/>
      <c r="I466" s="76"/>
      <c r="J466" s="76"/>
      <c r="K466" s="76"/>
      <c r="L466" s="76"/>
      <c r="M466" s="69"/>
      <c r="N466" s="76"/>
      <c r="O466" s="76"/>
      <c r="P466" s="76"/>
      <c r="Q466" s="76"/>
      <c r="R466" s="76"/>
      <c r="S466" s="76"/>
      <c r="T466" s="76"/>
      <c r="U466" s="76"/>
      <c r="V466" s="76"/>
      <c r="W466" s="76"/>
    </row>
    <row r="467" spans="1:23" ht="12.75">
      <c r="A467" s="76"/>
      <c r="B467" s="76"/>
      <c r="C467" s="76"/>
      <c r="D467" s="69"/>
      <c r="E467" s="76"/>
      <c r="F467" s="76"/>
      <c r="G467" s="76"/>
      <c r="H467" s="76"/>
      <c r="I467" s="76"/>
      <c r="J467" s="76"/>
      <c r="K467" s="76"/>
      <c r="L467" s="76"/>
      <c r="M467" s="69"/>
      <c r="N467" s="76"/>
      <c r="O467" s="76"/>
      <c r="P467" s="76"/>
      <c r="Q467" s="76"/>
      <c r="R467" s="76"/>
      <c r="S467" s="76"/>
      <c r="T467" s="76"/>
      <c r="U467" s="76"/>
      <c r="V467" s="76"/>
      <c r="W467" s="76"/>
    </row>
    <row r="468" spans="1:23" ht="12.75">
      <c r="A468" s="76"/>
      <c r="B468" s="76"/>
      <c r="C468" s="76"/>
      <c r="D468" s="69"/>
      <c r="E468" s="76"/>
      <c r="F468" s="76"/>
      <c r="G468" s="76"/>
      <c r="H468" s="76"/>
      <c r="I468" s="76"/>
      <c r="J468" s="76"/>
      <c r="K468" s="76"/>
      <c r="L468" s="76"/>
      <c r="M468" s="69"/>
      <c r="N468" s="76"/>
      <c r="O468" s="76"/>
      <c r="P468" s="76"/>
      <c r="Q468" s="76"/>
      <c r="R468" s="76"/>
      <c r="S468" s="76"/>
      <c r="T468" s="76"/>
      <c r="U468" s="76"/>
      <c r="V468" s="76"/>
      <c r="W468" s="76"/>
    </row>
    <row r="469" spans="1:23" ht="12.75">
      <c r="A469" s="76"/>
      <c r="B469" s="76"/>
      <c r="C469" s="76"/>
      <c r="D469" s="69"/>
      <c r="E469" s="76"/>
      <c r="F469" s="76"/>
      <c r="G469" s="76"/>
      <c r="H469" s="76"/>
      <c r="I469" s="76"/>
      <c r="J469" s="76"/>
      <c r="K469" s="76"/>
      <c r="L469" s="76"/>
      <c r="M469" s="69"/>
      <c r="N469" s="76"/>
      <c r="O469" s="76"/>
      <c r="P469" s="76"/>
      <c r="Q469" s="76"/>
      <c r="R469" s="76"/>
      <c r="S469" s="76"/>
      <c r="T469" s="76"/>
      <c r="U469" s="76"/>
      <c r="V469" s="76"/>
      <c r="W469" s="76"/>
    </row>
    <row r="470" spans="1:23" ht="12.75">
      <c r="A470" s="76"/>
      <c r="B470" s="76"/>
      <c r="C470" s="76"/>
      <c r="D470" s="69"/>
      <c r="E470" s="76"/>
      <c r="F470" s="76"/>
      <c r="G470" s="76"/>
      <c r="H470" s="76"/>
      <c r="I470" s="76"/>
      <c r="J470" s="76"/>
      <c r="K470" s="76"/>
      <c r="L470" s="76"/>
      <c r="M470" s="69"/>
      <c r="N470" s="76"/>
      <c r="O470" s="76"/>
      <c r="P470" s="76"/>
      <c r="Q470" s="76"/>
      <c r="R470" s="76"/>
      <c r="S470" s="76"/>
      <c r="T470" s="76"/>
      <c r="U470" s="76"/>
      <c r="V470" s="76"/>
      <c r="W470" s="76"/>
    </row>
    <row r="471" spans="1:23" ht="12.75">
      <c r="A471" s="76"/>
      <c r="B471" s="76"/>
      <c r="C471" s="76"/>
      <c r="D471" s="69"/>
      <c r="E471" s="76"/>
      <c r="F471" s="76"/>
      <c r="G471" s="76"/>
      <c r="H471" s="76"/>
      <c r="I471" s="76"/>
      <c r="J471" s="76"/>
      <c r="K471" s="76"/>
      <c r="L471" s="76"/>
      <c r="M471" s="69"/>
      <c r="N471" s="76"/>
      <c r="O471" s="76"/>
      <c r="P471" s="76"/>
      <c r="Q471" s="76"/>
      <c r="R471" s="76"/>
      <c r="S471" s="76"/>
      <c r="T471" s="76"/>
      <c r="U471" s="76"/>
      <c r="V471" s="76"/>
      <c r="W471" s="76"/>
    </row>
    <row r="472" spans="1:23" ht="12.75">
      <c r="A472" s="76"/>
      <c r="B472" s="76"/>
      <c r="C472" s="76"/>
      <c r="D472" s="69"/>
      <c r="E472" s="76"/>
      <c r="F472" s="76"/>
      <c r="G472" s="76"/>
      <c r="H472" s="76"/>
      <c r="I472" s="76"/>
      <c r="J472" s="76"/>
      <c r="K472" s="76"/>
      <c r="L472" s="76"/>
      <c r="M472" s="69"/>
      <c r="N472" s="76"/>
      <c r="O472" s="76"/>
      <c r="P472" s="76"/>
      <c r="Q472" s="76"/>
      <c r="R472" s="76"/>
      <c r="S472" s="76"/>
      <c r="T472" s="76"/>
      <c r="U472" s="76"/>
      <c r="V472" s="76"/>
      <c r="W472" s="76"/>
    </row>
    <row r="473" spans="1:23" ht="12.75">
      <c r="A473" s="76"/>
      <c r="B473" s="76"/>
      <c r="C473" s="76"/>
      <c r="D473" s="69"/>
      <c r="E473" s="76"/>
      <c r="F473" s="76"/>
      <c r="G473" s="76"/>
      <c r="H473" s="76"/>
      <c r="I473" s="76"/>
      <c r="J473" s="76"/>
      <c r="K473" s="76"/>
      <c r="L473" s="76"/>
      <c r="M473" s="69"/>
      <c r="N473" s="76"/>
      <c r="O473" s="76"/>
      <c r="P473" s="76"/>
      <c r="Q473" s="76"/>
      <c r="R473" s="76"/>
      <c r="S473" s="76"/>
      <c r="T473" s="76"/>
      <c r="U473" s="76"/>
      <c r="V473" s="76"/>
      <c r="W473" s="76"/>
    </row>
    <row r="474" spans="1:23" ht="12.75">
      <c r="A474" s="76"/>
      <c r="B474" s="76"/>
      <c r="C474" s="76"/>
      <c r="D474" s="69"/>
      <c r="E474" s="76"/>
      <c r="F474" s="76"/>
      <c r="G474" s="76"/>
      <c r="H474" s="76"/>
      <c r="I474" s="76"/>
      <c r="J474" s="76"/>
      <c r="K474" s="76"/>
      <c r="L474" s="76"/>
      <c r="M474" s="69"/>
      <c r="N474" s="76"/>
      <c r="O474" s="76"/>
      <c r="P474" s="76"/>
      <c r="Q474" s="76"/>
      <c r="R474" s="76"/>
      <c r="S474" s="76"/>
      <c r="T474" s="76"/>
      <c r="U474" s="76"/>
      <c r="V474" s="76"/>
      <c r="W474" s="76"/>
    </row>
    <row r="475" spans="1:23" ht="12.75">
      <c r="A475" s="76"/>
      <c r="B475" s="76"/>
      <c r="C475" s="76"/>
      <c r="D475" s="69"/>
      <c r="E475" s="76"/>
      <c r="F475" s="76"/>
      <c r="G475" s="76"/>
      <c r="H475" s="76"/>
      <c r="I475" s="76"/>
      <c r="J475" s="76"/>
      <c r="K475" s="76"/>
      <c r="L475" s="76"/>
      <c r="M475" s="69"/>
      <c r="N475" s="76"/>
      <c r="O475" s="76"/>
      <c r="P475" s="76"/>
      <c r="Q475" s="76"/>
      <c r="R475" s="76"/>
      <c r="S475" s="76"/>
      <c r="T475" s="76"/>
      <c r="U475" s="76"/>
      <c r="V475" s="76"/>
      <c r="W475" s="76"/>
    </row>
    <row r="476" spans="1:23" ht="12.75">
      <c r="A476" s="76"/>
      <c r="B476" s="76"/>
      <c r="C476" s="76"/>
      <c r="D476" s="69"/>
      <c r="E476" s="76"/>
      <c r="F476" s="76"/>
      <c r="G476" s="76"/>
      <c r="H476" s="76"/>
      <c r="I476" s="76"/>
      <c r="J476" s="76"/>
      <c r="K476" s="76"/>
      <c r="L476" s="76"/>
      <c r="M476" s="69"/>
      <c r="N476" s="76"/>
      <c r="O476" s="76"/>
      <c r="P476" s="76"/>
      <c r="Q476" s="76"/>
      <c r="R476" s="76"/>
      <c r="S476" s="76"/>
      <c r="T476" s="76"/>
      <c r="U476" s="76"/>
      <c r="V476" s="76"/>
      <c r="W476" s="76"/>
    </row>
    <row r="477" spans="1:23" ht="12.75">
      <c r="A477" s="76"/>
      <c r="B477" s="76"/>
      <c r="C477" s="76"/>
      <c r="D477" s="69"/>
      <c r="E477" s="76"/>
      <c r="F477" s="76"/>
      <c r="G477" s="76"/>
      <c r="H477" s="76"/>
      <c r="I477" s="76"/>
      <c r="J477" s="76"/>
      <c r="K477" s="76"/>
      <c r="L477" s="76"/>
      <c r="M477" s="69"/>
      <c r="N477" s="76"/>
      <c r="O477" s="76"/>
      <c r="P477" s="76"/>
      <c r="Q477" s="76"/>
      <c r="R477" s="76"/>
      <c r="S477" s="76"/>
      <c r="T477" s="76"/>
      <c r="U477" s="76"/>
      <c r="V477" s="76"/>
      <c r="W477" s="76"/>
    </row>
    <row r="478" spans="1:23" ht="12.75">
      <c r="A478" s="76"/>
      <c r="B478" s="76"/>
      <c r="C478" s="76"/>
      <c r="D478" s="69"/>
      <c r="E478" s="76"/>
      <c r="F478" s="76"/>
      <c r="G478" s="76"/>
      <c r="H478" s="76"/>
      <c r="I478" s="76"/>
      <c r="J478" s="76"/>
      <c r="K478" s="76"/>
      <c r="L478" s="76"/>
      <c r="M478" s="69"/>
      <c r="N478" s="76"/>
      <c r="O478" s="76"/>
      <c r="P478" s="76"/>
      <c r="Q478" s="76"/>
      <c r="R478" s="76"/>
      <c r="S478" s="76"/>
      <c r="T478" s="76"/>
      <c r="U478" s="76"/>
      <c r="V478" s="76"/>
      <c r="W478" s="76"/>
    </row>
    <row r="479" spans="1:23" ht="12.75">
      <c r="A479" s="76"/>
      <c r="B479" s="76"/>
      <c r="C479" s="76"/>
      <c r="D479" s="69"/>
      <c r="E479" s="76"/>
      <c r="F479" s="76"/>
      <c r="G479" s="76"/>
      <c r="H479" s="76"/>
      <c r="I479" s="76"/>
      <c r="J479" s="76"/>
      <c r="K479" s="76"/>
      <c r="L479" s="76"/>
      <c r="M479" s="69"/>
      <c r="N479" s="76"/>
      <c r="O479" s="76"/>
      <c r="P479" s="76"/>
      <c r="Q479" s="76"/>
      <c r="R479" s="76"/>
      <c r="S479" s="76"/>
      <c r="T479" s="76"/>
      <c r="U479" s="76"/>
      <c r="V479" s="76"/>
      <c r="W479" s="76"/>
    </row>
    <row r="480" spans="1:23" ht="12.75">
      <c r="A480" s="76"/>
      <c r="B480" s="76"/>
      <c r="C480" s="76"/>
      <c r="D480" s="69"/>
      <c r="E480" s="76"/>
      <c r="F480" s="76"/>
      <c r="G480" s="76"/>
      <c r="H480" s="76"/>
      <c r="I480" s="76"/>
      <c r="J480" s="76"/>
      <c r="K480" s="76"/>
      <c r="L480" s="76"/>
      <c r="M480" s="69"/>
      <c r="N480" s="76"/>
      <c r="O480" s="76"/>
      <c r="P480" s="76"/>
      <c r="Q480" s="76"/>
      <c r="R480" s="76"/>
      <c r="S480" s="76"/>
      <c r="T480" s="76"/>
      <c r="U480" s="76"/>
      <c r="V480" s="76"/>
      <c r="W480" s="76"/>
    </row>
    <row r="481" spans="1:23" ht="12.75">
      <c r="A481" s="76"/>
      <c r="B481" s="76"/>
      <c r="C481" s="76"/>
      <c r="D481" s="69"/>
      <c r="E481" s="76"/>
      <c r="F481" s="76"/>
      <c r="G481" s="76"/>
      <c r="H481" s="76"/>
      <c r="I481" s="76"/>
      <c r="J481" s="76"/>
      <c r="K481" s="76"/>
      <c r="L481" s="76"/>
      <c r="M481" s="69"/>
      <c r="N481" s="76"/>
      <c r="O481" s="76"/>
      <c r="P481" s="76"/>
      <c r="Q481" s="76"/>
      <c r="R481" s="76"/>
      <c r="S481" s="76"/>
      <c r="T481" s="76"/>
      <c r="U481" s="76"/>
      <c r="V481" s="76"/>
      <c r="W481" s="76"/>
    </row>
    <row r="482" spans="1:23" ht="12.75">
      <c r="A482" s="76"/>
      <c r="B482" s="76"/>
      <c r="C482" s="76"/>
      <c r="D482" s="69"/>
      <c r="E482" s="76"/>
      <c r="F482" s="76"/>
      <c r="G482" s="76"/>
      <c r="H482" s="76"/>
      <c r="I482" s="76"/>
      <c r="J482" s="76"/>
      <c r="K482" s="76"/>
      <c r="L482" s="76"/>
      <c r="M482" s="69"/>
      <c r="N482" s="76"/>
      <c r="O482" s="76"/>
      <c r="P482" s="76"/>
      <c r="Q482" s="76"/>
      <c r="R482" s="76"/>
      <c r="S482" s="76"/>
      <c r="T482" s="76"/>
      <c r="U482" s="76"/>
      <c r="V482" s="76"/>
      <c r="W482" s="76"/>
    </row>
    <row r="483" spans="1:23" ht="12.75">
      <c r="A483" s="76"/>
      <c r="B483" s="76"/>
      <c r="C483" s="76"/>
      <c r="D483" s="69"/>
      <c r="E483" s="76"/>
      <c r="F483" s="76"/>
      <c r="G483" s="76"/>
      <c r="H483" s="76"/>
      <c r="I483" s="76"/>
      <c r="J483" s="76"/>
      <c r="K483" s="76"/>
      <c r="L483" s="76"/>
      <c r="M483" s="69"/>
      <c r="N483" s="76"/>
      <c r="O483" s="76"/>
      <c r="P483" s="76"/>
      <c r="Q483" s="76"/>
      <c r="R483" s="76"/>
      <c r="S483" s="76"/>
      <c r="T483" s="76"/>
      <c r="U483" s="76"/>
      <c r="V483" s="76"/>
      <c r="W483" s="76"/>
    </row>
    <row r="484" spans="1:23" ht="12.75">
      <c r="A484" s="76"/>
      <c r="B484" s="76"/>
      <c r="C484" s="76"/>
      <c r="D484" s="69"/>
      <c r="E484" s="76"/>
      <c r="F484" s="76"/>
      <c r="G484" s="76"/>
      <c r="H484" s="76"/>
      <c r="I484" s="76"/>
      <c r="J484" s="76"/>
      <c r="K484" s="76"/>
      <c r="L484" s="76"/>
      <c r="M484" s="69"/>
      <c r="N484" s="76"/>
      <c r="O484" s="76"/>
      <c r="P484" s="76"/>
      <c r="Q484" s="76"/>
      <c r="R484" s="76"/>
      <c r="S484" s="76"/>
      <c r="T484" s="76"/>
      <c r="U484" s="76"/>
      <c r="V484" s="76"/>
      <c r="W484" s="76"/>
    </row>
    <row r="485" spans="1:23" ht="12.75">
      <c r="A485" s="76"/>
      <c r="B485" s="76"/>
      <c r="C485" s="76"/>
      <c r="D485" s="69"/>
      <c r="E485" s="76"/>
      <c r="F485" s="76"/>
      <c r="G485" s="76"/>
      <c r="H485" s="76"/>
      <c r="I485" s="76"/>
      <c r="J485" s="76"/>
      <c r="K485" s="76"/>
      <c r="L485" s="76"/>
      <c r="M485" s="69"/>
      <c r="N485" s="76"/>
      <c r="O485" s="76"/>
      <c r="P485" s="76"/>
      <c r="Q485" s="76"/>
      <c r="R485" s="76"/>
      <c r="S485" s="76"/>
      <c r="T485" s="76"/>
      <c r="U485" s="76"/>
      <c r="V485" s="76"/>
      <c r="W485" s="76"/>
    </row>
    <row r="486" spans="1:23" ht="12.75">
      <c r="A486" s="76"/>
      <c r="B486" s="76"/>
      <c r="C486" s="76"/>
      <c r="D486" s="69"/>
      <c r="E486" s="76"/>
      <c r="F486" s="76"/>
      <c r="G486" s="76"/>
      <c r="H486" s="76"/>
      <c r="I486" s="76"/>
      <c r="J486" s="76"/>
      <c r="K486" s="76"/>
      <c r="L486" s="76"/>
      <c r="M486" s="69"/>
      <c r="N486" s="76"/>
      <c r="O486" s="76"/>
      <c r="P486" s="76"/>
      <c r="Q486" s="76"/>
      <c r="R486" s="76"/>
      <c r="S486" s="76"/>
      <c r="T486" s="76"/>
      <c r="U486" s="76"/>
      <c r="V486" s="76"/>
      <c r="W486" s="76"/>
    </row>
    <row r="487" spans="1:23" ht="12.75">
      <c r="A487" s="76"/>
      <c r="B487" s="76"/>
      <c r="C487" s="76"/>
      <c r="D487" s="69"/>
      <c r="E487" s="76"/>
      <c r="F487" s="76"/>
      <c r="G487" s="76"/>
      <c r="H487" s="76"/>
      <c r="I487" s="76"/>
      <c r="J487" s="76"/>
      <c r="K487" s="76"/>
      <c r="L487" s="76"/>
      <c r="M487" s="69"/>
      <c r="N487" s="76"/>
      <c r="O487" s="76"/>
      <c r="P487" s="76"/>
      <c r="Q487" s="76"/>
      <c r="R487" s="76"/>
      <c r="S487" s="76"/>
      <c r="T487" s="76"/>
      <c r="U487" s="76"/>
      <c r="V487" s="76"/>
      <c r="W487" s="76"/>
    </row>
    <row r="488" spans="1:23" ht="12.75">
      <c r="A488" s="76"/>
      <c r="B488" s="76"/>
      <c r="C488" s="76"/>
      <c r="D488" s="69"/>
      <c r="E488" s="76"/>
      <c r="F488" s="76"/>
      <c r="G488" s="76"/>
      <c r="H488" s="76"/>
      <c r="I488" s="76"/>
      <c r="J488" s="76"/>
      <c r="K488" s="76"/>
      <c r="L488" s="76"/>
      <c r="M488" s="69"/>
      <c r="N488" s="76"/>
      <c r="O488" s="76"/>
      <c r="P488" s="76"/>
      <c r="Q488" s="76"/>
      <c r="R488" s="76"/>
      <c r="S488" s="76"/>
      <c r="T488" s="76"/>
      <c r="U488" s="76"/>
      <c r="V488" s="76"/>
      <c r="W488" s="76"/>
    </row>
    <row r="489" spans="1:23" ht="12.75">
      <c r="A489" s="76"/>
      <c r="B489" s="76"/>
      <c r="C489" s="76"/>
      <c r="D489" s="69"/>
      <c r="E489" s="76"/>
      <c r="F489" s="76"/>
      <c r="G489" s="76"/>
      <c r="H489" s="76"/>
      <c r="I489" s="76"/>
      <c r="J489" s="76"/>
      <c r="K489" s="76"/>
      <c r="L489" s="76"/>
      <c r="M489" s="69"/>
      <c r="N489" s="76"/>
      <c r="O489" s="76"/>
      <c r="P489" s="76"/>
      <c r="Q489" s="76"/>
      <c r="R489" s="76"/>
      <c r="S489" s="76"/>
      <c r="T489" s="76"/>
      <c r="U489" s="76"/>
      <c r="V489" s="76"/>
      <c r="W489" s="76"/>
    </row>
    <row r="490" spans="1:23" ht="12.75">
      <c r="A490" s="76"/>
      <c r="B490" s="76"/>
      <c r="C490" s="76"/>
      <c r="D490" s="69"/>
      <c r="E490" s="76"/>
      <c r="F490" s="76"/>
      <c r="G490" s="76"/>
      <c r="H490" s="76"/>
      <c r="I490" s="76"/>
      <c r="J490" s="76"/>
      <c r="K490" s="76"/>
      <c r="L490" s="76"/>
      <c r="M490" s="69"/>
      <c r="N490" s="76"/>
      <c r="O490" s="76"/>
      <c r="P490" s="76"/>
      <c r="Q490" s="76"/>
      <c r="R490" s="76"/>
      <c r="S490" s="76"/>
      <c r="T490" s="76"/>
      <c r="U490" s="76"/>
      <c r="V490" s="76"/>
      <c r="W490" s="76"/>
    </row>
    <row r="491" spans="1:23" ht="12.75">
      <c r="A491" s="76"/>
      <c r="B491" s="76"/>
      <c r="C491" s="76"/>
      <c r="D491" s="69"/>
      <c r="E491" s="76"/>
      <c r="F491" s="76"/>
      <c r="G491" s="76"/>
      <c r="H491" s="76"/>
      <c r="I491" s="76"/>
      <c r="J491" s="76"/>
      <c r="K491" s="76"/>
      <c r="L491" s="76"/>
      <c r="M491" s="69"/>
      <c r="N491" s="76"/>
      <c r="O491" s="76"/>
      <c r="P491" s="76"/>
      <c r="Q491" s="76"/>
      <c r="R491" s="76"/>
      <c r="S491" s="76"/>
      <c r="T491" s="76"/>
      <c r="U491" s="76"/>
      <c r="V491" s="76"/>
      <c r="W491" s="76"/>
    </row>
    <row r="492" spans="1:23" ht="12.75">
      <c r="A492" s="76"/>
      <c r="B492" s="76"/>
      <c r="C492" s="76"/>
      <c r="D492" s="69"/>
      <c r="E492" s="76"/>
      <c r="F492" s="76"/>
      <c r="G492" s="76"/>
      <c r="H492" s="76"/>
      <c r="I492" s="76"/>
      <c r="J492" s="76"/>
      <c r="K492" s="76"/>
      <c r="L492" s="76"/>
      <c r="M492" s="69"/>
      <c r="N492" s="76"/>
      <c r="O492" s="76"/>
      <c r="P492" s="76"/>
      <c r="Q492" s="76"/>
      <c r="R492" s="76"/>
      <c r="S492" s="76"/>
      <c r="T492" s="76"/>
      <c r="U492" s="76"/>
      <c r="V492" s="76"/>
      <c r="W492" s="76"/>
    </row>
    <row r="493" spans="1:23" ht="12.75">
      <c r="A493" s="76"/>
      <c r="B493" s="76"/>
      <c r="C493" s="76"/>
      <c r="D493" s="69"/>
      <c r="E493" s="76"/>
      <c r="F493" s="76"/>
      <c r="G493" s="76"/>
      <c r="H493" s="76"/>
      <c r="I493" s="76"/>
      <c r="J493" s="76"/>
      <c r="K493" s="76"/>
      <c r="L493" s="76"/>
      <c r="M493" s="69"/>
      <c r="N493" s="76"/>
      <c r="O493" s="76"/>
      <c r="P493" s="76"/>
      <c r="Q493" s="76"/>
      <c r="R493" s="76"/>
      <c r="S493" s="76"/>
      <c r="T493" s="76"/>
      <c r="U493" s="76"/>
      <c r="V493" s="76"/>
      <c r="W493" s="76"/>
    </row>
    <row r="494" spans="1:23" ht="12.75">
      <c r="A494" s="76"/>
      <c r="B494" s="76"/>
      <c r="C494" s="76"/>
      <c r="D494" s="69"/>
      <c r="E494" s="76"/>
      <c r="F494" s="76"/>
      <c r="G494" s="76"/>
      <c r="H494" s="76"/>
      <c r="I494" s="76"/>
      <c r="J494" s="76"/>
      <c r="K494" s="76"/>
      <c r="L494" s="76"/>
      <c r="M494" s="69"/>
      <c r="N494" s="76"/>
      <c r="O494" s="76"/>
      <c r="P494" s="76"/>
      <c r="Q494" s="76"/>
      <c r="R494" s="76"/>
      <c r="S494" s="76"/>
      <c r="T494" s="76"/>
      <c r="U494" s="76"/>
      <c r="V494" s="76"/>
      <c r="W494" s="76"/>
    </row>
    <row r="495" spans="1:23" ht="12.75">
      <c r="A495" s="76"/>
      <c r="B495" s="76"/>
      <c r="C495" s="76"/>
      <c r="D495" s="69"/>
      <c r="E495" s="76"/>
      <c r="F495" s="76"/>
      <c r="G495" s="76"/>
      <c r="H495" s="76"/>
      <c r="I495" s="76"/>
      <c r="J495" s="76"/>
      <c r="K495" s="76"/>
      <c r="L495" s="76"/>
      <c r="M495" s="69"/>
      <c r="N495" s="76"/>
      <c r="O495" s="76"/>
      <c r="P495" s="76"/>
      <c r="Q495" s="76"/>
      <c r="R495" s="76"/>
      <c r="S495" s="76"/>
      <c r="T495" s="76"/>
      <c r="U495" s="76"/>
      <c r="V495" s="76"/>
      <c r="W495" s="76"/>
    </row>
    <row r="496" spans="1:23" ht="12.75">
      <c r="A496" s="76"/>
      <c r="B496" s="76"/>
      <c r="C496" s="76"/>
      <c r="D496" s="69"/>
      <c r="E496" s="76"/>
      <c r="F496" s="76"/>
      <c r="G496" s="76"/>
      <c r="H496" s="76"/>
      <c r="I496" s="76"/>
      <c r="J496" s="76"/>
      <c r="K496" s="76"/>
      <c r="L496" s="76"/>
      <c r="M496" s="69"/>
      <c r="N496" s="76"/>
      <c r="O496" s="76"/>
      <c r="P496" s="76"/>
      <c r="Q496" s="76"/>
      <c r="R496" s="76"/>
      <c r="S496" s="76"/>
      <c r="T496" s="76"/>
      <c r="U496" s="76"/>
      <c r="V496" s="76"/>
      <c r="W496" s="76"/>
    </row>
    <row r="497" spans="1:23" ht="12.75">
      <c r="A497" s="76"/>
      <c r="B497" s="76"/>
      <c r="C497" s="76"/>
      <c r="D497" s="69"/>
      <c r="E497" s="76"/>
      <c r="F497" s="76"/>
      <c r="G497" s="76"/>
      <c r="H497" s="76"/>
      <c r="I497" s="76"/>
      <c r="J497" s="76"/>
      <c r="K497" s="76"/>
      <c r="L497" s="76"/>
      <c r="M497" s="69"/>
      <c r="N497" s="76"/>
      <c r="O497" s="76"/>
      <c r="P497" s="76"/>
      <c r="Q497" s="76"/>
      <c r="R497" s="76"/>
      <c r="S497" s="76"/>
      <c r="T497" s="76"/>
      <c r="U497" s="76"/>
      <c r="V497" s="76"/>
      <c r="W497" s="76"/>
    </row>
    <row r="498" spans="1:23" ht="12.75">
      <c r="A498" s="76"/>
      <c r="B498" s="76"/>
      <c r="C498" s="76"/>
      <c r="D498" s="69"/>
      <c r="E498" s="76"/>
      <c r="F498" s="76"/>
      <c r="G498" s="76"/>
      <c r="H498" s="76"/>
      <c r="I498" s="76"/>
      <c r="J498" s="76"/>
      <c r="K498" s="76"/>
      <c r="L498" s="76"/>
      <c r="M498" s="69"/>
      <c r="N498" s="76"/>
      <c r="O498" s="76"/>
      <c r="P498" s="76"/>
      <c r="Q498" s="76"/>
      <c r="R498" s="76"/>
      <c r="S498" s="76"/>
      <c r="T498" s="76"/>
      <c r="U498" s="76"/>
      <c r="V498" s="76"/>
      <c r="W498" s="76"/>
    </row>
    <row r="499" spans="1:23" ht="12.75">
      <c r="A499" s="76"/>
      <c r="B499" s="76"/>
      <c r="C499" s="76"/>
      <c r="D499" s="69"/>
      <c r="E499" s="76"/>
      <c r="F499" s="76"/>
      <c r="G499" s="76"/>
      <c r="H499" s="76"/>
      <c r="I499" s="76"/>
      <c r="J499" s="76"/>
      <c r="K499" s="76"/>
      <c r="L499" s="76"/>
      <c r="M499" s="69"/>
      <c r="N499" s="76"/>
      <c r="O499" s="76"/>
      <c r="P499" s="76"/>
      <c r="Q499" s="76"/>
      <c r="R499" s="76"/>
      <c r="S499" s="76"/>
      <c r="T499" s="76"/>
      <c r="U499" s="76"/>
      <c r="V499" s="76"/>
      <c r="W499" s="76"/>
    </row>
    <row r="500" spans="1:23" ht="12.75">
      <c r="A500" s="76"/>
      <c r="B500" s="76"/>
      <c r="C500" s="76"/>
      <c r="D500" s="69"/>
      <c r="E500" s="76"/>
      <c r="F500" s="76"/>
      <c r="G500" s="76"/>
      <c r="H500" s="76"/>
      <c r="I500" s="76"/>
      <c r="J500" s="76"/>
      <c r="K500" s="76"/>
      <c r="L500" s="76"/>
      <c r="M500" s="69"/>
      <c r="N500" s="76"/>
      <c r="O500" s="76"/>
      <c r="P500" s="76"/>
      <c r="Q500" s="76"/>
      <c r="R500" s="76"/>
      <c r="S500" s="76"/>
      <c r="T500" s="76"/>
      <c r="U500" s="76"/>
      <c r="V500" s="76"/>
      <c r="W500" s="76"/>
    </row>
    <row r="501" spans="1:23" ht="12.75">
      <c r="A501" s="76"/>
      <c r="B501" s="76"/>
      <c r="C501" s="76"/>
      <c r="D501" s="69"/>
      <c r="E501" s="76"/>
      <c r="F501" s="76"/>
      <c r="G501" s="76"/>
      <c r="H501" s="76"/>
      <c r="I501" s="76"/>
      <c r="J501" s="76"/>
      <c r="K501" s="76"/>
      <c r="L501" s="76"/>
      <c r="M501" s="69"/>
      <c r="N501" s="76"/>
      <c r="O501" s="76"/>
      <c r="P501" s="76"/>
      <c r="Q501" s="76"/>
      <c r="R501" s="76"/>
      <c r="S501" s="76"/>
      <c r="T501" s="76"/>
      <c r="U501" s="76"/>
      <c r="V501" s="76"/>
      <c r="W501" s="76"/>
    </row>
    <row r="502" spans="1:23" ht="12.75">
      <c r="A502" s="76"/>
      <c r="B502" s="76"/>
      <c r="C502" s="76"/>
      <c r="D502" s="69"/>
      <c r="E502" s="76"/>
      <c r="F502" s="76"/>
      <c r="G502" s="76"/>
      <c r="H502" s="76"/>
      <c r="I502" s="76"/>
      <c r="J502" s="76"/>
      <c r="K502" s="76"/>
      <c r="L502" s="76"/>
      <c r="M502" s="69"/>
      <c r="N502" s="76"/>
      <c r="O502" s="76"/>
      <c r="P502" s="76"/>
      <c r="Q502" s="76"/>
      <c r="R502" s="76"/>
      <c r="S502" s="76"/>
      <c r="T502" s="76"/>
      <c r="U502" s="76"/>
      <c r="V502" s="76"/>
      <c r="W502" s="76"/>
    </row>
    <row r="503" spans="1:23" ht="12.75">
      <c r="A503" s="76"/>
      <c r="B503" s="76"/>
      <c r="C503" s="76"/>
      <c r="D503" s="69"/>
      <c r="E503" s="76"/>
      <c r="F503" s="76"/>
      <c r="G503" s="76"/>
      <c r="H503" s="76"/>
      <c r="I503" s="76"/>
      <c r="J503" s="76"/>
      <c r="K503" s="76"/>
      <c r="L503" s="76"/>
      <c r="M503" s="69"/>
      <c r="N503" s="76"/>
      <c r="O503" s="76"/>
      <c r="P503" s="76"/>
      <c r="Q503" s="76"/>
      <c r="R503" s="76"/>
      <c r="S503" s="76"/>
      <c r="T503" s="76"/>
      <c r="U503" s="76"/>
      <c r="V503" s="76"/>
      <c r="W503" s="76"/>
    </row>
    <row r="504" spans="1:23" ht="12.75">
      <c r="A504" s="76"/>
      <c r="B504" s="76"/>
      <c r="C504" s="76"/>
      <c r="D504" s="69"/>
      <c r="E504" s="76"/>
      <c r="F504" s="76"/>
      <c r="G504" s="76"/>
      <c r="H504" s="76"/>
      <c r="I504" s="76"/>
      <c r="J504" s="76"/>
      <c r="K504" s="76"/>
      <c r="L504" s="76"/>
      <c r="M504" s="69"/>
      <c r="N504" s="76"/>
      <c r="O504" s="76"/>
      <c r="P504" s="76"/>
      <c r="Q504" s="76"/>
      <c r="R504" s="76"/>
      <c r="S504" s="76"/>
      <c r="T504" s="76"/>
      <c r="U504" s="76"/>
      <c r="V504" s="76"/>
      <c r="W504" s="76"/>
    </row>
    <row r="505" spans="1:23" ht="12.75">
      <c r="A505" s="76"/>
      <c r="B505" s="76"/>
      <c r="C505" s="76"/>
      <c r="D505" s="69"/>
      <c r="E505" s="76"/>
      <c r="F505" s="76"/>
      <c r="G505" s="76"/>
      <c r="H505" s="76"/>
      <c r="I505" s="76"/>
      <c r="J505" s="76"/>
      <c r="K505" s="76"/>
      <c r="L505" s="76"/>
      <c r="M505" s="69"/>
      <c r="N505" s="76"/>
      <c r="O505" s="76"/>
      <c r="P505" s="76"/>
      <c r="Q505" s="76"/>
      <c r="R505" s="76"/>
      <c r="S505" s="76"/>
      <c r="T505" s="76"/>
      <c r="U505" s="76"/>
      <c r="V505" s="76"/>
      <c r="W505" s="76"/>
    </row>
    <row r="506" spans="1:23" ht="12.75">
      <c r="A506" s="76"/>
      <c r="B506" s="76"/>
      <c r="C506" s="76"/>
      <c r="D506" s="69"/>
      <c r="E506" s="76"/>
      <c r="F506" s="76"/>
      <c r="G506" s="76"/>
      <c r="H506" s="76"/>
      <c r="I506" s="76"/>
      <c r="J506" s="76"/>
      <c r="K506" s="76"/>
      <c r="L506" s="76"/>
      <c r="M506" s="69"/>
      <c r="N506" s="76"/>
      <c r="O506" s="76"/>
      <c r="P506" s="76"/>
      <c r="Q506" s="76"/>
      <c r="R506" s="76"/>
      <c r="S506" s="76"/>
      <c r="T506" s="76"/>
      <c r="U506" s="76"/>
      <c r="V506" s="76"/>
      <c r="W506" s="76"/>
    </row>
    <row r="507" spans="1:23" ht="12.75">
      <c r="A507" s="76"/>
      <c r="B507" s="76"/>
      <c r="C507" s="76"/>
      <c r="D507" s="69"/>
      <c r="E507" s="76"/>
      <c r="F507" s="76"/>
      <c r="G507" s="76"/>
      <c r="H507" s="76"/>
      <c r="I507" s="76"/>
      <c r="J507" s="76"/>
      <c r="K507" s="76"/>
      <c r="L507" s="76"/>
      <c r="M507" s="69"/>
      <c r="N507" s="76"/>
      <c r="O507" s="76"/>
      <c r="P507" s="76"/>
      <c r="Q507" s="76"/>
      <c r="R507" s="76"/>
      <c r="S507" s="76"/>
      <c r="T507" s="76"/>
      <c r="U507" s="76"/>
      <c r="V507" s="76"/>
      <c r="W507" s="76"/>
    </row>
    <row r="508" spans="1:23" ht="12.75">
      <c r="A508" s="76"/>
      <c r="B508" s="76"/>
      <c r="C508" s="76"/>
      <c r="D508" s="69"/>
      <c r="E508" s="76"/>
      <c r="F508" s="76"/>
      <c r="G508" s="76"/>
      <c r="H508" s="76"/>
      <c r="I508" s="76"/>
      <c r="J508" s="76"/>
      <c r="K508" s="76"/>
      <c r="L508" s="76"/>
      <c r="M508" s="69"/>
      <c r="N508" s="76"/>
      <c r="O508" s="76"/>
      <c r="P508" s="76"/>
      <c r="Q508" s="76"/>
      <c r="R508" s="76"/>
      <c r="S508" s="76"/>
      <c r="T508" s="76"/>
      <c r="U508" s="76"/>
      <c r="V508" s="76"/>
      <c r="W508" s="76"/>
    </row>
    <row r="509" spans="1:23" ht="12.75">
      <c r="A509" s="76"/>
      <c r="B509" s="76"/>
      <c r="C509" s="76"/>
      <c r="D509" s="69"/>
      <c r="E509" s="76"/>
      <c r="F509" s="76"/>
      <c r="G509" s="76"/>
      <c r="H509" s="76"/>
      <c r="I509" s="76"/>
      <c r="J509" s="76"/>
      <c r="K509" s="76"/>
      <c r="L509" s="76"/>
      <c r="M509" s="69"/>
      <c r="N509" s="76"/>
      <c r="O509" s="76"/>
      <c r="P509" s="76"/>
      <c r="Q509" s="76"/>
      <c r="R509" s="76"/>
      <c r="S509" s="76"/>
      <c r="T509" s="76"/>
      <c r="U509" s="76"/>
      <c r="V509" s="76"/>
      <c r="W509" s="76"/>
    </row>
    <row r="510" spans="1:23" ht="12.75">
      <c r="A510" s="76"/>
      <c r="B510" s="76"/>
      <c r="C510" s="76"/>
      <c r="D510" s="69"/>
      <c r="E510" s="76"/>
      <c r="F510" s="76"/>
      <c r="G510" s="76"/>
      <c r="H510" s="76"/>
      <c r="I510" s="76"/>
      <c r="J510" s="76"/>
      <c r="K510" s="76"/>
      <c r="L510" s="76"/>
      <c r="M510" s="69"/>
      <c r="N510" s="76"/>
      <c r="O510" s="76"/>
      <c r="P510" s="76"/>
      <c r="Q510" s="76"/>
      <c r="R510" s="76"/>
      <c r="S510" s="76"/>
      <c r="T510" s="76"/>
      <c r="U510" s="76"/>
      <c r="V510" s="76"/>
      <c r="W510" s="76"/>
    </row>
    <row r="511" spans="1:23" ht="12.75">
      <c r="A511" s="76"/>
      <c r="B511" s="76"/>
      <c r="C511" s="76"/>
      <c r="D511" s="69"/>
      <c r="E511" s="76"/>
      <c r="F511" s="76"/>
      <c r="G511" s="76"/>
      <c r="H511" s="76"/>
      <c r="I511" s="76"/>
      <c r="J511" s="76"/>
      <c r="K511" s="76"/>
      <c r="L511" s="76"/>
      <c r="M511" s="69"/>
      <c r="N511" s="76"/>
      <c r="O511" s="76"/>
      <c r="P511" s="76"/>
      <c r="Q511" s="76"/>
      <c r="R511" s="76"/>
      <c r="S511" s="76"/>
      <c r="T511" s="76"/>
      <c r="U511" s="76"/>
      <c r="V511" s="76"/>
      <c r="W511" s="76"/>
    </row>
    <row r="512" spans="1:23" ht="12.75">
      <c r="A512" s="76"/>
      <c r="B512" s="76"/>
      <c r="C512" s="76"/>
      <c r="D512" s="69"/>
      <c r="E512" s="76"/>
      <c r="F512" s="76"/>
      <c r="G512" s="76"/>
      <c r="H512" s="76"/>
      <c r="I512" s="76"/>
      <c r="J512" s="76"/>
      <c r="K512" s="76"/>
      <c r="L512" s="76"/>
      <c r="M512" s="69"/>
      <c r="N512" s="76"/>
      <c r="O512" s="76"/>
      <c r="P512" s="76"/>
      <c r="Q512" s="76"/>
      <c r="R512" s="76"/>
      <c r="S512" s="76"/>
      <c r="T512" s="76"/>
      <c r="U512" s="76"/>
      <c r="V512" s="76"/>
      <c r="W512" s="76"/>
    </row>
    <row r="513" spans="1:23" ht="12.75">
      <c r="A513" s="76"/>
      <c r="B513" s="76"/>
      <c r="C513" s="76"/>
      <c r="D513" s="69"/>
      <c r="E513" s="76"/>
      <c r="F513" s="76"/>
      <c r="G513" s="76"/>
      <c r="H513" s="76"/>
      <c r="I513" s="76"/>
      <c r="J513" s="76"/>
      <c r="K513" s="76"/>
      <c r="L513" s="76"/>
      <c r="M513" s="69"/>
      <c r="N513" s="76"/>
      <c r="O513" s="76"/>
      <c r="P513" s="76"/>
      <c r="Q513" s="76"/>
      <c r="R513" s="76"/>
      <c r="S513" s="76"/>
      <c r="T513" s="76"/>
      <c r="U513" s="76"/>
      <c r="V513" s="76"/>
      <c r="W513" s="76"/>
    </row>
    <row r="514" spans="1:23" ht="12.75">
      <c r="A514" s="76"/>
      <c r="B514" s="76"/>
      <c r="C514" s="76"/>
      <c r="D514" s="69"/>
      <c r="E514" s="76"/>
      <c r="F514" s="76"/>
      <c r="G514" s="76"/>
      <c r="H514" s="76"/>
      <c r="I514" s="76"/>
      <c r="J514" s="76"/>
      <c r="K514" s="76"/>
      <c r="L514" s="76"/>
      <c r="M514" s="69"/>
      <c r="N514" s="76"/>
      <c r="O514" s="76"/>
      <c r="P514" s="76"/>
      <c r="Q514" s="76"/>
      <c r="R514" s="76"/>
      <c r="S514" s="76"/>
      <c r="T514" s="76"/>
      <c r="U514" s="76"/>
      <c r="V514" s="76"/>
      <c r="W514" s="76"/>
    </row>
    <row r="515" spans="1:23" ht="12.75">
      <c r="A515" s="76"/>
      <c r="B515" s="76"/>
      <c r="C515" s="76"/>
      <c r="D515" s="69"/>
      <c r="E515" s="76"/>
      <c r="F515" s="76"/>
      <c r="G515" s="76"/>
      <c r="H515" s="76"/>
      <c r="I515" s="76"/>
      <c r="J515" s="76"/>
      <c r="K515" s="76"/>
      <c r="L515" s="76"/>
      <c r="M515" s="69"/>
      <c r="N515" s="76"/>
      <c r="O515" s="76"/>
      <c r="P515" s="76"/>
      <c r="Q515" s="76"/>
      <c r="R515" s="76"/>
      <c r="S515" s="76"/>
      <c r="T515" s="76"/>
      <c r="U515" s="76"/>
      <c r="V515" s="76"/>
      <c r="W515" s="76"/>
    </row>
    <row r="516" spans="1:23" ht="12.75">
      <c r="A516" s="76"/>
      <c r="B516" s="76"/>
      <c r="C516" s="76"/>
      <c r="D516" s="69"/>
      <c r="E516" s="76"/>
      <c r="F516" s="76"/>
      <c r="G516" s="76"/>
      <c r="H516" s="76"/>
      <c r="I516" s="76"/>
      <c r="J516" s="76"/>
      <c r="K516" s="76"/>
      <c r="L516" s="76"/>
      <c r="M516" s="69"/>
      <c r="N516" s="76"/>
      <c r="O516" s="76"/>
      <c r="P516" s="76"/>
      <c r="Q516" s="76"/>
      <c r="R516" s="76"/>
      <c r="S516" s="76"/>
      <c r="T516" s="76"/>
      <c r="U516" s="76"/>
      <c r="V516" s="76"/>
      <c r="W516" s="76"/>
    </row>
    <row r="517" spans="1:23" ht="12.75">
      <c r="A517" s="76"/>
      <c r="B517" s="76"/>
      <c r="C517" s="76"/>
      <c r="D517" s="69"/>
      <c r="E517" s="76"/>
      <c r="F517" s="76"/>
      <c r="G517" s="76"/>
      <c r="H517" s="76"/>
      <c r="I517" s="76"/>
      <c r="J517" s="76"/>
      <c r="K517" s="76"/>
      <c r="L517" s="76"/>
      <c r="M517" s="69"/>
      <c r="N517" s="76"/>
      <c r="O517" s="76"/>
      <c r="P517" s="76"/>
      <c r="Q517" s="76"/>
      <c r="R517" s="76"/>
      <c r="S517" s="76"/>
      <c r="T517" s="76"/>
      <c r="U517" s="76"/>
      <c r="V517" s="76"/>
      <c r="W517" s="76"/>
    </row>
    <row r="518" spans="1:23" ht="12.75">
      <c r="A518" s="76"/>
      <c r="B518" s="76"/>
      <c r="C518" s="76"/>
      <c r="D518" s="69"/>
      <c r="E518" s="76"/>
      <c r="F518" s="76"/>
      <c r="G518" s="76"/>
      <c r="H518" s="76"/>
      <c r="I518" s="76"/>
      <c r="J518" s="76"/>
      <c r="K518" s="76"/>
      <c r="L518" s="76"/>
      <c r="M518" s="69"/>
      <c r="N518" s="76"/>
      <c r="O518" s="76"/>
      <c r="P518" s="76"/>
      <c r="Q518" s="76"/>
      <c r="R518" s="76"/>
      <c r="S518" s="76"/>
      <c r="T518" s="76"/>
      <c r="U518" s="76"/>
      <c r="V518" s="76"/>
      <c r="W518" s="76"/>
    </row>
    <row r="519" spans="1:23" ht="12.75">
      <c r="A519" s="76"/>
      <c r="B519" s="76"/>
      <c r="C519" s="76"/>
      <c r="D519" s="69"/>
      <c r="E519" s="76"/>
      <c r="F519" s="76"/>
      <c r="G519" s="76"/>
      <c r="H519" s="76"/>
      <c r="I519" s="76"/>
      <c r="J519" s="76"/>
      <c r="K519" s="76"/>
      <c r="L519" s="76"/>
      <c r="M519" s="69"/>
      <c r="N519" s="76"/>
      <c r="O519" s="76"/>
      <c r="P519" s="76"/>
      <c r="Q519" s="76"/>
      <c r="R519" s="76"/>
      <c r="S519" s="76"/>
      <c r="T519" s="76"/>
      <c r="U519" s="76"/>
      <c r="V519" s="76"/>
      <c r="W519" s="76"/>
    </row>
    <row r="520" spans="1:23" ht="12.75">
      <c r="A520" s="76"/>
      <c r="B520" s="76"/>
      <c r="C520" s="76"/>
      <c r="D520" s="69"/>
      <c r="E520" s="76"/>
      <c r="F520" s="76"/>
      <c r="G520" s="76"/>
      <c r="H520" s="76"/>
      <c r="I520" s="76"/>
      <c r="J520" s="76"/>
      <c r="K520" s="76"/>
      <c r="L520" s="76"/>
      <c r="M520" s="69"/>
      <c r="N520" s="76"/>
      <c r="O520" s="76"/>
      <c r="P520" s="76"/>
      <c r="Q520" s="76"/>
      <c r="R520" s="76"/>
      <c r="S520" s="76"/>
      <c r="T520" s="76"/>
      <c r="U520" s="76"/>
      <c r="V520" s="76"/>
      <c r="W520" s="76"/>
    </row>
    <row r="521" spans="1:23" ht="12.75">
      <c r="A521" s="76"/>
      <c r="B521" s="76"/>
      <c r="C521" s="76"/>
      <c r="D521" s="69"/>
      <c r="E521" s="76"/>
      <c r="F521" s="76"/>
      <c r="G521" s="76"/>
      <c r="H521" s="76"/>
      <c r="I521" s="76"/>
      <c r="J521" s="76"/>
      <c r="K521" s="76"/>
      <c r="L521" s="76"/>
      <c r="M521" s="69"/>
      <c r="N521" s="76"/>
      <c r="O521" s="76"/>
      <c r="P521" s="76"/>
      <c r="Q521" s="76"/>
      <c r="R521" s="76"/>
      <c r="S521" s="76"/>
      <c r="T521" s="76"/>
      <c r="U521" s="76"/>
      <c r="V521" s="76"/>
      <c r="W521" s="76"/>
    </row>
    <row r="522" spans="1:23" ht="12.75">
      <c r="A522" s="76"/>
      <c r="B522" s="76"/>
      <c r="C522" s="76"/>
      <c r="D522" s="69"/>
      <c r="E522" s="76"/>
      <c r="F522" s="76"/>
      <c r="G522" s="76"/>
      <c r="H522" s="76"/>
      <c r="I522" s="76"/>
      <c r="J522" s="76"/>
      <c r="K522" s="76"/>
      <c r="L522" s="76"/>
      <c r="M522" s="69"/>
      <c r="N522" s="76"/>
      <c r="O522" s="76"/>
      <c r="P522" s="76"/>
      <c r="Q522" s="76"/>
      <c r="R522" s="76"/>
      <c r="S522" s="76"/>
      <c r="T522" s="76"/>
      <c r="U522" s="76"/>
      <c r="V522" s="76"/>
      <c r="W522" s="76"/>
    </row>
    <row r="523" spans="1:23" ht="12.75">
      <c r="A523" s="76"/>
      <c r="B523" s="76"/>
      <c r="C523" s="76"/>
      <c r="D523" s="69"/>
      <c r="E523" s="76"/>
      <c r="F523" s="76"/>
      <c r="G523" s="76"/>
      <c r="H523" s="76"/>
      <c r="I523" s="76"/>
      <c r="J523" s="76"/>
      <c r="K523" s="76"/>
      <c r="L523" s="76"/>
      <c r="M523" s="69"/>
      <c r="N523" s="76"/>
      <c r="O523" s="76"/>
      <c r="P523" s="76"/>
      <c r="Q523" s="76"/>
      <c r="R523" s="76"/>
      <c r="S523" s="76"/>
      <c r="T523" s="76"/>
      <c r="U523" s="76"/>
      <c r="V523" s="76"/>
      <c r="W523" s="76"/>
    </row>
    <row r="524" spans="1:23" ht="12.75">
      <c r="A524" s="76"/>
      <c r="B524" s="76"/>
      <c r="C524" s="76"/>
      <c r="D524" s="69"/>
      <c r="E524" s="76"/>
      <c r="F524" s="76"/>
      <c r="G524" s="76"/>
      <c r="H524" s="76"/>
      <c r="I524" s="76"/>
      <c r="J524" s="76"/>
      <c r="K524" s="76"/>
      <c r="L524" s="76"/>
      <c r="M524" s="69"/>
      <c r="N524" s="76"/>
      <c r="O524" s="76"/>
      <c r="P524" s="76"/>
      <c r="Q524" s="76"/>
      <c r="R524" s="76"/>
      <c r="S524" s="76"/>
      <c r="T524" s="76"/>
      <c r="U524" s="76"/>
      <c r="V524" s="76"/>
      <c r="W524" s="76"/>
    </row>
    <row r="525" spans="1:23" ht="12.75">
      <c r="A525" s="76"/>
      <c r="B525" s="76"/>
      <c r="C525" s="76"/>
      <c r="D525" s="69"/>
      <c r="E525" s="76"/>
      <c r="F525" s="76"/>
      <c r="G525" s="76"/>
      <c r="H525" s="76"/>
      <c r="I525" s="76"/>
      <c r="J525" s="76"/>
      <c r="K525" s="76"/>
      <c r="L525" s="76"/>
      <c r="M525" s="69"/>
      <c r="N525" s="76"/>
      <c r="O525" s="76"/>
      <c r="P525" s="76"/>
      <c r="Q525" s="76"/>
      <c r="R525" s="76"/>
      <c r="S525" s="76"/>
      <c r="T525" s="76"/>
      <c r="U525" s="76"/>
      <c r="V525" s="76"/>
      <c r="W525" s="76"/>
    </row>
    <row r="526" spans="1:23" ht="12.75">
      <c r="A526" s="76"/>
      <c r="B526" s="76"/>
      <c r="C526" s="76"/>
      <c r="D526" s="69"/>
      <c r="E526" s="76"/>
      <c r="F526" s="76"/>
      <c r="G526" s="76"/>
      <c r="H526" s="76"/>
      <c r="I526" s="76"/>
      <c r="J526" s="76"/>
      <c r="K526" s="76"/>
      <c r="L526" s="76"/>
      <c r="M526" s="69"/>
      <c r="N526" s="76"/>
      <c r="O526" s="76"/>
      <c r="P526" s="76"/>
      <c r="Q526" s="76"/>
      <c r="R526" s="76"/>
      <c r="S526" s="76"/>
      <c r="T526" s="76"/>
      <c r="U526" s="76"/>
      <c r="V526" s="76"/>
      <c r="W526" s="76"/>
    </row>
    <row r="527" spans="1:23" ht="12.75">
      <c r="A527" s="76"/>
      <c r="B527" s="76"/>
      <c r="C527" s="76"/>
      <c r="D527" s="69"/>
      <c r="E527" s="76"/>
      <c r="F527" s="76"/>
      <c r="G527" s="76"/>
      <c r="H527" s="76"/>
      <c r="I527" s="76"/>
      <c r="J527" s="76"/>
      <c r="K527" s="76"/>
      <c r="L527" s="76"/>
      <c r="M527" s="69"/>
      <c r="N527" s="76"/>
      <c r="O527" s="76"/>
      <c r="P527" s="76"/>
      <c r="Q527" s="76"/>
      <c r="R527" s="76"/>
      <c r="S527" s="76"/>
      <c r="T527" s="76"/>
      <c r="U527" s="76"/>
      <c r="V527" s="76"/>
      <c r="W527" s="76"/>
    </row>
    <row r="528" spans="1:23" ht="12.75">
      <c r="A528" s="76"/>
      <c r="B528" s="76"/>
      <c r="C528" s="76"/>
      <c r="D528" s="69"/>
      <c r="E528" s="76"/>
      <c r="F528" s="76"/>
      <c r="G528" s="76"/>
      <c r="H528" s="76"/>
      <c r="I528" s="76"/>
      <c r="J528" s="76"/>
      <c r="K528" s="76"/>
      <c r="L528" s="76"/>
      <c r="M528" s="69"/>
      <c r="N528" s="76"/>
      <c r="O528" s="76"/>
      <c r="P528" s="76"/>
      <c r="Q528" s="76"/>
      <c r="R528" s="76"/>
      <c r="S528" s="76"/>
      <c r="T528" s="76"/>
      <c r="U528" s="76"/>
      <c r="V528" s="76"/>
      <c r="W528" s="76"/>
    </row>
    <row r="529" spans="1:23" ht="12.75">
      <c r="A529" s="76"/>
      <c r="B529" s="76"/>
      <c r="C529" s="76"/>
      <c r="D529" s="69"/>
      <c r="E529" s="76"/>
      <c r="F529" s="76"/>
      <c r="G529" s="76"/>
      <c r="H529" s="76"/>
      <c r="I529" s="76"/>
      <c r="J529" s="76"/>
      <c r="K529" s="76"/>
      <c r="L529" s="76"/>
      <c r="M529" s="69"/>
      <c r="N529" s="76"/>
      <c r="O529" s="76"/>
      <c r="P529" s="76"/>
      <c r="Q529" s="76"/>
      <c r="R529" s="76"/>
      <c r="S529" s="76"/>
      <c r="T529" s="76"/>
      <c r="U529" s="76"/>
      <c r="V529" s="76"/>
      <c r="W529" s="76"/>
    </row>
    <row r="530" spans="1:23" ht="12.75">
      <c r="A530" s="76"/>
      <c r="B530" s="76"/>
      <c r="C530" s="76"/>
      <c r="D530" s="69"/>
      <c r="E530" s="76"/>
      <c r="F530" s="76"/>
      <c r="G530" s="76"/>
      <c r="H530" s="76"/>
      <c r="I530" s="76"/>
      <c r="J530" s="76"/>
      <c r="K530" s="76"/>
      <c r="L530" s="76"/>
      <c r="M530" s="69"/>
      <c r="N530" s="76"/>
      <c r="O530" s="76"/>
      <c r="P530" s="76"/>
      <c r="Q530" s="76"/>
      <c r="R530" s="76"/>
      <c r="S530" s="76"/>
      <c r="T530" s="76"/>
      <c r="U530" s="76"/>
      <c r="V530" s="76"/>
      <c r="W530" s="76"/>
    </row>
    <row r="531" spans="1:23" ht="12.75">
      <c r="A531" s="76"/>
      <c r="B531" s="76"/>
      <c r="C531" s="76"/>
      <c r="D531" s="69"/>
      <c r="E531" s="76"/>
      <c r="F531" s="76"/>
      <c r="G531" s="76"/>
      <c r="H531" s="76"/>
      <c r="I531" s="76"/>
      <c r="J531" s="76"/>
      <c r="K531" s="76"/>
      <c r="L531" s="76"/>
      <c r="M531" s="69"/>
      <c r="N531" s="76"/>
      <c r="O531" s="76"/>
      <c r="P531" s="76"/>
      <c r="Q531" s="76"/>
      <c r="R531" s="76"/>
      <c r="S531" s="76"/>
      <c r="T531" s="76"/>
      <c r="U531" s="76"/>
      <c r="V531" s="76"/>
      <c r="W531" s="76"/>
    </row>
    <row r="532" spans="1:23" ht="12.75">
      <c r="A532" s="76"/>
      <c r="B532" s="76"/>
      <c r="C532" s="76"/>
      <c r="D532" s="69"/>
      <c r="E532" s="76"/>
      <c r="F532" s="76"/>
      <c r="G532" s="76"/>
      <c r="H532" s="76"/>
      <c r="I532" s="76"/>
      <c r="J532" s="76"/>
      <c r="K532" s="76"/>
      <c r="L532" s="76"/>
      <c r="M532" s="69"/>
      <c r="N532" s="76"/>
      <c r="O532" s="76"/>
      <c r="P532" s="76"/>
      <c r="Q532" s="76"/>
      <c r="R532" s="76"/>
      <c r="S532" s="76"/>
      <c r="T532" s="76"/>
      <c r="U532" s="76"/>
      <c r="V532" s="76"/>
      <c r="W532" s="76"/>
    </row>
    <row r="533" spans="1:23" ht="12.75">
      <c r="A533" s="76"/>
      <c r="B533" s="76"/>
      <c r="C533" s="76"/>
      <c r="D533" s="69"/>
      <c r="E533" s="76"/>
      <c r="F533" s="76"/>
      <c r="G533" s="76"/>
      <c r="H533" s="76"/>
      <c r="I533" s="76"/>
      <c r="J533" s="76"/>
      <c r="K533" s="76"/>
      <c r="L533" s="76"/>
      <c r="M533" s="69"/>
      <c r="N533" s="76"/>
      <c r="O533" s="76"/>
      <c r="P533" s="76"/>
      <c r="Q533" s="76"/>
      <c r="R533" s="76"/>
      <c r="S533" s="76"/>
      <c r="T533" s="76"/>
      <c r="U533" s="76"/>
      <c r="V533" s="76"/>
      <c r="W533" s="76"/>
    </row>
    <row r="534" spans="1:23" ht="12.75">
      <c r="A534" s="76"/>
      <c r="B534" s="76"/>
      <c r="C534" s="76"/>
      <c r="D534" s="69"/>
      <c r="E534" s="76"/>
      <c r="F534" s="76"/>
      <c r="G534" s="76"/>
      <c r="H534" s="76"/>
      <c r="I534" s="76"/>
      <c r="J534" s="76"/>
      <c r="K534" s="76"/>
      <c r="L534" s="76"/>
      <c r="M534" s="69"/>
      <c r="N534" s="76"/>
      <c r="O534" s="76"/>
      <c r="P534" s="76"/>
      <c r="Q534" s="76"/>
      <c r="R534" s="76"/>
      <c r="S534" s="76"/>
      <c r="T534" s="76"/>
      <c r="U534" s="76"/>
      <c r="V534" s="76"/>
      <c r="W534" s="76"/>
    </row>
    <row r="535" spans="1:23" ht="12.75">
      <c r="A535" s="76"/>
      <c r="B535" s="76"/>
      <c r="C535" s="76"/>
      <c r="D535" s="69"/>
      <c r="E535" s="76"/>
      <c r="F535" s="76"/>
      <c r="G535" s="76"/>
      <c r="H535" s="76"/>
      <c r="I535" s="76"/>
      <c r="J535" s="76"/>
      <c r="K535" s="76"/>
      <c r="L535" s="76"/>
      <c r="M535" s="69"/>
      <c r="N535" s="76"/>
      <c r="O535" s="76"/>
      <c r="P535" s="76"/>
      <c r="Q535" s="76"/>
      <c r="R535" s="76"/>
      <c r="S535" s="76"/>
      <c r="T535" s="76"/>
      <c r="U535" s="76"/>
      <c r="V535" s="76"/>
      <c r="W535" s="76"/>
    </row>
    <row r="536" spans="1:23" ht="12.75">
      <c r="A536" s="76"/>
      <c r="B536" s="76"/>
      <c r="C536" s="76"/>
      <c r="D536" s="69"/>
      <c r="E536" s="76"/>
      <c r="F536" s="76"/>
      <c r="G536" s="76"/>
      <c r="H536" s="76"/>
      <c r="I536" s="76"/>
      <c r="J536" s="76"/>
      <c r="K536" s="76"/>
      <c r="L536" s="76"/>
      <c r="M536" s="69"/>
      <c r="N536" s="76"/>
      <c r="O536" s="76"/>
      <c r="P536" s="76"/>
      <c r="Q536" s="76"/>
      <c r="R536" s="76"/>
      <c r="S536" s="76"/>
      <c r="T536" s="76"/>
      <c r="U536" s="76"/>
      <c r="V536" s="76"/>
      <c r="W536" s="76"/>
    </row>
    <row r="537" spans="1:23" ht="12.75">
      <c r="A537" s="76"/>
      <c r="B537" s="76"/>
      <c r="C537" s="76"/>
      <c r="D537" s="69"/>
      <c r="E537" s="76"/>
      <c r="F537" s="76"/>
      <c r="G537" s="76"/>
      <c r="H537" s="76"/>
      <c r="I537" s="76"/>
      <c r="J537" s="76"/>
      <c r="K537" s="76"/>
      <c r="L537" s="76"/>
      <c r="M537" s="69"/>
      <c r="N537" s="76"/>
      <c r="O537" s="76"/>
      <c r="P537" s="76"/>
      <c r="Q537" s="76"/>
      <c r="R537" s="76"/>
      <c r="S537" s="76"/>
      <c r="T537" s="76"/>
      <c r="U537" s="76"/>
      <c r="V537" s="76"/>
      <c r="W537" s="76"/>
    </row>
    <row r="538" spans="1:23" ht="12.75">
      <c r="A538" s="76"/>
      <c r="B538" s="76"/>
      <c r="C538" s="76"/>
      <c r="D538" s="69"/>
      <c r="E538" s="76"/>
      <c r="F538" s="76"/>
      <c r="G538" s="76"/>
      <c r="H538" s="76"/>
      <c r="I538" s="76"/>
      <c r="J538" s="76"/>
      <c r="K538" s="76"/>
      <c r="L538" s="76"/>
      <c r="M538" s="69"/>
      <c r="N538" s="76"/>
      <c r="O538" s="76"/>
      <c r="P538" s="76"/>
      <c r="Q538" s="76"/>
      <c r="R538" s="76"/>
      <c r="S538" s="76"/>
      <c r="T538" s="76"/>
      <c r="U538" s="76"/>
      <c r="V538" s="76"/>
      <c r="W538" s="76"/>
    </row>
    <row r="539" spans="1:23" ht="12.75">
      <c r="A539" s="76"/>
      <c r="B539" s="76"/>
      <c r="C539" s="76"/>
      <c r="D539" s="69"/>
      <c r="E539" s="76"/>
      <c r="F539" s="76"/>
      <c r="G539" s="76"/>
      <c r="H539" s="76"/>
      <c r="I539" s="76"/>
      <c r="J539" s="76"/>
      <c r="K539" s="76"/>
      <c r="L539" s="76"/>
      <c r="M539" s="69"/>
      <c r="N539" s="76"/>
      <c r="O539" s="76"/>
      <c r="P539" s="76"/>
      <c r="Q539" s="76"/>
      <c r="R539" s="76"/>
      <c r="S539" s="76"/>
      <c r="T539" s="76"/>
      <c r="U539" s="76"/>
      <c r="V539" s="76"/>
      <c r="W539" s="76"/>
    </row>
    <row r="540" spans="1:23" ht="12.75">
      <c r="A540" s="76"/>
      <c r="B540" s="76"/>
      <c r="C540" s="76"/>
      <c r="D540" s="69"/>
      <c r="E540" s="76"/>
      <c r="F540" s="76"/>
      <c r="G540" s="76"/>
      <c r="H540" s="76"/>
      <c r="I540" s="76"/>
      <c r="J540" s="76"/>
      <c r="K540" s="76"/>
      <c r="L540" s="76"/>
      <c r="M540" s="69"/>
      <c r="N540" s="76"/>
      <c r="O540" s="76"/>
      <c r="P540" s="76"/>
      <c r="Q540" s="76"/>
      <c r="R540" s="76"/>
      <c r="S540" s="76"/>
      <c r="T540" s="76"/>
      <c r="U540" s="76"/>
      <c r="V540" s="76"/>
      <c r="W540" s="76"/>
    </row>
    <row r="541" spans="1:23" ht="12.75">
      <c r="A541" s="76"/>
      <c r="B541" s="76"/>
      <c r="C541" s="76"/>
      <c r="D541" s="69"/>
      <c r="E541" s="76"/>
      <c r="F541" s="76"/>
      <c r="G541" s="76"/>
      <c r="H541" s="76"/>
      <c r="I541" s="76"/>
      <c r="J541" s="76"/>
      <c r="K541" s="76"/>
      <c r="L541" s="76"/>
      <c r="M541" s="69"/>
      <c r="N541" s="76"/>
      <c r="O541" s="76"/>
      <c r="P541" s="76"/>
      <c r="Q541" s="76"/>
      <c r="R541" s="76"/>
      <c r="S541" s="76"/>
      <c r="T541" s="76"/>
      <c r="U541" s="76"/>
      <c r="V541" s="76"/>
      <c r="W541" s="76"/>
    </row>
    <row r="542" spans="1:23" ht="12.75">
      <c r="A542" s="76"/>
      <c r="B542" s="76"/>
      <c r="C542" s="76"/>
      <c r="D542" s="69"/>
      <c r="E542" s="76"/>
      <c r="F542" s="76"/>
      <c r="G542" s="76"/>
      <c r="H542" s="76"/>
      <c r="I542" s="76"/>
      <c r="J542" s="76"/>
      <c r="K542" s="76"/>
      <c r="L542" s="76"/>
      <c r="M542" s="69"/>
      <c r="N542" s="76"/>
      <c r="O542" s="76"/>
      <c r="P542" s="76"/>
      <c r="Q542" s="76"/>
      <c r="R542" s="76"/>
      <c r="S542" s="76"/>
      <c r="T542" s="76"/>
      <c r="U542" s="76"/>
      <c r="V542" s="76"/>
      <c r="W542" s="76"/>
    </row>
    <row r="543" spans="1:23" ht="12.75">
      <c r="A543" s="76"/>
      <c r="B543" s="76"/>
      <c r="C543" s="76"/>
      <c r="D543" s="69"/>
      <c r="E543" s="76"/>
      <c r="F543" s="76"/>
      <c r="G543" s="76"/>
      <c r="H543" s="76"/>
      <c r="I543" s="76"/>
      <c r="J543" s="76"/>
      <c r="K543" s="76"/>
      <c r="L543" s="76"/>
      <c r="M543" s="69"/>
      <c r="N543" s="76"/>
      <c r="O543" s="76"/>
      <c r="P543" s="76"/>
      <c r="Q543" s="76"/>
      <c r="R543" s="76"/>
      <c r="S543" s="76"/>
      <c r="T543" s="76"/>
      <c r="U543" s="76"/>
      <c r="V543" s="76"/>
      <c r="W543" s="76"/>
    </row>
    <row r="544" spans="1:23" ht="12.75">
      <c r="A544" s="76"/>
      <c r="B544" s="76"/>
      <c r="C544" s="76"/>
      <c r="D544" s="69"/>
      <c r="E544" s="76"/>
      <c r="F544" s="76"/>
      <c r="G544" s="76"/>
      <c r="H544" s="76"/>
      <c r="I544" s="76"/>
      <c r="J544" s="76"/>
      <c r="K544" s="76"/>
      <c r="L544" s="76"/>
      <c r="M544" s="69"/>
      <c r="N544" s="76"/>
      <c r="O544" s="76"/>
      <c r="P544" s="76"/>
      <c r="Q544" s="76"/>
      <c r="R544" s="76"/>
      <c r="S544" s="76"/>
      <c r="T544" s="76"/>
      <c r="U544" s="76"/>
      <c r="V544" s="76"/>
      <c r="W544" s="76"/>
    </row>
    <row r="545" spans="1:23" ht="12.75">
      <c r="A545" s="76"/>
      <c r="B545" s="76"/>
      <c r="C545" s="76"/>
      <c r="D545" s="69"/>
      <c r="E545" s="76"/>
      <c r="F545" s="76"/>
      <c r="G545" s="76"/>
      <c r="H545" s="76"/>
      <c r="I545" s="76"/>
      <c r="J545" s="76"/>
      <c r="K545" s="76"/>
      <c r="L545" s="76"/>
      <c r="M545" s="69"/>
      <c r="N545" s="76"/>
      <c r="O545" s="76"/>
      <c r="P545" s="76"/>
      <c r="Q545" s="76"/>
      <c r="R545" s="76"/>
      <c r="S545" s="76"/>
      <c r="T545" s="76"/>
      <c r="U545" s="76"/>
      <c r="V545" s="76"/>
      <c r="W545" s="76"/>
    </row>
    <row r="546" spans="1:23" ht="12.75">
      <c r="A546" s="76"/>
      <c r="B546" s="76"/>
      <c r="C546" s="76"/>
      <c r="D546" s="69"/>
      <c r="E546" s="76"/>
      <c r="F546" s="76"/>
      <c r="G546" s="76"/>
      <c r="H546" s="76"/>
      <c r="I546" s="76"/>
      <c r="J546" s="76"/>
      <c r="K546" s="76"/>
      <c r="L546" s="76"/>
      <c r="M546" s="69"/>
      <c r="N546" s="76"/>
      <c r="O546" s="76"/>
      <c r="P546" s="76"/>
      <c r="Q546" s="76"/>
      <c r="R546" s="76"/>
      <c r="S546" s="76"/>
      <c r="T546" s="76"/>
      <c r="U546" s="76"/>
      <c r="V546" s="76"/>
      <c r="W546" s="76"/>
    </row>
    <row r="547" spans="1:23" ht="12.75">
      <c r="A547" s="76"/>
      <c r="B547" s="76"/>
      <c r="C547" s="76"/>
      <c r="D547" s="69"/>
      <c r="E547" s="76"/>
      <c r="F547" s="76"/>
      <c r="G547" s="76"/>
      <c r="H547" s="76"/>
      <c r="I547" s="76"/>
      <c r="J547" s="76"/>
      <c r="K547" s="76"/>
      <c r="L547" s="76"/>
      <c r="M547" s="69"/>
      <c r="N547" s="76"/>
      <c r="O547" s="76"/>
      <c r="P547" s="76"/>
      <c r="Q547" s="76"/>
      <c r="R547" s="76"/>
      <c r="S547" s="76"/>
      <c r="T547" s="76"/>
      <c r="U547" s="76"/>
      <c r="V547" s="76"/>
      <c r="W547" s="76"/>
    </row>
    <row r="548" spans="1:23" ht="12.75">
      <c r="A548" s="76"/>
      <c r="B548" s="76"/>
      <c r="C548" s="76"/>
      <c r="D548" s="69"/>
      <c r="E548" s="76"/>
      <c r="F548" s="76"/>
      <c r="G548" s="76"/>
      <c r="H548" s="76"/>
      <c r="I548" s="76"/>
      <c r="J548" s="76"/>
      <c r="K548" s="76"/>
      <c r="L548" s="76"/>
      <c r="M548" s="69"/>
      <c r="N548" s="76"/>
      <c r="O548" s="76"/>
      <c r="P548" s="76"/>
      <c r="Q548" s="76"/>
      <c r="R548" s="76"/>
      <c r="S548" s="76"/>
      <c r="T548" s="76"/>
      <c r="U548" s="76"/>
      <c r="V548" s="76"/>
      <c r="W548" s="76"/>
    </row>
    <row r="549" spans="1:23" ht="12.75">
      <c r="A549" s="76"/>
      <c r="B549" s="76"/>
      <c r="C549" s="76"/>
      <c r="D549" s="69"/>
      <c r="E549" s="76"/>
      <c r="F549" s="76"/>
      <c r="G549" s="76"/>
      <c r="H549" s="76"/>
      <c r="I549" s="76"/>
      <c r="J549" s="76"/>
      <c r="K549" s="76"/>
      <c r="L549" s="76"/>
      <c r="M549" s="69"/>
      <c r="N549" s="76"/>
      <c r="O549" s="76"/>
      <c r="P549" s="76"/>
      <c r="Q549" s="76"/>
      <c r="R549" s="76"/>
      <c r="S549" s="76"/>
      <c r="T549" s="76"/>
      <c r="U549" s="76"/>
      <c r="V549" s="76"/>
      <c r="W549" s="76"/>
    </row>
    <row r="550" spans="1:23" ht="12.75">
      <c r="A550" s="76"/>
      <c r="B550" s="76"/>
      <c r="C550" s="76"/>
      <c r="D550" s="69"/>
      <c r="E550" s="76"/>
      <c r="F550" s="76"/>
      <c r="G550" s="76"/>
      <c r="H550" s="76"/>
      <c r="I550" s="76"/>
      <c r="J550" s="76"/>
      <c r="K550" s="76"/>
      <c r="L550" s="76"/>
      <c r="M550" s="69"/>
      <c r="N550" s="76"/>
      <c r="O550" s="76"/>
      <c r="P550" s="76"/>
      <c r="Q550" s="76"/>
      <c r="R550" s="76"/>
      <c r="S550" s="76"/>
      <c r="T550" s="76"/>
      <c r="U550" s="76"/>
      <c r="V550" s="76"/>
      <c r="W550" s="76"/>
    </row>
    <row r="551" spans="1:23" ht="12.75">
      <c r="A551" s="76"/>
      <c r="B551" s="76"/>
      <c r="C551" s="76"/>
      <c r="D551" s="69"/>
      <c r="E551" s="76"/>
      <c r="F551" s="76"/>
      <c r="G551" s="76"/>
      <c r="H551" s="76"/>
      <c r="I551" s="76"/>
      <c r="J551" s="76"/>
      <c r="K551" s="76"/>
      <c r="L551" s="76"/>
      <c r="M551" s="69"/>
      <c r="N551" s="76"/>
      <c r="O551" s="76"/>
      <c r="P551" s="76"/>
      <c r="Q551" s="76"/>
      <c r="R551" s="76"/>
      <c r="S551" s="76"/>
      <c r="T551" s="76"/>
      <c r="U551" s="76"/>
      <c r="V551" s="76"/>
      <c r="W551" s="76"/>
    </row>
    <row r="552" spans="1:23" ht="12.75">
      <c r="A552" s="76"/>
      <c r="B552" s="76"/>
      <c r="C552" s="76"/>
      <c r="D552" s="69"/>
      <c r="E552" s="76"/>
      <c r="F552" s="76"/>
      <c r="G552" s="76"/>
      <c r="H552" s="76"/>
      <c r="I552" s="76"/>
      <c r="J552" s="76"/>
      <c r="K552" s="76"/>
      <c r="L552" s="76"/>
      <c r="M552" s="69"/>
      <c r="N552" s="76"/>
      <c r="O552" s="76"/>
      <c r="P552" s="76"/>
      <c r="Q552" s="76"/>
      <c r="R552" s="76"/>
      <c r="S552" s="76"/>
      <c r="T552" s="76"/>
      <c r="U552" s="76"/>
      <c r="V552" s="76"/>
      <c r="W552" s="76"/>
    </row>
    <row r="553" spans="1:23" ht="12.75">
      <c r="A553" s="76"/>
      <c r="B553" s="76"/>
      <c r="C553" s="76"/>
      <c r="D553" s="69"/>
      <c r="E553" s="76"/>
      <c r="F553" s="76"/>
      <c r="G553" s="76"/>
      <c r="H553" s="76"/>
      <c r="I553" s="76"/>
      <c r="J553" s="76"/>
      <c r="K553" s="76"/>
      <c r="L553" s="76"/>
      <c r="M553" s="69"/>
      <c r="N553" s="76"/>
      <c r="O553" s="76"/>
      <c r="P553" s="76"/>
      <c r="Q553" s="76"/>
      <c r="R553" s="76"/>
      <c r="S553" s="76"/>
      <c r="T553" s="76"/>
      <c r="U553" s="76"/>
      <c r="V553" s="76"/>
      <c r="W553" s="76"/>
    </row>
    <row r="554" spans="1:23" ht="12.75">
      <c r="A554" s="76"/>
      <c r="B554" s="76"/>
      <c r="C554" s="76"/>
      <c r="D554" s="69"/>
      <c r="E554" s="76"/>
      <c r="F554" s="76"/>
      <c r="G554" s="76"/>
      <c r="H554" s="76"/>
      <c r="I554" s="76"/>
      <c r="J554" s="76"/>
      <c r="K554" s="76"/>
      <c r="L554" s="76"/>
      <c r="M554" s="69"/>
      <c r="N554" s="76"/>
      <c r="O554" s="76"/>
      <c r="P554" s="76"/>
      <c r="Q554" s="76"/>
      <c r="R554" s="76"/>
      <c r="S554" s="76"/>
      <c r="T554" s="76"/>
      <c r="U554" s="76"/>
      <c r="V554" s="76"/>
      <c r="W554" s="76"/>
    </row>
    <row r="555" spans="1:23" ht="12.75">
      <c r="A555" s="76"/>
      <c r="B555" s="76"/>
      <c r="C555" s="76"/>
      <c r="D555" s="69"/>
      <c r="E555" s="76"/>
      <c r="F555" s="76"/>
      <c r="G555" s="76"/>
      <c r="H555" s="76"/>
      <c r="I555" s="76"/>
      <c r="J555" s="76"/>
      <c r="K555" s="76"/>
      <c r="L555" s="76"/>
      <c r="M555" s="69"/>
      <c r="N555" s="76"/>
      <c r="O555" s="76"/>
      <c r="P555" s="76"/>
      <c r="Q555" s="76"/>
      <c r="R555" s="76"/>
      <c r="S555" s="76"/>
      <c r="T555" s="76"/>
      <c r="U555" s="76"/>
      <c r="V555" s="76"/>
      <c r="W555" s="76"/>
    </row>
    <row r="556" spans="1:23" ht="12.75">
      <c r="A556" s="76"/>
      <c r="B556" s="76"/>
      <c r="C556" s="76"/>
      <c r="D556" s="69"/>
      <c r="E556" s="76"/>
      <c r="F556" s="76"/>
      <c r="G556" s="76"/>
      <c r="H556" s="76"/>
      <c r="I556" s="76"/>
      <c r="J556" s="76"/>
      <c r="K556" s="76"/>
      <c r="L556" s="76"/>
      <c r="M556" s="69"/>
      <c r="N556" s="76"/>
      <c r="O556" s="76"/>
      <c r="P556" s="76"/>
      <c r="Q556" s="76"/>
      <c r="R556" s="76"/>
      <c r="S556" s="76"/>
      <c r="T556" s="76"/>
      <c r="U556" s="76"/>
      <c r="V556" s="76"/>
      <c r="W556" s="76"/>
    </row>
    <row r="557" spans="1:23" ht="12.75">
      <c r="A557" s="76"/>
      <c r="B557" s="76"/>
      <c r="C557" s="76"/>
      <c r="D557" s="69"/>
      <c r="E557" s="76"/>
      <c r="F557" s="76"/>
      <c r="G557" s="76"/>
      <c r="H557" s="76"/>
      <c r="I557" s="76"/>
      <c r="J557" s="76"/>
      <c r="K557" s="76"/>
      <c r="L557" s="76"/>
      <c r="M557" s="69"/>
      <c r="N557" s="76"/>
      <c r="O557" s="76"/>
      <c r="P557" s="76"/>
      <c r="Q557" s="76"/>
      <c r="R557" s="76"/>
      <c r="S557" s="76"/>
      <c r="T557" s="76"/>
      <c r="U557" s="76"/>
      <c r="V557" s="76"/>
      <c r="W557" s="76"/>
    </row>
    <row r="558" spans="1:23" ht="12.75">
      <c r="A558" s="76"/>
      <c r="B558" s="76"/>
      <c r="C558" s="76"/>
      <c r="D558" s="69"/>
      <c r="E558" s="76"/>
      <c r="F558" s="76"/>
      <c r="G558" s="76"/>
      <c r="H558" s="76"/>
      <c r="I558" s="76"/>
      <c r="J558" s="76"/>
      <c r="K558" s="76"/>
      <c r="L558" s="76"/>
      <c r="M558" s="69"/>
      <c r="N558" s="76"/>
      <c r="O558" s="76"/>
      <c r="P558" s="76"/>
      <c r="Q558" s="76"/>
      <c r="R558" s="76"/>
      <c r="S558" s="76"/>
      <c r="T558" s="76"/>
      <c r="U558" s="76"/>
      <c r="V558" s="76"/>
      <c r="W558" s="76"/>
    </row>
    <row r="559" spans="1:23" ht="12.75">
      <c r="A559" s="76"/>
      <c r="B559" s="76"/>
      <c r="C559" s="76"/>
      <c r="D559" s="69"/>
      <c r="E559" s="76"/>
      <c r="F559" s="76"/>
      <c r="G559" s="76"/>
      <c r="H559" s="76"/>
      <c r="I559" s="76"/>
      <c r="J559" s="76"/>
      <c r="K559" s="76"/>
      <c r="L559" s="76"/>
      <c r="M559" s="69"/>
      <c r="N559" s="76"/>
      <c r="O559" s="76"/>
      <c r="P559" s="76"/>
      <c r="Q559" s="76"/>
      <c r="R559" s="76"/>
      <c r="S559" s="76"/>
      <c r="T559" s="76"/>
      <c r="U559" s="76"/>
      <c r="V559" s="76"/>
      <c r="W559" s="76"/>
    </row>
    <row r="560" spans="1:23" ht="12.75">
      <c r="A560" s="76"/>
      <c r="B560" s="76"/>
      <c r="C560" s="76"/>
      <c r="D560" s="69"/>
      <c r="E560" s="76"/>
      <c r="F560" s="76"/>
      <c r="G560" s="76"/>
      <c r="H560" s="76"/>
      <c r="I560" s="76"/>
      <c r="J560" s="76"/>
      <c r="K560" s="76"/>
      <c r="L560" s="76"/>
      <c r="M560" s="69"/>
      <c r="N560" s="76"/>
      <c r="O560" s="76"/>
      <c r="P560" s="76"/>
      <c r="Q560" s="76"/>
      <c r="R560" s="76"/>
      <c r="S560" s="76"/>
      <c r="T560" s="76"/>
      <c r="U560" s="76"/>
      <c r="V560" s="76"/>
      <c r="W560" s="76"/>
    </row>
    <row r="561" spans="1:23" ht="12.75">
      <c r="A561" s="76"/>
      <c r="B561" s="76"/>
      <c r="C561" s="76"/>
      <c r="D561" s="69"/>
      <c r="E561" s="76"/>
      <c r="F561" s="76"/>
      <c r="G561" s="76"/>
      <c r="H561" s="76"/>
      <c r="I561" s="76"/>
      <c r="J561" s="76"/>
      <c r="K561" s="76"/>
      <c r="L561" s="76"/>
      <c r="M561" s="69"/>
      <c r="N561" s="76"/>
      <c r="O561" s="76"/>
      <c r="P561" s="76"/>
      <c r="Q561" s="76"/>
      <c r="R561" s="76"/>
      <c r="S561" s="76"/>
      <c r="T561" s="76"/>
      <c r="U561" s="76"/>
      <c r="V561" s="76"/>
      <c r="W561" s="76"/>
    </row>
    <row r="562" spans="1:23" ht="12.75">
      <c r="A562" s="76"/>
      <c r="B562" s="76"/>
      <c r="C562" s="76"/>
      <c r="D562" s="69"/>
      <c r="E562" s="76"/>
      <c r="F562" s="76"/>
      <c r="G562" s="76"/>
      <c r="H562" s="76"/>
      <c r="I562" s="76"/>
      <c r="J562" s="76"/>
      <c r="K562" s="76"/>
      <c r="L562" s="76"/>
      <c r="M562" s="69"/>
      <c r="N562" s="76"/>
      <c r="O562" s="76"/>
      <c r="P562" s="76"/>
      <c r="Q562" s="76"/>
      <c r="R562" s="76"/>
      <c r="S562" s="76"/>
      <c r="T562" s="76"/>
      <c r="U562" s="76"/>
      <c r="V562" s="76"/>
      <c r="W562" s="76"/>
    </row>
    <row r="563" spans="1:23" ht="12.75">
      <c r="A563" s="76"/>
      <c r="B563" s="76"/>
      <c r="C563" s="76"/>
      <c r="D563" s="69"/>
      <c r="E563" s="76"/>
      <c r="F563" s="76"/>
      <c r="G563" s="76"/>
      <c r="H563" s="76"/>
      <c r="I563" s="76"/>
      <c r="J563" s="76"/>
      <c r="K563" s="76"/>
      <c r="L563" s="76"/>
      <c r="M563" s="69"/>
      <c r="N563" s="76"/>
      <c r="O563" s="76"/>
      <c r="P563" s="76"/>
      <c r="Q563" s="76"/>
      <c r="R563" s="76"/>
      <c r="S563" s="76"/>
      <c r="T563" s="76"/>
      <c r="U563" s="76"/>
      <c r="V563" s="76"/>
      <c r="W563" s="76"/>
    </row>
    <row r="564" spans="1:23" ht="12.75">
      <c r="A564" s="76"/>
      <c r="B564" s="76"/>
      <c r="C564" s="76"/>
      <c r="D564" s="69"/>
      <c r="E564" s="76"/>
      <c r="F564" s="76"/>
      <c r="G564" s="76"/>
      <c r="H564" s="76"/>
      <c r="I564" s="76"/>
      <c r="J564" s="76"/>
      <c r="K564" s="76"/>
      <c r="L564" s="76"/>
      <c r="M564" s="69"/>
      <c r="N564" s="76"/>
      <c r="O564" s="76"/>
      <c r="P564" s="76"/>
      <c r="Q564" s="76"/>
      <c r="R564" s="76"/>
      <c r="S564" s="76"/>
      <c r="T564" s="76"/>
      <c r="U564" s="76"/>
      <c r="V564" s="76"/>
      <c r="W564" s="76"/>
    </row>
    <row r="565" spans="1:23" ht="12.75">
      <c r="A565" s="76"/>
      <c r="B565" s="76"/>
      <c r="C565" s="76"/>
      <c r="D565" s="69"/>
      <c r="E565" s="76"/>
      <c r="F565" s="76"/>
      <c r="G565" s="76"/>
      <c r="H565" s="76"/>
      <c r="I565" s="76"/>
      <c r="J565" s="76"/>
      <c r="K565" s="76"/>
      <c r="L565" s="76"/>
      <c r="M565" s="69"/>
      <c r="N565" s="76"/>
      <c r="O565" s="76"/>
      <c r="P565" s="76"/>
      <c r="Q565" s="76"/>
      <c r="R565" s="76"/>
      <c r="S565" s="76"/>
      <c r="T565" s="76"/>
      <c r="U565" s="76"/>
      <c r="V565" s="76"/>
      <c r="W565" s="76"/>
    </row>
    <row r="566" spans="1:23" ht="12.75">
      <c r="A566" s="76"/>
      <c r="B566" s="76"/>
      <c r="C566" s="76"/>
      <c r="D566" s="69"/>
      <c r="E566" s="76"/>
      <c r="F566" s="76"/>
      <c r="G566" s="76"/>
      <c r="H566" s="76"/>
      <c r="I566" s="76"/>
      <c r="J566" s="76"/>
      <c r="K566" s="76"/>
      <c r="L566" s="76"/>
      <c r="M566" s="69"/>
      <c r="N566" s="76"/>
      <c r="O566" s="76"/>
      <c r="P566" s="76"/>
      <c r="Q566" s="76"/>
      <c r="R566" s="76"/>
      <c r="S566" s="76"/>
      <c r="T566" s="76"/>
      <c r="U566" s="76"/>
      <c r="V566" s="76"/>
      <c r="W566" s="76"/>
    </row>
    <row r="567" spans="1:23" ht="12.75">
      <c r="A567" s="76"/>
      <c r="B567" s="76"/>
      <c r="C567" s="76"/>
      <c r="D567" s="69"/>
      <c r="E567" s="76"/>
      <c r="F567" s="76"/>
      <c r="G567" s="76"/>
      <c r="H567" s="76"/>
      <c r="I567" s="76"/>
      <c r="J567" s="76"/>
      <c r="K567" s="76"/>
      <c r="L567" s="76"/>
      <c r="M567" s="69"/>
      <c r="N567" s="76"/>
      <c r="O567" s="76"/>
      <c r="P567" s="76"/>
      <c r="Q567" s="76"/>
      <c r="R567" s="76"/>
      <c r="S567" s="76"/>
      <c r="T567" s="76"/>
      <c r="U567" s="76"/>
      <c r="V567" s="76"/>
      <c r="W567" s="76"/>
    </row>
    <row r="568" spans="1:23" ht="12.75">
      <c r="A568" s="76"/>
      <c r="B568" s="76"/>
      <c r="C568" s="76"/>
      <c r="D568" s="69"/>
      <c r="E568" s="76"/>
      <c r="F568" s="76"/>
      <c r="G568" s="76"/>
      <c r="H568" s="76"/>
      <c r="I568" s="76"/>
      <c r="J568" s="76"/>
      <c r="K568" s="76"/>
      <c r="L568" s="76"/>
      <c r="M568" s="69"/>
      <c r="N568" s="76"/>
      <c r="O568" s="76"/>
      <c r="P568" s="76"/>
      <c r="Q568" s="76"/>
      <c r="R568" s="76"/>
      <c r="S568" s="76"/>
      <c r="T568" s="76"/>
      <c r="U568" s="76"/>
      <c r="V568" s="76"/>
      <c r="W568" s="76"/>
    </row>
    <row r="569" spans="1:23" ht="12.75">
      <c r="A569" s="76"/>
      <c r="B569" s="76"/>
      <c r="C569" s="76"/>
      <c r="D569" s="69"/>
      <c r="E569" s="76"/>
      <c r="F569" s="76"/>
      <c r="G569" s="76"/>
      <c r="H569" s="76"/>
      <c r="I569" s="76"/>
      <c r="J569" s="76"/>
      <c r="K569" s="76"/>
      <c r="L569" s="76"/>
      <c r="M569" s="69"/>
      <c r="N569" s="76"/>
      <c r="O569" s="76"/>
      <c r="P569" s="76"/>
      <c r="Q569" s="76"/>
      <c r="R569" s="76"/>
      <c r="S569" s="76"/>
      <c r="T569" s="76"/>
      <c r="U569" s="76"/>
      <c r="V569" s="76"/>
      <c r="W569" s="76"/>
    </row>
    <row r="570" spans="1:23" ht="12.75">
      <c r="A570" s="76"/>
      <c r="B570" s="76"/>
      <c r="C570" s="76"/>
      <c r="D570" s="69"/>
      <c r="E570" s="76"/>
      <c r="F570" s="76"/>
      <c r="G570" s="76"/>
      <c r="H570" s="76"/>
      <c r="I570" s="76"/>
      <c r="J570" s="76"/>
      <c r="K570" s="76"/>
      <c r="L570" s="76"/>
      <c r="M570" s="69"/>
      <c r="N570" s="76"/>
      <c r="O570" s="76"/>
      <c r="P570" s="76"/>
      <c r="Q570" s="76"/>
      <c r="R570" s="76"/>
      <c r="S570" s="76"/>
      <c r="T570" s="76"/>
      <c r="U570" s="76"/>
      <c r="V570" s="76"/>
      <c r="W570" s="76"/>
    </row>
    <row r="571" spans="1:23" ht="12.75">
      <c r="A571" s="76"/>
      <c r="B571" s="76"/>
      <c r="C571" s="76"/>
      <c r="D571" s="69"/>
      <c r="E571" s="76"/>
      <c r="F571" s="76"/>
      <c r="G571" s="76"/>
      <c r="H571" s="76"/>
      <c r="I571" s="76"/>
      <c r="J571" s="76"/>
      <c r="K571" s="76"/>
      <c r="L571" s="76"/>
      <c r="M571" s="69"/>
      <c r="N571" s="76"/>
      <c r="O571" s="76"/>
      <c r="P571" s="76"/>
      <c r="Q571" s="76"/>
      <c r="R571" s="76"/>
      <c r="S571" s="76"/>
      <c r="T571" s="76"/>
      <c r="U571" s="76"/>
      <c r="V571" s="76"/>
      <c r="W571" s="76"/>
    </row>
    <row r="572" spans="1:23" ht="12.75">
      <c r="A572" s="76"/>
      <c r="B572" s="76"/>
      <c r="C572" s="76"/>
      <c r="D572" s="69"/>
      <c r="E572" s="76"/>
      <c r="F572" s="76"/>
      <c r="G572" s="76"/>
      <c r="H572" s="76"/>
      <c r="I572" s="76"/>
      <c r="J572" s="76"/>
      <c r="K572" s="76"/>
      <c r="L572" s="76"/>
      <c r="M572" s="69"/>
      <c r="N572" s="76"/>
      <c r="O572" s="76"/>
      <c r="P572" s="76"/>
      <c r="Q572" s="76"/>
      <c r="R572" s="76"/>
      <c r="S572" s="76"/>
      <c r="T572" s="76"/>
      <c r="U572" s="76"/>
      <c r="V572" s="76"/>
      <c r="W572" s="76"/>
    </row>
    <row r="573" spans="1:23" ht="12.75">
      <c r="A573" s="76"/>
      <c r="B573" s="76"/>
      <c r="C573" s="76"/>
      <c r="D573" s="69"/>
      <c r="E573" s="76"/>
      <c r="F573" s="76"/>
      <c r="G573" s="76"/>
      <c r="H573" s="76"/>
      <c r="I573" s="76"/>
      <c r="J573" s="76"/>
      <c r="K573" s="76"/>
      <c r="L573" s="76"/>
      <c r="M573" s="69"/>
      <c r="N573" s="76"/>
      <c r="O573" s="76"/>
      <c r="P573" s="76"/>
      <c r="Q573" s="76"/>
      <c r="R573" s="76"/>
      <c r="S573" s="76"/>
      <c r="T573" s="76"/>
      <c r="U573" s="76"/>
      <c r="V573" s="76"/>
      <c r="W573" s="76"/>
    </row>
    <row r="574" spans="1:23" ht="12.75">
      <c r="A574" s="76"/>
      <c r="B574" s="76"/>
      <c r="C574" s="76"/>
      <c r="D574" s="69"/>
      <c r="E574" s="76"/>
      <c r="F574" s="76"/>
      <c r="G574" s="76"/>
      <c r="H574" s="76"/>
      <c r="I574" s="76"/>
      <c r="J574" s="76"/>
      <c r="K574" s="76"/>
      <c r="L574" s="76"/>
      <c r="M574" s="69"/>
      <c r="N574" s="76"/>
      <c r="O574" s="76"/>
      <c r="P574" s="76"/>
      <c r="Q574" s="76"/>
      <c r="R574" s="76"/>
      <c r="S574" s="76"/>
      <c r="T574" s="76"/>
      <c r="U574" s="76"/>
      <c r="V574" s="76"/>
      <c r="W574" s="76"/>
    </row>
    <row r="575" spans="1:23" ht="12.75">
      <c r="A575" s="76"/>
      <c r="B575" s="76"/>
      <c r="C575" s="76"/>
      <c r="D575" s="69"/>
      <c r="E575" s="76"/>
      <c r="F575" s="76"/>
      <c r="G575" s="76"/>
      <c r="H575" s="76"/>
      <c r="I575" s="76"/>
      <c r="J575" s="76"/>
      <c r="K575" s="76"/>
      <c r="L575" s="76"/>
      <c r="M575" s="69"/>
      <c r="N575" s="76"/>
      <c r="O575" s="76"/>
      <c r="P575" s="76"/>
      <c r="Q575" s="76"/>
      <c r="R575" s="76"/>
      <c r="S575" s="76"/>
      <c r="T575" s="76"/>
      <c r="U575" s="76"/>
      <c r="V575" s="76"/>
      <c r="W575" s="76"/>
    </row>
    <row r="576" spans="1:23" ht="12.75">
      <c r="A576" s="76"/>
      <c r="B576" s="76"/>
      <c r="C576" s="76"/>
      <c r="D576" s="69"/>
      <c r="E576" s="76"/>
      <c r="F576" s="76"/>
      <c r="G576" s="76"/>
      <c r="H576" s="76"/>
      <c r="I576" s="76"/>
      <c r="J576" s="76"/>
      <c r="K576" s="76"/>
      <c r="L576" s="76"/>
      <c r="M576" s="69"/>
      <c r="N576" s="76"/>
      <c r="O576" s="76"/>
      <c r="P576" s="76"/>
      <c r="Q576" s="76"/>
      <c r="R576" s="76"/>
      <c r="S576" s="76"/>
      <c r="T576" s="76"/>
      <c r="U576" s="76"/>
      <c r="V576" s="76"/>
      <c r="W576" s="76"/>
    </row>
    <row r="577" spans="1:23" ht="12.75">
      <c r="A577" s="76"/>
      <c r="B577" s="76"/>
      <c r="C577" s="76"/>
      <c r="D577" s="69"/>
      <c r="E577" s="76"/>
      <c r="F577" s="76"/>
      <c r="G577" s="76"/>
      <c r="H577" s="76"/>
      <c r="I577" s="76"/>
      <c r="J577" s="76"/>
      <c r="K577" s="76"/>
      <c r="L577" s="76"/>
      <c r="M577" s="69"/>
      <c r="N577" s="76"/>
      <c r="O577" s="76"/>
      <c r="P577" s="76"/>
      <c r="Q577" s="76"/>
      <c r="R577" s="76"/>
      <c r="S577" s="76"/>
      <c r="T577" s="76"/>
      <c r="U577" s="76"/>
      <c r="V577" s="76"/>
      <c r="W577" s="76"/>
    </row>
    <row r="578" spans="1:23" ht="12.75">
      <c r="A578" s="76"/>
      <c r="B578" s="76"/>
      <c r="C578" s="76"/>
      <c r="D578" s="69"/>
      <c r="E578" s="76"/>
      <c r="F578" s="76"/>
      <c r="G578" s="76"/>
      <c r="H578" s="76"/>
      <c r="I578" s="76"/>
      <c r="J578" s="76"/>
      <c r="K578" s="76"/>
      <c r="L578" s="76"/>
      <c r="M578" s="69"/>
      <c r="N578" s="76"/>
      <c r="O578" s="76"/>
      <c r="P578" s="76"/>
      <c r="Q578" s="76"/>
      <c r="R578" s="76"/>
      <c r="S578" s="76"/>
      <c r="T578" s="76"/>
      <c r="U578" s="76"/>
      <c r="V578" s="76"/>
      <c r="W578" s="76"/>
    </row>
    <row r="579" spans="1:23" ht="12.75">
      <c r="A579" s="76"/>
      <c r="B579" s="76"/>
      <c r="C579" s="76"/>
      <c r="D579" s="69"/>
      <c r="E579" s="76"/>
      <c r="F579" s="76"/>
      <c r="G579" s="76"/>
      <c r="H579" s="76"/>
      <c r="I579" s="76"/>
      <c r="J579" s="76"/>
      <c r="K579" s="76"/>
      <c r="L579" s="76"/>
      <c r="M579" s="69"/>
      <c r="N579" s="76"/>
      <c r="O579" s="76"/>
      <c r="P579" s="76"/>
      <c r="Q579" s="76"/>
      <c r="R579" s="76"/>
      <c r="S579" s="76"/>
      <c r="T579" s="76"/>
      <c r="U579" s="76"/>
      <c r="V579" s="76"/>
      <c r="W579" s="76"/>
    </row>
    <row r="580" spans="1:23" ht="12.75">
      <c r="A580" s="76"/>
      <c r="B580" s="76"/>
      <c r="C580" s="76"/>
      <c r="D580" s="69"/>
      <c r="E580" s="76"/>
      <c r="F580" s="76"/>
      <c r="G580" s="76"/>
      <c r="H580" s="76"/>
      <c r="I580" s="76"/>
      <c r="J580" s="76"/>
      <c r="K580" s="76"/>
      <c r="L580" s="76"/>
      <c r="M580" s="69"/>
      <c r="N580" s="76"/>
      <c r="O580" s="76"/>
      <c r="P580" s="76"/>
      <c r="Q580" s="76"/>
      <c r="R580" s="76"/>
      <c r="S580" s="76"/>
      <c r="T580" s="76"/>
      <c r="U580" s="76"/>
      <c r="V580" s="76"/>
      <c r="W580" s="76"/>
    </row>
    <row r="581" spans="1:23" ht="12.75">
      <c r="A581" s="76"/>
      <c r="B581" s="76"/>
      <c r="C581" s="76"/>
      <c r="D581" s="69"/>
      <c r="E581" s="76"/>
      <c r="F581" s="76"/>
      <c r="G581" s="76"/>
      <c r="H581" s="76"/>
      <c r="I581" s="76"/>
      <c r="J581" s="76"/>
      <c r="K581" s="76"/>
      <c r="L581" s="76"/>
      <c r="M581" s="69"/>
      <c r="N581" s="76"/>
      <c r="O581" s="76"/>
      <c r="P581" s="76"/>
      <c r="Q581" s="76"/>
      <c r="R581" s="76"/>
      <c r="S581" s="76"/>
      <c r="T581" s="76"/>
      <c r="U581" s="76"/>
      <c r="V581" s="76"/>
      <c r="W581" s="76"/>
    </row>
    <row r="582" spans="1:23" ht="12.75">
      <c r="A582" s="76"/>
      <c r="B582" s="76"/>
      <c r="C582" s="76"/>
      <c r="D582" s="69"/>
      <c r="E582" s="76"/>
      <c r="F582" s="76"/>
      <c r="G582" s="76"/>
      <c r="H582" s="76"/>
      <c r="I582" s="76"/>
      <c r="J582" s="76"/>
      <c r="K582" s="76"/>
      <c r="L582" s="76"/>
      <c r="M582" s="69"/>
      <c r="N582" s="76"/>
      <c r="O582" s="76"/>
      <c r="P582" s="76"/>
      <c r="Q582" s="76"/>
      <c r="R582" s="76"/>
      <c r="S582" s="76"/>
      <c r="T582" s="76"/>
      <c r="U582" s="76"/>
      <c r="V582" s="76"/>
      <c r="W582" s="76"/>
    </row>
    <row r="583" spans="1:23" ht="12.75">
      <c r="A583" s="76"/>
      <c r="B583" s="76"/>
      <c r="C583" s="76"/>
      <c r="D583" s="69"/>
      <c r="E583" s="76"/>
      <c r="F583" s="76"/>
      <c r="G583" s="76"/>
      <c r="H583" s="76"/>
      <c r="I583" s="76"/>
      <c r="J583" s="76"/>
      <c r="K583" s="76"/>
      <c r="L583" s="76"/>
      <c r="M583" s="69"/>
      <c r="N583" s="76"/>
      <c r="O583" s="76"/>
      <c r="P583" s="76"/>
      <c r="Q583" s="76"/>
      <c r="R583" s="76"/>
      <c r="S583" s="76"/>
      <c r="T583" s="76"/>
      <c r="U583" s="76"/>
      <c r="V583" s="76"/>
      <c r="W583" s="76"/>
    </row>
    <row r="584" spans="1:23" ht="12.75">
      <c r="A584" s="76"/>
      <c r="B584" s="76"/>
      <c r="C584" s="76"/>
      <c r="D584" s="69"/>
      <c r="E584" s="76"/>
      <c r="F584" s="76"/>
      <c r="G584" s="76"/>
      <c r="H584" s="76"/>
      <c r="I584" s="76"/>
      <c r="J584" s="76"/>
      <c r="K584" s="76"/>
      <c r="L584" s="76"/>
      <c r="M584" s="69"/>
      <c r="N584" s="76"/>
      <c r="O584" s="76"/>
      <c r="P584" s="76"/>
      <c r="Q584" s="76"/>
      <c r="R584" s="76"/>
      <c r="S584" s="76"/>
      <c r="T584" s="76"/>
      <c r="U584" s="76"/>
      <c r="V584" s="76"/>
      <c r="W584" s="76"/>
    </row>
    <row r="585" spans="1:23" ht="12.75">
      <c r="A585" s="76"/>
      <c r="B585" s="76"/>
      <c r="C585" s="76"/>
      <c r="D585" s="69"/>
      <c r="E585" s="76"/>
      <c r="F585" s="76"/>
      <c r="G585" s="76"/>
      <c r="H585" s="76"/>
      <c r="I585" s="76"/>
      <c r="J585" s="76"/>
      <c r="K585" s="76"/>
      <c r="L585" s="76"/>
      <c r="M585" s="69"/>
      <c r="N585" s="76"/>
      <c r="O585" s="76"/>
      <c r="P585" s="76"/>
      <c r="Q585" s="76"/>
      <c r="R585" s="76"/>
      <c r="S585" s="76"/>
      <c r="T585" s="76"/>
      <c r="U585" s="76"/>
      <c r="V585" s="76"/>
      <c r="W585" s="76"/>
    </row>
    <row r="586" spans="1:23" ht="12.75">
      <c r="A586" s="76"/>
      <c r="B586" s="76"/>
      <c r="C586" s="76"/>
      <c r="D586" s="69"/>
      <c r="E586" s="76"/>
      <c r="F586" s="76"/>
      <c r="G586" s="76"/>
      <c r="H586" s="76"/>
      <c r="I586" s="76"/>
      <c r="J586" s="76"/>
      <c r="K586" s="76"/>
      <c r="L586" s="76"/>
      <c r="M586" s="69"/>
      <c r="N586" s="76"/>
      <c r="O586" s="76"/>
      <c r="P586" s="76"/>
      <c r="Q586" s="76"/>
      <c r="R586" s="76"/>
      <c r="S586" s="76"/>
      <c r="T586" s="76"/>
      <c r="U586" s="76"/>
      <c r="V586" s="76"/>
      <c r="W586" s="76"/>
    </row>
    <row r="587" spans="1:23" ht="12.75">
      <c r="A587" s="76"/>
      <c r="B587" s="76"/>
      <c r="C587" s="76"/>
      <c r="D587" s="69"/>
      <c r="E587" s="76"/>
      <c r="F587" s="76"/>
      <c r="G587" s="76"/>
      <c r="H587" s="76"/>
      <c r="I587" s="76"/>
      <c r="J587" s="76"/>
      <c r="K587" s="76"/>
      <c r="L587" s="76"/>
      <c r="M587" s="69"/>
      <c r="N587" s="76"/>
      <c r="O587" s="76"/>
      <c r="P587" s="76"/>
      <c r="Q587" s="76"/>
      <c r="R587" s="76"/>
      <c r="S587" s="76"/>
      <c r="T587" s="76"/>
      <c r="U587" s="76"/>
      <c r="V587" s="76"/>
      <c r="W587" s="76"/>
    </row>
    <row r="588" spans="1:23" ht="12.75">
      <c r="A588" s="76"/>
      <c r="B588" s="76"/>
      <c r="C588" s="76"/>
      <c r="D588" s="69"/>
      <c r="E588" s="76"/>
      <c r="F588" s="76"/>
      <c r="G588" s="76"/>
      <c r="H588" s="76"/>
      <c r="I588" s="76"/>
      <c r="J588" s="76"/>
      <c r="K588" s="76"/>
      <c r="L588" s="76"/>
      <c r="M588" s="69"/>
      <c r="N588" s="76"/>
      <c r="O588" s="76"/>
      <c r="P588" s="76"/>
      <c r="Q588" s="76"/>
      <c r="R588" s="76"/>
      <c r="S588" s="76"/>
      <c r="T588" s="76"/>
      <c r="U588" s="76"/>
      <c r="V588" s="76"/>
      <c r="W588" s="76"/>
    </row>
    <row r="589" spans="1:23" ht="12.75">
      <c r="A589" s="76"/>
      <c r="B589" s="76"/>
      <c r="C589" s="76"/>
      <c r="D589" s="69"/>
      <c r="E589" s="76"/>
      <c r="F589" s="76"/>
      <c r="G589" s="76"/>
      <c r="H589" s="76"/>
      <c r="I589" s="76"/>
      <c r="J589" s="76"/>
      <c r="K589" s="76"/>
      <c r="L589" s="76"/>
      <c r="M589" s="69"/>
      <c r="N589" s="76"/>
      <c r="O589" s="76"/>
      <c r="P589" s="76"/>
      <c r="Q589" s="76"/>
      <c r="R589" s="76"/>
      <c r="S589" s="76"/>
      <c r="T589" s="76"/>
      <c r="U589" s="76"/>
      <c r="V589" s="76"/>
      <c r="W589" s="76"/>
    </row>
    <row r="590" spans="1:23" ht="12.75">
      <c r="A590" s="76"/>
      <c r="B590" s="76"/>
      <c r="C590" s="76"/>
      <c r="D590" s="69"/>
      <c r="E590" s="76"/>
      <c r="F590" s="76"/>
      <c r="G590" s="76"/>
      <c r="H590" s="76"/>
      <c r="I590" s="76"/>
      <c r="J590" s="76"/>
      <c r="K590" s="76"/>
      <c r="L590" s="76"/>
      <c r="M590" s="69"/>
      <c r="N590" s="76"/>
      <c r="O590" s="76"/>
      <c r="P590" s="76"/>
      <c r="Q590" s="76"/>
      <c r="R590" s="76"/>
      <c r="S590" s="76"/>
      <c r="T590" s="76"/>
      <c r="U590" s="76"/>
      <c r="V590" s="76"/>
      <c r="W590" s="76"/>
    </row>
    <row r="591" spans="1:23" ht="12.75">
      <c r="A591" s="76"/>
      <c r="B591" s="76"/>
      <c r="C591" s="76"/>
      <c r="D591" s="69"/>
      <c r="E591" s="76"/>
      <c r="F591" s="76"/>
      <c r="G591" s="76"/>
      <c r="H591" s="76"/>
      <c r="I591" s="76"/>
      <c r="J591" s="76"/>
      <c r="K591" s="76"/>
      <c r="L591" s="76"/>
      <c r="M591" s="69"/>
      <c r="N591" s="76"/>
      <c r="O591" s="76"/>
      <c r="P591" s="76"/>
      <c r="Q591" s="76"/>
      <c r="R591" s="76"/>
      <c r="S591" s="76"/>
      <c r="T591" s="76"/>
      <c r="U591" s="76"/>
      <c r="V591" s="76"/>
      <c r="W591" s="76"/>
    </row>
    <row r="592" spans="1:23" ht="12.75">
      <c r="A592" s="76"/>
      <c r="B592" s="76"/>
      <c r="C592" s="76"/>
      <c r="D592" s="69"/>
      <c r="E592" s="76"/>
      <c r="F592" s="76"/>
      <c r="G592" s="76"/>
      <c r="H592" s="76"/>
      <c r="I592" s="76"/>
      <c r="J592" s="76"/>
      <c r="K592" s="76"/>
      <c r="L592" s="76"/>
      <c r="M592" s="69"/>
      <c r="N592" s="76"/>
      <c r="O592" s="76"/>
      <c r="P592" s="76"/>
      <c r="Q592" s="76"/>
      <c r="R592" s="76"/>
      <c r="S592" s="76"/>
      <c r="T592" s="76"/>
      <c r="U592" s="76"/>
      <c r="V592" s="76"/>
      <c r="W592" s="76"/>
    </row>
    <row r="593" spans="1:23" ht="12.75">
      <c r="A593" s="76"/>
      <c r="B593" s="76"/>
      <c r="C593" s="76"/>
      <c r="D593" s="69"/>
      <c r="E593" s="76"/>
      <c r="F593" s="76"/>
      <c r="G593" s="76"/>
      <c r="H593" s="76"/>
      <c r="I593" s="76"/>
      <c r="J593" s="76"/>
      <c r="K593" s="76"/>
      <c r="L593" s="76"/>
      <c r="M593" s="69"/>
      <c r="N593" s="76"/>
      <c r="O593" s="76"/>
      <c r="P593" s="76"/>
      <c r="Q593" s="76"/>
      <c r="R593" s="76"/>
      <c r="S593" s="76"/>
      <c r="T593" s="76"/>
      <c r="U593" s="76"/>
      <c r="V593" s="76"/>
      <c r="W593" s="76"/>
    </row>
    <row r="594" spans="1:23" ht="12.75">
      <c r="A594" s="76"/>
      <c r="B594" s="76"/>
      <c r="C594" s="76"/>
      <c r="D594" s="69"/>
      <c r="E594" s="76"/>
      <c r="F594" s="76"/>
      <c r="G594" s="76"/>
      <c r="H594" s="76"/>
      <c r="I594" s="76"/>
      <c r="J594" s="76"/>
      <c r="K594" s="76"/>
      <c r="L594" s="76"/>
      <c r="M594" s="69"/>
      <c r="N594" s="76"/>
      <c r="O594" s="76"/>
      <c r="P594" s="76"/>
      <c r="Q594" s="76"/>
      <c r="R594" s="76"/>
      <c r="S594" s="76"/>
      <c r="T594" s="76"/>
      <c r="U594" s="76"/>
      <c r="V594" s="76"/>
      <c r="W594" s="76"/>
    </row>
    <row r="595" spans="1:23" ht="12.75">
      <c r="A595" s="76"/>
      <c r="B595" s="76"/>
      <c r="C595" s="76"/>
      <c r="D595" s="69"/>
      <c r="E595" s="76"/>
      <c r="F595" s="76"/>
      <c r="G595" s="76"/>
      <c r="H595" s="76"/>
      <c r="I595" s="76"/>
      <c r="J595" s="76"/>
      <c r="K595" s="76"/>
      <c r="L595" s="76"/>
      <c r="M595" s="69"/>
      <c r="N595" s="76"/>
      <c r="O595" s="76"/>
      <c r="P595" s="76"/>
      <c r="Q595" s="76"/>
      <c r="R595" s="76"/>
      <c r="S595" s="76"/>
      <c r="T595" s="76"/>
      <c r="U595" s="76"/>
      <c r="V595" s="76"/>
      <c r="W595" s="76"/>
    </row>
    <row r="596" spans="1:23" ht="12.75">
      <c r="A596" s="76"/>
      <c r="B596" s="76"/>
      <c r="C596" s="76"/>
      <c r="D596" s="69"/>
      <c r="E596" s="76"/>
      <c r="F596" s="76"/>
      <c r="G596" s="76"/>
      <c r="H596" s="76"/>
      <c r="I596" s="76"/>
      <c r="J596" s="76"/>
      <c r="K596" s="76"/>
      <c r="L596" s="76"/>
      <c r="M596" s="69"/>
      <c r="N596" s="76"/>
      <c r="O596" s="76"/>
      <c r="P596" s="76"/>
      <c r="Q596" s="76"/>
      <c r="R596" s="76"/>
      <c r="S596" s="76"/>
      <c r="T596" s="76"/>
      <c r="U596" s="76"/>
      <c r="V596" s="76"/>
      <c r="W596" s="76"/>
    </row>
    <row r="597" spans="1:23" ht="12.75">
      <c r="A597" s="76"/>
      <c r="B597" s="76"/>
      <c r="C597" s="76"/>
      <c r="D597" s="69"/>
      <c r="E597" s="76"/>
      <c r="F597" s="76"/>
      <c r="G597" s="76"/>
      <c r="H597" s="76"/>
      <c r="I597" s="76"/>
      <c r="J597" s="76"/>
      <c r="K597" s="76"/>
      <c r="L597" s="76"/>
      <c r="M597" s="69"/>
      <c r="N597" s="76"/>
      <c r="O597" s="76"/>
      <c r="P597" s="76"/>
      <c r="Q597" s="76"/>
      <c r="R597" s="76"/>
      <c r="S597" s="76"/>
      <c r="T597" s="76"/>
      <c r="U597" s="76"/>
      <c r="V597" s="76"/>
      <c r="W597" s="76"/>
    </row>
    <row r="598" spans="1:23" ht="12.75">
      <c r="A598" s="76"/>
      <c r="B598" s="76"/>
      <c r="C598" s="76"/>
      <c r="D598" s="69"/>
      <c r="E598" s="76"/>
      <c r="F598" s="76"/>
      <c r="G598" s="76"/>
      <c r="H598" s="76"/>
      <c r="I598" s="76"/>
      <c r="J598" s="76"/>
      <c r="K598" s="76"/>
      <c r="L598" s="76"/>
      <c r="M598" s="69"/>
      <c r="N598" s="76"/>
      <c r="O598" s="76"/>
      <c r="P598" s="76"/>
      <c r="Q598" s="76"/>
      <c r="R598" s="76"/>
      <c r="S598" s="76"/>
      <c r="T598" s="76"/>
      <c r="U598" s="76"/>
      <c r="V598" s="76"/>
      <c r="W598" s="76"/>
    </row>
    <row r="599" spans="1:23" ht="12.75">
      <c r="A599" s="76"/>
      <c r="B599" s="76"/>
      <c r="C599" s="76"/>
      <c r="D599" s="69"/>
      <c r="E599" s="76"/>
      <c r="F599" s="76"/>
      <c r="G599" s="76"/>
      <c r="H599" s="76"/>
      <c r="I599" s="76"/>
      <c r="J599" s="76"/>
      <c r="K599" s="76"/>
      <c r="L599" s="76"/>
      <c r="M599" s="69"/>
      <c r="N599" s="76"/>
      <c r="O599" s="76"/>
      <c r="P599" s="76"/>
      <c r="Q599" s="76"/>
      <c r="R599" s="76"/>
      <c r="S599" s="76"/>
      <c r="T599" s="76"/>
      <c r="U599" s="76"/>
      <c r="V599" s="76"/>
      <c r="W599" s="76"/>
    </row>
    <row r="600" spans="1:23" ht="12.75">
      <c r="A600" s="76"/>
      <c r="B600" s="76"/>
      <c r="C600" s="76"/>
      <c r="D600" s="69"/>
      <c r="E600" s="76"/>
      <c r="F600" s="76"/>
      <c r="G600" s="76"/>
      <c r="H600" s="76"/>
      <c r="I600" s="76"/>
      <c r="J600" s="76"/>
      <c r="K600" s="76"/>
      <c r="L600" s="76"/>
      <c r="M600" s="69"/>
      <c r="N600" s="76"/>
      <c r="O600" s="76"/>
      <c r="P600" s="76"/>
      <c r="Q600" s="76"/>
      <c r="R600" s="76"/>
      <c r="S600" s="76"/>
      <c r="T600" s="76"/>
      <c r="U600" s="76"/>
      <c r="V600" s="76"/>
      <c r="W600" s="76"/>
    </row>
    <row r="601" spans="1:23" ht="12.75">
      <c r="A601" s="76"/>
      <c r="B601" s="76"/>
      <c r="C601" s="76"/>
      <c r="D601" s="69"/>
      <c r="E601" s="76"/>
      <c r="F601" s="76"/>
      <c r="G601" s="76"/>
      <c r="H601" s="76"/>
      <c r="I601" s="76"/>
      <c r="J601" s="76"/>
      <c r="K601" s="76"/>
      <c r="L601" s="76"/>
      <c r="M601" s="69"/>
      <c r="N601" s="76"/>
      <c r="O601" s="76"/>
      <c r="P601" s="76"/>
      <c r="Q601" s="76"/>
      <c r="R601" s="76"/>
      <c r="S601" s="76"/>
      <c r="T601" s="76"/>
      <c r="U601" s="76"/>
      <c r="V601" s="76"/>
      <c r="W601" s="76"/>
    </row>
    <row r="602" spans="1:23" ht="12.75">
      <c r="A602" s="76"/>
      <c r="B602" s="76"/>
      <c r="C602" s="76"/>
      <c r="D602" s="69"/>
      <c r="E602" s="76"/>
      <c r="F602" s="76"/>
      <c r="G602" s="76"/>
      <c r="H602" s="76"/>
      <c r="I602" s="76"/>
      <c r="J602" s="76"/>
      <c r="K602" s="76"/>
      <c r="L602" s="76"/>
      <c r="M602" s="69"/>
      <c r="N602" s="76"/>
      <c r="O602" s="76"/>
      <c r="P602" s="76"/>
      <c r="Q602" s="76"/>
      <c r="R602" s="76"/>
      <c r="S602" s="76"/>
      <c r="T602" s="76"/>
      <c r="U602" s="76"/>
      <c r="V602" s="76"/>
      <c r="W602" s="76"/>
    </row>
    <row r="603" spans="1:23" ht="12.75">
      <c r="A603" s="76"/>
      <c r="B603" s="76"/>
      <c r="C603" s="76"/>
      <c r="D603" s="69"/>
      <c r="E603" s="76"/>
      <c r="F603" s="76"/>
      <c r="G603" s="76"/>
      <c r="H603" s="76"/>
      <c r="I603" s="76"/>
      <c r="J603" s="76"/>
      <c r="K603" s="76"/>
      <c r="L603" s="76"/>
      <c r="M603" s="69"/>
      <c r="N603" s="76"/>
      <c r="O603" s="76"/>
      <c r="P603" s="76"/>
      <c r="Q603" s="76"/>
      <c r="R603" s="76"/>
      <c r="S603" s="76"/>
      <c r="T603" s="76"/>
      <c r="U603" s="76"/>
      <c r="V603" s="76"/>
      <c r="W603" s="76"/>
    </row>
    <row r="604" spans="1:23" ht="12.75">
      <c r="A604" s="76"/>
      <c r="B604" s="76"/>
      <c r="C604" s="76"/>
      <c r="D604" s="69"/>
      <c r="E604" s="76"/>
      <c r="F604" s="76"/>
      <c r="G604" s="76"/>
      <c r="H604" s="76"/>
      <c r="I604" s="76"/>
      <c r="J604" s="76"/>
      <c r="K604" s="76"/>
      <c r="L604" s="76"/>
      <c r="M604" s="69"/>
      <c r="N604" s="76"/>
      <c r="O604" s="76"/>
      <c r="P604" s="76"/>
      <c r="Q604" s="76"/>
      <c r="R604" s="76"/>
      <c r="S604" s="76"/>
      <c r="T604" s="76"/>
      <c r="U604" s="76"/>
      <c r="V604" s="76"/>
      <c r="W604" s="76"/>
    </row>
    <row r="605" spans="1:23" ht="12.75">
      <c r="A605" s="76"/>
      <c r="B605" s="76"/>
      <c r="C605" s="76"/>
      <c r="D605" s="69"/>
      <c r="E605" s="76"/>
      <c r="F605" s="76"/>
      <c r="G605" s="76"/>
      <c r="H605" s="76"/>
      <c r="I605" s="76"/>
      <c r="J605" s="76"/>
      <c r="K605" s="76"/>
      <c r="L605" s="76"/>
      <c r="M605" s="69"/>
      <c r="N605" s="76"/>
      <c r="O605" s="76"/>
      <c r="P605" s="76"/>
      <c r="Q605" s="76"/>
      <c r="R605" s="76"/>
      <c r="S605" s="76"/>
      <c r="T605" s="76"/>
      <c r="U605" s="76"/>
      <c r="V605" s="76"/>
      <c r="W605" s="76"/>
    </row>
    <row r="606" spans="1:23" ht="12.75">
      <c r="A606" s="76"/>
      <c r="B606" s="76"/>
      <c r="C606" s="76"/>
      <c r="D606" s="69"/>
      <c r="E606" s="76"/>
      <c r="F606" s="76"/>
      <c r="G606" s="76"/>
      <c r="H606" s="76"/>
      <c r="I606" s="76"/>
      <c r="J606" s="76"/>
      <c r="K606" s="76"/>
      <c r="L606" s="76"/>
      <c r="M606" s="69"/>
      <c r="N606" s="76"/>
      <c r="O606" s="76"/>
      <c r="P606" s="76"/>
      <c r="Q606" s="76"/>
      <c r="R606" s="76"/>
      <c r="S606" s="76"/>
      <c r="T606" s="76"/>
      <c r="U606" s="76"/>
      <c r="V606" s="76"/>
      <c r="W606" s="76"/>
    </row>
    <row r="607" spans="1:23" ht="12.75">
      <c r="A607" s="76"/>
      <c r="B607" s="76"/>
      <c r="C607" s="76"/>
      <c r="D607" s="69"/>
      <c r="E607" s="76"/>
      <c r="F607" s="76"/>
      <c r="G607" s="76"/>
      <c r="H607" s="76"/>
      <c r="I607" s="76"/>
      <c r="J607" s="76"/>
      <c r="K607" s="76"/>
      <c r="L607" s="76"/>
      <c r="M607" s="69"/>
      <c r="N607" s="76"/>
      <c r="O607" s="76"/>
      <c r="P607" s="76"/>
      <c r="Q607" s="76"/>
      <c r="R607" s="76"/>
      <c r="S607" s="76"/>
      <c r="T607" s="76"/>
      <c r="U607" s="76"/>
      <c r="V607" s="76"/>
      <c r="W607" s="76"/>
    </row>
    <row r="608" spans="1:23" ht="12.75">
      <c r="A608" s="76"/>
      <c r="B608" s="76"/>
      <c r="C608" s="76"/>
      <c r="D608" s="69"/>
      <c r="E608" s="76"/>
      <c r="F608" s="76"/>
      <c r="G608" s="76"/>
      <c r="H608" s="76"/>
      <c r="I608" s="76"/>
      <c r="J608" s="76"/>
      <c r="K608" s="76"/>
      <c r="L608" s="76"/>
      <c r="M608" s="69"/>
      <c r="N608" s="76"/>
      <c r="O608" s="76"/>
      <c r="P608" s="76"/>
      <c r="Q608" s="76"/>
      <c r="R608" s="76"/>
      <c r="S608" s="76"/>
      <c r="T608" s="76"/>
      <c r="U608" s="76"/>
      <c r="V608" s="76"/>
      <c r="W608" s="76"/>
    </row>
    <row r="609" spans="1:23" ht="12.75">
      <c r="A609" s="76"/>
      <c r="B609" s="76"/>
      <c r="C609" s="76"/>
      <c r="D609" s="69"/>
      <c r="E609" s="76"/>
      <c r="F609" s="76"/>
      <c r="G609" s="76"/>
      <c r="H609" s="76"/>
      <c r="I609" s="76"/>
      <c r="J609" s="76"/>
      <c r="K609" s="76"/>
      <c r="L609" s="76"/>
      <c r="M609" s="69"/>
      <c r="N609" s="76"/>
      <c r="O609" s="76"/>
      <c r="P609" s="76"/>
      <c r="Q609" s="76"/>
      <c r="R609" s="76"/>
      <c r="S609" s="76"/>
      <c r="T609" s="76"/>
      <c r="U609" s="76"/>
      <c r="V609" s="76"/>
      <c r="W609" s="76"/>
    </row>
    <row r="610" spans="1:23" ht="12.75">
      <c r="A610" s="76"/>
      <c r="B610" s="76"/>
      <c r="C610" s="76"/>
      <c r="D610" s="69"/>
      <c r="E610" s="76"/>
      <c r="F610" s="76"/>
      <c r="G610" s="76"/>
      <c r="H610" s="76"/>
      <c r="I610" s="76"/>
      <c r="J610" s="76"/>
      <c r="K610" s="76"/>
      <c r="L610" s="76"/>
      <c r="M610" s="69"/>
      <c r="N610" s="76"/>
      <c r="O610" s="76"/>
      <c r="P610" s="76"/>
      <c r="Q610" s="76"/>
      <c r="R610" s="76"/>
      <c r="S610" s="76"/>
      <c r="T610" s="76"/>
      <c r="U610" s="76"/>
      <c r="V610" s="76"/>
      <c r="W610" s="76"/>
    </row>
    <row r="611" spans="1:23" ht="12.75">
      <c r="A611" s="76"/>
      <c r="B611" s="76"/>
      <c r="C611" s="76"/>
      <c r="D611" s="69"/>
      <c r="E611" s="76"/>
      <c r="F611" s="76"/>
      <c r="G611" s="76"/>
      <c r="H611" s="76"/>
      <c r="I611" s="76"/>
      <c r="J611" s="76"/>
      <c r="K611" s="76"/>
      <c r="L611" s="76"/>
      <c r="M611" s="69"/>
      <c r="N611" s="76"/>
      <c r="O611" s="76"/>
      <c r="P611" s="76"/>
      <c r="Q611" s="76"/>
      <c r="R611" s="76"/>
      <c r="S611" s="76"/>
      <c r="T611" s="76"/>
      <c r="U611" s="76"/>
      <c r="V611" s="76"/>
      <c r="W611" s="76"/>
    </row>
    <row r="612" spans="1:23" ht="12.75">
      <c r="A612" s="76"/>
      <c r="B612" s="76"/>
      <c r="C612" s="76"/>
      <c r="D612" s="69"/>
      <c r="E612" s="76"/>
      <c r="F612" s="76"/>
      <c r="G612" s="76"/>
      <c r="H612" s="76"/>
      <c r="I612" s="76"/>
      <c r="J612" s="76"/>
      <c r="K612" s="76"/>
      <c r="L612" s="76"/>
      <c r="M612" s="69"/>
      <c r="N612" s="76"/>
      <c r="O612" s="76"/>
      <c r="P612" s="76"/>
      <c r="Q612" s="76"/>
      <c r="R612" s="76"/>
      <c r="S612" s="76"/>
      <c r="T612" s="76"/>
      <c r="U612" s="76"/>
      <c r="V612" s="76"/>
      <c r="W612" s="76"/>
    </row>
    <row r="613" spans="1:23" ht="12.75">
      <c r="A613" s="76"/>
      <c r="B613" s="76"/>
      <c r="C613" s="76"/>
      <c r="D613" s="69"/>
      <c r="E613" s="76"/>
      <c r="F613" s="76"/>
      <c r="G613" s="76"/>
      <c r="H613" s="76"/>
      <c r="I613" s="76"/>
      <c r="J613" s="76"/>
      <c r="K613" s="76"/>
      <c r="L613" s="76"/>
      <c r="M613" s="69"/>
      <c r="N613" s="76"/>
      <c r="O613" s="76"/>
      <c r="P613" s="76"/>
      <c r="Q613" s="76"/>
      <c r="R613" s="76"/>
      <c r="S613" s="76"/>
      <c r="T613" s="76"/>
      <c r="U613" s="76"/>
      <c r="V613" s="76"/>
      <c r="W613" s="76"/>
    </row>
    <row r="614" spans="1:23" ht="12.75">
      <c r="A614" s="76"/>
      <c r="B614" s="76"/>
      <c r="C614" s="76"/>
      <c r="D614" s="69"/>
      <c r="E614" s="76"/>
      <c r="F614" s="76"/>
      <c r="G614" s="76"/>
      <c r="H614" s="76"/>
      <c r="I614" s="76"/>
      <c r="J614" s="76"/>
      <c r="K614" s="76"/>
      <c r="L614" s="76"/>
      <c r="M614" s="69"/>
      <c r="N614" s="76"/>
      <c r="O614" s="76"/>
      <c r="P614" s="76"/>
      <c r="Q614" s="76"/>
      <c r="R614" s="76"/>
      <c r="S614" s="76"/>
      <c r="T614" s="76"/>
      <c r="U614" s="76"/>
      <c r="V614" s="76"/>
      <c r="W614" s="76"/>
    </row>
    <row r="615" spans="1:23" ht="12.75">
      <c r="A615" s="76"/>
      <c r="B615" s="76"/>
      <c r="C615" s="76"/>
      <c r="D615" s="69"/>
      <c r="E615" s="76"/>
      <c r="F615" s="76"/>
      <c r="G615" s="76"/>
      <c r="H615" s="76"/>
      <c r="I615" s="76"/>
      <c r="J615" s="76"/>
      <c r="K615" s="76"/>
      <c r="L615" s="76"/>
      <c r="M615" s="69"/>
      <c r="N615" s="76"/>
      <c r="O615" s="76"/>
      <c r="P615" s="76"/>
      <c r="Q615" s="76"/>
      <c r="R615" s="76"/>
      <c r="S615" s="76"/>
      <c r="T615" s="76"/>
      <c r="U615" s="76"/>
      <c r="V615" s="76"/>
      <c r="W615" s="76"/>
    </row>
    <row r="616" spans="1:23" ht="12.75">
      <c r="A616" s="76"/>
      <c r="B616" s="76"/>
      <c r="C616" s="76"/>
      <c r="D616" s="69"/>
      <c r="E616" s="76"/>
      <c r="F616" s="76"/>
      <c r="G616" s="76"/>
      <c r="H616" s="76"/>
      <c r="I616" s="76"/>
      <c r="J616" s="76"/>
      <c r="K616" s="76"/>
      <c r="L616" s="76"/>
      <c r="M616" s="69"/>
      <c r="N616" s="76"/>
      <c r="O616" s="76"/>
      <c r="P616" s="76"/>
      <c r="Q616" s="76"/>
      <c r="R616" s="76"/>
      <c r="S616" s="76"/>
      <c r="T616" s="76"/>
      <c r="U616" s="76"/>
      <c r="V616" s="76"/>
      <c r="W616" s="76"/>
    </row>
    <row r="617" spans="1:23" ht="12.75">
      <c r="A617" s="76"/>
      <c r="B617" s="76"/>
      <c r="C617" s="76"/>
      <c r="D617" s="69"/>
      <c r="E617" s="76"/>
      <c r="F617" s="76"/>
      <c r="G617" s="76"/>
      <c r="H617" s="76"/>
      <c r="I617" s="76"/>
      <c r="J617" s="76"/>
      <c r="K617" s="76"/>
      <c r="L617" s="76"/>
      <c r="M617" s="69"/>
      <c r="N617" s="76"/>
      <c r="O617" s="76"/>
      <c r="P617" s="76"/>
      <c r="Q617" s="76"/>
      <c r="R617" s="76"/>
      <c r="S617" s="76"/>
      <c r="T617" s="76"/>
      <c r="U617" s="76"/>
      <c r="V617" s="76"/>
      <c r="W617" s="76"/>
    </row>
    <row r="618" spans="1:23" ht="12.75">
      <c r="A618" s="76"/>
      <c r="B618" s="76"/>
      <c r="C618" s="76"/>
      <c r="D618" s="69"/>
      <c r="E618" s="76"/>
      <c r="F618" s="76"/>
      <c r="G618" s="76"/>
      <c r="H618" s="76"/>
      <c r="I618" s="76"/>
      <c r="J618" s="76"/>
      <c r="K618" s="76"/>
      <c r="L618" s="76"/>
      <c r="M618" s="69"/>
      <c r="N618" s="76"/>
      <c r="O618" s="76"/>
      <c r="P618" s="76"/>
      <c r="Q618" s="76"/>
      <c r="R618" s="76"/>
      <c r="S618" s="76"/>
      <c r="T618" s="76"/>
      <c r="U618" s="76"/>
      <c r="V618" s="76"/>
      <c r="W618" s="76"/>
    </row>
    <row r="619" spans="1:23" ht="12.75">
      <c r="A619" s="76"/>
      <c r="B619" s="76"/>
      <c r="C619" s="76"/>
      <c r="D619" s="69"/>
      <c r="E619" s="76"/>
      <c r="F619" s="76"/>
      <c r="G619" s="76"/>
      <c r="H619" s="76"/>
      <c r="I619" s="76"/>
      <c r="J619" s="76"/>
      <c r="K619" s="76"/>
      <c r="L619" s="76"/>
      <c r="M619" s="69"/>
      <c r="N619" s="76"/>
      <c r="O619" s="76"/>
      <c r="P619" s="76"/>
      <c r="Q619" s="76"/>
      <c r="R619" s="76"/>
      <c r="S619" s="76"/>
      <c r="T619" s="76"/>
      <c r="U619" s="76"/>
      <c r="V619" s="76"/>
      <c r="W619" s="76"/>
    </row>
    <row r="620" spans="1:23" ht="12.75">
      <c r="A620" s="76"/>
      <c r="B620" s="76"/>
      <c r="C620" s="76"/>
      <c r="D620" s="69"/>
      <c r="E620" s="76"/>
      <c r="F620" s="76"/>
      <c r="G620" s="76"/>
      <c r="H620" s="76"/>
      <c r="I620" s="76"/>
      <c r="J620" s="76"/>
      <c r="K620" s="76"/>
      <c r="L620" s="76"/>
      <c r="M620" s="69"/>
      <c r="N620" s="76"/>
      <c r="O620" s="76"/>
      <c r="P620" s="76"/>
      <c r="Q620" s="76"/>
      <c r="R620" s="76"/>
      <c r="S620" s="76"/>
      <c r="T620" s="76"/>
      <c r="U620" s="76"/>
      <c r="V620" s="76"/>
      <c r="W620" s="76"/>
    </row>
    <row r="621" spans="1:23" ht="12.75">
      <c r="A621" s="76"/>
      <c r="B621" s="76"/>
      <c r="C621" s="76"/>
      <c r="D621" s="69"/>
      <c r="E621" s="76"/>
      <c r="F621" s="76"/>
      <c r="G621" s="76"/>
      <c r="H621" s="76"/>
      <c r="I621" s="76"/>
      <c r="J621" s="76"/>
      <c r="K621" s="76"/>
      <c r="L621" s="76"/>
      <c r="M621" s="69"/>
      <c r="N621" s="76"/>
      <c r="O621" s="76"/>
      <c r="P621" s="76"/>
      <c r="Q621" s="76"/>
      <c r="R621" s="76"/>
      <c r="S621" s="76"/>
      <c r="T621" s="76"/>
      <c r="U621" s="76"/>
      <c r="V621" s="76"/>
      <c r="W621" s="76"/>
    </row>
    <row r="622" spans="1:23" ht="12.75">
      <c r="A622" s="76"/>
      <c r="B622" s="76"/>
      <c r="C622" s="76"/>
      <c r="D622" s="69"/>
      <c r="E622" s="76"/>
      <c r="F622" s="76"/>
      <c r="G622" s="76"/>
      <c r="H622" s="76"/>
      <c r="I622" s="76"/>
      <c r="J622" s="76"/>
      <c r="K622" s="76"/>
      <c r="L622" s="76"/>
      <c r="M622" s="69"/>
      <c r="N622" s="76"/>
      <c r="O622" s="76"/>
      <c r="P622" s="76"/>
      <c r="Q622" s="76"/>
      <c r="R622" s="76"/>
      <c r="S622" s="76"/>
      <c r="T622" s="76"/>
      <c r="U622" s="76"/>
      <c r="V622" s="76"/>
      <c r="W622" s="76"/>
    </row>
    <row r="623" spans="1:23" ht="12.75">
      <c r="A623" s="76"/>
      <c r="B623" s="76"/>
      <c r="C623" s="76"/>
      <c r="D623" s="69"/>
      <c r="E623" s="76"/>
      <c r="F623" s="76"/>
      <c r="G623" s="76"/>
      <c r="H623" s="76"/>
      <c r="I623" s="76"/>
      <c r="J623" s="76"/>
      <c r="K623" s="76"/>
      <c r="L623" s="76"/>
      <c r="M623" s="69"/>
      <c r="N623" s="76"/>
      <c r="O623" s="76"/>
      <c r="P623" s="76"/>
      <c r="Q623" s="76"/>
      <c r="R623" s="76"/>
      <c r="S623" s="76"/>
      <c r="T623" s="76"/>
      <c r="U623" s="76"/>
      <c r="V623" s="76"/>
      <c r="W623" s="76"/>
    </row>
    <row r="624" spans="1:23" ht="12.75">
      <c r="A624" s="76"/>
      <c r="B624" s="76"/>
      <c r="C624" s="76"/>
      <c r="D624" s="69"/>
      <c r="E624" s="76"/>
      <c r="F624" s="76"/>
      <c r="G624" s="76"/>
      <c r="H624" s="76"/>
      <c r="I624" s="76"/>
      <c r="J624" s="76"/>
      <c r="K624" s="76"/>
      <c r="L624" s="76"/>
      <c r="M624" s="69"/>
      <c r="N624" s="76"/>
      <c r="O624" s="76"/>
      <c r="P624" s="76"/>
      <c r="Q624" s="76"/>
      <c r="R624" s="76"/>
      <c r="S624" s="76"/>
      <c r="T624" s="76"/>
      <c r="U624" s="76"/>
      <c r="V624" s="76"/>
      <c r="W624" s="76"/>
    </row>
    <row r="625" spans="1:23" ht="12.75">
      <c r="A625" s="76"/>
      <c r="B625" s="76"/>
      <c r="C625" s="76"/>
      <c r="D625" s="69"/>
      <c r="E625" s="76"/>
      <c r="F625" s="76"/>
      <c r="G625" s="76"/>
      <c r="H625" s="76"/>
      <c r="I625" s="76"/>
      <c r="J625" s="76"/>
      <c r="K625" s="76"/>
      <c r="L625" s="76"/>
      <c r="M625" s="69"/>
      <c r="N625" s="76"/>
      <c r="O625" s="76"/>
      <c r="P625" s="76"/>
      <c r="Q625" s="76"/>
      <c r="R625" s="76"/>
      <c r="S625" s="76"/>
      <c r="T625" s="76"/>
      <c r="U625" s="76"/>
      <c r="V625" s="76"/>
      <c r="W625" s="76"/>
    </row>
    <row r="626" spans="1:23" ht="12.75">
      <c r="A626" s="76"/>
      <c r="B626" s="76"/>
      <c r="C626" s="76"/>
      <c r="D626" s="69"/>
      <c r="E626" s="76"/>
      <c r="F626" s="76"/>
      <c r="G626" s="76"/>
      <c r="H626" s="76"/>
      <c r="I626" s="76"/>
      <c r="J626" s="76"/>
      <c r="K626" s="76"/>
      <c r="L626" s="76"/>
      <c r="M626" s="69"/>
      <c r="N626" s="76"/>
      <c r="O626" s="76"/>
      <c r="P626" s="76"/>
      <c r="Q626" s="76"/>
      <c r="R626" s="76"/>
      <c r="S626" s="76"/>
      <c r="T626" s="76"/>
      <c r="U626" s="76"/>
      <c r="V626" s="76"/>
      <c r="W626" s="76"/>
    </row>
    <row r="627" spans="1:23" ht="12.75">
      <c r="A627" s="76"/>
      <c r="B627" s="76"/>
      <c r="C627" s="76"/>
      <c r="D627" s="69"/>
      <c r="E627" s="76"/>
      <c r="F627" s="76"/>
      <c r="G627" s="76"/>
      <c r="H627" s="76"/>
      <c r="I627" s="76"/>
      <c r="J627" s="76"/>
      <c r="K627" s="76"/>
      <c r="L627" s="76"/>
      <c r="M627" s="69"/>
      <c r="N627" s="76"/>
      <c r="O627" s="76"/>
      <c r="P627" s="76"/>
      <c r="Q627" s="76"/>
      <c r="R627" s="76"/>
      <c r="S627" s="76"/>
      <c r="T627" s="76"/>
      <c r="U627" s="76"/>
      <c r="V627" s="76"/>
      <c r="W627" s="76"/>
    </row>
    <row r="628" spans="1:23" ht="12.75">
      <c r="A628" s="76"/>
      <c r="B628" s="76"/>
      <c r="C628" s="76"/>
      <c r="D628" s="69"/>
      <c r="E628" s="76"/>
      <c r="F628" s="76"/>
      <c r="G628" s="76"/>
      <c r="H628" s="76"/>
      <c r="I628" s="76"/>
      <c r="J628" s="76"/>
      <c r="K628" s="76"/>
      <c r="L628" s="76"/>
      <c r="M628" s="69"/>
      <c r="N628" s="76"/>
      <c r="O628" s="76"/>
      <c r="P628" s="76"/>
      <c r="Q628" s="76"/>
      <c r="R628" s="76"/>
      <c r="S628" s="76"/>
      <c r="T628" s="76"/>
      <c r="U628" s="76"/>
      <c r="V628" s="76"/>
      <c r="W628" s="76"/>
    </row>
    <row r="629" spans="1:23" ht="12.75">
      <c r="A629" s="76"/>
      <c r="B629" s="76"/>
      <c r="C629" s="76"/>
      <c r="D629" s="69"/>
      <c r="E629" s="76"/>
      <c r="F629" s="76"/>
      <c r="G629" s="76"/>
      <c r="H629" s="76"/>
      <c r="I629" s="76"/>
      <c r="J629" s="76"/>
      <c r="K629" s="76"/>
      <c r="L629" s="76"/>
      <c r="M629" s="69"/>
      <c r="N629" s="76"/>
      <c r="O629" s="76"/>
      <c r="P629" s="76"/>
      <c r="Q629" s="76"/>
      <c r="R629" s="76"/>
      <c r="S629" s="76"/>
      <c r="T629" s="76"/>
      <c r="U629" s="76"/>
      <c r="V629" s="76"/>
      <c r="W629" s="76"/>
    </row>
    <row r="630" spans="1:23" ht="12.75">
      <c r="A630" s="76"/>
      <c r="B630" s="76"/>
      <c r="C630" s="76"/>
      <c r="D630" s="69"/>
      <c r="E630" s="76"/>
      <c r="F630" s="76"/>
      <c r="G630" s="76"/>
      <c r="H630" s="76"/>
      <c r="I630" s="76"/>
      <c r="J630" s="76"/>
      <c r="K630" s="76"/>
      <c r="L630" s="76"/>
      <c r="M630" s="69"/>
      <c r="N630" s="76"/>
      <c r="O630" s="76"/>
      <c r="P630" s="76"/>
      <c r="Q630" s="76"/>
      <c r="R630" s="76"/>
      <c r="S630" s="76"/>
      <c r="T630" s="76"/>
      <c r="U630" s="76"/>
      <c r="V630" s="76"/>
      <c r="W630" s="76"/>
    </row>
    <row r="631" spans="1:23" ht="12.75">
      <c r="A631" s="76"/>
      <c r="B631" s="76"/>
      <c r="C631" s="76"/>
      <c r="D631" s="69"/>
      <c r="E631" s="76"/>
      <c r="F631" s="76"/>
      <c r="G631" s="76"/>
      <c r="H631" s="76"/>
      <c r="I631" s="76"/>
      <c r="J631" s="76"/>
      <c r="K631" s="76"/>
      <c r="L631" s="76"/>
      <c r="M631" s="69"/>
      <c r="N631" s="76"/>
      <c r="O631" s="76"/>
      <c r="P631" s="76"/>
      <c r="Q631" s="76"/>
      <c r="R631" s="76"/>
      <c r="S631" s="76"/>
      <c r="T631" s="76"/>
      <c r="U631" s="76"/>
      <c r="V631" s="76"/>
      <c r="W631" s="76"/>
    </row>
    <row r="632" spans="1:23" ht="12.75">
      <c r="A632" s="76"/>
      <c r="B632" s="76"/>
      <c r="C632" s="76"/>
      <c r="D632" s="69"/>
      <c r="E632" s="76"/>
      <c r="F632" s="76"/>
      <c r="G632" s="76"/>
      <c r="H632" s="76"/>
      <c r="I632" s="76"/>
      <c r="J632" s="76"/>
      <c r="K632" s="76"/>
      <c r="L632" s="76"/>
      <c r="M632" s="69"/>
      <c r="N632" s="76"/>
      <c r="O632" s="76"/>
      <c r="P632" s="76"/>
      <c r="Q632" s="76"/>
      <c r="R632" s="76"/>
      <c r="S632" s="76"/>
      <c r="T632" s="76"/>
      <c r="U632" s="76"/>
      <c r="V632" s="76"/>
      <c r="W632" s="76"/>
    </row>
    <row r="633" spans="1:23" ht="12.75">
      <c r="A633" s="76"/>
      <c r="B633" s="76"/>
      <c r="C633" s="76"/>
      <c r="D633" s="69"/>
      <c r="E633" s="76"/>
      <c r="F633" s="76"/>
      <c r="G633" s="76"/>
      <c r="H633" s="76"/>
      <c r="I633" s="76"/>
      <c r="J633" s="76"/>
      <c r="K633" s="76"/>
      <c r="L633" s="76"/>
      <c r="M633" s="69"/>
      <c r="N633" s="76"/>
      <c r="O633" s="76"/>
      <c r="P633" s="76"/>
      <c r="Q633" s="76"/>
      <c r="R633" s="76"/>
      <c r="S633" s="76"/>
      <c r="T633" s="76"/>
      <c r="U633" s="76"/>
      <c r="V633" s="76"/>
      <c r="W633" s="76"/>
    </row>
    <row r="634" spans="1:23" ht="12.75">
      <c r="A634" s="76"/>
      <c r="B634" s="76"/>
      <c r="C634" s="76"/>
      <c r="D634" s="69"/>
      <c r="E634" s="76"/>
      <c r="F634" s="76"/>
      <c r="G634" s="76"/>
      <c r="H634" s="76"/>
      <c r="I634" s="76"/>
      <c r="J634" s="76"/>
      <c r="K634" s="76"/>
      <c r="L634" s="76"/>
      <c r="M634" s="69"/>
      <c r="N634" s="76"/>
      <c r="O634" s="76"/>
      <c r="P634" s="76"/>
      <c r="Q634" s="76"/>
      <c r="R634" s="76"/>
      <c r="S634" s="76"/>
      <c r="T634" s="76"/>
      <c r="U634" s="76"/>
      <c r="V634" s="76"/>
      <c r="W634" s="76"/>
    </row>
    <row r="635" spans="1:23" ht="12.75">
      <c r="A635" s="76"/>
      <c r="B635" s="76"/>
      <c r="C635" s="76"/>
      <c r="D635" s="69"/>
      <c r="E635" s="76"/>
      <c r="F635" s="76"/>
      <c r="G635" s="76"/>
      <c r="H635" s="76"/>
      <c r="I635" s="76"/>
      <c r="J635" s="76"/>
      <c r="K635" s="76"/>
      <c r="L635" s="76"/>
      <c r="M635" s="69"/>
      <c r="N635" s="76"/>
      <c r="O635" s="76"/>
      <c r="P635" s="76"/>
      <c r="Q635" s="76"/>
      <c r="R635" s="76"/>
      <c r="S635" s="76"/>
      <c r="T635" s="76"/>
      <c r="U635" s="76"/>
      <c r="V635" s="76"/>
      <c r="W635" s="76"/>
    </row>
    <row r="636" spans="1:23" ht="12.75">
      <c r="A636" s="76"/>
      <c r="B636" s="76"/>
      <c r="C636" s="76"/>
      <c r="D636" s="69"/>
      <c r="E636" s="76"/>
      <c r="F636" s="76"/>
      <c r="G636" s="76"/>
      <c r="H636" s="76"/>
      <c r="I636" s="76"/>
      <c r="J636" s="76"/>
      <c r="K636" s="76"/>
      <c r="L636" s="76"/>
      <c r="M636" s="69"/>
      <c r="N636" s="76"/>
      <c r="O636" s="76"/>
      <c r="P636" s="76"/>
      <c r="Q636" s="76"/>
      <c r="R636" s="76"/>
      <c r="S636" s="76"/>
      <c r="T636" s="76"/>
      <c r="U636" s="76"/>
      <c r="V636" s="76"/>
      <c r="W636" s="76"/>
    </row>
    <row r="637" spans="1:23" ht="12.75">
      <c r="A637" s="76"/>
      <c r="B637" s="76"/>
      <c r="C637" s="76"/>
      <c r="D637" s="69"/>
      <c r="E637" s="76"/>
      <c r="F637" s="76"/>
      <c r="G637" s="76"/>
      <c r="H637" s="76"/>
      <c r="I637" s="76"/>
      <c r="J637" s="76"/>
      <c r="K637" s="76"/>
      <c r="L637" s="76"/>
      <c r="M637" s="69"/>
      <c r="N637" s="76"/>
      <c r="O637" s="76"/>
      <c r="P637" s="76"/>
      <c r="Q637" s="76"/>
      <c r="R637" s="76"/>
      <c r="S637" s="76"/>
      <c r="T637" s="76"/>
      <c r="U637" s="76"/>
      <c r="V637" s="76"/>
      <c r="W637" s="76"/>
    </row>
    <row r="638" spans="1:23" ht="12.75">
      <c r="A638" s="76"/>
      <c r="B638" s="76"/>
      <c r="C638" s="76"/>
      <c r="D638" s="69"/>
      <c r="E638" s="76"/>
      <c r="F638" s="76"/>
      <c r="G638" s="76"/>
      <c r="H638" s="76"/>
      <c r="I638" s="76"/>
      <c r="J638" s="76"/>
      <c r="K638" s="76"/>
      <c r="L638" s="76"/>
      <c r="M638" s="69"/>
      <c r="N638" s="76"/>
      <c r="O638" s="76"/>
      <c r="P638" s="76"/>
      <c r="Q638" s="76"/>
      <c r="R638" s="76"/>
      <c r="S638" s="76"/>
      <c r="T638" s="76"/>
      <c r="U638" s="76"/>
      <c r="V638" s="76"/>
      <c r="W638" s="76"/>
    </row>
    <row r="639" spans="1:23" ht="12.75">
      <c r="A639" s="76"/>
      <c r="B639" s="76"/>
      <c r="C639" s="76"/>
      <c r="D639" s="69"/>
      <c r="E639" s="76"/>
      <c r="F639" s="76"/>
      <c r="G639" s="76"/>
      <c r="H639" s="76"/>
      <c r="I639" s="76"/>
      <c r="J639" s="76"/>
      <c r="K639" s="76"/>
      <c r="L639" s="76"/>
      <c r="M639" s="69"/>
      <c r="N639" s="76"/>
      <c r="O639" s="76"/>
      <c r="P639" s="76"/>
      <c r="Q639" s="76"/>
      <c r="R639" s="76"/>
      <c r="S639" s="76"/>
      <c r="T639" s="76"/>
      <c r="U639" s="76"/>
      <c r="V639" s="76"/>
      <c r="W639" s="76"/>
    </row>
    <row r="640" spans="1:23" ht="12.75">
      <c r="A640" s="76"/>
      <c r="B640" s="76"/>
      <c r="C640" s="76"/>
      <c r="D640" s="69"/>
      <c r="E640" s="76"/>
      <c r="F640" s="76"/>
      <c r="G640" s="76"/>
      <c r="H640" s="76"/>
      <c r="I640" s="76"/>
      <c r="J640" s="76"/>
      <c r="K640" s="76"/>
      <c r="L640" s="76"/>
      <c r="M640" s="69"/>
      <c r="N640" s="76"/>
      <c r="O640" s="76"/>
      <c r="P640" s="76"/>
      <c r="Q640" s="76"/>
      <c r="R640" s="76"/>
      <c r="S640" s="76"/>
      <c r="T640" s="76"/>
      <c r="U640" s="76"/>
      <c r="V640" s="76"/>
      <c r="W640" s="76"/>
    </row>
    <row r="641" spans="1:23" ht="12.75">
      <c r="A641" s="76"/>
      <c r="B641" s="76"/>
      <c r="C641" s="76"/>
      <c r="D641" s="69"/>
      <c r="E641" s="76"/>
      <c r="F641" s="76"/>
      <c r="G641" s="76"/>
      <c r="H641" s="76"/>
      <c r="I641" s="76"/>
      <c r="J641" s="76"/>
      <c r="K641" s="76"/>
      <c r="L641" s="76"/>
      <c r="M641" s="69"/>
      <c r="N641" s="76"/>
      <c r="O641" s="76"/>
      <c r="P641" s="76"/>
      <c r="Q641" s="76"/>
      <c r="R641" s="76"/>
      <c r="S641" s="76"/>
      <c r="T641" s="76"/>
      <c r="U641" s="76"/>
      <c r="V641" s="76"/>
      <c r="W641" s="76"/>
    </row>
    <row r="642" spans="1:23" ht="12.75">
      <c r="A642" s="76"/>
      <c r="B642" s="76"/>
      <c r="C642" s="76"/>
      <c r="D642" s="69"/>
      <c r="E642" s="76"/>
      <c r="F642" s="76"/>
      <c r="G642" s="76"/>
      <c r="H642" s="76"/>
      <c r="I642" s="76"/>
      <c r="J642" s="76"/>
      <c r="K642" s="76"/>
      <c r="L642" s="76"/>
      <c r="M642" s="69"/>
      <c r="N642" s="76"/>
      <c r="O642" s="76"/>
      <c r="P642" s="76"/>
      <c r="Q642" s="76"/>
      <c r="R642" s="76"/>
      <c r="S642" s="76"/>
      <c r="T642" s="76"/>
      <c r="U642" s="76"/>
      <c r="V642" s="76"/>
      <c r="W642" s="76"/>
    </row>
    <row r="643" spans="1:23" ht="12.75">
      <c r="A643" s="76"/>
      <c r="B643" s="76"/>
      <c r="C643" s="76"/>
      <c r="D643" s="69"/>
      <c r="E643" s="76"/>
      <c r="F643" s="76"/>
      <c r="G643" s="76"/>
      <c r="H643" s="76"/>
      <c r="I643" s="76"/>
      <c r="J643" s="76"/>
      <c r="K643" s="76"/>
      <c r="L643" s="76"/>
      <c r="M643" s="69"/>
      <c r="N643" s="76"/>
      <c r="O643" s="76"/>
      <c r="P643" s="76"/>
      <c r="Q643" s="76"/>
      <c r="R643" s="76"/>
      <c r="S643" s="76"/>
      <c r="T643" s="76"/>
      <c r="U643" s="76"/>
      <c r="V643" s="76"/>
      <c r="W643" s="76"/>
    </row>
    <row r="644" spans="1:23" ht="12.75">
      <c r="A644" s="76"/>
      <c r="B644" s="76"/>
      <c r="C644" s="76"/>
      <c r="D644" s="69"/>
      <c r="E644" s="76"/>
      <c r="F644" s="76"/>
      <c r="G644" s="76"/>
      <c r="H644" s="76"/>
      <c r="I644" s="76"/>
      <c r="J644" s="76"/>
      <c r="K644" s="76"/>
      <c r="L644" s="76"/>
      <c r="M644" s="69"/>
      <c r="N644" s="76"/>
      <c r="O644" s="76"/>
      <c r="P644" s="76"/>
      <c r="Q644" s="76"/>
      <c r="R644" s="76"/>
      <c r="S644" s="76"/>
      <c r="T644" s="76"/>
      <c r="U644" s="76"/>
      <c r="V644" s="76"/>
      <c r="W644" s="76"/>
    </row>
    <row r="645" spans="1:23" ht="12.75">
      <c r="A645" s="76"/>
      <c r="B645" s="76"/>
      <c r="C645" s="76"/>
      <c r="D645" s="69"/>
      <c r="E645" s="76"/>
      <c r="F645" s="76"/>
      <c r="G645" s="76"/>
      <c r="H645" s="76"/>
      <c r="I645" s="76"/>
      <c r="J645" s="76"/>
      <c r="K645" s="76"/>
      <c r="L645" s="76"/>
      <c r="M645" s="69"/>
      <c r="N645" s="76"/>
      <c r="O645" s="76"/>
      <c r="P645" s="76"/>
      <c r="Q645" s="76"/>
      <c r="R645" s="76"/>
      <c r="S645" s="76"/>
      <c r="T645" s="76"/>
      <c r="U645" s="76"/>
      <c r="V645" s="76"/>
      <c r="W645" s="76"/>
    </row>
    <row r="646" spans="1:23" ht="12.75">
      <c r="A646" s="76"/>
      <c r="B646" s="76"/>
      <c r="C646" s="76"/>
      <c r="D646" s="69"/>
      <c r="E646" s="76"/>
      <c r="F646" s="76"/>
      <c r="G646" s="76"/>
      <c r="H646" s="76"/>
      <c r="I646" s="76"/>
      <c r="J646" s="76"/>
      <c r="K646" s="76"/>
      <c r="L646" s="76"/>
      <c r="M646" s="69"/>
      <c r="N646" s="76"/>
      <c r="O646" s="76"/>
      <c r="P646" s="76"/>
      <c r="Q646" s="76"/>
      <c r="R646" s="76"/>
      <c r="S646" s="76"/>
      <c r="T646" s="76"/>
      <c r="U646" s="76"/>
      <c r="V646" s="76"/>
      <c r="W646" s="76"/>
    </row>
    <row r="647" spans="1:23" ht="12.75">
      <c r="A647" s="76"/>
      <c r="B647" s="76"/>
      <c r="C647" s="76"/>
      <c r="D647" s="69"/>
      <c r="E647" s="76"/>
      <c r="F647" s="76"/>
      <c r="G647" s="76"/>
      <c r="H647" s="76"/>
      <c r="I647" s="76"/>
      <c r="J647" s="76"/>
      <c r="K647" s="76"/>
      <c r="L647" s="76"/>
      <c r="M647" s="69"/>
      <c r="N647" s="76"/>
      <c r="O647" s="76"/>
      <c r="P647" s="76"/>
      <c r="Q647" s="76"/>
      <c r="R647" s="76"/>
      <c r="S647" s="76"/>
      <c r="T647" s="76"/>
      <c r="U647" s="76"/>
      <c r="V647" s="76"/>
      <c r="W647" s="76"/>
    </row>
    <row r="648" spans="1:23" ht="12.75">
      <c r="A648" s="76"/>
      <c r="B648" s="76"/>
      <c r="C648" s="76"/>
      <c r="D648" s="69"/>
      <c r="E648" s="76"/>
      <c r="F648" s="76"/>
      <c r="G648" s="76"/>
      <c r="H648" s="76"/>
      <c r="I648" s="76"/>
      <c r="J648" s="76"/>
      <c r="K648" s="76"/>
      <c r="L648" s="76"/>
      <c r="M648" s="69"/>
      <c r="N648" s="76"/>
      <c r="O648" s="76"/>
      <c r="P648" s="76"/>
      <c r="Q648" s="76"/>
      <c r="R648" s="76"/>
      <c r="S648" s="76"/>
      <c r="T648" s="76"/>
      <c r="U648" s="76"/>
      <c r="V648" s="76"/>
      <c r="W648" s="76"/>
    </row>
    <row r="649" spans="1:23" ht="12.75">
      <c r="A649" s="76"/>
      <c r="B649" s="76"/>
      <c r="C649" s="76"/>
      <c r="D649" s="69"/>
      <c r="E649" s="76"/>
      <c r="F649" s="76"/>
      <c r="G649" s="76"/>
      <c r="H649" s="76"/>
      <c r="I649" s="76"/>
      <c r="J649" s="76"/>
      <c r="K649" s="76"/>
      <c r="L649" s="76"/>
      <c r="M649" s="69"/>
      <c r="N649" s="76"/>
      <c r="O649" s="76"/>
      <c r="P649" s="76"/>
      <c r="Q649" s="76"/>
      <c r="R649" s="76"/>
      <c r="S649" s="76"/>
      <c r="T649" s="76"/>
      <c r="U649" s="76"/>
      <c r="V649" s="76"/>
      <c r="W649" s="76"/>
    </row>
    <row r="650" spans="1:23" ht="12.75">
      <c r="A650" s="76"/>
      <c r="B650" s="76"/>
      <c r="C650" s="76"/>
      <c r="D650" s="69"/>
      <c r="E650" s="76"/>
      <c r="F650" s="76"/>
      <c r="G650" s="76"/>
      <c r="H650" s="76"/>
      <c r="I650" s="76"/>
      <c r="J650" s="76"/>
      <c r="K650" s="76"/>
      <c r="L650" s="76"/>
      <c r="M650" s="69"/>
      <c r="N650" s="76"/>
      <c r="O650" s="76"/>
      <c r="P650" s="76"/>
      <c r="Q650" s="76"/>
      <c r="R650" s="76"/>
      <c r="S650" s="76"/>
      <c r="T650" s="76"/>
      <c r="U650" s="76"/>
      <c r="V650" s="76"/>
      <c r="W650" s="76"/>
    </row>
    <row r="651" spans="1:23" ht="12.75">
      <c r="A651" s="76"/>
      <c r="B651" s="76"/>
      <c r="C651" s="76"/>
      <c r="D651" s="69"/>
      <c r="E651" s="76"/>
      <c r="F651" s="76"/>
      <c r="G651" s="76"/>
      <c r="H651" s="76"/>
      <c r="I651" s="76"/>
      <c r="J651" s="76"/>
      <c r="K651" s="76"/>
      <c r="L651" s="76"/>
      <c r="M651" s="69"/>
      <c r="N651" s="76"/>
      <c r="O651" s="76"/>
      <c r="P651" s="76"/>
      <c r="Q651" s="76"/>
      <c r="R651" s="76"/>
      <c r="S651" s="76"/>
      <c r="T651" s="76"/>
      <c r="U651" s="76"/>
      <c r="V651" s="76"/>
      <c r="W651" s="76"/>
    </row>
    <row r="652" spans="1:23" ht="12.75">
      <c r="A652" s="76"/>
      <c r="B652" s="76"/>
      <c r="C652" s="76"/>
      <c r="D652" s="69"/>
      <c r="E652" s="76"/>
      <c r="F652" s="76"/>
      <c r="G652" s="76"/>
      <c r="H652" s="76"/>
      <c r="I652" s="76"/>
      <c r="J652" s="76"/>
      <c r="K652" s="76"/>
      <c r="L652" s="76"/>
      <c r="M652" s="69"/>
      <c r="N652" s="76"/>
      <c r="O652" s="76"/>
      <c r="P652" s="76"/>
      <c r="Q652" s="76"/>
      <c r="R652" s="76"/>
      <c r="S652" s="76"/>
      <c r="T652" s="76"/>
      <c r="U652" s="76"/>
      <c r="V652" s="76"/>
      <c r="W652" s="76"/>
    </row>
    <row r="653" spans="1:23" ht="12.75">
      <c r="A653" s="76"/>
      <c r="B653" s="76"/>
      <c r="C653" s="76"/>
      <c r="D653" s="69"/>
      <c r="E653" s="76"/>
      <c r="F653" s="76"/>
      <c r="G653" s="76"/>
      <c r="H653" s="76"/>
      <c r="I653" s="76"/>
      <c r="J653" s="76"/>
      <c r="K653" s="76"/>
      <c r="L653" s="76"/>
      <c r="M653" s="69"/>
      <c r="N653" s="76"/>
      <c r="O653" s="76"/>
      <c r="P653" s="76"/>
      <c r="Q653" s="76"/>
      <c r="R653" s="76"/>
      <c r="S653" s="76"/>
      <c r="T653" s="76"/>
      <c r="U653" s="76"/>
      <c r="V653" s="76"/>
      <c r="W653" s="76"/>
    </row>
    <row r="654" spans="1:23" ht="12.75">
      <c r="A654" s="76"/>
      <c r="B654" s="76"/>
      <c r="C654" s="76"/>
      <c r="D654" s="69"/>
      <c r="E654" s="76"/>
      <c r="F654" s="76"/>
      <c r="G654" s="76"/>
      <c r="H654" s="76"/>
      <c r="I654" s="76"/>
      <c r="J654" s="76"/>
      <c r="K654" s="76"/>
      <c r="L654" s="76"/>
      <c r="M654" s="69"/>
      <c r="N654" s="76"/>
      <c r="O654" s="76"/>
      <c r="P654" s="76"/>
      <c r="Q654" s="76"/>
      <c r="R654" s="76"/>
      <c r="S654" s="76"/>
      <c r="T654" s="76"/>
      <c r="U654" s="76"/>
      <c r="V654" s="76"/>
      <c r="W654" s="76"/>
    </row>
    <row r="655" spans="1:23" ht="12.75">
      <c r="A655" s="76"/>
      <c r="B655" s="76"/>
      <c r="C655" s="76"/>
      <c r="D655" s="69"/>
      <c r="E655" s="76"/>
      <c r="F655" s="76"/>
      <c r="G655" s="76"/>
      <c r="H655" s="76"/>
      <c r="I655" s="76"/>
      <c r="J655" s="76"/>
      <c r="K655" s="76"/>
      <c r="L655" s="76"/>
      <c r="M655" s="69"/>
      <c r="N655" s="76"/>
      <c r="O655" s="76"/>
      <c r="P655" s="76"/>
      <c r="Q655" s="76"/>
      <c r="R655" s="76"/>
      <c r="S655" s="76"/>
      <c r="T655" s="76"/>
      <c r="U655" s="76"/>
      <c r="V655" s="76"/>
      <c r="W655" s="76"/>
    </row>
    <row r="656" spans="1:23" ht="12.75">
      <c r="A656" s="76"/>
      <c r="B656" s="76"/>
      <c r="C656" s="76"/>
      <c r="D656" s="69"/>
      <c r="E656" s="76"/>
      <c r="F656" s="76"/>
      <c r="G656" s="76"/>
      <c r="H656" s="76"/>
      <c r="I656" s="76"/>
      <c r="J656" s="76"/>
      <c r="K656" s="76"/>
      <c r="L656" s="76"/>
      <c r="M656" s="69"/>
      <c r="N656" s="76"/>
      <c r="O656" s="76"/>
      <c r="P656" s="76"/>
      <c r="Q656" s="76"/>
      <c r="R656" s="76"/>
      <c r="S656" s="76"/>
      <c r="T656" s="76"/>
      <c r="U656" s="76"/>
      <c r="V656" s="76"/>
      <c r="W656" s="76"/>
    </row>
    <row r="657" spans="1:23" ht="12.75">
      <c r="A657" s="76"/>
      <c r="B657" s="76"/>
      <c r="C657" s="76"/>
      <c r="D657" s="69"/>
      <c r="E657" s="76"/>
      <c r="F657" s="76"/>
      <c r="G657" s="76"/>
      <c r="H657" s="76"/>
      <c r="I657" s="76"/>
      <c r="J657" s="76"/>
      <c r="K657" s="76"/>
      <c r="L657" s="76"/>
      <c r="M657" s="69"/>
      <c r="N657" s="76"/>
      <c r="O657" s="76"/>
      <c r="P657" s="76"/>
      <c r="Q657" s="76"/>
      <c r="R657" s="76"/>
      <c r="S657" s="76"/>
      <c r="T657" s="76"/>
      <c r="U657" s="76"/>
      <c r="V657" s="76"/>
      <c r="W657" s="76"/>
    </row>
    <row r="658" spans="1:23" ht="12.75">
      <c r="A658" s="76"/>
      <c r="B658" s="76"/>
      <c r="C658" s="76"/>
      <c r="D658" s="69"/>
      <c r="E658" s="76"/>
      <c r="F658" s="76"/>
      <c r="G658" s="76"/>
      <c r="H658" s="76"/>
      <c r="I658" s="76"/>
      <c r="J658" s="76"/>
      <c r="K658" s="76"/>
      <c r="L658" s="76"/>
      <c r="M658" s="69"/>
      <c r="N658" s="76"/>
      <c r="O658" s="76"/>
      <c r="P658" s="76"/>
      <c r="Q658" s="76"/>
      <c r="R658" s="76"/>
      <c r="S658" s="76"/>
      <c r="T658" s="76"/>
      <c r="U658" s="76"/>
      <c r="V658" s="76"/>
      <c r="W658" s="76"/>
    </row>
    <row r="659" spans="1:23" ht="12.75">
      <c r="A659" s="76"/>
      <c r="B659" s="76"/>
      <c r="C659" s="76"/>
      <c r="D659" s="69"/>
      <c r="E659" s="76"/>
      <c r="F659" s="76"/>
      <c r="G659" s="76"/>
      <c r="H659" s="76"/>
      <c r="I659" s="76"/>
      <c r="J659" s="76"/>
      <c r="K659" s="76"/>
      <c r="L659" s="76"/>
      <c r="M659" s="69"/>
      <c r="N659" s="76"/>
      <c r="O659" s="76"/>
      <c r="P659" s="76"/>
      <c r="Q659" s="76"/>
      <c r="R659" s="76"/>
      <c r="S659" s="76"/>
      <c r="T659" s="76"/>
      <c r="U659" s="76"/>
      <c r="V659" s="76"/>
      <c r="W659" s="76"/>
    </row>
    <row r="660" spans="1:23" ht="12.75">
      <c r="A660" s="76"/>
      <c r="B660" s="76"/>
      <c r="C660" s="76"/>
      <c r="D660" s="69"/>
      <c r="E660" s="76"/>
      <c r="F660" s="76"/>
      <c r="G660" s="76"/>
      <c r="H660" s="76"/>
      <c r="I660" s="76"/>
      <c r="J660" s="76"/>
      <c r="K660" s="76"/>
      <c r="L660" s="76"/>
      <c r="M660" s="69"/>
      <c r="N660" s="76"/>
      <c r="O660" s="76"/>
      <c r="P660" s="76"/>
      <c r="Q660" s="76"/>
      <c r="R660" s="76"/>
      <c r="S660" s="76"/>
      <c r="T660" s="76"/>
      <c r="U660" s="76"/>
      <c r="V660" s="76"/>
      <c r="W660" s="76"/>
    </row>
    <row r="661" spans="1:23" ht="12.75">
      <c r="A661" s="76"/>
      <c r="B661" s="76"/>
      <c r="C661" s="76"/>
      <c r="D661" s="69"/>
      <c r="E661" s="76"/>
      <c r="F661" s="76"/>
      <c r="G661" s="76"/>
      <c r="H661" s="76"/>
      <c r="I661" s="76"/>
      <c r="J661" s="76"/>
      <c r="K661" s="76"/>
      <c r="L661" s="76"/>
      <c r="M661" s="69"/>
      <c r="N661" s="76"/>
      <c r="O661" s="76"/>
      <c r="P661" s="76"/>
      <c r="Q661" s="76"/>
      <c r="R661" s="76"/>
      <c r="S661" s="76"/>
      <c r="T661" s="76"/>
      <c r="U661" s="76"/>
      <c r="V661" s="76"/>
      <c r="W661" s="76"/>
    </row>
    <row r="662" spans="1:23" ht="12.75">
      <c r="A662" s="76"/>
      <c r="B662" s="76"/>
      <c r="C662" s="76"/>
      <c r="D662" s="69"/>
      <c r="E662" s="76"/>
      <c r="F662" s="76"/>
      <c r="G662" s="76"/>
      <c r="H662" s="76"/>
      <c r="I662" s="76"/>
      <c r="J662" s="76"/>
      <c r="K662" s="76"/>
      <c r="L662" s="76"/>
      <c r="M662" s="69"/>
      <c r="N662" s="76"/>
      <c r="O662" s="76"/>
      <c r="P662" s="76"/>
      <c r="Q662" s="76"/>
      <c r="R662" s="76"/>
      <c r="S662" s="76"/>
      <c r="T662" s="76"/>
      <c r="U662" s="76"/>
      <c r="V662" s="76"/>
      <c r="W662" s="76"/>
    </row>
    <row r="663" spans="1:23" ht="12.75">
      <c r="A663" s="76"/>
      <c r="B663" s="76"/>
      <c r="C663" s="76"/>
      <c r="D663" s="69"/>
      <c r="E663" s="76"/>
      <c r="F663" s="76"/>
      <c r="G663" s="76"/>
      <c r="H663" s="76"/>
      <c r="I663" s="76"/>
      <c r="J663" s="76"/>
      <c r="K663" s="76"/>
      <c r="L663" s="76"/>
      <c r="M663" s="69"/>
      <c r="N663" s="76"/>
      <c r="O663" s="76"/>
      <c r="P663" s="76"/>
      <c r="Q663" s="76"/>
      <c r="R663" s="76"/>
      <c r="S663" s="76"/>
      <c r="T663" s="76"/>
      <c r="U663" s="76"/>
      <c r="V663" s="76"/>
      <c r="W663" s="76"/>
    </row>
    <row r="664" spans="1:23" ht="12.75">
      <c r="A664" s="76"/>
      <c r="B664" s="76"/>
      <c r="C664" s="76"/>
      <c r="D664" s="69"/>
      <c r="E664" s="76"/>
      <c r="F664" s="76"/>
      <c r="G664" s="76"/>
      <c r="H664" s="76"/>
      <c r="I664" s="76"/>
      <c r="J664" s="76"/>
      <c r="K664" s="76"/>
      <c r="L664" s="76"/>
      <c r="M664" s="69"/>
      <c r="N664" s="76"/>
      <c r="O664" s="76"/>
      <c r="P664" s="76"/>
      <c r="Q664" s="76"/>
      <c r="R664" s="76"/>
      <c r="S664" s="76"/>
      <c r="T664" s="76"/>
      <c r="U664" s="76"/>
      <c r="V664" s="76"/>
      <c r="W664" s="76"/>
    </row>
    <row r="665" spans="1:23" ht="12.75">
      <c r="A665" s="76"/>
      <c r="B665" s="76"/>
      <c r="C665" s="76"/>
      <c r="D665" s="69"/>
      <c r="E665" s="76"/>
      <c r="F665" s="76"/>
      <c r="G665" s="76"/>
      <c r="H665" s="76"/>
      <c r="I665" s="76"/>
      <c r="J665" s="76"/>
      <c r="K665" s="76"/>
      <c r="L665" s="76"/>
      <c r="M665" s="69"/>
      <c r="N665" s="76"/>
      <c r="O665" s="76"/>
      <c r="P665" s="76"/>
      <c r="Q665" s="76"/>
      <c r="R665" s="76"/>
      <c r="S665" s="76"/>
      <c r="T665" s="76"/>
      <c r="U665" s="76"/>
      <c r="V665" s="76"/>
      <c r="W665" s="76"/>
    </row>
    <row r="666" spans="1:23" ht="12.75">
      <c r="A666" s="76"/>
      <c r="B666" s="76"/>
      <c r="C666" s="76"/>
      <c r="D666" s="69"/>
      <c r="E666" s="76"/>
      <c r="F666" s="76"/>
      <c r="G666" s="76"/>
      <c r="H666" s="76"/>
      <c r="I666" s="76"/>
      <c r="J666" s="76"/>
      <c r="K666" s="76"/>
      <c r="L666" s="76"/>
      <c r="M666" s="69"/>
      <c r="N666" s="76"/>
      <c r="O666" s="76"/>
      <c r="P666" s="76"/>
      <c r="Q666" s="76"/>
      <c r="R666" s="76"/>
      <c r="S666" s="76"/>
      <c r="T666" s="76"/>
      <c r="U666" s="76"/>
      <c r="V666" s="76"/>
      <c r="W666" s="76"/>
    </row>
    <row r="667" spans="1:23" ht="12.75">
      <c r="A667" s="76"/>
      <c r="B667" s="76"/>
      <c r="C667" s="76"/>
      <c r="D667" s="69"/>
      <c r="E667" s="76"/>
      <c r="F667" s="76"/>
      <c r="G667" s="76"/>
      <c r="H667" s="76"/>
      <c r="I667" s="76"/>
      <c r="J667" s="76"/>
      <c r="K667" s="76"/>
      <c r="L667" s="76"/>
      <c r="M667" s="69"/>
      <c r="N667" s="76"/>
      <c r="O667" s="76"/>
      <c r="P667" s="76"/>
      <c r="Q667" s="76"/>
      <c r="R667" s="76"/>
      <c r="S667" s="76"/>
      <c r="T667" s="76"/>
      <c r="U667" s="76"/>
      <c r="V667" s="76"/>
      <c r="W667" s="76"/>
    </row>
    <row r="668" spans="1:23" ht="12.75">
      <c r="A668" s="76"/>
      <c r="B668" s="76"/>
      <c r="C668" s="76"/>
      <c r="D668" s="69"/>
      <c r="E668" s="76"/>
      <c r="F668" s="76"/>
      <c r="G668" s="76"/>
      <c r="H668" s="76"/>
      <c r="I668" s="76"/>
      <c r="J668" s="76"/>
      <c r="K668" s="76"/>
      <c r="L668" s="76"/>
      <c r="M668" s="69"/>
      <c r="N668" s="76"/>
      <c r="O668" s="76"/>
      <c r="P668" s="76"/>
      <c r="Q668" s="76"/>
      <c r="R668" s="76"/>
      <c r="S668" s="76"/>
      <c r="T668" s="76"/>
      <c r="U668" s="76"/>
      <c r="V668" s="76"/>
      <c r="W668" s="76"/>
    </row>
    <row r="669" spans="1:23" ht="12.75">
      <c r="A669" s="76"/>
      <c r="B669" s="76"/>
      <c r="C669" s="76"/>
      <c r="D669" s="69"/>
      <c r="E669" s="76"/>
      <c r="F669" s="76"/>
      <c r="G669" s="76"/>
      <c r="H669" s="76"/>
      <c r="I669" s="76"/>
      <c r="J669" s="76"/>
      <c r="K669" s="76"/>
      <c r="L669" s="76"/>
      <c r="M669" s="69"/>
      <c r="N669" s="76"/>
      <c r="O669" s="76"/>
      <c r="P669" s="76"/>
      <c r="Q669" s="76"/>
      <c r="R669" s="76"/>
      <c r="S669" s="76"/>
      <c r="T669" s="76"/>
      <c r="U669" s="76"/>
      <c r="V669" s="76"/>
      <c r="W669" s="76"/>
    </row>
    <row r="670" spans="1:23" ht="12.75">
      <c r="A670" s="76"/>
      <c r="B670" s="76"/>
      <c r="C670" s="76"/>
      <c r="D670" s="69"/>
      <c r="E670" s="76"/>
      <c r="F670" s="76"/>
      <c r="G670" s="76"/>
      <c r="H670" s="76"/>
      <c r="I670" s="76"/>
      <c r="J670" s="76"/>
      <c r="K670" s="76"/>
      <c r="L670" s="76"/>
      <c r="M670" s="69"/>
      <c r="N670" s="76"/>
      <c r="O670" s="76"/>
      <c r="P670" s="76"/>
      <c r="Q670" s="76"/>
      <c r="R670" s="76"/>
      <c r="S670" s="76"/>
      <c r="T670" s="76"/>
      <c r="U670" s="76"/>
      <c r="V670" s="76"/>
      <c r="W670" s="76"/>
    </row>
    <row r="671" spans="1:23" ht="12.75">
      <c r="A671" s="76"/>
      <c r="B671" s="76"/>
      <c r="C671" s="76"/>
      <c r="D671" s="69"/>
      <c r="E671" s="76"/>
      <c r="F671" s="76"/>
      <c r="G671" s="76"/>
      <c r="H671" s="76"/>
      <c r="I671" s="76"/>
      <c r="J671" s="76"/>
      <c r="K671" s="76"/>
      <c r="L671" s="76"/>
      <c r="M671" s="69"/>
      <c r="N671" s="76"/>
      <c r="O671" s="76"/>
      <c r="P671" s="76"/>
      <c r="Q671" s="76"/>
      <c r="R671" s="76"/>
      <c r="S671" s="76"/>
      <c r="T671" s="76"/>
      <c r="U671" s="76"/>
      <c r="V671" s="76"/>
      <c r="W671" s="76"/>
    </row>
    <row r="672" spans="1:23" ht="12.75">
      <c r="A672" s="76"/>
      <c r="B672" s="76"/>
      <c r="C672" s="76"/>
      <c r="D672" s="69"/>
      <c r="E672" s="76"/>
      <c r="F672" s="76"/>
      <c r="G672" s="76"/>
      <c r="H672" s="76"/>
      <c r="I672" s="76"/>
      <c r="J672" s="76"/>
      <c r="K672" s="76"/>
      <c r="L672" s="76"/>
      <c r="M672" s="69"/>
      <c r="N672" s="76"/>
      <c r="O672" s="76"/>
      <c r="P672" s="76"/>
      <c r="Q672" s="76"/>
      <c r="R672" s="76"/>
      <c r="S672" s="76"/>
      <c r="T672" s="76"/>
      <c r="U672" s="76"/>
      <c r="V672" s="76"/>
      <c r="W672" s="76"/>
    </row>
    <row r="673" spans="1:23" ht="12.75">
      <c r="A673" s="76"/>
      <c r="B673" s="76"/>
      <c r="C673" s="76"/>
      <c r="D673" s="69"/>
      <c r="E673" s="76"/>
      <c r="F673" s="76"/>
      <c r="G673" s="76"/>
      <c r="H673" s="76"/>
      <c r="I673" s="76"/>
      <c r="J673" s="76"/>
      <c r="K673" s="76"/>
      <c r="L673" s="76"/>
      <c r="M673" s="69"/>
      <c r="N673" s="76"/>
      <c r="O673" s="76"/>
      <c r="P673" s="76"/>
      <c r="Q673" s="76"/>
      <c r="R673" s="76"/>
      <c r="S673" s="76"/>
      <c r="T673" s="76"/>
      <c r="U673" s="76"/>
      <c r="V673" s="76"/>
      <c r="W673" s="76"/>
    </row>
    <row r="674" spans="1:23" ht="12.75">
      <c r="A674" s="76"/>
      <c r="B674" s="76"/>
      <c r="C674" s="76"/>
      <c r="D674" s="69"/>
      <c r="E674" s="76"/>
      <c r="F674" s="76"/>
      <c r="G674" s="76"/>
      <c r="H674" s="76"/>
      <c r="I674" s="76"/>
      <c r="J674" s="76"/>
      <c r="K674" s="76"/>
      <c r="L674" s="76"/>
      <c r="M674" s="69"/>
      <c r="N674" s="76"/>
      <c r="O674" s="76"/>
      <c r="P674" s="76"/>
      <c r="Q674" s="76"/>
      <c r="R674" s="76"/>
      <c r="S674" s="76"/>
      <c r="T674" s="76"/>
      <c r="U674" s="76"/>
      <c r="V674" s="76"/>
      <c r="W674" s="76"/>
    </row>
    <row r="675" spans="1:23" ht="12.75">
      <c r="A675" s="76"/>
      <c r="B675" s="76"/>
      <c r="C675" s="76"/>
      <c r="D675" s="69"/>
      <c r="E675" s="76"/>
      <c r="F675" s="76"/>
      <c r="G675" s="76"/>
      <c r="H675" s="76"/>
      <c r="I675" s="76"/>
      <c r="J675" s="76"/>
      <c r="K675" s="76"/>
      <c r="L675" s="76"/>
      <c r="M675" s="69"/>
      <c r="N675" s="76"/>
      <c r="O675" s="76"/>
      <c r="P675" s="76"/>
      <c r="Q675" s="76"/>
      <c r="R675" s="76"/>
      <c r="S675" s="76"/>
      <c r="T675" s="76"/>
      <c r="U675" s="76"/>
      <c r="V675" s="76"/>
      <c r="W675" s="76"/>
    </row>
    <row r="676" spans="1:23" ht="12.75">
      <c r="A676" s="76"/>
      <c r="B676" s="76"/>
      <c r="C676" s="76"/>
      <c r="D676" s="69"/>
      <c r="E676" s="76"/>
      <c r="F676" s="76"/>
      <c r="G676" s="76"/>
      <c r="H676" s="76"/>
      <c r="I676" s="76"/>
      <c r="J676" s="76"/>
      <c r="K676" s="76"/>
      <c r="L676" s="76"/>
      <c r="M676" s="69"/>
      <c r="N676" s="76"/>
      <c r="O676" s="76"/>
      <c r="P676" s="76"/>
      <c r="Q676" s="76"/>
      <c r="R676" s="76"/>
      <c r="S676" s="76"/>
      <c r="T676" s="76"/>
      <c r="U676" s="76"/>
      <c r="V676" s="76"/>
      <c r="W676" s="76"/>
    </row>
    <row r="677" spans="1:23" ht="12.75">
      <c r="A677" s="76"/>
      <c r="B677" s="76"/>
      <c r="C677" s="76"/>
      <c r="D677" s="69"/>
      <c r="E677" s="76"/>
      <c r="F677" s="76"/>
      <c r="G677" s="76"/>
      <c r="H677" s="76"/>
      <c r="I677" s="76"/>
      <c r="J677" s="76"/>
      <c r="K677" s="76"/>
      <c r="L677" s="76"/>
      <c r="M677" s="69"/>
      <c r="N677" s="76"/>
      <c r="O677" s="76"/>
      <c r="P677" s="76"/>
      <c r="Q677" s="76"/>
      <c r="R677" s="76"/>
      <c r="S677" s="76"/>
      <c r="T677" s="76"/>
      <c r="U677" s="76"/>
      <c r="V677" s="76"/>
      <c r="W677" s="76"/>
    </row>
    <row r="678" spans="1:23" ht="12.75">
      <c r="A678" s="76"/>
      <c r="B678" s="76"/>
      <c r="C678" s="76"/>
      <c r="D678" s="69"/>
      <c r="E678" s="76"/>
      <c r="F678" s="76"/>
      <c r="G678" s="76"/>
      <c r="H678" s="76"/>
      <c r="I678" s="76"/>
      <c r="J678" s="76"/>
      <c r="K678" s="76"/>
      <c r="L678" s="76"/>
      <c r="M678" s="69"/>
      <c r="N678" s="76"/>
      <c r="O678" s="76"/>
      <c r="P678" s="76"/>
      <c r="Q678" s="76"/>
      <c r="R678" s="76"/>
      <c r="S678" s="76"/>
      <c r="T678" s="76"/>
      <c r="U678" s="76"/>
      <c r="V678" s="76"/>
      <c r="W678" s="76"/>
    </row>
    <row r="679" spans="1:23" ht="12.75">
      <c r="A679" s="76"/>
      <c r="B679" s="76"/>
      <c r="C679" s="76"/>
      <c r="D679" s="69"/>
      <c r="E679" s="76"/>
      <c r="F679" s="76"/>
      <c r="G679" s="76"/>
      <c r="H679" s="76"/>
      <c r="I679" s="76"/>
      <c r="J679" s="76"/>
      <c r="K679" s="76"/>
      <c r="L679" s="76"/>
      <c r="M679" s="69"/>
      <c r="N679" s="76"/>
      <c r="O679" s="76"/>
      <c r="P679" s="76"/>
      <c r="Q679" s="76"/>
      <c r="R679" s="76"/>
      <c r="S679" s="76"/>
      <c r="T679" s="76"/>
      <c r="U679" s="76"/>
      <c r="V679" s="76"/>
      <c r="W679" s="76"/>
    </row>
    <row r="680" spans="1:23" ht="12.75">
      <c r="A680" s="76"/>
      <c r="B680" s="76"/>
      <c r="C680" s="76"/>
      <c r="D680" s="69"/>
      <c r="E680" s="76"/>
      <c r="F680" s="76"/>
      <c r="G680" s="76"/>
      <c r="H680" s="76"/>
      <c r="I680" s="76"/>
      <c r="J680" s="76"/>
      <c r="K680" s="76"/>
      <c r="L680" s="76"/>
      <c r="M680" s="69"/>
      <c r="N680" s="76"/>
      <c r="O680" s="76"/>
      <c r="P680" s="76"/>
      <c r="Q680" s="76"/>
      <c r="R680" s="76"/>
      <c r="S680" s="76"/>
      <c r="T680" s="76"/>
      <c r="U680" s="76"/>
      <c r="V680" s="76"/>
      <c r="W680" s="76"/>
    </row>
    <row r="681" spans="1:23" ht="12.75">
      <c r="A681" s="76"/>
      <c r="B681" s="76"/>
      <c r="C681" s="76"/>
      <c r="D681" s="69"/>
      <c r="E681" s="76"/>
      <c r="F681" s="76"/>
      <c r="G681" s="76"/>
      <c r="H681" s="76"/>
      <c r="I681" s="76"/>
      <c r="J681" s="76"/>
      <c r="K681" s="76"/>
      <c r="L681" s="76"/>
      <c r="M681" s="69"/>
      <c r="N681" s="76"/>
      <c r="O681" s="76"/>
      <c r="P681" s="76"/>
      <c r="Q681" s="76"/>
      <c r="R681" s="76"/>
      <c r="S681" s="76"/>
      <c r="T681" s="76"/>
      <c r="U681" s="76"/>
      <c r="V681" s="76"/>
      <c r="W681" s="76"/>
    </row>
    <row r="682" spans="1:23" ht="12.75">
      <c r="A682" s="76"/>
      <c r="B682" s="76"/>
      <c r="C682" s="76"/>
      <c r="D682" s="69"/>
      <c r="E682" s="76"/>
      <c r="F682" s="76"/>
      <c r="G682" s="76"/>
      <c r="H682" s="76"/>
      <c r="I682" s="76"/>
      <c r="J682" s="76"/>
      <c r="K682" s="76"/>
      <c r="L682" s="76"/>
      <c r="M682" s="69"/>
      <c r="N682" s="76"/>
      <c r="O682" s="76"/>
      <c r="P682" s="76"/>
      <c r="Q682" s="76"/>
      <c r="R682" s="76"/>
      <c r="S682" s="76"/>
      <c r="T682" s="76"/>
      <c r="U682" s="76"/>
      <c r="V682" s="76"/>
      <c r="W682" s="76"/>
    </row>
    <row r="683" spans="1:23" ht="12.75">
      <c r="A683" s="76"/>
      <c r="B683" s="76"/>
      <c r="C683" s="76"/>
      <c r="D683" s="69"/>
      <c r="E683" s="76"/>
      <c r="F683" s="76"/>
      <c r="G683" s="76"/>
      <c r="H683" s="76"/>
      <c r="I683" s="76"/>
      <c r="J683" s="76"/>
      <c r="K683" s="76"/>
      <c r="L683" s="76"/>
      <c r="M683" s="69"/>
      <c r="N683" s="76"/>
      <c r="O683" s="76"/>
      <c r="P683" s="76"/>
      <c r="Q683" s="76"/>
      <c r="R683" s="76"/>
      <c r="S683" s="76"/>
      <c r="T683" s="76"/>
      <c r="U683" s="76"/>
      <c r="V683" s="76"/>
      <c r="W683" s="76"/>
    </row>
    <row r="684" spans="1:23" ht="12.75">
      <c r="A684" s="76"/>
      <c r="B684" s="76"/>
      <c r="C684" s="76"/>
      <c r="D684" s="69"/>
      <c r="E684" s="76"/>
      <c r="F684" s="76"/>
      <c r="G684" s="76"/>
      <c r="H684" s="76"/>
      <c r="I684" s="76"/>
      <c r="J684" s="76"/>
      <c r="K684" s="76"/>
      <c r="L684" s="76"/>
      <c r="M684" s="69"/>
      <c r="N684" s="76"/>
      <c r="O684" s="76"/>
      <c r="P684" s="76"/>
      <c r="Q684" s="76"/>
      <c r="R684" s="76"/>
      <c r="S684" s="76"/>
      <c r="T684" s="76"/>
      <c r="U684" s="76"/>
      <c r="V684" s="76"/>
      <c r="W684" s="76"/>
    </row>
    <row r="685" spans="1:23" ht="12.75">
      <c r="A685" s="76"/>
      <c r="B685" s="76"/>
      <c r="C685" s="76"/>
      <c r="D685" s="69"/>
      <c r="E685" s="76"/>
      <c r="F685" s="76"/>
      <c r="G685" s="76"/>
      <c r="H685" s="76"/>
      <c r="I685" s="76"/>
      <c r="J685" s="76"/>
      <c r="K685" s="76"/>
      <c r="L685" s="76"/>
      <c r="M685" s="69"/>
      <c r="N685" s="76"/>
      <c r="O685" s="76"/>
      <c r="P685" s="76"/>
      <c r="Q685" s="76"/>
      <c r="R685" s="76"/>
      <c r="S685" s="76"/>
      <c r="T685" s="76"/>
      <c r="U685" s="76"/>
      <c r="V685" s="76"/>
      <c r="W685" s="76"/>
    </row>
    <row r="686" spans="1:23" ht="12.75">
      <c r="A686" s="76"/>
      <c r="B686" s="76"/>
      <c r="C686" s="76"/>
      <c r="D686" s="69"/>
      <c r="E686" s="76"/>
      <c r="F686" s="76"/>
      <c r="G686" s="76"/>
      <c r="H686" s="76"/>
      <c r="I686" s="76"/>
      <c r="J686" s="76"/>
      <c r="K686" s="76"/>
      <c r="L686" s="76"/>
      <c r="M686" s="69"/>
      <c r="N686" s="76"/>
      <c r="O686" s="76"/>
      <c r="P686" s="76"/>
      <c r="Q686" s="76"/>
      <c r="R686" s="76"/>
      <c r="S686" s="76"/>
      <c r="T686" s="76"/>
      <c r="U686" s="76"/>
      <c r="V686" s="76"/>
      <c r="W686" s="76"/>
    </row>
    <row r="687" spans="1:23" ht="12.75">
      <c r="A687" s="76"/>
      <c r="B687" s="76"/>
      <c r="C687" s="76"/>
      <c r="D687" s="69"/>
      <c r="E687" s="76"/>
      <c r="F687" s="76"/>
      <c r="G687" s="76"/>
      <c r="H687" s="76"/>
      <c r="I687" s="76"/>
      <c r="J687" s="76"/>
      <c r="K687" s="76"/>
      <c r="L687" s="76"/>
      <c r="M687" s="69"/>
      <c r="N687" s="76"/>
      <c r="O687" s="76"/>
      <c r="P687" s="76"/>
      <c r="Q687" s="76"/>
      <c r="R687" s="76"/>
      <c r="S687" s="76"/>
      <c r="T687" s="76"/>
      <c r="U687" s="76"/>
      <c r="V687" s="76"/>
      <c r="W687" s="76"/>
    </row>
    <row r="688" spans="1:23" ht="12.75">
      <c r="A688" s="76"/>
      <c r="B688" s="76"/>
      <c r="C688" s="76"/>
      <c r="D688" s="69"/>
      <c r="E688" s="76"/>
      <c r="F688" s="76"/>
      <c r="G688" s="76"/>
      <c r="H688" s="76"/>
      <c r="I688" s="76"/>
      <c r="J688" s="76"/>
      <c r="K688" s="76"/>
      <c r="L688" s="76"/>
      <c r="M688" s="69"/>
      <c r="N688" s="76"/>
      <c r="O688" s="76"/>
      <c r="P688" s="76"/>
      <c r="Q688" s="76"/>
      <c r="R688" s="76"/>
      <c r="S688" s="76"/>
      <c r="T688" s="76"/>
      <c r="U688" s="76"/>
      <c r="V688" s="76"/>
      <c r="W688" s="76"/>
    </row>
    <row r="689" spans="1:23" ht="12.75">
      <c r="A689" s="76"/>
      <c r="B689" s="76"/>
      <c r="C689" s="76"/>
      <c r="D689" s="69"/>
      <c r="E689" s="76"/>
      <c r="F689" s="76"/>
      <c r="G689" s="76"/>
      <c r="H689" s="76"/>
      <c r="I689" s="76"/>
      <c r="J689" s="76"/>
      <c r="K689" s="76"/>
      <c r="L689" s="76"/>
      <c r="M689" s="69"/>
      <c r="N689" s="76"/>
      <c r="O689" s="76"/>
      <c r="P689" s="76"/>
      <c r="Q689" s="76"/>
      <c r="R689" s="76"/>
      <c r="S689" s="76"/>
      <c r="T689" s="76"/>
      <c r="U689" s="76"/>
      <c r="V689" s="76"/>
      <c r="W689" s="76"/>
    </row>
    <row r="690" spans="1:23" ht="12.75">
      <c r="A690" s="76"/>
      <c r="B690" s="76"/>
      <c r="C690" s="76"/>
      <c r="D690" s="69"/>
      <c r="E690" s="76"/>
      <c r="F690" s="76"/>
      <c r="G690" s="76"/>
      <c r="H690" s="76"/>
      <c r="I690" s="76"/>
      <c r="J690" s="76"/>
      <c r="K690" s="76"/>
      <c r="L690" s="76"/>
      <c r="M690" s="69"/>
      <c r="N690" s="76"/>
      <c r="O690" s="76"/>
      <c r="P690" s="76"/>
      <c r="Q690" s="76"/>
      <c r="R690" s="76"/>
      <c r="S690" s="76"/>
      <c r="T690" s="76"/>
      <c r="U690" s="76"/>
      <c r="V690" s="76"/>
      <c r="W690" s="76"/>
    </row>
    <row r="691" spans="1:23" ht="12.75">
      <c r="A691" s="76"/>
      <c r="B691" s="76"/>
      <c r="C691" s="76"/>
      <c r="D691" s="69"/>
      <c r="E691" s="76"/>
      <c r="F691" s="76"/>
      <c r="G691" s="76"/>
      <c r="H691" s="76"/>
      <c r="I691" s="76"/>
      <c r="J691" s="76"/>
      <c r="K691" s="76"/>
      <c r="L691" s="76"/>
      <c r="M691" s="69"/>
      <c r="N691" s="76"/>
      <c r="O691" s="76"/>
      <c r="P691" s="76"/>
      <c r="Q691" s="76"/>
      <c r="R691" s="76"/>
      <c r="S691" s="76"/>
      <c r="T691" s="76"/>
      <c r="U691" s="76"/>
      <c r="V691" s="76"/>
      <c r="W691" s="76"/>
    </row>
    <row r="692" spans="1:23" ht="12.75">
      <c r="A692" s="76"/>
      <c r="B692" s="76"/>
      <c r="C692" s="76"/>
      <c r="D692" s="69"/>
      <c r="E692" s="76"/>
      <c r="F692" s="76"/>
      <c r="G692" s="76"/>
      <c r="H692" s="76"/>
      <c r="I692" s="76"/>
      <c r="J692" s="76"/>
      <c r="K692" s="76"/>
      <c r="L692" s="76"/>
      <c r="M692" s="69"/>
      <c r="N692" s="76"/>
      <c r="O692" s="76"/>
      <c r="P692" s="76"/>
      <c r="Q692" s="76"/>
      <c r="R692" s="76"/>
      <c r="S692" s="76"/>
      <c r="T692" s="76"/>
      <c r="U692" s="76"/>
      <c r="V692" s="76"/>
      <c r="W692" s="76"/>
    </row>
    <row r="693" spans="1:23" ht="12.75">
      <c r="A693" s="76"/>
      <c r="B693" s="76"/>
      <c r="C693" s="76"/>
      <c r="D693" s="69"/>
      <c r="E693" s="76"/>
      <c r="F693" s="76"/>
      <c r="G693" s="76"/>
      <c r="H693" s="76"/>
      <c r="I693" s="76"/>
      <c r="J693" s="76"/>
      <c r="K693" s="76"/>
      <c r="L693" s="76"/>
      <c r="M693" s="69"/>
      <c r="N693" s="76"/>
      <c r="O693" s="76"/>
      <c r="P693" s="76"/>
      <c r="Q693" s="76"/>
      <c r="R693" s="76"/>
      <c r="S693" s="76"/>
      <c r="T693" s="76"/>
      <c r="U693" s="76"/>
      <c r="V693" s="76"/>
      <c r="W693" s="76"/>
    </row>
    <row r="694" spans="1:23" ht="12.75">
      <c r="A694" s="76"/>
      <c r="B694" s="76"/>
      <c r="C694" s="76"/>
      <c r="D694" s="69"/>
      <c r="E694" s="76"/>
      <c r="F694" s="76"/>
      <c r="G694" s="76"/>
      <c r="H694" s="76"/>
      <c r="I694" s="76"/>
      <c r="J694" s="76"/>
      <c r="K694" s="76"/>
      <c r="L694" s="76"/>
      <c r="M694" s="69"/>
      <c r="N694" s="76"/>
      <c r="O694" s="76"/>
      <c r="P694" s="76"/>
      <c r="Q694" s="76"/>
      <c r="R694" s="76"/>
      <c r="S694" s="76"/>
      <c r="T694" s="76"/>
      <c r="U694" s="76"/>
      <c r="V694" s="76"/>
      <c r="W694" s="76"/>
    </row>
    <row r="695" spans="1:23" ht="12.75">
      <c r="A695" s="76"/>
      <c r="B695" s="76"/>
      <c r="C695" s="76"/>
      <c r="D695" s="69"/>
      <c r="E695" s="76"/>
      <c r="F695" s="76"/>
      <c r="G695" s="76"/>
      <c r="H695" s="76"/>
      <c r="I695" s="76"/>
      <c r="J695" s="76"/>
      <c r="K695" s="76"/>
      <c r="L695" s="76"/>
      <c r="M695" s="69"/>
      <c r="N695" s="76"/>
      <c r="O695" s="76"/>
      <c r="P695" s="76"/>
      <c r="Q695" s="76"/>
      <c r="R695" s="76"/>
      <c r="S695" s="76"/>
      <c r="T695" s="76"/>
      <c r="U695" s="76"/>
      <c r="V695" s="76"/>
      <c r="W695" s="76"/>
    </row>
    <row r="696" spans="1:23" ht="12.75">
      <c r="A696" s="76"/>
      <c r="B696" s="76"/>
      <c r="C696" s="76"/>
      <c r="D696" s="69"/>
      <c r="E696" s="76"/>
      <c r="F696" s="76"/>
      <c r="G696" s="76"/>
      <c r="H696" s="76"/>
      <c r="I696" s="76"/>
      <c r="J696" s="76"/>
      <c r="K696" s="76"/>
      <c r="L696" s="76"/>
      <c r="M696" s="69"/>
      <c r="N696" s="76"/>
      <c r="O696" s="76"/>
      <c r="P696" s="76"/>
      <c r="Q696" s="76"/>
      <c r="R696" s="76"/>
      <c r="S696" s="76"/>
      <c r="T696" s="76"/>
      <c r="U696" s="76"/>
      <c r="V696" s="76"/>
      <c r="W696" s="76"/>
    </row>
    <row r="697" spans="1:23" ht="12.75">
      <c r="A697" s="76"/>
      <c r="B697" s="76"/>
      <c r="C697" s="76"/>
      <c r="D697" s="69"/>
      <c r="E697" s="76"/>
      <c r="F697" s="76"/>
      <c r="G697" s="76"/>
      <c r="H697" s="76"/>
      <c r="I697" s="76"/>
      <c r="J697" s="76"/>
      <c r="K697" s="76"/>
      <c r="L697" s="76"/>
      <c r="M697" s="69"/>
      <c r="N697" s="76"/>
      <c r="O697" s="76"/>
      <c r="P697" s="76"/>
      <c r="Q697" s="76"/>
      <c r="R697" s="76"/>
      <c r="S697" s="76"/>
      <c r="T697" s="76"/>
      <c r="U697" s="76"/>
      <c r="V697" s="76"/>
      <c r="W697" s="76"/>
    </row>
    <row r="698" spans="1:23" ht="12.75">
      <c r="A698" s="76"/>
      <c r="B698" s="76"/>
      <c r="C698" s="76"/>
      <c r="D698" s="69"/>
      <c r="E698" s="76"/>
      <c r="F698" s="76"/>
      <c r="G698" s="76"/>
      <c r="H698" s="76"/>
      <c r="I698" s="76"/>
      <c r="J698" s="76"/>
      <c r="K698" s="76"/>
      <c r="L698" s="76"/>
      <c r="M698" s="69"/>
      <c r="N698" s="76"/>
      <c r="O698" s="76"/>
      <c r="P698" s="76"/>
      <c r="Q698" s="76"/>
      <c r="R698" s="76"/>
      <c r="S698" s="76"/>
      <c r="T698" s="76"/>
      <c r="U698" s="76"/>
      <c r="V698" s="76"/>
      <c r="W698" s="76"/>
    </row>
    <row r="699" spans="1:23" ht="12.75">
      <c r="A699" s="76"/>
      <c r="B699" s="76"/>
      <c r="C699" s="76"/>
      <c r="D699" s="69"/>
      <c r="E699" s="76"/>
      <c r="F699" s="76"/>
      <c r="G699" s="76"/>
      <c r="H699" s="76"/>
      <c r="I699" s="76"/>
      <c r="J699" s="76"/>
      <c r="K699" s="76"/>
      <c r="L699" s="76"/>
      <c r="M699" s="69"/>
      <c r="N699" s="76"/>
      <c r="O699" s="76"/>
      <c r="P699" s="76"/>
      <c r="Q699" s="76"/>
      <c r="R699" s="76"/>
      <c r="S699" s="76"/>
      <c r="T699" s="76"/>
      <c r="U699" s="76"/>
      <c r="V699" s="76"/>
      <c r="W699" s="76"/>
    </row>
    <row r="700" spans="1:23" ht="12.75">
      <c r="A700" s="76"/>
      <c r="B700" s="76"/>
      <c r="C700" s="76"/>
      <c r="D700" s="69"/>
      <c r="E700" s="76"/>
      <c r="F700" s="76"/>
      <c r="G700" s="76"/>
      <c r="H700" s="76"/>
      <c r="I700" s="76"/>
      <c r="J700" s="76"/>
      <c r="K700" s="76"/>
      <c r="L700" s="76"/>
      <c r="M700" s="69"/>
      <c r="N700" s="76"/>
      <c r="O700" s="76"/>
      <c r="P700" s="76"/>
      <c r="Q700" s="76"/>
      <c r="R700" s="76"/>
      <c r="S700" s="76"/>
      <c r="T700" s="76"/>
      <c r="U700" s="76"/>
      <c r="V700" s="76"/>
      <c r="W700" s="76"/>
    </row>
    <row r="701" spans="1:23" ht="12.75">
      <c r="A701" s="76"/>
      <c r="B701" s="76"/>
      <c r="C701" s="76"/>
      <c r="D701" s="69"/>
      <c r="E701" s="76"/>
      <c r="F701" s="76"/>
      <c r="G701" s="76"/>
      <c r="H701" s="76"/>
      <c r="I701" s="76"/>
      <c r="J701" s="76"/>
      <c r="K701" s="76"/>
      <c r="L701" s="76"/>
      <c r="M701" s="69"/>
      <c r="N701" s="76"/>
      <c r="O701" s="76"/>
      <c r="P701" s="76"/>
      <c r="Q701" s="76"/>
      <c r="R701" s="76"/>
      <c r="S701" s="76"/>
      <c r="T701" s="76"/>
      <c r="U701" s="76"/>
      <c r="V701" s="76"/>
      <c r="W701" s="76"/>
    </row>
    <row r="702" spans="1:23" ht="12.75">
      <c r="A702" s="76"/>
      <c r="B702" s="76"/>
      <c r="C702" s="76"/>
      <c r="D702" s="69"/>
      <c r="E702" s="76"/>
      <c r="F702" s="76"/>
      <c r="G702" s="76"/>
      <c r="H702" s="76"/>
      <c r="I702" s="76"/>
      <c r="J702" s="76"/>
      <c r="K702" s="76"/>
      <c r="L702" s="76"/>
      <c r="M702" s="69"/>
      <c r="N702" s="76"/>
      <c r="O702" s="76"/>
      <c r="P702" s="76"/>
      <c r="Q702" s="76"/>
      <c r="R702" s="76"/>
      <c r="S702" s="76"/>
      <c r="T702" s="76"/>
      <c r="U702" s="76"/>
      <c r="V702" s="76"/>
      <c r="W702" s="76"/>
    </row>
    <row r="703" spans="1:23" ht="12.75">
      <c r="A703" s="76"/>
      <c r="B703" s="76"/>
      <c r="C703" s="76"/>
      <c r="D703" s="69"/>
      <c r="E703" s="76"/>
      <c r="F703" s="76"/>
      <c r="G703" s="76"/>
      <c r="H703" s="76"/>
      <c r="I703" s="76"/>
      <c r="J703" s="76"/>
      <c r="K703" s="76"/>
      <c r="L703" s="76"/>
      <c r="M703" s="69"/>
      <c r="N703" s="76"/>
      <c r="O703" s="76"/>
      <c r="P703" s="76"/>
      <c r="Q703" s="76"/>
      <c r="R703" s="76"/>
      <c r="S703" s="76"/>
      <c r="T703" s="76"/>
      <c r="U703" s="76"/>
      <c r="V703" s="76"/>
      <c r="W703" s="76"/>
    </row>
    <row r="704" spans="1:23" ht="12.75">
      <c r="A704" s="76"/>
      <c r="B704" s="76"/>
      <c r="C704" s="76"/>
      <c r="D704" s="69"/>
      <c r="E704" s="76"/>
      <c r="F704" s="76"/>
      <c r="G704" s="76"/>
      <c r="H704" s="76"/>
      <c r="I704" s="76"/>
      <c r="J704" s="76"/>
      <c r="K704" s="76"/>
      <c r="L704" s="76"/>
      <c r="M704" s="69"/>
      <c r="N704" s="76"/>
      <c r="O704" s="76"/>
      <c r="P704" s="76"/>
      <c r="Q704" s="76"/>
      <c r="R704" s="76"/>
      <c r="S704" s="76"/>
      <c r="T704" s="76"/>
      <c r="U704" s="76"/>
      <c r="V704" s="76"/>
      <c r="W704" s="76"/>
    </row>
    <row r="705" spans="1:23" ht="12.75">
      <c r="A705" s="76"/>
      <c r="B705" s="76"/>
      <c r="C705" s="76"/>
      <c r="D705" s="69"/>
      <c r="E705" s="76"/>
      <c r="F705" s="76"/>
      <c r="G705" s="76"/>
      <c r="H705" s="76"/>
      <c r="I705" s="76"/>
      <c r="J705" s="76"/>
      <c r="K705" s="76"/>
      <c r="L705" s="76"/>
      <c r="M705" s="69"/>
      <c r="N705" s="76"/>
      <c r="O705" s="76"/>
      <c r="P705" s="76"/>
      <c r="Q705" s="76"/>
      <c r="R705" s="76"/>
      <c r="S705" s="76"/>
      <c r="T705" s="76"/>
      <c r="U705" s="76"/>
      <c r="V705" s="76"/>
      <c r="W705" s="76"/>
    </row>
    <row r="706" spans="1:23" ht="12.75">
      <c r="A706" s="76"/>
      <c r="B706" s="76"/>
      <c r="C706" s="76"/>
      <c r="D706" s="69"/>
      <c r="E706" s="76"/>
      <c r="F706" s="76"/>
      <c r="G706" s="76"/>
      <c r="H706" s="76"/>
      <c r="I706" s="76"/>
      <c r="J706" s="76"/>
      <c r="K706" s="76"/>
      <c r="L706" s="76"/>
      <c r="M706" s="69"/>
      <c r="N706" s="76"/>
      <c r="O706" s="76"/>
      <c r="P706" s="76"/>
      <c r="Q706" s="76"/>
      <c r="R706" s="76"/>
      <c r="S706" s="76"/>
      <c r="T706" s="76"/>
      <c r="U706" s="76"/>
      <c r="V706" s="76"/>
      <c r="W706" s="76"/>
    </row>
    <row r="707" spans="1:23" ht="12.75">
      <c r="A707" s="76"/>
      <c r="B707" s="76"/>
      <c r="C707" s="76"/>
      <c r="D707" s="69"/>
      <c r="E707" s="76"/>
      <c r="F707" s="76"/>
      <c r="G707" s="76"/>
      <c r="H707" s="76"/>
      <c r="I707" s="76"/>
      <c r="J707" s="76"/>
      <c r="K707" s="76"/>
      <c r="L707" s="76"/>
      <c r="M707" s="69"/>
      <c r="N707" s="76"/>
      <c r="O707" s="76"/>
      <c r="P707" s="76"/>
      <c r="Q707" s="76"/>
      <c r="R707" s="76"/>
      <c r="S707" s="76"/>
      <c r="T707" s="76"/>
      <c r="U707" s="76"/>
      <c r="V707" s="76"/>
      <c r="W707" s="76"/>
    </row>
    <row r="708" spans="1:23" ht="12.75">
      <c r="A708" s="76"/>
      <c r="B708" s="76"/>
      <c r="C708" s="76"/>
      <c r="D708" s="69"/>
      <c r="E708" s="76"/>
      <c r="F708" s="76"/>
      <c r="G708" s="76"/>
      <c r="H708" s="76"/>
      <c r="I708" s="76"/>
      <c r="J708" s="76"/>
      <c r="K708" s="76"/>
      <c r="L708" s="76"/>
      <c r="M708" s="69"/>
      <c r="N708" s="76"/>
      <c r="O708" s="76"/>
      <c r="P708" s="76"/>
      <c r="Q708" s="76"/>
      <c r="R708" s="76"/>
      <c r="S708" s="76"/>
      <c r="T708" s="76"/>
      <c r="U708" s="76"/>
      <c r="V708" s="76"/>
      <c r="W708" s="76"/>
    </row>
    <row r="709" spans="1:23" ht="12.75">
      <c r="A709" s="76"/>
      <c r="B709" s="76"/>
      <c r="C709" s="76"/>
      <c r="D709" s="69"/>
      <c r="E709" s="76"/>
      <c r="F709" s="76"/>
      <c r="G709" s="76"/>
      <c r="H709" s="76"/>
      <c r="I709" s="76"/>
      <c r="J709" s="76"/>
      <c r="K709" s="76"/>
      <c r="L709" s="76"/>
      <c r="M709" s="69"/>
      <c r="N709" s="76"/>
      <c r="O709" s="76"/>
      <c r="P709" s="76"/>
      <c r="Q709" s="76"/>
      <c r="R709" s="76"/>
      <c r="S709" s="76"/>
      <c r="T709" s="76"/>
      <c r="U709" s="76"/>
      <c r="V709" s="76"/>
      <c r="W709" s="76"/>
    </row>
    <row r="710" spans="1:23" ht="12.75">
      <c r="A710" s="76"/>
      <c r="B710" s="76"/>
      <c r="C710" s="76"/>
      <c r="D710" s="69"/>
      <c r="E710" s="76"/>
      <c r="F710" s="76"/>
      <c r="G710" s="76"/>
      <c r="H710" s="76"/>
      <c r="I710" s="76"/>
      <c r="J710" s="76"/>
      <c r="K710" s="76"/>
      <c r="L710" s="76"/>
      <c r="M710" s="69"/>
      <c r="N710" s="76"/>
      <c r="O710" s="76"/>
      <c r="P710" s="76"/>
      <c r="Q710" s="76"/>
      <c r="R710" s="76"/>
      <c r="S710" s="76"/>
      <c r="T710" s="76"/>
      <c r="U710" s="76"/>
      <c r="V710" s="76"/>
      <c r="W710" s="76"/>
    </row>
    <row r="711" spans="1:23" ht="12.75">
      <c r="A711" s="76"/>
      <c r="B711" s="76"/>
      <c r="C711" s="76"/>
      <c r="D711" s="69"/>
      <c r="E711" s="76"/>
      <c r="F711" s="76"/>
      <c r="G711" s="76"/>
      <c r="H711" s="76"/>
      <c r="I711" s="76"/>
      <c r="J711" s="76"/>
      <c r="K711" s="76"/>
      <c r="L711" s="76"/>
      <c r="M711" s="69"/>
      <c r="N711" s="76"/>
      <c r="O711" s="76"/>
      <c r="P711" s="76"/>
      <c r="Q711" s="76"/>
      <c r="R711" s="76"/>
      <c r="S711" s="76"/>
      <c r="T711" s="76"/>
      <c r="U711" s="76"/>
      <c r="V711" s="76"/>
      <c r="W711" s="76"/>
    </row>
    <row r="712" spans="1:23" ht="12.75">
      <c r="A712" s="76"/>
      <c r="B712" s="76"/>
      <c r="C712" s="76"/>
      <c r="D712" s="69"/>
      <c r="E712" s="76"/>
      <c r="F712" s="76"/>
      <c r="G712" s="76"/>
      <c r="H712" s="76"/>
      <c r="I712" s="76"/>
      <c r="J712" s="76"/>
      <c r="K712" s="76"/>
      <c r="L712" s="76"/>
      <c r="M712" s="69"/>
      <c r="N712" s="76"/>
      <c r="O712" s="76"/>
      <c r="P712" s="76"/>
      <c r="Q712" s="76"/>
      <c r="R712" s="76"/>
      <c r="S712" s="76"/>
      <c r="T712" s="76"/>
      <c r="U712" s="76"/>
      <c r="V712" s="76"/>
      <c r="W712" s="76"/>
    </row>
    <row r="713" spans="1:23" ht="12.75">
      <c r="A713" s="76"/>
      <c r="B713" s="76"/>
      <c r="C713" s="76"/>
      <c r="D713" s="69"/>
      <c r="E713" s="76"/>
      <c r="F713" s="76"/>
      <c r="G713" s="76"/>
      <c r="H713" s="76"/>
      <c r="I713" s="76"/>
      <c r="J713" s="76"/>
      <c r="K713" s="76"/>
      <c r="L713" s="76"/>
      <c r="M713" s="69"/>
      <c r="N713" s="76"/>
      <c r="O713" s="76"/>
      <c r="P713" s="76"/>
      <c r="Q713" s="76"/>
      <c r="R713" s="76"/>
      <c r="S713" s="76"/>
      <c r="T713" s="76"/>
      <c r="U713" s="76"/>
      <c r="V713" s="76"/>
      <c r="W713" s="76"/>
    </row>
    <row r="714" spans="1:23" ht="12.75">
      <c r="A714" s="76"/>
      <c r="B714" s="76"/>
      <c r="C714" s="76"/>
      <c r="D714" s="69"/>
      <c r="E714" s="76"/>
      <c r="F714" s="76"/>
      <c r="G714" s="76"/>
      <c r="H714" s="76"/>
      <c r="I714" s="76"/>
      <c r="J714" s="76"/>
      <c r="K714" s="76"/>
      <c r="L714" s="76"/>
      <c r="M714" s="69"/>
      <c r="N714" s="76"/>
      <c r="O714" s="76"/>
      <c r="P714" s="76"/>
      <c r="Q714" s="76"/>
      <c r="R714" s="76"/>
      <c r="S714" s="76"/>
      <c r="T714" s="76"/>
      <c r="U714" s="76"/>
      <c r="V714" s="76"/>
      <c r="W714" s="76"/>
    </row>
    <row r="715" spans="1:23" ht="12.75">
      <c r="A715" s="76"/>
      <c r="B715" s="76"/>
      <c r="C715" s="76"/>
      <c r="D715" s="69"/>
      <c r="E715" s="76"/>
      <c r="F715" s="76"/>
      <c r="G715" s="76"/>
      <c r="H715" s="76"/>
      <c r="I715" s="76"/>
      <c r="J715" s="76"/>
      <c r="K715" s="76"/>
      <c r="L715" s="76"/>
      <c r="M715" s="69"/>
      <c r="N715" s="76"/>
      <c r="O715" s="76"/>
      <c r="P715" s="76"/>
      <c r="Q715" s="76"/>
      <c r="R715" s="76"/>
      <c r="S715" s="76"/>
      <c r="T715" s="76"/>
      <c r="U715" s="76"/>
      <c r="V715" s="76"/>
      <c r="W715" s="76"/>
    </row>
    <row r="716" spans="1:23" ht="12.75">
      <c r="A716" s="76"/>
      <c r="B716" s="76"/>
      <c r="C716" s="76"/>
      <c r="D716" s="69"/>
      <c r="E716" s="76"/>
      <c r="F716" s="76"/>
      <c r="G716" s="76"/>
      <c r="H716" s="76"/>
      <c r="I716" s="76"/>
      <c r="J716" s="76"/>
      <c r="K716" s="76"/>
      <c r="L716" s="76"/>
      <c r="M716" s="69"/>
      <c r="N716" s="76"/>
      <c r="O716" s="76"/>
      <c r="P716" s="76"/>
      <c r="Q716" s="76"/>
      <c r="R716" s="76"/>
      <c r="S716" s="76"/>
      <c r="T716" s="76"/>
      <c r="U716" s="76"/>
      <c r="V716" s="76"/>
      <c r="W716" s="76"/>
    </row>
    <row r="717" spans="1:23" ht="12.75">
      <c r="A717" s="76"/>
      <c r="B717" s="76"/>
      <c r="C717" s="76"/>
      <c r="D717" s="69"/>
      <c r="E717" s="76"/>
      <c r="F717" s="76"/>
      <c r="G717" s="76"/>
      <c r="H717" s="76"/>
      <c r="I717" s="76"/>
      <c r="J717" s="76"/>
      <c r="K717" s="76"/>
      <c r="L717" s="76"/>
      <c r="M717" s="69"/>
      <c r="N717" s="76"/>
      <c r="O717" s="76"/>
      <c r="P717" s="76"/>
      <c r="Q717" s="76"/>
      <c r="R717" s="76"/>
      <c r="S717" s="76"/>
      <c r="T717" s="76"/>
      <c r="U717" s="76"/>
      <c r="V717" s="76"/>
      <c r="W717" s="76"/>
    </row>
    <row r="718" spans="1:23" ht="12.75">
      <c r="A718" s="76"/>
      <c r="B718" s="76"/>
      <c r="C718" s="76"/>
      <c r="D718" s="69"/>
      <c r="E718" s="76"/>
      <c r="F718" s="76"/>
      <c r="G718" s="76"/>
      <c r="H718" s="76"/>
      <c r="I718" s="76"/>
      <c r="J718" s="76"/>
      <c r="K718" s="76"/>
      <c r="L718" s="76"/>
      <c r="M718" s="69"/>
      <c r="N718" s="76"/>
      <c r="O718" s="76"/>
      <c r="P718" s="76"/>
      <c r="Q718" s="76"/>
      <c r="R718" s="76"/>
      <c r="S718" s="76"/>
      <c r="T718" s="76"/>
      <c r="U718" s="76"/>
      <c r="V718" s="76"/>
      <c r="W718" s="76"/>
    </row>
    <row r="719" spans="1:23" ht="12.75">
      <c r="A719" s="76"/>
      <c r="B719" s="76"/>
      <c r="C719" s="76"/>
      <c r="D719" s="69"/>
      <c r="E719" s="76"/>
      <c r="F719" s="76"/>
      <c r="G719" s="76"/>
      <c r="H719" s="76"/>
      <c r="I719" s="76"/>
      <c r="J719" s="76"/>
      <c r="K719" s="76"/>
      <c r="L719" s="76"/>
      <c r="M719" s="69"/>
      <c r="N719" s="76"/>
      <c r="O719" s="76"/>
      <c r="P719" s="76"/>
      <c r="Q719" s="76"/>
      <c r="R719" s="76"/>
      <c r="S719" s="76"/>
      <c r="T719" s="76"/>
      <c r="U719" s="76"/>
      <c r="V719" s="76"/>
      <c r="W719" s="76"/>
    </row>
    <row r="720" spans="1:23" ht="12.75">
      <c r="A720" s="76"/>
      <c r="B720" s="76"/>
      <c r="C720" s="76"/>
      <c r="D720" s="69"/>
      <c r="E720" s="76"/>
      <c r="F720" s="76"/>
      <c r="G720" s="76"/>
      <c r="H720" s="76"/>
      <c r="I720" s="76"/>
      <c r="J720" s="76"/>
      <c r="K720" s="76"/>
      <c r="L720" s="76"/>
      <c r="M720" s="69"/>
      <c r="N720" s="76"/>
      <c r="O720" s="76"/>
      <c r="P720" s="76"/>
      <c r="Q720" s="76"/>
      <c r="R720" s="76"/>
      <c r="S720" s="76"/>
      <c r="T720" s="76"/>
      <c r="U720" s="76"/>
      <c r="V720" s="76"/>
      <c r="W720" s="76"/>
    </row>
    <row r="721" spans="1:23" ht="12.75">
      <c r="A721" s="76"/>
      <c r="B721" s="76"/>
      <c r="C721" s="76"/>
      <c r="D721" s="69"/>
      <c r="E721" s="76"/>
      <c r="F721" s="76"/>
      <c r="G721" s="76"/>
      <c r="H721" s="76"/>
      <c r="I721" s="76"/>
      <c r="J721" s="76"/>
      <c r="K721" s="76"/>
      <c r="L721" s="76"/>
      <c r="M721" s="69"/>
      <c r="N721" s="76"/>
      <c r="O721" s="76"/>
      <c r="P721" s="76"/>
      <c r="Q721" s="76"/>
      <c r="R721" s="76"/>
      <c r="S721" s="76"/>
      <c r="T721" s="76"/>
      <c r="U721" s="76"/>
      <c r="V721" s="76"/>
      <c r="W721" s="76"/>
    </row>
    <row r="722" spans="1:23" ht="12.75">
      <c r="A722" s="76"/>
      <c r="B722" s="76"/>
      <c r="C722" s="76"/>
      <c r="D722" s="69"/>
      <c r="E722" s="76"/>
      <c r="F722" s="76"/>
      <c r="G722" s="76"/>
      <c r="H722" s="76"/>
      <c r="I722" s="76"/>
      <c r="J722" s="76"/>
      <c r="K722" s="76"/>
      <c r="L722" s="76"/>
      <c r="M722" s="69"/>
      <c r="N722" s="76"/>
      <c r="O722" s="76"/>
      <c r="P722" s="76"/>
      <c r="Q722" s="76"/>
      <c r="R722" s="76"/>
      <c r="S722" s="76"/>
      <c r="T722" s="76"/>
      <c r="U722" s="76"/>
      <c r="V722" s="76"/>
      <c r="W722" s="76"/>
    </row>
    <row r="723" spans="1:23" ht="12.75">
      <c r="A723" s="76"/>
      <c r="B723" s="76"/>
      <c r="C723" s="76"/>
      <c r="D723" s="69"/>
      <c r="E723" s="76"/>
      <c r="F723" s="76"/>
      <c r="G723" s="76"/>
      <c r="H723" s="76"/>
      <c r="I723" s="76"/>
      <c r="J723" s="76"/>
      <c r="K723" s="76"/>
      <c r="L723" s="76"/>
      <c r="M723" s="69"/>
      <c r="N723" s="76"/>
      <c r="O723" s="76"/>
      <c r="P723" s="76"/>
      <c r="Q723" s="76"/>
      <c r="R723" s="76"/>
      <c r="S723" s="76"/>
      <c r="T723" s="76"/>
      <c r="U723" s="76"/>
      <c r="V723" s="76"/>
      <c r="W723" s="76"/>
    </row>
    <row r="724" spans="1:23" ht="12.75">
      <c r="A724" s="76"/>
      <c r="B724" s="76"/>
      <c r="C724" s="76"/>
      <c r="D724" s="69"/>
      <c r="E724" s="76"/>
      <c r="F724" s="76"/>
      <c r="G724" s="76"/>
      <c r="H724" s="76"/>
      <c r="I724" s="76"/>
      <c r="J724" s="76"/>
      <c r="K724" s="76"/>
      <c r="L724" s="76"/>
      <c r="M724" s="69"/>
      <c r="N724" s="76"/>
      <c r="O724" s="76"/>
      <c r="P724" s="76"/>
      <c r="Q724" s="76"/>
      <c r="R724" s="76"/>
      <c r="S724" s="76"/>
      <c r="T724" s="76"/>
      <c r="U724" s="76"/>
      <c r="V724" s="76"/>
      <c r="W724" s="76"/>
    </row>
    <row r="725" spans="1:23" ht="12.75">
      <c r="A725" s="76"/>
      <c r="B725" s="76"/>
      <c r="C725" s="76"/>
      <c r="D725" s="69"/>
      <c r="E725" s="76"/>
      <c r="F725" s="76"/>
      <c r="G725" s="76"/>
      <c r="H725" s="76"/>
      <c r="I725" s="76"/>
      <c r="J725" s="76"/>
      <c r="K725" s="76"/>
      <c r="L725" s="76"/>
      <c r="M725" s="69"/>
      <c r="N725" s="76"/>
      <c r="O725" s="76"/>
      <c r="P725" s="76"/>
      <c r="Q725" s="76"/>
      <c r="R725" s="76"/>
      <c r="S725" s="76"/>
      <c r="T725" s="76"/>
      <c r="U725" s="76"/>
      <c r="V725" s="76"/>
      <c r="W725" s="76"/>
    </row>
    <row r="726" spans="1:23" ht="12.75">
      <c r="A726" s="76"/>
      <c r="B726" s="76"/>
      <c r="C726" s="76"/>
      <c r="D726" s="69"/>
      <c r="E726" s="76"/>
      <c r="F726" s="76"/>
      <c r="G726" s="76"/>
      <c r="H726" s="76"/>
      <c r="I726" s="76"/>
      <c r="J726" s="76"/>
      <c r="K726" s="76"/>
      <c r="L726" s="76"/>
      <c r="M726" s="69"/>
      <c r="N726" s="76"/>
      <c r="O726" s="76"/>
      <c r="P726" s="76"/>
      <c r="Q726" s="76"/>
      <c r="R726" s="76"/>
      <c r="S726" s="76"/>
      <c r="T726" s="76"/>
      <c r="U726" s="76"/>
      <c r="V726" s="76"/>
      <c r="W726" s="76"/>
    </row>
    <row r="727" spans="1:23" ht="12.75">
      <c r="A727" s="76"/>
      <c r="B727" s="76"/>
      <c r="C727" s="76"/>
      <c r="D727" s="69"/>
      <c r="E727" s="76"/>
      <c r="F727" s="76"/>
      <c r="G727" s="76"/>
      <c r="H727" s="76"/>
      <c r="I727" s="76"/>
      <c r="J727" s="76"/>
      <c r="K727" s="76"/>
      <c r="L727" s="76"/>
      <c r="M727" s="69"/>
      <c r="N727" s="76"/>
      <c r="O727" s="76"/>
      <c r="P727" s="76"/>
      <c r="Q727" s="76"/>
      <c r="R727" s="76"/>
      <c r="S727" s="76"/>
      <c r="T727" s="76"/>
      <c r="U727" s="76"/>
      <c r="V727" s="76"/>
      <c r="W727" s="76"/>
    </row>
    <row r="728" spans="1:23" ht="12.75">
      <c r="A728" s="76"/>
      <c r="B728" s="76"/>
      <c r="C728" s="76"/>
      <c r="D728" s="69"/>
      <c r="E728" s="76"/>
      <c r="F728" s="76"/>
      <c r="G728" s="76"/>
      <c r="H728" s="76"/>
      <c r="I728" s="76"/>
      <c r="J728" s="76"/>
      <c r="K728" s="76"/>
      <c r="L728" s="76"/>
      <c r="M728" s="69"/>
      <c r="N728" s="76"/>
      <c r="O728" s="76"/>
      <c r="P728" s="76"/>
      <c r="Q728" s="76"/>
      <c r="R728" s="76"/>
      <c r="S728" s="76"/>
      <c r="T728" s="76"/>
      <c r="U728" s="76"/>
      <c r="V728" s="76"/>
      <c r="W728" s="76"/>
    </row>
    <row r="729" spans="1:23" ht="12.75">
      <c r="A729" s="76"/>
      <c r="B729" s="76"/>
      <c r="C729" s="76"/>
      <c r="D729" s="69"/>
      <c r="E729" s="76"/>
      <c r="F729" s="76"/>
      <c r="G729" s="76"/>
      <c r="H729" s="76"/>
      <c r="I729" s="76"/>
      <c r="J729" s="76"/>
      <c r="K729" s="76"/>
      <c r="L729" s="76"/>
      <c r="M729" s="69"/>
      <c r="N729" s="76"/>
      <c r="O729" s="76"/>
      <c r="P729" s="76"/>
      <c r="Q729" s="76"/>
      <c r="R729" s="76"/>
      <c r="S729" s="76"/>
      <c r="T729" s="76"/>
      <c r="U729" s="76"/>
      <c r="V729" s="76"/>
      <c r="W729" s="76"/>
    </row>
    <row r="730" spans="1:23" ht="12.75">
      <c r="A730" s="76"/>
      <c r="B730" s="76"/>
      <c r="C730" s="76"/>
      <c r="D730" s="69"/>
      <c r="E730" s="76"/>
      <c r="F730" s="76"/>
      <c r="G730" s="76"/>
      <c r="H730" s="76"/>
      <c r="I730" s="76"/>
      <c r="J730" s="76"/>
      <c r="K730" s="76"/>
      <c r="L730" s="76"/>
      <c r="M730" s="69"/>
      <c r="N730" s="76"/>
      <c r="O730" s="76"/>
      <c r="P730" s="76"/>
      <c r="Q730" s="76"/>
      <c r="R730" s="76"/>
      <c r="S730" s="76"/>
      <c r="T730" s="76"/>
      <c r="U730" s="76"/>
      <c r="V730" s="76"/>
      <c r="W730" s="76"/>
    </row>
    <row r="731" spans="1:23" ht="12.75">
      <c r="A731" s="76"/>
      <c r="B731" s="76"/>
      <c r="C731" s="76"/>
      <c r="D731" s="69"/>
      <c r="E731" s="76"/>
      <c r="F731" s="76"/>
      <c r="G731" s="76"/>
      <c r="H731" s="76"/>
      <c r="I731" s="76"/>
      <c r="J731" s="76"/>
      <c r="K731" s="76"/>
      <c r="L731" s="76"/>
      <c r="M731" s="69"/>
      <c r="N731" s="76"/>
      <c r="O731" s="76"/>
      <c r="P731" s="76"/>
      <c r="Q731" s="76"/>
      <c r="R731" s="76"/>
      <c r="S731" s="76"/>
      <c r="T731" s="76"/>
      <c r="U731" s="76"/>
      <c r="V731" s="76"/>
      <c r="W731" s="76"/>
    </row>
    <row r="732" spans="1:23" ht="12.75">
      <c r="A732" s="76"/>
      <c r="B732" s="76"/>
      <c r="C732" s="76"/>
      <c r="D732" s="69"/>
      <c r="E732" s="76"/>
      <c r="F732" s="76"/>
      <c r="G732" s="76"/>
      <c r="H732" s="76"/>
      <c r="I732" s="76"/>
      <c r="J732" s="76"/>
      <c r="K732" s="76"/>
      <c r="L732" s="76"/>
      <c r="M732" s="69"/>
      <c r="N732" s="76"/>
      <c r="O732" s="76"/>
      <c r="P732" s="76"/>
      <c r="Q732" s="76"/>
      <c r="R732" s="76"/>
      <c r="S732" s="76"/>
      <c r="T732" s="76"/>
      <c r="U732" s="76"/>
      <c r="V732" s="76"/>
      <c r="W732" s="76"/>
    </row>
    <row r="733" spans="1:23" ht="12.75">
      <c r="A733" s="76"/>
      <c r="B733" s="76"/>
      <c r="C733" s="76"/>
      <c r="D733" s="69"/>
      <c r="E733" s="76"/>
      <c r="F733" s="76"/>
      <c r="G733" s="76"/>
      <c r="H733" s="76"/>
      <c r="I733" s="76"/>
      <c r="J733" s="76"/>
      <c r="K733" s="76"/>
      <c r="L733" s="76"/>
      <c r="M733" s="69"/>
      <c r="N733" s="76"/>
      <c r="O733" s="76"/>
      <c r="P733" s="76"/>
      <c r="Q733" s="76"/>
      <c r="R733" s="76"/>
      <c r="S733" s="76"/>
      <c r="T733" s="76"/>
      <c r="U733" s="76"/>
      <c r="V733" s="76"/>
      <c r="W733" s="76"/>
    </row>
    <row r="734" spans="1:23" ht="12.75">
      <c r="A734" s="76"/>
      <c r="B734" s="76"/>
      <c r="C734" s="76"/>
      <c r="D734" s="69"/>
      <c r="E734" s="76"/>
      <c r="F734" s="76"/>
      <c r="G734" s="76"/>
      <c r="H734" s="76"/>
      <c r="I734" s="76"/>
      <c r="J734" s="76"/>
      <c r="K734" s="76"/>
      <c r="L734" s="76"/>
      <c r="M734" s="69"/>
      <c r="N734" s="76"/>
      <c r="O734" s="76"/>
      <c r="P734" s="76"/>
      <c r="Q734" s="76"/>
      <c r="R734" s="76"/>
      <c r="S734" s="76"/>
      <c r="T734" s="76"/>
      <c r="U734" s="76"/>
      <c r="V734" s="76"/>
      <c r="W734" s="76"/>
    </row>
    <row r="735" spans="1:23" ht="12.75">
      <c r="A735" s="76"/>
      <c r="B735" s="76"/>
      <c r="C735" s="76"/>
      <c r="D735" s="69"/>
      <c r="E735" s="76"/>
      <c r="F735" s="76"/>
      <c r="G735" s="76"/>
      <c r="H735" s="76"/>
      <c r="I735" s="76"/>
      <c r="J735" s="76"/>
      <c r="K735" s="76"/>
      <c r="L735" s="76"/>
      <c r="M735" s="69"/>
      <c r="N735" s="76"/>
      <c r="O735" s="76"/>
      <c r="P735" s="76"/>
      <c r="Q735" s="76"/>
      <c r="R735" s="76"/>
      <c r="S735" s="76"/>
      <c r="T735" s="76"/>
      <c r="U735" s="76"/>
      <c r="V735" s="76"/>
      <c r="W735" s="76"/>
    </row>
    <row r="736" spans="1:23" ht="12.75">
      <c r="A736" s="76"/>
      <c r="B736" s="76"/>
      <c r="C736" s="76"/>
      <c r="D736" s="69"/>
      <c r="E736" s="76"/>
      <c r="F736" s="76"/>
      <c r="G736" s="76"/>
      <c r="H736" s="76"/>
      <c r="I736" s="76"/>
      <c r="J736" s="76"/>
      <c r="K736" s="76"/>
      <c r="L736" s="76"/>
      <c r="M736" s="69"/>
      <c r="N736" s="76"/>
      <c r="O736" s="76"/>
      <c r="P736" s="76"/>
      <c r="Q736" s="76"/>
      <c r="R736" s="76"/>
      <c r="S736" s="76"/>
      <c r="T736" s="76"/>
      <c r="U736" s="76"/>
      <c r="V736" s="76"/>
      <c r="W736" s="76"/>
    </row>
    <row r="737" spans="1:23" ht="12.75">
      <c r="A737" s="76"/>
      <c r="B737" s="76"/>
      <c r="C737" s="76"/>
      <c r="D737" s="69"/>
      <c r="E737" s="76"/>
      <c r="F737" s="76"/>
      <c r="G737" s="76"/>
      <c r="H737" s="76"/>
      <c r="I737" s="76"/>
      <c r="J737" s="76"/>
      <c r="K737" s="76"/>
      <c r="L737" s="76"/>
      <c r="M737" s="69"/>
      <c r="N737" s="76"/>
      <c r="O737" s="76"/>
      <c r="P737" s="76"/>
      <c r="Q737" s="76"/>
      <c r="R737" s="76"/>
      <c r="S737" s="76"/>
      <c r="T737" s="76"/>
      <c r="U737" s="76"/>
      <c r="V737" s="76"/>
      <c r="W737" s="76"/>
    </row>
    <row r="738" spans="1:23" ht="12.75">
      <c r="A738" s="76"/>
      <c r="B738" s="76"/>
      <c r="C738" s="76"/>
      <c r="D738" s="69"/>
      <c r="E738" s="76"/>
      <c r="F738" s="76"/>
      <c r="G738" s="76"/>
      <c r="H738" s="76"/>
      <c r="I738" s="76"/>
      <c r="J738" s="76"/>
      <c r="K738" s="76"/>
      <c r="L738" s="76"/>
      <c r="M738" s="69"/>
      <c r="N738" s="76"/>
      <c r="O738" s="76"/>
      <c r="P738" s="76"/>
      <c r="Q738" s="76"/>
      <c r="R738" s="76"/>
      <c r="S738" s="76"/>
      <c r="T738" s="76"/>
      <c r="U738" s="76"/>
      <c r="V738" s="76"/>
      <c r="W738" s="76"/>
    </row>
    <row r="739" spans="1:23" ht="12.75">
      <c r="A739" s="76"/>
      <c r="B739" s="76"/>
      <c r="C739" s="76"/>
      <c r="D739" s="69"/>
      <c r="E739" s="76"/>
      <c r="F739" s="76"/>
      <c r="G739" s="76"/>
      <c r="H739" s="76"/>
      <c r="I739" s="76"/>
      <c r="J739" s="76"/>
      <c r="K739" s="76"/>
      <c r="L739" s="76"/>
      <c r="M739" s="69"/>
      <c r="N739" s="76"/>
      <c r="O739" s="76"/>
      <c r="P739" s="76"/>
      <c r="Q739" s="76"/>
      <c r="R739" s="76"/>
      <c r="S739" s="76"/>
      <c r="T739" s="76"/>
      <c r="U739" s="76"/>
      <c r="V739" s="76"/>
      <c r="W739" s="76"/>
    </row>
    <row r="740" spans="1:23" ht="12.75">
      <c r="A740" s="76"/>
      <c r="B740" s="76"/>
      <c r="C740" s="76"/>
      <c r="D740" s="69"/>
      <c r="E740" s="76"/>
      <c r="F740" s="76"/>
      <c r="G740" s="76"/>
      <c r="H740" s="76"/>
      <c r="I740" s="76"/>
      <c r="J740" s="76"/>
      <c r="K740" s="76"/>
      <c r="L740" s="76"/>
      <c r="M740" s="69"/>
      <c r="N740" s="76"/>
      <c r="O740" s="76"/>
      <c r="P740" s="76"/>
      <c r="Q740" s="76"/>
      <c r="R740" s="76"/>
      <c r="S740" s="76"/>
      <c r="T740" s="76"/>
      <c r="U740" s="76"/>
      <c r="V740" s="76"/>
      <c r="W740" s="76"/>
    </row>
    <row r="741" spans="1:23" ht="12.75">
      <c r="A741" s="76"/>
      <c r="B741" s="76"/>
      <c r="C741" s="76"/>
      <c r="D741" s="69"/>
      <c r="E741" s="76"/>
      <c r="F741" s="76"/>
      <c r="G741" s="76"/>
      <c r="H741" s="76"/>
      <c r="I741" s="76"/>
      <c r="J741" s="76"/>
      <c r="K741" s="76"/>
      <c r="L741" s="76"/>
      <c r="M741" s="69"/>
      <c r="N741" s="76"/>
      <c r="O741" s="76"/>
      <c r="P741" s="76"/>
      <c r="Q741" s="76"/>
      <c r="R741" s="76"/>
      <c r="S741" s="76"/>
      <c r="T741" s="76"/>
      <c r="U741" s="76"/>
      <c r="V741" s="76"/>
      <c r="W741" s="76"/>
    </row>
    <row r="742" spans="1:23" ht="12.75">
      <c r="A742" s="76"/>
      <c r="B742" s="76"/>
      <c r="C742" s="76"/>
      <c r="D742" s="69"/>
      <c r="E742" s="76"/>
      <c r="F742" s="76"/>
      <c r="G742" s="76"/>
      <c r="H742" s="76"/>
      <c r="I742" s="76"/>
      <c r="J742" s="76"/>
      <c r="K742" s="76"/>
      <c r="L742" s="76"/>
      <c r="M742" s="69"/>
      <c r="N742" s="76"/>
      <c r="O742" s="76"/>
      <c r="P742" s="76"/>
      <c r="Q742" s="76"/>
      <c r="R742" s="76"/>
      <c r="S742" s="76"/>
      <c r="T742" s="76"/>
      <c r="U742" s="76"/>
      <c r="V742" s="76"/>
      <c r="W742" s="76"/>
    </row>
    <row r="743" spans="1:23" ht="12.75">
      <c r="A743" s="76"/>
      <c r="B743" s="76"/>
      <c r="C743" s="76"/>
      <c r="D743" s="69"/>
      <c r="E743" s="76"/>
      <c r="F743" s="76"/>
      <c r="G743" s="76"/>
      <c r="H743" s="76"/>
      <c r="I743" s="76"/>
      <c r="J743" s="76"/>
      <c r="K743" s="76"/>
      <c r="L743" s="76"/>
      <c r="M743" s="69"/>
      <c r="N743" s="76"/>
      <c r="O743" s="76"/>
      <c r="P743" s="76"/>
      <c r="Q743" s="76"/>
      <c r="R743" s="76"/>
      <c r="S743" s="76"/>
      <c r="T743" s="76"/>
      <c r="U743" s="76"/>
      <c r="V743" s="76"/>
      <c r="W743" s="76"/>
    </row>
    <row r="744" spans="1:23" ht="12.75">
      <c r="A744" s="76"/>
      <c r="B744" s="76"/>
      <c r="C744" s="76"/>
      <c r="D744" s="69"/>
      <c r="E744" s="76"/>
      <c r="F744" s="76"/>
      <c r="G744" s="76"/>
      <c r="H744" s="76"/>
      <c r="I744" s="76"/>
      <c r="J744" s="76"/>
      <c r="K744" s="76"/>
      <c r="L744" s="76"/>
      <c r="M744" s="69"/>
      <c r="N744" s="76"/>
      <c r="O744" s="76"/>
      <c r="P744" s="76"/>
      <c r="Q744" s="76"/>
      <c r="R744" s="76"/>
      <c r="S744" s="76"/>
      <c r="T744" s="76"/>
      <c r="U744" s="76"/>
      <c r="V744" s="76"/>
      <c r="W744" s="76"/>
    </row>
    <row r="745" spans="1:23" ht="12.75">
      <c r="A745" s="76"/>
      <c r="B745" s="76"/>
      <c r="C745" s="76"/>
      <c r="D745" s="69"/>
      <c r="E745" s="76"/>
      <c r="F745" s="76"/>
      <c r="G745" s="76"/>
      <c r="H745" s="76"/>
      <c r="I745" s="76"/>
      <c r="J745" s="76"/>
      <c r="K745" s="76"/>
      <c r="L745" s="76"/>
      <c r="M745" s="69"/>
      <c r="N745" s="76"/>
      <c r="O745" s="76"/>
      <c r="P745" s="76"/>
      <c r="Q745" s="76"/>
      <c r="R745" s="76"/>
      <c r="S745" s="76"/>
      <c r="T745" s="76"/>
      <c r="U745" s="76"/>
      <c r="V745" s="76"/>
      <c r="W745" s="76"/>
    </row>
    <row r="746" spans="1:23" ht="12.75">
      <c r="A746" s="76"/>
      <c r="B746" s="76"/>
      <c r="C746" s="76"/>
      <c r="D746" s="69"/>
      <c r="E746" s="76"/>
      <c r="F746" s="76"/>
      <c r="G746" s="76"/>
      <c r="H746" s="76"/>
      <c r="I746" s="76"/>
      <c r="J746" s="76"/>
      <c r="K746" s="76"/>
      <c r="L746" s="76"/>
      <c r="M746" s="69"/>
      <c r="N746" s="76"/>
      <c r="O746" s="76"/>
      <c r="P746" s="76"/>
      <c r="Q746" s="76"/>
      <c r="R746" s="76"/>
      <c r="S746" s="76"/>
      <c r="T746" s="76"/>
      <c r="U746" s="76"/>
      <c r="V746" s="76"/>
      <c r="W746" s="76"/>
    </row>
    <row r="747" spans="1:23" ht="12.75">
      <c r="A747" s="76"/>
      <c r="B747" s="76"/>
      <c r="C747" s="76"/>
      <c r="D747" s="69"/>
      <c r="E747" s="76"/>
      <c r="F747" s="76"/>
      <c r="G747" s="76"/>
      <c r="H747" s="76"/>
      <c r="I747" s="76"/>
      <c r="J747" s="76"/>
      <c r="K747" s="76"/>
      <c r="L747" s="76"/>
      <c r="M747" s="69"/>
      <c r="N747" s="76"/>
      <c r="O747" s="76"/>
      <c r="P747" s="76"/>
      <c r="Q747" s="76"/>
      <c r="R747" s="76"/>
      <c r="S747" s="76"/>
      <c r="T747" s="76"/>
      <c r="U747" s="76"/>
      <c r="V747" s="76"/>
      <c r="W747" s="76"/>
    </row>
    <row r="748" spans="1:23" ht="12.75">
      <c r="A748" s="76"/>
      <c r="B748" s="76"/>
      <c r="C748" s="76"/>
      <c r="D748" s="69"/>
      <c r="E748" s="76"/>
      <c r="F748" s="76"/>
      <c r="G748" s="76"/>
      <c r="H748" s="76"/>
      <c r="I748" s="76"/>
      <c r="J748" s="76"/>
      <c r="K748" s="76"/>
      <c r="L748" s="76"/>
      <c r="M748" s="69"/>
      <c r="N748" s="76"/>
      <c r="O748" s="76"/>
      <c r="P748" s="76"/>
      <c r="Q748" s="76"/>
      <c r="R748" s="76"/>
      <c r="S748" s="76"/>
      <c r="T748" s="76"/>
      <c r="U748" s="76"/>
      <c r="V748" s="76"/>
      <c r="W748" s="76"/>
    </row>
    <row r="749" spans="1:23" ht="12.75">
      <c r="A749" s="76"/>
      <c r="B749" s="76"/>
      <c r="C749" s="76"/>
      <c r="D749" s="69"/>
      <c r="E749" s="76"/>
      <c r="F749" s="76"/>
      <c r="G749" s="76"/>
      <c r="H749" s="76"/>
      <c r="I749" s="76"/>
      <c r="J749" s="76"/>
      <c r="K749" s="76"/>
      <c r="L749" s="76"/>
      <c r="M749" s="69"/>
      <c r="N749" s="76"/>
      <c r="O749" s="76"/>
      <c r="P749" s="76"/>
      <c r="Q749" s="76"/>
      <c r="R749" s="76"/>
      <c r="S749" s="76"/>
      <c r="T749" s="76"/>
      <c r="U749" s="76"/>
      <c r="V749" s="76"/>
      <c r="W749" s="76"/>
    </row>
    <row r="750" spans="1:23" ht="12.75">
      <c r="A750" s="76"/>
      <c r="B750" s="76"/>
      <c r="C750" s="76"/>
      <c r="D750" s="69"/>
      <c r="E750" s="76"/>
      <c r="F750" s="76"/>
      <c r="G750" s="76"/>
      <c r="H750" s="76"/>
      <c r="I750" s="76"/>
      <c r="J750" s="76"/>
      <c r="K750" s="76"/>
      <c r="L750" s="76"/>
      <c r="M750" s="69"/>
      <c r="N750" s="76"/>
      <c r="O750" s="76"/>
      <c r="P750" s="76"/>
      <c r="Q750" s="76"/>
      <c r="R750" s="76"/>
      <c r="S750" s="76"/>
      <c r="T750" s="76"/>
      <c r="U750" s="76"/>
      <c r="V750" s="76"/>
      <c r="W750" s="76"/>
    </row>
    <row r="751" spans="1:23" ht="12.75">
      <c r="A751" s="76"/>
      <c r="B751" s="76"/>
      <c r="C751" s="76"/>
      <c r="D751" s="69"/>
      <c r="E751" s="76"/>
      <c r="F751" s="76"/>
      <c r="G751" s="76"/>
      <c r="H751" s="76"/>
      <c r="I751" s="76"/>
      <c r="J751" s="76"/>
      <c r="K751" s="76"/>
      <c r="L751" s="76"/>
      <c r="M751" s="69"/>
      <c r="N751" s="76"/>
      <c r="O751" s="76"/>
      <c r="P751" s="76"/>
      <c r="Q751" s="76"/>
      <c r="R751" s="76"/>
      <c r="S751" s="76"/>
      <c r="T751" s="76"/>
      <c r="U751" s="76"/>
      <c r="V751" s="76"/>
      <c r="W751" s="76"/>
    </row>
    <row r="752" spans="1:23" ht="12.75">
      <c r="A752" s="76"/>
      <c r="B752" s="76"/>
      <c r="C752" s="76"/>
      <c r="D752" s="69"/>
      <c r="E752" s="76"/>
      <c r="F752" s="76"/>
      <c r="G752" s="76"/>
      <c r="H752" s="76"/>
      <c r="I752" s="76"/>
      <c r="J752" s="76"/>
      <c r="K752" s="76"/>
      <c r="L752" s="76"/>
      <c r="M752" s="69"/>
      <c r="N752" s="76"/>
      <c r="O752" s="76"/>
      <c r="P752" s="76"/>
      <c r="Q752" s="76"/>
      <c r="R752" s="76"/>
      <c r="S752" s="76"/>
      <c r="T752" s="76"/>
      <c r="U752" s="76"/>
      <c r="V752" s="76"/>
      <c r="W752" s="76"/>
    </row>
    <row r="753" spans="1:23" ht="12.75">
      <c r="A753" s="76"/>
      <c r="B753" s="76"/>
      <c r="C753" s="76"/>
      <c r="D753" s="69"/>
      <c r="E753" s="76"/>
      <c r="F753" s="76"/>
      <c r="G753" s="76"/>
      <c r="H753" s="76"/>
      <c r="I753" s="76"/>
      <c r="J753" s="76"/>
      <c r="K753" s="76"/>
      <c r="L753" s="76"/>
      <c r="M753" s="69"/>
      <c r="N753" s="76"/>
      <c r="O753" s="76"/>
      <c r="P753" s="76"/>
      <c r="Q753" s="76"/>
      <c r="R753" s="76"/>
      <c r="S753" s="76"/>
      <c r="T753" s="76"/>
      <c r="U753" s="76"/>
      <c r="V753" s="76"/>
      <c r="W753" s="76"/>
    </row>
    <row r="754" spans="1:23" ht="12.75">
      <c r="A754" s="76"/>
      <c r="B754" s="76"/>
      <c r="C754" s="76"/>
      <c r="D754" s="69"/>
      <c r="E754" s="76"/>
      <c r="F754" s="76"/>
      <c r="G754" s="76"/>
      <c r="H754" s="76"/>
      <c r="I754" s="76"/>
      <c r="J754" s="76"/>
      <c r="K754" s="76"/>
      <c r="L754" s="76"/>
      <c r="M754" s="69"/>
      <c r="N754" s="76"/>
      <c r="O754" s="76"/>
      <c r="P754" s="76"/>
      <c r="Q754" s="76"/>
      <c r="R754" s="76"/>
      <c r="S754" s="76"/>
      <c r="T754" s="76"/>
      <c r="U754" s="76"/>
      <c r="V754" s="76"/>
      <c r="W754" s="76"/>
    </row>
    <row r="755" spans="1:23" ht="12.75">
      <c r="A755" s="76"/>
      <c r="B755" s="76"/>
      <c r="C755" s="76"/>
      <c r="D755" s="69"/>
      <c r="E755" s="76"/>
      <c r="F755" s="76"/>
      <c r="G755" s="76"/>
      <c r="H755" s="76"/>
      <c r="I755" s="76"/>
      <c r="J755" s="76"/>
      <c r="K755" s="76"/>
      <c r="L755" s="76"/>
      <c r="M755" s="69"/>
      <c r="N755" s="76"/>
      <c r="O755" s="76"/>
      <c r="P755" s="76"/>
      <c r="Q755" s="76"/>
      <c r="R755" s="76"/>
      <c r="S755" s="76"/>
      <c r="T755" s="76"/>
      <c r="U755" s="76"/>
      <c r="V755" s="76"/>
      <c r="W755" s="76"/>
    </row>
    <row r="756" spans="1:23" ht="12.75">
      <c r="A756" s="76"/>
      <c r="B756" s="76"/>
      <c r="C756" s="76"/>
      <c r="D756" s="69"/>
      <c r="E756" s="76"/>
      <c r="F756" s="76"/>
      <c r="G756" s="76"/>
      <c r="H756" s="76"/>
      <c r="I756" s="76"/>
      <c r="J756" s="76"/>
      <c r="K756" s="76"/>
      <c r="L756" s="76"/>
      <c r="M756" s="69"/>
      <c r="N756" s="76"/>
      <c r="O756" s="76"/>
      <c r="P756" s="76"/>
      <c r="Q756" s="76"/>
      <c r="R756" s="76"/>
      <c r="S756" s="76"/>
      <c r="T756" s="76"/>
      <c r="U756" s="76"/>
      <c r="V756" s="76"/>
      <c r="W756" s="76"/>
    </row>
    <row r="757" spans="1:23" ht="12.75">
      <c r="A757" s="76"/>
      <c r="B757" s="76"/>
      <c r="C757" s="76"/>
      <c r="D757" s="69"/>
      <c r="E757" s="76"/>
      <c r="F757" s="76"/>
      <c r="G757" s="76"/>
      <c r="H757" s="76"/>
      <c r="I757" s="76"/>
      <c r="J757" s="76"/>
      <c r="K757" s="76"/>
      <c r="L757" s="76"/>
      <c r="M757" s="69"/>
      <c r="N757" s="76"/>
      <c r="O757" s="76"/>
      <c r="P757" s="76"/>
      <c r="Q757" s="76"/>
      <c r="R757" s="76"/>
      <c r="S757" s="76"/>
      <c r="T757" s="76"/>
      <c r="U757" s="76"/>
      <c r="V757" s="76"/>
      <c r="W757" s="76"/>
    </row>
    <row r="758" spans="1:23" ht="12.75">
      <c r="A758" s="76"/>
      <c r="B758" s="76"/>
      <c r="C758" s="76"/>
      <c r="D758" s="69"/>
      <c r="E758" s="76"/>
      <c r="F758" s="76"/>
      <c r="G758" s="76"/>
      <c r="H758" s="76"/>
      <c r="I758" s="76"/>
      <c r="J758" s="76"/>
      <c r="K758" s="76"/>
      <c r="L758" s="76"/>
      <c r="M758" s="69"/>
      <c r="N758" s="76"/>
      <c r="O758" s="76"/>
      <c r="P758" s="76"/>
      <c r="Q758" s="76"/>
      <c r="R758" s="76"/>
      <c r="S758" s="76"/>
      <c r="T758" s="76"/>
      <c r="U758" s="76"/>
      <c r="V758" s="76"/>
      <c r="W758" s="76"/>
    </row>
    <row r="759" spans="1:23" ht="12.75">
      <c r="A759" s="76"/>
      <c r="B759" s="76"/>
      <c r="C759" s="76"/>
      <c r="D759" s="69"/>
      <c r="E759" s="76"/>
      <c r="F759" s="76"/>
      <c r="G759" s="76"/>
      <c r="H759" s="76"/>
      <c r="I759" s="76"/>
      <c r="J759" s="76"/>
      <c r="K759" s="76"/>
      <c r="L759" s="76"/>
      <c r="M759" s="69"/>
      <c r="N759" s="76"/>
      <c r="O759" s="76"/>
      <c r="P759" s="76"/>
      <c r="Q759" s="76"/>
      <c r="R759" s="76"/>
      <c r="S759" s="76"/>
      <c r="T759" s="76"/>
      <c r="U759" s="76"/>
      <c r="V759" s="76"/>
      <c r="W759" s="76"/>
    </row>
    <row r="760" spans="1:23" ht="12.75">
      <c r="A760" s="76"/>
      <c r="B760" s="76"/>
      <c r="C760" s="76"/>
      <c r="D760" s="69"/>
      <c r="E760" s="76"/>
      <c r="F760" s="76"/>
      <c r="G760" s="76"/>
      <c r="H760" s="76"/>
      <c r="I760" s="76"/>
      <c r="J760" s="76"/>
      <c r="K760" s="76"/>
      <c r="L760" s="76"/>
      <c r="M760" s="69"/>
      <c r="N760" s="76"/>
      <c r="O760" s="76"/>
      <c r="P760" s="76"/>
      <c r="Q760" s="76"/>
      <c r="R760" s="76"/>
      <c r="S760" s="76"/>
      <c r="T760" s="76"/>
      <c r="U760" s="76"/>
      <c r="V760" s="76"/>
      <c r="W760" s="76"/>
    </row>
    <row r="761" spans="1:23" ht="12.75">
      <c r="A761" s="76"/>
      <c r="B761" s="76"/>
      <c r="C761" s="76"/>
      <c r="D761" s="69"/>
      <c r="E761" s="76"/>
      <c r="F761" s="76"/>
      <c r="G761" s="76"/>
      <c r="H761" s="76"/>
      <c r="I761" s="76"/>
      <c r="J761" s="76"/>
      <c r="K761" s="76"/>
      <c r="L761" s="76"/>
      <c r="M761" s="69"/>
      <c r="N761" s="76"/>
      <c r="O761" s="76"/>
      <c r="P761" s="76"/>
      <c r="Q761" s="76"/>
      <c r="R761" s="76"/>
      <c r="S761" s="76"/>
      <c r="T761" s="76"/>
      <c r="U761" s="76"/>
      <c r="V761" s="76"/>
      <c r="W761" s="76"/>
    </row>
    <row r="762" spans="1:23" ht="12.75">
      <c r="A762" s="76"/>
      <c r="B762" s="76"/>
      <c r="C762" s="76"/>
      <c r="D762" s="69"/>
      <c r="E762" s="76"/>
      <c r="F762" s="76"/>
      <c r="G762" s="76"/>
      <c r="H762" s="76"/>
      <c r="I762" s="76"/>
      <c r="J762" s="76"/>
      <c r="K762" s="76"/>
      <c r="L762" s="76"/>
      <c r="M762" s="69"/>
      <c r="N762" s="76"/>
      <c r="O762" s="76"/>
      <c r="P762" s="76"/>
      <c r="Q762" s="76"/>
      <c r="R762" s="76"/>
      <c r="S762" s="76"/>
      <c r="T762" s="76"/>
      <c r="U762" s="76"/>
      <c r="V762" s="76"/>
      <c r="W762" s="76"/>
    </row>
    <row r="763" spans="1:23" ht="12.75">
      <c r="A763" s="76"/>
      <c r="B763" s="76"/>
      <c r="C763" s="76"/>
      <c r="D763" s="69"/>
      <c r="E763" s="76"/>
      <c r="F763" s="76"/>
      <c r="G763" s="76"/>
      <c r="H763" s="76"/>
      <c r="I763" s="76"/>
      <c r="J763" s="76"/>
      <c r="K763" s="76"/>
      <c r="L763" s="76"/>
      <c r="M763" s="69"/>
      <c r="N763" s="76"/>
      <c r="O763" s="76"/>
      <c r="P763" s="76"/>
      <c r="Q763" s="76"/>
      <c r="R763" s="76"/>
      <c r="S763" s="76"/>
      <c r="T763" s="76"/>
      <c r="U763" s="76"/>
      <c r="V763" s="76"/>
      <c r="W763" s="76"/>
    </row>
    <row r="764" spans="1:23" ht="12.75">
      <c r="A764" s="76"/>
      <c r="B764" s="76"/>
      <c r="C764" s="76"/>
      <c r="D764" s="69"/>
      <c r="E764" s="76"/>
      <c r="F764" s="76"/>
      <c r="G764" s="76"/>
      <c r="H764" s="76"/>
      <c r="I764" s="76"/>
      <c r="J764" s="76"/>
      <c r="K764" s="76"/>
      <c r="L764" s="76"/>
      <c r="M764" s="69"/>
      <c r="N764" s="76"/>
      <c r="O764" s="76"/>
      <c r="P764" s="76"/>
      <c r="Q764" s="76"/>
      <c r="R764" s="76"/>
      <c r="S764" s="76"/>
      <c r="T764" s="76"/>
      <c r="U764" s="76"/>
      <c r="V764" s="76"/>
      <c r="W764" s="76"/>
    </row>
    <row r="765" spans="1:23" ht="12.75">
      <c r="A765" s="76"/>
      <c r="B765" s="76"/>
      <c r="C765" s="76"/>
      <c r="D765" s="69"/>
      <c r="E765" s="76"/>
      <c r="F765" s="76"/>
      <c r="G765" s="76"/>
      <c r="H765" s="76"/>
      <c r="I765" s="76"/>
      <c r="J765" s="76"/>
      <c r="K765" s="76"/>
      <c r="L765" s="76"/>
      <c r="M765" s="69"/>
      <c r="N765" s="76"/>
      <c r="O765" s="76"/>
      <c r="P765" s="76"/>
      <c r="Q765" s="76"/>
      <c r="R765" s="76"/>
      <c r="S765" s="76"/>
      <c r="T765" s="76"/>
      <c r="U765" s="76"/>
      <c r="V765" s="76"/>
      <c r="W765" s="76"/>
    </row>
    <row r="766" spans="1:23" ht="12.75">
      <c r="A766" s="76"/>
      <c r="B766" s="76"/>
      <c r="C766" s="76"/>
      <c r="D766" s="69"/>
      <c r="E766" s="76"/>
      <c r="F766" s="76"/>
      <c r="G766" s="76"/>
      <c r="H766" s="76"/>
      <c r="I766" s="76"/>
      <c r="J766" s="76"/>
      <c r="K766" s="76"/>
      <c r="L766" s="76"/>
      <c r="M766" s="69"/>
      <c r="N766" s="76"/>
      <c r="O766" s="76"/>
      <c r="P766" s="76"/>
      <c r="Q766" s="76"/>
      <c r="R766" s="76"/>
      <c r="S766" s="76"/>
      <c r="T766" s="76"/>
      <c r="U766" s="76"/>
      <c r="V766" s="76"/>
      <c r="W766" s="76"/>
    </row>
    <row r="767" spans="1:23" ht="12.75">
      <c r="A767" s="76"/>
      <c r="B767" s="76"/>
      <c r="C767" s="76"/>
      <c r="D767" s="69"/>
      <c r="E767" s="76"/>
      <c r="F767" s="76"/>
      <c r="G767" s="76"/>
      <c r="H767" s="76"/>
      <c r="I767" s="76"/>
      <c r="J767" s="76"/>
      <c r="K767" s="76"/>
      <c r="L767" s="76"/>
      <c r="M767" s="69"/>
      <c r="N767" s="76"/>
      <c r="O767" s="76"/>
      <c r="P767" s="76"/>
      <c r="Q767" s="76"/>
      <c r="R767" s="76"/>
      <c r="S767" s="76"/>
      <c r="T767" s="76"/>
      <c r="U767" s="76"/>
      <c r="V767" s="76"/>
      <c r="W767" s="76"/>
    </row>
    <row r="768" spans="1:23" ht="12.75">
      <c r="A768" s="76"/>
      <c r="B768" s="76"/>
      <c r="C768" s="76"/>
      <c r="D768" s="69"/>
      <c r="E768" s="76"/>
      <c r="F768" s="76"/>
      <c r="G768" s="76"/>
      <c r="H768" s="76"/>
      <c r="I768" s="76"/>
      <c r="J768" s="76"/>
      <c r="K768" s="76"/>
      <c r="L768" s="76"/>
      <c r="M768" s="69"/>
      <c r="N768" s="76"/>
      <c r="O768" s="76"/>
      <c r="P768" s="76"/>
      <c r="Q768" s="76"/>
      <c r="R768" s="76"/>
      <c r="S768" s="76"/>
      <c r="T768" s="76"/>
      <c r="U768" s="76"/>
      <c r="V768" s="76"/>
      <c r="W768" s="76"/>
    </row>
    <row r="769" spans="1:23" ht="12.75">
      <c r="A769" s="76"/>
      <c r="B769" s="76"/>
      <c r="C769" s="76"/>
      <c r="D769" s="69"/>
      <c r="E769" s="76"/>
      <c r="F769" s="76"/>
      <c r="G769" s="76"/>
      <c r="H769" s="76"/>
      <c r="I769" s="76"/>
      <c r="J769" s="76"/>
      <c r="K769" s="76"/>
      <c r="L769" s="76"/>
      <c r="M769" s="69"/>
      <c r="N769" s="76"/>
      <c r="O769" s="76"/>
      <c r="P769" s="76"/>
      <c r="Q769" s="76"/>
      <c r="R769" s="76"/>
      <c r="S769" s="76"/>
      <c r="T769" s="76"/>
      <c r="U769" s="76"/>
      <c r="V769" s="76"/>
      <c r="W769" s="76"/>
    </row>
    <row r="770" spans="1:23" ht="12.75">
      <c r="A770" s="76"/>
      <c r="B770" s="76"/>
      <c r="C770" s="76"/>
      <c r="D770" s="69"/>
      <c r="E770" s="76"/>
      <c r="F770" s="76"/>
      <c r="G770" s="76"/>
      <c r="H770" s="76"/>
      <c r="I770" s="76"/>
      <c r="J770" s="76"/>
      <c r="K770" s="76"/>
      <c r="L770" s="76"/>
      <c r="M770" s="69"/>
      <c r="N770" s="76"/>
      <c r="O770" s="76"/>
      <c r="P770" s="76"/>
      <c r="Q770" s="76"/>
      <c r="R770" s="76"/>
      <c r="S770" s="76"/>
      <c r="T770" s="76"/>
      <c r="U770" s="76"/>
      <c r="V770" s="76"/>
      <c r="W770" s="76"/>
    </row>
    <row r="771" spans="1:23" ht="12.75">
      <c r="A771" s="76"/>
      <c r="B771" s="76"/>
      <c r="C771" s="76"/>
      <c r="D771" s="69"/>
      <c r="E771" s="76"/>
      <c r="F771" s="76"/>
      <c r="G771" s="76"/>
      <c r="H771" s="76"/>
      <c r="I771" s="76"/>
      <c r="J771" s="76"/>
      <c r="K771" s="76"/>
      <c r="L771" s="76"/>
      <c r="M771" s="69"/>
      <c r="N771" s="76"/>
      <c r="O771" s="76"/>
      <c r="P771" s="76"/>
      <c r="Q771" s="76"/>
      <c r="R771" s="76"/>
      <c r="S771" s="76"/>
      <c r="T771" s="76"/>
      <c r="U771" s="76"/>
      <c r="V771" s="76"/>
      <c r="W771" s="76"/>
    </row>
    <row r="772" spans="1:23" ht="12.75">
      <c r="A772" s="76"/>
      <c r="B772" s="76"/>
      <c r="C772" s="76"/>
      <c r="D772" s="69"/>
      <c r="E772" s="76"/>
      <c r="F772" s="76"/>
      <c r="G772" s="76"/>
      <c r="H772" s="76"/>
      <c r="I772" s="76"/>
      <c r="J772" s="76"/>
      <c r="K772" s="76"/>
      <c r="L772" s="76"/>
      <c r="M772" s="69"/>
      <c r="N772" s="76"/>
      <c r="O772" s="76"/>
      <c r="P772" s="76"/>
      <c r="Q772" s="76"/>
      <c r="R772" s="76"/>
      <c r="S772" s="76"/>
      <c r="T772" s="76"/>
      <c r="U772" s="76"/>
      <c r="V772" s="76"/>
      <c r="W772" s="76"/>
    </row>
    <row r="773" spans="1:23" ht="12.75">
      <c r="A773" s="76"/>
      <c r="B773" s="76"/>
      <c r="C773" s="76"/>
      <c r="D773" s="69"/>
      <c r="E773" s="76"/>
      <c r="F773" s="76"/>
      <c r="G773" s="76"/>
      <c r="H773" s="76"/>
      <c r="I773" s="76"/>
      <c r="J773" s="76"/>
      <c r="K773" s="76"/>
      <c r="L773" s="76"/>
      <c r="M773" s="69"/>
      <c r="N773" s="76"/>
      <c r="O773" s="76"/>
      <c r="P773" s="76"/>
      <c r="Q773" s="76"/>
      <c r="R773" s="76"/>
      <c r="S773" s="76"/>
      <c r="T773" s="76"/>
      <c r="U773" s="76"/>
      <c r="V773" s="76"/>
      <c r="W773" s="76"/>
    </row>
    <row r="774" spans="1:23" ht="12.75">
      <c r="A774" s="76"/>
      <c r="B774" s="76"/>
      <c r="C774" s="76"/>
      <c r="D774" s="69"/>
      <c r="E774" s="76"/>
      <c r="F774" s="76"/>
      <c r="G774" s="76"/>
      <c r="H774" s="76"/>
      <c r="I774" s="76"/>
      <c r="J774" s="76"/>
      <c r="K774" s="76"/>
      <c r="L774" s="76"/>
      <c r="M774" s="69"/>
      <c r="N774" s="76"/>
      <c r="O774" s="76"/>
      <c r="P774" s="76"/>
      <c r="Q774" s="76"/>
      <c r="R774" s="76"/>
      <c r="S774" s="76"/>
      <c r="T774" s="76"/>
      <c r="U774" s="76"/>
      <c r="V774" s="76"/>
      <c r="W774" s="76"/>
    </row>
    <row r="775" spans="1:23" ht="12.75">
      <c r="A775" s="76"/>
      <c r="B775" s="76"/>
      <c r="C775" s="76"/>
      <c r="D775" s="69"/>
      <c r="E775" s="76"/>
      <c r="F775" s="76"/>
      <c r="G775" s="76"/>
      <c r="H775" s="76"/>
      <c r="I775" s="76"/>
      <c r="J775" s="76"/>
      <c r="K775" s="76"/>
      <c r="L775" s="76"/>
      <c r="M775" s="69"/>
      <c r="N775" s="76"/>
      <c r="O775" s="76"/>
      <c r="P775" s="76"/>
      <c r="Q775" s="76"/>
      <c r="R775" s="76"/>
      <c r="S775" s="76"/>
      <c r="T775" s="76"/>
      <c r="U775" s="76"/>
      <c r="V775" s="76"/>
      <c r="W775" s="76"/>
    </row>
    <row r="776" spans="1:23" ht="12.75">
      <c r="A776" s="76"/>
      <c r="B776" s="76"/>
      <c r="C776" s="76"/>
      <c r="D776" s="69"/>
      <c r="E776" s="76"/>
      <c r="F776" s="76"/>
      <c r="G776" s="76"/>
      <c r="H776" s="76"/>
      <c r="I776" s="76"/>
      <c r="J776" s="76"/>
      <c r="K776" s="76"/>
      <c r="L776" s="76"/>
      <c r="M776" s="69"/>
      <c r="N776" s="76"/>
      <c r="O776" s="76"/>
      <c r="P776" s="76"/>
      <c r="Q776" s="76"/>
      <c r="R776" s="76"/>
      <c r="S776" s="76"/>
      <c r="T776" s="76"/>
      <c r="U776" s="76"/>
      <c r="V776" s="76"/>
      <c r="W776" s="76"/>
    </row>
    <row r="777" spans="1:23" ht="12.75">
      <c r="A777" s="76"/>
      <c r="B777" s="76"/>
      <c r="C777" s="76"/>
      <c r="D777" s="69"/>
      <c r="E777" s="76"/>
      <c r="F777" s="76"/>
      <c r="G777" s="76"/>
      <c r="H777" s="76"/>
      <c r="I777" s="76"/>
      <c r="J777" s="76"/>
      <c r="K777" s="76"/>
      <c r="L777" s="76"/>
      <c r="M777" s="69"/>
      <c r="N777" s="76"/>
      <c r="O777" s="76"/>
      <c r="P777" s="76"/>
      <c r="Q777" s="76"/>
      <c r="R777" s="76"/>
      <c r="S777" s="76"/>
      <c r="T777" s="76"/>
      <c r="U777" s="76"/>
      <c r="V777" s="76"/>
      <c r="W777" s="76"/>
    </row>
    <row r="778" spans="1:23" ht="12.75">
      <c r="A778" s="76"/>
      <c r="B778" s="76"/>
      <c r="C778" s="76"/>
      <c r="D778" s="69"/>
      <c r="E778" s="76"/>
      <c r="F778" s="76"/>
      <c r="G778" s="76"/>
      <c r="H778" s="76"/>
      <c r="I778" s="76"/>
      <c r="J778" s="76"/>
      <c r="K778" s="76"/>
      <c r="L778" s="76"/>
      <c r="M778" s="69"/>
      <c r="N778" s="76"/>
      <c r="O778" s="76"/>
      <c r="P778" s="76"/>
      <c r="Q778" s="76"/>
      <c r="R778" s="76"/>
      <c r="S778" s="76"/>
      <c r="T778" s="76"/>
      <c r="U778" s="76"/>
      <c r="V778" s="76"/>
      <c r="W778" s="76"/>
    </row>
    <row r="779" spans="1:23" ht="12.75">
      <c r="A779" s="76"/>
      <c r="B779" s="76"/>
      <c r="C779" s="76"/>
      <c r="D779" s="69"/>
      <c r="E779" s="76"/>
      <c r="F779" s="76"/>
      <c r="G779" s="76"/>
      <c r="H779" s="76"/>
      <c r="I779" s="76"/>
      <c r="J779" s="76"/>
      <c r="K779" s="76"/>
      <c r="L779" s="76"/>
      <c r="M779" s="69"/>
      <c r="N779" s="76"/>
      <c r="O779" s="76"/>
      <c r="P779" s="76"/>
      <c r="Q779" s="76"/>
      <c r="R779" s="76"/>
      <c r="S779" s="76"/>
      <c r="T779" s="76"/>
      <c r="U779" s="76"/>
      <c r="V779" s="76"/>
      <c r="W779" s="76"/>
    </row>
    <row r="780" spans="1:23" ht="12.75">
      <c r="A780" s="76"/>
      <c r="B780" s="76"/>
      <c r="C780" s="76"/>
      <c r="D780" s="69"/>
      <c r="E780" s="76"/>
      <c r="F780" s="76"/>
      <c r="G780" s="76"/>
      <c r="H780" s="76"/>
      <c r="I780" s="76"/>
      <c r="J780" s="76"/>
      <c r="K780" s="76"/>
      <c r="L780" s="76"/>
      <c r="M780" s="69"/>
      <c r="N780" s="76"/>
      <c r="O780" s="76"/>
      <c r="P780" s="76"/>
      <c r="Q780" s="76"/>
      <c r="R780" s="76"/>
      <c r="S780" s="76"/>
      <c r="T780" s="76"/>
      <c r="U780" s="76"/>
      <c r="V780" s="76"/>
      <c r="W780" s="76"/>
    </row>
    <row r="781" spans="1:23" ht="12.75">
      <c r="A781" s="76"/>
      <c r="B781" s="76"/>
      <c r="C781" s="76"/>
      <c r="D781" s="69"/>
      <c r="E781" s="76"/>
      <c r="F781" s="76"/>
      <c r="G781" s="76"/>
      <c r="H781" s="76"/>
      <c r="I781" s="76"/>
      <c r="J781" s="76"/>
      <c r="K781" s="76"/>
      <c r="L781" s="76"/>
      <c r="M781" s="69"/>
      <c r="N781" s="76"/>
      <c r="O781" s="76"/>
      <c r="P781" s="76"/>
      <c r="Q781" s="76"/>
      <c r="R781" s="76"/>
      <c r="S781" s="76"/>
      <c r="T781" s="76"/>
      <c r="U781" s="76"/>
      <c r="V781" s="76"/>
      <c r="W781" s="76"/>
    </row>
    <row r="782" spans="1:23" ht="12.75">
      <c r="A782" s="76"/>
      <c r="B782" s="76"/>
      <c r="C782" s="76"/>
      <c r="D782" s="69"/>
      <c r="E782" s="76"/>
      <c r="F782" s="76"/>
      <c r="G782" s="76"/>
      <c r="H782" s="76"/>
      <c r="I782" s="76"/>
      <c r="J782" s="76"/>
      <c r="K782" s="76"/>
      <c r="L782" s="76"/>
      <c r="M782" s="69"/>
      <c r="N782" s="76"/>
      <c r="O782" s="76"/>
      <c r="P782" s="76"/>
      <c r="Q782" s="76"/>
      <c r="R782" s="76"/>
      <c r="S782" s="76"/>
      <c r="T782" s="76"/>
      <c r="U782" s="76"/>
      <c r="V782" s="76"/>
      <c r="W782" s="76"/>
    </row>
    <row r="783" spans="1:23" ht="12.75">
      <c r="A783" s="76"/>
      <c r="B783" s="76"/>
      <c r="C783" s="76"/>
      <c r="D783" s="69"/>
      <c r="E783" s="76"/>
      <c r="F783" s="76"/>
      <c r="G783" s="76"/>
      <c r="H783" s="76"/>
      <c r="I783" s="76"/>
      <c r="J783" s="76"/>
      <c r="K783" s="76"/>
      <c r="L783" s="76"/>
      <c r="M783" s="69"/>
      <c r="N783" s="76"/>
      <c r="O783" s="76"/>
      <c r="P783" s="76"/>
      <c r="Q783" s="76"/>
      <c r="R783" s="76"/>
      <c r="S783" s="76"/>
      <c r="T783" s="76"/>
      <c r="U783" s="76"/>
      <c r="V783" s="76"/>
      <c r="W783" s="76"/>
    </row>
    <row r="784" spans="1:23" ht="12.75">
      <c r="A784" s="76"/>
      <c r="B784" s="76"/>
      <c r="C784" s="76"/>
      <c r="D784" s="69"/>
      <c r="E784" s="76"/>
      <c r="F784" s="76"/>
      <c r="G784" s="76"/>
      <c r="H784" s="76"/>
      <c r="I784" s="76"/>
      <c r="J784" s="76"/>
      <c r="K784" s="76"/>
      <c r="L784" s="76"/>
      <c r="M784" s="69"/>
      <c r="N784" s="76"/>
      <c r="O784" s="76"/>
      <c r="P784" s="76"/>
      <c r="Q784" s="76"/>
      <c r="R784" s="76"/>
      <c r="S784" s="76"/>
      <c r="T784" s="76"/>
      <c r="U784" s="76"/>
      <c r="V784" s="76"/>
      <c r="W784" s="76"/>
    </row>
    <row r="785" spans="1:23" ht="12.75">
      <c r="A785" s="76"/>
      <c r="B785" s="76"/>
      <c r="C785" s="76"/>
      <c r="D785" s="69"/>
      <c r="E785" s="76"/>
      <c r="F785" s="76"/>
      <c r="G785" s="76"/>
      <c r="H785" s="76"/>
      <c r="I785" s="76"/>
      <c r="J785" s="76"/>
      <c r="K785" s="76"/>
      <c r="L785" s="76"/>
      <c r="M785" s="69"/>
      <c r="N785" s="76"/>
      <c r="O785" s="76"/>
      <c r="P785" s="76"/>
      <c r="Q785" s="76"/>
      <c r="R785" s="76"/>
      <c r="S785" s="76"/>
      <c r="T785" s="76"/>
      <c r="U785" s="76"/>
      <c r="V785" s="76"/>
      <c r="W785" s="76"/>
    </row>
    <row r="786" spans="1:23" ht="12.75">
      <c r="A786" s="76"/>
      <c r="B786" s="76"/>
      <c r="C786" s="76"/>
      <c r="D786" s="69"/>
      <c r="E786" s="76"/>
      <c r="F786" s="76"/>
      <c r="G786" s="76"/>
      <c r="H786" s="76"/>
      <c r="I786" s="76"/>
      <c r="J786" s="76"/>
      <c r="K786" s="76"/>
      <c r="L786" s="76"/>
      <c r="M786" s="69"/>
      <c r="N786" s="76"/>
      <c r="O786" s="76"/>
      <c r="P786" s="76"/>
      <c r="Q786" s="76"/>
      <c r="R786" s="76"/>
      <c r="S786" s="76"/>
      <c r="T786" s="76"/>
      <c r="U786" s="76"/>
      <c r="V786" s="76"/>
      <c r="W786" s="76"/>
    </row>
    <row r="787" spans="1:23" ht="12.75">
      <c r="A787" s="76"/>
      <c r="B787" s="76"/>
      <c r="C787" s="76"/>
      <c r="D787" s="69"/>
      <c r="E787" s="76"/>
      <c r="F787" s="76"/>
      <c r="G787" s="76"/>
      <c r="H787" s="76"/>
      <c r="I787" s="76"/>
      <c r="J787" s="76"/>
      <c r="K787" s="76"/>
      <c r="L787" s="76"/>
      <c r="M787" s="69"/>
      <c r="N787" s="76"/>
      <c r="O787" s="76"/>
      <c r="P787" s="76"/>
      <c r="Q787" s="76"/>
      <c r="R787" s="76"/>
      <c r="S787" s="76"/>
      <c r="T787" s="76"/>
      <c r="U787" s="76"/>
      <c r="V787" s="76"/>
      <c r="W787" s="76"/>
    </row>
    <row r="788" spans="1:23" ht="12.75">
      <c r="A788" s="76"/>
      <c r="B788" s="76"/>
      <c r="C788" s="76"/>
      <c r="D788" s="69"/>
      <c r="E788" s="76"/>
      <c r="F788" s="76"/>
      <c r="G788" s="76"/>
      <c r="H788" s="76"/>
      <c r="I788" s="76"/>
      <c r="J788" s="76"/>
      <c r="K788" s="76"/>
      <c r="L788" s="76"/>
      <c r="M788" s="69"/>
      <c r="N788" s="76"/>
      <c r="O788" s="76"/>
      <c r="P788" s="76"/>
      <c r="Q788" s="76"/>
      <c r="R788" s="76"/>
      <c r="S788" s="76"/>
      <c r="T788" s="76"/>
      <c r="U788" s="76"/>
      <c r="V788" s="76"/>
      <c r="W788" s="76"/>
    </row>
    <row r="789" spans="1:23" ht="12.75">
      <c r="A789" s="76"/>
      <c r="B789" s="76"/>
      <c r="C789" s="76"/>
      <c r="D789" s="69"/>
      <c r="E789" s="76"/>
      <c r="F789" s="76"/>
      <c r="G789" s="76"/>
      <c r="H789" s="76"/>
      <c r="I789" s="76"/>
      <c r="J789" s="76"/>
      <c r="K789" s="76"/>
      <c r="L789" s="76"/>
      <c r="M789" s="69"/>
      <c r="N789" s="76"/>
      <c r="O789" s="76"/>
      <c r="P789" s="76"/>
      <c r="Q789" s="76"/>
      <c r="R789" s="76"/>
      <c r="S789" s="76"/>
      <c r="T789" s="76"/>
      <c r="U789" s="76"/>
      <c r="V789" s="76"/>
      <c r="W789" s="76"/>
    </row>
    <row r="790" spans="1:23" ht="12.75">
      <c r="A790" s="76"/>
      <c r="B790" s="76"/>
      <c r="C790" s="76"/>
      <c r="D790" s="69"/>
      <c r="E790" s="76"/>
      <c r="F790" s="76"/>
      <c r="G790" s="76"/>
      <c r="H790" s="76"/>
      <c r="I790" s="76"/>
      <c r="J790" s="76"/>
      <c r="K790" s="76"/>
      <c r="L790" s="76"/>
      <c r="M790" s="69"/>
      <c r="N790" s="76"/>
      <c r="O790" s="76"/>
      <c r="P790" s="76"/>
      <c r="Q790" s="76"/>
      <c r="R790" s="76"/>
      <c r="S790" s="76"/>
      <c r="T790" s="76"/>
      <c r="U790" s="76"/>
      <c r="V790" s="76"/>
      <c r="W790" s="76"/>
    </row>
    <row r="791" spans="1:23" ht="12.75">
      <c r="A791" s="76"/>
      <c r="B791" s="76"/>
      <c r="C791" s="76"/>
      <c r="D791" s="69"/>
      <c r="E791" s="76"/>
      <c r="F791" s="76"/>
      <c r="G791" s="76"/>
      <c r="H791" s="76"/>
      <c r="I791" s="76"/>
      <c r="J791" s="76"/>
      <c r="K791" s="76"/>
      <c r="L791" s="76"/>
      <c r="M791" s="69"/>
      <c r="N791" s="76"/>
      <c r="O791" s="76"/>
      <c r="P791" s="76"/>
      <c r="Q791" s="76"/>
      <c r="R791" s="76"/>
      <c r="S791" s="76"/>
      <c r="T791" s="76"/>
      <c r="U791" s="76"/>
      <c r="V791" s="76"/>
      <c r="W791" s="76"/>
    </row>
    <row r="792" spans="1:23" ht="12.75">
      <c r="A792" s="76"/>
      <c r="B792" s="76"/>
      <c r="C792" s="76"/>
      <c r="D792" s="69"/>
      <c r="E792" s="76"/>
      <c r="F792" s="76"/>
      <c r="G792" s="76"/>
      <c r="H792" s="76"/>
      <c r="I792" s="76"/>
      <c r="J792" s="76"/>
      <c r="K792" s="76"/>
      <c r="L792" s="76"/>
      <c r="M792" s="69"/>
      <c r="N792" s="76"/>
      <c r="O792" s="76"/>
      <c r="P792" s="76"/>
      <c r="Q792" s="76"/>
      <c r="R792" s="76"/>
      <c r="S792" s="76"/>
      <c r="T792" s="76"/>
      <c r="U792" s="76"/>
      <c r="V792" s="76"/>
      <c r="W792" s="76"/>
    </row>
    <row r="793" spans="1:23" ht="12.75">
      <c r="A793" s="76"/>
      <c r="B793" s="76"/>
      <c r="C793" s="76"/>
      <c r="D793" s="69"/>
      <c r="E793" s="76"/>
      <c r="F793" s="76"/>
      <c r="G793" s="76"/>
      <c r="H793" s="76"/>
      <c r="I793" s="76"/>
      <c r="J793" s="76"/>
      <c r="K793" s="76"/>
      <c r="L793" s="76"/>
      <c r="M793" s="69"/>
      <c r="N793" s="76"/>
      <c r="O793" s="76"/>
      <c r="P793" s="76"/>
      <c r="Q793" s="76"/>
      <c r="R793" s="76"/>
      <c r="S793" s="76"/>
      <c r="T793" s="76"/>
      <c r="U793" s="76"/>
      <c r="V793" s="76"/>
      <c r="W793" s="76"/>
    </row>
    <row r="794" spans="1:23" ht="12.75">
      <c r="A794" s="76"/>
      <c r="B794" s="76"/>
      <c r="C794" s="76"/>
      <c r="D794" s="69"/>
      <c r="E794" s="76"/>
      <c r="F794" s="76"/>
      <c r="G794" s="76"/>
      <c r="H794" s="76"/>
      <c r="I794" s="76"/>
      <c r="J794" s="76"/>
      <c r="K794" s="76"/>
      <c r="L794" s="76"/>
      <c r="M794" s="69"/>
      <c r="N794" s="76"/>
      <c r="O794" s="76"/>
      <c r="P794" s="76"/>
      <c r="Q794" s="76"/>
      <c r="R794" s="76"/>
      <c r="S794" s="76"/>
      <c r="T794" s="76"/>
      <c r="U794" s="76"/>
      <c r="V794" s="76"/>
      <c r="W794" s="76"/>
    </row>
    <row r="795" spans="1:23" ht="12.75">
      <c r="A795" s="76"/>
      <c r="B795" s="76"/>
      <c r="C795" s="76"/>
      <c r="D795" s="69"/>
      <c r="E795" s="76"/>
      <c r="F795" s="76"/>
      <c r="G795" s="76"/>
      <c r="H795" s="76"/>
      <c r="I795" s="76"/>
      <c r="J795" s="76"/>
      <c r="K795" s="76"/>
      <c r="L795" s="76"/>
      <c r="M795" s="69"/>
      <c r="N795" s="76"/>
      <c r="O795" s="76"/>
      <c r="P795" s="76"/>
      <c r="Q795" s="76"/>
      <c r="R795" s="76"/>
      <c r="S795" s="76"/>
      <c r="T795" s="76"/>
      <c r="U795" s="76"/>
      <c r="V795" s="76"/>
      <c r="W795" s="76"/>
    </row>
    <row r="796" spans="1:23" ht="12.75">
      <c r="A796" s="76"/>
      <c r="B796" s="76"/>
      <c r="C796" s="76"/>
      <c r="D796" s="69"/>
      <c r="E796" s="76"/>
      <c r="F796" s="76"/>
      <c r="G796" s="76"/>
      <c r="H796" s="76"/>
      <c r="I796" s="76"/>
      <c r="J796" s="76"/>
      <c r="K796" s="76"/>
      <c r="L796" s="76"/>
      <c r="M796" s="69"/>
      <c r="N796" s="76"/>
      <c r="O796" s="76"/>
      <c r="P796" s="76"/>
      <c r="Q796" s="76"/>
      <c r="R796" s="76"/>
      <c r="S796" s="76"/>
      <c r="T796" s="76"/>
      <c r="U796" s="76"/>
      <c r="V796" s="76"/>
      <c r="W796" s="76"/>
    </row>
    <row r="797" spans="1:23" ht="12.75">
      <c r="A797" s="76"/>
      <c r="B797" s="76"/>
      <c r="C797" s="76"/>
      <c r="D797" s="69"/>
      <c r="E797" s="76"/>
      <c r="F797" s="76"/>
      <c r="G797" s="76"/>
      <c r="H797" s="76"/>
      <c r="I797" s="76"/>
      <c r="J797" s="76"/>
      <c r="K797" s="76"/>
      <c r="L797" s="76"/>
      <c r="M797" s="69"/>
      <c r="N797" s="76"/>
      <c r="O797" s="76"/>
      <c r="P797" s="76"/>
      <c r="Q797" s="76"/>
      <c r="R797" s="76"/>
      <c r="S797" s="76"/>
      <c r="T797" s="76"/>
      <c r="U797" s="76"/>
      <c r="V797" s="76"/>
      <c r="W797" s="76"/>
    </row>
    <row r="798" spans="1:23" ht="12.75">
      <c r="A798" s="76"/>
      <c r="B798" s="76"/>
      <c r="C798" s="76"/>
      <c r="D798" s="69"/>
      <c r="E798" s="76"/>
      <c r="F798" s="76"/>
      <c r="G798" s="76"/>
      <c r="H798" s="76"/>
      <c r="I798" s="76"/>
      <c r="J798" s="76"/>
      <c r="K798" s="76"/>
      <c r="L798" s="76"/>
      <c r="M798" s="69"/>
      <c r="N798" s="76"/>
      <c r="O798" s="76"/>
      <c r="P798" s="76"/>
      <c r="Q798" s="76"/>
      <c r="R798" s="76"/>
      <c r="S798" s="76"/>
      <c r="T798" s="76"/>
      <c r="U798" s="76"/>
      <c r="V798" s="76"/>
      <c r="W798" s="76"/>
    </row>
    <row r="799" spans="1:23" ht="12.75">
      <c r="A799" s="76"/>
      <c r="B799" s="76"/>
      <c r="C799" s="76"/>
      <c r="D799" s="69"/>
      <c r="E799" s="76"/>
      <c r="F799" s="76"/>
      <c r="G799" s="76"/>
      <c r="H799" s="76"/>
      <c r="I799" s="76"/>
      <c r="J799" s="76"/>
      <c r="K799" s="76"/>
      <c r="L799" s="76"/>
      <c r="M799" s="69"/>
      <c r="N799" s="76"/>
      <c r="O799" s="76"/>
      <c r="P799" s="76"/>
      <c r="Q799" s="76"/>
      <c r="R799" s="76"/>
      <c r="S799" s="76"/>
      <c r="T799" s="76"/>
      <c r="U799" s="76"/>
      <c r="V799" s="76"/>
      <c r="W799" s="76"/>
    </row>
    <row r="800" spans="1:23" ht="12.75">
      <c r="A800" s="76"/>
      <c r="B800" s="76"/>
      <c r="C800" s="76"/>
      <c r="D800" s="69"/>
      <c r="E800" s="76"/>
      <c r="F800" s="76"/>
      <c r="G800" s="76"/>
      <c r="H800" s="76"/>
      <c r="I800" s="76"/>
      <c r="J800" s="76"/>
      <c r="K800" s="76"/>
      <c r="L800" s="76"/>
      <c r="M800" s="69"/>
      <c r="N800" s="76"/>
      <c r="O800" s="76"/>
      <c r="P800" s="76"/>
      <c r="Q800" s="76"/>
      <c r="R800" s="76"/>
      <c r="S800" s="76"/>
      <c r="T800" s="76"/>
      <c r="U800" s="76"/>
      <c r="V800" s="76"/>
      <c r="W800" s="76"/>
    </row>
    <row r="801" spans="1:23" ht="12.75">
      <c r="A801" s="76"/>
      <c r="B801" s="76"/>
      <c r="C801" s="76"/>
      <c r="D801" s="69"/>
      <c r="E801" s="76"/>
      <c r="F801" s="76"/>
      <c r="G801" s="76"/>
      <c r="H801" s="76"/>
      <c r="I801" s="76"/>
      <c r="J801" s="76"/>
      <c r="K801" s="76"/>
      <c r="L801" s="76"/>
      <c r="M801" s="69"/>
      <c r="N801" s="76"/>
      <c r="O801" s="76"/>
      <c r="P801" s="76"/>
      <c r="Q801" s="76"/>
      <c r="R801" s="76"/>
      <c r="S801" s="76"/>
      <c r="T801" s="76"/>
      <c r="U801" s="76"/>
      <c r="V801" s="76"/>
      <c r="W801" s="76"/>
    </row>
    <row r="802" spans="1:23" ht="12.75">
      <c r="A802" s="76"/>
      <c r="B802" s="76"/>
      <c r="C802" s="76"/>
      <c r="D802" s="69"/>
      <c r="E802" s="76"/>
      <c r="F802" s="76"/>
      <c r="G802" s="76"/>
      <c r="H802" s="76"/>
      <c r="I802" s="76"/>
      <c r="J802" s="76"/>
      <c r="K802" s="76"/>
      <c r="L802" s="76"/>
      <c r="M802" s="69"/>
      <c r="N802" s="76"/>
      <c r="O802" s="76"/>
      <c r="P802" s="76"/>
      <c r="Q802" s="76"/>
      <c r="R802" s="76"/>
      <c r="S802" s="76"/>
      <c r="T802" s="76"/>
      <c r="U802" s="76"/>
      <c r="V802" s="76"/>
      <c r="W802" s="76"/>
    </row>
    <row r="803" spans="1:23" ht="12.75">
      <c r="A803" s="76"/>
      <c r="B803" s="76"/>
      <c r="C803" s="76"/>
      <c r="D803" s="69"/>
      <c r="E803" s="76"/>
      <c r="F803" s="76"/>
      <c r="G803" s="76"/>
      <c r="H803" s="76"/>
      <c r="I803" s="76"/>
      <c r="J803" s="76"/>
      <c r="K803" s="76"/>
      <c r="L803" s="76"/>
      <c r="M803" s="69"/>
      <c r="N803" s="76"/>
      <c r="O803" s="76"/>
      <c r="P803" s="76"/>
      <c r="Q803" s="76"/>
      <c r="R803" s="76"/>
      <c r="S803" s="76"/>
      <c r="T803" s="76"/>
      <c r="U803" s="76"/>
      <c r="V803" s="76"/>
      <c r="W803" s="76"/>
    </row>
    <row r="804" spans="1:23" ht="12.75">
      <c r="A804" s="76"/>
      <c r="B804" s="76"/>
      <c r="C804" s="76"/>
      <c r="D804" s="69"/>
      <c r="E804" s="76"/>
      <c r="F804" s="76"/>
      <c r="G804" s="76"/>
      <c r="H804" s="76"/>
      <c r="I804" s="76"/>
      <c r="J804" s="76"/>
      <c r="K804" s="76"/>
      <c r="L804" s="76"/>
      <c r="M804" s="69"/>
      <c r="N804" s="76"/>
      <c r="O804" s="76"/>
      <c r="P804" s="76"/>
      <c r="Q804" s="76"/>
      <c r="R804" s="76"/>
      <c r="S804" s="76"/>
      <c r="T804" s="76"/>
      <c r="U804" s="76"/>
      <c r="V804" s="76"/>
      <c r="W804" s="76"/>
    </row>
    <row r="805" spans="1:23" ht="12.75">
      <c r="A805" s="76"/>
      <c r="B805" s="76"/>
      <c r="C805" s="76"/>
      <c r="D805" s="69"/>
      <c r="E805" s="76"/>
      <c r="F805" s="76"/>
      <c r="G805" s="76"/>
      <c r="H805" s="76"/>
      <c r="I805" s="76"/>
      <c r="J805" s="76"/>
      <c r="K805" s="76"/>
      <c r="L805" s="76"/>
      <c r="M805" s="69"/>
      <c r="N805" s="76"/>
      <c r="O805" s="76"/>
      <c r="P805" s="76"/>
      <c r="Q805" s="76"/>
      <c r="R805" s="76"/>
      <c r="S805" s="76"/>
      <c r="T805" s="76"/>
      <c r="U805" s="76"/>
      <c r="V805" s="76"/>
      <c r="W805" s="76"/>
    </row>
    <row r="806" spans="1:23" ht="12.75">
      <c r="A806" s="76"/>
      <c r="B806" s="76"/>
      <c r="C806" s="76"/>
      <c r="D806" s="69"/>
      <c r="E806" s="76"/>
      <c r="F806" s="76"/>
      <c r="G806" s="76"/>
      <c r="H806" s="76"/>
      <c r="I806" s="76"/>
      <c r="J806" s="76"/>
      <c r="K806" s="76"/>
      <c r="L806" s="76"/>
      <c r="M806" s="69"/>
      <c r="N806" s="76"/>
      <c r="O806" s="76"/>
      <c r="P806" s="76"/>
      <c r="Q806" s="76"/>
      <c r="R806" s="76"/>
      <c r="S806" s="76"/>
      <c r="T806" s="76"/>
      <c r="U806" s="76"/>
      <c r="V806" s="76"/>
      <c r="W806" s="76"/>
    </row>
    <row r="807" spans="1:23" ht="12.75">
      <c r="A807" s="76"/>
      <c r="B807" s="76"/>
      <c r="C807" s="76"/>
      <c r="D807" s="69"/>
      <c r="E807" s="76"/>
      <c r="F807" s="76"/>
      <c r="G807" s="76"/>
      <c r="H807" s="76"/>
      <c r="I807" s="76"/>
      <c r="J807" s="76"/>
      <c r="K807" s="76"/>
      <c r="L807" s="76"/>
      <c r="M807" s="69"/>
      <c r="N807" s="76"/>
      <c r="O807" s="76"/>
      <c r="P807" s="76"/>
      <c r="Q807" s="76"/>
      <c r="R807" s="76"/>
      <c r="S807" s="76"/>
      <c r="T807" s="76"/>
      <c r="U807" s="76"/>
      <c r="V807" s="76"/>
      <c r="W807" s="76"/>
    </row>
    <row r="808" spans="1:23" ht="12.75">
      <c r="A808" s="76"/>
      <c r="B808" s="76"/>
      <c r="C808" s="76"/>
      <c r="D808" s="69"/>
      <c r="E808" s="76"/>
      <c r="F808" s="76"/>
      <c r="G808" s="76"/>
      <c r="H808" s="76"/>
      <c r="I808" s="76"/>
      <c r="J808" s="76"/>
      <c r="K808" s="76"/>
      <c r="L808" s="76"/>
      <c r="M808" s="69"/>
      <c r="N808" s="76"/>
      <c r="O808" s="76"/>
      <c r="P808" s="76"/>
      <c r="Q808" s="76"/>
      <c r="R808" s="76"/>
      <c r="S808" s="76"/>
      <c r="T808" s="76"/>
      <c r="U808" s="76"/>
      <c r="V808" s="76"/>
      <c r="W808" s="76"/>
    </row>
    <row r="809" spans="1:23" ht="12.75">
      <c r="A809" s="76"/>
      <c r="B809" s="76"/>
      <c r="C809" s="76"/>
      <c r="D809" s="69"/>
      <c r="E809" s="76"/>
      <c r="F809" s="76"/>
      <c r="G809" s="76"/>
      <c r="H809" s="76"/>
      <c r="I809" s="76"/>
      <c r="J809" s="76"/>
      <c r="K809" s="76"/>
      <c r="L809" s="76"/>
      <c r="M809" s="69"/>
      <c r="N809" s="76"/>
      <c r="O809" s="76"/>
      <c r="P809" s="76"/>
      <c r="Q809" s="76"/>
      <c r="R809" s="76"/>
      <c r="S809" s="76"/>
      <c r="T809" s="76"/>
      <c r="U809" s="76"/>
      <c r="V809" s="76"/>
      <c r="W809" s="76"/>
    </row>
    <row r="810" spans="1:23" ht="12.75">
      <c r="A810" s="76"/>
      <c r="B810" s="76"/>
      <c r="C810" s="76"/>
      <c r="D810" s="69"/>
      <c r="E810" s="76"/>
      <c r="F810" s="76"/>
      <c r="G810" s="76"/>
      <c r="H810" s="76"/>
      <c r="I810" s="76"/>
      <c r="J810" s="76"/>
      <c r="K810" s="76"/>
      <c r="L810" s="76"/>
      <c r="M810" s="69"/>
      <c r="N810" s="76"/>
      <c r="O810" s="76"/>
      <c r="P810" s="76"/>
      <c r="Q810" s="76"/>
      <c r="R810" s="76"/>
      <c r="S810" s="76"/>
      <c r="T810" s="76"/>
      <c r="U810" s="76"/>
      <c r="V810" s="76"/>
      <c r="W810" s="76"/>
    </row>
    <row r="811" spans="1:23" ht="12.75">
      <c r="A811" s="76"/>
      <c r="B811" s="76"/>
      <c r="C811" s="76"/>
      <c r="D811" s="69"/>
      <c r="E811" s="76"/>
      <c r="F811" s="76"/>
      <c r="G811" s="76"/>
      <c r="H811" s="76"/>
      <c r="I811" s="76"/>
      <c r="J811" s="76"/>
      <c r="K811" s="76"/>
      <c r="L811" s="76"/>
      <c r="M811" s="69"/>
      <c r="N811" s="76"/>
      <c r="O811" s="76"/>
      <c r="P811" s="76"/>
      <c r="Q811" s="76"/>
      <c r="R811" s="76"/>
      <c r="S811" s="76"/>
      <c r="T811" s="76"/>
      <c r="U811" s="76"/>
      <c r="V811" s="76"/>
      <c r="W811" s="76"/>
    </row>
    <row r="812" spans="1:23" ht="12.75">
      <c r="A812" s="76"/>
      <c r="B812" s="76"/>
      <c r="C812" s="76"/>
      <c r="D812" s="69"/>
      <c r="E812" s="76"/>
      <c r="F812" s="76"/>
      <c r="G812" s="76"/>
      <c r="H812" s="76"/>
      <c r="I812" s="76"/>
      <c r="J812" s="76"/>
      <c r="K812" s="76"/>
      <c r="L812" s="76"/>
      <c r="M812" s="69"/>
      <c r="N812" s="76"/>
      <c r="O812" s="76"/>
      <c r="P812" s="76"/>
      <c r="Q812" s="76"/>
      <c r="R812" s="76"/>
      <c r="S812" s="76"/>
      <c r="T812" s="76"/>
      <c r="U812" s="76"/>
      <c r="V812" s="76"/>
      <c r="W812" s="76"/>
    </row>
    <row r="813" spans="1:23" ht="12.75">
      <c r="A813" s="76"/>
      <c r="B813" s="76"/>
      <c r="C813" s="76"/>
      <c r="D813" s="69"/>
      <c r="E813" s="76"/>
      <c r="F813" s="76"/>
      <c r="G813" s="76"/>
      <c r="H813" s="76"/>
      <c r="I813" s="76"/>
      <c r="J813" s="76"/>
      <c r="K813" s="76"/>
      <c r="L813" s="76"/>
      <c r="M813" s="69"/>
      <c r="N813" s="76"/>
      <c r="O813" s="76"/>
      <c r="P813" s="76"/>
      <c r="Q813" s="76"/>
      <c r="R813" s="76"/>
      <c r="S813" s="76"/>
      <c r="T813" s="76"/>
      <c r="U813" s="76"/>
      <c r="V813" s="76"/>
      <c r="W813" s="76"/>
    </row>
    <row r="814" spans="1:23" ht="12.75">
      <c r="A814" s="76"/>
      <c r="B814" s="76"/>
      <c r="C814" s="76"/>
      <c r="D814" s="69"/>
      <c r="E814" s="76"/>
      <c r="F814" s="76"/>
      <c r="G814" s="76"/>
      <c r="H814" s="76"/>
      <c r="I814" s="76"/>
      <c r="J814" s="76"/>
      <c r="K814" s="76"/>
      <c r="L814" s="76"/>
      <c r="M814" s="69"/>
      <c r="N814" s="76"/>
      <c r="O814" s="76"/>
      <c r="P814" s="76"/>
      <c r="Q814" s="76"/>
      <c r="R814" s="76"/>
      <c r="S814" s="76"/>
      <c r="T814" s="76"/>
      <c r="U814" s="76"/>
      <c r="V814" s="76"/>
      <c r="W814" s="76"/>
    </row>
    <row r="815" spans="1:23" ht="12.75">
      <c r="A815" s="76"/>
      <c r="B815" s="76"/>
      <c r="C815" s="76"/>
      <c r="D815" s="69"/>
      <c r="E815" s="76"/>
      <c r="F815" s="76"/>
      <c r="G815" s="76"/>
      <c r="H815" s="76"/>
      <c r="I815" s="76"/>
      <c r="J815" s="76"/>
      <c r="K815" s="76"/>
      <c r="L815" s="76"/>
      <c r="M815" s="69"/>
      <c r="N815" s="76"/>
      <c r="O815" s="76"/>
      <c r="P815" s="76"/>
      <c r="Q815" s="76"/>
      <c r="R815" s="76"/>
      <c r="S815" s="76"/>
      <c r="T815" s="76"/>
      <c r="U815" s="76"/>
      <c r="V815" s="76"/>
      <c r="W815" s="76"/>
    </row>
    <row r="816" spans="1:23" ht="12.75">
      <c r="A816" s="76"/>
      <c r="B816" s="76"/>
      <c r="C816" s="76"/>
      <c r="D816" s="69"/>
      <c r="E816" s="76"/>
      <c r="F816" s="76"/>
      <c r="G816" s="76"/>
      <c r="H816" s="76"/>
      <c r="I816" s="76"/>
      <c r="J816" s="76"/>
      <c r="K816" s="76"/>
      <c r="L816" s="76"/>
      <c r="M816" s="69"/>
      <c r="N816" s="76"/>
      <c r="O816" s="76"/>
      <c r="P816" s="76"/>
      <c r="Q816" s="76"/>
      <c r="R816" s="76"/>
      <c r="S816" s="76"/>
      <c r="T816" s="76"/>
      <c r="U816" s="76"/>
      <c r="V816" s="76"/>
      <c r="W816" s="76"/>
    </row>
    <row r="817" spans="1:23" ht="12.75">
      <c r="A817" s="76"/>
      <c r="B817" s="76"/>
      <c r="C817" s="76"/>
      <c r="D817" s="69"/>
      <c r="E817" s="76"/>
      <c r="F817" s="76"/>
      <c r="G817" s="76"/>
      <c r="H817" s="76"/>
      <c r="I817" s="76"/>
      <c r="J817" s="76"/>
      <c r="K817" s="76"/>
      <c r="L817" s="76"/>
      <c r="M817" s="69"/>
      <c r="N817" s="76"/>
      <c r="O817" s="76"/>
      <c r="P817" s="76"/>
      <c r="Q817" s="76"/>
      <c r="R817" s="76"/>
      <c r="S817" s="76"/>
      <c r="T817" s="76"/>
      <c r="U817" s="76"/>
      <c r="V817" s="76"/>
      <c r="W817" s="76"/>
    </row>
    <row r="818" spans="1:23" ht="12.75">
      <c r="A818" s="76"/>
      <c r="B818" s="76"/>
      <c r="C818" s="76"/>
      <c r="D818" s="69"/>
      <c r="E818" s="76"/>
      <c r="F818" s="76"/>
      <c r="G818" s="76"/>
      <c r="H818" s="76"/>
      <c r="I818" s="76"/>
      <c r="J818" s="76"/>
      <c r="K818" s="76"/>
      <c r="L818" s="76"/>
      <c r="M818" s="69"/>
      <c r="N818" s="76"/>
      <c r="O818" s="76"/>
      <c r="P818" s="76"/>
      <c r="Q818" s="76"/>
      <c r="R818" s="76"/>
      <c r="S818" s="76"/>
      <c r="T818" s="76"/>
      <c r="U818" s="76"/>
      <c r="V818" s="76"/>
      <c r="W818" s="76"/>
    </row>
    <row r="819" spans="1:23" ht="12.75">
      <c r="A819" s="76"/>
      <c r="B819" s="76"/>
      <c r="C819" s="76"/>
      <c r="D819" s="69"/>
      <c r="E819" s="76"/>
      <c r="F819" s="76"/>
      <c r="G819" s="76"/>
      <c r="H819" s="76"/>
      <c r="I819" s="76"/>
      <c r="J819" s="76"/>
      <c r="K819" s="76"/>
      <c r="L819" s="76"/>
      <c r="M819" s="69"/>
      <c r="N819" s="76"/>
      <c r="O819" s="76"/>
      <c r="P819" s="76"/>
      <c r="Q819" s="76"/>
      <c r="R819" s="76"/>
      <c r="S819" s="76"/>
      <c r="T819" s="76"/>
      <c r="U819" s="76"/>
      <c r="V819" s="76"/>
      <c r="W819" s="76"/>
    </row>
    <row r="820" spans="1:23" ht="12.75">
      <c r="A820" s="76"/>
      <c r="B820" s="76"/>
      <c r="C820" s="76"/>
      <c r="D820" s="69"/>
      <c r="E820" s="76"/>
      <c r="F820" s="76"/>
      <c r="G820" s="76"/>
      <c r="H820" s="76"/>
      <c r="I820" s="76"/>
      <c r="J820" s="76"/>
      <c r="K820" s="76"/>
      <c r="L820" s="76"/>
      <c r="M820" s="69"/>
      <c r="N820" s="76"/>
      <c r="O820" s="76"/>
      <c r="P820" s="76"/>
      <c r="Q820" s="76"/>
      <c r="R820" s="76"/>
      <c r="S820" s="76"/>
      <c r="T820" s="76"/>
      <c r="U820" s="76"/>
      <c r="V820" s="76"/>
      <c r="W820" s="76"/>
    </row>
    <row r="821" spans="1:23" ht="12.75">
      <c r="A821" s="76"/>
      <c r="B821" s="76"/>
      <c r="C821" s="76"/>
      <c r="D821" s="69"/>
      <c r="E821" s="76"/>
      <c r="F821" s="76"/>
      <c r="G821" s="76"/>
      <c r="H821" s="76"/>
      <c r="I821" s="76"/>
      <c r="J821" s="76"/>
      <c r="K821" s="76"/>
      <c r="L821" s="76"/>
      <c r="M821" s="69"/>
      <c r="N821" s="76"/>
      <c r="O821" s="76"/>
      <c r="P821" s="76"/>
      <c r="Q821" s="76"/>
      <c r="R821" s="76"/>
      <c r="S821" s="76"/>
      <c r="T821" s="76"/>
      <c r="U821" s="76"/>
      <c r="V821" s="76"/>
      <c r="W821" s="76"/>
    </row>
    <row r="822" spans="1:23" ht="12.75">
      <c r="A822" s="76"/>
      <c r="B822" s="76"/>
      <c r="C822" s="76"/>
      <c r="D822" s="69"/>
      <c r="E822" s="76"/>
      <c r="F822" s="76"/>
      <c r="G822" s="76"/>
      <c r="H822" s="76"/>
      <c r="I822" s="76"/>
      <c r="J822" s="76"/>
      <c r="K822" s="76"/>
      <c r="L822" s="76"/>
      <c r="M822" s="69"/>
      <c r="N822" s="76"/>
      <c r="O822" s="76"/>
      <c r="P822" s="76"/>
      <c r="Q822" s="76"/>
      <c r="R822" s="76"/>
      <c r="S822" s="76"/>
      <c r="T822" s="76"/>
      <c r="U822" s="76"/>
      <c r="V822" s="76"/>
      <c r="W822" s="76"/>
    </row>
    <row r="823" spans="1:23" ht="12.75">
      <c r="A823" s="76"/>
      <c r="B823" s="76"/>
      <c r="C823" s="76"/>
      <c r="D823" s="69"/>
      <c r="E823" s="76"/>
      <c r="F823" s="76"/>
      <c r="G823" s="76"/>
      <c r="H823" s="76"/>
      <c r="I823" s="76"/>
      <c r="J823" s="76"/>
      <c r="K823" s="76"/>
      <c r="L823" s="76"/>
      <c r="M823" s="69"/>
      <c r="N823" s="76"/>
      <c r="O823" s="76"/>
      <c r="P823" s="76"/>
      <c r="Q823" s="76"/>
      <c r="R823" s="76"/>
      <c r="S823" s="76"/>
      <c r="T823" s="76"/>
      <c r="U823" s="76"/>
      <c r="V823" s="76"/>
      <c r="W823" s="76"/>
    </row>
    <row r="824" spans="1:23" ht="12.75">
      <c r="A824" s="76"/>
      <c r="B824" s="76"/>
      <c r="C824" s="76"/>
      <c r="D824" s="69"/>
      <c r="E824" s="76"/>
      <c r="F824" s="76"/>
      <c r="G824" s="76"/>
      <c r="H824" s="76"/>
      <c r="I824" s="76"/>
      <c r="J824" s="76"/>
      <c r="K824" s="76"/>
      <c r="L824" s="76"/>
      <c r="M824" s="69"/>
      <c r="N824" s="76"/>
      <c r="O824" s="76"/>
      <c r="P824" s="76"/>
      <c r="Q824" s="76"/>
      <c r="R824" s="76"/>
      <c r="S824" s="76"/>
      <c r="T824" s="76"/>
      <c r="U824" s="76"/>
      <c r="V824" s="76"/>
      <c r="W824" s="76"/>
    </row>
    <row r="825" spans="1:23" ht="12.75">
      <c r="A825" s="76"/>
      <c r="B825" s="76"/>
      <c r="C825" s="76"/>
      <c r="D825" s="69"/>
      <c r="E825" s="76"/>
      <c r="F825" s="76"/>
      <c r="G825" s="76"/>
      <c r="H825" s="76"/>
      <c r="I825" s="76"/>
      <c r="J825" s="76"/>
      <c r="K825" s="76"/>
      <c r="L825" s="76"/>
      <c r="M825" s="69"/>
      <c r="N825" s="76"/>
      <c r="O825" s="76"/>
      <c r="P825" s="76"/>
      <c r="Q825" s="76"/>
      <c r="R825" s="76"/>
      <c r="S825" s="76"/>
      <c r="T825" s="76"/>
      <c r="U825" s="76"/>
      <c r="V825" s="76"/>
      <c r="W825" s="76"/>
    </row>
    <row r="826" spans="1:23" ht="12.75">
      <c r="A826" s="76"/>
      <c r="B826" s="76"/>
      <c r="C826" s="76"/>
      <c r="D826" s="69"/>
      <c r="E826" s="76"/>
      <c r="F826" s="76"/>
      <c r="G826" s="76"/>
      <c r="H826" s="76"/>
      <c r="I826" s="76"/>
      <c r="J826" s="76"/>
      <c r="K826" s="76"/>
      <c r="L826" s="76"/>
      <c r="M826" s="69"/>
      <c r="N826" s="76"/>
      <c r="O826" s="76"/>
      <c r="P826" s="76"/>
      <c r="Q826" s="76"/>
      <c r="R826" s="76"/>
      <c r="S826" s="76"/>
      <c r="T826" s="76"/>
      <c r="U826" s="76"/>
      <c r="V826" s="76"/>
      <c r="W826" s="76"/>
    </row>
    <row r="827" spans="1:23" ht="12.75">
      <c r="A827" s="76"/>
      <c r="B827" s="76"/>
      <c r="C827" s="76"/>
      <c r="D827" s="69"/>
      <c r="E827" s="76"/>
      <c r="F827" s="76"/>
      <c r="G827" s="76"/>
      <c r="H827" s="76"/>
      <c r="I827" s="76"/>
      <c r="J827" s="76"/>
      <c r="K827" s="76"/>
      <c r="L827" s="76"/>
      <c r="M827" s="69"/>
      <c r="N827" s="76"/>
      <c r="O827" s="76"/>
      <c r="P827" s="76"/>
      <c r="Q827" s="76"/>
      <c r="R827" s="76"/>
      <c r="S827" s="76"/>
      <c r="T827" s="76"/>
      <c r="U827" s="76"/>
      <c r="V827" s="76"/>
      <c r="W827" s="76"/>
    </row>
    <row r="828" spans="1:23" ht="12.75">
      <c r="A828" s="76"/>
      <c r="B828" s="76"/>
      <c r="C828" s="76"/>
      <c r="D828" s="69"/>
      <c r="E828" s="76"/>
      <c r="F828" s="76"/>
      <c r="G828" s="76"/>
      <c r="H828" s="76"/>
      <c r="I828" s="76"/>
      <c r="J828" s="76"/>
      <c r="K828" s="76"/>
      <c r="L828" s="76"/>
      <c r="M828" s="69"/>
      <c r="N828" s="76"/>
      <c r="O828" s="76"/>
      <c r="P828" s="76"/>
      <c r="Q828" s="76"/>
      <c r="R828" s="76"/>
      <c r="S828" s="76"/>
      <c r="T828" s="76"/>
      <c r="U828" s="76"/>
      <c r="V828" s="76"/>
      <c r="W828" s="76"/>
    </row>
    <row r="829" spans="1:23" ht="12.75">
      <c r="A829" s="76"/>
      <c r="B829" s="76"/>
      <c r="C829" s="76"/>
      <c r="D829" s="69"/>
      <c r="E829" s="76"/>
      <c r="F829" s="76"/>
      <c r="G829" s="76"/>
      <c r="H829" s="76"/>
      <c r="I829" s="76"/>
      <c r="J829" s="76"/>
      <c r="K829" s="76"/>
      <c r="L829" s="76"/>
      <c r="M829" s="69"/>
      <c r="N829" s="76"/>
      <c r="O829" s="76"/>
      <c r="P829" s="76"/>
      <c r="Q829" s="76"/>
      <c r="R829" s="76"/>
      <c r="S829" s="76"/>
      <c r="T829" s="76"/>
      <c r="U829" s="76"/>
      <c r="V829" s="76"/>
      <c r="W829" s="76"/>
    </row>
    <row r="830" spans="1:23" ht="12.75">
      <c r="A830" s="76"/>
      <c r="B830" s="76"/>
      <c r="C830" s="76"/>
      <c r="D830" s="69"/>
      <c r="E830" s="76"/>
      <c r="F830" s="76"/>
      <c r="G830" s="76"/>
      <c r="H830" s="76"/>
      <c r="I830" s="76"/>
      <c r="J830" s="76"/>
      <c r="K830" s="76"/>
      <c r="L830" s="76"/>
      <c r="M830" s="69"/>
      <c r="N830" s="76"/>
      <c r="O830" s="76"/>
      <c r="P830" s="76"/>
      <c r="Q830" s="76"/>
      <c r="R830" s="76"/>
      <c r="S830" s="76"/>
      <c r="T830" s="76"/>
      <c r="U830" s="76"/>
      <c r="V830" s="76"/>
      <c r="W830" s="76"/>
    </row>
    <row r="831" spans="1:23" ht="12.75">
      <c r="A831" s="76"/>
      <c r="B831" s="76"/>
      <c r="C831" s="76"/>
      <c r="D831" s="69"/>
      <c r="E831" s="76"/>
      <c r="F831" s="76"/>
      <c r="G831" s="76"/>
      <c r="H831" s="76"/>
      <c r="I831" s="76"/>
      <c r="J831" s="76"/>
      <c r="K831" s="76"/>
      <c r="L831" s="76"/>
      <c r="M831" s="69"/>
      <c r="N831" s="76"/>
      <c r="O831" s="76"/>
      <c r="P831" s="76"/>
      <c r="Q831" s="76"/>
      <c r="R831" s="76"/>
      <c r="S831" s="76"/>
      <c r="T831" s="76"/>
      <c r="U831" s="76"/>
      <c r="V831" s="76"/>
      <c r="W831" s="76"/>
    </row>
    <row r="832" spans="1:23" ht="12.75">
      <c r="A832" s="76"/>
      <c r="B832" s="76"/>
      <c r="C832" s="76"/>
      <c r="D832" s="69"/>
      <c r="E832" s="76"/>
      <c r="F832" s="76"/>
      <c r="G832" s="76"/>
      <c r="H832" s="76"/>
      <c r="I832" s="76"/>
      <c r="J832" s="76"/>
      <c r="K832" s="76"/>
      <c r="L832" s="76"/>
      <c r="M832" s="69"/>
      <c r="N832" s="76"/>
      <c r="O832" s="76"/>
      <c r="P832" s="76"/>
      <c r="Q832" s="76"/>
      <c r="R832" s="76"/>
      <c r="S832" s="76"/>
      <c r="T832" s="76"/>
      <c r="U832" s="76"/>
      <c r="V832" s="76"/>
      <c r="W832" s="76"/>
    </row>
    <row r="833" spans="1:23" ht="12.75">
      <c r="A833" s="76"/>
      <c r="B833" s="76"/>
      <c r="C833" s="76"/>
      <c r="D833" s="69"/>
      <c r="E833" s="76"/>
      <c r="F833" s="76"/>
      <c r="G833" s="76"/>
      <c r="H833" s="76"/>
      <c r="I833" s="76"/>
      <c r="J833" s="76"/>
      <c r="K833" s="76"/>
      <c r="L833" s="76"/>
      <c r="M833" s="69"/>
      <c r="N833" s="76"/>
      <c r="O833" s="76"/>
      <c r="P833" s="76"/>
      <c r="Q833" s="76"/>
      <c r="R833" s="76"/>
      <c r="S833" s="76"/>
      <c r="T833" s="76"/>
      <c r="U833" s="76"/>
      <c r="V833" s="76"/>
      <c r="W833" s="76"/>
    </row>
    <row r="834" spans="1:23" ht="12.75">
      <c r="A834" s="76"/>
      <c r="B834" s="76"/>
      <c r="C834" s="76"/>
      <c r="D834" s="69"/>
      <c r="E834" s="76"/>
      <c r="F834" s="76"/>
      <c r="G834" s="76"/>
      <c r="H834" s="76"/>
      <c r="I834" s="76"/>
      <c r="J834" s="76"/>
      <c r="K834" s="76"/>
      <c r="L834" s="76"/>
      <c r="M834" s="69"/>
      <c r="N834" s="76"/>
      <c r="O834" s="76"/>
      <c r="P834" s="76"/>
      <c r="Q834" s="76"/>
      <c r="R834" s="76"/>
      <c r="S834" s="76"/>
      <c r="T834" s="76"/>
      <c r="U834" s="76"/>
      <c r="V834" s="76"/>
      <c r="W834" s="76"/>
    </row>
    <row r="835" spans="1:23" ht="12.75">
      <c r="A835" s="76"/>
      <c r="B835" s="76"/>
      <c r="C835" s="76"/>
      <c r="D835" s="69"/>
      <c r="E835" s="76"/>
      <c r="F835" s="76"/>
      <c r="G835" s="76"/>
      <c r="H835" s="76"/>
      <c r="I835" s="76"/>
      <c r="J835" s="76"/>
      <c r="K835" s="76"/>
      <c r="L835" s="76"/>
      <c r="M835" s="69"/>
      <c r="N835" s="76"/>
      <c r="O835" s="76"/>
      <c r="P835" s="76"/>
      <c r="Q835" s="76"/>
      <c r="R835" s="76"/>
      <c r="S835" s="76"/>
      <c r="T835" s="76"/>
      <c r="U835" s="76"/>
      <c r="V835" s="76"/>
      <c r="W835" s="76"/>
    </row>
    <row r="836" spans="1:23" ht="12.75">
      <c r="A836" s="76"/>
      <c r="B836" s="76"/>
      <c r="C836" s="76"/>
      <c r="D836" s="69"/>
      <c r="E836" s="76"/>
      <c r="F836" s="76"/>
      <c r="G836" s="76"/>
      <c r="H836" s="76"/>
      <c r="I836" s="76"/>
      <c r="J836" s="76"/>
      <c r="K836" s="76"/>
      <c r="L836" s="76"/>
      <c r="M836" s="69"/>
      <c r="N836" s="76"/>
      <c r="O836" s="76"/>
      <c r="P836" s="76"/>
      <c r="Q836" s="76"/>
      <c r="R836" s="76"/>
      <c r="S836" s="76"/>
      <c r="T836" s="76"/>
      <c r="U836" s="76"/>
      <c r="V836" s="76"/>
      <c r="W836" s="76"/>
    </row>
    <row r="837" spans="1:23" ht="12.75">
      <c r="A837" s="76"/>
      <c r="B837" s="76"/>
      <c r="C837" s="76"/>
      <c r="D837" s="69"/>
      <c r="E837" s="76"/>
      <c r="F837" s="76"/>
      <c r="G837" s="76"/>
      <c r="H837" s="76"/>
      <c r="I837" s="76"/>
      <c r="J837" s="76"/>
      <c r="K837" s="76"/>
      <c r="L837" s="76"/>
      <c r="M837" s="69"/>
      <c r="N837" s="76"/>
      <c r="O837" s="76"/>
      <c r="P837" s="76"/>
      <c r="Q837" s="76"/>
      <c r="R837" s="76"/>
      <c r="S837" s="76"/>
      <c r="T837" s="76"/>
      <c r="U837" s="76"/>
      <c r="V837" s="76"/>
      <c r="W837" s="76"/>
    </row>
    <row r="838" spans="1:23" ht="12.75">
      <c r="A838" s="76"/>
      <c r="B838" s="76"/>
      <c r="C838" s="76"/>
      <c r="D838" s="69"/>
      <c r="E838" s="76"/>
      <c r="F838" s="76"/>
      <c r="G838" s="76"/>
      <c r="H838" s="76"/>
      <c r="I838" s="76"/>
      <c r="J838" s="76"/>
      <c r="K838" s="76"/>
      <c r="L838" s="76"/>
      <c r="M838" s="69"/>
      <c r="N838" s="76"/>
      <c r="O838" s="76"/>
      <c r="P838" s="76"/>
      <c r="Q838" s="76"/>
      <c r="R838" s="76"/>
      <c r="S838" s="76"/>
      <c r="T838" s="76"/>
      <c r="U838" s="76"/>
      <c r="V838" s="76"/>
      <c r="W838" s="76"/>
    </row>
    <row r="839" spans="1:23" ht="12.75">
      <c r="A839" s="76"/>
      <c r="B839" s="76"/>
      <c r="C839" s="76"/>
      <c r="D839" s="69"/>
      <c r="E839" s="76"/>
      <c r="F839" s="76"/>
      <c r="G839" s="76"/>
      <c r="H839" s="76"/>
      <c r="I839" s="76"/>
      <c r="J839" s="76"/>
      <c r="K839" s="76"/>
      <c r="L839" s="76"/>
      <c r="M839" s="69"/>
      <c r="N839" s="76"/>
      <c r="O839" s="76"/>
      <c r="P839" s="76"/>
      <c r="Q839" s="76"/>
      <c r="R839" s="76"/>
      <c r="S839" s="76"/>
      <c r="T839" s="76"/>
      <c r="U839" s="76"/>
      <c r="V839" s="76"/>
      <c r="W839" s="76"/>
    </row>
    <row r="840" spans="1:23" ht="12.75">
      <c r="A840" s="76"/>
      <c r="B840" s="76"/>
      <c r="C840" s="76"/>
      <c r="D840" s="69"/>
      <c r="E840" s="76"/>
      <c r="F840" s="76"/>
      <c r="G840" s="76"/>
      <c r="H840" s="76"/>
      <c r="I840" s="76"/>
      <c r="J840" s="76"/>
      <c r="K840" s="76"/>
      <c r="L840" s="76"/>
      <c r="M840" s="69"/>
      <c r="N840" s="76"/>
      <c r="O840" s="76"/>
      <c r="P840" s="76"/>
      <c r="Q840" s="76"/>
      <c r="R840" s="76"/>
      <c r="S840" s="76"/>
      <c r="T840" s="76"/>
      <c r="U840" s="76"/>
      <c r="V840" s="76"/>
      <c r="W840" s="76"/>
    </row>
    <row r="841" spans="1:23" ht="12.75">
      <c r="A841" s="76"/>
      <c r="B841" s="76"/>
      <c r="C841" s="76"/>
      <c r="D841" s="69"/>
      <c r="E841" s="76"/>
      <c r="F841" s="76"/>
      <c r="G841" s="76"/>
      <c r="H841" s="76"/>
      <c r="I841" s="76"/>
      <c r="J841" s="76"/>
      <c r="K841" s="76"/>
      <c r="L841" s="76"/>
      <c r="M841" s="69"/>
      <c r="N841" s="76"/>
      <c r="O841" s="76"/>
      <c r="P841" s="76"/>
      <c r="Q841" s="76"/>
      <c r="R841" s="76"/>
      <c r="S841" s="76"/>
      <c r="T841" s="76"/>
      <c r="U841" s="76"/>
      <c r="V841" s="76"/>
      <c r="W841" s="76"/>
    </row>
    <row r="842" spans="1:23" ht="12.75">
      <c r="A842" s="76"/>
      <c r="B842" s="76"/>
      <c r="C842" s="76"/>
      <c r="D842" s="69"/>
      <c r="E842" s="76"/>
      <c r="F842" s="76"/>
      <c r="G842" s="76"/>
      <c r="H842" s="76"/>
      <c r="I842" s="76"/>
      <c r="J842" s="76"/>
      <c r="K842" s="76"/>
      <c r="L842" s="76"/>
      <c r="M842" s="69"/>
      <c r="N842" s="76"/>
      <c r="O842" s="76"/>
      <c r="P842" s="76"/>
      <c r="Q842" s="76"/>
      <c r="R842" s="76"/>
      <c r="S842" s="76"/>
      <c r="T842" s="76"/>
      <c r="U842" s="76"/>
      <c r="V842" s="76"/>
      <c r="W842" s="76"/>
    </row>
    <row r="843" spans="1:23" ht="12.75">
      <c r="A843" s="76"/>
      <c r="B843" s="76"/>
      <c r="C843" s="76"/>
      <c r="D843" s="69"/>
      <c r="E843" s="76"/>
      <c r="F843" s="76"/>
      <c r="G843" s="76"/>
      <c r="H843" s="76"/>
      <c r="I843" s="76"/>
      <c r="J843" s="76"/>
      <c r="K843" s="76"/>
      <c r="L843" s="76"/>
      <c r="M843" s="69"/>
      <c r="N843" s="76"/>
      <c r="O843" s="76"/>
      <c r="P843" s="76"/>
      <c r="Q843" s="76"/>
      <c r="R843" s="76"/>
      <c r="S843" s="76"/>
      <c r="T843" s="76"/>
      <c r="U843" s="76"/>
      <c r="V843" s="76"/>
      <c r="W843" s="76"/>
    </row>
    <row r="844" spans="1:23" ht="12.75">
      <c r="A844" s="76"/>
      <c r="B844" s="76"/>
      <c r="C844" s="76"/>
      <c r="D844" s="69"/>
      <c r="E844" s="76"/>
      <c r="F844" s="76"/>
      <c r="G844" s="76"/>
      <c r="H844" s="76"/>
      <c r="I844" s="76"/>
      <c r="J844" s="76"/>
      <c r="K844" s="76"/>
      <c r="L844" s="76"/>
      <c r="M844" s="69"/>
      <c r="N844" s="76"/>
      <c r="O844" s="76"/>
      <c r="P844" s="76"/>
      <c r="Q844" s="76"/>
      <c r="R844" s="76"/>
      <c r="S844" s="76"/>
      <c r="T844" s="76"/>
      <c r="U844" s="76"/>
      <c r="V844" s="76"/>
      <c r="W844" s="76"/>
    </row>
    <row r="845" spans="1:23" ht="12.75">
      <c r="A845" s="76"/>
      <c r="B845" s="76"/>
      <c r="C845" s="76"/>
      <c r="D845" s="69"/>
      <c r="E845" s="76"/>
      <c r="F845" s="76"/>
      <c r="G845" s="76"/>
      <c r="H845" s="76"/>
      <c r="I845" s="76"/>
      <c r="J845" s="76"/>
      <c r="K845" s="76"/>
      <c r="L845" s="76"/>
      <c r="M845" s="69"/>
      <c r="N845" s="76"/>
      <c r="O845" s="76"/>
      <c r="P845" s="76"/>
      <c r="Q845" s="76"/>
      <c r="R845" s="76"/>
      <c r="S845" s="76"/>
      <c r="T845" s="76"/>
      <c r="U845" s="76"/>
      <c r="V845" s="76"/>
      <c r="W845" s="76"/>
    </row>
    <row r="846" spans="1:23" ht="12.75">
      <c r="A846" s="76"/>
      <c r="B846" s="76"/>
      <c r="C846" s="76"/>
      <c r="D846" s="69"/>
      <c r="E846" s="76"/>
      <c r="F846" s="76"/>
      <c r="G846" s="76"/>
      <c r="H846" s="76"/>
      <c r="I846" s="76"/>
      <c r="J846" s="76"/>
      <c r="K846" s="76"/>
      <c r="L846" s="76"/>
      <c r="M846" s="69"/>
      <c r="N846" s="76"/>
      <c r="O846" s="76"/>
      <c r="P846" s="76"/>
      <c r="Q846" s="76"/>
      <c r="R846" s="76"/>
      <c r="S846" s="76"/>
      <c r="T846" s="76"/>
      <c r="U846" s="76"/>
      <c r="V846" s="76"/>
      <c r="W846" s="76"/>
    </row>
    <row r="847" spans="1:23" ht="12.75">
      <c r="A847" s="76"/>
      <c r="B847" s="76"/>
      <c r="C847" s="76"/>
      <c r="D847" s="69"/>
      <c r="E847" s="76"/>
      <c r="F847" s="76"/>
      <c r="G847" s="76"/>
      <c r="H847" s="76"/>
      <c r="I847" s="76"/>
      <c r="J847" s="76"/>
      <c r="K847" s="76"/>
      <c r="L847" s="76"/>
      <c r="M847" s="69"/>
      <c r="N847" s="76"/>
      <c r="O847" s="76"/>
      <c r="P847" s="76"/>
      <c r="Q847" s="76"/>
      <c r="R847" s="76"/>
      <c r="S847" s="76"/>
      <c r="T847" s="76"/>
      <c r="U847" s="76"/>
      <c r="V847" s="76"/>
      <c r="W847" s="76"/>
    </row>
    <row r="848" spans="1:23" ht="12.75">
      <c r="A848" s="76"/>
      <c r="B848" s="76"/>
      <c r="C848" s="76"/>
      <c r="D848" s="69"/>
      <c r="E848" s="76"/>
      <c r="F848" s="76"/>
      <c r="G848" s="76"/>
      <c r="H848" s="76"/>
      <c r="I848" s="76"/>
      <c r="J848" s="76"/>
      <c r="K848" s="76"/>
      <c r="L848" s="76"/>
      <c r="M848" s="69"/>
      <c r="N848" s="76"/>
      <c r="O848" s="76"/>
      <c r="P848" s="76"/>
      <c r="Q848" s="76"/>
      <c r="R848" s="76"/>
      <c r="S848" s="76"/>
      <c r="T848" s="76"/>
      <c r="U848" s="76"/>
      <c r="V848" s="76"/>
      <c r="W848" s="76"/>
    </row>
    <row r="849" spans="1:23" ht="12.75">
      <c r="A849" s="76"/>
      <c r="B849" s="76"/>
      <c r="C849" s="76"/>
      <c r="D849" s="69"/>
      <c r="E849" s="76"/>
      <c r="F849" s="76"/>
      <c r="G849" s="76"/>
      <c r="H849" s="76"/>
      <c r="I849" s="76"/>
      <c r="J849" s="76"/>
      <c r="K849" s="76"/>
      <c r="L849" s="76"/>
      <c r="M849" s="69"/>
      <c r="N849" s="76"/>
      <c r="O849" s="76"/>
      <c r="P849" s="76"/>
      <c r="Q849" s="76"/>
      <c r="R849" s="76"/>
      <c r="S849" s="76"/>
      <c r="T849" s="76"/>
      <c r="U849" s="76"/>
      <c r="V849" s="76"/>
      <c r="W849" s="76"/>
    </row>
    <row r="850" spans="1:23" ht="12.75">
      <c r="A850" s="76"/>
      <c r="B850" s="76"/>
      <c r="C850" s="76"/>
      <c r="D850" s="69"/>
      <c r="E850" s="76"/>
      <c r="F850" s="76"/>
      <c r="G850" s="76"/>
      <c r="H850" s="76"/>
      <c r="I850" s="76"/>
      <c r="J850" s="76"/>
      <c r="K850" s="76"/>
      <c r="L850" s="76"/>
      <c r="M850" s="69"/>
      <c r="N850" s="76"/>
      <c r="O850" s="76"/>
      <c r="P850" s="76"/>
      <c r="Q850" s="76"/>
      <c r="R850" s="76"/>
      <c r="S850" s="76"/>
      <c r="T850" s="76"/>
      <c r="U850" s="76"/>
      <c r="V850" s="76"/>
      <c r="W850" s="76"/>
    </row>
    <row r="851" spans="1:23" ht="12.75">
      <c r="A851" s="76"/>
      <c r="B851" s="76"/>
      <c r="C851" s="76"/>
      <c r="D851" s="69"/>
      <c r="E851" s="76"/>
      <c r="F851" s="76"/>
      <c r="G851" s="76"/>
      <c r="H851" s="76"/>
      <c r="I851" s="76"/>
      <c r="J851" s="76"/>
      <c r="K851" s="76"/>
      <c r="L851" s="76"/>
      <c r="M851" s="69"/>
      <c r="N851" s="76"/>
      <c r="O851" s="76"/>
      <c r="P851" s="76"/>
      <c r="Q851" s="76"/>
      <c r="R851" s="76"/>
      <c r="S851" s="76"/>
      <c r="T851" s="76"/>
      <c r="U851" s="76"/>
      <c r="V851" s="76"/>
      <c r="W851" s="76"/>
    </row>
    <row r="852" spans="1:23" ht="12.75">
      <c r="A852" s="76"/>
      <c r="B852" s="76"/>
      <c r="C852" s="76"/>
      <c r="D852" s="69"/>
      <c r="E852" s="76"/>
      <c r="F852" s="76"/>
      <c r="G852" s="76"/>
      <c r="H852" s="76"/>
      <c r="I852" s="76"/>
      <c r="J852" s="76"/>
      <c r="K852" s="76"/>
      <c r="L852" s="76"/>
      <c r="M852" s="69"/>
      <c r="N852" s="76"/>
      <c r="O852" s="76"/>
      <c r="P852" s="76"/>
      <c r="Q852" s="76"/>
      <c r="R852" s="76"/>
      <c r="S852" s="76"/>
      <c r="T852" s="76"/>
      <c r="U852" s="76"/>
      <c r="V852" s="76"/>
      <c r="W852" s="76"/>
    </row>
    <row r="853" spans="1:23" ht="12.75">
      <c r="A853" s="76"/>
      <c r="B853" s="76"/>
      <c r="C853" s="76"/>
      <c r="D853" s="69"/>
      <c r="E853" s="76"/>
      <c r="F853" s="76"/>
      <c r="G853" s="76"/>
      <c r="H853" s="76"/>
      <c r="I853" s="76"/>
      <c r="J853" s="76"/>
      <c r="K853" s="76"/>
      <c r="L853" s="76"/>
      <c r="M853" s="69"/>
      <c r="N853" s="76"/>
      <c r="O853" s="76"/>
      <c r="P853" s="76"/>
      <c r="Q853" s="76"/>
      <c r="R853" s="76"/>
      <c r="S853" s="76"/>
      <c r="T853" s="76"/>
      <c r="U853" s="76"/>
      <c r="V853" s="76"/>
      <c r="W853" s="76"/>
    </row>
    <row r="854" spans="1:23" ht="12.75">
      <c r="A854" s="76"/>
      <c r="B854" s="76"/>
      <c r="C854" s="76"/>
      <c r="D854" s="69"/>
      <c r="E854" s="76"/>
      <c r="F854" s="76"/>
      <c r="G854" s="76"/>
      <c r="H854" s="76"/>
      <c r="I854" s="76"/>
      <c r="J854" s="76"/>
      <c r="K854" s="76"/>
      <c r="L854" s="76"/>
      <c r="M854" s="69"/>
      <c r="N854" s="76"/>
      <c r="O854" s="76"/>
      <c r="P854" s="76"/>
      <c r="Q854" s="76"/>
      <c r="R854" s="76"/>
      <c r="S854" s="76"/>
      <c r="T854" s="76"/>
      <c r="U854" s="76"/>
      <c r="V854" s="76"/>
      <c r="W854" s="76"/>
    </row>
    <row r="855" spans="1:23" ht="12.75">
      <c r="A855" s="76"/>
      <c r="B855" s="76"/>
      <c r="C855" s="76"/>
      <c r="D855" s="69"/>
      <c r="E855" s="76"/>
      <c r="F855" s="76"/>
      <c r="G855" s="76"/>
      <c r="H855" s="76"/>
      <c r="I855" s="76"/>
      <c r="J855" s="76"/>
      <c r="K855" s="76"/>
      <c r="L855" s="76"/>
      <c r="M855" s="69"/>
      <c r="N855" s="76"/>
      <c r="O855" s="76"/>
      <c r="P855" s="76"/>
      <c r="Q855" s="76"/>
      <c r="R855" s="76"/>
      <c r="S855" s="76"/>
      <c r="T855" s="76"/>
      <c r="U855" s="76"/>
      <c r="V855" s="76"/>
      <c r="W855" s="76"/>
    </row>
    <row r="856" spans="1:23" ht="12.75">
      <c r="A856" s="76"/>
      <c r="B856" s="76"/>
      <c r="C856" s="76"/>
      <c r="D856" s="69"/>
      <c r="E856" s="76"/>
      <c r="F856" s="76"/>
      <c r="G856" s="76"/>
      <c r="H856" s="76"/>
      <c r="I856" s="76"/>
      <c r="J856" s="76"/>
      <c r="K856" s="76"/>
      <c r="L856" s="76"/>
      <c r="M856" s="69"/>
      <c r="N856" s="76"/>
      <c r="O856" s="76"/>
      <c r="P856" s="76"/>
      <c r="Q856" s="76"/>
      <c r="R856" s="76"/>
      <c r="S856" s="76"/>
      <c r="T856" s="76"/>
      <c r="U856" s="76"/>
      <c r="V856" s="76"/>
      <c r="W856" s="76"/>
    </row>
    <row r="857" spans="1:23" ht="12.75">
      <c r="A857" s="76"/>
      <c r="B857" s="76"/>
      <c r="C857" s="76"/>
      <c r="D857" s="69"/>
      <c r="E857" s="76"/>
      <c r="F857" s="76"/>
      <c r="G857" s="76"/>
      <c r="H857" s="76"/>
      <c r="I857" s="76"/>
      <c r="J857" s="76"/>
      <c r="K857" s="76"/>
      <c r="L857" s="76"/>
      <c r="M857" s="69"/>
      <c r="N857" s="76"/>
      <c r="O857" s="76"/>
      <c r="P857" s="76"/>
      <c r="Q857" s="76"/>
      <c r="R857" s="76"/>
      <c r="S857" s="76"/>
      <c r="T857" s="76"/>
      <c r="U857" s="76"/>
      <c r="V857" s="76"/>
      <c r="W857" s="76"/>
    </row>
    <row r="858" spans="1:23" ht="12.75">
      <c r="A858" s="76"/>
      <c r="B858" s="76"/>
      <c r="C858" s="76"/>
      <c r="D858" s="69"/>
      <c r="E858" s="76"/>
      <c r="F858" s="76"/>
      <c r="G858" s="76"/>
      <c r="H858" s="76"/>
      <c r="I858" s="76"/>
      <c r="J858" s="76"/>
      <c r="K858" s="76"/>
      <c r="L858" s="76"/>
      <c r="M858" s="69"/>
      <c r="N858" s="76"/>
      <c r="O858" s="76"/>
      <c r="P858" s="76"/>
      <c r="Q858" s="76"/>
      <c r="R858" s="76"/>
      <c r="S858" s="76"/>
      <c r="T858" s="76"/>
      <c r="U858" s="76"/>
      <c r="V858" s="76"/>
      <c r="W858" s="76"/>
    </row>
    <row r="859" spans="1:23" ht="12.75">
      <c r="A859" s="76"/>
      <c r="B859" s="76"/>
      <c r="C859" s="76"/>
      <c r="D859" s="69"/>
      <c r="E859" s="76"/>
      <c r="F859" s="76"/>
      <c r="G859" s="76"/>
      <c r="H859" s="76"/>
      <c r="I859" s="76"/>
      <c r="J859" s="76"/>
      <c r="K859" s="76"/>
      <c r="L859" s="76"/>
      <c r="M859" s="69"/>
      <c r="N859" s="76"/>
      <c r="O859" s="76"/>
      <c r="P859" s="76"/>
      <c r="Q859" s="76"/>
      <c r="R859" s="76"/>
      <c r="S859" s="76"/>
      <c r="T859" s="76"/>
      <c r="U859" s="76"/>
      <c r="V859" s="76"/>
      <c r="W859" s="76"/>
    </row>
    <row r="860" spans="1:23" ht="12.75">
      <c r="A860" s="76"/>
      <c r="B860" s="76"/>
      <c r="C860" s="76"/>
      <c r="D860" s="69"/>
      <c r="E860" s="76"/>
      <c r="F860" s="76"/>
      <c r="G860" s="76"/>
      <c r="H860" s="76"/>
      <c r="I860" s="76"/>
      <c r="J860" s="76"/>
      <c r="K860" s="76"/>
      <c r="L860" s="76"/>
      <c r="M860" s="69"/>
      <c r="N860" s="76"/>
      <c r="O860" s="76"/>
      <c r="P860" s="76"/>
      <c r="Q860" s="76"/>
      <c r="R860" s="76"/>
      <c r="S860" s="76"/>
      <c r="T860" s="76"/>
      <c r="U860" s="76"/>
      <c r="V860" s="76"/>
      <c r="W860" s="76"/>
    </row>
    <row r="861" spans="1:23" ht="12.75">
      <c r="A861" s="76"/>
      <c r="B861" s="76"/>
      <c r="C861" s="76"/>
      <c r="D861" s="69"/>
      <c r="E861" s="76"/>
      <c r="F861" s="76"/>
      <c r="G861" s="76"/>
      <c r="H861" s="76"/>
      <c r="I861" s="76"/>
      <c r="J861" s="76"/>
      <c r="K861" s="76"/>
      <c r="L861" s="76"/>
      <c r="M861" s="69"/>
      <c r="N861" s="76"/>
      <c r="O861" s="76"/>
      <c r="P861" s="76"/>
      <c r="Q861" s="76"/>
      <c r="R861" s="76"/>
      <c r="S861" s="76"/>
      <c r="T861" s="76"/>
      <c r="U861" s="76"/>
      <c r="V861" s="76"/>
      <c r="W861" s="76"/>
    </row>
    <row r="862" spans="1:23" ht="12.75">
      <c r="A862" s="76"/>
      <c r="B862" s="76"/>
      <c r="C862" s="76"/>
      <c r="D862" s="69"/>
      <c r="E862" s="76"/>
      <c r="F862" s="76"/>
      <c r="G862" s="76"/>
      <c r="H862" s="76"/>
      <c r="I862" s="76"/>
      <c r="J862" s="76"/>
      <c r="K862" s="76"/>
      <c r="L862" s="76"/>
      <c r="M862" s="69"/>
      <c r="N862" s="76"/>
      <c r="O862" s="76"/>
      <c r="P862" s="76"/>
      <c r="Q862" s="76"/>
      <c r="R862" s="76"/>
      <c r="S862" s="76"/>
      <c r="T862" s="76"/>
      <c r="U862" s="76"/>
      <c r="V862" s="76"/>
      <c r="W862" s="76"/>
    </row>
    <row r="863" spans="1:23" ht="12.75">
      <c r="A863" s="76"/>
      <c r="B863" s="76"/>
      <c r="C863" s="76"/>
      <c r="D863" s="69"/>
      <c r="E863" s="76"/>
      <c r="F863" s="76"/>
      <c r="G863" s="76"/>
      <c r="H863" s="76"/>
      <c r="I863" s="76"/>
      <c r="J863" s="76"/>
      <c r="K863" s="76"/>
      <c r="L863" s="76"/>
      <c r="M863" s="69"/>
      <c r="N863" s="76"/>
      <c r="O863" s="76"/>
      <c r="P863" s="76"/>
      <c r="Q863" s="76"/>
      <c r="R863" s="76"/>
      <c r="S863" s="76"/>
      <c r="T863" s="76"/>
      <c r="U863" s="76"/>
      <c r="V863" s="76"/>
      <c r="W863" s="76"/>
    </row>
    <row r="864" spans="1:23" ht="12.75">
      <c r="A864" s="76"/>
      <c r="B864" s="76"/>
      <c r="C864" s="76"/>
      <c r="D864" s="69"/>
      <c r="E864" s="76"/>
      <c r="F864" s="76"/>
      <c r="G864" s="76"/>
      <c r="H864" s="76"/>
      <c r="I864" s="76"/>
      <c r="J864" s="76"/>
      <c r="K864" s="76"/>
      <c r="L864" s="76"/>
      <c r="M864" s="69"/>
      <c r="N864" s="76"/>
      <c r="O864" s="76"/>
      <c r="P864" s="76"/>
      <c r="Q864" s="76"/>
      <c r="R864" s="76"/>
      <c r="S864" s="76"/>
      <c r="T864" s="76"/>
      <c r="U864" s="76"/>
      <c r="V864" s="76"/>
      <c r="W864" s="76"/>
    </row>
    <row r="865" spans="1:23" ht="12.75">
      <c r="A865" s="76"/>
      <c r="B865" s="76"/>
      <c r="C865" s="76"/>
      <c r="D865" s="69"/>
      <c r="E865" s="76"/>
      <c r="F865" s="76"/>
      <c r="G865" s="76"/>
      <c r="H865" s="76"/>
      <c r="I865" s="76"/>
      <c r="J865" s="76"/>
      <c r="K865" s="76"/>
      <c r="L865" s="76"/>
      <c r="M865" s="69"/>
      <c r="N865" s="76"/>
      <c r="O865" s="76"/>
      <c r="P865" s="76"/>
      <c r="Q865" s="76"/>
      <c r="R865" s="76"/>
      <c r="S865" s="76"/>
      <c r="T865" s="76"/>
      <c r="U865" s="76"/>
      <c r="V865" s="76"/>
      <c r="W865" s="76"/>
    </row>
    <row r="866" spans="1:23" ht="12.75">
      <c r="A866" s="76"/>
      <c r="B866" s="76"/>
      <c r="C866" s="76"/>
      <c r="D866" s="69"/>
      <c r="E866" s="76"/>
      <c r="F866" s="76"/>
      <c r="G866" s="76"/>
      <c r="H866" s="76"/>
      <c r="I866" s="76"/>
      <c r="J866" s="76"/>
      <c r="K866" s="76"/>
      <c r="L866" s="76"/>
      <c r="M866" s="69"/>
      <c r="N866" s="76"/>
      <c r="O866" s="76"/>
      <c r="P866" s="76"/>
      <c r="Q866" s="76"/>
      <c r="R866" s="76"/>
      <c r="S866" s="76"/>
      <c r="T866" s="76"/>
      <c r="U866" s="76"/>
      <c r="V866" s="76"/>
      <c r="W866" s="76"/>
    </row>
    <row r="867" spans="1:23" ht="12.75">
      <c r="A867" s="76"/>
      <c r="B867" s="76"/>
      <c r="C867" s="76"/>
      <c r="D867" s="69"/>
      <c r="E867" s="76"/>
      <c r="F867" s="76"/>
      <c r="G867" s="76"/>
      <c r="H867" s="76"/>
      <c r="I867" s="76"/>
      <c r="J867" s="76"/>
      <c r="K867" s="76"/>
      <c r="L867" s="76"/>
      <c r="M867" s="69"/>
      <c r="N867" s="76"/>
      <c r="O867" s="76"/>
      <c r="P867" s="76"/>
      <c r="Q867" s="76"/>
      <c r="R867" s="76"/>
      <c r="S867" s="76"/>
      <c r="T867" s="76"/>
      <c r="U867" s="76"/>
      <c r="V867" s="76"/>
      <c r="W867" s="76"/>
    </row>
    <row r="868" spans="1:23" ht="12.75">
      <c r="A868" s="76"/>
      <c r="B868" s="76"/>
      <c r="C868" s="76"/>
      <c r="D868" s="69"/>
      <c r="E868" s="76"/>
      <c r="F868" s="76"/>
      <c r="G868" s="76"/>
      <c r="H868" s="76"/>
      <c r="I868" s="76"/>
      <c r="J868" s="76"/>
      <c r="K868" s="76"/>
      <c r="L868" s="76"/>
      <c r="M868" s="69"/>
      <c r="N868" s="76"/>
      <c r="O868" s="76"/>
      <c r="P868" s="76"/>
      <c r="Q868" s="76"/>
      <c r="R868" s="76"/>
      <c r="S868" s="76"/>
      <c r="T868" s="76"/>
      <c r="U868" s="76"/>
      <c r="V868" s="76"/>
      <c r="W868" s="76"/>
    </row>
    <row r="869" spans="1:23" ht="12.75">
      <c r="A869" s="76"/>
      <c r="B869" s="76"/>
      <c r="C869" s="76"/>
      <c r="D869" s="69"/>
      <c r="E869" s="76"/>
      <c r="F869" s="76"/>
      <c r="G869" s="76"/>
      <c r="H869" s="76"/>
      <c r="I869" s="76"/>
      <c r="J869" s="76"/>
      <c r="K869" s="76"/>
      <c r="L869" s="76"/>
      <c r="M869" s="69"/>
      <c r="N869" s="76"/>
      <c r="O869" s="76"/>
      <c r="P869" s="76"/>
      <c r="Q869" s="76"/>
      <c r="R869" s="76"/>
      <c r="S869" s="76"/>
      <c r="T869" s="76"/>
      <c r="U869" s="76"/>
      <c r="V869" s="76"/>
      <c r="W869" s="76"/>
    </row>
    <row r="870" spans="1:23" ht="12.75">
      <c r="A870" s="76"/>
      <c r="B870" s="76"/>
      <c r="C870" s="76"/>
      <c r="D870" s="69"/>
      <c r="E870" s="76"/>
      <c r="F870" s="76"/>
      <c r="G870" s="76"/>
      <c r="H870" s="76"/>
      <c r="I870" s="76"/>
      <c r="J870" s="76"/>
      <c r="K870" s="76"/>
      <c r="L870" s="76"/>
      <c r="M870" s="69"/>
      <c r="N870" s="76"/>
      <c r="O870" s="76"/>
      <c r="P870" s="76"/>
      <c r="Q870" s="76"/>
      <c r="R870" s="76"/>
      <c r="S870" s="76"/>
      <c r="T870" s="76"/>
      <c r="U870" s="76"/>
      <c r="V870" s="76"/>
      <c r="W870" s="76"/>
    </row>
    <row r="871" spans="1:23" ht="12.75">
      <c r="A871" s="76"/>
      <c r="B871" s="76"/>
      <c r="C871" s="76"/>
      <c r="D871" s="69"/>
      <c r="E871" s="76"/>
      <c r="F871" s="76"/>
      <c r="G871" s="76"/>
      <c r="H871" s="76"/>
      <c r="I871" s="76"/>
      <c r="J871" s="76"/>
      <c r="K871" s="76"/>
      <c r="L871" s="76"/>
      <c r="M871" s="69"/>
      <c r="N871" s="76"/>
      <c r="O871" s="76"/>
      <c r="P871" s="76"/>
      <c r="Q871" s="76"/>
      <c r="R871" s="76"/>
      <c r="S871" s="76"/>
      <c r="T871" s="76"/>
      <c r="U871" s="76"/>
      <c r="V871" s="76"/>
      <c r="W871" s="76"/>
    </row>
    <row r="872" spans="1:23" ht="12.75">
      <c r="A872" s="76"/>
      <c r="B872" s="76"/>
      <c r="C872" s="76"/>
      <c r="D872" s="69"/>
      <c r="E872" s="76"/>
      <c r="F872" s="76"/>
      <c r="G872" s="76"/>
      <c r="H872" s="76"/>
      <c r="I872" s="76"/>
      <c r="J872" s="76"/>
      <c r="K872" s="76"/>
      <c r="L872" s="76"/>
      <c r="M872" s="69"/>
      <c r="N872" s="76"/>
      <c r="O872" s="76"/>
      <c r="P872" s="76"/>
      <c r="Q872" s="76"/>
      <c r="R872" s="76"/>
      <c r="S872" s="76"/>
      <c r="T872" s="76"/>
      <c r="U872" s="76"/>
      <c r="V872" s="76"/>
      <c r="W872" s="76"/>
    </row>
    <row r="873" spans="1:23" ht="12.75">
      <c r="A873" s="76"/>
      <c r="B873" s="76"/>
      <c r="C873" s="76"/>
      <c r="D873" s="69"/>
      <c r="E873" s="76"/>
      <c r="F873" s="76"/>
      <c r="G873" s="76"/>
      <c r="H873" s="76"/>
      <c r="I873" s="76"/>
      <c r="J873" s="76"/>
      <c r="K873" s="76"/>
      <c r="L873" s="76"/>
      <c r="M873" s="69"/>
      <c r="N873" s="76"/>
      <c r="O873" s="76"/>
      <c r="P873" s="76"/>
      <c r="Q873" s="76"/>
      <c r="R873" s="76"/>
      <c r="S873" s="76"/>
      <c r="T873" s="76"/>
      <c r="U873" s="76"/>
      <c r="V873" s="76"/>
      <c r="W873" s="76"/>
    </row>
    <row r="874" spans="1:23" ht="12.75">
      <c r="A874" s="76"/>
      <c r="B874" s="76"/>
      <c r="C874" s="76"/>
      <c r="D874" s="69"/>
      <c r="E874" s="76"/>
      <c r="F874" s="76"/>
      <c r="G874" s="76"/>
      <c r="H874" s="76"/>
      <c r="I874" s="76"/>
      <c r="J874" s="76"/>
      <c r="K874" s="76"/>
      <c r="L874" s="76"/>
      <c r="M874" s="69"/>
      <c r="N874" s="76"/>
      <c r="O874" s="76"/>
      <c r="P874" s="76"/>
      <c r="Q874" s="76"/>
      <c r="R874" s="76"/>
      <c r="S874" s="76"/>
      <c r="T874" s="76"/>
      <c r="U874" s="76"/>
      <c r="V874" s="76"/>
      <c r="W874" s="76"/>
    </row>
    <row r="875" spans="1:23" ht="12.75">
      <c r="A875" s="76"/>
      <c r="B875" s="76"/>
      <c r="C875" s="76"/>
      <c r="D875" s="69"/>
      <c r="E875" s="76"/>
      <c r="F875" s="76"/>
      <c r="G875" s="76"/>
      <c r="H875" s="76"/>
      <c r="I875" s="76"/>
      <c r="J875" s="76"/>
      <c r="K875" s="76"/>
      <c r="L875" s="76"/>
      <c r="M875" s="69"/>
      <c r="N875" s="76"/>
      <c r="O875" s="76"/>
      <c r="P875" s="76"/>
      <c r="Q875" s="76"/>
      <c r="R875" s="76"/>
      <c r="S875" s="76"/>
      <c r="T875" s="76"/>
      <c r="U875" s="76"/>
      <c r="V875" s="76"/>
      <c r="W875" s="76"/>
    </row>
    <row r="876" spans="1:23" ht="12.75">
      <c r="A876" s="76"/>
      <c r="B876" s="76"/>
      <c r="C876" s="76"/>
      <c r="D876" s="69"/>
      <c r="E876" s="76"/>
      <c r="F876" s="76"/>
      <c r="G876" s="76"/>
      <c r="H876" s="76"/>
      <c r="I876" s="76"/>
      <c r="J876" s="76"/>
      <c r="K876" s="76"/>
      <c r="L876" s="76"/>
      <c r="M876" s="69"/>
      <c r="N876" s="76"/>
      <c r="O876" s="76"/>
      <c r="P876" s="76"/>
      <c r="Q876" s="76"/>
      <c r="R876" s="76"/>
      <c r="S876" s="76"/>
      <c r="T876" s="76"/>
      <c r="U876" s="76"/>
      <c r="V876" s="76"/>
      <c r="W876" s="76"/>
    </row>
    <row r="877" spans="1:23" ht="12.75">
      <c r="A877" s="76"/>
      <c r="B877" s="76"/>
      <c r="C877" s="76"/>
      <c r="D877" s="69"/>
      <c r="E877" s="76"/>
      <c r="F877" s="76"/>
      <c r="G877" s="76"/>
      <c r="H877" s="76"/>
      <c r="I877" s="76"/>
      <c r="J877" s="76"/>
      <c r="K877" s="76"/>
      <c r="L877" s="76"/>
      <c r="M877" s="69"/>
      <c r="N877" s="76"/>
      <c r="O877" s="76"/>
      <c r="P877" s="76"/>
      <c r="Q877" s="76"/>
      <c r="R877" s="76"/>
      <c r="S877" s="76"/>
      <c r="T877" s="76"/>
      <c r="U877" s="76"/>
      <c r="V877" s="76"/>
      <c r="W877" s="76"/>
    </row>
    <row r="878" spans="1:23" ht="12.75">
      <c r="A878" s="76"/>
      <c r="B878" s="76"/>
      <c r="C878" s="76"/>
      <c r="D878" s="69"/>
      <c r="E878" s="76"/>
      <c r="F878" s="76"/>
      <c r="G878" s="76"/>
      <c r="H878" s="76"/>
      <c r="I878" s="76"/>
      <c r="J878" s="76"/>
      <c r="K878" s="76"/>
      <c r="L878" s="76"/>
      <c r="M878" s="69"/>
      <c r="N878" s="76"/>
      <c r="O878" s="76"/>
      <c r="P878" s="76"/>
      <c r="Q878" s="76"/>
      <c r="R878" s="76"/>
      <c r="S878" s="76"/>
      <c r="T878" s="76"/>
      <c r="U878" s="76"/>
      <c r="V878" s="76"/>
      <c r="W878" s="76"/>
    </row>
    <row r="879" spans="1:23" ht="12.75">
      <c r="A879" s="76"/>
      <c r="B879" s="76"/>
      <c r="C879" s="76"/>
      <c r="D879" s="69"/>
      <c r="E879" s="76"/>
      <c r="F879" s="76"/>
      <c r="G879" s="76"/>
      <c r="H879" s="76"/>
      <c r="I879" s="76"/>
      <c r="J879" s="76"/>
      <c r="K879" s="76"/>
      <c r="L879" s="76"/>
      <c r="M879" s="69"/>
      <c r="N879" s="76"/>
      <c r="O879" s="76"/>
      <c r="P879" s="76"/>
      <c r="Q879" s="76"/>
      <c r="R879" s="76"/>
      <c r="S879" s="76"/>
      <c r="T879" s="76"/>
      <c r="U879" s="76"/>
      <c r="V879" s="76"/>
      <c r="W879" s="76"/>
    </row>
    <row r="880" spans="1:23" ht="12.75">
      <c r="A880" s="76"/>
      <c r="B880" s="76"/>
      <c r="C880" s="76"/>
      <c r="D880" s="69"/>
      <c r="E880" s="76"/>
      <c r="F880" s="76"/>
      <c r="G880" s="76"/>
      <c r="H880" s="76"/>
      <c r="I880" s="76"/>
      <c r="J880" s="76"/>
      <c r="K880" s="76"/>
      <c r="L880" s="76"/>
      <c r="M880" s="69"/>
      <c r="N880" s="76"/>
      <c r="O880" s="76"/>
      <c r="P880" s="76"/>
      <c r="Q880" s="76"/>
      <c r="R880" s="76"/>
      <c r="S880" s="76"/>
      <c r="T880" s="76"/>
      <c r="U880" s="76"/>
      <c r="V880" s="76"/>
      <c r="W880" s="76"/>
    </row>
    <row r="881" spans="1:23" ht="12.75">
      <c r="A881" s="76"/>
      <c r="B881" s="76"/>
      <c r="C881" s="76"/>
      <c r="D881" s="69"/>
      <c r="E881" s="76"/>
      <c r="F881" s="76"/>
      <c r="G881" s="76"/>
      <c r="H881" s="76"/>
      <c r="I881" s="76"/>
      <c r="J881" s="76"/>
      <c r="K881" s="76"/>
      <c r="L881" s="76"/>
      <c r="M881" s="69"/>
      <c r="N881" s="76"/>
      <c r="O881" s="76"/>
      <c r="P881" s="76"/>
      <c r="Q881" s="76"/>
      <c r="R881" s="76"/>
      <c r="S881" s="76"/>
      <c r="T881" s="76"/>
      <c r="U881" s="76"/>
      <c r="V881" s="76"/>
      <c r="W881" s="76"/>
    </row>
    <row r="882" spans="1:23" ht="12.75">
      <c r="A882" s="76"/>
      <c r="B882" s="76"/>
      <c r="C882" s="76"/>
      <c r="D882" s="69"/>
      <c r="E882" s="76"/>
      <c r="F882" s="76"/>
      <c r="G882" s="76"/>
      <c r="H882" s="76"/>
      <c r="I882" s="76"/>
      <c r="J882" s="76"/>
      <c r="K882" s="76"/>
      <c r="L882" s="76"/>
      <c r="M882" s="69"/>
      <c r="N882" s="76"/>
      <c r="O882" s="76"/>
      <c r="P882" s="76"/>
      <c r="Q882" s="76"/>
      <c r="R882" s="76"/>
      <c r="S882" s="76"/>
      <c r="T882" s="76"/>
      <c r="U882" s="76"/>
      <c r="V882" s="76"/>
      <c r="W882" s="76"/>
    </row>
    <row r="883" spans="1:23" ht="12.75">
      <c r="A883" s="76"/>
      <c r="B883" s="76"/>
      <c r="C883" s="76"/>
      <c r="D883" s="69"/>
      <c r="E883" s="76"/>
      <c r="F883" s="76"/>
      <c r="G883" s="76"/>
      <c r="H883" s="76"/>
      <c r="I883" s="76"/>
      <c r="J883" s="76"/>
      <c r="K883" s="76"/>
      <c r="L883" s="76"/>
      <c r="M883" s="69"/>
      <c r="N883" s="76"/>
      <c r="O883" s="76"/>
      <c r="P883" s="76"/>
      <c r="Q883" s="76"/>
      <c r="R883" s="76"/>
      <c r="S883" s="76"/>
      <c r="T883" s="76"/>
      <c r="U883" s="76"/>
      <c r="V883" s="76"/>
      <c r="W883" s="76"/>
    </row>
    <row r="884" spans="1:23" ht="12.75">
      <c r="A884" s="76"/>
      <c r="B884" s="76"/>
      <c r="C884" s="76"/>
      <c r="D884" s="69"/>
      <c r="E884" s="76"/>
      <c r="F884" s="76"/>
      <c r="G884" s="76"/>
      <c r="H884" s="76"/>
      <c r="I884" s="76"/>
      <c r="J884" s="76"/>
      <c r="K884" s="76"/>
      <c r="L884" s="76"/>
      <c r="M884" s="69"/>
      <c r="N884" s="76"/>
      <c r="O884" s="76"/>
      <c r="P884" s="76"/>
      <c r="Q884" s="76"/>
      <c r="R884" s="76"/>
      <c r="S884" s="76"/>
      <c r="T884" s="76"/>
      <c r="U884" s="76"/>
      <c r="V884" s="76"/>
      <c r="W884" s="76"/>
    </row>
    <row r="885" spans="1:23" ht="12.75">
      <c r="A885" s="76"/>
      <c r="B885" s="76"/>
      <c r="C885" s="76"/>
      <c r="D885" s="69"/>
      <c r="E885" s="76"/>
      <c r="F885" s="76"/>
      <c r="G885" s="76"/>
      <c r="H885" s="76"/>
      <c r="I885" s="76"/>
      <c r="J885" s="76"/>
      <c r="K885" s="76"/>
      <c r="L885" s="76"/>
      <c r="M885" s="69"/>
      <c r="N885" s="76"/>
      <c r="O885" s="76"/>
      <c r="P885" s="76"/>
      <c r="Q885" s="76"/>
      <c r="R885" s="76"/>
      <c r="S885" s="76"/>
      <c r="T885" s="76"/>
      <c r="U885" s="76"/>
      <c r="V885" s="76"/>
      <c r="W885" s="76"/>
    </row>
    <row r="886" spans="1:23" ht="12.75">
      <c r="A886" s="76"/>
      <c r="B886" s="76"/>
      <c r="C886" s="76"/>
      <c r="D886" s="69"/>
      <c r="E886" s="76"/>
      <c r="F886" s="76"/>
      <c r="G886" s="76"/>
      <c r="H886" s="76"/>
      <c r="I886" s="76"/>
      <c r="J886" s="76"/>
      <c r="K886" s="76"/>
      <c r="L886" s="76"/>
      <c r="M886" s="69"/>
      <c r="N886" s="76"/>
      <c r="O886" s="76"/>
      <c r="P886" s="76"/>
      <c r="Q886" s="76"/>
      <c r="R886" s="76"/>
      <c r="S886" s="76"/>
      <c r="T886" s="76"/>
      <c r="U886" s="76"/>
      <c r="V886" s="76"/>
      <c r="W886" s="76"/>
    </row>
    <row r="887" spans="1:23" ht="12.75">
      <c r="A887" s="76"/>
      <c r="B887" s="76"/>
      <c r="C887" s="76"/>
      <c r="D887" s="69"/>
      <c r="E887" s="76"/>
      <c r="F887" s="76"/>
      <c r="G887" s="76"/>
      <c r="H887" s="76"/>
      <c r="I887" s="76"/>
      <c r="J887" s="76"/>
      <c r="K887" s="76"/>
      <c r="L887" s="76"/>
      <c r="M887" s="69"/>
      <c r="N887" s="76"/>
      <c r="O887" s="76"/>
      <c r="P887" s="76"/>
      <c r="Q887" s="76"/>
      <c r="R887" s="76"/>
      <c r="S887" s="76"/>
      <c r="T887" s="76"/>
      <c r="U887" s="76"/>
      <c r="V887" s="76"/>
      <c r="W887" s="76"/>
    </row>
    <row r="888" spans="1:23" ht="12.75">
      <c r="A888" s="76"/>
      <c r="B888" s="76"/>
      <c r="C888" s="76"/>
      <c r="D888" s="69"/>
      <c r="E888" s="76"/>
      <c r="F888" s="76"/>
      <c r="G888" s="76"/>
      <c r="H888" s="76"/>
      <c r="I888" s="76"/>
      <c r="J888" s="76"/>
      <c r="K888" s="76"/>
      <c r="L888" s="76"/>
      <c r="M888" s="69"/>
      <c r="N888" s="76"/>
      <c r="O888" s="76"/>
      <c r="P888" s="76"/>
      <c r="Q888" s="76"/>
      <c r="R888" s="76"/>
      <c r="S888" s="76"/>
      <c r="T888" s="76"/>
      <c r="U888" s="76"/>
      <c r="V888" s="76"/>
      <c r="W888" s="76"/>
    </row>
    <row r="889" spans="1:23" ht="12.75">
      <c r="A889" s="76"/>
      <c r="B889" s="76"/>
      <c r="C889" s="76"/>
      <c r="D889" s="69"/>
      <c r="E889" s="76"/>
      <c r="F889" s="76"/>
      <c r="G889" s="76"/>
      <c r="H889" s="76"/>
      <c r="I889" s="76"/>
      <c r="J889" s="76"/>
      <c r="K889" s="76"/>
      <c r="L889" s="76"/>
      <c r="M889" s="69"/>
      <c r="N889" s="76"/>
      <c r="O889" s="76"/>
      <c r="P889" s="76"/>
      <c r="Q889" s="76"/>
      <c r="R889" s="76"/>
      <c r="S889" s="76"/>
      <c r="T889" s="76"/>
      <c r="U889" s="76"/>
      <c r="V889" s="76"/>
      <c r="W889" s="76"/>
    </row>
    <row r="890" spans="1:23" ht="12.75">
      <c r="A890" s="76"/>
      <c r="B890" s="76"/>
      <c r="C890" s="76"/>
      <c r="D890" s="69"/>
      <c r="E890" s="76"/>
      <c r="F890" s="76"/>
      <c r="G890" s="76"/>
      <c r="H890" s="76"/>
      <c r="I890" s="76"/>
      <c r="J890" s="76"/>
      <c r="K890" s="76"/>
      <c r="L890" s="76"/>
      <c r="M890" s="69"/>
      <c r="N890" s="76"/>
      <c r="O890" s="76"/>
      <c r="P890" s="76"/>
      <c r="Q890" s="76"/>
      <c r="R890" s="76"/>
      <c r="S890" s="76"/>
      <c r="T890" s="76"/>
      <c r="U890" s="76"/>
      <c r="V890" s="76"/>
      <c r="W890" s="76"/>
    </row>
    <row r="891" spans="1:23" ht="12.75">
      <c r="A891" s="76"/>
      <c r="B891" s="76"/>
      <c r="C891" s="76"/>
      <c r="D891" s="69"/>
      <c r="E891" s="76"/>
      <c r="F891" s="76"/>
      <c r="G891" s="76"/>
      <c r="H891" s="76"/>
      <c r="I891" s="76"/>
      <c r="J891" s="76"/>
      <c r="K891" s="76"/>
      <c r="L891" s="76"/>
      <c r="M891" s="69"/>
      <c r="N891" s="76"/>
      <c r="O891" s="76"/>
      <c r="P891" s="76"/>
      <c r="Q891" s="76"/>
      <c r="R891" s="76"/>
      <c r="S891" s="76"/>
      <c r="T891" s="76"/>
      <c r="U891" s="76"/>
      <c r="V891" s="76"/>
      <c r="W891" s="76"/>
    </row>
    <row r="892" spans="1:23" ht="12.75">
      <c r="A892" s="76"/>
      <c r="B892" s="76"/>
      <c r="C892" s="76"/>
      <c r="D892" s="69"/>
      <c r="E892" s="76"/>
      <c r="F892" s="76"/>
      <c r="G892" s="76"/>
      <c r="H892" s="76"/>
      <c r="I892" s="76"/>
      <c r="J892" s="76"/>
      <c r="K892" s="76"/>
      <c r="L892" s="76"/>
      <c r="M892" s="69"/>
      <c r="N892" s="76"/>
      <c r="O892" s="76"/>
      <c r="P892" s="76"/>
      <c r="Q892" s="76"/>
      <c r="R892" s="76"/>
      <c r="S892" s="76"/>
      <c r="T892" s="76"/>
      <c r="U892" s="76"/>
      <c r="V892" s="76"/>
      <c r="W892" s="76"/>
    </row>
    <row r="893" spans="1:23" ht="12.75">
      <c r="A893" s="76"/>
      <c r="B893" s="76"/>
      <c r="C893" s="76"/>
      <c r="D893" s="69"/>
      <c r="E893" s="76"/>
      <c r="F893" s="76"/>
      <c r="G893" s="76"/>
      <c r="H893" s="76"/>
      <c r="I893" s="76"/>
      <c r="J893" s="76"/>
      <c r="K893" s="76"/>
      <c r="L893" s="76"/>
      <c r="M893" s="69"/>
      <c r="N893" s="76"/>
      <c r="O893" s="76"/>
      <c r="P893" s="76"/>
      <c r="Q893" s="76"/>
      <c r="R893" s="76"/>
      <c r="S893" s="76"/>
      <c r="T893" s="76"/>
      <c r="U893" s="76"/>
      <c r="V893" s="76"/>
      <c r="W893" s="76"/>
    </row>
    <row r="894" spans="1:23" ht="12.75">
      <c r="A894" s="76"/>
      <c r="B894" s="76"/>
      <c r="C894" s="76"/>
      <c r="D894" s="69"/>
      <c r="E894" s="76"/>
      <c r="F894" s="76"/>
      <c r="G894" s="76"/>
      <c r="H894" s="76"/>
      <c r="I894" s="76"/>
      <c r="J894" s="76"/>
      <c r="K894" s="76"/>
      <c r="L894" s="76"/>
      <c r="M894" s="69"/>
      <c r="N894" s="76"/>
      <c r="O894" s="76"/>
      <c r="P894" s="76"/>
      <c r="Q894" s="76"/>
      <c r="R894" s="76"/>
      <c r="S894" s="76"/>
      <c r="T894" s="76"/>
      <c r="U894" s="76"/>
      <c r="V894" s="76"/>
      <c r="W894" s="76"/>
    </row>
    <row r="895" spans="1:23" ht="12.75">
      <c r="A895" s="76"/>
      <c r="B895" s="76"/>
      <c r="C895" s="76"/>
      <c r="D895" s="69"/>
      <c r="E895" s="76"/>
      <c r="F895" s="76"/>
      <c r="G895" s="76"/>
      <c r="H895" s="76"/>
      <c r="I895" s="76"/>
      <c r="J895" s="76"/>
      <c r="K895" s="76"/>
      <c r="L895" s="76"/>
      <c r="M895" s="69"/>
      <c r="N895" s="76"/>
      <c r="O895" s="76"/>
      <c r="P895" s="76"/>
      <c r="Q895" s="76"/>
      <c r="R895" s="76"/>
      <c r="S895" s="76"/>
      <c r="T895" s="76"/>
      <c r="U895" s="76"/>
      <c r="V895" s="76"/>
      <c r="W895" s="76"/>
    </row>
    <row r="896" spans="1:23" ht="12.75">
      <c r="A896" s="76"/>
      <c r="B896" s="76"/>
      <c r="C896" s="76"/>
      <c r="D896" s="69"/>
      <c r="E896" s="76"/>
      <c r="F896" s="76"/>
      <c r="G896" s="76"/>
      <c r="H896" s="76"/>
      <c r="I896" s="76"/>
      <c r="J896" s="76"/>
      <c r="K896" s="76"/>
      <c r="L896" s="76"/>
      <c r="M896" s="69"/>
      <c r="N896" s="76"/>
      <c r="O896" s="76"/>
      <c r="P896" s="76"/>
      <c r="Q896" s="76"/>
      <c r="R896" s="76"/>
      <c r="S896" s="76"/>
      <c r="T896" s="76"/>
      <c r="U896" s="76"/>
      <c r="V896" s="76"/>
      <c r="W896" s="76"/>
    </row>
    <row r="897" spans="1:23" ht="12.75">
      <c r="A897" s="76"/>
      <c r="B897" s="76"/>
      <c r="C897" s="76"/>
      <c r="D897" s="69"/>
      <c r="E897" s="76"/>
      <c r="F897" s="76"/>
      <c r="G897" s="76"/>
      <c r="H897" s="76"/>
      <c r="I897" s="76"/>
      <c r="J897" s="76"/>
      <c r="K897" s="76"/>
      <c r="L897" s="76"/>
      <c r="M897" s="69"/>
      <c r="N897" s="76"/>
      <c r="O897" s="76"/>
      <c r="P897" s="76"/>
      <c r="Q897" s="76"/>
      <c r="R897" s="76"/>
      <c r="S897" s="76"/>
      <c r="T897" s="76"/>
      <c r="U897" s="76"/>
      <c r="V897" s="76"/>
      <c r="W897" s="76"/>
    </row>
    <row r="898" spans="1:23" ht="12.75">
      <c r="A898" s="76"/>
      <c r="B898" s="76"/>
      <c r="C898" s="76"/>
      <c r="D898" s="69"/>
      <c r="E898" s="76"/>
      <c r="F898" s="76"/>
      <c r="G898" s="76"/>
      <c r="H898" s="76"/>
      <c r="I898" s="76"/>
      <c r="J898" s="76"/>
      <c r="K898" s="76"/>
      <c r="L898" s="76"/>
      <c r="M898" s="69"/>
      <c r="N898" s="76"/>
      <c r="O898" s="76"/>
      <c r="P898" s="76"/>
      <c r="Q898" s="76"/>
      <c r="R898" s="76"/>
      <c r="S898" s="76"/>
      <c r="T898" s="76"/>
      <c r="U898" s="76"/>
      <c r="V898" s="76"/>
      <c r="W898" s="76"/>
    </row>
    <row r="899" spans="1:23" ht="12.75">
      <c r="A899" s="76"/>
      <c r="B899" s="76"/>
      <c r="C899" s="76"/>
      <c r="D899" s="69"/>
      <c r="E899" s="76"/>
      <c r="F899" s="76"/>
      <c r="G899" s="76"/>
      <c r="H899" s="76"/>
      <c r="I899" s="76"/>
      <c r="J899" s="76"/>
      <c r="K899" s="76"/>
      <c r="L899" s="76"/>
      <c r="M899" s="69"/>
      <c r="N899" s="76"/>
      <c r="O899" s="76"/>
      <c r="P899" s="76"/>
      <c r="Q899" s="76"/>
      <c r="R899" s="76"/>
      <c r="S899" s="76"/>
      <c r="T899" s="76"/>
      <c r="U899" s="76"/>
      <c r="V899" s="76"/>
      <c r="W899" s="76"/>
    </row>
    <row r="900" spans="1:23" ht="12.75">
      <c r="A900" s="76"/>
      <c r="B900" s="76"/>
      <c r="C900" s="76"/>
      <c r="D900" s="69"/>
      <c r="E900" s="76"/>
      <c r="F900" s="76"/>
      <c r="G900" s="76"/>
      <c r="H900" s="76"/>
      <c r="I900" s="76"/>
      <c r="J900" s="76"/>
      <c r="K900" s="76"/>
      <c r="L900" s="76"/>
      <c r="M900" s="69"/>
      <c r="N900" s="76"/>
      <c r="O900" s="76"/>
      <c r="P900" s="76"/>
      <c r="Q900" s="76"/>
      <c r="R900" s="76"/>
      <c r="S900" s="76"/>
      <c r="T900" s="76"/>
      <c r="U900" s="76"/>
      <c r="V900" s="76"/>
      <c r="W900" s="76"/>
    </row>
    <row r="901" spans="1:23" ht="12.75">
      <c r="A901" s="76"/>
      <c r="B901" s="76"/>
      <c r="C901" s="76"/>
      <c r="D901" s="69"/>
      <c r="E901" s="76"/>
      <c r="F901" s="76"/>
      <c r="G901" s="76"/>
      <c r="H901" s="76"/>
      <c r="I901" s="76"/>
      <c r="J901" s="76"/>
      <c r="K901" s="76"/>
      <c r="L901" s="76"/>
      <c r="M901" s="69"/>
      <c r="N901" s="76"/>
      <c r="O901" s="76"/>
      <c r="P901" s="76"/>
      <c r="Q901" s="76"/>
      <c r="R901" s="76"/>
      <c r="S901" s="76"/>
      <c r="T901" s="76"/>
      <c r="U901" s="76"/>
      <c r="V901" s="76"/>
      <c r="W901" s="76"/>
    </row>
    <row r="902" spans="1:23" ht="12.75">
      <c r="A902" s="76"/>
      <c r="B902" s="76"/>
      <c r="C902" s="76"/>
      <c r="D902" s="69"/>
      <c r="E902" s="76"/>
      <c r="F902" s="76"/>
      <c r="G902" s="76"/>
      <c r="H902" s="76"/>
      <c r="I902" s="76"/>
      <c r="J902" s="76"/>
      <c r="K902" s="76"/>
      <c r="L902" s="76"/>
      <c r="M902" s="69"/>
      <c r="N902" s="76"/>
      <c r="O902" s="76"/>
      <c r="P902" s="76"/>
      <c r="Q902" s="76"/>
      <c r="R902" s="76"/>
      <c r="S902" s="76"/>
      <c r="T902" s="76"/>
      <c r="U902" s="76"/>
      <c r="V902" s="76"/>
      <c r="W902" s="76"/>
    </row>
    <row r="903" spans="1:23" ht="12.75">
      <c r="A903" s="76"/>
      <c r="B903" s="76"/>
      <c r="C903" s="76"/>
      <c r="D903" s="69"/>
      <c r="E903" s="76"/>
      <c r="F903" s="76"/>
      <c r="G903" s="76"/>
      <c r="H903" s="76"/>
      <c r="I903" s="76"/>
      <c r="J903" s="76"/>
      <c r="K903" s="76"/>
      <c r="L903" s="76"/>
      <c r="M903" s="69"/>
      <c r="N903" s="76"/>
      <c r="O903" s="76"/>
      <c r="P903" s="76"/>
      <c r="Q903" s="76"/>
      <c r="R903" s="76"/>
      <c r="S903" s="76"/>
      <c r="T903" s="76"/>
      <c r="U903" s="76"/>
      <c r="V903" s="76"/>
      <c r="W903" s="76"/>
    </row>
    <row r="904" spans="1:23" ht="12.75">
      <c r="A904" s="76"/>
      <c r="B904" s="76"/>
      <c r="C904" s="76"/>
      <c r="D904" s="69"/>
      <c r="E904" s="76"/>
      <c r="F904" s="76"/>
      <c r="G904" s="76"/>
      <c r="H904" s="76"/>
      <c r="I904" s="76"/>
      <c r="J904" s="76"/>
      <c r="K904" s="76"/>
      <c r="L904" s="76"/>
      <c r="M904" s="69"/>
      <c r="N904" s="76"/>
      <c r="O904" s="76"/>
      <c r="P904" s="76"/>
      <c r="Q904" s="76"/>
      <c r="R904" s="76"/>
      <c r="S904" s="76"/>
      <c r="T904" s="76"/>
      <c r="U904" s="76"/>
      <c r="V904" s="76"/>
      <c r="W904" s="76"/>
    </row>
    <row r="905" spans="1:23" ht="12.75">
      <c r="A905" s="76"/>
      <c r="B905" s="76"/>
      <c r="C905" s="76"/>
      <c r="D905" s="69"/>
      <c r="E905" s="76"/>
      <c r="F905" s="76"/>
      <c r="G905" s="76"/>
      <c r="H905" s="76"/>
      <c r="I905" s="76"/>
      <c r="J905" s="76"/>
      <c r="K905" s="76"/>
      <c r="L905" s="76"/>
      <c r="M905" s="69"/>
      <c r="N905" s="76"/>
      <c r="O905" s="76"/>
      <c r="P905" s="76"/>
      <c r="Q905" s="76"/>
      <c r="R905" s="76"/>
      <c r="S905" s="76"/>
      <c r="T905" s="76"/>
      <c r="U905" s="76"/>
      <c r="V905" s="76"/>
      <c r="W905" s="76"/>
    </row>
    <row r="906" spans="1:23" ht="12.75">
      <c r="A906" s="76"/>
      <c r="B906" s="76"/>
      <c r="C906" s="76"/>
      <c r="D906" s="69"/>
      <c r="E906" s="76"/>
      <c r="F906" s="76"/>
      <c r="G906" s="76"/>
      <c r="H906" s="76"/>
      <c r="I906" s="76"/>
      <c r="J906" s="76"/>
      <c r="K906" s="76"/>
      <c r="L906" s="76"/>
      <c r="M906" s="69"/>
      <c r="N906" s="76"/>
      <c r="O906" s="76"/>
      <c r="P906" s="76"/>
      <c r="Q906" s="76"/>
      <c r="R906" s="76"/>
      <c r="S906" s="76"/>
      <c r="T906" s="76"/>
      <c r="U906" s="76"/>
      <c r="V906" s="76"/>
      <c r="W906" s="76"/>
    </row>
    <row r="907" spans="1:23" ht="12.75">
      <c r="A907" s="76"/>
      <c r="B907" s="76"/>
      <c r="C907" s="76"/>
      <c r="D907" s="69"/>
      <c r="E907" s="76"/>
      <c r="F907" s="76"/>
      <c r="G907" s="76"/>
      <c r="H907" s="76"/>
      <c r="I907" s="76"/>
      <c r="J907" s="76"/>
      <c r="K907" s="76"/>
      <c r="L907" s="76"/>
      <c r="M907" s="69"/>
      <c r="N907" s="76"/>
      <c r="O907" s="76"/>
      <c r="P907" s="76"/>
      <c r="Q907" s="76"/>
      <c r="R907" s="76"/>
      <c r="S907" s="76"/>
      <c r="T907" s="76"/>
      <c r="U907" s="76"/>
      <c r="V907" s="76"/>
      <c r="W907" s="76"/>
    </row>
    <row r="908" spans="1:23" ht="12.75">
      <c r="A908" s="76"/>
      <c r="B908" s="76"/>
      <c r="C908" s="76"/>
      <c r="D908" s="69"/>
      <c r="E908" s="76"/>
      <c r="F908" s="76"/>
      <c r="G908" s="76"/>
      <c r="H908" s="76"/>
      <c r="I908" s="76"/>
      <c r="J908" s="76"/>
      <c r="K908" s="76"/>
      <c r="L908" s="76"/>
      <c r="M908" s="69"/>
      <c r="N908" s="76"/>
      <c r="O908" s="76"/>
      <c r="P908" s="76"/>
      <c r="Q908" s="76"/>
      <c r="R908" s="76"/>
      <c r="S908" s="76"/>
      <c r="T908" s="76"/>
      <c r="U908" s="76"/>
      <c r="V908" s="76"/>
      <c r="W908" s="76"/>
    </row>
    <row r="909" spans="1:23" ht="12.75">
      <c r="A909" s="76"/>
      <c r="B909" s="76"/>
      <c r="C909" s="76"/>
      <c r="D909" s="69"/>
      <c r="E909" s="76"/>
      <c r="F909" s="76"/>
      <c r="G909" s="76"/>
      <c r="H909" s="76"/>
      <c r="I909" s="76"/>
      <c r="J909" s="76"/>
      <c r="K909" s="76"/>
      <c r="L909" s="76"/>
      <c r="M909" s="69"/>
      <c r="N909" s="76"/>
      <c r="O909" s="76"/>
      <c r="P909" s="76"/>
      <c r="Q909" s="76"/>
      <c r="R909" s="76"/>
      <c r="S909" s="76"/>
      <c r="T909" s="76"/>
      <c r="U909" s="76"/>
      <c r="V909" s="76"/>
      <c r="W909" s="76"/>
    </row>
    <row r="910" spans="1:23" ht="12.75">
      <c r="A910" s="76"/>
      <c r="B910" s="76"/>
      <c r="C910" s="76"/>
      <c r="D910" s="69"/>
      <c r="E910" s="76"/>
      <c r="F910" s="76"/>
      <c r="G910" s="76"/>
      <c r="H910" s="76"/>
      <c r="I910" s="76"/>
      <c r="J910" s="76"/>
      <c r="K910" s="76"/>
      <c r="L910" s="76"/>
      <c r="M910" s="69"/>
      <c r="N910" s="76"/>
      <c r="O910" s="76"/>
      <c r="P910" s="76"/>
      <c r="Q910" s="76"/>
      <c r="R910" s="76"/>
      <c r="S910" s="76"/>
      <c r="T910" s="76"/>
      <c r="U910" s="76"/>
      <c r="V910" s="76"/>
      <c r="W910" s="76"/>
    </row>
    <row r="911" spans="1:23" ht="12.75">
      <c r="A911" s="76"/>
      <c r="B911" s="76"/>
      <c r="C911" s="76"/>
      <c r="D911" s="69"/>
      <c r="E911" s="76"/>
      <c r="F911" s="76"/>
      <c r="G911" s="76"/>
      <c r="H911" s="76"/>
      <c r="I911" s="76"/>
      <c r="J911" s="76"/>
      <c r="K911" s="76"/>
      <c r="L911" s="76"/>
      <c r="M911" s="69"/>
      <c r="N911" s="76"/>
      <c r="O911" s="76"/>
      <c r="P911" s="76"/>
      <c r="Q911" s="76"/>
      <c r="R911" s="76"/>
      <c r="S911" s="76"/>
      <c r="T911" s="76"/>
      <c r="U911" s="76"/>
      <c r="V911" s="76"/>
      <c r="W911" s="76"/>
    </row>
    <row r="912" spans="1:23" ht="12.75">
      <c r="A912" s="76"/>
      <c r="B912" s="76"/>
      <c r="C912" s="76"/>
      <c r="D912" s="69"/>
      <c r="E912" s="76"/>
      <c r="F912" s="76"/>
      <c r="G912" s="76"/>
      <c r="H912" s="76"/>
      <c r="I912" s="76"/>
      <c r="J912" s="76"/>
      <c r="K912" s="76"/>
      <c r="L912" s="76"/>
      <c r="M912" s="69"/>
      <c r="N912" s="76"/>
      <c r="O912" s="76"/>
      <c r="P912" s="76"/>
      <c r="Q912" s="76"/>
      <c r="R912" s="76"/>
      <c r="S912" s="76"/>
      <c r="T912" s="76"/>
      <c r="U912" s="76"/>
      <c r="V912" s="76"/>
      <c r="W912" s="76"/>
    </row>
    <row r="913" spans="1:23" ht="12.75">
      <c r="A913" s="76"/>
      <c r="B913" s="76"/>
      <c r="C913" s="76"/>
      <c r="D913" s="69"/>
      <c r="E913" s="76"/>
      <c r="F913" s="76"/>
      <c r="G913" s="76"/>
      <c r="H913" s="76"/>
      <c r="I913" s="76"/>
      <c r="J913" s="76"/>
      <c r="K913" s="76"/>
      <c r="L913" s="76"/>
      <c r="M913" s="69"/>
      <c r="N913" s="76"/>
      <c r="O913" s="76"/>
      <c r="P913" s="76"/>
      <c r="Q913" s="76"/>
      <c r="R913" s="76"/>
      <c r="S913" s="76"/>
      <c r="T913" s="76"/>
      <c r="U913" s="76"/>
      <c r="V913" s="76"/>
      <c r="W913" s="76"/>
    </row>
    <row r="914" spans="1:23" ht="12.75">
      <c r="A914" s="76"/>
      <c r="B914" s="76"/>
      <c r="C914" s="76"/>
      <c r="D914" s="69"/>
      <c r="E914" s="76"/>
      <c r="F914" s="76"/>
      <c r="G914" s="76"/>
      <c r="H914" s="76"/>
      <c r="I914" s="76"/>
      <c r="J914" s="76"/>
      <c r="K914" s="76"/>
      <c r="L914" s="76"/>
      <c r="M914" s="69"/>
      <c r="N914" s="76"/>
      <c r="O914" s="76"/>
      <c r="P914" s="76"/>
      <c r="Q914" s="76"/>
      <c r="R914" s="76"/>
      <c r="S914" s="76"/>
      <c r="T914" s="76"/>
      <c r="U914" s="76"/>
      <c r="V914" s="76"/>
      <c r="W914" s="76"/>
    </row>
    <row r="915" spans="1:23" ht="12.75">
      <c r="A915" s="76"/>
      <c r="B915" s="76"/>
      <c r="C915" s="76"/>
      <c r="D915" s="69"/>
      <c r="E915" s="76"/>
      <c r="F915" s="76"/>
      <c r="G915" s="76"/>
      <c r="H915" s="76"/>
      <c r="I915" s="76"/>
      <c r="J915" s="76"/>
      <c r="K915" s="76"/>
      <c r="L915" s="76"/>
      <c r="M915" s="69"/>
      <c r="N915" s="76"/>
      <c r="O915" s="76"/>
      <c r="P915" s="76"/>
      <c r="Q915" s="76"/>
      <c r="R915" s="76"/>
      <c r="S915" s="76"/>
      <c r="T915" s="76"/>
      <c r="U915" s="76"/>
      <c r="V915" s="76"/>
      <c r="W915" s="76"/>
    </row>
    <row r="916" spans="1:23" ht="12.75">
      <c r="A916" s="76"/>
      <c r="B916" s="76"/>
      <c r="C916" s="76"/>
      <c r="D916" s="69"/>
      <c r="E916" s="76"/>
      <c r="F916" s="76"/>
      <c r="G916" s="76"/>
      <c r="H916" s="76"/>
      <c r="I916" s="76"/>
      <c r="J916" s="76"/>
      <c r="K916" s="76"/>
      <c r="L916" s="76"/>
      <c r="M916" s="69"/>
      <c r="N916" s="76"/>
      <c r="O916" s="76"/>
      <c r="P916" s="76"/>
      <c r="Q916" s="76"/>
      <c r="R916" s="76"/>
      <c r="S916" s="76"/>
      <c r="T916" s="76"/>
      <c r="U916" s="76"/>
      <c r="V916" s="76"/>
      <c r="W916" s="76"/>
    </row>
    <row r="917" spans="1:23" ht="12.75">
      <c r="A917" s="76"/>
      <c r="B917" s="76"/>
      <c r="C917" s="76"/>
      <c r="D917" s="69"/>
      <c r="E917" s="76"/>
      <c r="F917" s="76"/>
      <c r="G917" s="76"/>
      <c r="H917" s="76"/>
      <c r="I917" s="76"/>
      <c r="J917" s="76"/>
      <c r="K917" s="76"/>
      <c r="L917" s="76"/>
      <c r="M917" s="69"/>
      <c r="N917" s="76"/>
      <c r="O917" s="76"/>
      <c r="P917" s="76"/>
      <c r="Q917" s="76"/>
      <c r="R917" s="76"/>
      <c r="S917" s="76"/>
      <c r="T917" s="76"/>
      <c r="U917" s="76"/>
      <c r="V917" s="76"/>
      <c r="W917" s="76"/>
    </row>
    <row r="918" spans="1:23" ht="12.75">
      <c r="A918" s="76"/>
      <c r="B918" s="76"/>
      <c r="C918" s="76"/>
      <c r="D918" s="69"/>
      <c r="E918" s="76"/>
      <c r="F918" s="76"/>
      <c r="G918" s="76"/>
      <c r="H918" s="76"/>
      <c r="I918" s="76"/>
      <c r="J918" s="76"/>
      <c r="K918" s="76"/>
      <c r="L918" s="76"/>
      <c r="M918" s="69"/>
      <c r="N918" s="76"/>
      <c r="O918" s="76"/>
      <c r="P918" s="76"/>
      <c r="Q918" s="76"/>
      <c r="R918" s="76"/>
      <c r="S918" s="76"/>
      <c r="T918" s="76"/>
      <c r="U918" s="76"/>
      <c r="V918" s="76"/>
      <c r="W918" s="76"/>
    </row>
    <row r="919" spans="1:23" ht="12.75">
      <c r="A919" s="76"/>
      <c r="B919" s="76"/>
      <c r="C919" s="76"/>
      <c r="D919" s="69"/>
      <c r="E919" s="76"/>
      <c r="F919" s="76"/>
      <c r="G919" s="76"/>
      <c r="H919" s="76"/>
      <c r="I919" s="76"/>
      <c r="J919" s="76"/>
      <c r="K919" s="76"/>
      <c r="L919" s="76"/>
      <c r="M919" s="69"/>
      <c r="N919" s="76"/>
      <c r="O919" s="76"/>
      <c r="P919" s="76"/>
      <c r="Q919" s="76"/>
      <c r="R919" s="76"/>
      <c r="S919" s="76"/>
      <c r="T919" s="76"/>
      <c r="U919" s="76"/>
      <c r="V919" s="76"/>
      <c r="W919" s="76"/>
    </row>
    <row r="920" spans="1:23" ht="12.75">
      <c r="A920" s="76"/>
      <c r="B920" s="76"/>
      <c r="C920" s="76"/>
      <c r="D920" s="69"/>
      <c r="E920" s="76"/>
      <c r="F920" s="76"/>
      <c r="G920" s="76"/>
      <c r="H920" s="76"/>
      <c r="I920" s="76"/>
      <c r="J920" s="76"/>
      <c r="K920" s="76"/>
      <c r="L920" s="76"/>
      <c r="M920" s="69"/>
      <c r="N920" s="76"/>
      <c r="O920" s="76"/>
      <c r="P920" s="76"/>
      <c r="Q920" s="76"/>
      <c r="R920" s="76"/>
      <c r="S920" s="76"/>
      <c r="T920" s="76"/>
      <c r="U920" s="76"/>
      <c r="V920" s="76"/>
      <c r="W920" s="76"/>
    </row>
    <row r="921" spans="1:23" ht="12.75">
      <c r="A921" s="76"/>
      <c r="B921" s="76"/>
      <c r="C921" s="76"/>
      <c r="D921" s="69"/>
      <c r="E921" s="76"/>
      <c r="F921" s="76"/>
      <c r="G921" s="76"/>
      <c r="H921" s="76"/>
      <c r="I921" s="76"/>
      <c r="J921" s="76"/>
      <c r="K921" s="76"/>
      <c r="L921" s="76"/>
      <c r="M921" s="69"/>
      <c r="N921" s="76"/>
      <c r="O921" s="76"/>
      <c r="P921" s="76"/>
      <c r="Q921" s="76"/>
      <c r="R921" s="76"/>
      <c r="S921" s="76"/>
      <c r="T921" s="76"/>
      <c r="U921" s="76"/>
      <c r="V921" s="76"/>
      <c r="W921" s="76"/>
    </row>
    <row r="922" spans="1:23" ht="12.75">
      <c r="A922" s="76"/>
      <c r="B922" s="76"/>
      <c r="C922" s="76"/>
      <c r="D922" s="69"/>
      <c r="E922" s="76"/>
      <c r="F922" s="76"/>
      <c r="G922" s="76"/>
      <c r="H922" s="76"/>
      <c r="I922" s="76"/>
      <c r="J922" s="76"/>
      <c r="K922" s="76"/>
      <c r="L922" s="76"/>
      <c r="M922" s="69"/>
      <c r="N922" s="76"/>
      <c r="O922" s="76"/>
      <c r="P922" s="76"/>
      <c r="Q922" s="76"/>
      <c r="R922" s="76"/>
      <c r="S922" s="76"/>
      <c r="T922" s="76"/>
      <c r="U922" s="76"/>
      <c r="V922" s="76"/>
      <c r="W922" s="76"/>
    </row>
    <row r="923" spans="1:23" ht="12.75">
      <c r="A923" s="76"/>
      <c r="B923" s="76"/>
      <c r="C923" s="76"/>
      <c r="D923" s="69"/>
      <c r="E923" s="76"/>
      <c r="F923" s="76"/>
      <c r="G923" s="76"/>
      <c r="H923" s="76"/>
      <c r="I923" s="76"/>
      <c r="J923" s="76"/>
      <c r="K923" s="76"/>
      <c r="L923" s="76"/>
      <c r="M923" s="69"/>
      <c r="N923" s="76"/>
      <c r="O923" s="76"/>
      <c r="P923" s="76"/>
      <c r="Q923" s="76"/>
      <c r="R923" s="76"/>
      <c r="S923" s="76"/>
      <c r="T923" s="76"/>
      <c r="U923" s="76"/>
      <c r="V923" s="76"/>
      <c r="W923" s="76"/>
    </row>
    <row r="924" spans="1:23" ht="12.75">
      <c r="A924" s="76"/>
      <c r="B924" s="76"/>
      <c r="C924" s="76"/>
      <c r="D924" s="69"/>
      <c r="E924" s="76"/>
      <c r="F924" s="76"/>
      <c r="G924" s="76"/>
      <c r="H924" s="76"/>
      <c r="I924" s="76"/>
      <c r="J924" s="76"/>
      <c r="K924" s="76"/>
      <c r="L924" s="76"/>
      <c r="M924" s="69"/>
      <c r="N924" s="76"/>
      <c r="O924" s="76"/>
      <c r="P924" s="76"/>
      <c r="Q924" s="76"/>
      <c r="R924" s="76"/>
      <c r="S924" s="76"/>
      <c r="T924" s="76"/>
      <c r="U924" s="76"/>
      <c r="V924" s="76"/>
      <c r="W924" s="76"/>
    </row>
    <row r="925" spans="1:23" ht="12.75">
      <c r="A925" s="76"/>
      <c r="B925" s="76"/>
      <c r="C925" s="76"/>
      <c r="D925" s="69"/>
      <c r="E925" s="76"/>
      <c r="F925" s="76"/>
      <c r="G925" s="76"/>
      <c r="H925" s="76"/>
      <c r="I925" s="76"/>
      <c r="J925" s="76"/>
      <c r="K925" s="76"/>
      <c r="L925" s="76"/>
      <c r="M925" s="69"/>
      <c r="N925" s="76"/>
      <c r="O925" s="76"/>
      <c r="P925" s="76"/>
      <c r="Q925" s="76"/>
      <c r="R925" s="76"/>
      <c r="S925" s="76"/>
      <c r="T925" s="76"/>
      <c r="U925" s="76"/>
      <c r="V925" s="76"/>
      <c r="W925" s="76"/>
    </row>
    <row r="926" spans="1:23" ht="12.75">
      <c r="A926" s="76"/>
      <c r="B926" s="76"/>
      <c r="C926" s="76"/>
      <c r="D926" s="69"/>
      <c r="E926" s="76"/>
      <c r="F926" s="76"/>
      <c r="G926" s="76"/>
      <c r="H926" s="76"/>
      <c r="I926" s="76"/>
      <c r="J926" s="76"/>
      <c r="K926" s="76"/>
      <c r="L926" s="76"/>
      <c r="M926" s="69"/>
      <c r="N926" s="76"/>
      <c r="O926" s="76"/>
      <c r="P926" s="76"/>
      <c r="Q926" s="76"/>
      <c r="R926" s="76"/>
      <c r="S926" s="76"/>
      <c r="T926" s="76"/>
      <c r="U926" s="76"/>
      <c r="V926" s="76"/>
      <c r="W926" s="76"/>
    </row>
    <row r="927" spans="1:23" ht="12.75">
      <c r="A927" s="76"/>
      <c r="B927" s="76"/>
      <c r="C927" s="76"/>
      <c r="D927" s="69"/>
      <c r="E927" s="76"/>
      <c r="F927" s="76"/>
      <c r="G927" s="76"/>
      <c r="H927" s="76"/>
      <c r="I927" s="76"/>
      <c r="J927" s="76"/>
      <c r="K927" s="76"/>
      <c r="L927" s="76"/>
      <c r="M927" s="69"/>
      <c r="N927" s="76"/>
      <c r="O927" s="76"/>
      <c r="P927" s="76"/>
      <c r="Q927" s="76"/>
      <c r="R927" s="76"/>
      <c r="S927" s="76"/>
      <c r="T927" s="76"/>
      <c r="U927" s="76"/>
      <c r="V927" s="76"/>
      <c r="W927" s="76"/>
    </row>
    <row r="928" spans="1:23" ht="12.75">
      <c r="A928" s="76"/>
      <c r="B928" s="76"/>
      <c r="C928" s="76"/>
      <c r="D928" s="69"/>
      <c r="E928" s="76"/>
      <c r="F928" s="76"/>
      <c r="G928" s="76"/>
      <c r="H928" s="76"/>
      <c r="I928" s="76"/>
      <c r="J928" s="76"/>
      <c r="K928" s="76"/>
      <c r="L928" s="76"/>
      <c r="M928" s="69"/>
      <c r="N928" s="76"/>
      <c r="O928" s="76"/>
      <c r="P928" s="76"/>
      <c r="Q928" s="76"/>
      <c r="R928" s="76"/>
      <c r="S928" s="76"/>
      <c r="T928" s="76"/>
      <c r="U928" s="76"/>
      <c r="V928" s="76"/>
      <c r="W928" s="76"/>
    </row>
    <row r="929" spans="1:23" ht="12.75">
      <c r="A929" s="76"/>
      <c r="B929" s="76"/>
      <c r="C929" s="76"/>
      <c r="D929" s="69"/>
      <c r="E929" s="76"/>
      <c r="F929" s="76"/>
      <c r="G929" s="76"/>
      <c r="H929" s="76"/>
      <c r="I929" s="76"/>
      <c r="J929" s="76"/>
      <c r="K929" s="76"/>
      <c r="L929" s="76"/>
      <c r="M929" s="69"/>
      <c r="N929" s="76"/>
      <c r="O929" s="76"/>
      <c r="P929" s="76"/>
      <c r="Q929" s="76"/>
      <c r="R929" s="76"/>
      <c r="S929" s="76"/>
      <c r="T929" s="76"/>
      <c r="U929" s="76"/>
      <c r="V929" s="76"/>
      <c r="W929" s="76"/>
    </row>
    <row r="930" spans="1:23" ht="12.75">
      <c r="A930" s="76"/>
      <c r="B930" s="76"/>
      <c r="C930" s="76"/>
      <c r="D930" s="69"/>
      <c r="E930" s="76"/>
      <c r="F930" s="76"/>
      <c r="G930" s="76"/>
      <c r="H930" s="76"/>
      <c r="I930" s="76"/>
      <c r="J930" s="76"/>
      <c r="K930" s="76"/>
      <c r="L930" s="76"/>
      <c r="M930" s="69"/>
      <c r="N930" s="76"/>
      <c r="O930" s="76"/>
      <c r="P930" s="76"/>
      <c r="Q930" s="76"/>
      <c r="R930" s="76"/>
      <c r="S930" s="76"/>
      <c r="T930" s="76"/>
      <c r="U930" s="76"/>
      <c r="V930" s="76"/>
      <c r="W930" s="76"/>
    </row>
    <row r="931" spans="1:23" ht="12.75">
      <c r="A931" s="76"/>
      <c r="B931" s="76"/>
      <c r="C931" s="76"/>
      <c r="D931" s="69"/>
      <c r="E931" s="76"/>
      <c r="F931" s="76"/>
      <c r="G931" s="76"/>
      <c r="H931" s="76"/>
      <c r="I931" s="76"/>
      <c r="J931" s="76"/>
      <c r="K931" s="76"/>
      <c r="L931" s="76"/>
      <c r="M931" s="69"/>
      <c r="N931" s="76"/>
      <c r="O931" s="76"/>
      <c r="P931" s="76"/>
      <c r="Q931" s="76"/>
      <c r="R931" s="76"/>
      <c r="S931" s="76"/>
      <c r="T931" s="76"/>
      <c r="U931" s="76"/>
      <c r="V931" s="76"/>
      <c r="W931" s="76"/>
    </row>
    <row r="932" spans="1:23" ht="12.75">
      <c r="A932" s="76"/>
      <c r="B932" s="76"/>
      <c r="C932" s="76"/>
      <c r="D932" s="69"/>
      <c r="E932" s="76"/>
      <c r="F932" s="76"/>
      <c r="G932" s="76"/>
      <c r="H932" s="76"/>
      <c r="I932" s="76"/>
      <c r="J932" s="76"/>
      <c r="K932" s="76"/>
      <c r="L932" s="76"/>
      <c r="M932" s="69"/>
      <c r="N932" s="76"/>
      <c r="O932" s="76"/>
      <c r="P932" s="76"/>
      <c r="Q932" s="76"/>
      <c r="R932" s="76"/>
      <c r="S932" s="76"/>
      <c r="T932" s="76"/>
      <c r="U932" s="76"/>
      <c r="V932" s="76"/>
      <c r="W932" s="76"/>
    </row>
    <row r="933" spans="1:23" ht="12.75">
      <c r="A933" s="76"/>
      <c r="B933" s="76"/>
      <c r="C933" s="76"/>
      <c r="D933" s="69"/>
      <c r="E933" s="76"/>
      <c r="F933" s="76"/>
      <c r="G933" s="76"/>
      <c r="H933" s="76"/>
      <c r="I933" s="76"/>
      <c r="J933" s="76"/>
      <c r="K933" s="76"/>
      <c r="L933" s="76"/>
      <c r="M933" s="69"/>
      <c r="N933" s="76"/>
      <c r="O933" s="76"/>
      <c r="P933" s="76"/>
      <c r="Q933" s="76"/>
      <c r="R933" s="76"/>
      <c r="S933" s="76"/>
      <c r="T933" s="76"/>
      <c r="U933" s="76"/>
      <c r="V933" s="76"/>
      <c r="W933" s="76"/>
    </row>
    <row r="934" spans="1:23" ht="12.75">
      <c r="A934" s="76"/>
      <c r="B934" s="76"/>
      <c r="C934" s="76"/>
      <c r="D934" s="69"/>
      <c r="E934" s="76"/>
      <c r="F934" s="76"/>
      <c r="G934" s="76"/>
      <c r="H934" s="76"/>
      <c r="I934" s="76"/>
      <c r="J934" s="76"/>
      <c r="K934" s="76"/>
      <c r="L934" s="76"/>
      <c r="M934" s="69"/>
      <c r="N934" s="76"/>
      <c r="O934" s="76"/>
      <c r="P934" s="76"/>
      <c r="Q934" s="76"/>
      <c r="R934" s="76"/>
      <c r="S934" s="76"/>
      <c r="T934" s="76"/>
      <c r="U934" s="76"/>
      <c r="V934" s="76"/>
      <c r="W934" s="76"/>
    </row>
    <row r="935" spans="1:23" ht="12.75">
      <c r="A935" s="76"/>
      <c r="B935" s="76"/>
      <c r="C935" s="76"/>
      <c r="D935" s="69"/>
      <c r="E935" s="76"/>
      <c r="F935" s="76"/>
      <c r="G935" s="76"/>
      <c r="H935" s="76"/>
      <c r="I935" s="76"/>
      <c r="J935" s="76"/>
      <c r="K935" s="76"/>
      <c r="L935" s="76"/>
      <c r="M935" s="69"/>
      <c r="N935" s="76"/>
      <c r="O935" s="76"/>
      <c r="P935" s="76"/>
      <c r="Q935" s="76"/>
      <c r="R935" s="76"/>
      <c r="S935" s="76"/>
      <c r="T935" s="76"/>
      <c r="U935" s="76"/>
      <c r="V935" s="76"/>
      <c r="W935" s="76"/>
    </row>
    <row r="936" spans="1:23" ht="12.75">
      <c r="A936" s="76"/>
      <c r="B936" s="76"/>
      <c r="C936" s="76"/>
      <c r="D936" s="69"/>
      <c r="E936" s="76"/>
      <c r="F936" s="76"/>
      <c r="G936" s="76"/>
      <c r="H936" s="76"/>
      <c r="I936" s="76"/>
      <c r="J936" s="76"/>
      <c r="K936" s="76"/>
      <c r="L936" s="76"/>
      <c r="M936" s="69"/>
      <c r="N936" s="76"/>
      <c r="O936" s="76"/>
      <c r="P936" s="76"/>
      <c r="Q936" s="76"/>
      <c r="R936" s="76"/>
      <c r="S936" s="76"/>
      <c r="T936" s="76"/>
      <c r="U936" s="76"/>
      <c r="V936" s="76"/>
      <c r="W936" s="76"/>
    </row>
    <row r="937" spans="1:23" ht="12.75">
      <c r="A937" s="76"/>
      <c r="B937" s="76"/>
      <c r="C937" s="76"/>
      <c r="D937" s="69"/>
      <c r="E937" s="76"/>
      <c r="F937" s="76"/>
      <c r="G937" s="76"/>
      <c r="H937" s="76"/>
      <c r="I937" s="76"/>
      <c r="J937" s="76"/>
      <c r="K937" s="76"/>
      <c r="L937" s="76"/>
      <c r="M937" s="69"/>
      <c r="N937" s="76"/>
      <c r="O937" s="76"/>
      <c r="P937" s="76"/>
      <c r="Q937" s="76"/>
      <c r="R937" s="76"/>
      <c r="S937" s="76"/>
      <c r="T937" s="76"/>
      <c r="U937" s="76"/>
      <c r="V937" s="76"/>
      <c r="W937" s="76"/>
    </row>
    <row r="938" spans="1:23" ht="12.75">
      <c r="A938" s="76"/>
      <c r="B938" s="76"/>
      <c r="C938" s="76"/>
      <c r="D938" s="69"/>
      <c r="E938" s="76"/>
      <c r="F938" s="76"/>
      <c r="G938" s="76"/>
      <c r="H938" s="76"/>
      <c r="I938" s="76"/>
      <c r="J938" s="76"/>
      <c r="K938" s="76"/>
      <c r="L938" s="76"/>
      <c r="M938" s="69"/>
      <c r="N938" s="76"/>
      <c r="O938" s="76"/>
      <c r="P938" s="76"/>
      <c r="Q938" s="76"/>
      <c r="R938" s="76"/>
      <c r="S938" s="76"/>
      <c r="T938" s="76"/>
      <c r="U938" s="76"/>
      <c r="V938" s="76"/>
      <c r="W938" s="76"/>
    </row>
    <row r="939" spans="1:23" ht="12.75">
      <c r="A939" s="76"/>
      <c r="B939" s="76"/>
      <c r="C939" s="76"/>
      <c r="D939" s="69"/>
      <c r="E939" s="76"/>
      <c r="F939" s="76"/>
      <c r="G939" s="76"/>
      <c r="H939" s="76"/>
      <c r="I939" s="76"/>
      <c r="J939" s="76"/>
      <c r="K939" s="76"/>
      <c r="L939" s="76"/>
      <c r="M939" s="69"/>
      <c r="N939" s="76"/>
      <c r="O939" s="76"/>
      <c r="P939" s="76"/>
      <c r="Q939" s="76"/>
      <c r="R939" s="76"/>
      <c r="S939" s="76"/>
      <c r="T939" s="76"/>
      <c r="U939" s="76"/>
      <c r="V939" s="76"/>
      <c r="W939" s="76"/>
    </row>
    <row r="940" spans="1:23" ht="12.75">
      <c r="A940" s="76"/>
      <c r="B940" s="76"/>
      <c r="C940" s="76"/>
      <c r="D940" s="69"/>
      <c r="E940" s="76"/>
      <c r="F940" s="76"/>
      <c r="G940" s="76"/>
      <c r="H940" s="76"/>
      <c r="I940" s="76"/>
      <c r="J940" s="76"/>
      <c r="K940" s="76"/>
      <c r="L940" s="76"/>
      <c r="M940" s="69"/>
      <c r="N940" s="76"/>
      <c r="O940" s="76"/>
      <c r="P940" s="76"/>
      <c r="Q940" s="76"/>
      <c r="R940" s="76"/>
      <c r="S940" s="76"/>
      <c r="T940" s="76"/>
      <c r="U940" s="76"/>
      <c r="V940" s="76"/>
      <c r="W940" s="76"/>
    </row>
    <row r="941" spans="1:23" ht="12.75">
      <c r="A941" s="76"/>
      <c r="B941" s="76"/>
      <c r="C941" s="76"/>
      <c r="D941" s="69"/>
      <c r="E941" s="76"/>
      <c r="F941" s="76"/>
      <c r="G941" s="76"/>
      <c r="H941" s="76"/>
      <c r="I941" s="76"/>
      <c r="J941" s="76"/>
      <c r="K941" s="76"/>
      <c r="L941" s="76"/>
      <c r="M941" s="69"/>
      <c r="N941" s="76"/>
      <c r="O941" s="76"/>
      <c r="P941" s="76"/>
      <c r="Q941" s="76"/>
      <c r="R941" s="76"/>
      <c r="S941" s="76"/>
      <c r="T941" s="76"/>
      <c r="U941" s="76"/>
      <c r="V941" s="76"/>
      <c r="W941" s="76"/>
    </row>
    <row r="942" spans="1:23" ht="12.75">
      <c r="A942" s="76"/>
      <c r="B942" s="76"/>
      <c r="C942" s="76"/>
      <c r="D942" s="69"/>
      <c r="E942" s="76"/>
      <c r="F942" s="76"/>
      <c r="G942" s="76"/>
      <c r="H942" s="76"/>
      <c r="I942" s="76"/>
      <c r="J942" s="76"/>
      <c r="K942" s="76"/>
      <c r="L942" s="76"/>
      <c r="M942" s="69"/>
      <c r="N942" s="76"/>
      <c r="O942" s="76"/>
      <c r="P942" s="76"/>
      <c r="Q942" s="76"/>
      <c r="R942" s="76"/>
      <c r="S942" s="76"/>
      <c r="T942" s="76"/>
      <c r="U942" s="76"/>
      <c r="V942" s="76"/>
      <c r="W942" s="76"/>
    </row>
    <row r="943" spans="1:23" ht="12.75">
      <c r="A943" s="76"/>
      <c r="B943" s="76"/>
      <c r="C943" s="76"/>
      <c r="D943" s="69"/>
      <c r="E943" s="76"/>
      <c r="F943" s="76"/>
      <c r="G943" s="76"/>
      <c r="H943" s="76"/>
      <c r="I943" s="76"/>
      <c r="J943" s="76"/>
      <c r="K943" s="76"/>
      <c r="L943" s="76"/>
      <c r="M943" s="69"/>
      <c r="N943" s="76"/>
      <c r="O943" s="76"/>
      <c r="P943" s="76"/>
      <c r="Q943" s="76"/>
      <c r="R943" s="76"/>
      <c r="S943" s="76"/>
      <c r="T943" s="76"/>
      <c r="U943" s="76"/>
      <c r="V943" s="76"/>
      <c r="W943" s="76"/>
    </row>
    <row r="944" spans="1:23" ht="12.75">
      <c r="A944" s="76"/>
      <c r="B944" s="76"/>
      <c r="C944" s="76"/>
      <c r="D944" s="69"/>
      <c r="E944" s="76"/>
      <c r="F944" s="76"/>
      <c r="G944" s="76"/>
      <c r="H944" s="76"/>
      <c r="I944" s="76"/>
      <c r="J944" s="76"/>
      <c r="K944" s="76"/>
      <c r="L944" s="76"/>
      <c r="M944" s="69"/>
      <c r="N944" s="76"/>
      <c r="O944" s="76"/>
      <c r="P944" s="76"/>
      <c r="Q944" s="76"/>
      <c r="R944" s="76"/>
      <c r="S944" s="76"/>
      <c r="T944" s="76"/>
      <c r="U944" s="76"/>
      <c r="V944" s="76"/>
      <c r="W944" s="76"/>
    </row>
    <row r="945" spans="1:23" ht="12.75">
      <c r="A945" s="76"/>
      <c r="B945" s="76"/>
      <c r="C945" s="76"/>
      <c r="D945" s="69"/>
      <c r="E945" s="76"/>
      <c r="F945" s="76"/>
      <c r="G945" s="76"/>
      <c r="H945" s="76"/>
      <c r="I945" s="76"/>
      <c r="J945" s="76"/>
      <c r="K945" s="76"/>
      <c r="L945" s="76"/>
      <c r="M945" s="69"/>
      <c r="N945" s="76"/>
      <c r="O945" s="76"/>
      <c r="P945" s="76"/>
      <c r="Q945" s="76"/>
      <c r="R945" s="76"/>
      <c r="S945" s="76"/>
      <c r="T945" s="76"/>
      <c r="U945" s="76"/>
      <c r="V945" s="76"/>
      <c r="W945" s="76"/>
    </row>
    <row r="946" spans="1:23" ht="12.75">
      <c r="A946" s="76"/>
      <c r="B946" s="76"/>
      <c r="C946" s="76"/>
      <c r="D946" s="69"/>
      <c r="E946" s="76"/>
      <c r="F946" s="76"/>
      <c r="G946" s="76"/>
      <c r="H946" s="76"/>
      <c r="I946" s="76"/>
      <c r="J946" s="76"/>
      <c r="K946" s="76"/>
      <c r="L946" s="76"/>
      <c r="M946" s="69"/>
      <c r="N946" s="76"/>
      <c r="O946" s="76"/>
      <c r="P946" s="76"/>
      <c r="Q946" s="76"/>
      <c r="R946" s="76"/>
      <c r="S946" s="76"/>
      <c r="T946" s="76"/>
      <c r="U946" s="76"/>
      <c r="V946" s="76"/>
      <c r="W946" s="76"/>
    </row>
    <row r="947" spans="1:23" ht="12.75">
      <c r="A947" s="76"/>
      <c r="B947" s="76"/>
      <c r="C947" s="76"/>
      <c r="D947" s="69"/>
      <c r="E947" s="76"/>
      <c r="F947" s="76"/>
      <c r="G947" s="76"/>
      <c r="H947" s="76"/>
      <c r="I947" s="76"/>
      <c r="J947" s="76"/>
      <c r="K947" s="76"/>
      <c r="L947" s="76"/>
      <c r="M947" s="69"/>
      <c r="N947" s="76"/>
      <c r="O947" s="76"/>
      <c r="P947" s="76"/>
      <c r="Q947" s="76"/>
      <c r="R947" s="76"/>
      <c r="S947" s="76"/>
      <c r="T947" s="76"/>
      <c r="U947" s="76"/>
      <c r="V947" s="76"/>
      <c r="W947" s="76"/>
    </row>
    <row r="948" spans="1:23" ht="12.75">
      <c r="A948" s="76"/>
      <c r="B948" s="76"/>
      <c r="C948" s="76"/>
      <c r="D948" s="69"/>
      <c r="E948" s="76"/>
      <c r="F948" s="76"/>
      <c r="G948" s="76"/>
      <c r="H948" s="76"/>
      <c r="I948" s="76"/>
      <c r="J948" s="76"/>
      <c r="K948" s="76"/>
      <c r="L948" s="76"/>
      <c r="M948" s="69"/>
      <c r="N948" s="76"/>
      <c r="O948" s="76"/>
      <c r="P948" s="76"/>
      <c r="Q948" s="76"/>
      <c r="R948" s="76"/>
      <c r="S948" s="76"/>
      <c r="T948" s="76"/>
      <c r="U948" s="76"/>
      <c r="V948" s="76"/>
      <c r="W948" s="76"/>
    </row>
    <row r="949" spans="1:23" ht="12.75">
      <c r="A949" s="76"/>
      <c r="B949" s="76"/>
      <c r="C949" s="76"/>
      <c r="D949" s="69"/>
      <c r="E949" s="76"/>
      <c r="F949" s="76"/>
      <c r="G949" s="76"/>
      <c r="H949" s="76"/>
      <c r="I949" s="76"/>
      <c r="J949" s="76"/>
      <c r="K949" s="76"/>
      <c r="L949" s="76"/>
      <c r="M949" s="69"/>
      <c r="N949" s="76"/>
      <c r="O949" s="76"/>
      <c r="P949" s="76"/>
      <c r="Q949" s="76"/>
      <c r="R949" s="76"/>
      <c r="S949" s="76"/>
      <c r="T949" s="76"/>
      <c r="U949" s="76"/>
      <c r="V949" s="76"/>
      <c r="W949" s="76"/>
    </row>
    <row r="950" spans="1:23" ht="12.75">
      <c r="A950" s="76"/>
      <c r="B950" s="76"/>
      <c r="C950" s="76"/>
      <c r="D950" s="69"/>
      <c r="E950" s="76"/>
      <c r="F950" s="76"/>
      <c r="G950" s="76"/>
      <c r="H950" s="76"/>
      <c r="I950" s="76"/>
      <c r="J950" s="76"/>
      <c r="K950" s="76"/>
      <c r="L950" s="76"/>
      <c r="M950" s="69"/>
      <c r="N950" s="76"/>
      <c r="O950" s="76"/>
      <c r="P950" s="76"/>
      <c r="Q950" s="76"/>
      <c r="R950" s="76"/>
      <c r="S950" s="76"/>
      <c r="T950" s="76"/>
      <c r="U950" s="76"/>
      <c r="V950" s="76"/>
      <c r="W950" s="76"/>
    </row>
    <row r="951" spans="1:23" ht="12.75">
      <c r="A951" s="76"/>
      <c r="B951" s="76"/>
      <c r="C951" s="76"/>
      <c r="D951" s="69"/>
      <c r="E951" s="76"/>
      <c r="F951" s="76"/>
      <c r="G951" s="76"/>
      <c r="H951" s="76"/>
      <c r="I951" s="76"/>
      <c r="J951" s="76"/>
      <c r="K951" s="76"/>
      <c r="L951" s="76"/>
      <c r="M951" s="69"/>
      <c r="N951" s="76"/>
      <c r="O951" s="76"/>
      <c r="P951" s="76"/>
      <c r="Q951" s="76"/>
      <c r="R951" s="76"/>
      <c r="S951" s="76"/>
      <c r="T951" s="76"/>
      <c r="U951" s="76"/>
      <c r="V951" s="76"/>
      <c r="W951" s="76"/>
    </row>
    <row r="952" spans="1:23" ht="12.75">
      <c r="A952" s="76"/>
      <c r="B952" s="76"/>
      <c r="C952" s="76"/>
      <c r="D952" s="69"/>
      <c r="E952" s="76"/>
      <c r="F952" s="76"/>
      <c r="G952" s="76"/>
      <c r="H952" s="76"/>
      <c r="I952" s="76"/>
      <c r="J952" s="76"/>
      <c r="K952" s="76"/>
      <c r="L952" s="76"/>
      <c r="M952" s="69"/>
      <c r="N952" s="76"/>
      <c r="O952" s="76"/>
      <c r="P952" s="76"/>
      <c r="Q952" s="76"/>
      <c r="R952" s="76"/>
      <c r="S952" s="76"/>
      <c r="T952" s="76"/>
      <c r="U952" s="76"/>
      <c r="V952" s="76"/>
      <c r="W952" s="76"/>
    </row>
    <row r="953" spans="1:23" ht="12.75">
      <c r="A953" s="76"/>
      <c r="B953" s="76"/>
      <c r="C953" s="76"/>
      <c r="D953" s="69"/>
      <c r="E953" s="76"/>
      <c r="F953" s="76"/>
      <c r="G953" s="76"/>
      <c r="H953" s="76"/>
      <c r="I953" s="76"/>
      <c r="J953" s="76"/>
      <c r="K953" s="76"/>
      <c r="L953" s="76"/>
      <c r="M953" s="69"/>
      <c r="N953" s="76"/>
      <c r="O953" s="76"/>
      <c r="P953" s="76"/>
      <c r="Q953" s="76"/>
      <c r="R953" s="76"/>
      <c r="S953" s="76"/>
      <c r="T953" s="76"/>
      <c r="U953" s="76"/>
      <c r="V953" s="76"/>
      <c r="W953" s="76"/>
    </row>
    <row r="954" spans="1:23" ht="12.75">
      <c r="A954" s="76"/>
      <c r="B954" s="76"/>
      <c r="C954" s="76"/>
      <c r="D954" s="69"/>
      <c r="E954" s="76"/>
      <c r="F954" s="76"/>
      <c r="G954" s="76"/>
      <c r="H954" s="76"/>
      <c r="I954" s="76"/>
      <c r="J954" s="76"/>
      <c r="K954" s="76"/>
      <c r="L954" s="76"/>
      <c r="M954" s="69"/>
      <c r="N954" s="76"/>
      <c r="O954" s="76"/>
      <c r="P954" s="76"/>
      <c r="Q954" s="76"/>
      <c r="R954" s="76"/>
      <c r="S954" s="76"/>
      <c r="T954" s="76"/>
      <c r="U954" s="76"/>
      <c r="V954" s="76"/>
      <c r="W954" s="76"/>
    </row>
    <row r="955" spans="1:23" ht="12.75">
      <c r="A955" s="76"/>
      <c r="B955" s="76"/>
      <c r="C955" s="76"/>
      <c r="D955" s="69"/>
      <c r="E955" s="76"/>
      <c r="F955" s="76"/>
      <c r="G955" s="76"/>
      <c r="H955" s="76"/>
      <c r="I955" s="76"/>
      <c r="J955" s="76"/>
      <c r="K955" s="76"/>
      <c r="L955" s="76"/>
      <c r="M955" s="69"/>
      <c r="N955" s="76"/>
      <c r="O955" s="76"/>
      <c r="P955" s="76"/>
      <c r="Q955" s="76"/>
      <c r="R955" s="76"/>
      <c r="S955" s="76"/>
      <c r="T955" s="76"/>
      <c r="U955" s="76"/>
      <c r="V955" s="76"/>
      <c r="W955" s="76"/>
    </row>
    <row r="956" spans="1:23" ht="12.75">
      <c r="A956" s="76"/>
      <c r="B956" s="76"/>
      <c r="C956" s="76"/>
      <c r="D956" s="69"/>
      <c r="E956" s="76"/>
      <c r="F956" s="76"/>
      <c r="G956" s="76"/>
      <c r="H956" s="76"/>
      <c r="I956" s="76"/>
      <c r="J956" s="76"/>
      <c r="K956" s="76"/>
      <c r="L956" s="76"/>
      <c r="M956" s="69"/>
      <c r="N956" s="76"/>
      <c r="O956" s="76"/>
      <c r="P956" s="76"/>
      <c r="Q956" s="76"/>
      <c r="R956" s="76"/>
      <c r="S956" s="76"/>
      <c r="T956" s="76"/>
      <c r="U956" s="76"/>
      <c r="V956" s="76"/>
      <c r="W956" s="76"/>
    </row>
    <row r="957" spans="1:23" ht="12.75">
      <c r="A957" s="76"/>
      <c r="B957" s="76"/>
      <c r="C957" s="76"/>
      <c r="D957" s="69"/>
      <c r="E957" s="76"/>
      <c r="F957" s="76"/>
      <c r="G957" s="76"/>
      <c r="H957" s="76"/>
      <c r="I957" s="76"/>
      <c r="J957" s="76"/>
      <c r="K957" s="76"/>
      <c r="L957" s="76"/>
      <c r="M957" s="69"/>
      <c r="N957" s="76"/>
      <c r="O957" s="76"/>
      <c r="P957" s="76"/>
      <c r="Q957" s="76"/>
      <c r="R957" s="76"/>
      <c r="S957" s="76"/>
      <c r="T957" s="76"/>
      <c r="U957" s="76"/>
      <c r="V957" s="76"/>
      <c r="W957" s="76"/>
    </row>
    <row r="958" spans="1:23" ht="12.75">
      <c r="A958" s="76"/>
      <c r="B958" s="76"/>
      <c r="C958" s="76"/>
      <c r="D958" s="69"/>
      <c r="E958" s="76"/>
      <c r="F958" s="76"/>
      <c r="G958" s="76"/>
      <c r="H958" s="76"/>
      <c r="I958" s="76"/>
      <c r="J958" s="76"/>
      <c r="K958" s="76"/>
      <c r="L958" s="76"/>
      <c r="M958" s="69"/>
      <c r="N958" s="76"/>
      <c r="O958" s="76"/>
      <c r="P958" s="76"/>
      <c r="Q958" s="76"/>
      <c r="R958" s="76"/>
      <c r="S958" s="76"/>
      <c r="T958" s="76"/>
      <c r="U958" s="76"/>
      <c r="V958" s="76"/>
      <c r="W958" s="76"/>
    </row>
    <row r="959" spans="1:23" ht="12.75">
      <c r="A959" s="76"/>
      <c r="B959" s="76"/>
      <c r="C959" s="76"/>
      <c r="D959" s="69"/>
      <c r="E959" s="76"/>
      <c r="F959" s="76"/>
      <c r="G959" s="76"/>
      <c r="H959" s="76"/>
      <c r="I959" s="76"/>
      <c r="J959" s="76"/>
      <c r="K959" s="76"/>
      <c r="L959" s="76"/>
      <c r="M959" s="69"/>
      <c r="N959" s="76"/>
      <c r="O959" s="76"/>
      <c r="P959" s="76"/>
      <c r="Q959" s="76"/>
      <c r="R959" s="76"/>
      <c r="S959" s="76"/>
      <c r="T959" s="76"/>
      <c r="U959" s="76"/>
      <c r="V959" s="76"/>
      <c r="W959" s="76"/>
    </row>
    <row r="960" spans="1:23" ht="12.75">
      <c r="A960" s="76"/>
      <c r="B960" s="76"/>
      <c r="C960" s="76"/>
      <c r="D960" s="69"/>
      <c r="E960" s="76"/>
      <c r="F960" s="76"/>
      <c r="G960" s="76"/>
      <c r="H960" s="76"/>
      <c r="I960" s="76"/>
      <c r="J960" s="76"/>
      <c r="K960" s="76"/>
      <c r="L960" s="76"/>
      <c r="M960" s="69"/>
      <c r="N960" s="76"/>
      <c r="O960" s="76"/>
      <c r="P960" s="76"/>
      <c r="Q960" s="76"/>
      <c r="R960" s="76"/>
      <c r="S960" s="76"/>
      <c r="T960" s="76"/>
      <c r="U960" s="76"/>
      <c r="V960" s="76"/>
      <c r="W960" s="76"/>
    </row>
    <row r="961" spans="1:23" ht="12.75">
      <c r="A961" s="76"/>
      <c r="B961" s="76"/>
      <c r="C961" s="76"/>
      <c r="D961" s="69"/>
      <c r="E961" s="76"/>
      <c r="F961" s="76"/>
      <c r="G961" s="76"/>
      <c r="H961" s="76"/>
      <c r="I961" s="76"/>
      <c r="J961" s="76"/>
      <c r="K961" s="76"/>
      <c r="L961" s="76"/>
      <c r="M961" s="69"/>
      <c r="N961" s="76"/>
      <c r="O961" s="76"/>
      <c r="P961" s="76"/>
      <c r="Q961" s="76"/>
      <c r="R961" s="76"/>
      <c r="S961" s="76"/>
      <c r="T961" s="76"/>
      <c r="U961" s="76"/>
      <c r="V961" s="76"/>
      <c r="W961" s="76"/>
    </row>
    <row r="962" spans="1:23" ht="12.75">
      <c r="A962" s="76"/>
      <c r="B962" s="76"/>
      <c r="C962" s="76"/>
      <c r="D962" s="69"/>
      <c r="E962" s="76"/>
      <c r="F962" s="76"/>
      <c r="G962" s="76"/>
      <c r="H962" s="76"/>
      <c r="I962" s="76"/>
      <c r="J962" s="76"/>
      <c r="K962" s="76"/>
      <c r="L962" s="76"/>
      <c r="M962" s="69"/>
      <c r="N962" s="76"/>
      <c r="O962" s="76"/>
      <c r="P962" s="76"/>
      <c r="Q962" s="76"/>
      <c r="R962" s="76"/>
      <c r="S962" s="76"/>
      <c r="T962" s="76"/>
      <c r="U962" s="76"/>
      <c r="V962" s="76"/>
      <c r="W962" s="76"/>
    </row>
    <row r="963" spans="1:23" ht="12.75">
      <c r="A963" s="76"/>
      <c r="B963" s="76"/>
      <c r="C963" s="76"/>
      <c r="D963" s="69"/>
      <c r="E963" s="76"/>
      <c r="F963" s="76"/>
      <c r="G963" s="76"/>
      <c r="H963" s="76"/>
      <c r="I963" s="76"/>
      <c r="J963" s="76"/>
      <c r="K963" s="76"/>
      <c r="L963" s="76"/>
      <c r="M963" s="69"/>
      <c r="N963" s="76"/>
      <c r="O963" s="76"/>
      <c r="P963" s="76"/>
      <c r="Q963" s="76"/>
      <c r="R963" s="76"/>
      <c r="S963" s="76"/>
      <c r="T963" s="76"/>
      <c r="U963" s="76"/>
      <c r="V963" s="76"/>
      <c r="W963" s="76"/>
    </row>
    <row r="964" spans="1:23" ht="12.75">
      <c r="A964" s="76"/>
      <c r="B964" s="76"/>
      <c r="C964" s="76"/>
      <c r="D964" s="69"/>
      <c r="E964" s="76"/>
      <c r="F964" s="76"/>
      <c r="G964" s="76"/>
      <c r="H964" s="76"/>
      <c r="I964" s="76"/>
      <c r="J964" s="76"/>
      <c r="K964" s="76"/>
      <c r="L964" s="76"/>
      <c r="M964" s="69"/>
      <c r="N964" s="76"/>
      <c r="O964" s="76"/>
      <c r="P964" s="76"/>
      <c r="Q964" s="76"/>
      <c r="R964" s="76"/>
      <c r="S964" s="76"/>
      <c r="T964" s="76"/>
      <c r="U964" s="76"/>
      <c r="V964" s="76"/>
      <c r="W964" s="76"/>
    </row>
    <row r="965" spans="1:23" ht="12.75">
      <c r="A965" s="76"/>
      <c r="B965" s="76"/>
      <c r="C965" s="76"/>
      <c r="D965" s="69"/>
      <c r="E965" s="76"/>
      <c r="F965" s="76"/>
      <c r="G965" s="76"/>
      <c r="H965" s="76"/>
      <c r="I965" s="76"/>
      <c r="J965" s="76"/>
      <c r="K965" s="76"/>
      <c r="L965" s="76"/>
      <c r="M965" s="69"/>
      <c r="N965" s="76"/>
      <c r="O965" s="76"/>
      <c r="P965" s="76"/>
      <c r="Q965" s="76"/>
      <c r="R965" s="76"/>
      <c r="S965" s="76"/>
      <c r="T965" s="76"/>
      <c r="U965" s="76"/>
      <c r="V965" s="76"/>
      <c r="W965" s="76"/>
    </row>
    <row r="966" spans="1:23" ht="12.75">
      <c r="A966" s="76"/>
      <c r="B966" s="76"/>
      <c r="C966" s="76"/>
      <c r="D966" s="69"/>
      <c r="E966" s="76"/>
      <c r="F966" s="76"/>
      <c r="G966" s="76"/>
      <c r="H966" s="76"/>
      <c r="I966" s="76"/>
      <c r="J966" s="76"/>
      <c r="K966" s="76"/>
      <c r="L966" s="76"/>
      <c r="M966" s="69"/>
      <c r="N966" s="76"/>
      <c r="O966" s="76"/>
      <c r="P966" s="76"/>
      <c r="Q966" s="76"/>
      <c r="R966" s="76"/>
      <c r="S966" s="76"/>
      <c r="T966" s="76"/>
      <c r="U966" s="76"/>
      <c r="V966" s="76"/>
      <c r="W966" s="76"/>
    </row>
    <row r="967" spans="1:23" ht="12.75">
      <c r="A967" s="76"/>
      <c r="B967" s="76"/>
      <c r="C967" s="76"/>
      <c r="D967" s="69"/>
      <c r="E967" s="76"/>
      <c r="F967" s="76"/>
      <c r="G967" s="76"/>
      <c r="H967" s="76"/>
      <c r="I967" s="76"/>
      <c r="J967" s="76"/>
      <c r="K967" s="76"/>
      <c r="L967" s="76"/>
      <c r="M967" s="69"/>
      <c r="N967" s="76"/>
      <c r="O967" s="76"/>
      <c r="P967" s="76"/>
      <c r="Q967" s="76"/>
      <c r="R967" s="76"/>
      <c r="S967" s="76"/>
      <c r="T967" s="76"/>
      <c r="U967" s="76"/>
      <c r="V967" s="76"/>
      <c r="W967" s="76"/>
    </row>
    <row r="968" spans="1:23" ht="12.75">
      <c r="A968" s="76"/>
      <c r="B968" s="76"/>
      <c r="C968" s="76"/>
      <c r="D968" s="69"/>
      <c r="E968" s="76"/>
      <c r="F968" s="76"/>
      <c r="G968" s="76"/>
      <c r="H968" s="76"/>
      <c r="I968" s="76"/>
      <c r="J968" s="76"/>
      <c r="K968" s="76"/>
      <c r="L968" s="76"/>
      <c r="M968" s="69"/>
      <c r="N968" s="76"/>
      <c r="O968" s="76"/>
      <c r="P968" s="76"/>
      <c r="Q968" s="76"/>
      <c r="R968" s="76"/>
      <c r="S968" s="76"/>
      <c r="T968" s="76"/>
      <c r="U968" s="76"/>
      <c r="V968" s="76"/>
      <c r="W968" s="76"/>
    </row>
    <row r="969" spans="1:23" ht="12.75">
      <c r="A969" s="76"/>
      <c r="B969" s="76"/>
      <c r="C969" s="76"/>
      <c r="D969" s="69"/>
      <c r="E969" s="76"/>
      <c r="F969" s="76"/>
      <c r="G969" s="76"/>
      <c r="H969" s="76"/>
      <c r="I969" s="76"/>
      <c r="J969" s="76"/>
      <c r="K969" s="76"/>
      <c r="L969" s="76"/>
      <c r="M969" s="69"/>
      <c r="N969" s="76"/>
      <c r="O969" s="76"/>
      <c r="P969" s="76"/>
      <c r="Q969" s="76"/>
      <c r="R969" s="76"/>
      <c r="S969" s="76"/>
      <c r="T969" s="76"/>
      <c r="U969" s="76"/>
      <c r="V969" s="76"/>
      <c r="W969" s="76"/>
    </row>
    <row r="970" spans="1:23" ht="12.75">
      <c r="A970" s="76"/>
      <c r="B970" s="76"/>
      <c r="C970" s="76"/>
      <c r="D970" s="69"/>
      <c r="E970" s="76"/>
      <c r="F970" s="76"/>
      <c r="G970" s="76"/>
      <c r="H970" s="76"/>
      <c r="I970" s="76"/>
      <c r="J970" s="76"/>
      <c r="K970" s="76"/>
      <c r="L970" s="76"/>
      <c r="M970" s="69"/>
      <c r="N970" s="76"/>
      <c r="O970" s="76"/>
      <c r="P970" s="76"/>
      <c r="Q970" s="76"/>
      <c r="R970" s="76"/>
      <c r="S970" s="76"/>
      <c r="T970" s="76"/>
      <c r="U970" s="76"/>
      <c r="V970" s="76"/>
      <c r="W970" s="76"/>
    </row>
    <row r="971" spans="1:23" ht="12.75">
      <c r="A971" s="76"/>
      <c r="B971" s="76"/>
      <c r="C971" s="76"/>
      <c r="D971" s="69"/>
      <c r="E971" s="76"/>
      <c r="F971" s="76"/>
      <c r="G971" s="76"/>
      <c r="H971" s="76"/>
      <c r="I971" s="76"/>
      <c r="J971" s="76"/>
      <c r="K971" s="76"/>
      <c r="L971" s="76"/>
      <c r="M971" s="69"/>
      <c r="N971" s="76"/>
      <c r="O971" s="76"/>
      <c r="P971" s="76"/>
      <c r="Q971" s="76"/>
      <c r="R971" s="76"/>
      <c r="S971" s="76"/>
      <c r="T971" s="76"/>
      <c r="U971" s="76"/>
      <c r="V971" s="76"/>
      <c r="W971" s="76"/>
    </row>
    <row r="972" spans="1:23" ht="12.75">
      <c r="A972" s="76"/>
      <c r="B972" s="76"/>
      <c r="C972" s="76"/>
      <c r="D972" s="69"/>
      <c r="E972" s="76"/>
      <c r="F972" s="76"/>
      <c r="G972" s="76"/>
      <c r="H972" s="76"/>
      <c r="I972" s="76"/>
      <c r="J972" s="76"/>
      <c r="K972" s="76"/>
      <c r="L972" s="76"/>
      <c r="M972" s="69"/>
      <c r="N972" s="76"/>
      <c r="O972" s="76"/>
      <c r="P972" s="76"/>
      <c r="Q972" s="76"/>
      <c r="R972" s="76"/>
      <c r="S972" s="76"/>
      <c r="T972" s="76"/>
      <c r="U972" s="76"/>
      <c r="V972" s="76"/>
      <c r="W972" s="76"/>
    </row>
    <row r="973" spans="1:23" ht="12.75">
      <c r="A973" s="76"/>
      <c r="B973" s="76"/>
      <c r="C973" s="76"/>
      <c r="D973" s="69"/>
      <c r="E973" s="76"/>
      <c r="F973" s="76"/>
      <c r="G973" s="76"/>
      <c r="H973" s="76"/>
      <c r="I973" s="76"/>
      <c r="J973" s="76"/>
      <c r="K973" s="76"/>
      <c r="L973" s="76"/>
      <c r="M973" s="69"/>
      <c r="N973" s="76"/>
      <c r="O973" s="76"/>
      <c r="P973" s="76"/>
      <c r="Q973" s="76"/>
      <c r="R973" s="76"/>
      <c r="S973" s="76"/>
      <c r="T973" s="76"/>
      <c r="U973" s="76"/>
      <c r="V973" s="76"/>
      <c r="W973" s="76"/>
    </row>
    <row r="974" spans="1:23" ht="12.75">
      <c r="A974" s="76"/>
      <c r="B974" s="76"/>
      <c r="C974" s="76"/>
      <c r="D974" s="69"/>
      <c r="E974" s="76"/>
      <c r="F974" s="76"/>
      <c r="G974" s="76"/>
      <c r="H974" s="76"/>
      <c r="I974" s="76"/>
      <c r="J974" s="76"/>
      <c r="K974" s="76"/>
      <c r="L974" s="76"/>
      <c r="M974" s="69"/>
      <c r="N974" s="76"/>
      <c r="O974" s="76"/>
      <c r="P974" s="76"/>
      <c r="Q974" s="76"/>
      <c r="R974" s="76"/>
      <c r="S974" s="76"/>
      <c r="T974" s="76"/>
      <c r="U974" s="76"/>
      <c r="V974" s="76"/>
      <c r="W974" s="76"/>
    </row>
    <row r="975" spans="1:23" ht="12.75">
      <c r="A975" s="76"/>
      <c r="B975" s="76"/>
      <c r="C975" s="76"/>
      <c r="D975" s="69"/>
      <c r="E975" s="76"/>
      <c r="F975" s="76"/>
      <c r="G975" s="76"/>
      <c r="H975" s="76"/>
      <c r="I975" s="76"/>
      <c r="J975" s="76"/>
      <c r="K975" s="76"/>
      <c r="L975" s="76"/>
      <c r="M975" s="69"/>
      <c r="N975" s="76"/>
      <c r="O975" s="76"/>
      <c r="P975" s="76"/>
      <c r="Q975" s="76"/>
      <c r="R975" s="76"/>
      <c r="S975" s="76"/>
      <c r="T975" s="76"/>
      <c r="U975" s="76"/>
      <c r="V975" s="76"/>
      <c r="W975" s="76"/>
    </row>
    <row r="976" spans="1:23" ht="12.75">
      <c r="A976" s="76"/>
      <c r="B976" s="76"/>
      <c r="C976" s="76"/>
      <c r="D976" s="69"/>
      <c r="E976" s="76"/>
      <c r="F976" s="76"/>
      <c r="G976" s="76"/>
      <c r="H976" s="76"/>
      <c r="I976" s="76"/>
      <c r="J976" s="76"/>
      <c r="K976" s="76"/>
      <c r="L976" s="76"/>
      <c r="M976" s="69"/>
      <c r="N976" s="76"/>
      <c r="O976" s="76"/>
      <c r="P976" s="76"/>
      <c r="Q976" s="76"/>
      <c r="R976" s="76"/>
      <c r="S976" s="76"/>
      <c r="T976" s="76"/>
      <c r="U976" s="76"/>
      <c r="V976" s="76"/>
      <c r="W976" s="76"/>
    </row>
    <row r="977" spans="1:23" ht="12.75">
      <c r="A977" s="76"/>
      <c r="B977" s="76"/>
      <c r="C977" s="76"/>
      <c r="D977" s="69"/>
      <c r="E977" s="76"/>
      <c r="F977" s="76"/>
      <c r="G977" s="76"/>
      <c r="H977" s="76"/>
      <c r="I977" s="76"/>
      <c r="J977" s="76"/>
      <c r="K977" s="76"/>
      <c r="L977" s="76"/>
      <c r="M977" s="69"/>
      <c r="N977" s="76"/>
      <c r="O977" s="76"/>
      <c r="P977" s="76"/>
      <c r="Q977" s="76"/>
      <c r="R977" s="76"/>
      <c r="S977" s="76"/>
      <c r="T977" s="76"/>
      <c r="U977" s="76"/>
      <c r="V977" s="76"/>
      <c r="W977" s="76"/>
    </row>
    <row r="978" spans="1:23" ht="12.75">
      <c r="A978" s="76"/>
      <c r="B978" s="76"/>
      <c r="C978" s="76"/>
      <c r="D978" s="69"/>
      <c r="E978" s="76"/>
      <c r="F978" s="76"/>
      <c r="G978" s="76"/>
      <c r="H978" s="76"/>
      <c r="I978" s="76"/>
      <c r="J978" s="76"/>
      <c r="K978" s="76"/>
      <c r="L978" s="76"/>
      <c r="M978" s="69"/>
      <c r="N978" s="76"/>
      <c r="O978" s="76"/>
      <c r="P978" s="76"/>
      <c r="Q978" s="76"/>
      <c r="R978" s="76"/>
      <c r="S978" s="76"/>
      <c r="T978" s="76"/>
      <c r="U978" s="76"/>
      <c r="V978" s="76"/>
      <c r="W978" s="76"/>
    </row>
    <row r="979" spans="1:23" ht="12.75">
      <c r="A979" s="76"/>
      <c r="B979" s="76"/>
      <c r="C979" s="76"/>
      <c r="D979" s="69"/>
      <c r="E979" s="76"/>
      <c r="F979" s="76"/>
      <c r="G979" s="76"/>
      <c r="H979" s="76"/>
      <c r="I979" s="76"/>
      <c r="J979" s="76"/>
      <c r="K979" s="76"/>
      <c r="L979" s="76"/>
      <c r="M979" s="69"/>
      <c r="N979" s="76"/>
      <c r="O979" s="76"/>
      <c r="P979" s="76"/>
      <c r="Q979" s="76"/>
      <c r="R979" s="76"/>
      <c r="S979" s="76"/>
      <c r="T979" s="76"/>
      <c r="U979" s="76"/>
      <c r="V979" s="76"/>
      <c r="W979" s="76"/>
    </row>
    <row r="980" spans="1:23" ht="12.75">
      <c r="A980" s="76"/>
      <c r="B980" s="76"/>
      <c r="C980" s="76"/>
      <c r="D980" s="69"/>
      <c r="E980" s="76"/>
      <c r="F980" s="76"/>
      <c r="G980" s="76"/>
      <c r="H980" s="76"/>
      <c r="I980" s="76"/>
      <c r="J980" s="76"/>
      <c r="K980" s="76"/>
      <c r="L980" s="76"/>
      <c r="M980" s="69"/>
      <c r="N980" s="76"/>
      <c r="O980" s="76"/>
      <c r="P980" s="76"/>
      <c r="Q980" s="76"/>
      <c r="R980" s="76"/>
      <c r="S980" s="76"/>
      <c r="T980" s="76"/>
      <c r="U980" s="76"/>
      <c r="V980" s="76"/>
      <c r="W980" s="76"/>
    </row>
    <row r="981" spans="1:23" ht="12.75">
      <c r="A981" s="76"/>
      <c r="B981" s="76"/>
      <c r="C981" s="76"/>
      <c r="D981" s="69"/>
      <c r="E981" s="76"/>
      <c r="F981" s="76"/>
      <c r="G981" s="76"/>
      <c r="H981" s="76"/>
      <c r="I981" s="76"/>
      <c r="J981" s="76"/>
      <c r="K981" s="76"/>
      <c r="L981" s="76"/>
      <c r="M981" s="69"/>
      <c r="N981" s="76"/>
      <c r="O981" s="76"/>
      <c r="P981" s="76"/>
      <c r="Q981" s="76"/>
      <c r="R981" s="76"/>
      <c r="S981" s="76"/>
      <c r="T981" s="76"/>
      <c r="U981" s="76"/>
      <c r="V981" s="76"/>
      <c r="W981" s="76"/>
    </row>
    <row r="982" spans="1:23" ht="12.75">
      <c r="A982" s="76"/>
      <c r="B982" s="76"/>
      <c r="C982" s="76"/>
      <c r="D982" s="69"/>
      <c r="E982" s="76"/>
      <c r="F982" s="76"/>
      <c r="G982" s="76"/>
      <c r="H982" s="76"/>
      <c r="I982" s="76"/>
      <c r="J982" s="76"/>
      <c r="K982" s="76"/>
      <c r="L982" s="76"/>
      <c r="M982" s="69"/>
      <c r="N982" s="76"/>
      <c r="O982" s="76"/>
      <c r="P982" s="76"/>
      <c r="Q982" s="76"/>
      <c r="R982" s="76"/>
      <c r="S982" s="76"/>
      <c r="T982" s="76"/>
      <c r="U982" s="76"/>
      <c r="V982" s="76"/>
      <c r="W982" s="76"/>
    </row>
    <row r="983" spans="1:23" ht="12.75">
      <c r="A983" s="76"/>
      <c r="B983" s="76"/>
      <c r="C983" s="76"/>
      <c r="D983" s="69"/>
      <c r="E983" s="76"/>
      <c r="F983" s="76"/>
      <c r="G983" s="76"/>
      <c r="H983" s="76"/>
      <c r="I983" s="76"/>
      <c r="J983" s="76"/>
      <c r="K983" s="76"/>
      <c r="L983" s="76"/>
      <c r="M983" s="69"/>
      <c r="N983" s="76"/>
      <c r="O983" s="76"/>
      <c r="P983" s="76"/>
      <c r="Q983" s="76"/>
      <c r="R983" s="76"/>
      <c r="S983" s="76"/>
      <c r="T983" s="76"/>
      <c r="U983" s="76"/>
      <c r="V983" s="76"/>
      <c r="W983" s="76"/>
    </row>
    <row r="984" spans="1:23" ht="12.75">
      <c r="A984" s="76"/>
      <c r="B984" s="76"/>
      <c r="C984" s="76"/>
      <c r="D984" s="69"/>
      <c r="E984" s="76"/>
      <c r="F984" s="76"/>
      <c r="G984" s="76"/>
      <c r="H984" s="76"/>
      <c r="I984" s="76"/>
      <c r="J984" s="76"/>
      <c r="K984" s="76"/>
      <c r="L984" s="76"/>
      <c r="M984" s="69"/>
      <c r="N984" s="76"/>
      <c r="O984" s="76"/>
      <c r="P984" s="76"/>
      <c r="Q984" s="76"/>
      <c r="R984" s="76"/>
      <c r="S984" s="76"/>
      <c r="T984" s="76"/>
      <c r="U984" s="76"/>
      <c r="V984" s="76"/>
      <c r="W984" s="76"/>
    </row>
    <row r="985" spans="1:23" ht="12.75">
      <c r="A985" s="76"/>
      <c r="B985" s="76"/>
      <c r="C985" s="76"/>
      <c r="D985" s="69"/>
      <c r="E985" s="76"/>
      <c r="F985" s="76"/>
      <c r="G985" s="76"/>
      <c r="H985" s="76"/>
      <c r="I985" s="76"/>
      <c r="J985" s="76"/>
      <c r="K985" s="76"/>
      <c r="L985" s="76"/>
      <c r="M985" s="69"/>
      <c r="N985" s="76"/>
      <c r="O985" s="76"/>
      <c r="P985" s="76"/>
      <c r="Q985" s="76"/>
      <c r="R985" s="76"/>
      <c r="S985" s="76"/>
      <c r="T985" s="76"/>
      <c r="U985" s="76"/>
      <c r="V985" s="76"/>
      <c r="W985" s="76"/>
    </row>
    <row r="986" spans="1:23" ht="12.75">
      <c r="A986" s="76"/>
      <c r="B986" s="76"/>
      <c r="C986" s="76"/>
      <c r="D986" s="69"/>
      <c r="E986" s="76"/>
      <c r="F986" s="76"/>
      <c r="G986" s="76"/>
      <c r="H986" s="76"/>
      <c r="I986" s="76"/>
      <c r="J986" s="76"/>
      <c r="K986" s="76"/>
      <c r="L986" s="76"/>
      <c r="M986" s="69"/>
      <c r="N986" s="76"/>
      <c r="O986" s="76"/>
      <c r="P986" s="76"/>
      <c r="Q986" s="76"/>
      <c r="R986" s="76"/>
      <c r="S986" s="76"/>
      <c r="T986" s="76"/>
      <c r="U986" s="76"/>
      <c r="V986" s="76"/>
      <c r="W986" s="76"/>
    </row>
    <row r="987" spans="1:23" ht="12.75">
      <c r="A987" s="76"/>
      <c r="B987" s="76"/>
      <c r="C987" s="76"/>
      <c r="D987" s="69"/>
      <c r="E987" s="76"/>
      <c r="F987" s="76"/>
      <c r="G987" s="76"/>
      <c r="H987" s="76"/>
      <c r="I987" s="76"/>
      <c r="J987" s="76"/>
      <c r="K987" s="76"/>
      <c r="L987" s="76"/>
      <c r="M987" s="69"/>
      <c r="N987" s="76"/>
      <c r="O987" s="76"/>
      <c r="P987" s="76"/>
      <c r="Q987" s="76"/>
      <c r="R987" s="76"/>
      <c r="S987" s="76"/>
      <c r="T987" s="76"/>
      <c r="U987" s="76"/>
      <c r="V987" s="76"/>
      <c r="W987" s="76"/>
    </row>
    <row r="988" spans="1:23" ht="12.75">
      <c r="A988" s="76"/>
      <c r="B988" s="76"/>
      <c r="C988" s="76"/>
      <c r="D988" s="69"/>
      <c r="E988" s="76"/>
      <c r="F988" s="76"/>
      <c r="G988" s="76"/>
      <c r="H988" s="76"/>
      <c r="I988" s="76"/>
      <c r="J988" s="76"/>
      <c r="K988" s="76"/>
      <c r="L988" s="76"/>
      <c r="M988" s="69"/>
      <c r="N988" s="76"/>
      <c r="O988" s="76"/>
      <c r="P988" s="76"/>
      <c r="Q988" s="76"/>
      <c r="R988" s="76"/>
      <c r="S988" s="76"/>
      <c r="T988" s="76"/>
      <c r="U988" s="76"/>
      <c r="V988" s="76"/>
      <c r="W988" s="76"/>
    </row>
    <row r="989" spans="1:23" ht="12.75">
      <c r="A989" s="76"/>
      <c r="B989" s="76"/>
      <c r="C989" s="76"/>
      <c r="D989" s="69"/>
      <c r="E989" s="76"/>
      <c r="F989" s="76"/>
      <c r="G989" s="76"/>
      <c r="H989" s="76"/>
      <c r="I989" s="76"/>
      <c r="J989" s="76"/>
      <c r="K989" s="76"/>
      <c r="L989" s="76"/>
      <c r="M989" s="69"/>
      <c r="N989" s="76"/>
      <c r="O989" s="76"/>
      <c r="P989" s="76"/>
      <c r="Q989" s="76"/>
      <c r="R989" s="76"/>
      <c r="S989" s="76"/>
      <c r="T989" s="76"/>
      <c r="U989" s="76"/>
      <c r="V989" s="76"/>
      <c r="W989" s="76"/>
    </row>
    <row r="990" spans="1:23" ht="12.75">
      <c r="A990" s="76"/>
      <c r="B990" s="76"/>
      <c r="C990" s="76"/>
      <c r="D990" s="69"/>
      <c r="E990" s="76"/>
      <c r="F990" s="76"/>
      <c r="G990" s="76"/>
      <c r="H990" s="76"/>
      <c r="I990" s="76"/>
      <c r="J990" s="76"/>
      <c r="K990" s="76"/>
      <c r="L990" s="76"/>
      <c r="M990" s="69"/>
      <c r="N990" s="76"/>
      <c r="O990" s="76"/>
      <c r="P990" s="76"/>
      <c r="Q990" s="76"/>
      <c r="R990" s="76"/>
      <c r="S990" s="76"/>
      <c r="T990" s="76"/>
      <c r="U990" s="76"/>
      <c r="V990" s="76"/>
      <c r="W990" s="76"/>
    </row>
    <row r="991" spans="1:23" ht="12.75">
      <c r="A991" s="76"/>
      <c r="B991" s="76"/>
      <c r="C991" s="76"/>
      <c r="D991" s="69"/>
      <c r="E991" s="76"/>
      <c r="F991" s="76"/>
      <c r="G991" s="76"/>
      <c r="H991" s="76"/>
      <c r="I991" s="76"/>
      <c r="J991" s="76"/>
      <c r="K991" s="76"/>
      <c r="L991" s="76"/>
      <c r="M991" s="69"/>
      <c r="N991" s="76"/>
      <c r="O991" s="76"/>
      <c r="P991" s="76"/>
      <c r="Q991" s="76"/>
      <c r="R991" s="76"/>
      <c r="S991" s="76"/>
      <c r="T991" s="76"/>
      <c r="U991" s="76"/>
      <c r="V991" s="76"/>
      <c r="W991" s="76"/>
    </row>
    <row r="992" spans="1:23" ht="12.75">
      <c r="A992" s="76"/>
      <c r="B992" s="76"/>
      <c r="C992" s="76"/>
      <c r="D992" s="69"/>
      <c r="E992" s="76"/>
      <c r="F992" s="76"/>
      <c r="G992" s="76"/>
      <c r="H992" s="76"/>
      <c r="I992" s="76"/>
      <c r="J992" s="76"/>
      <c r="K992" s="76"/>
      <c r="L992" s="76"/>
      <c r="M992" s="69"/>
      <c r="N992" s="76"/>
      <c r="O992" s="76"/>
      <c r="P992" s="76"/>
      <c r="Q992" s="76"/>
      <c r="R992" s="76"/>
      <c r="S992" s="76"/>
      <c r="T992" s="76"/>
      <c r="U992" s="76"/>
      <c r="V992" s="76"/>
      <c r="W992" s="76"/>
    </row>
    <row r="993" spans="1:23" ht="12.75">
      <c r="A993" s="76"/>
      <c r="B993" s="76"/>
      <c r="C993" s="76"/>
      <c r="D993" s="69"/>
      <c r="E993" s="76"/>
      <c r="F993" s="76"/>
      <c r="G993" s="76"/>
      <c r="H993" s="76"/>
      <c r="I993" s="76"/>
      <c r="J993" s="76"/>
      <c r="K993" s="76"/>
      <c r="L993" s="76"/>
      <c r="M993" s="69"/>
      <c r="N993" s="76"/>
      <c r="O993" s="76"/>
      <c r="P993" s="76"/>
      <c r="Q993" s="76"/>
      <c r="R993" s="76"/>
      <c r="S993" s="76"/>
      <c r="T993" s="76"/>
      <c r="U993" s="76"/>
      <c r="V993" s="76"/>
      <c r="W993" s="76"/>
    </row>
    <row r="994" spans="1:23" ht="12.75">
      <c r="A994" s="76"/>
      <c r="B994" s="76"/>
      <c r="C994" s="76"/>
      <c r="D994" s="69"/>
      <c r="E994" s="76"/>
      <c r="F994" s="76"/>
      <c r="G994" s="76"/>
      <c r="H994" s="76"/>
      <c r="I994" s="76"/>
      <c r="J994" s="76"/>
      <c r="K994" s="76"/>
      <c r="L994" s="76"/>
      <c r="M994" s="69"/>
      <c r="N994" s="76"/>
      <c r="O994" s="76"/>
      <c r="P994" s="76"/>
      <c r="Q994" s="76"/>
      <c r="R994" s="76"/>
      <c r="S994" s="76"/>
      <c r="T994" s="76"/>
      <c r="U994" s="76"/>
      <c r="V994" s="76"/>
      <c r="W994" s="76"/>
    </row>
    <row r="995" spans="1:23" ht="12.75">
      <c r="A995" s="76"/>
      <c r="B995" s="76"/>
      <c r="C995" s="76"/>
      <c r="D995" s="69"/>
      <c r="E995" s="76"/>
      <c r="F995" s="76"/>
      <c r="G995" s="76"/>
      <c r="H995" s="76"/>
      <c r="I995" s="76"/>
      <c r="J995" s="76"/>
      <c r="K995" s="76"/>
      <c r="L995" s="76"/>
      <c r="M995" s="69"/>
      <c r="N995" s="76"/>
      <c r="O995" s="76"/>
      <c r="P995" s="76"/>
      <c r="Q995" s="76"/>
      <c r="R995" s="76"/>
      <c r="S995" s="76"/>
      <c r="T995" s="76"/>
      <c r="U995" s="76"/>
      <c r="V995" s="76"/>
      <c r="W995" s="76"/>
    </row>
    <row r="996" spans="1:23" ht="12.75">
      <c r="A996" s="76"/>
      <c r="B996" s="76"/>
      <c r="C996" s="76"/>
      <c r="D996" s="69"/>
      <c r="E996" s="76"/>
      <c r="F996" s="76"/>
      <c r="G996" s="76"/>
      <c r="H996" s="76"/>
      <c r="I996" s="76"/>
      <c r="J996" s="76"/>
      <c r="K996" s="76"/>
      <c r="L996" s="76"/>
      <c r="M996" s="69"/>
      <c r="N996" s="76"/>
      <c r="O996" s="76"/>
      <c r="P996" s="76"/>
      <c r="Q996" s="76"/>
      <c r="R996" s="76"/>
      <c r="S996" s="76"/>
      <c r="T996" s="76"/>
      <c r="U996" s="76"/>
      <c r="V996" s="76"/>
      <c r="W996" s="76"/>
    </row>
    <row r="997" spans="1:23" ht="12.75">
      <c r="A997" s="76"/>
      <c r="B997" s="76"/>
      <c r="C997" s="76"/>
      <c r="D997" s="69"/>
      <c r="E997" s="76"/>
      <c r="F997" s="76"/>
      <c r="G997" s="76"/>
      <c r="H997" s="76"/>
      <c r="I997" s="76"/>
      <c r="J997" s="76"/>
      <c r="K997" s="76"/>
      <c r="L997" s="76"/>
      <c r="M997" s="69"/>
      <c r="N997" s="76"/>
      <c r="O997" s="76"/>
      <c r="P997" s="76"/>
      <c r="Q997" s="76"/>
      <c r="R997" s="76"/>
      <c r="S997" s="76"/>
      <c r="T997" s="76"/>
      <c r="U997" s="76"/>
      <c r="V997" s="76"/>
      <c r="W997" s="76"/>
    </row>
    <row r="998" spans="1:23" ht="12.75">
      <c r="A998" s="76"/>
      <c r="B998" s="76"/>
      <c r="C998" s="76"/>
      <c r="D998" s="69"/>
      <c r="E998" s="76"/>
      <c r="F998" s="76"/>
      <c r="G998" s="76"/>
      <c r="H998" s="76"/>
      <c r="I998" s="76"/>
      <c r="J998" s="76"/>
      <c r="K998" s="76"/>
      <c r="L998" s="76"/>
      <c r="M998" s="69"/>
      <c r="N998" s="76"/>
      <c r="O998" s="76"/>
      <c r="P998" s="76"/>
      <c r="Q998" s="76"/>
      <c r="R998" s="76"/>
      <c r="S998" s="76"/>
      <c r="T998" s="76"/>
      <c r="U998" s="76"/>
      <c r="V998" s="76"/>
      <c r="W998" s="76"/>
    </row>
    <row r="999" spans="1:23" ht="12.75">
      <c r="A999" s="76"/>
      <c r="B999" s="76"/>
      <c r="C999" s="76"/>
      <c r="D999" s="69"/>
      <c r="E999" s="76"/>
      <c r="F999" s="76"/>
      <c r="G999" s="76"/>
      <c r="H999" s="76"/>
      <c r="I999" s="76"/>
      <c r="J999" s="76"/>
      <c r="K999" s="76"/>
      <c r="L999" s="76"/>
      <c r="M999" s="69"/>
      <c r="N999" s="76"/>
      <c r="O999" s="76"/>
      <c r="P999" s="76"/>
      <c r="Q999" s="76"/>
      <c r="R999" s="76"/>
      <c r="S999" s="76"/>
      <c r="T999" s="76"/>
      <c r="U999" s="76"/>
      <c r="V999" s="76"/>
      <c r="W999" s="76"/>
    </row>
    <row r="1000" spans="1:23" ht="12.75">
      <c r="A1000" s="76"/>
      <c r="B1000" s="76"/>
      <c r="C1000" s="76"/>
      <c r="D1000" s="69"/>
      <c r="E1000" s="76"/>
      <c r="F1000" s="76"/>
      <c r="G1000" s="76"/>
      <c r="H1000" s="76"/>
      <c r="I1000" s="76"/>
      <c r="J1000" s="76"/>
      <c r="K1000" s="76"/>
      <c r="L1000" s="76"/>
      <c r="M1000" s="69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</row>
    <row r="1001" spans="1:23" ht="12.75">
      <c r="A1001" s="76"/>
      <c r="B1001" s="76"/>
      <c r="C1001" s="76"/>
      <c r="D1001" s="69"/>
      <c r="E1001" s="76"/>
      <c r="F1001" s="76"/>
      <c r="G1001" s="76"/>
      <c r="H1001" s="76"/>
      <c r="I1001" s="76"/>
      <c r="J1001" s="76"/>
      <c r="K1001" s="76"/>
      <c r="L1001" s="76"/>
      <c r="M1001" s="69"/>
      <c r="N1001" s="76"/>
      <c r="O1001" s="76"/>
      <c r="P1001" s="76"/>
      <c r="Q1001" s="76"/>
      <c r="R1001" s="76"/>
      <c r="S1001" s="76"/>
      <c r="T1001" s="76"/>
      <c r="U1001" s="76"/>
      <c r="V1001" s="76"/>
      <c r="W1001" s="76"/>
    </row>
    <row r="1002" spans="1:23" ht="12.75">
      <c r="A1002" s="76"/>
      <c r="B1002" s="76"/>
      <c r="C1002" s="76"/>
      <c r="D1002" s="69"/>
      <c r="E1002" s="76"/>
      <c r="F1002" s="76"/>
      <c r="G1002" s="76"/>
      <c r="H1002" s="76"/>
      <c r="I1002" s="76"/>
      <c r="J1002" s="76"/>
      <c r="K1002" s="76"/>
      <c r="L1002" s="76"/>
      <c r="M1002" s="69"/>
      <c r="N1002" s="76"/>
      <c r="O1002" s="76"/>
      <c r="P1002" s="76"/>
      <c r="Q1002" s="76"/>
      <c r="R1002" s="76"/>
      <c r="S1002" s="76"/>
      <c r="T1002" s="76"/>
      <c r="U1002" s="76"/>
      <c r="V1002" s="76"/>
      <c r="W1002" s="76"/>
    </row>
    <row r="1003" spans="1:23" ht="12.75">
      <c r="A1003" s="76"/>
      <c r="B1003" s="76"/>
      <c r="C1003" s="76"/>
      <c r="D1003" s="69"/>
      <c r="E1003" s="76"/>
      <c r="F1003" s="76"/>
      <c r="G1003" s="76"/>
      <c r="H1003" s="76"/>
      <c r="I1003" s="76"/>
      <c r="J1003" s="76"/>
      <c r="K1003" s="76"/>
      <c r="L1003" s="76"/>
      <c r="M1003" s="69"/>
      <c r="N1003" s="76"/>
      <c r="O1003" s="76"/>
      <c r="P1003" s="76"/>
      <c r="Q1003" s="76"/>
      <c r="R1003" s="76"/>
      <c r="S1003" s="76"/>
      <c r="T1003" s="76"/>
      <c r="U1003" s="76"/>
      <c r="V1003" s="76"/>
      <c r="W1003" s="76"/>
    </row>
    <row r="1004" spans="1:23" ht="12.75">
      <c r="A1004" s="76"/>
      <c r="B1004" s="76"/>
      <c r="C1004" s="76"/>
      <c r="D1004" s="69"/>
      <c r="E1004" s="76"/>
      <c r="F1004" s="76"/>
      <c r="G1004" s="76"/>
      <c r="H1004" s="76"/>
      <c r="I1004" s="76"/>
      <c r="J1004" s="76"/>
      <c r="K1004" s="76"/>
      <c r="L1004" s="76"/>
      <c r="M1004" s="69"/>
      <c r="N1004" s="76"/>
      <c r="O1004" s="76"/>
      <c r="P1004" s="76"/>
      <c r="Q1004" s="76"/>
      <c r="R1004" s="76"/>
      <c r="S1004" s="76"/>
      <c r="T1004" s="76"/>
      <c r="U1004" s="76"/>
      <c r="V1004" s="76"/>
      <c r="W1004" s="76"/>
    </row>
    <row r="1005" spans="1:23" ht="12.75">
      <c r="A1005" s="76"/>
      <c r="B1005" s="76"/>
      <c r="C1005" s="76"/>
      <c r="D1005" s="69"/>
      <c r="E1005" s="76"/>
      <c r="F1005" s="76"/>
      <c r="G1005" s="76"/>
      <c r="H1005" s="76"/>
      <c r="I1005" s="76"/>
      <c r="J1005" s="76"/>
      <c r="K1005" s="76"/>
      <c r="L1005" s="76"/>
      <c r="M1005" s="69"/>
      <c r="N1005" s="76"/>
      <c r="O1005" s="76"/>
      <c r="P1005" s="76"/>
      <c r="Q1005" s="76"/>
      <c r="R1005" s="76"/>
      <c r="S1005" s="76"/>
      <c r="T1005" s="76"/>
      <c r="U1005" s="76"/>
      <c r="V1005" s="76"/>
      <c r="W1005" s="76"/>
    </row>
    <row r="1006" spans="1:23" ht="12.75">
      <c r="A1006" s="76"/>
      <c r="B1006" s="76"/>
      <c r="C1006" s="76"/>
      <c r="D1006" s="69"/>
      <c r="E1006" s="76"/>
      <c r="F1006" s="76"/>
      <c r="G1006" s="76"/>
      <c r="H1006" s="76"/>
      <c r="I1006" s="76"/>
      <c r="J1006" s="76"/>
      <c r="K1006" s="76"/>
      <c r="L1006" s="76"/>
      <c r="M1006" s="69"/>
      <c r="N1006" s="76"/>
      <c r="O1006" s="76"/>
      <c r="P1006" s="76"/>
      <c r="Q1006" s="76"/>
      <c r="R1006" s="76"/>
      <c r="S1006" s="76"/>
      <c r="T1006" s="76"/>
      <c r="U1006" s="76"/>
      <c r="V1006" s="76"/>
      <c r="W1006" s="76"/>
    </row>
    <row r="1007" spans="1:23" ht="12.75">
      <c r="A1007" s="76"/>
      <c r="B1007" s="76"/>
      <c r="C1007" s="76"/>
      <c r="D1007" s="69"/>
      <c r="E1007" s="76"/>
      <c r="F1007" s="76"/>
      <c r="G1007" s="76"/>
      <c r="H1007" s="76"/>
      <c r="I1007" s="76"/>
      <c r="J1007" s="76"/>
      <c r="K1007" s="76"/>
      <c r="L1007" s="76"/>
      <c r="M1007" s="69"/>
      <c r="N1007" s="76"/>
      <c r="O1007" s="76"/>
      <c r="P1007" s="76"/>
      <c r="Q1007" s="76"/>
      <c r="R1007" s="76"/>
      <c r="S1007" s="76"/>
      <c r="T1007" s="76"/>
      <c r="U1007" s="76"/>
      <c r="V1007" s="76"/>
      <c r="W1007" s="76"/>
    </row>
    <row r="1008" spans="1:23" ht="12.75">
      <c r="A1008" s="76"/>
      <c r="B1008" s="76"/>
      <c r="C1008" s="76"/>
      <c r="D1008" s="69"/>
      <c r="E1008" s="76"/>
      <c r="F1008" s="76"/>
      <c r="G1008" s="76"/>
      <c r="H1008" s="76"/>
      <c r="I1008" s="76"/>
      <c r="J1008" s="76"/>
      <c r="K1008" s="76"/>
      <c r="L1008" s="76"/>
      <c r="M1008" s="69"/>
      <c r="N1008" s="76"/>
      <c r="O1008" s="76"/>
      <c r="P1008" s="76"/>
      <c r="Q1008" s="76"/>
      <c r="R1008" s="76"/>
      <c r="S1008" s="76"/>
      <c r="T1008" s="76"/>
      <c r="U1008" s="76"/>
      <c r="V1008" s="76"/>
      <c r="W1008" s="76"/>
    </row>
    <row r="1009" spans="1:23" ht="12.75">
      <c r="A1009" s="76"/>
      <c r="B1009" s="76"/>
      <c r="C1009" s="76"/>
      <c r="D1009" s="69"/>
      <c r="E1009" s="76"/>
      <c r="F1009" s="76"/>
      <c r="G1009" s="76"/>
      <c r="H1009" s="76"/>
      <c r="I1009" s="76"/>
      <c r="J1009" s="76"/>
      <c r="K1009" s="76"/>
      <c r="L1009" s="76"/>
      <c r="M1009" s="69"/>
      <c r="N1009" s="76"/>
      <c r="O1009" s="76"/>
      <c r="P1009" s="76"/>
      <c r="Q1009" s="76"/>
      <c r="R1009" s="76"/>
      <c r="S1009" s="76"/>
      <c r="T1009" s="76"/>
      <c r="U1009" s="76"/>
      <c r="V1009" s="76"/>
      <c r="W1009" s="76"/>
    </row>
    <row r="1010" spans="1:23" ht="12.75">
      <c r="A1010" s="76"/>
      <c r="B1010" s="76"/>
      <c r="C1010" s="76"/>
      <c r="D1010" s="69"/>
      <c r="E1010" s="76"/>
      <c r="F1010" s="76"/>
      <c r="G1010" s="76"/>
      <c r="H1010" s="76"/>
      <c r="I1010" s="76"/>
      <c r="J1010" s="76"/>
      <c r="K1010" s="76"/>
      <c r="L1010" s="76"/>
      <c r="M1010" s="69"/>
      <c r="N1010" s="76"/>
      <c r="O1010" s="76"/>
      <c r="P1010" s="76"/>
      <c r="Q1010" s="76"/>
      <c r="R1010" s="76"/>
      <c r="S1010" s="76"/>
      <c r="T1010" s="76"/>
      <c r="U1010" s="76"/>
      <c r="V1010" s="76"/>
      <c r="W1010" s="76"/>
    </row>
    <row r="1011" spans="1:23" ht="12.75">
      <c r="A1011" s="76"/>
      <c r="B1011" s="76"/>
      <c r="C1011" s="76"/>
      <c r="D1011" s="69"/>
      <c r="E1011" s="76"/>
      <c r="F1011" s="76"/>
      <c r="G1011" s="76"/>
      <c r="H1011" s="76"/>
      <c r="I1011" s="76"/>
      <c r="J1011" s="76"/>
      <c r="K1011" s="76"/>
      <c r="L1011" s="76"/>
      <c r="M1011" s="69"/>
      <c r="N1011" s="76"/>
      <c r="O1011" s="76"/>
      <c r="P1011" s="76"/>
      <c r="Q1011" s="76"/>
      <c r="R1011" s="76"/>
      <c r="S1011" s="76"/>
      <c r="T1011" s="76"/>
      <c r="U1011" s="76"/>
      <c r="V1011" s="76"/>
      <c r="W1011" s="76"/>
    </row>
    <row r="1012" spans="1:23" ht="12.75">
      <c r="A1012" s="76"/>
      <c r="B1012" s="76"/>
      <c r="C1012" s="76"/>
      <c r="D1012" s="69"/>
      <c r="E1012" s="76"/>
      <c r="F1012" s="76"/>
      <c r="G1012" s="76"/>
      <c r="H1012" s="76"/>
      <c r="I1012" s="76"/>
      <c r="J1012" s="76"/>
      <c r="K1012" s="76"/>
      <c r="L1012" s="76"/>
      <c r="M1012" s="69"/>
      <c r="N1012" s="76"/>
      <c r="O1012" s="76"/>
      <c r="P1012" s="76"/>
      <c r="Q1012" s="76"/>
      <c r="R1012" s="76"/>
      <c r="S1012" s="76"/>
      <c r="T1012" s="76"/>
      <c r="U1012" s="76"/>
      <c r="V1012" s="76"/>
      <c r="W1012" s="76"/>
    </row>
    <row r="1013" spans="1:23" ht="12.75">
      <c r="A1013" s="76"/>
      <c r="B1013" s="76"/>
      <c r="C1013" s="76"/>
      <c r="D1013" s="69"/>
      <c r="E1013" s="76"/>
      <c r="F1013" s="76"/>
      <c r="G1013" s="76"/>
      <c r="H1013" s="76"/>
      <c r="I1013" s="76"/>
      <c r="J1013" s="76"/>
      <c r="K1013" s="76"/>
      <c r="L1013" s="76"/>
      <c r="M1013" s="69"/>
      <c r="N1013" s="76"/>
      <c r="O1013" s="76"/>
      <c r="P1013" s="76"/>
      <c r="Q1013" s="76"/>
      <c r="R1013" s="76"/>
      <c r="S1013" s="76"/>
      <c r="T1013" s="76"/>
      <c r="U1013" s="76"/>
      <c r="V1013" s="76"/>
      <c r="W1013" s="76"/>
    </row>
    <row r="1014" spans="1:23" ht="12.75">
      <c r="A1014" s="76"/>
      <c r="B1014" s="76"/>
      <c r="C1014" s="76"/>
      <c r="D1014" s="69"/>
      <c r="E1014" s="76"/>
      <c r="F1014" s="76"/>
      <c r="G1014" s="76"/>
      <c r="H1014" s="76"/>
      <c r="I1014" s="76"/>
      <c r="J1014" s="76"/>
      <c r="K1014" s="76"/>
      <c r="L1014" s="76"/>
      <c r="M1014" s="69"/>
      <c r="N1014" s="76"/>
      <c r="O1014" s="76"/>
      <c r="P1014" s="76"/>
      <c r="Q1014" s="76"/>
      <c r="R1014" s="76"/>
      <c r="S1014" s="76"/>
      <c r="T1014" s="76"/>
      <c r="U1014" s="76"/>
      <c r="V1014" s="76"/>
      <c r="W1014" s="76"/>
    </row>
    <row r="1015" spans="1:23" ht="12.75">
      <c r="A1015" s="76"/>
      <c r="B1015" s="76"/>
      <c r="C1015" s="76"/>
      <c r="D1015" s="69"/>
      <c r="E1015" s="76"/>
      <c r="F1015" s="76"/>
      <c r="G1015" s="76"/>
      <c r="H1015" s="76"/>
      <c r="I1015" s="76"/>
      <c r="J1015" s="76"/>
      <c r="K1015" s="76"/>
      <c r="L1015" s="76"/>
      <c r="M1015" s="69"/>
      <c r="N1015" s="76"/>
      <c r="O1015" s="76"/>
      <c r="P1015" s="76"/>
      <c r="Q1015" s="76"/>
      <c r="R1015" s="76"/>
      <c r="S1015" s="76"/>
      <c r="T1015" s="76"/>
      <c r="U1015" s="76"/>
      <c r="V1015" s="76"/>
      <c r="W1015" s="76"/>
    </row>
    <row r="1016" spans="1:23" ht="12.75">
      <c r="A1016" s="76"/>
      <c r="B1016" s="76"/>
      <c r="C1016" s="76"/>
      <c r="D1016" s="69"/>
      <c r="E1016" s="76"/>
      <c r="F1016" s="76"/>
      <c r="G1016" s="76"/>
      <c r="H1016" s="76"/>
      <c r="I1016" s="76"/>
      <c r="J1016" s="76"/>
      <c r="K1016" s="76"/>
      <c r="L1016" s="76"/>
      <c r="M1016" s="69"/>
      <c r="N1016" s="76"/>
      <c r="O1016" s="76"/>
      <c r="P1016" s="76"/>
      <c r="Q1016" s="76"/>
      <c r="R1016" s="76"/>
      <c r="S1016" s="76"/>
      <c r="T1016" s="76"/>
      <c r="U1016" s="76"/>
      <c r="V1016" s="76"/>
      <c r="W1016" s="76"/>
    </row>
    <row r="1017" spans="1:23" ht="12.75">
      <c r="A1017" s="76"/>
      <c r="B1017" s="76"/>
      <c r="C1017" s="76"/>
      <c r="D1017" s="69"/>
      <c r="E1017" s="76"/>
      <c r="F1017" s="76"/>
      <c r="G1017" s="76"/>
      <c r="H1017" s="76"/>
      <c r="I1017" s="76"/>
      <c r="J1017" s="76"/>
      <c r="K1017" s="76"/>
      <c r="L1017" s="76"/>
      <c r="M1017" s="69"/>
      <c r="N1017" s="76"/>
      <c r="O1017" s="76"/>
      <c r="P1017" s="76"/>
      <c r="Q1017" s="76"/>
      <c r="R1017" s="76"/>
      <c r="S1017" s="76"/>
      <c r="T1017" s="76"/>
      <c r="U1017" s="76"/>
      <c r="V1017" s="76"/>
      <c r="W1017" s="76"/>
    </row>
    <row r="1018" spans="1:23" ht="12.75">
      <c r="A1018" s="76"/>
      <c r="B1018" s="76"/>
      <c r="C1018" s="76"/>
      <c r="D1018" s="69"/>
      <c r="E1018" s="76"/>
      <c r="F1018" s="76"/>
      <c r="G1018" s="76"/>
      <c r="H1018" s="76"/>
      <c r="I1018" s="76"/>
      <c r="J1018" s="76"/>
      <c r="K1018" s="76"/>
      <c r="L1018" s="76"/>
      <c r="M1018" s="69"/>
      <c r="N1018" s="76"/>
      <c r="O1018" s="76"/>
      <c r="P1018" s="76"/>
      <c r="Q1018" s="76"/>
      <c r="R1018" s="76"/>
      <c r="S1018" s="76"/>
      <c r="T1018" s="76"/>
      <c r="U1018" s="76"/>
      <c r="V1018" s="76"/>
      <c r="W1018" s="76"/>
    </row>
    <row r="1019" spans="1:23" ht="12.75">
      <c r="A1019" s="76"/>
      <c r="B1019" s="76"/>
      <c r="C1019" s="76"/>
      <c r="D1019" s="69"/>
      <c r="E1019" s="76"/>
      <c r="F1019" s="76"/>
      <c r="G1019" s="76"/>
      <c r="H1019" s="76"/>
      <c r="I1019" s="76"/>
      <c r="J1019" s="76"/>
      <c r="K1019" s="76"/>
      <c r="L1019" s="76"/>
      <c r="M1019" s="69"/>
      <c r="N1019" s="76"/>
      <c r="O1019" s="76"/>
      <c r="P1019" s="76"/>
      <c r="Q1019" s="76"/>
      <c r="R1019" s="76"/>
      <c r="S1019" s="76"/>
      <c r="T1019" s="76"/>
      <c r="U1019" s="76"/>
      <c r="V1019" s="76"/>
      <c r="W1019" s="76"/>
    </row>
    <row r="1020" spans="1:23" ht="12.75">
      <c r="A1020" s="76"/>
      <c r="B1020" s="76"/>
      <c r="C1020" s="76"/>
      <c r="D1020" s="69"/>
      <c r="E1020" s="76"/>
      <c r="F1020" s="76"/>
      <c r="G1020" s="76"/>
      <c r="H1020" s="76"/>
      <c r="I1020" s="76"/>
      <c r="J1020" s="76"/>
      <c r="K1020" s="76"/>
      <c r="L1020" s="76"/>
      <c r="M1020" s="69"/>
      <c r="N1020" s="76"/>
      <c r="O1020" s="76"/>
      <c r="P1020" s="76"/>
      <c r="Q1020" s="76"/>
      <c r="R1020" s="76"/>
      <c r="S1020" s="76"/>
      <c r="T1020" s="76"/>
      <c r="U1020" s="76"/>
      <c r="V1020" s="76"/>
      <c r="W1020" s="76"/>
    </row>
    <row r="1021" spans="1:23" ht="12.75">
      <c r="A1021" s="76"/>
      <c r="B1021" s="76"/>
      <c r="C1021" s="76"/>
      <c r="D1021" s="69"/>
      <c r="E1021" s="76"/>
      <c r="F1021" s="76"/>
      <c r="G1021" s="76"/>
      <c r="H1021" s="76"/>
      <c r="I1021" s="76"/>
      <c r="J1021" s="76"/>
      <c r="K1021" s="76"/>
      <c r="L1021" s="76"/>
      <c r="M1021" s="69"/>
      <c r="N1021" s="76"/>
      <c r="O1021" s="76"/>
      <c r="P1021" s="76"/>
      <c r="Q1021" s="76"/>
      <c r="R1021" s="76"/>
      <c r="S1021" s="76"/>
      <c r="T1021" s="76"/>
      <c r="U1021" s="76"/>
      <c r="V1021" s="76"/>
      <c r="W1021" s="76"/>
    </row>
    <row r="1022" spans="1:23" ht="12.75">
      <c r="A1022" s="76"/>
      <c r="B1022" s="76"/>
      <c r="C1022" s="76"/>
      <c r="D1022" s="69"/>
      <c r="E1022" s="76"/>
      <c r="F1022" s="76"/>
      <c r="G1022" s="76"/>
      <c r="H1022" s="76"/>
      <c r="I1022" s="76"/>
      <c r="J1022" s="76"/>
      <c r="K1022" s="76"/>
      <c r="L1022" s="76"/>
      <c r="M1022" s="69"/>
      <c r="N1022" s="76"/>
      <c r="O1022" s="76"/>
      <c r="P1022" s="76"/>
      <c r="Q1022" s="76"/>
      <c r="R1022" s="76"/>
      <c r="S1022" s="76"/>
      <c r="T1022" s="76"/>
      <c r="U1022" s="76"/>
      <c r="V1022" s="76"/>
      <c r="W1022" s="76"/>
    </row>
    <row r="1023" spans="1:23" ht="12.75">
      <c r="A1023" s="76"/>
      <c r="B1023" s="76"/>
      <c r="C1023" s="76"/>
      <c r="D1023" s="69"/>
      <c r="E1023" s="76"/>
      <c r="F1023" s="76"/>
      <c r="G1023" s="76"/>
      <c r="H1023" s="76"/>
      <c r="I1023" s="76"/>
      <c r="J1023" s="76"/>
      <c r="K1023" s="76"/>
      <c r="L1023" s="76"/>
      <c r="M1023" s="69"/>
      <c r="N1023" s="76"/>
      <c r="O1023" s="76"/>
      <c r="P1023" s="76"/>
      <c r="Q1023" s="76"/>
      <c r="R1023" s="76"/>
      <c r="S1023" s="76"/>
      <c r="T1023" s="76"/>
      <c r="U1023" s="76"/>
      <c r="V1023" s="76"/>
      <c r="W1023" s="76"/>
    </row>
    <row r="1024" spans="1:23" ht="12.75">
      <c r="A1024" s="76"/>
      <c r="B1024" s="76"/>
      <c r="C1024" s="76"/>
      <c r="D1024" s="69"/>
      <c r="E1024" s="76"/>
      <c r="F1024" s="76"/>
      <c r="G1024" s="76"/>
      <c r="H1024" s="76"/>
      <c r="I1024" s="76"/>
      <c r="J1024" s="76"/>
      <c r="K1024" s="76"/>
      <c r="L1024" s="76"/>
      <c r="M1024" s="69"/>
      <c r="N1024" s="76"/>
      <c r="O1024" s="76"/>
      <c r="P1024" s="76"/>
      <c r="Q1024" s="76"/>
      <c r="R1024" s="76"/>
      <c r="S1024" s="76"/>
      <c r="T1024" s="76"/>
      <c r="U1024" s="76"/>
      <c r="V1024" s="76"/>
      <c r="W1024" s="76"/>
    </row>
    <row r="1025" spans="1:23" ht="12.75">
      <c r="A1025" s="76"/>
      <c r="B1025" s="76"/>
      <c r="C1025" s="76"/>
      <c r="D1025" s="69"/>
      <c r="E1025" s="76"/>
      <c r="F1025" s="76"/>
      <c r="G1025" s="76"/>
      <c r="H1025" s="76"/>
      <c r="I1025" s="76"/>
      <c r="J1025" s="76"/>
      <c r="K1025" s="76"/>
      <c r="L1025" s="76"/>
      <c r="M1025" s="69"/>
      <c r="N1025" s="76"/>
      <c r="O1025" s="76"/>
      <c r="P1025" s="76"/>
      <c r="Q1025" s="76"/>
      <c r="R1025" s="76"/>
      <c r="S1025" s="76"/>
      <c r="T1025" s="76"/>
      <c r="U1025" s="76"/>
      <c r="V1025" s="76"/>
      <c r="W1025" s="76"/>
    </row>
    <row r="1026" spans="1:23" ht="12.75">
      <c r="A1026" s="76"/>
      <c r="B1026" s="76"/>
      <c r="C1026" s="76"/>
      <c r="D1026" s="69"/>
      <c r="E1026" s="76"/>
      <c r="F1026" s="76"/>
      <c r="G1026" s="76"/>
      <c r="H1026" s="76"/>
      <c r="I1026" s="76"/>
      <c r="J1026" s="76"/>
      <c r="K1026" s="76"/>
      <c r="L1026" s="76"/>
      <c r="M1026" s="69"/>
      <c r="N1026" s="76"/>
      <c r="O1026" s="76"/>
      <c r="P1026" s="76"/>
      <c r="Q1026" s="76"/>
      <c r="R1026" s="76"/>
      <c r="S1026" s="76"/>
      <c r="T1026" s="76"/>
      <c r="U1026" s="76"/>
      <c r="V1026" s="76"/>
      <c r="W1026" s="76"/>
    </row>
    <row r="1027" spans="1:23" ht="12.75">
      <c r="A1027" s="76"/>
      <c r="B1027" s="76"/>
      <c r="C1027" s="76"/>
      <c r="D1027" s="69"/>
      <c r="E1027" s="76"/>
      <c r="F1027" s="76"/>
      <c r="G1027" s="76"/>
      <c r="H1027" s="76"/>
      <c r="I1027" s="76"/>
      <c r="J1027" s="76"/>
      <c r="K1027" s="76"/>
      <c r="L1027" s="76"/>
      <c r="M1027" s="69"/>
      <c r="N1027" s="76"/>
      <c r="O1027" s="76"/>
      <c r="P1027" s="76"/>
      <c r="Q1027" s="76"/>
      <c r="R1027" s="76"/>
      <c r="S1027" s="76"/>
      <c r="T1027" s="76"/>
      <c r="U1027" s="76"/>
      <c r="V1027" s="76"/>
      <c r="W1027" s="76"/>
    </row>
    <row r="1028" spans="1:23" ht="12.75">
      <c r="A1028" s="76"/>
      <c r="B1028" s="76"/>
      <c r="C1028" s="76"/>
      <c r="D1028" s="69"/>
      <c r="E1028" s="76"/>
      <c r="F1028" s="76"/>
      <c r="G1028" s="76"/>
      <c r="H1028" s="76"/>
      <c r="I1028" s="76"/>
      <c r="J1028" s="76"/>
      <c r="K1028" s="76"/>
      <c r="L1028" s="76"/>
      <c r="M1028" s="69"/>
      <c r="N1028" s="76"/>
      <c r="O1028" s="76"/>
      <c r="P1028" s="76"/>
      <c r="Q1028" s="76"/>
      <c r="R1028" s="76"/>
      <c r="S1028" s="76"/>
      <c r="T1028" s="76"/>
      <c r="U1028" s="76"/>
      <c r="V1028" s="76"/>
      <c r="W1028" s="76"/>
    </row>
    <row r="1029" spans="1:23" ht="12.75">
      <c r="A1029" s="76"/>
      <c r="B1029" s="76"/>
      <c r="C1029" s="76"/>
      <c r="D1029" s="69"/>
      <c r="E1029" s="76"/>
      <c r="F1029" s="76"/>
      <c r="G1029" s="76"/>
      <c r="H1029" s="76"/>
      <c r="I1029" s="76"/>
      <c r="J1029" s="76"/>
      <c r="K1029" s="76"/>
      <c r="L1029" s="76"/>
      <c r="M1029" s="69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</row>
    <row r="1030" spans="1:23" ht="12.75">
      <c r="A1030" s="76"/>
      <c r="B1030" s="76"/>
      <c r="C1030" s="76"/>
      <c r="D1030" s="69"/>
      <c r="E1030" s="76"/>
      <c r="F1030" s="76"/>
      <c r="G1030" s="76"/>
      <c r="H1030" s="76"/>
      <c r="I1030" s="76"/>
      <c r="J1030" s="76"/>
      <c r="K1030" s="76"/>
      <c r="L1030" s="76"/>
      <c r="M1030" s="69"/>
      <c r="N1030" s="76"/>
      <c r="O1030" s="76"/>
      <c r="P1030" s="76"/>
      <c r="Q1030" s="76"/>
      <c r="R1030" s="76"/>
      <c r="S1030" s="76"/>
      <c r="T1030" s="76"/>
      <c r="U1030" s="76"/>
      <c r="V1030" s="76"/>
      <c r="W1030" s="76"/>
    </row>
    <row r="1031" spans="1:23" ht="12.75">
      <c r="A1031" s="76"/>
      <c r="B1031" s="76"/>
      <c r="C1031" s="76"/>
      <c r="D1031" s="69"/>
      <c r="E1031" s="76"/>
      <c r="F1031" s="76"/>
      <c r="G1031" s="76"/>
      <c r="H1031" s="76"/>
      <c r="I1031" s="76"/>
      <c r="J1031" s="76"/>
      <c r="K1031" s="76"/>
      <c r="L1031" s="76"/>
      <c r="M1031" s="69"/>
      <c r="N1031" s="76"/>
      <c r="O1031" s="76"/>
      <c r="P1031" s="76"/>
      <c r="Q1031" s="76"/>
      <c r="R1031" s="76"/>
      <c r="S1031" s="76"/>
      <c r="T1031" s="76"/>
      <c r="U1031" s="76"/>
      <c r="V1031" s="76"/>
      <c r="W1031" s="76"/>
    </row>
    <row r="1032" spans="1:23" ht="12.75">
      <c r="A1032" s="76"/>
      <c r="B1032" s="76"/>
      <c r="C1032" s="76"/>
      <c r="D1032" s="69"/>
      <c r="E1032" s="76"/>
      <c r="F1032" s="76"/>
      <c r="G1032" s="76"/>
      <c r="H1032" s="76"/>
      <c r="I1032" s="76"/>
      <c r="J1032" s="76"/>
      <c r="K1032" s="76"/>
      <c r="L1032" s="76"/>
      <c r="M1032" s="69"/>
      <c r="N1032" s="76"/>
      <c r="O1032" s="76"/>
      <c r="P1032" s="76"/>
      <c r="Q1032" s="76"/>
      <c r="R1032" s="76"/>
      <c r="S1032" s="76"/>
      <c r="T1032" s="76"/>
      <c r="U1032" s="76"/>
      <c r="V1032" s="76"/>
      <c r="W1032" s="76"/>
    </row>
    <row r="1033" spans="1:23" ht="12.75">
      <c r="A1033" s="76"/>
      <c r="B1033" s="76"/>
      <c r="C1033" s="76"/>
      <c r="D1033" s="69"/>
      <c r="E1033" s="76"/>
      <c r="F1033" s="76"/>
      <c r="G1033" s="76"/>
      <c r="H1033" s="76"/>
      <c r="I1033" s="76"/>
      <c r="J1033" s="76"/>
      <c r="K1033" s="76"/>
      <c r="L1033" s="76"/>
      <c r="M1033" s="69"/>
      <c r="N1033" s="76"/>
      <c r="O1033" s="76"/>
      <c r="P1033" s="76"/>
      <c r="Q1033" s="76"/>
      <c r="R1033" s="76"/>
      <c r="S1033" s="76"/>
      <c r="T1033" s="76"/>
      <c r="U1033" s="76"/>
      <c r="V1033" s="76"/>
      <c r="W1033" s="76"/>
    </row>
    <row r="1034" spans="1:23" ht="12.75">
      <c r="A1034" s="76"/>
      <c r="B1034" s="76"/>
      <c r="C1034" s="76"/>
      <c r="D1034" s="69"/>
      <c r="E1034" s="76"/>
      <c r="F1034" s="76"/>
      <c r="G1034" s="76"/>
      <c r="H1034" s="76"/>
      <c r="I1034" s="76"/>
      <c r="J1034" s="76"/>
      <c r="K1034" s="76"/>
      <c r="L1034" s="76"/>
      <c r="M1034" s="69"/>
      <c r="N1034" s="76"/>
      <c r="O1034" s="76"/>
      <c r="P1034" s="76"/>
      <c r="Q1034" s="76"/>
      <c r="R1034" s="76"/>
      <c r="S1034" s="76"/>
      <c r="T1034" s="76"/>
      <c r="U1034" s="76"/>
      <c r="V1034" s="76"/>
      <c r="W1034" s="76"/>
    </row>
    <row r="1035" spans="1:23" ht="12.75">
      <c r="A1035" s="76"/>
      <c r="B1035" s="76"/>
      <c r="C1035" s="76"/>
      <c r="D1035" s="69"/>
      <c r="E1035" s="76"/>
      <c r="F1035" s="76"/>
      <c r="G1035" s="76"/>
      <c r="H1035" s="76"/>
      <c r="I1035" s="76"/>
      <c r="J1035" s="76"/>
      <c r="K1035" s="76"/>
      <c r="L1035" s="76"/>
      <c r="M1035" s="69"/>
      <c r="N1035" s="76"/>
      <c r="O1035" s="76"/>
      <c r="P1035" s="76"/>
      <c r="Q1035" s="76"/>
      <c r="R1035" s="76"/>
      <c r="S1035" s="76"/>
      <c r="T1035" s="76"/>
      <c r="U1035" s="76"/>
      <c r="V1035" s="76"/>
      <c r="W1035" s="76"/>
    </row>
    <row r="1036" spans="1:23" ht="12.75">
      <c r="A1036" s="76"/>
      <c r="B1036" s="76"/>
      <c r="C1036" s="76"/>
      <c r="D1036" s="69"/>
      <c r="E1036" s="76"/>
      <c r="F1036" s="76"/>
      <c r="G1036" s="76"/>
      <c r="H1036" s="76"/>
      <c r="I1036" s="76"/>
      <c r="J1036" s="76"/>
      <c r="K1036" s="76"/>
      <c r="L1036" s="76"/>
      <c r="M1036" s="69"/>
      <c r="N1036" s="76"/>
      <c r="O1036" s="76"/>
      <c r="P1036" s="76"/>
      <c r="Q1036" s="76"/>
      <c r="R1036" s="76"/>
      <c r="S1036" s="76"/>
      <c r="T1036" s="76"/>
      <c r="U1036" s="76"/>
      <c r="V1036" s="76"/>
      <c r="W1036" s="76"/>
    </row>
    <row r="1037" spans="1:23" ht="12.75">
      <c r="A1037" s="76"/>
      <c r="B1037" s="76"/>
      <c r="C1037" s="76"/>
      <c r="D1037" s="69"/>
      <c r="E1037" s="76"/>
      <c r="F1037" s="76"/>
      <c r="G1037" s="76"/>
      <c r="H1037" s="76"/>
      <c r="I1037" s="76"/>
      <c r="J1037" s="76"/>
      <c r="K1037" s="76"/>
      <c r="L1037" s="76"/>
      <c r="M1037" s="69"/>
      <c r="N1037" s="76"/>
      <c r="O1037" s="76"/>
      <c r="P1037" s="76"/>
      <c r="Q1037" s="76"/>
      <c r="R1037" s="76"/>
      <c r="S1037" s="76"/>
      <c r="T1037" s="76"/>
      <c r="U1037" s="76"/>
      <c r="V1037" s="76"/>
      <c r="W1037" s="76"/>
    </row>
    <row r="1038" spans="1:23" ht="12.75">
      <c r="A1038" s="76"/>
      <c r="B1038" s="76"/>
      <c r="C1038" s="76"/>
      <c r="D1038" s="69"/>
      <c r="E1038" s="76"/>
      <c r="F1038" s="76"/>
      <c r="G1038" s="76"/>
      <c r="H1038" s="76"/>
      <c r="I1038" s="76"/>
      <c r="J1038" s="76"/>
      <c r="K1038" s="76"/>
      <c r="L1038" s="76"/>
      <c r="M1038" s="69"/>
      <c r="N1038" s="76"/>
      <c r="O1038" s="76"/>
      <c r="P1038" s="76"/>
      <c r="Q1038" s="76"/>
      <c r="R1038" s="76"/>
      <c r="S1038" s="76"/>
      <c r="T1038" s="76"/>
      <c r="U1038" s="76"/>
      <c r="V1038" s="76"/>
      <c r="W1038" s="76"/>
    </row>
    <row r="1039" spans="1:23" ht="12.75">
      <c r="A1039" s="76"/>
      <c r="B1039" s="76"/>
      <c r="C1039" s="76"/>
      <c r="D1039" s="69"/>
      <c r="E1039" s="76"/>
      <c r="F1039" s="76"/>
      <c r="G1039" s="76"/>
      <c r="H1039" s="76"/>
      <c r="I1039" s="76"/>
      <c r="J1039" s="76"/>
      <c r="K1039" s="76"/>
      <c r="L1039" s="76"/>
      <c r="M1039" s="69"/>
      <c r="N1039" s="76"/>
      <c r="O1039" s="76"/>
      <c r="P1039" s="76"/>
      <c r="Q1039" s="76"/>
      <c r="R1039" s="76"/>
      <c r="S1039" s="76"/>
      <c r="T1039" s="76"/>
      <c r="U1039" s="76"/>
      <c r="V1039" s="76"/>
      <c r="W1039" s="76"/>
    </row>
    <row r="1040" spans="1:23" ht="12.75">
      <c r="A1040" s="76"/>
      <c r="B1040" s="76"/>
      <c r="C1040" s="76"/>
      <c r="D1040" s="69"/>
      <c r="E1040" s="76"/>
      <c r="F1040" s="76"/>
      <c r="G1040" s="76"/>
      <c r="H1040" s="76"/>
      <c r="I1040" s="76"/>
      <c r="J1040" s="76"/>
      <c r="K1040" s="76"/>
      <c r="L1040" s="76"/>
      <c r="M1040" s="69"/>
      <c r="N1040" s="76"/>
      <c r="O1040" s="76"/>
      <c r="P1040" s="76"/>
      <c r="Q1040" s="76"/>
      <c r="R1040" s="76"/>
      <c r="S1040" s="76"/>
      <c r="T1040" s="76"/>
      <c r="U1040" s="76"/>
      <c r="V1040" s="76"/>
      <c r="W1040" s="76"/>
    </row>
    <row r="1041" spans="1:23" ht="12.75">
      <c r="A1041" s="76"/>
      <c r="B1041" s="76"/>
      <c r="C1041" s="76"/>
      <c r="D1041" s="69"/>
      <c r="E1041" s="76"/>
      <c r="F1041" s="76"/>
      <c r="G1041" s="76"/>
      <c r="H1041" s="76"/>
      <c r="I1041" s="76"/>
      <c r="J1041" s="76"/>
      <c r="K1041" s="76"/>
      <c r="L1041" s="76"/>
      <c r="M1041" s="69"/>
      <c r="N1041" s="76"/>
      <c r="O1041" s="76"/>
      <c r="P1041" s="76"/>
      <c r="Q1041" s="76"/>
      <c r="R1041" s="76"/>
      <c r="S1041" s="76"/>
      <c r="T1041" s="76"/>
      <c r="U1041" s="76"/>
      <c r="V1041" s="76"/>
      <c r="W1041" s="76"/>
    </row>
    <row r="1042" spans="1:23" ht="12.75">
      <c r="A1042" s="76"/>
      <c r="B1042" s="76"/>
      <c r="C1042" s="76"/>
      <c r="D1042" s="69"/>
      <c r="E1042" s="76"/>
      <c r="F1042" s="76"/>
      <c r="G1042" s="76"/>
      <c r="H1042" s="76"/>
      <c r="I1042" s="76"/>
      <c r="J1042" s="76"/>
      <c r="K1042" s="76"/>
      <c r="L1042" s="76"/>
      <c r="M1042" s="69"/>
      <c r="N1042" s="76"/>
      <c r="O1042" s="76"/>
      <c r="P1042" s="76"/>
      <c r="Q1042" s="76"/>
      <c r="R1042" s="76"/>
      <c r="S1042" s="76"/>
      <c r="T1042" s="76"/>
      <c r="U1042" s="76"/>
      <c r="V1042" s="76"/>
      <c r="W1042" s="76"/>
    </row>
    <row r="1043" spans="1:23" ht="12.75">
      <c r="A1043" s="76"/>
      <c r="B1043" s="76"/>
      <c r="C1043" s="76"/>
      <c r="D1043" s="69"/>
      <c r="E1043" s="76"/>
      <c r="F1043" s="76"/>
      <c r="G1043" s="76"/>
      <c r="H1043" s="76"/>
      <c r="I1043" s="76"/>
      <c r="J1043" s="76"/>
      <c r="K1043" s="76"/>
      <c r="L1043" s="76"/>
      <c r="M1043" s="69"/>
      <c r="N1043" s="76"/>
      <c r="O1043" s="76"/>
      <c r="P1043" s="76"/>
      <c r="Q1043" s="76"/>
      <c r="R1043" s="76"/>
      <c r="S1043" s="76"/>
      <c r="T1043" s="76"/>
      <c r="U1043" s="76"/>
      <c r="V1043" s="76"/>
      <c r="W1043" s="76"/>
    </row>
    <row r="1044" spans="1:23" ht="12.75">
      <c r="A1044" s="76"/>
      <c r="B1044" s="76"/>
      <c r="C1044" s="76"/>
      <c r="D1044" s="69"/>
      <c r="E1044" s="76"/>
      <c r="F1044" s="76"/>
      <c r="G1044" s="76"/>
      <c r="H1044" s="76"/>
      <c r="I1044" s="76"/>
      <c r="J1044" s="76"/>
      <c r="K1044" s="76"/>
      <c r="L1044" s="76"/>
      <c r="M1044" s="69"/>
      <c r="N1044" s="76"/>
      <c r="O1044" s="76"/>
      <c r="P1044" s="76"/>
      <c r="Q1044" s="76"/>
      <c r="R1044" s="76"/>
      <c r="S1044" s="76"/>
      <c r="T1044" s="76"/>
      <c r="U1044" s="76"/>
      <c r="V1044" s="76"/>
      <c r="W1044" s="76"/>
    </row>
    <row r="1045" spans="1:23" ht="12.75">
      <c r="A1045" s="76"/>
      <c r="B1045" s="76"/>
      <c r="C1045" s="76"/>
      <c r="D1045" s="69"/>
      <c r="E1045" s="76"/>
      <c r="F1045" s="76"/>
      <c r="G1045" s="76"/>
      <c r="H1045" s="76"/>
      <c r="I1045" s="76"/>
      <c r="J1045" s="76"/>
      <c r="K1045" s="76"/>
      <c r="L1045" s="76"/>
      <c r="M1045" s="69"/>
      <c r="N1045" s="76"/>
      <c r="O1045" s="76"/>
      <c r="P1045" s="76"/>
      <c r="Q1045" s="76"/>
      <c r="R1045" s="76"/>
      <c r="S1045" s="76"/>
      <c r="T1045" s="76"/>
      <c r="U1045" s="76"/>
      <c r="V1045" s="76"/>
      <c r="W1045" s="76"/>
    </row>
    <row r="1046" spans="1:23" ht="12.75">
      <c r="A1046" s="76"/>
      <c r="B1046" s="76"/>
      <c r="C1046" s="76"/>
      <c r="D1046" s="69"/>
      <c r="E1046" s="76"/>
      <c r="F1046" s="76"/>
      <c r="G1046" s="76"/>
      <c r="H1046" s="76"/>
      <c r="I1046" s="76"/>
      <c r="J1046" s="76"/>
      <c r="K1046" s="76"/>
      <c r="L1046" s="76"/>
      <c r="M1046" s="69"/>
      <c r="N1046" s="76"/>
      <c r="O1046" s="76"/>
      <c r="P1046" s="76"/>
      <c r="Q1046" s="76"/>
      <c r="R1046" s="76"/>
      <c r="S1046" s="76"/>
      <c r="T1046" s="76"/>
      <c r="U1046" s="76"/>
      <c r="V1046" s="76"/>
      <c r="W1046" s="76"/>
    </row>
    <row r="1047" spans="1:23" ht="12.75">
      <c r="A1047" s="76"/>
      <c r="B1047" s="76"/>
      <c r="C1047" s="76"/>
      <c r="D1047" s="69"/>
      <c r="E1047" s="76"/>
      <c r="F1047" s="76"/>
      <c r="G1047" s="76"/>
      <c r="H1047" s="76"/>
      <c r="I1047" s="76"/>
      <c r="J1047" s="76"/>
      <c r="K1047" s="76"/>
      <c r="L1047" s="76"/>
      <c r="M1047" s="69"/>
      <c r="N1047" s="76"/>
      <c r="O1047" s="76"/>
      <c r="P1047" s="76"/>
      <c r="Q1047" s="76"/>
      <c r="R1047" s="76"/>
      <c r="S1047" s="76"/>
      <c r="T1047" s="76"/>
      <c r="U1047" s="76"/>
      <c r="V1047" s="76"/>
      <c r="W1047" s="76"/>
    </row>
    <row r="1048" spans="1:23" ht="12.75">
      <c r="A1048" s="76"/>
      <c r="B1048" s="76"/>
      <c r="C1048" s="76"/>
      <c r="D1048" s="69"/>
      <c r="E1048" s="76"/>
      <c r="F1048" s="76"/>
      <c r="G1048" s="76"/>
      <c r="H1048" s="76"/>
      <c r="I1048" s="76"/>
      <c r="J1048" s="76"/>
      <c r="K1048" s="76"/>
      <c r="L1048" s="76"/>
      <c r="M1048" s="69"/>
      <c r="N1048" s="76"/>
      <c r="O1048" s="76"/>
      <c r="P1048" s="76"/>
      <c r="Q1048" s="76"/>
      <c r="R1048" s="76"/>
      <c r="S1048" s="76"/>
      <c r="T1048" s="76"/>
      <c r="U1048" s="76"/>
      <c r="V1048" s="76"/>
      <c r="W1048" s="76"/>
    </row>
    <row r="1049" spans="1:23" ht="12.75">
      <c r="A1049" s="76"/>
      <c r="B1049" s="76"/>
      <c r="C1049" s="76"/>
      <c r="D1049" s="69"/>
      <c r="E1049" s="76"/>
      <c r="F1049" s="76"/>
      <c r="G1049" s="76"/>
      <c r="H1049" s="76"/>
      <c r="I1049" s="76"/>
      <c r="J1049" s="76"/>
      <c r="K1049" s="76"/>
      <c r="L1049" s="76"/>
      <c r="M1049" s="69"/>
      <c r="N1049" s="76"/>
      <c r="O1049" s="76"/>
      <c r="P1049" s="76"/>
      <c r="Q1049" s="76"/>
      <c r="R1049" s="76"/>
      <c r="S1049" s="76"/>
      <c r="T1049" s="76"/>
      <c r="U1049" s="76"/>
      <c r="V1049" s="76"/>
      <c r="W1049" s="76"/>
    </row>
    <row r="1050" spans="1:23" ht="12.75">
      <c r="A1050" s="76"/>
      <c r="B1050" s="76"/>
      <c r="C1050" s="76"/>
      <c r="D1050" s="69"/>
      <c r="E1050" s="76"/>
      <c r="F1050" s="76"/>
      <c r="G1050" s="76"/>
      <c r="H1050" s="76"/>
      <c r="I1050" s="76"/>
      <c r="J1050" s="76"/>
      <c r="K1050" s="76"/>
      <c r="L1050" s="76"/>
      <c r="M1050" s="69"/>
      <c r="N1050" s="76"/>
      <c r="O1050" s="76"/>
      <c r="P1050" s="76"/>
      <c r="Q1050" s="76"/>
      <c r="R1050" s="76"/>
      <c r="S1050" s="76"/>
      <c r="T1050" s="76"/>
      <c r="U1050" s="76"/>
      <c r="V1050" s="76"/>
      <c r="W1050" s="76"/>
    </row>
    <row r="1051" spans="1:23" ht="12.75">
      <c r="A1051" s="76"/>
      <c r="B1051" s="76"/>
      <c r="C1051" s="76"/>
      <c r="D1051" s="69"/>
      <c r="E1051" s="76"/>
      <c r="F1051" s="76"/>
      <c r="G1051" s="76"/>
      <c r="H1051" s="76"/>
      <c r="I1051" s="76"/>
      <c r="J1051" s="76"/>
      <c r="K1051" s="76"/>
      <c r="L1051" s="76"/>
      <c r="M1051" s="69"/>
      <c r="N1051" s="76"/>
      <c r="O1051" s="76"/>
      <c r="P1051" s="76"/>
      <c r="Q1051" s="76"/>
      <c r="R1051" s="76"/>
      <c r="S1051" s="76"/>
      <c r="T1051" s="76"/>
      <c r="U1051" s="76"/>
      <c r="V1051" s="76"/>
      <c r="W1051" s="76"/>
    </row>
    <row r="1052" spans="1:23" ht="12.75">
      <c r="A1052" s="76"/>
      <c r="B1052" s="76"/>
      <c r="C1052" s="76"/>
      <c r="D1052" s="69"/>
      <c r="E1052" s="76"/>
      <c r="F1052" s="76"/>
      <c r="G1052" s="76"/>
      <c r="H1052" s="76"/>
      <c r="I1052" s="76"/>
      <c r="J1052" s="76"/>
      <c r="K1052" s="76"/>
      <c r="L1052" s="76"/>
      <c r="M1052" s="69"/>
      <c r="N1052" s="76"/>
      <c r="O1052" s="76"/>
      <c r="P1052" s="76"/>
      <c r="Q1052" s="76"/>
      <c r="R1052" s="76"/>
      <c r="S1052" s="76"/>
      <c r="T1052" s="76"/>
      <c r="U1052" s="76"/>
      <c r="V1052" s="76"/>
      <c r="W1052" s="76"/>
    </row>
    <row r="1053" spans="1:23" ht="12.75">
      <c r="A1053" s="76"/>
      <c r="B1053" s="76"/>
      <c r="C1053" s="76"/>
      <c r="D1053" s="69"/>
      <c r="E1053" s="76"/>
      <c r="F1053" s="76"/>
      <c r="G1053" s="76"/>
      <c r="H1053" s="76"/>
      <c r="I1053" s="76"/>
      <c r="J1053" s="76"/>
      <c r="K1053" s="76"/>
      <c r="L1053" s="76"/>
      <c r="M1053" s="69"/>
      <c r="N1053" s="76"/>
      <c r="O1053" s="76"/>
      <c r="P1053" s="76"/>
      <c r="Q1053" s="76"/>
      <c r="R1053" s="76"/>
      <c r="S1053" s="76"/>
      <c r="T1053" s="76"/>
      <c r="U1053" s="76"/>
      <c r="V1053" s="76"/>
      <c r="W1053" s="76"/>
    </row>
    <row r="1054" spans="1:23" ht="12.75">
      <c r="A1054" s="76"/>
      <c r="B1054" s="76"/>
      <c r="C1054" s="76"/>
      <c r="D1054" s="69"/>
      <c r="E1054" s="76"/>
      <c r="F1054" s="76"/>
      <c r="G1054" s="76"/>
      <c r="H1054" s="76"/>
      <c r="I1054" s="76"/>
      <c r="J1054" s="76"/>
      <c r="K1054" s="76"/>
      <c r="L1054" s="76"/>
      <c r="M1054" s="69"/>
      <c r="N1054" s="76"/>
      <c r="O1054" s="76"/>
      <c r="P1054" s="76"/>
      <c r="Q1054" s="76"/>
      <c r="R1054" s="76"/>
      <c r="S1054" s="76"/>
      <c r="T1054" s="76"/>
      <c r="U1054" s="76"/>
      <c r="V1054" s="76"/>
      <c r="W1054" s="76"/>
    </row>
    <row r="1055" spans="1:23" ht="12.75">
      <c r="A1055" s="76"/>
      <c r="B1055" s="76"/>
      <c r="C1055" s="76"/>
      <c r="D1055" s="69"/>
      <c r="E1055" s="76"/>
      <c r="F1055" s="76"/>
      <c r="G1055" s="76"/>
      <c r="H1055" s="76"/>
      <c r="I1055" s="76"/>
      <c r="J1055" s="76"/>
      <c r="K1055" s="76"/>
      <c r="L1055" s="76"/>
      <c r="M1055" s="69"/>
      <c r="N1055" s="76"/>
      <c r="O1055" s="76"/>
      <c r="P1055" s="76"/>
      <c r="Q1055" s="76"/>
      <c r="R1055" s="76"/>
      <c r="S1055" s="76"/>
      <c r="T1055" s="76"/>
      <c r="U1055" s="76"/>
      <c r="V1055" s="76"/>
      <c r="W1055" s="76"/>
    </row>
    <row r="1056" spans="1:23" ht="12.75">
      <c r="A1056" s="76"/>
      <c r="B1056" s="76"/>
      <c r="C1056" s="76"/>
      <c r="D1056" s="69"/>
      <c r="E1056" s="76"/>
      <c r="F1056" s="76"/>
      <c r="G1056" s="76"/>
      <c r="H1056" s="76"/>
      <c r="I1056" s="76"/>
      <c r="J1056" s="76"/>
      <c r="K1056" s="76"/>
      <c r="L1056" s="76"/>
      <c r="M1056" s="69"/>
      <c r="N1056" s="76"/>
      <c r="O1056" s="76"/>
      <c r="P1056" s="76"/>
      <c r="Q1056" s="76"/>
      <c r="R1056" s="76"/>
      <c r="S1056" s="76"/>
      <c r="T1056" s="76"/>
      <c r="U1056" s="76"/>
      <c r="V1056" s="76"/>
      <c r="W1056" s="76"/>
    </row>
    <row r="1057" spans="1:23" ht="12.75">
      <c r="A1057" s="76"/>
      <c r="B1057" s="76"/>
      <c r="C1057" s="76"/>
      <c r="D1057" s="69"/>
      <c r="E1057" s="76"/>
      <c r="F1057" s="76"/>
      <c r="G1057" s="76"/>
      <c r="H1057" s="76"/>
      <c r="I1057" s="76"/>
      <c r="J1057" s="76"/>
      <c r="K1057" s="76"/>
      <c r="L1057" s="76"/>
      <c r="M1057" s="69"/>
      <c r="N1057" s="76"/>
      <c r="O1057" s="76"/>
      <c r="P1057" s="76"/>
      <c r="Q1057" s="76"/>
      <c r="R1057" s="76"/>
      <c r="S1057" s="76"/>
      <c r="T1057" s="76"/>
      <c r="U1057" s="76"/>
      <c r="V1057" s="76"/>
      <c r="W1057" s="76"/>
    </row>
    <row r="1058" spans="1:23" ht="12.75">
      <c r="A1058" s="76"/>
      <c r="B1058" s="76"/>
      <c r="C1058" s="76"/>
      <c r="D1058" s="69"/>
      <c r="E1058" s="76"/>
      <c r="F1058" s="76"/>
      <c r="G1058" s="76"/>
      <c r="H1058" s="76"/>
      <c r="I1058" s="76"/>
      <c r="J1058" s="76"/>
      <c r="K1058" s="76"/>
      <c r="L1058" s="76"/>
      <c r="M1058" s="69"/>
      <c r="N1058" s="76"/>
      <c r="O1058" s="76"/>
      <c r="P1058" s="76"/>
      <c r="Q1058" s="76"/>
      <c r="R1058" s="76"/>
      <c r="S1058" s="76"/>
      <c r="T1058" s="76"/>
      <c r="U1058" s="76"/>
      <c r="V1058" s="76"/>
      <c r="W1058" s="76"/>
    </row>
    <row r="1059" spans="1:23" ht="12.75">
      <c r="A1059" s="76"/>
      <c r="B1059" s="76"/>
      <c r="C1059" s="76"/>
      <c r="D1059" s="69"/>
      <c r="E1059" s="76"/>
      <c r="F1059" s="76"/>
      <c r="G1059" s="76"/>
      <c r="H1059" s="76"/>
      <c r="I1059" s="76"/>
      <c r="J1059" s="76"/>
      <c r="K1059" s="76"/>
      <c r="L1059" s="76"/>
      <c r="M1059" s="69"/>
      <c r="N1059" s="76"/>
      <c r="O1059" s="76"/>
      <c r="P1059" s="76"/>
      <c r="Q1059" s="76"/>
      <c r="R1059" s="76"/>
      <c r="S1059" s="76"/>
      <c r="T1059" s="76"/>
      <c r="U1059" s="76"/>
      <c r="V1059" s="76"/>
      <c r="W1059" s="76"/>
    </row>
    <row r="1060" spans="1:23" ht="12.75">
      <c r="A1060" s="76"/>
      <c r="B1060" s="76"/>
      <c r="C1060" s="76"/>
      <c r="D1060" s="69"/>
      <c r="E1060" s="76"/>
      <c r="F1060" s="76"/>
      <c r="G1060" s="76"/>
      <c r="H1060" s="76"/>
      <c r="I1060" s="76"/>
      <c r="J1060" s="76"/>
      <c r="K1060" s="76"/>
      <c r="L1060" s="76"/>
      <c r="M1060" s="69"/>
      <c r="N1060" s="76"/>
      <c r="O1060" s="76"/>
      <c r="P1060" s="76"/>
      <c r="Q1060" s="76"/>
      <c r="R1060" s="76"/>
      <c r="S1060" s="76"/>
      <c r="T1060" s="76"/>
      <c r="U1060" s="76"/>
      <c r="V1060" s="76"/>
      <c r="W1060" s="76"/>
    </row>
    <row r="1061" spans="1:23" ht="12.75">
      <c r="A1061" s="76"/>
      <c r="B1061" s="76"/>
      <c r="C1061" s="76"/>
      <c r="D1061" s="69"/>
      <c r="E1061" s="76"/>
      <c r="F1061" s="76"/>
      <c r="G1061" s="76"/>
      <c r="H1061" s="76"/>
      <c r="I1061" s="76"/>
      <c r="J1061" s="76"/>
      <c r="K1061" s="76"/>
      <c r="L1061" s="76"/>
      <c r="M1061" s="69"/>
      <c r="N1061" s="76"/>
      <c r="O1061" s="76"/>
      <c r="P1061" s="76"/>
      <c r="Q1061" s="76"/>
      <c r="R1061" s="76"/>
      <c r="S1061" s="76"/>
      <c r="T1061" s="76"/>
      <c r="U1061" s="76"/>
      <c r="V1061" s="76"/>
      <c r="W1061" s="76"/>
    </row>
    <row r="1062" spans="1:23" ht="12.75">
      <c r="A1062" s="76"/>
      <c r="B1062" s="76"/>
      <c r="C1062" s="76"/>
      <c r="D1062" s="69"/>
      <c r="E1062" s="76"/>
      <c r="F1062" s="76"/>
      <c r="G1062" s="76"/>
      <c r="H1062" s="76"/>
      <c r="I1062" s="76"/>
      <c r="J1062" s="76"/>
      <c r="K1062" s="76"/>
      <c r="L1062" s="76"/>
      <c r="M1062" s="69"/>
      <c r="N1062" s="76"/>
      <c r="O1062" s="76"/>
      <c r="P1062" s="76"/>
      <c r="Q1062" s="76"/>
      <c r="R1062" s="76"/>
      <c r="S1062" s="76"/>
      <c r="T1062" s="76"/>
      <c r="U1062" s="76"/>
      <c r="V1062" s="76"/>
      <c r="W1062" s="76"/>
    </row>
    <row r="1063" spans="1:23" ht="12.75">
      <c r="A1063" s="76"/>
      <c r="B1063" s="76"/>
      <c r="C1063" s="76"/>
      <c r="D1063" s="69"/>
      <c r="E1063" s="76"/>
      <c r="F1063" s="76"/>
      <c r="G1063" s="76"/>
      <c r="H1063" s="76"/>
      <c r="I1063" s="76"/>
      <c r="J1063" s="76"/>
      <c r="K1063" s="76"/>
      <c r="L1063" s="76"/>
      <c r="M1063" s="69"/>
      <c r="N1063" s="76"/>
      <c r="O1063" s="76"/>
      <c r="P1063" s="76"/>
      <c r="Q1063" s="76"/>
      <c r="R1063" s="76"/>
      <c r="S1063" s="76"/>
      <c r="T1063" s="76"/>
      <c r="U1063" s="76"/>
      <c r="V1063" s="76"/>
      <c r="W1063" s="76"/>
    </row>
    <row r="1064" spans="1:23" ht="12.75">
      <c r="A1064" s="76"/>
      <c r="B1064" s="76"/>
      <c r="C1064" s="76"/>
      <c r="D1064" s="69"/>
      <c r="E1064" s="76"/>
      <c r="F1064" s="76"/>
      <c r="G1064" s="76"/>
      <c r="H1064" s="76"/>
      <c r="I1064" s="76"/>
      <c r="J1064" s="76"/>
      <c r="K1064" s="76"/>
      <c r="L1064" s="76"/>
      <c r="M1064" s="69"/>
      <c r="N1064" s="76"/>
      <c r="O1064" s="76"/>
      <c r="P1064" s="76"/>
      <c r="Q1064" s="76"/>
      <c r="R1064" s="76"/>
      <c r="S1064" s="76"/>
      <c r="T1064" s="76"/>
      <c r="U1064" s="76"/>
      <c r="V1064" s="76"/>
      <c r="W1064" s="76"/>
    </row>
    <row r="1065" spans="1:23" ht="12.75">
      <c r="A1065" s="76"/>
      <c r="B1065" s="76"/>
      <c r="C1065" s="76"/>
      <c r="D1065" s="69"/>
      <c r="E1065" s="76"/>
      <c r="F1065" s="76"/>
      <c r="G1065" s="76"/>
      <c r="H1065" s="76"/>
      <c r="I1065" s="76"/>
      <c r="J1065" s="76"/>
      <c r="K1065" s="76"/>
      <c r="L1065" s="76"/>
      <c r="M1065" s="69"/>
      <c r="N1065" s="76"/>
      <c r="O1065" s="76"/>
      <c r="P1065" s="76"/>
      <c r="Q1065" s="76"/>
      <c r="R1065" s="76"/>
      <c r="S1065" s="76"/>
      <c r="T1065" s="76"/>
      <c r="U1065" s="76"/>
      <c r="V1065" s="76"/>
      <c r="W1065" s="76"/>
    </row>
    <row r="1066" spans="1:23" ht="12.75">
      <c r="A1066" s="76"/>
      <c r="B1066" s="76"/>
      <c r="C1066" s="76"/>
      <c r="D1066" s="69"/>
      <c r="E1066" s="76"/>
      <c r="F1066" s="76"/>
      <c r="G1066" s="76"/>
      <c r="H1066" s="76"/>
      <c r="I1066" s="76"/>
      <c r="J1066" s="76"/>
      <c r="K1066" s="76"/>
      <c r="L1066" s="76"/>
      <c r="M1066" s="69"/>
      <c r="N1066" s="76"/>
      <c r="O1066" s="76"/>
      <c r="P1066" s="76"/>
      <c r="Q1066" s="76"/>
      <c r="R1066" s="76"/>
      <c r="S1066" s="76"/>
      <c r="T1066" s="76"/>
      <c r="U1066" s="76"/>
      <c r="V1066" s="76"/>
      <c r="W1066" s="76"/>
    </row>
    <row r="1067" spans="1:23" ht="12.75">
      <c r="A1067" s="76"/>
      <c r="B1067" s="76"/>
      <c r="C1067" s="76"/>
      <c r="D1067" s="69"/>
      <c r="E1067" s="76"/>
      <c r="F1067" s="76"/>
      <c r="G1067" s="76"/>
      <c r="H1067" s="76"/>
      <c r="I1067" s="76"/>
      <c r="J1067" s="76"/>
      <c r="K1067" s="76"/>
      <c r="L1067" s="76"/>
      <c r="M1067" s="69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</row>
    <row r="1068" spans="1:23" ht="12.75">
      <c r="A1068" s="76"/>
      <c r="B1068" s="76"/>
      <c r="C1068" s="76"/>
      <c r="D1068" s="69"/>
      <c r="E1068" s="76"/>
      <c r="F1068" s="76"/>
      <c r="G1068" s="76"/>
      <c r="H1068" s="76"/>
      <c r="I1068" s="76"/>
      <c r="J1068" s="76"/>
      <c r="K1068" s="76"/>
      <c r="L1068" s="76"/>
      <c r="M1068" s="69"/>
      <c r="N1068" s="76"/>
      <c r="O1068" s="76"/>
      <c r="P1068" s="76"/>
      <c r="Q1068" s="76"/>
      <c r="R1068" s="76"/>
      <c r="S1068" s="76"/>
      <c r="T1068" s="76"/>
      <c r="U1068" s="76"/>
      <c r="V1068" s="76"/>
      <c r="W1068" s="76"/>
    </row>
    <row r="1069" spans="1:23" ht="12.75">
      <c r="A1069" s="76"/>
      <c r="B1069" s="76"/>
      <c r="C1069" s="76"/>
      <c r="D1069" s="69"/>
      <c r="E1069" s="76"/>
      <c r="F1069" s="76"/>
      <c r="G1069" s="76"/>
      <c r="H1069" s="76"/>
      <c r="I1069" s="76"/>
      <c r="J1069" s="76"/>
      <c r="K1069" s="76"/>
      <c r="L1069" s="76"/>
      <c r="M1069" s="69"/>
      <c r="N1069" s="76"/>
      <c r="O1069" s="76"/>
      <c r="P1069" s="76"/>
      <c r="Q1069" s="76"/>
      <c r="R1069" s="76"/>
      <c r="S1069" s="76"/>
      <c r="T1069" s="76"/>
      <c r="U1069" s="76"/>
      <c r="V1069" s="76"/>
      <c r="W1069" s="76"/>
    </row>
    <row r="1070" spans="1:23" ht="12.75">
      <c r="A1070" s="76"/>
      <c r="B1070" s="76"/>
      <c r="C1070" s="76"/>
      <c r="D1070" s="69"/>
      <c r="E1070" s="76"/>
      <c r="F1070" s="76"/>
      <c r="G1070" s="76"/>
      <c r="H1070" s="76"/>
      <c r="I1070" s="76"/>
      <c r="J1070" s="76"/>
      <c r="K1070" s="76"/>
      <c r="L1070" s="76"/>
      <c r="M1070" s="69"/>
      <c r="N1070" s="76"/>
      <c r="O1070" s="76"/>
      <c r="P1070" s="76"/>
      <c r="Q1070" s="76"/>
      <c r="R1070" s="76"/>
      <c r="S1070" s="76"/>
      <c r="T1070" s="76"/>
      <c r="U1070" s="76"/>
      <c r="V1070" s="76"/>
      <c r="W1070" s="76"/>
    </row>
    <row r="1071" spans="1:23" ht="12.75">
      <c r="A1071" s="76"/>
      <c r="B1071" s="76"/>
      <c r="C1071" s="76"/>
      <c r="D1071" s="69"/>
      <c r="E1071" s="76"/>
      <c r="F1071" s="76"/>
      <c r="G1071" s="76"/>
      <c r="H1071" s="76"/>
      <c r="I1071" s="76"/>
      <c r="J1071" s="76"/>
      <c r="K1071" s="76"/>
      <c r="L1071" s="76"/>
      <c r="M1071" s="69"/>
      <c r="N1071" s="76"/>
      <c r="O1071" s="76"/>
      <c r="P1071" s="76"/>
      <c r="Q1071" s="76"/>
      <c r="R1071" s="76"/>
      <c r="S1071" s="76"/>
      <c r="T1071" s="76"/>
      <c r="U1071" s="76"/>
      <c r="V1071" s="76"/>
      <c r="W1071" s="76"/>
    </row>
    <row r="1072" spans="1:23" ht="12.75">
      <c r="A1072" s="76"/>
      <c r="B1072" s="76"/>
      <c r="C1072" s="76"/>
      <c r="D1072" s="69"/>
      <c r="E1072" s="76"/>
      <c r="F1072" s="76"/>
      <c r="G1072" s="76"/>
      <c r="H1072" s="76"/>
      <c r="I1072" s="76"/>
      <c r="J1072" s="76"/>
      <c r="K1072" s="76"/>
      <c r="L1072" s="76"/>
      <c r="M1072" s="69"/>
      <c r="N1072" s="76"/>
      <c r="O1072" s="76"/>
      <c r="P1072" s="76"/>
      <c r="Q1072" s="76"/>
      <c r="R1072" s="76"/>
      <c r="S1072" s="76"/>
      <c r="T1072" s="76"/>
      <c r="U1072" s="76"/>
      <c r="V1072" s="76"/>
      <c r="W1072" s="76"/>
    </row>
    <row r="1073" spans="1:23" ht="12.75">
      <c r="A1073" s="76"/>
      <c r="B1073" s="76"/>
      <c r="C1073" s="76"/>
      <c r="D1073" s="69"/>
      <c r="E1073" s="76"/>
      <c r="F1073" s="76"/>
      <c r="G1073" s="76"/>
      <c r="H1073" s="76"/>
      <c r="I1073" s="76"/>
      <c r="J1073" s="76"/>
      <c r="K1073" s="76"/>
      <c r="L1073" s="76"/>
      <c r="M1073" s="69"/>
      <c r="N1073" s="76"/>
      <c r="O1073" s="76"/>
      <c r="P1073" s="76"/>
      <c r="Q1073" s="76"/>
      <c r="R1073" s="76"/>
      <c r="S1073" s="76"/>
      <c r="T1073" s="76"/>
      <c r="U1073" s="76"/>
      <c r="V1073" s="76"/>
      <c r="W1073" s="76"/>
    </row>
    <row r="1074" spans="1:23" ht="12.75">
      <c r="A1074" s="76"/>
      <c r="B1074" s="76"/>
      <c r="C1074" s="76"/>
      <c r="D1074" s="69"/>
      <c r="E1074" s="76"/>
      <c r="F1074" s="76"/>
      <c r="G1074" s="76"/>
      <c r="H1074" s="76"/>
      <c r="I1074" s="76"/>
      <c r="J1074" s="76"/>
      <c r="K1074" s="76"/>
      <c r="L1074" s="76"/>
      <c r="M1074" s="69"/>
      <c r="N1074" s="76"/>
      <c r="O1074" s="76"/>
      <c r="P1074" s="76"/>
      <c r="Q1074" s="76"/>
      <c r="R1074" s="76"/>
      <c r="S1074" s="76"/>
      <c r="T1074" s="76"/>
      <c r="U1074" s="76"/>
      <c r="V1074" s="76"/>
      <c r="W1074" s="76"/>
    </row>
    <row r="1075" spans="1:23" ht="12.75">
      <c r="A1075" s="76"/>
      <c r="B1075" s="76"/>
      <c r="C1075" s="76"/>
      <c r="D1075" s="69"/>
      <c r="E1075" s="76"/>
      <c r="F1075" s="76"/>
      <c r="G1075" s="76"/>
      <c r="H1075" s="76"/>
      <c r="I1075" s="76"/>
      <c r="J1075" s="76"/>
      <c r="K1075" s="76"/>
      <c r="L1075" s="76"/>
      <c r="M1075" s="69"/>
      <c r="N1075" s="76"/>
      <c r="O1075" s="76"/>
      <c r="P1075" s="76"/>
      <c r="Q1075" s="76"/>
      <c r="R1075" s="76"/>
      <c r="S1075" s="76"/>
      <c r="T1075" s="76"/>
      <c r="U1075" s="76"/>
      <c r="V1075" s="76"/>
      <c r="W1075" s="76"/>
    </row>
    <row r="1076" spans="1:23" ht="12.75">
      <c r="A1076" s="76"/>
      <c r="B1076" s="76"/>
      <c r="C1076" s="76"/>
      <c r="D1076" s="69"/>
      <c r="E1076" s="76"/>
      <c r="F1076" s="76"/>
      <c r="G1076" s="76"/>
      <c r="H1076" s="76"/>
      <c r="I1076" s="76"/>
      <c r="J1076" s="76"/>
      <c r="K1076" s="76"/>
      <c r="L1076" s="76"/>
      <c r="M1076" s="69"/>
      <c r="N1076" s="76"/>
      <c r="O1076" s="76"/>
      <c r="P1076" s="76"/>
      <c r="Q1076" s="76"/>
      <c r="R1076" s="76"/>
      <c r="S1076" s="76"/>
      <c r="T1076" s="76"/>
      <c r="U1076" s="76"/>
      <c r="V1076" s="76"/>
      <c r="W1076" s="76"/>
    </row>
    <row r="1077" spans="1:23" ht="12.75">
      <c r="A1077" s="76"/>
      <c r="B1077" s="76"/>
      <c r="C1077" s="76"/>
      <c r="D1077" s="69"/>
      <c r="E1077" s="76"/>
      <c r="F1077" s="76"/>
      <c r="G1077" s="76"/>
      <c r="H1077" s="76"/>
      <c r="I1077" s="76"/>
      <c r="J1077" s="76"/>
      <c r="K1077" s="76"/>
      <c r="L1077" s="76"/>
      <c r="M1077" s="69"/>
      <c r="N1077" s="76"/>
      <c r="O1077" s="76"/>
      <c r="P1077" s="76"/>
      <c r="Q1077" s="76"/>
      <c r="R1077" s="76"/>
      <c r="S1077" s="76"/>
      <c r="T1077" s="76"/>
      <c r="U1077" s="76"/>
      <c r="V1077" s="76"/>
      <c r="W1077" s="76"/>
    </row>
    <row r="1078" spans="1:23" ht="12.75">
      <c r="A1078" s="76"/>
      <c r="B1078" s="76"/>
      <c r="C1078" s="76"/>
      <c r="D1078" s="69"/>
      <c r="E1078" s="76"/>
      <c r="F1078" s="76"/>
      <c r="G1078" s="76"/>
      <c r="H1078" s="76"/>
      <c r="I1078" s="76"/>
      <c r="J1078" s="76"/>
      <c r="K1078" s="76"/>
      <c r="L1078" s="76"/>
      <c r="M1078" s="69"/>
      <c r="N1078" s="76"/>
      <c r="O1078" s="76"/>
      <c r="P1078" s="76"/>
      <c r="Q1078" s="76"/>
      <c r="R1078" s="76"/>
      <c r="S1078" s="76"/>
      <c r="T1078" s="76"/>
      <c r="U1078" s="76"/>
      <c r="V1078" s="76"/>
      <c r="W1078" s="76"/>
    </row>
    <row r="1079" spans="1:23" ht="12.75">
      <c r="A1079" s="76"/>
      <c r="B1079" s="76"/>
      <c r="C1079" s="76"/>
      <c r="D1079" s="69"/>
      <c r="E1079" s="76"/>
      <c r="F1079" s="76"/>
      <c r="G1079" s="76"/>
      <c r="H1079" s="76"/>
      <c r="I1079" s="76"/>
      <c r="J1079" s="76"/>
      <c r="K1079" s="76"/>
      <c r="L1079" s="76"/>
      <c r="M1079" s="69"/>
      <c r="N1079" s="76"/>
      <c r="O1079" s="76"/>
      <c r="P1079" s="76"/>
      <c r="Q1079" s="76"/>
      <c r="R1079" s="76"/>
      <c r="S1079" s="76"/>
      <c r="T1079" s="76"/>
      <c r="U1079" s="76"/>
      <c r="V1079" s="76"/>
      <c r="W1079" s="76"/>
    </row>
    <row r="1080" spans="1:23" ht="12.75">
      <c r="A1080" s="76"/>
      <c r="B1080" s="76"/>
      <c r="C1080" s="76"/>
      <c r="D1080" s="69"/>
      <c r="E1080" s="76"/>
      <c r="F1080" s="76"/>
      <c r="G1080" s="76"/>
      <c r="H1080" s="76"/>
      <c r="I1080" s="76"/>
      <c r="J1080" s="76"/>
      <c r="K1080" s="76"/>
      <c r="L1080" s="76"/>
      <c r="M1080" s="69"/>
      <c r="N1080" s="76"/>
      <c r="O1080" s="76"/>
      <c r="P1080" s="76"/>
      <c r="Q1080" s="76"/>
      <c r="R1080" s="76"/>
      <c r="S1080" s="76"/>
      <c r="T1080" s="76"/>
      <c r="U1080" s="76"/>
      <c r="V1080" s="76"/>
      <c r="W1080" s="76"/>
    </row>
    <row r="1081" spans="1:23" ht="12.75">
      <c r="A1081" s="76"/>
      <c r="B1081" s="76"/>
      <c r="C1081" s="76"/>
      <c r="D1081" s="69"/>
      <c r="E1081" s="76"/>
      <c r="F1081" s="76"/>
      <c r="G1081" s="76"/>
      <c r="H1081" s="76"/>
      <c r="I1081" s="76"/>
      <c r="J1081" s="76"/>
      <c r="K1081" s="76"/>
      <c r="L1081" s="76"/>
      <c r="M1081" s="69"/>
      <c r="N1081" s="76"/>
      <c r="O1081" s="76"/>
      <c r="P1081" s="76"/>
      <c r="Q1081" s="76"/>
      <c r="R1081" s="76"/>
      <c r="S1081" s="76"/>
      <c r="T1081" s="76"/>
      <c r="U1081" s="76"/>
      <c r="V1081" s="76"/>
      <c r="W1081" s="76"/>
    </row>
    <row r="1082" spans="1:23" ht="12.75">
      <c r="A1082" s="76"/>
      <c r="B1082" s="76"/>
      <c r="C1082" s="76"/>
      <c r="D1082" s="69"/>
      <c r="E1082" s="76"/>
      <c r="F1082" s="76"/>
      <c r="G1082" s="76"/>
      <c r="H1082" s="76"/>
      <c r="I1082" s="76"/>
      <c r="J1082" s="76"/>
      <c r="K1082" s="76"/>
      <c r="L1082" s="76"/>
      <c r="M1082" s="69"/>
      <c r="N1082" s="76"/>
      <c r="O1082" s="76"/>
      <c r="P1082" s="76"/>
      <c r="Q1082" s="76"/>
      <c r="R1082" s="76"/>
      <c r="S1082" s="76"/>
      <c r="T1082" s="76"/>
      <c r="U1082" s="76"/>
      <c r="V1082" s="76"/>
      <c r="W1082" s="76"/>
    </row>
    <row r="1083" spans="1:23" ht="12.75">
      <c r="A1083" s="76"/>
      <c r="B1083" s="76"/>
      <c r="C1083" s="76"/>
      <c r="D1083" s="69"/>
      <c r="E1083" s="76"/>
      <c r="F1083" s="76"/>
      <c r="G1083" s="76"/>
      <c r="H1083" s="76"/>
      <c r="I1083" s="76"/>
      <c r="J1083" s="76"/>
      <c r="K1083" s="76"/>
      <c r="L1083" s="76"/>
      <c r="M1083" s="69"/>
      <c r="N1083" s="76"/>
      <c r="O1083" s="76"/>
      <c r="P1083" s="76"/>
      <c r="Q1083" s="76"/>
      <c r="R1083" s="76"/>
      <c r="S1083" s="76"/>
      <c r="T1083" s="76"/>
      <c r="U1083" s="76"/>
      <c r="V1083" s="76"/>
      <c r="W1083" s="76"/>
    </row>
    <row r="1084" spans="1:23" ht="12.75">
      <c r="A1084" s="76"/>
      <c r="B1084" s="76"/>
      <c r="C1084" s="76"/>
      <c r="D1084" s="69"/>
      <c r="E1084" s="76"/>
      <c r="F1084" s="76"/>
      <c r="G1084" s="76"/>
      <c r="H1084" s="76"/>
      <c r="I1084" s="76"/>
      <c r="J1084" s="76"/>
      <c r="K1084" s="76"/>
      <c r="L1084" s="76"/>
      <c r="M1084" s="69"/>
      <c r="N1084" s="76"/>
      <c r="O1084" s="76"/>
      <c r="P1084" s="76"/>
      <c r="Q1084" s="76"/>
      <c r="R1084" s="76"/>
      <c r="S1084" s="76"/>
      <c r="T1084" s="76"/>
      <c r="U1084" s="76"/>
      <c r="V1084" s="76"/>
      <c r="W1084" s="76"/>
    </row>
    <row r="1085" spans="1:23" ht="12.75">
      <c r="A1085" s="76"/>
      <c r="B1085" s="76"/>
      <c r="C1085" s="76"/>
      <c r="D1085" s="69"/>
      <c r="E1085" s="76"/>
      <c r="F1085" s="76"/>
      <c r="G1085" s="76"/>
      <c r="H1085" s="76"/>
      <c r="I1085" s="76"/>
      <c r="J1085" s="76"/>
      <c r="K1085" s="76"/>
      <c r="L1085" s="76"/>
      <c r="M1085" s="69"/>
      <c r="N1085" s="76"/>
      <c r="O1085" s="76"/>
      <c r="P1085" s="76"/>
      <c r="Q1085" s="76"/>
      <c r="R1085" s="76"/>
      <c r="S1085" s="76"/>
      <c r="T1085" s="76"/>
      <c r="U1085" s="76"/>
      <c r="V1085" s="76"/>
      <c r="W1085" s="76"/>
    </row>
    <row r="1086" spans="1:23" ht="12.75">
      <c r="A1086" s="76"/>
      <c r="B1086" s="76"/>
      <c r="C1086" s="76"/>
      <c r="D1086" s="69"/>
      <c r="E1086" s="76"/>
      <c r="F1086" s="76"/>
      <c r="G1086" s="76"/>
      <c r="H1086" s="76"/>
      <c r="I1086" s="76"/>
      <c r="J1086" s="76"/>
      <c r="K1086" s="76"/>
      <c r="L1086" s="76"/>
      <c r="M1086" s="69"/>
      <c r="N1086" s="76"/>
      <c r="O1086" s="76"/>
      <c r="P1086" s="76"/>
      <c r="Q1086" s="76"/>
      <c r="R1086" s="76"/>
      <c r="S1086" s="76"/>
      <c r="T1086" s="76"/>
      <c r="U1086" s="76"/>
      <c r="V1086" s="76"/>
      <c r="W1086" s="76"/>
    </row>
    <row r="1087" spans="1:23" ht="12.75">
      <c r="A1087" s="76"/>
      <c r="B1087" s="76"/>
      <c r="C1087" s="76"/>
      <c r="D1087" s="69"/>
      <c r="E1087" s="76"/>
      <c r="F1087" s="76"/>
      <c r="G1087" s="76"/>
      <c r="H1087" s="76"/>
      <c r="I1087" s="76"/>
      <c r="J1087" s="76"/>
      <c r="K1087" s="76"/>
      <c r="L1087" s="76"/>
      <c r="M1087" s="69"/>
      <c r="N1087" s="76"/>
      <c r="O1087" s="76"/>
      <c r="P1087" s="76"/>
      <c r="Q1087" s="76"/>
      <c r="R1087" s="76"/>
      <c r="S1087" s="76"/>
      <c r="T1087" s="76"/>
      <c r="U1087" s="76"/>
      <c r="V1087" s="76"/>
      <c r="W1087" s="76"/>
    </row>
    <row r="1088" spans="1:23" ht="12.75">
      <c r="A1088" s="76"/>
      <c r="B1088" s="76"/>
      <c r="C1088" s="76"/>
      <c r="D1088" s="69"/>
      <c r="E1088" s="76"/>
      <c r="F1088" s="76"/>
      <c r="G1088" s="76"/>
      <c r="H1088" s="76"/>
      <c r="I1088" s="76"/>
      <c r="J1088" s="76"/>
      <c r="K1088" s="76"/>
      <c r="L1088" s="76"/>
      <c r="M1088" s="69"/>
      <c r="N1088" s="76"/>
      <c r="O1088" s="76"/>
      <c r="P1088" s="76"/>
      <c r="Q1088" s="76"/>
      <c r="R1088" s="76"/>
      <c r="S1088" s="76"/>
      <c r="T1088" s="76"/>
      <c r="U1088" s="76"/>
      <c r="V1088" s="76"/>
      <c r="W1088" s="76"/>
    </row>
    <row r="1089" spans="1:23" ht="12.75">
      <c r="A1089" s="76"/>
      <c r="B1089" s="76"/>
      <c r="C1089" s="76"/>
      <c r="D1089" s="69"/>
      <c r="E1089" s="76"/>
      <c r="F1089" s="76"/>
      <c r="G1089" s="76"/>
      <c r="H1089" s="76"/>
      <c r="I1089" s="76"/>
      <c r="J1089" s="76"/>
      <c r="K1089" s="76"/>
      <c r="L1089" s="76"/>
      <c r="M1089" s="69"/>
      <c r="N1089" s="76"/>
      <c r="O1089" s="76"/>
      <c r="P1089" s="76"/>
      <c r="Q1089" s="76"/>
      <c r="R1089" s="76"/>
      <c r="S1089" s="76"/>
      <c r="T1089" s="76"/>
      <c r="U1089" s="76"/>
      <c r="V1089" s="76"/>
      <c r="W1089" s="76"/>
    </row>
    <row r="1090" spans="1:23" ht="12.75">
      <c r="A1090" s="76"/>
      <c r="B1090" s="76"/>
      <c r="C1090" s="76"/>
      <c r="D1090" s="69"/>
      <c r="E1090" s="76"/>
      <c r="F1090" s="76"/>
      <c r="G1090" s="76"/>
      <c r="H1090" s="76"/>
      <c r="I1090" s="76"/>
      <c r="J1090" s="76"/>
      <c r="K1090" s="76"/>
      <c r="L1090" s="76"/>
      <c r="M1090" s="69"/>
      <c r="N1090" s="76"/>
      <c r="O1090" s="76"/>
      <c r="P1090" s="76"/>
      <c r="Q1090" s="76"/>
      <c r="R1090" s="76"/>
      <c r="S1090" s="76"/>
      <c r="T1090" s="76"/>
      <c r="U1090" s="76"/>
      <c r="V1090" s="76"/>
      <c r="W1090" s="76"/>
    </row>
    <row r="1091" spans="1:23" ht="12.75">
      <c r="A1091" s="76"/>
      <c r="B1091" s="76"/>
      <c r="C1091" s="76"/>
      <c r="D1091" s="69"/>
      <c r="E1091" s="76"/>
      <c r="F1091" s="76"/>
      <c r="G1091" s="76"/>
      <c r="H1091" s="76"/>
      <c r="I1091" s="76"/>
      <c r="J1091" s="76"/>
      <c r="K1091" s="76"/>
      <c r="L1091" s="76"/>
      <c r="M1091" s="69"/>
      <c r="N1091" s="76"/>
      <c r="O1091" s="76"/>
      <c r="P1091" s="76"/>
      <c r="Q1091" s="76"/>
      <c r="R1091" s="76"/>
      <c r="S1091" s="76"/>
      <c r="T1091" s="76"/>
      <c r="U1091" s="76"/>
      <c r="V1091" s="76"/>
      <c r="W1091" s="76"/>
    </row>
    <row r="1092" spans="1:23" ht="12.75">
      <c r="A1092" s="76"/>
      <c r="B1092" s="76"/>
      <c r="C1092" s="76"/>
      <c r="D1092" s="69"/>
      <c r="E1092" s="76"/>
      <c r="F1092" s="76"/>
      <c r="G1092" s="76"/>
      <c r="H1092" s="76"/>
      <c r="I1092" s="76"/>
      <c r="J1092" s="76"/>
      <c r="K1092" s="76"/>
      <c r="L1092" s="76"/>
      <c r="M1092" s="69"/>
      <c r="N1092" s="76"/>
      <c r="O1092" s="76"/>
      <c r="P1092" s="76"/>
      <c r="Q1092" s="76"/>
      <c r="R1092" s="76"/>
      <c r="S1092" s="76"/>
      <c r="T1092" s="76"/>
      <c r="U1092" s="76"/>
      <c r="V1092" s="76"/>
      <c r="W1092" s="76"/>
    </row>
    <row r="1093" spans="1:23" ht="12.75">
      <c r="A1093" s="76"/>
      <c r="B1093" s="76"/>
      <c r="C1093" s="76"/>
      <c r="D1093" s="69"/>
      <c r="E1093" s="76"/>
      <c r="F1093" s="76"/>
      <c r="G1093" s="76"/>
      <c r="H1093" s="76"/>
      <c r="I1093" s="76"/>
      <c r="J1093" s="76"/>
      <c r="K1093" s="76"/>
      <c r="L1093" s="76"/>
      <c r="M1093" s="69"/>
      <c r="N1093" s="76"/>
      <c r="O1093" s="76"/>
      <c r="P1093" s="76"/>
      <c r="Q1093" s="76"/>
      <c r="R1093" s="76"/>
      <c r="S1093" s="76"/>
      <c r="T1093" s="76"/>
      <c r="U1093" s="76"/>
      <c r="V1093" s="76"/>
      <c r="W1093" s="76"/>
    </row>
    <row r="1094" spans="1:23" ht="12.75">
      <c r="A1094" s="76"/>
      <c r="B1094" s="76"/>
      <c r="C1094" s="76"/>
      <c r="D1094" s="69"/>
      <c r="E1094" s="76"/>
      <c r="F1094" s="76"/>
      <c r="G1094" s="76"/>
      <c r="H1094" s="76"/>
      <c r="I1094" s="76"/>
      <c r="J1094" s="76"/>
      <c r="K1094" s="76"/>
      <c r="L1094" s="76"/>
      <c r="M1094" s="69"/>
      <c r="N1094" s="76"/>
      <c r="O1094" s="76"/>
      <c r="P1094" s="76"/>
      <c r="Q1094" s="76"/>
      <c r="R1094" s="76"/>
      <c r="S1094" s="76"/>
      <c r="T1094" s="76"/>
      <c r="U1094" s="76"/>
      <c r="V1094" s="76"/>
      <c r="W1094" s="76"/>
    </row>
    <row r="1095" spans="1:23" ht="12.75">
      <c r="A1095" s="76"/>
      <c r="B1095" s="76"/>
      <c r="C1095" s="76"/>
      <c r="D1095" s="69"/>
      <c r="E1095" s="76"/>
      <c r="F1095" s="76"/>
      <c r="G1095" s="76"/>
      <c r="H1095" s="76"/>
      <c r="I1095" s="76"/>
      <c r="J1095" s="76"/>
      <c r="K1095" s="76"/>
      <c r="L1095" s="76"/>
      <c r="M1095" s="69"/>
      <c r="N1095" s="76"/>
      <c r="O1095" s="76"/>
      <c r="P1095" s="76"/>
      <c r="Q1095" s="76"/>
      <c r="R1095" s="76"/>
      <c r="S1095" s="76"/>
      <c r="T1095" s="76"/>
      <c r="U1095" s="76"/>
      <c r="V1095" s="76"/>
      <c r="W1095" s="76"/>
    </row>
    <row r="1096" spans="1:23" ht="12.75">
      <c r="A1096" s="76"/>
      <c r="B1096" s="76"/>
      <c r="C1096" s="76"/>
      <c r="D1096" s="69"/>
      <c r="E1096" s="76"/>
      <c r="F1096" s="76"/>
      <c r="G1096" s="76"/>
      <c r="H1096" s="76"/>
      <c r="I1096" s="76"/>
      <c r="J1096" s="76"/>
      <c r="K1096" s="76"/>
      <c r="L1096" s="76"/>
      <c r="M1096" s="69"/>
      <c r="N1096" s="76"/>
      <c r="O1096" s="76"/>
      <c r="P1096" s="76"/>
      <c r="Q1096" s="76"/>
      <c r="R1096" s="76"/>
      <c r="S1096" s="76"/>
      <c r="T1096" s="76"/>
      <c r="U1096" s="76"/>
      <c r="V1096" s="76"/>
      <c r="W1096" s="76"/>
    </row>
    <row r="1097" spans="1:23" ht="12.75">
      <c r="A1097" s="76"/>
      <c r="B1097" s="76"/>
      <c r="C1097" s="76"/>
      <c r="D1097" s="69"/>
      <c r="E1097" s="76"/>
      <c r="F1097" s="76"/>
      <c r="G1097" s="76"/>
      <c r="H1097" s="76"/>
      <c r="I1097" s="76"/>
      <c r="J1097" s="76"/>
      <c r="K1097" s="76"/>
      <c r="L1097" s="76"/>
      <c r="M1097" s="69"/>
      <c r="N1097" s="76"/>
      <c r="O1097" s="76"/>
      <c r="P1097" s="76"/>
      <c r="Q1097" s="76"/>
      <c r="R1097" s="76"/>
      <c r="S1097" s="76"/>
      <c r="T1097" s="76"/>
      <c r="U1097" s="76"/>
      <c r="V1097" s="76"/>
      <c r="W1097" s="76"/>
    </row>
    <row r="1098" spans="1:23" ht="12.75">
      <c r="A1098" s="76"/>
      <c r="B1098" s="76"/>
      <c r="C1098" s="76"/>
      <c r="D1098" s="69"/>
      <c r="E1098" s="76"/>
      <c r="F1098" s="76"/>
      <c r="G1098" s="76"/>
      <c r="H1098" s="76"/>
      <c r="I1098" s="76"/>
      <c r="J1098" s="76"/>
      <c r="K1098" s="76"/>
      <c r="L1098" s="76"/>
      <c r="M1098" s="69"/>
      <c r="N1098" s="76"/>
      <c r="O1098" s="76"/>
      <c r="P1098" s="76"/>
      <c r="Q1098" s="76"/>
      <c r="R1098" s="76"/>
      <c r="S1098" s="76"/>
      <c r="T1098" s="76"/>
      <c r="U1098" s="76"/>
      <c r="V1098" s="76"/>
      <c r="W1098" s="76"/>
    </row>
    <row r="1099" spans="1:23" ht="12.75">
      <c r="A1099" s="76"/>
      <c r="B1099" s="76"/>
      <c r="C1099" s="76"/>
      <c r="D1099" s="69"/>
      <c r="E1099" s="76"/>
      <c r="F1099" s="76"/>
      <c r="G1099" s="76"/>
      <c r="H1099" s="76"/>
      <c r="I1099" s="76"/>
      <c r="J1099" s="76"/>
      <c r="K1099" s="76"/>
      <c r="L1099" s="76"/>
      <c r="M1099" s="69"/>
      <c r="N1099" s="76"/>
      <c r="O1099" s="76"/>
      <c r="P1099" s="76"/>
      <c r="Q1099" s="76"/>
      <c r="R1099" s="76"/>
      <c r="S1099" s="76"/>
      <c r="T1099" s="76"/>
      <c r="U1099" s="76"/>
      <c r="V1099" s="76"/>
      <c r="W1099" s="76"/>
    </row>
    <row r="1100" spans="1:23" ht="12.75">
      <c r="A1100" s="76"/>
      <c r="B1100" s="76"/>
      <c r="C1100" s="76"/>
      <c r="D1100" s="69"/>
      <c r="E1100" s="76"/>
      <c r="F1100" s="76"/>
      <c r="G1100" s="76"/>
      <c r="H1100" s="76"/>
      <c r="I1100" s="76"/>
      <c r="J1100" s="76"/>
      <c r="K1100" s="76"/>
      <c r="L1100" s="76"/>
      <c r="M1100" s="69"/>
      <c r="N1100" s="76"/>
      <c r="O1100" s="76"/>
      <c r="P1100" s="76"/>
      <c r="Q1100" s="76"/>
      <c r="R1100" s="76"/>
      <c r="S1100" s="76"/>
      <c r="T1100" s="76"/>
      <c r="U1100" s="76"/>
      <c r="V1100" s="76"/>
      <c r="W1100" s="76"/>
    </row>
    <row r="1101" spans="1:23" ht="12.75">
      <c r="A1101" s="76"/>
      <c r="B1101" s="76"/>
      <c r="C1101" s="76"/>
      <c r="D1101" s="69"/>
      <c r="E1101" s="76"/>
      <c r="F1101" s="76"/>
      <c r="G1101" s="76"/>
      <c r="H1101" s="76"/>
      <c r="I1101" s="76"/>
      <c r="J1101" s="76"/>
      <c r="K1101" s="76"/>
      <c r="L1101" s="76"/>
      <c r="M1101" s="69"/>
      <c r="N1101" s="76"/>
      <c r="O1101" s="76"/>
      <c r="P1101" s="76"/>
      <c r="Q1101" s="76"/>
      <c r="R1101" s="76"/>
      <c r="S1101" s="76"/>
      <c r="T1101" s="76"/>
      <c r="U1101" s="76"/>
      <c r="V1101" s="76"/>
      <c r="W1101" s="76"/>
    </row>
    <row r="1102" spans="1:23" ht="12.75">
      <c r="A1102" s="76"/>
      <c r="B1102" s="76"/>
      <c r="C1102" s="76"/>
      <c r="D1102" s="69"/>
      <c r="E1102" s="76"/>
      <c r="F1102" s="76"/>
      <c r="G1102" s="76"/>
      <c r="H1102" s="76"/>
      <c r="I1102" s="76"/>
      <c r="J1102" s="76"/>
      <c r="K1102" s="76"/>
      <c r="L1102" s="76"/>
      <c r="M1102" s="69"/>
      <c r="N1102" s="76"/>
      <c r="O1102" s="76"/>
      <c r="P1102" s="76"/>
      <c r="Q1102" s="76"/>
      <c r="R1102" s="76"/>
      <c r="S1102" s="76"/>
      <c r="T1102" s="76"/>
      <c r="U1102" s="76"/>
      <c r="V1102" s="76"/>
      <c r="W1102" s="76"/>
    </row>
    <row r="1103" spans="1:23" ht="12.75">
      <c r="A1103" s="76"/>
      <c r="B1103" s="76"/>
      <c r="C1103" s="76"/>
      <c r="D1103" s="69"/>
      <c r="E1103" s="76"/>
      <c r="F1103" s="76"/>
      <c r="G1103" s="76"/>
      <c r="H1103" s="76"/>
      <c r="I1103" s="76"/>
      <c r="J1103" s="76"/>
      <c r="K1103" s="76"/>
      <c r="L1103" s="76"/>
      <c r="M1103" s="69"/>
      <c r="N1103" s="76"/>
      <c r="O1103" s="76"/>
      <c r="P1103" s="76"/>
      <c r="Q1103" s="76"/>
      <c r="R1103" s="76"/>
      <c r="S1103" s="76"/>
      <c r="T1103" s="76"/>
      <c r="U1103" s="76"/>
      <c r="V1103" s="76"/>
      <c r="W1103" s="76"/>
    </row>
    <row r="1104" spans="1:23" ht="12.75">
      <c r="A1104" s="76"/>
      <c r="B1104" s="76"/>
      <c r="C1104" s="76"/>
      <c r="D1104" s="69"/>
      <c r="E1104" s="76"/>
      <c r="F1104" s="76"/>
      <c r="G1104" s="76"/>
      <c r="H1104" s="76"/>
      <c r="I1104" s="76"/>
      <c r="J1104" s="76"/>
      <c r="K1104" s="76"/>
      <c r="L1104" s="76"/>
      <c r="M1104" s="69"/>
      <c r="N1104" s="76"/>
      <c r="O1104" s="76"/>
      <c r="P1104" s="76"/>
      <c r="Q1104" s="76"/>
      <c r="R1104" s="76"/>
      <c r="S1104" s="76"/>
      <c r="T1104" s="76"/>
      <c r="U1104" s="76"/>
      <c r="V1104" s="76"/>
      <c r="W1104" s="76"/>
    </row>
    <row r="1105" spans="1:23" ht="12.75">
      <c r="A1105" s="76"/>
      <c r="B1105" s="76"/>
      <c r="C1105" s="76"/>
      <c r="D1105" s="69"/>
      <c r="E1105" s="76"/>
      <c r="F1105" s="76"/>
      <c r="G1105" s="76"/>
      <c r="H1105" s="76"/>
      <c r="I1105" s="76"/>
      <c r="J1105" s="76"/>
      <c r="K1105" s="76"/>
      <c r="L1105" s="76"/>
      <c r="M1105" s="69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</row>
    <row r="1106" spans="1:23" ht="12.75">
      <c r="A1106" s="76"/>
      <c r="B1106" s="76"/>
      <c r="C1106" s="76"/>
      <c r="D1106" s="69"/>
      <c r="E1106" s="76"/>
      <c r="F1106" s="76"/>
      <c r="G1106" s="76"/>
      <c r="H1106" s="76"/>
      <c r="I1106" s="76"/>
      <c r="J1106" s="76"/>
      <c r="K1106" s="76"/>
      <c r="L1106" s="76"/>
      <c r="M1106" s="69"/>
      <c r="N1106" s="76"/>
      <c r="O1106" s="76"/>
      <c r="P1106" s="76"/>
      <c r="Q1106" s="76"/>
      <c r="R1106" s="76"/>
      <c r="S1106" s="76"/>
      <c r="T1106" s="76"/>
      <c r="U1106" s="76"/>
      <c r="V1106" s="76"/>
      <c r="W1106" s="76"/>
    </row>
    <row r="1107" spans="1:23" ht="12.75">
      <c r="A1107" s="76"/>
      <c r="B1107" s="76"/>
      <c r="C1107" s="76"/>
      <c r="D1107" s="69"/>
      <c r="E1107" s="76"/>
      <c r="F1107" s="76"/>
      <c r="G1107" s="76"/>
      <c r="H1107" s="76"/>
      <c r="I1107" s="76"/>
      <c r="J1107" s="76"/>
      <c r="K1107" s="76"/>
      <c r="L1107" s="76"/>
      <c r="M1107" s="69"/>
      <c r="N1107" s="76"/>
      <c r="O1107" s="76"/>
      <c r="P1107" s="76"/>
      <c r="Q1107" s="76"/>
      <c r="R1107" s="76"/>
      <c r="S1107" s="76"/>
      <c r="T1107" s="76"/>
      <c r="U1107" s="76"/>
      <c r="V1107" s="76"/>
      <c r="W1107" s="76"/>
    </row>
    <row r="1108" spans="1:23" ht="12.75">
      <c r="A1108" s="76"/>
      <c r="B1108" s="76"/>
      <c r="C1108" s="76"/>
      <c r="D1108" s="69"/>
      <c r="E1108" s="76"/>
      <c r="F1108" s="76"/>
      <c r="G1108" s="76"/>
      <c r="H1108" s="76"/>
      <c r="I1108" s="76"/>
      <c r="J1108" s="76"/>
      <c r="K1108" s="76"/>
      <c r="L1108" s="76"/>
      <c r="M1108" s="69"/>
      <c r="N1108" s="76"/>
      <c r="O1108" s="76"/>
      <c r="P1108" s="76"/>
      <c r="Q1108" s="76"/>
      <c r="R1108" s="76"/>
      <c r="S1108" s="76"/>
      <c r="T1108" s="76"/>
      <c r="U1108" s="76"/>
      <c r="V1108" s="76"/>
      <c r="W1108" s="76"/>
    </row>
    <row r="1109" spans="1:23" ht="12.75">
      <c r="A1109" s="76"/>
      <c r="B1109" s="76"/>
      <c r="C1109" s="76"/>
      <c r="D1109" s="69"/>
      <c r="E1109" s="76"/>
      <c r="F1109" s="76"/>
      <c r="G1109" s="76"/>
      <c r="H1109" s="76"/>
      <c r="I1109" s="76"/>
      <c r="J1109" s="76"/>
      <c r="K1109" s="76"/>
      <c r="L1109" s="76"/>
      <c r="M1109" s="69"/>
      <c r="N1109" s="76"/>
      <c r="O1109" s="76"/>
      <c r="P1109" s="76"/>
      <c r="Q1109" s="76"/>
      <c r="R1109" s="76"/>
      <c r="S1109" s="76"/>
      <c r="T1109" s="76"/>
      <c r="U1109" s="76"/>
      <c r="V1109" s="76"/>
      <c r="W1109" s="76"/>
    </row>
    <row r="1110" spans="1:23" ht="12.75">
      <c r="A1110" s="76"/>
      <c r="B1110" s="76"/>
      <c r="C1110" s="76"/>
      <c r="D1110" s="69"/>
      <c r="E1110" s="76"/>
      <c r="F1110" s="76"/>
      <c r="G1110" s="76"/>
      <c r="H1110" s="76"/>
      <c r="I1110" s="76"/>
      <c r="J1110" s="76"/>
      <c r="K1110" s="76"/>
      <c r="L1110" s="76"/>
      <c r="M1110" s="69"/>
      <c r="N1110" s="76"/>
      <c r="O1110" s="76"/>
      <c r="P1110" s="76"/>
      <c r="Q1110" s="76"/>
      <c r="R1110" s="76"/>
      <c r="S1110" s="76"/>
      <c r="T1110" s="76"/>
      <c r="U1110" s="76"/>
      <c r="V1110" s="76"/>
      <c r="W1110" s="76"/>
    </row>
    <row r="1111" spans="1:23" ht="12.75">
      <c r="A1111" s="76"/>
      <c r="B1111" s="76"/>
      <c r="C1111" s="76"/>
      <c r="D1111" s="69"/>
      <c r="E1111" s="76"/>
      <c r="F1111" s="76"/>
      <c r="G1111" s="76"/>
      <c r="H1111" s="76"/>
      <c r="I1111" s="76"/>
      <c r="J1111" s="76"/>
      <c r="K1111" s="76"/>
      <c r="L1111" s="76"/>
      <c r="M1111" s="69"/>
      <c r="N1111" s="76"/>
      <c r="O1111" s="76"/>
      <c r="P1111" s="76"/>
      <c r="Q1111" s="76"/>
      <c r="R1111" s="76"/>
      <c r="S1111" s="76"/>
      <c r="T1111" s="76"/>
      <c r="U1111" s="76"/>
      <c r="V1111" s="76"/>
      <c r="W1111" s="76"/>
    </row>
    <row r="1112" spans="1:23" ht="12.75">
      <c r="A1112" s="76"/>
      <c r="B1112" s="76"/>
      <c r="C1112" s="76"/>
      <c r="D1112" s="69"/>
      <c r="E1112" s="76"/>
      <c r="F1112" s="76"/>
      <c r="G1112" s="76"/>
      <c r="H1112" s="76"/>
      <c r="I1112" s="76"/>
      <c r="J1112" s="76"/>
      <c r="K1112" s="76"/>
      <c r="L1112" s="76"/>
      <c r="M1112" s="69"/>
      <c r="N1112" s="76"/>
      <c r="O1112" s="76"/>
      <c r="P1112" s="76"/>
      <c r="Q1112" s="76"/>
      <c r="R1112" s="76"/>
      <c r="S1112" s="76"/>
      <c r="T1112" s="76"/>
      <c r="U1112" s="76"/>
      <c r="V1112" s="76"/>
      <c r="W1112" s="76"/>
    </row>
    <row r="1113" spans="1:23" ht="12.75">
      <c r="A1113" s="76"/>
      <c r="B1113" s="76"/>
      <c r="C1113" s="76"/>
      <c r="D1113" s="69"/>
      <c r="E1113" s="76"/>
      <c r="F1113" s="76"/>
      <c r="G1113" s="76"/>
      <c r="H1113" s="76"/>
      <c r="I1113" s="76"/>
      <c r="J1113" s="76"/>
      <c r="K1113" s="76"/>
      <c r="L1113" s="76"/>
      <c r="M1113" s="69"/>
      <c r="N1113" s="76"/>
      <c r="O1113" s="76"/>
      <c r="P1113" s="76"/>
      <c r="Q1113" s="76"/>
      <c r="R1113" s="76"/>
      <c r="S1113" s="76"/>
      <c r="T1113" s="76"/>
      <c r="U1113" s="76"/>
      <c r="V1113" s="76"/>
      <c r="W1113" s="76"/>
    </row>
    <row r="1114" spans="1:23" ht="12.75">
      <c r="A1114" s="76"/>
      <c r="B1114" s="76"/>
      <c r="C1114" s="76"/>
      <c r="D1114" s="69"/>
      <c r="E1114" s="76"/>
      <c r="F1114" s="76"/>
      <c r="G1114" s="76"/>
      <c r="H1114" s="76"/>
      <c r="I1114" s="76"/>
      <c r="J1114" s="76"/>
      <c r="K1114" s="76"/>
      <c r="L1114" s="76"/>
      <c r="M1114" s="69"/>
      <c r="N1114" s="76"/>
      <c r="O1114" s="76"/>
      <c r="P1114" s="76"/>
      <c r="Q1114" s="76"/>
      <c r="R1114" s="76"/>
      <c r="S1114" s="76"/>
      <c r="T1114" s="76"/>
      <c r="U1114" s="76"/>
      <c r="V1114" s="76"/>
      <c r="W1114" s="76"/>
    </row>
    <row r="1115" spans="1:23" ht="12.75">
      <c r="A1115" s="76"/>
      <c r="B1115" s="76"/>
      <c r="C1115" s="76"/>
      <c r="D1115" s="69"/>
      <c r="E1115" s="76"/>
      <c r="F1115" s="76"/>
      <c r="G1115" s="76"/>
      <c r="H1115" s="76"/>
      <c r="I1115" s="76"/>
      <c r="J1115" s="76"/>
      <c r="K1115" s="76"/>
      <c r="L1115" s="76"/>
      <c r="M1115" s="69"/>
      <c r="N1115" s="76"/>
      <c r="O1115" s="76"/>
      <c r="P1115" s="76"/>
      <c r="Q1115" s="76"/>
      <c r="R1115" s="76"/>
      <c r="S1115" s="76"/>
      <c r="T1115" s="76"/>
      <c r="U1115" s="76"/>
      <c r="V1115" s="76"/>
      <c r="W1115" s="76"/>
    </row>
    <row r="1116" spans="1:23" ht="12.75">
      <c r="A1116" s="76"/>
      <c r="B1116" s="76"/>
      <c r="C1116" s="76"/>
      <c r="D1116" s="69"/>
      <c r="E1116" s="76"/>
      <c r="F1116" s="76"/>
      <c r="G1116" s="76"/>
      <c r="H1116" s="76"/>
      <c r="I1116" s="76"/>
      <c r="J1116" s="76"/>
      <c r="K1116" s="76"/>
      <c r="L1116" s="76"/>
      <c r="M1116" s="69"/>
      <c r="N1116" s="76"/>
      <c r="O1116" s="76"/>
      <c r="P1116" s="76"/>
      <c r="Q1116" s="76"/>
      <c r="R1116" s="76"/>
      <c r="S1116" s="76"/>
      <c r="T1116" s="76"/>
      <c r="U1116" s="76"/>
      <c r="V1116" s="76"/>
      <c r="W1116" s="76"/>
    </row>
    <row r="1117" spans="1:23" ht="12.75">
      <c r="A1117" s="76"/>
      <c r="B1117" s="76"/>
      <c r="C1117" s="76"/>
      <c r="D1117" s="69"/>
      <c r="E1117" s="76"/>
      <c r="F1117" s="76"/>
      <c r="G1117" s="76"/>
      <c r="H1117" s="76"/>
      <c r="I1117" s="76"/>
      <c r="J1117" s="76"/>
      <c r="K1117" s="76"/>
      <c r="L1117" s="76"/>
      <c r="M1117" s="69"/>
      <c r="N1117" s="76"/>
      <c r="O1117" s="76"/>
      <c r="P1117" s="76"/>
      <c r="Q1117" s="76"/>
      <c r="R1117" s="76"/>
      <c r="S1117" s="76"/>
      <c r="T1117" s="76"/>
      <c r="U1117" s="76"/>
      <c r="V1117" s="76"/>
      <c r="W1117" s="76"/>
    </row>
    <row r="1118" spans="1:23" ht="12.75">
      <c r="A1118" s="76"/>
      <c r="B1118" s="76"/>
      <c r="C1118" s="76"/>
      <c r="D1118" s="69"/>
      <c r="E1118" s="76"/>
      <c r="F1118" s="76"/>
      <c r="G1118" s="76"/>
      <c r="H1118" s="76"/>
      <c r="I1118" s="76"/>
      <c r="J1118" s="76"/>
      <c r="K1118" s="76"/>
      <c r="L1118" s="76"/>
      <c r="M1118" s="69"/>
      <c r="N1118" s="76"/>
      <c r="O1118" s="76"/>
      <c r="P1118" s="76"/>
      <c r="Q1118" s="76"/>
      <c r="R1118" s="76"/>
      <c r="S1118" s="76"/>
      <c r="T1118" s="76"/>
      <c r="U1118" s="76"/>
      <c r="V1118" s="76"/>
      <c r="W1118" s="76"/>
    </row>
    <row r="1119" spans="1:23" ht="12.75">
      <c r="A1119" s="76"/>
      <c r="B1119" s="76"/>
      <c r="C1119" s="76"/>
      <c r="D1119" s="69"/>
      <c r="E1119" s="76"/>
      <c r="F1119" s="76"/>
      <c r="G1119" s="76"/>
      <c r="H1119" s="76"/>
      <c r="I1119" s="76"/>
      <c r="J1119" s="76"/>
      <c r="K1119" s="76"/>
      <c r="L1119" s="76"/>
      <c r="M1119" s="69"/>
      <c r="N1119" s="76"/>
      <c r="O1119" s="76"/>
      <c r="P1119" s="76"/>
      <c r="Q1119" s="76"/>
      <c r="R1119" s="76"/>
      <c r="S1119" s="76"/>
      <c r="T1119" s="76"/>
      <c r="U1119" s="76"/>
      <c r="V1119" s="76"/>
      <c r="W1119" s="76"/>
    </row>
    <row r="1120" spans="1:23" ht="12.75">
      <c r="A1120" s="76"/>
      <c r="B1120" s="76"/>
      <c r="C1120" s="76"/>
      <c r="D1120" s="69"/>
      <c r="E1120" s="76"/>
      <c r="F1120" s="76"/>
      <c r="G1120" s="76"/>
      <c r="H1120" s="76"/>
      <c r="I1120" s="76"/>
      <c r="J1120" s="76"/>
      <c r="K1120" s="76"/>
      <c r="L1120" s="76"/>
      <c r="M1120" s="69"/>
      <c r="N1120" s="76"/>
      <c r="O1120" s="76"/>
      <c r="P1120" s="76"/>
      <c r="Q1120" s="76"/>
      <c r="R1120" s="76"/>
      <c r="S1120" s="76"/>
      <c r="T1120" s="76"/>
      <c r="U1120" s="76"/>
      <c r="V1120" s="76"/>
      <c r="W1120" s="76"/>
    </row>
    <row r="1121" spans="1:23" ht="12.75">
      <c r="A1121" s="76"/>
      <c r="B1121" s="76"/>
      <c r="C1121" s="76"/>
      <c r="D1121" s="69"/>
      <c r="E1121" s="76"/>
      <c r="F1121" s="76"/>
      <c r="G1121" s="76"/>
      <c r="H1121" s="76"/>
      <c r="I1121" s="76"/>
      <c r="J1121" s="76"/>
      <c r="K1121" s="76"/>
      <c r="L1121" s="76"/>
      <c r="M1121" s="69"/>
      <c r="N1121" s="76"/>
      <c r="O1121" s="76"/>
      <c r="P1121" s="76"/>
      <c r="Q1121" s="76"/>
      <c r="R1121" s="76"/>
      <c r="S1121" s="76"/>
      <c r="T1121" s="76"/>
      <c r="U1121" s="76"/>
      <c r="V1121" s="76"/>
      <c r="W1121" s="76"/>
    </row>
    <row r="1122" spans="1:23" ht="12.75">
      <c r="A1122" s="76"/>
      <c r="B1122" s="76"/>
      <c r="C1122" s="76"/>
      <c r="D1122" s="69"/>
      <c r="E1122" s="76"/>
      <c r="F1122" s="76"/>
      <c r="G1122" s="76"/>
      <c r="H1122" s="76"/>
      <c r="I1122" s="76"/>
      <c r="J1122" s="76"/>
      <c r="K1122" s="76"/>
      <c r="L1122" s="76"/>
      <c r="M1122" s="69"/>
      <c r="N1122" s="76"/>
      <c r="O1122" s="76"/>
      <c r="P1122" s="76"/>
      <c r="Q1122" s="76"/>
      <c r="R1122" s="76"/>
      <c r="S1122" s="76"/>
      <c r="T1122" s="76"/>
      <c r="U1122" s="76"/>
      <c r="V1122" s="76"/>
      <c r="W1122" s="76"/>
    </row>
    <row r="1123" spans="1:23" ht="12.75">
      <c r="A1123" s="76"/>
      <c r="B1123" s="76"/>
      <c r="C1123" s="76"/>
      <c r="D1123" s="69"/>
      <c r="E1123" s="76"/>
      <c r="F1123" s="76"/>
      <c r="G1123" s="76"/>
      <c r="H1123" s="76"/>
      <c r="I1123" s="76"/>
      <c r="J1123" s="76"/>
      <c r="K1123" s="76"/>
      <c r="L1123" s="76"/>
      <c r="M1123" s="69"/>
      <c r="N1123" s="76"/>
      <c r="O1123" s="76"/>
      <c r="P1123" s="76"/>
      <c r="Q1123" s="76"/>
      <c r="R1123" s="76"/>
      <c r="S1123" s="76"/>
      <c r="T1123" s="76"/>
      <c r="U1123" s="76"/>
      <c r="V1123" s="76"/>
      <c r="W1123" s="76"/>
    </row>
    <row r="1124" spans="1:23" ht="12.75">
      <c r="A1124" s="76"/>
      <c r="B1124" s="76"/>
      <c r="C1124" s="76"/>
      <c r="D1124" s="69"/>
      <c r="E1124" s="76"/>
      <c r="F1124" s="76"/>
      <c r="G1124" s="76"/>
      <c r="H1124" s="76"/>
      <c r="I1124" s="76"/>
      <c r="J1124" s="76"/>
      <c r="K1124" s="76"/>
      <c r="L1124" s="76"/>
      <c r="M1124" s="69"/>
      <c r="N1124" s="76"/>
      <c r="O1124" s="76"/>
      <c r="P1124" s="76"/>
      <c r="Q1124" s="76"/>
      <c r="R1124" s="76"/>
      <c r="S1124" s="76"/>
      <c r="T1124" s="76"/>
      <c r="U1124" s="76"/>
      <c r="V1124" s="76"/>
      <c r="W1124" s="76"/>
    </row>
    <row r="1125" spans="1:23" ht="12.75">
      <c r="A1125" s="76"/>
      <c r="B1125" s="76"/>
      <c r="C1125" s="76"/>
      <c r="D1125" s="69"/>
      <c r="E1125" s="76"/>
      <c r="F1125" s="76"/>
      <c r="G1125" s="76"/>
      <c r="H1125" s="76"/>
      <c r="I1125" s="76"/>
      <c r="J1125" s="76"/>
      <c r="K1125" s="76"/>
      <c r="L1125" s="76"/>
      <c r="M1125" s="69"/>
      <c r="N1125" s="76"/>
      <c r="O1125" s="76"/>
      <c r="P1125" s="76"/>
      <c r="Q1125" s="76"/>
      <c r="R1125" s="76"/>
      <c r="S1125" s="76"/>
      <c r="T1125" s="76"/>
      <c r="U1125" s="76"/>
      <c r="V1125" s="76"/>
      <c r="W1125" s="76"/>
    </row>
    <row r="1126" spans="1:23" ht="12.75">
      <c r="A1126" s="76"/>
      <c r="B1126" s="76"/>
      <c r="C1126" s="76"/>
      <c r="D1126" s="69"/>
      <c r="E1126" s="76"/>
      <c r="F1126" s="76"/>
      <c r="G1126" s="76"/>
      <c r="H1126" s="76"/>
      <c r="I1126" s="76"/>
      <c r="J1126" s="76"/>
      <c r="K1126" s="76"/>
      <c r="L1126" s="76"/>
      <c r="M1126" s="69"/>
      <c r="N1126" s="76"/>
      <c r="O1126" s="76"/>
      <c r="P1126" s="76"/>
      <c r="Q1126" s="76"/>
      <c r="R1126" s="76"/>
      <c r="S1126" s="76"/>
      <c r="T1126" s="76"/>
      <c r="U1126" s="76"/>
      <c r="V1126" s="76"/>
      <c r="W1126" s="76"/>
    </row>
    <row r="1127" spans="1:23" ht="12.75">
      <c r="A1127" s="76"/>
      <c r="B1127" s="76"/>
      <c r="C1127" s="76"/>
      <c r="D1127" s="69"/>
      <c r="E1127" s="76"/>
      <c r="F1127" s="76"/>
      <c r="G1127" s="76"/>
      <c r="H1127" s="76"/>
      <c r="I1127" s="76"/>
      <c r="J1127" s="76"/>
      <c r="K1127" s="76"/>
      <c r="L1127" s="76"/>
      <c r="M1127" s="69"/>
      <c r="N1127" s="76"/>
      <c r="O1127" s="76"/>
      <c r="P1127" s="76"/>
      <c r="Q1127" s="76"/>
      <c r="R1127" s="76"/>
      <c r="S1127" s="76"/>
      <c r="T1127" s="76"/>
      <c r="U1127" s="76"/>
      <c r="V1127" s="76"/>
      <c r="W1127" s="76"/>
    </row>
    <row r="1128" spans="1:23" ht="12.75">
      <c r="A1128" s="76"/>
      <c r="B1128" s="76"/>
      <c r="C1128" s="76"/>
      <c r="D1128" s="69"/>
      <c r="E1128" s="76"/>
      <c r="F1128" s="76"/>
      <c r="G1128" s="76"/>
      <c r="H1128" s="76"/>
      <c r="I1128" s="76"/>
      <c r="J1128" s="76"/>
      <c r="K1128" s="76"/>
      <c r="L1128" s="76"/>
      <c r="M1128" s="69"/>
      <c r="N1128" s="76"/>
      <c r="O1128" s="76"/>
      <c r="P1128" s="76"/>
      <c r="Q1128" s="76"/>
      <c r="R1128" s="76"/>
      <c r="S1128" s="76"/>
      <c r="T1128" s="76"/>
      <c r="U1128" s="76"/>
      <c r="V1128" s="76"/>
      <c r="W1128" s="76"/>
    </row>
    <row r="1129" spans="1:23" ht="12.75">
      <c r="A1129" s="76"/>
      <c r="B1129" s="76"/>
      <c r="C1129" s="76"/>
      <c r="D1129" s="69"/>
      <c r="E1129" s="76"/>
      <c r="F1129" s="76"/>
      <c r="G1129" s="76"/>
      <c r="H1129" s="76"/>
      <c r="I1129" s="76"/>
      <c r="J1129" s="76"/>
      <c r="K1129" s="76"/>
      <c r="L1129" s="76"/>
      <c r="M1129" s="69"/>
      <c r="N1129" s="76"/>
      <c r="O1129" s="76"/>
      <c r="P1129" s="76"/>
      <c r="Q1129" s="76"/>
      <c r="R1129" s="76"/>
      <c r="S1129" s="76"/>
      <c r="T1129" s="76"/>
      <c r="U1129" s="76"/>
      <c r="V1129" s="76"/>
      <c r="W1129" s="76"/>
    </row>
    <row r="1130" spans="1:23" ht="12.75">
      <c r="A1130" s="76"/>
      <c r="B1130" s="76"/>
      <c r="C1130" s="76"/>
      <c r="D1130" s="69"/>
      <c r="E1130" s="76"/>
      <c r="F1130" s="76"/>
      <c r="G1130" s="76"/>
      <c r="H1130" s="76"/>
      <c r="I1130" s="76"/>
      <c r="J1130" s="76"/>
      <c r="K1130" s="76"/>
      <c r="L1130" s="76"/>
      <c r="M1130" s="69"/>
      <c r="N1130" s="76"/>
      <c r="O1130" s="76"/>
      <c r="P1130" s="76"/>
      <c r="Q1130" s="76"/>
      <c r="R1130" s="76"/>
      <c r="S1130" s="76"/>
      <c r="T1130" s="76"/>
      <c r="U1130" s="76"/>
      <c r="V1130" s="76"/>
      <c r="W1130" s="76"/>
    </row>
    <row r="1131" spans="1:23" ht="12.75">
      <c r="A1131" s="76"/>
      <c r="B1131" s="76"/>
      <c r="C1131" s="76"/>
      <c r="D1131" s="69"/>
      <c r="E1131" s="76"/>
      <c r="F1131" s="76"/>
      <c r="G1131" s="76"/>
      <c r="H1131" s="76"/>
      <c r="I1131" s="76"/>
      <c r="J1131" s="76"/>
      <c r="K1131" s="76"/>
      <c r="L1131" s="76"/>
      <c r="M1131" s="69"/>
      <c r="N1131" s="76"/>
      <c r="O1131" s="76"/>
      <c r="P1131" s="76"/>
      <c r="Q1131" s="76"/>
      <c r="R1131" s="76"/>
      <c r="S1131" s="76"/>
      <c r="T1131" s="76"/>
      <c r="U1131" s="76"/>
      <c r="V1131" s="76"/>
      <c r="W1131" s="76"/>
    </row>
    <row r="1132" spans="1:23" ht="12.75">
      <c r="A1132" s="76"/>
      <c r="B1132" s="76"/>
      <c r="C1132" s="76"/>
      <c r="D1132" s="69"/>
      <c r="E1132" s="76"/>
      <c r="F1132" s="76"/>
      <c r="G1132" s="76"/>
      <c r="H1132" s="76"/>
      <c r="I1132" s="76"/>
      <c r="J1132" s="76"/>
      <c r="K1132" s="76"/>
      <c r="L1132" s="76"/>
      <c r="M1132" s="69"/>
      <c r="N1132" s="76"/>
      <c r="O1132" s="76"/>
      <c r="P1132" s="76"/>
      <c r="Q1132" s="76"/>
      <c r="R1132" s="76"/>
      <c r="S1132" s="76"/>
      <c r="T1132" s="76"/>
      <c r="U1132" s="76"/>
      <c r="V1132" s="76"/>
      <c r="W1132" s="76"/>
    </row>
    <row r="1133" spans="1:23" ht="12.75">
      <c r="A1133" s="76"/>
      <c r="B1133" s="76"/>
      <c r="C1133" s="76"/>
      <c r="D1133" s="69"/>
      <c r="E1133" s="76"/>
      <c r="F1133" s="76"/>
      <c r="G1133" s="76"/>
      <c r="H1133" s="76"/>
      <c r="I1133" s="76"/>
      <c r="J1133" s="76"/>
      <c r="K1133" s="76"/>
      <c r="L1133" s="76"/>
      <c r="M1133" s="69"/>
      <c r="N1133" s="76"/>
      <c r="O1133" s="76"/>
      <c r="P1133" s="76"/>
      <c r="Q1133" s="76"/>
      <c r="R1133" s="76"/>
      <c r="S1133" s="76"/>
      <c r="T1133" s="76"/>
      <c r="U1133" s="76"/>
      <c r="V1133" s="76"/>
      <c r="W1133" s="76"/>
    </row>
    <row r="1134" spans="1:23" ht="12.75">
      <c r="A1134" s="76"/>
      <c r="B1134" s="76"/>
      <c r="C1134" s="76"/>
      <c r="D1134" s="69"/>
      <c r="E1134" s="76"/>
      <c r="F1134" s="76"/>
      <c r="G1134" s="76"/>
      <c r="H1134" s="76"/>
      <c r="I1134" s="76"/>
      <c r="J1134" s="76"/>
      <c r="K1134" s="76"/>
      <c r="L1134" s="76"/>
      <c r="M1134" s="69"/>
      <c r="N1134" s="76"/>
      <c r="O1134" s="76"/>
      <c r="P1134" s="76"/>
      <c r="Q1134" s="76"/>
      <c r="R1134" s="76"/>
      <c r="S1134" s="76"/>
      <c r="T1134" s="76"/>
      <c r="U1134" s="76"/>
      <c r="V1134" s="76"/>
      <c r="W1134" s="76"/>
    </row>
    <row r="1135" spans="1:23" ht="12.75">
      <c r="A1135" s="76"/>
      <c r="B1135" s="76"/>
      <c r="C1135" s="76"/>
      <c r="D1135" s="69"/>
      <c r="E1135" s="76"/>
      <c r="F1135" s="76"/>
      <c r="G1135" s="76"/>
      <c r="H1135" s="76"/>
      <c r="I1135" s="76"/>
      <c r="J1135" s="76"/>
      <c r="K1135" s="76"/>
      <c r="L1135" s="76"/>
      <c r="M1135" s="69"/>
      <c r="N1135" s="76"/>
      <c r="O1135" s="76"/>
      <c r="P1135" s="76"/>
      <c r="Q1135" s="76"/>
      <c r="R1135" s="76"/>
      <c r="S1135" s="76"/>
      <c r="T1135" s="76"/>
      <c r="U1135" s="76"/>
      <c r="V1135" s="76"/>
      <c r="W1135" s="76"/>
    </row>
    <row r="1136" spans="1:23" ht="12.75">
      <c r="A1136" s="76"/>
      <c r="B1136" s="76"/>
      <c r="C1136" s="76"/>
      <c r="D1136" s="69"/>
      <c r="E1136" s="76"/>
      <c r="F1136" s="76"/>
      <c r="G1136" s="76"/>
      <c r="H1136" s="76"/>
      <c r="I1136" s="76"/>
      <c r="J1136" s="76"/>
      <c r="K1136" s="76"/>
      <c r="L1136" s="76"/>
      <c r="M1136" s="69"/>
      <c r="N1136" s="76"/>
      <c r="O1136" s="76"/>
      <c r="P1136" s="76"/>
      <c r="Q1136" s="76"/>
      <c r="R1136" s="76"/>
      <c r="S1136" s="76"/>
      <c r="T1136" s="76"/>
      <c r="U1136" s="76"/>
      <c r="V1136" s="76"/>
      <c r="W1136" s="76"/>
    </row>
    <row r="1137" spans="1:23" ht="12.75">
      <c r="A1137" s="76"/>
      <c r="B1137" s="76"/>
      <c r="C1137" s="76"/>
      <c r="D1137" s="69"/>
      <c r="E1137" s="76"/>
      <c r="F1137" s="76"/>
      <c r="G1137" s="76"/>
      <c r="H1137" s="76"/>
      <c r="I1137" s="76"/>
      <c r="J1137" s="76"/>
      <c r="K1137" s="76"/>
      <c r="L1137" s="76"/>
      <c r="M1137" s="69"/>
      <c r="N1137" s="76"/>
      <c r="O1137" s="76"/>
      <c r="P1137" s="76"/>
      <c r="Q1137" s="76"/>
      <c r="R1137" s="76"/>
      <c r="S1137" s="76"/>
      <c r="T1137" s="76"/>
      <c r="U1137" s="76"/>
      <c r="V1137" s="76"/>
      <c r="W1137" s="76"/>
    </row>
    <row r="1138" spans="1:23" ht="12.75">
      <c r="A1138" s="76"/>
      <c r="B1138" s="76"/>
      <c r="C1138" s="76"/>
      <c r="D1138" s="69"/>
      <c r="E1138" s="76"/>
      <c r="F1138" s="76"/>
      <c r="G1138" s="76"/>
      <c r="H1138" s="76"/>
      <c r="I1138" s="76"/>
      <c r="J1138" s="76"/>
      <c r="K1138" s="76"/>
      <c r="L1138" s="76"/>
      <c r="M1138" s="69"/>
      <c r="N1138" s="76"/>
      <c r="O1138" s="76"/>
      <c r="P1138" s="76"/>
      <c r="Q1138" s="76"/>
      <c r="R1138" s="76"/>
      <c r="S1138" s="76"/>
      <c r="T1138" s="76"/>
      <c r="U1138" s="76"/>
      <c r="V1138" s="76"/>
      <c r="W1138" s="76"/>
    </row>
    <row r="1139" spans="1:23" ht="12.75">
      <c r="A1139" s="76"/>
      <c r="B1139" s="76"/>
      <c r="C1139" s="76"/>
      <c r="D1139" s="69"/>
      <c r="E1139" s="76"/>
      <c r="F1139" s="76"/>
      <c r="G1139" s="76"/>
      <c r="H1139" s="76"/>
      <c r="I1139" s="76"/>
      <c r="J1139" s="76"/>
      <c r="K1139" s="76"/>
      <c r="L1139" s="76"/>
      <c r="M1139" s="69"/>
      <c r="N1139" s="76"/>
      <c r="O1139" s="76"/>
      <c r="P1139" s="76"/>
      <c r="Q1139" s="76"/>
      <c r="R1139" s="76"/>
      <c r="S1139" s="76"/>
      <c r="T1139" s="76"/>
      <c r="U1139" s="76"/>
      <c r="V1139" s="76"/>
      <c r="W1139" s="76"/>
    </row>
    <row r="1140" spans="1:23" ht="12.75">
      <c r="A1140" s="76"/>
      <c r="B1140" s="76"/>
      <c r="C1140" s="76"/>
      <c r="D1140" s="69"/>
      <c r="E1140" s="76"/>
      <c r="F1140" s="76"/>
      <c r="G1140" s="76"/>
      <c r="H1140" s="76"/>
      <c r="I1140" s="76"/>
      <c r="J1140" s="76"/>
      <c r="K1140" s="76"/>
      <c r="L1140" s="76"/>
      <c r="M1140" s="69"/>
      <c r="N1140" s="76"/>
      <c r="O1140" s="76"/>
      <c r="P1140" s="76"/>
      <c r="Q1140" s="76"/>
      <c r="R1140" s="76"/>
      <c r="S1140" s="76"/>
      <c r="T1140" s="76"/>
      <c r="U1140" s="76"/>
      <c r="V1140" s="76"/>
      <c r="W1140" s="76"/>
    </row>
    <row r="1141" spans="1:23" ht="12.75">
      <c r="A1141" s="76"/>
      <c r="B1141" s="76"/>
      <c r="C1141" s="76"/>
      <c r="D1141" s="69"/>
      <c r="E1141" s="76"/>
      <c r="F1141" s="76"/>
      <c r="G1141" s="76"/>
      <c r="H1141" s="76"/>
      <c r="I1141" s="76"/>
      <c r="J1141" s="76"/>
      <c r="K1141" s="76"/>
      <c r="L1141" s="76"/>
      <c r="M1141" s="69"/>
      <c r="N1141" s="76"/>
      <c r="O1141" s="76"/>
      <c r="P1141" s="76"/>
      <c r="Q1141" s="76"/>
      <c r="R1141" s="76"/>
      <c r="S1141" s="76"/>
      <c r="T1141" s="76"/>
      <c r="U1141" s="76"/>
      <c r="V1141" s="76"/>
      <c r="W1141" s="76"/>
    </row>
    <row r="1142" spans="1:23" ht="12.75">
      <c r="A1142" s="76"/>
      <c r="B1142" s="76"/>
      <c r="C1142" s="76"/>
      <c r="D1142" s="69"/>
      <c r="E1142" s="76"/>
      <c r="F1142" s="76"/>
      <c r="G1142" s="76"/>
      <c r="H1142" s="76"/>
      <c r="I1142" s="76"/>
      <c r="J1142" s="76"/>
      <c r="K1142" s="76"/>
      <c r="L1142" s="76"/>
      <c r="M1142" s="69"/>
      <c r="N1142" s="76"/>
      <c r="O1142" s="76"/>
      <c r="P1142" s="76"/>
      <c r="Q1142" s="76"/>
      <c r="R1142" s="76"/>
      <c r="S1142" s="76"/>
      <c r="T1142" s="76"/>
      <c r="U1142" s="76"/>
      <c r="V1142" s="76"/>
      <c r="W1142" s="76"/>
    </row>
    <row r="1143" spans="1:23" ht="12.75">
      <c r="A1143" s="76"/>
      <c r="B1143" s="76"/>
      <c r="C1143" s="76"/>
      <c r="D1143" s="69"/>
      <c r="E1143" s="76"/>
      <c r="F1143" s="76"/>
      <c r="G1143" s="76"/>
      <c r="H1143" s="76"/>
      <c r="I1143" s="76"/>
      <c r="J1143" s="76"/>
      <c r="K1143" s="76"/>
      <c r="L1143" s="76"/>
      <c r="M1143" s="69"/>
      <c r="N1143" s="76"/>
      <c r="O1143" s="76"/>
      <c r="P1143" s="76"/>
      <c r="Q1143" s="76"/>
      <c r="R1143" s="76"/>
      <c r="S1143" s="76"/>
      <c r="T1143" s="76"/>
      <c r="U1143" s="76"/>
      <c r="V1143" s="76"/>
      <c r="W1143" s="76"/>
    </row>
    <row r="1144" spans="1:23" ht="12.75">
      <c r="A1144" s="76"/>
      <c r="B1144" s="76"/>
      <c r="C1144" s="76"/>
      <c r="D1144" s="69"/>
      <c r="E1144" s="76"/>
      <c r="F1144" s="76"/>
      <c r="G1144" s="76"/>
      <c r="H1144" s="76"/>
      <c r="I1144" s="76"/>
      <c r="J1144" s="76"/>
      <c r="K1144" s="76"/>
      <c r="L1144" s="76"/>
      <c r="M1144" s="69"/>
      <c r="N1144" s="76"/>
      <c r="O1144" s="76"/>
      <c r="P1144" s="76"/>
      <c r="Q1144" s="76"/>
      <c r="R1144" s="76"/>
      <c r="S1144" s="76"/>
      <c r="T1144" s="76"/>
      <c r="U1144" s="76"/>
      <c r="V1144" s="76"/>
      <c r="W1144" s="76"/>
    </row>
    <row r="1145" spans="1:23" ht="12.75">
      <c r="A1145" s="76"/>
      <c r="B1145" s="76"/>
      <c r="C1145" s="76"/>
      <c r="D1145" s="69"/>
      <c r="E1145" s="76"/>
      <c r="F1145" s="76"/>
      <c r="G1145" s="76"/>
      <c r="H1145" s="76"/>
      <c r="I1145" s="76"/>
      <c r="J1145" s="76"/>
      <c r="K1145" s="76"/>
      <c r="L1145" s="76"/>
      <c r="M1145" s="69"/>
      <c r="N1145" s="76"/>
      <c r="O1145" s="76"/>
      <c r="P1145" s="76"/>
      <c r="Q1145" s="76"/>
      <c r="R1145" s="76"/>
      <c r="S1145" s="76"/>
      <c r="T1145" s="76"/>
      <c r="U1145" s="76"/>
      <c r="V1145" s="76"/>
      <c r="W1145" s="76"/>
    </row>
    <row r="1146" spans="1:23" ht="12.75">
      <c r="A1146" s="76"/>
      <c r="B1146" s="76"/>
      <c r="C1146" s="76"/>
      <c r="D1146" s="69"/>
      <c r="E1146" s="76"/>
      <c r="F1146" s="76"/>
      <c r="G1146" s="76"/>
      <c r="H1146" s="76"/>
      <c r="I1146" s="76"/>
      <c r="J1146" s="76"/>
      <c r="K1146" s="76"/>
      <c r="L1146" s="76"/>
      <c r="M1146" s="69"/>
      <c r="N1146" s="76"/>
      <c r="O1146" s="76"/>
      <c r="P1146" s="76"/>
      <c r="Q1146" s="76"/>
      <c r="R1146" s="76"/>
      <c r="S1146" s="76"/>
      <c r="T1146" s="76"/>
      <c r="U1146" s="76"/>
      <c r="V1146" s="76"/>
      <c r="W1146" s="76"/>
    </row>
    <row r="1147" spans="1:23" ht="12.75">
      <c r="A1147" s="76"/>
      <c r="B1147" s="76"/>
      <c r="C1147" s="76"/>
      <c r="D1147" s="69"/>
      <c r="E1147" s="76"/>
      <c r="F1147" s="76"/>
      <c r="G1147" s="76"/>
      <c r="H1147" s="76"/>
      <c r="I1147" s="76"/>
      <c r="J1147" s="76"/>
      <c r="K1147" s="76"/>
      <c r="L1147" s="76"/>
      <c r="M1147" s="69"/>
      <c r="N1147" s="76"/>
      <c r="O1147" s="76"/>
      <c r="P1147" s="76"/>
      <c r="Q1147" s="76"/>
      <c r="R1147" s="76"/>
      <c r="S1147" s="76"/>
      <c r="T1147" s="76"/>
      <c r="U1147" s="76"/>
      <c r="V1147" s="76"/>
      <c r="W1147" s="76"/>
    </row>
    <row r="1148" spans="1:23" ht="12.75">
      <c r="A1148" s="76"/>
      <c r="B1148" s="76"/>
      <c r="C1148" s="76"/>
      <c r="D1148" s="69"/>
      <c r="E1148" s="76"/>
      <c r="F1148" s="76"/>
      <c r="G1148" s="76"/>
      <c r="H1148" s="76"/>
      <c r="I1148" s="76"/>
      <c r="J1148" s="76"/>
      <c r="K1148" s="76"/>
      <c r="L1148" s="76"/>
      <c r="M1148" s="69"/>
      <c r="N1148" s="76"/>
      <c r="O1148" s="76"/>
      <c r="P1148" s="76"/>
      <c r="Q1148" s="76"/>
      <c r="R1148" s="76"/>
      <c r="S1148" s="76"/>
      <c r="T1148" s="76"/>
      <c r="U1148" s="76"/>
      <c r="V1148" s="76"/>
      <c r="W1148" s="76"/>
    </row>
    <row r="1149" spans="1:23" ht="12.75">
      <c r="A1149" s="76"/>
      <c r="B1149" s="76"/>
      <c r="C1149" s="76"/>
      <c r="D1149" s="69"/>
      <c r="E1149" s="76"/>
      <c r="F1149" s="76"/>
      <c r="G1149" s="76"/>
      <c r="H1149" s="76"/>
      <c r="I1149" s="76"/>
      <c r="J1149" s="76"/>
      <c r="K1149" s="76"/>
      <c r="L1149" s="76"/>
      <c r="M1149" s="69"/>
      <c r="N1149" s="76"/>
      <c r="O1149" s="76"/>
      <c r="P1149" s="76"/>
      <c r="Q1149" s="76"/>
      <c r="R1149" s="76"/>
      <c r="S1149" s="76"/>
      <c r="T1149" s="76"/>
      <c r="U1149" s="76"/>
      <c r="V1149" s="76"/>
      <c r="W1149" s="76"/>
    </row>
    <row r="1150" spans="1:23" ht="12.75">
      <c r="A1150" s="76"/>
      <c r="B1150" s="76"/>
      <c r="C1150" s="76"/>
      <c r="D1150" s="69"/>
      <c r="E1150" s="76"/>
      <c r="F1150" s="76"/>
      <c r="G1150" s="76"/>
      <c r="H1150" s="76"/>
      <c r="I1150" s="76"/>
      <c r="J1150" s="76"/>
      <c r="K1150" s="76"/>
      <c r="L1150" s="76"/>
      <c r="M1150" s="69"/>
      <c r="N1150" s="76"/>
      <c r="O1150" s="76"/>
      <c r="P1150" s="76"/>
      <c r="Q1150" s="76"/>
      <c r="R1150" s="76"/>
      <c r="S1150" s="76"/>
      <c r="T1150" s="76"/>
      <c r="U1150" s="76"/>
      <c r="V1150" s="76"/>
      <c r="W1150" s="76"/>
    </row>
    <row r="1151" spans="1:23" ht="12.75">
      <c r="A1151" s="76"/>
      <c r="B1151" s="76"/>
      <c r="C1151" s="76"/>
      <c r="D1151" s="69"/>
      <c r="E1151" s="76"/>
      <c r="F1151" s="76"/>
      <c r="G1151" s="76"/>
      <c r="H1151" s="76"/>
      <c r="I1151" s="76"/>
      <c r="J1151" s="76"/>
      <c r="K1151" s="76"/>
      <c r="L1151" s="76"/>
      <c r="M1151" s="69"/>
      <c r="N1151" s="76"/>
      <c r="O1151" s="76"/>
      <c r="P1151" s="76"/>
      <c r="Q1151" s="76"/>
      <c r="R1151" s="76"/>
      <c r="S1151" s="76"/>
      <c r="T1151" s="76"/>
      <c r="U1151" s="76"/>
      <c r="V1151" s="76"/>
      <c r="W1151" s="76"/>
    </row>
    <row r="1152" spans="1:23" ht="12.75">
      <c r="A1152" s="76"/>
      <c r="B1152" s="76"/>
      <c r="C1152" s="76"/>
      <c r="D1152" s="69"/>
      <c r="E1152" s="76"/>
      <c r="F1152" s="76"/>
      <c r="G1152" s="76"/>
      <c r="H1152" s="76"/>
      <c r="I1152" s="76"/>
      <c r="J1152" s="76"/>
      <c r="K1152" s="76"/>
      <c r="L1152" s="76"/>
      <c r="M1152" s="69"/>
      <c r="N1152" s="76"/>
      <c r="O1152" s="76"/>
      <c r="P1152" s="76"/>
      <c r="Q1152" s="76"/>
      <c r="R1152" s="76"/>
      <c r="S1152" s="76"/>
      <c r="T1152" s="76"/>
      <c r="U1152" s="76"/>
      <c r="V1152" s="76"/>
      <c r="W1152" s="76"/>
    </row>
    <row r="1153" spans="1:23" ht="12.75">
      <c r="A1153" s="76"/>
      <c r="B1153" s="76"/>
      <c r="C1153" s="76"/>
      <c r="D1153" s="69"/>
      <c r="E1153" s="76"/>
      <c r="F1153" s="76"/>
      <c r="G1153" s="76"/>
      <c r="H1153" s="76"/>
      <c r="I1153" s="76"/>
      <c r="J1153" s="76"/>
      <c r="K1153" s="76"/>
      <c r="L1153" s="76"/>
      <c r="M1153" s="69"/>
      <c r="N1153" s="76"/>
      <c r="O1153" s="76"/>
      <c r="P1153" s="76"/>
      <c r="Q1153" s="76"/>
      <c r="R1153" s="76"/>
      <c r="S1153" s="76"/>
      <c r="T1153" s="76"/>
      <c r="U1153" s="76"/>
      <c r="V1153" s="76"/>
      <c r="W1153" s="76"/>
    </row>
    <row r="1154" spans="1:23" ht="12.75">
      <c r="A1154" s="76"/>
      <c r="B1154" s="76"/>
      <c r="C1154" s="76"/>
      <c r="D1154" s="69"/>
      <c r="E1154" s="76"/>
      <c r="F1154" s="76"/>
      <c r="G1154" s="76"/>
      <c r="H1154" s="76"/>
      <c r="I1154" s="76"/>
      <c r="J1154" s="76"/>
      <c r="K1154" s="76"/>
      <c r="L1154" s="76"/>
      <c r="M1154" s="69"/>
      <c r="N1154" s="76"/>
      <c r="O1154" s="76"/>
      <c r="P1154" s="76"/>
      <c r="Q1154" s="76"/>
      <c r="R1154" s="76"/>
      <c r="S1154" s="76"/>
      <c r="T1154" s="76"/>
      <c r="U1154" s="76"/>
      <c r="V1154" s="76"/>
      <c r="W1154" s="76"/>
    </row>
    <row r="1155" spans="1:23" ht="12.75">
      <c r="A1155" s="76"/>
      <c r="B1155" s="76"/>
      <c r="C1155" s="76"/>
      <c r="D1155" s="69"/>
      <c r="E1155" s="76"/>
      <c r="F1155" s="76"/>
      <c r="G1155" s="76"/>
      <c r="H1155" s="76"/>
      <c r="I1155" s="76"/>
      <c r="J1155" s="76"/>
      <c r="K1155" s="76"/>
      <c r="L1155" s="76"/>
      <c r="M1155" s="69"/>
      <c r="N1155" s="76"/>
      <c r="O1155" s="76"/>
      <c r="P1155" s="76"/>
      <c r="Q1155" s="76"/>
      <c r="R1155" s="76"/>
      <c r="S1155" s="76"/>
      <c r="T1155" s="76"/>
      <c r="U1155" s="76"/>
      <c r="V1155" s="76"/>
      <c r="W1155" s="76"/>
    </row>
    <row r="1156" spans="1:23" ht="12.75">
      <c r="A1156" s="76"/>
      <c r="B1156" s="76"/>
      <c r="C1156" s="76"/>
      <c r="D1156" s="69"/>
      <c r="E1156" s="76"/>
      <c r="F1156" s="76"/>
      <c r="G1156" s="76"/>
      <c r="H1156" s="76"/>
      <c r="I1156" s="76"/>
      <c r="J1156" s="76"/>
      <c r="K1156" s="76"/>
      <c r="L1156" s="76"/>
      <c r="M1156" s="69"/>
      <c r="N1156" s="76"/>
      <c r="O1156" s="76"/>
      <c r="P1156" s="76"/>
      <c r="Q1156" s="76"/>
      <c r="R1156" s="76"/>
      <c r="S1156" s="76"/>
      <c r="T1156" s="76"/>
      <c r="U1156" s="76"/>
      <c r="V1156" s="76"/>
      <c r="W1156" s="76"/>
    </row>
    <row r="1157" spans="1:23" ht="12.75">
      <c r="A1157" s="76"/>
      <c r="B1157" s="76"/>
      <c r="C1157" s="76"/>
      <c r="D1157" s="69"/>
      <c r="E1157" s="76"/>
      <c r="F1157" s="76"/>
      <c r="G1157" s="76"/>
      <c r="H1157" s="76"/>
      <c r="I1157" s="76"/>
      <c r="J1157" s="76"/>
      <c r="K1157" s="76"/>
      <c r="L1157" s="76"/>
      <c r="M1157" s="69"/>
      <c r="N1157" s="76"/>
      <c r="O1157" s="76"/>
      <c r="P1157" s="76"/>
      <c r="Q1157" s="76"/>
      <c r="R1157" s="76"/>
      <c r="S1157" s="76"/>
      <c r="T1157" s="76"/>
      <c r="U1157" s="76"/>
      <c r="V1157" s="76"/>
      <c r="W1157" s="76"/>
    </row>
    <row r="1158" spans="1:23" ht="12.75">
      <c r="A1158" s="76"/>
      <c r="B1158" s="76"/>
      <c r="C1158" s="76"/>
      <c r="D1158" s="69"/>
      <c r="E1158" s="76"/>
      <c r="F1158" s="76"/>
      <c r="G1158" s="76"/>
      <c r="H1158" s="76"/>
      <c r="I1158" s="76"/>
      <c r="J1158" s="76"/>
      <c r="K1158" s="76"/>
      <c r="L1158" s="76"/>
      <c r="M1158" s="69"/>
      <c r="N1158" s="76"/>
      <c r="O1158" s="76"/>
      <c r="P1158" s="76"/>
      <c r="Q1158" s="76"/>
      <c r="R1158" s="76"/>
      <c r="S1158" s="76"/>
      <c r="T1158" s="76"/>
      <c r="U1158" s="76"/>
      <c r="V1158" s="76"/>
      <c r="W1158" s="76"/>
    </row>
    <row r="1159" spans="1:23" ht="12.75">
      <c r="A1159" s="76"/>
      <c r="B1159" s="76"/>
      <c r="C1159" s="76"/>
      <c r="D1159" s="69"/>
      <c r="E1159" s="76"/>
      <c r="F1159" s="76"/>
      <c r="G1159" s="76"/>
      <c r="H1159" s="76"/>
      <c r="I1159" s="76"/>
      <c r="J1159" s="76"/>
      <c r="K1159" s="76"/>
      <c r="L1159" s="76"/>
      <c r="M1159" s="69"/>
      <c r="N1159" s="76"/>
      <c r="O1159" s="76"/>
      <c r="P1159" s="76"/>
      <c r="Q1159" s="76"/>
      <c r="R1159" s="76"/>
      <c r="S1159" s="76"/>
      <c r="T1159" s="76"/>
      <c r="U1159" s="76"/>
      <c r="V1159" s="76"/>
      <c r="W1159" s="76"/>
    </row>
    <row r="1160" spans="1:23" ht="12.75">
      <c r="A1160" s="76"/>
      <c r="B1160" s="76"/>
      <c r="C1160" s="76"/>
      <c r="D1160" s="69"/>
      <c r="E1160" s="76"/>
      <c r="F1160" s="76"/>
      <c r="G1160" s="76"/>
      <c r="H1160" s="76"/>
      <c r="I1160" s="76"/>
      <c r="J1160" s="76"/>
      <c r="K1160" s="76"/>
      <c r="L1160" s="76"/>
      <c r="M1160" s="69"/>
      <c r="N1160" s="76"/>
      <c r="O1160" s="76"/>
      <c r="P1160" s="76"/>
      <c r="Q1160" s="76"/>
      <c r="R1160" s="76"/>
      <c r="S1160" s="76"/>
      <c r="T1160" s="76"/>
      <c r="U1160" s="76"/>
      <c r="V1160" s="76"/>
      <c r="W1160" s="76"/>
    </row>
    <row r="1161" spans="1:23" ht="12.75">
      <c r="A1161" s="76"/>
      <c r="B1161" s="76"/>
      <c r="C1161" s="76"/>
      <c r="D1161" s="69"/>
      <c r="E1161" s="76"/>
      <c r="F1161" s="76"/>
      <c r="G1161" s="76"/>
      <c r="H1161" s="76"/>
      <c r="I1161" s="76"/>
      <c r="J1161" s="76"/>
      <c r="K1161" s="76"/>
      <c r="L1161" s="76"/>
      <c r="M1161" s="69"/>
      <c r="N1161" s="76"/>
      <c r="O1161" s="76"/>
      <c r="P1161" s="76"/>
      <c r="Q1161" s="76"/>
      <c r="R1161" s="76"/>
      <c r="S1161" s="76"/>
      <c r="T1161" s="76"/>
      <c r="U1161" s="76"/>
      <c r="V1161" s="76"/>
      <c r="W1161" s="76"/>
    </row>
    <row r="1162" spans="1:23" ht="12.75">
      <c r="A1162" s="76"/>
      <c r="B1162" s="76"/>
      <c r="C1162" s="76"/>
      <c r="D1162" s="69"/>
      <c r="E1162" s="76"/>
      <c r="F1162" s="76"/>
      <c r="G1162" s="76"/>
      <c r="H1162" s="76"/>
      <c r="I1162" s="76"/>
      <c r="J1162" s="76"/>
      <c r="K1162" s="76"/>
      <c r="L1162" s="76"/>
      <c r="M1162" s="69"/>
      <c r="N1162" s="76"/>
      <c r="O1162" s="76"/>
      <c r="P1162" s="76"/>
      <c r="Q1162" s="76"/>
      <c r="R1162" s="76"/>
      <c r="S1162" s="76"/>
      <c r="T1162" s="76"/>
      <c r="U1162" s="76"/>
      <c r="V1162" s="76"/>
      <c r="W1162" s="76"/>
    </row>
    <row r="1163" spans="1:23" ht="12.75">
      <c r="A1163" s="76"/>
      <c r="B1163" s="76"/>
      <c r="C1163" s="76"/>
      <c r="D1163" s="69"/>
      <c r="E1163" s="76"/>
      <c r="F1163" s="76"/>
      <c r="G1163" s="76"/>
      <c r="H1163" s="76"/>
      <c r="I1163" s="76"/>
      <c r="J1163" s="76"/>
      <c r="K1163" s="76"/>
      <c r="L1163" s="76"/>
      <c r="M1163" s="69"/>
      <c r="N1163" s="76"/>
      <c r="O1163" s="76"/>
      <c r="P1163" s="76"/>
      <c r="Q1163" s="76"/>
      <c r="R1163" s="76"/>
      <c r="S1163" s="76"/>
      <c r="T1163" s="76"/>
      <c r="U1163" s="76"/>
      <c r="V1163" s="76"/>
      <c r="W1163" s="76"/>
    </row>
    <row r="1164" spans="1:23" ht="12.75">
      <c r="A1164" s="76"/>
      <c r="B1164" s="76"/>
      <c r="C1164" s="76"/>
      <c r="D1164" s="69"/>
      <c r="E1164" s="76"/>
      <c r="F1164" s="76"/>
      <c r="G1164" s="76"/>
      <c r="H1164" s="76"/>
      <c r="I1164" s="76"/>
      <c r="J1164" s="76"/>
      <c r="K1164" s="76"/>
      <c r="L1164" s="76"/>
      <c r="M1164" s="69"/>
      <c r="N1164" s="76"/>
      <c r="O1164" s="76"/>
      <c r="P1164" s="76"/>
      <c r="Q1164" s="76"/>
      <c r="R1164" s="76"/>
      <c r="S1164" s="76"/>
      <c r="T1164" s="76"/>
      <c r="U1164" s="76"/>
      <c r="V1164" s="76"/>
      <c r="W1164" s="76"/>
    </row>
    <row r="1165" spans="1:23" ht="12.75">
      <c r="A1165" s="76"/>
      <c r="B1165" s="76"/>
      <c r="C1165" s="76"/>
      <c r="D1165" s="69"/>
      <c r="E1165" s="76"/>
      <c r="F1165" s="76"/>
      <c r="G1165" s="76"/>
      <c r="H1165" s="76"/>
      <c r="I1165" s="76"/>
      <c r="J1165" s="76"/>
      <c r="K1165" s="76"/>
      <c r="L1165" s="76"/>
      <c r="M1165" s="69"/>
      <c r="N1165" s="76"/>
      <c r="O1165" s="76"/>
      <c r="P1165" s="76"/>
      <c r="Q1165" s="76"/>
      <c r="R1165" s="76"/>
      <c r="S1165" s="76"/>
      <c r="T1165" s="76"/>
      <c r="U1165" s="76"/>
      <c r="V1165" s="76"/>
      <c r="W1165" s="76"/>
    </row>
    <row r="1166" spans="1:23" ht="12.75">
      <c r="A1166" s="76"/>
      <c r="B1166" s="76"/>
      <c r="C1166" s="76"/>
      <c r="D1166" s="69"/>
      <c r="E1166" s="76"/>
      <c r="F1166" s="76"/>
      <c r="G1166" s="76"/>
      <c r="H1166" s="76"/>
      <c r="I1166" s="76"/>
      <c r="J1166" s="76"/>
      <c r="K1166" s="76"/>
      <c r="L1166" s="76"/>
      <c r="M1166" s="69"/>
      <c r="N1166" s="76"/>
      <c r="O1166" s="76"/>
      <c r="P1166" s="76"/>
      <c r="Q1166" s="76"/>
      <c r="R1166" s="76"/>
      <c r="S1166" s="76"/>
      <c r="T1166" s="76"/>
      <c r="U1166" s="76"/>
      <c r="V1166" s="76"/>
      <c r="W1166" s="76"/>
    </row>
    <row r="1167" spans="1:23" ht="12.75">
      <c r="A1167" s="76"/>
      <c r="B1167" s="76"/>
      <c r="C1167" s="76"/>
      <c r="D1167" s="69"/>
      <c r="E1167" s="76"/>
      <c r="F1167" s="76"/>
      <c r="G1167" s="76"/>
      <c r="H1167" s="76"/>
      <c r="I1167" s="76"/>
      <c r="J1167" s="76"/>
      <c r="K1167" s="76"/>
      <c r="L1167" s="76"/>
      <c r="M1167" s="69"/>
      <c r="N1167" s="76"/>
      <c r="O1167" s="76"/>
      <c r="P1167" s="76"/>
      <c r="Q1167" s="76"/>
      <c r="R1167" s="76"/>
      <c r="S1167" s="76"/>
      <c r="T1167" s="76"/>
      <c r="U1167" s="76"/>
      <c r="V1167" s="76"/>
      <c r="W1167" s="76"/>
    </row>
    <row r="1168" spans="1:23" ht="12.75">
      <c r="A1168" s="76"/>
      <c r="B1168" s="76"/>
      <c r="C1168" s="76"/>
      <c r="D1168" s="69"/>
      <c r="E1168" s="76"/>
      <c r="F1168" s="76"/>
      <c r="G1168" s="76"/>
      <c r="H1168" s="76"/>
      <c r="I1168" s="76"/>
      <c r="J1168" s="76"/>
      <c r="K1168" s="76"/>
      <c r="L1168" s="76"/>
      <c r="M1168" s="69"/>
      <c r="N1168" s="76"/>
      <c r="O1168" s="76"/>
      <c r="P1168" s="76"/>
      <c r="Q1168" s="76"/>
      <c r="R1168" s="76"/>
      <c r="S1168" s="76"/>
      <c r="T1168" s="76"/>
      <c r="U1168" s="76"/>
      <c r="V1168" s="76"/>
      <c r="W1168" s="76"/>
    </row>
    <row r="1169" spans="1:23" ht="12.75">
      <c r="A1169" s="76"/>
      <c r="B1169" s="76"/>
      <c r="C1169" s="76"/>
      <c r="D1169" s="69"/>
      <c r="E1169" s="76"/>
      <c r="F1169" s="76"/>
      <c r="G1169" s="76"/>
      <c r="H1169" s="76"/>
      <c r="I1169" s="76"/>
      <c r="J1169" s="76"/>
      <c r="K1169" s="76"/>
      <c r="L1169" s="76"/>
      <c r="M1169" s="69"/>
      <c r="N1169" s="76"/>
      <c r="O1169" s="76"/>
      <c r="P1169" s="76"/>
      <c r="Q1169" s="76"/>
      <c r="R1169" s="76"/>
      <c r="S1169" s="76"/>
      <c r="T1169" s="76"/>
      <c r="U1169" s="76"/>
      <c r="V1169" s="76"/>
      <c r="W1169" s="76"/>
    </row>
    <row r="1170" spans="1:23" ht="12.75">
      <c r="A1170" s="76"/>
      <c r="B1170" s="76"/>
      <c r="C1170" s="76"/>
      <c r="D1170" s="69"/>
      <c r="E1170" s="76"/>
      <c r="F1170" s="76"/>
      <c r="G1170" s="76"/>
      <c r="H1170" s="76"/>
      <c r="I1170" s="76"/>
      <c r="J1170" s="76"/>
      <c r="K1170" s="76"/>
      <c r="L1170" s="76"/>
      <c r="M1170" s="69"/>
      <c r="N1170" s="76"/>
      <c r="O1170" s="76"/>
      <c r="P1170" s="76"/>
      <c r="Q1170" s="76"/>
      <c r="R1170" s="76"/>
      <c r="S1170" s="76"/>
      <c r="T1170" s="76"/>
      <c r="U1170" s="76"/>
      <c r="V1170" s="76"/>
      <c r="W1170" s="76"/>
    </row>
    <row r="1171" spans="1:23" ht="12.75">
      <c r="A1171" s="76"/>
      <c r="B1171" s="76"/>
      <c r="C1171" s="76"/>
      <c r="D1171" s="69"/>
      <c r="E1171" s="76"/>
      <c r="F1171" s="76"/>
      <c r="G1171" s="76"/>
      <c r="H1171" s="76"/>
      <c r="I1171" s="76"/>
      <c r="J1171" s="76"/>
      <c r="K1171" s="76"/>
      <c r="L1171" s="76"/>
      <c r="M1171" s="69"/>
      <c r="N1171" s="76"/>
      <c r="O1171" s="76"/>
      <c r="P1171" s="76"/>
      <c r="Q1171" s="76"/>
      <c r="R1171" s="76"/>
      <c r="S1171" s="76"/>
      <c r="T1171" s="76"/>
      <c r="U1171" s="76"/>
      <c r="V1171" s="76"/>
      <c r="W1171" s="76"/>
    </row>
    <row r="1172" spans="1:23" ht="12.75">
      <c r="A1172" s="76"/>
      <c r="B1172" s="76"/>
      <c r="C1172" s="76"/>
      <c r="D1172" s="69"/>
      <c r="E1172" s="76"/>
      <c r="F1172" s="76"/>
      <c r="G1172" s="76"/>
      <c r="H1172" s="76"/>
      <c r="I1172" s="76"/>
      <c r="J1172" s="76"/>
      <c r="K1172" s="76"/>
      <c r="L1172" s="76"/>
      <c r="M1172" s="69"/>
      <c r="N1172" s="76"/>
      <c r="O1172" s="76"/>
      <c r="P1172" s="76"/>
      <c r="Q1172" s="76"/>
      <c r="R1172" s="76"/>
      <c r="S1172" s="76"/>
      <c r="T1172" s="76"/>
      <c r="U1172" s="76"/>
      <c r="V1172" s="76"/>
      <c r="W1172" s="76"/>
    </row>
    <row r="1173" spans="1:23" ht="12.75">
      <c r="A1173" s="76"/>
      <c r="B1173" s="76"/>
      <c r="C1173" s="76"/>
      <c r="D1173" s="69"/>
      <c r="E1173" s="76"/>
      <c r="F1173" s="76"/>
      <c r="G1173" s="76"/>
      <c r="H1173" s="76"/>
      <c r="I1173" s="76"/>
      <c r="J1173" s="76"/>
      <c r="K1173" s="76"/>
      <c r="L1173" s="76"/>
      <c r="M1173" s="69"/>
      <c r="N1173" s="76"/>
      <c r="O1173" s="76"/>
      <c r="P1173" s="76"/>
      <c r="Q1173" s="76"/>
      <c r="R1173" s="76"/>
      <c r="S1173" s="76"/>
      <c r="T1173" s="76"/>
      <c r="U1173" s="76"/>
      <c r="V1173" s="76"/>
      <c r="W1173" s="76"/>
    </row>
    <row r="1174" spans="1:23" ht="12.75">
      <c r="A1174" s="76"/>
      <c r="B1174" s="76"/>
      <c r="C1174" s="76"/>
      <c r="D1174" s="69"/>
      <c r="E1174" s="76"/>
      <c r="F1174" s="76"/>
      <c r="G1174" s="76"/>
      <c r="H1174" s="76"/>
      <c r="I1174" s="76"/>
      <c r="J1174" s="76"/>
      <c r="K1174" s="76"/>
      <c r="L1174" s="76"/>
      <c r="M1174" s="69"/>
      <c r="N1174" s="76"/>
      <c r="O1174" s="76"/>
      <c r="P1174" s="76"/>
      <c r="Q1174" s="76"/>
      <c r="R1174" s="76"/>
      <c r="S1174" s="76"/>
      <c r="T1174" s="76"/>
      <c r="U1174" s="76"/>
      <c r="V1174" s="76"/>
      <c r="W1174" s="76"/>
    </row>
    <row r="1175" spans="1:23" ht="12.75">
      <c r="A1175" s="76"/>
      <c r="B1175" s="76"/>
      <c r="C1175" s="76"/>
      <c r="D1175" s="69"/>
      <c r="E1175" s="76"/>
      <c r="F1175" s="76"/>
      <c r="G1175" s="76"/>
      <c r="H1175" s="76"/>
      <c r="I1175" s="76"/>
      <c r="J1175" s="76"/>
      <c r="K1175" s="76"/>
      <c r="L1175" s="76"/>
      <c r="M1175" s="69"/>
      <c r="N1175" s="76"/>
      <c r="O1175" s="76"/>
      <c r="P1175" s="76"/>
      <c r="Q1175" s="76"/>
      <c r="R1175" s="76"/>
      <c r="S1175" s="76"/>
      <c r="T1175" s="76"/>
      <c r="U1175" s="76"/>
      <c r="V1175" s="76"/>
      <c r="W1175" s="76"/>
    </row>
    <row r="1176" spans="1:23" ht="12.75">
      <c r="A1176" s="76"/>
      <c r="B1176" s="76"/>
      <c r="C1176" s="76"/>
      <c r="D1176" s="69"/>
      <c r="E1176" s="76"/>
      <c r="F1176" s="76"/>
      <c r="G1176" s="76"/>
      <c r="H1176" s="76"/>
      <c r="I1176" s="76"/>
      <c r="J1176" s="76"/>
      <c r="K1176" s="76"/>
      <c r="L1176" s="76"/>
      <c r="M1176" s="69"/>
      <c r="N1176" s="76"/>
      <c r="O1176" s="76"/>
      <c r="P1176" s="76"/>
      <c r="Q1176" s="76"/>
      <c r="R1176" s="76"/>
      <c r="S1176" s="76"/>
      <c r="T1176" s="76"/>
      <c r="U1176" s="76"/>
      <c r="V1176" s="76"/>
      <c r="W1176" s="76"/>
    </row>
    <row r="1177" spans="1:23" ht="12.75">
      <c r="A1177" s="76"/>
      <c r="B1177" s="76"/>
      <c r="C1177" s="76"/>
      <c r="D1177" s="69"/>
      <c r="E1177" s="76"/>
      <c r="F1177" s="76"/>
      <c r="G1177" s="76"/>
      <c r="H1177" s="76"/>
      <c r="I1177" s="76"/>
      <c r="J1177" s="76"/>
      <c r="K1177" s="76"/>
      <c r="L1177" s="76"/>
      <c r="M1177" s="69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</row>
    <row r="1178" spans="1:23" ht="12.75">
      <c r="A1178" s="76"/>
      <c r="B1178" s="76"/>
      <c r="C1178" s="76"/>
      <c r="D1178" s="69"/>
      <c r="E1178" s="76"/>
      <c r="F1178" s="76"/>
      <c r="G1178" s="76"/>
      <c r="H1178" s="76"/>
      <c r="I1178" s="76"/>
      <c r="J1178" s="76"/>
      <c r="K1178" s="76"/>
      <c r="L1178" s="76"/>
      <c r="M1178" s="69"/>
      <c r="N1178" s="76"/>
      <c r="O1178" s="76"/>
      <c r="P1178" s="76"/>
      <c r="Q1178" s="76"/>
      <c r="R1178" s="76"/>
      <c r="S1178" s="76"/>
      <c r="T1178" s="76"/>
      <c r="U1178" s="76"/>
      <c r="V1178" s="76"/>
      <c r="W1178" s="76"/>
    </row>
    <row r="1179" spans="1:23" ht="12.75">
      <c r="A1179" s="76"/>
      <c r="B1179" s="76"/>
      <c r="C1179" s="76"/>
      <c r="D1179" s="69"/>
      <c r="E1179" s="76"/>
      <c r="F1179" s="76"/>
      <c r="G1179" s="76"/>
      <c r="H1179" s="76"/>
      <c r="I1179" s="76"/>
      <c r="J1179" s="76"/>
      <c r="K1179" s="76"/>
      <c r="L1179" s="76"/>
      <c r="M1179" s="69"/>
      <c r="N1179" s="76"/>
      <c r="O1179" s="76"/>
      <c r="P1179" s="76"/>
      <c r="Q1179" s="76"/>
      <c r="R1179" s="76"/>
      <c r="S1179" s="76"/>
      <c r="T1179" s="76"/>
      <c r="U1179" s="76"/>
      <c r="V1179" s="76"/>
      <c r="W1179" s="76"/>
    </row>
    <row r="1180" spans="1:23" ht="12.75">
      <c r="A1180" s="76"/>
      <c r="B1180" s="76"/>
      <c r="C1180" s="76"/>
      <c r="D1180" s="69"/>
      <c r="E1180" s="76"/>
      <c r="F1180" s="76"/>
      <c r="G1180" s="76"/>
      <c r="H1180" s="76"/>
      <c r="I1180" s="76"/>
      <c r="J1180" s="76"/>
      <c r="K1180" s="76"/>
      <c r="L1180" s="76"/>
      <c r="M1180" s="69"/>
      <c r="N1180" s="76"/>
      <c r="O1180" s="76"/>
      <c r="P1180" s="76"/>
      <c r="Q1180" s="76"/>
      <c r="R1180" s="76"/>
      <c r="S1180" s="76"/>
      <c r="T1180" s="76"/>
      <c r="U1180" s="76"/>
      <c r="V1180" s="76"/>
      <c r="W1180" s="76"/>
    </row>
    <row r="1181" spans="1:23" ht="12.75">
      <c r="A1181" s="76"/>
      <c r="B1181" s="76"/>
      <c r="C1181" s="76"/>
      <c r="D1181" s="69"/>
      <c r="E1181" s="76"/>
      <c r="F1181" s="76"/>
      <c r="G1181" s="76"/>
      <c r="H1181" s="76"/>
      <c r="I1181" s="76"/>
      <c r="J1181" s="76"/>
      <c r="K1181" s="76"/>
      <c r="L1181" s="76"/>
      <c r="M1181" s="69"/>
      <c r="N1181" s="76"/>
      <c r="O1181" s="76"/>
      <c r="P1181" s="76"/>
      <c r="Q1181" s="76"/>
      <c r="R1181" s="76"/>
      <c r="S1181" s="76"/>
      <c r="T1181" s="76"/>
      <c r="U1181" s="76"/>
      <c r="V1181" s="76"/>
      <c r="W1181" s="76"/>
    </row>
    <row r="1182" spans="1:23" ht="12.75">
      <c r="A1182" s="76"/>
      <c r="B1182" s="76"/>
      <c r="C1182" s="76"/>
      <c r="D1182" s="69"/>
      <c r="E1182" s="76"/>
      <c r="F1182" s="76"/>
      <c r="G1182" s="76"/>
      <c r="H1182" s="76"/>
      <c r="I1182" s="76"/>
      <c r="J1182" s="76"/>
      <c r="K1182" s="76"/>
      <c r="L1182" s="76"/>
      <c r="M1182" s="69"/>
      <c r="N1182" s="76"/>
      <c r="O1182" s="76"/>
      <c r="P1182" s="76"/>
      <c r="Q1182" s="76"/>
      <c r="R1182" s="76"/>
      <c r="S1182" s="76"/>
      <c r="T1182" s="76"/>
      <c r="U1182" s="76"/>
      <c r="V1182" s="76"/>
      <c r="W1182" s="76"/>
    </row>
    <row r="1183" spans="1:23" ht="12.75">
      <c r="A1183" s="76"/>
      <c r="B1183" s="76"/>
      <c r="C1183" s="76"/>
      <c r="D1183" s="69"/>
      <c r="E1183" s="76"/>
      <c r="F1183" s="76"/>
      <c r="G1183" s="76"/>
      <c r="H1183" s="76"/>
      <c r="I1183" s="76"/>
      <c r="J1183" s="76"/>
      <c r="K1183" s="76"/>
      <c r="L1183" s="76"/>
      <c r="M1183" s="69"/>
      <c r="N1183" s="76"/>
      <c r="O1183" s="76"/>
      <c r="P1183" s="76"/>
      <c r="Q1183" s="76"/>
      <c r="R1183" s="76"/>
      <c r="S1183" s="76"/>
      <c r="T1183" s="76"/>
      <c r="U1183" s="76"/>
      <c r="V1183" s="76"/>
      <c r="W1183" s="76"/>
    </row>
    <row r="1184" spans="1:23" ht="12.75">
      <c r="A1184" s="76"/>
      <c r="B1184" s="76"/>
      <c r="C1184" s="76"/>
      <c r="D1184" s="69"/>
      <c r="E1184" s="76"/>
      <c r="F1184" s="76"/>
      <c r="G1184" s="76"/>
      <c r="H1184" s="76"/>
      <c r="I1184" s="76"/>
      <c r="J1184" s="76"/>
      <c r="K1184" s="76"/>
      <c r="L1184" s="76"/>
      <c r="M1184" s="69"/>
      <c r="N1184" s="76"/>
      <c r="O1184" s="76"/>
      <c r="P1184" s="76"/>
      <c r="Q1184" s="76"/>
      <c r="R1184" s="76"/>
      <c r="S1184" s="76"/>
      <c r="T1184" s="76"/>
      <c r="U1184" s="76"/>
      <c r="V1184" s="76"/>
      <c r="W1184" s="76"/>
    </row>
    <row r="1185" spans="1:23" ht="12.75">
      <c r="A1185" s="76"/>
      <c r="B1185" s="76"/>
      <c r="C1185" s="76"/>
      <c r="D1185" s="69"/>
      <c r="E1185" s="76"/>
      <c r="F1185" s="76"/>
      <c r="G1185" s="76"/>
      <c r="H1185" s="76"/>
      <c r="I1185" s="76"/>
      <c r="J1185" s="76"/>
      <c r="K1185" s="76"/>
      <c r="L1185" s="76"/>
      <c r="M1185" s="69"/>
      <c r="N1185" s="76"/>
      <c r="O1185" s="76"/>
      <c r="P1185" s="76"/>
      <c r="Q1185" s="76"/>
      <c r="R1185" s="76"/>
      <c r="S1185" s="76"/>
      <c r="T1185" s="76"/>
      <c r="U1185" s="76"/>
      <c r="V1185" s="76"/>
      <c r="W1185" s="76"/>
    </row>
    <row r="1186" spans="1:23" ht="12.75">
      <c r="A1186" s="76"/>
      <c r="B1186" s="76"/>
      <c r="C1186" s="76"/>
      <c r="D1186" s="69"/>
      <c r="E1186" s="76"/>
      <c r="F1186" s="76"/>
      <c r="G1186" s="76"/>
      <c r="H1186" s="76"/>
      <c r="I1186" s="76"/>
      <c r="J1186" s="76"/>
      <c r="K1186" s="76"/>
      <c r="L1186" s="76"/>
      <c r="M1186" s="69"/>
      <c r="N1186" s="76"/>
      <c r="O1186" s="76"/>
      <c r="P1186" s="76"/>
      <c r="Q1186" s="76"/>
      <c r="R1186" s="76"/>
      <c r="S1186" s="76"/>
      <c r="T1186" s="76"/>
      <c r="U1186" s="76"/>
      <c r="V1186" s="76"/>
      <c r="W1186" s="76"/>
    </row>
    <row r="1187" spans="1:23" ht="12.75">
      <c r="A1187" s="76"/>
      <c r="B1187" s="76"/>
      <c r="C1187" s="76"/>
      <c r="D1187" s="69"/>
      <c r="E1187" s="76"/>
      <c r="F1187" s="76"/>
      <c r="G1187" s="76"/>
      <c r="H1187" s="76"/>
      <c r="I1187" s="76"/>
      <c r="J1187" s="76"/>
      <c r="K1187" s="76"/>
      <c r="L1187" s="76"/>
      <c r="M1187" s="69"/>
      <c r="N1187" s="76"/>
      <c r="O1187" s="76"/>
      <c r="P1187" s="76"/>
      <c r="Q1187" s="76"/>
      <c r="R1187" s="76"/>
      <c r="S1187" s="76"/>
      <c r="T1187" s="76"/>
      <c r="U1187" s="76"/>
      <c r="V1187" s="76"/>
      <c r="W1187" s="76"/>
    </row>
    <row r="1188" spans="1:23" ht="12.75">
      <c r="A1188" s="76"/>
      <c r="B1188" s="76"/>
      <c r="C1188" s="76"/>
      <c r="D1188" s="69"/>
      <c r="E1188" s="76"/>
      <c r="F1188" s="76"/>
      <c r="G1188" s="76"/>
      <c r="H1188" s="76"/>
      <c r="I1188" s="76"/>
      <c r="J1188" s="76"/>
      <c r="K1188" s="76"/>
      <c r="L1188" s="76"/>
      <c r="M1188" s="69"/>
      <c r="N1188" s="76"/>
      <c r="O1188" s="76"/>
      <c r="P1188" s="76"/>
      <c r="Q1188" s="76"/>
      <c r="R1188" s="76"/>
      <c r="S1188" s="76"/>
      <c r="T1188" s="76"/>
      <c r="U1188" s="76"/>
      <c r="V1188" s="76"/>
      <c r="W1188" s="76"/>
    </row>
    <row r="1189" spans="1:23" ht="12.75">
      <c r="A1189" s="76"/>
      <c r="B1189" s="76"/>
      <c r="C1189" s="76"/>
      <c r="D1189" s="69"/>
      <c r="E1189" s="76"/>
      <c r="F1189" s="76"/>
      <c r="G1189" s="76"/>
      <c r="H1189" s="76"/>
      <c r="I1189" s="76"/>
      <c r="J1189" s="76"/>
      <c r="K1189" s="76"/>
      <c r="L1189" s="76"/>
      <c r="M1189" s="69"/>
      <c r="N1189" s="76"/>
      <c r="O1189" s="76"/>
      <c r="P1189" s="76"/>
      <c r="Q1189" s="76"/>
      <c r="R1189" s="76"/>
      <c r="S1189" s="76"/>
      <c r="T1189" s="76"/>
      <c r="U1189" s="76"/>
      <c r="V1189" s="76"/>
      <c r="W1189" s="76"/>
    </row>
    <row r="1190" spans="1:23" ht="12.75">
      <c r="A1190" s="76"/>
      <c r="B1190" s="76"/>
      <c r="C1190" s="76"/>
      <c r="D1190" s="69"/>
      <c r="E1190" s="76"/>
      <c r="F1190" s="76"/>
      <c r="G1190" s="76"/>
      <c r="H1190" s="76"/>
      <c r="I1190" s="76"/>
      <c r="J1190" s="76"/>
      <c r="K1190" s="76"/>
      <c r="L1190" s="76"/>
      <c r="M1190" s="69"/>
      <c r="N1190" s="76"/>
      <c r="O1190" s="76"/>
      <c r="P1190" s="76"/>
      <c r="Q1190" s="76"/>
      <c r="R1190" s="76"/>
      <c r="S1190" s="76"/>
      <c r="T1190" s="76"/>
      <c r="U1190" s="76"/>
      <c r="V1190" s="76"/>
      <c r="W1190" s="76"/>
    </row>
    <row r="1191" spans="1:23" ht="12.75">
      <c r="A1191" s="76"/>
      <c r="B1191" s="76"/>
      <c r="C1191" s="76"/>
      <c r="D1191" s="69"/>
      <c r="E1191" s="76"/>
      <c r="F1191" s="76"/>
      <c r="G1191" s="76"/>
      <c r="H1191" s="76"/>
      <c r="I1191" s="76"/>
      <c r="J1191" s="76"/>
      <c r="K1191" s="76"/>
      <c r="L1191" s="76"/>
      <c r="M1191" s="69"/>
      <c r="N1191" s="76"/>
      <c r="O1191" s="76"/>
      <c r="P1191" s="76"/>
      <c r="Q1191" s="76"/>
      <c r="R1191" s="76"/>
      <c r="S1191" s="76"/>
      <c r="T1191" s="76"/>
      <c r="U1191" s="76"/>
      <c r="V1191" s="76"/>
      <c r="W1191" s="76"/>
    </row>
    <row r="1192" spans="1:23" ht="12.75">
      <c r="A1192" s="76"/>
      <c r="B1192" s="76"/>
      <c r="C1192" s="76"/>
      <c r="D1192" s="69"/>
      <c r="E1192" s="76"/>
      <c r="F1192" s="76"/>
      <c r="G1192" s="76"/>
      <c r="H1192" s="76"/>
      <c r="I1192" s="76"/>
      <c r="J1192" s="76"/>
      <c r="K1192" s="76"/>
      <c r="L1192" s="76"/>
      <c r="M1192" s="69"/>
      <c r="N1192" s="76"/>
      <c r="O1192" s="76"/>
      <c r="P1192" s="76"/>
      <c r="Q1192" s="76"/>
      <c r="R1192" s="76"/>
      <c r="S1192" s="76"/>
      <c r="T1192" s="76"/>
      <c r="U1192" s="76"/>
      <c r="V1192" s="76"/>
      <c r="W1192" s="76"/>
    </row>
    <row r="1193" spans="1:23" ht="12.75">
      <c r="A1193" s="76"/>
      <c r="B1193" s="76"/>
      <c r="C1193" s="76"/>
      <c r="D1193" s="69"/>
      <c r="E1193" s="76"/>
      <c r="F1193" s="76"/>
      <c r="G1193" s="76"/>
      <c r="H1193" s="76"/>
      <c r="I1193" s="76"/>
      <c r="J1193" s="76"/>
      <c r="K1193" s="76"/>
      <c r="L1193" s="76"/>
      <c r="M1193" s="69"/>
      <c r="N1193" s="76"/>
      <c r="O1193" s="76"/>
      <c r="P1193" s="76"/>
      <c r="Q1193" s="76"/>
      <c r="R1193" s="76"/>
      <c r="S1193" s="76"/>
      <c r="T1193" s="76"/>
      <c r="U1193" s="76"/>
      <c r="V1193" s="76"/>
      <c r="W1193" s="76"/>
    </row>
    <row r="1194" spans="1:23" ht="12.75">
      <c r="A1194" s="76"/>
      <c r="B1194" s="76"/>
      <c r="C1194" s="76"/>
      <c r="D1194" s="69"/>
      <c r="E1194" s="76"/>
      <c r="F1194" s="76"/>
      <c r="G1194" s="76"/>
      <c r="H1194" s="76"/>
      <c r="I1194" s="76"/>
      <c r="J1194" s="76"/>
      <c r="K1194" s="76"/>
      <c r="L1194" s="76"/>
      <c r="M1194" s="69"/>
      <c r="N1194" s="76"/>
      <c r="O1194" s="76"/>
      <c r="P1194" s="76"/>
      <c r="Q1194" s="76"/>
      <c r="R1194" s="76"/>
      <c r="S1194" s="76"/>
      <c r="T1194" s="76"/>
      <c r="U1194" s="76"/>
      <c r="V1194" s="76"/>
      <c r="W1194" s="76"/>
    </row>
    <row r="1195" spans="1:23" ht="12.75">
      <c r="A1195" s="76"/>
      <c r="B1195" s="76"/>
      <c r="C1195" s="76"/>
      <c r="D1195" s="69"/>
      <c r="E1195" s="76"/>
      <c r="F1195" s="76"/>
      <c r="G1195" s="76"/>
      <c r="H1195" s="76"/>
      <c r="I1195" s="76"/>
      <c r="J1195" s="76"/>
      <c r="K1195" s="76"/>
      <c r="L1195" s="76"/>
      <c r="M1195" s="69"/>
      <c r="N1195" s="76"/>
      <c r="O1195" s="76"/>
      <c r="P1195" s="76"/>
      <c r="Q1195" s="76"/>
      <c r="R1195" s="76"/>
      <c r="S1195" s="76"/>
      <c r="T1195" s="76"/>
      <c r="U1195" s="76"/>
      <c r="V1195" s="76"/>
      <c r="W1195" s="76"/>
    </row>
    <row r="1196" spans="1:23" ht="12.75">
      <c r="A1196" s="76"/>
      <c r="B1196" s="76"/>
      <c r="C1196" s="76"/>
      <c r="D1196" s="69"/>
      <c r="E1196" s="76"/>
      <c r="F1196" s="76"/>
      <c r="G1196" s="76"/>
      <c r="H1196" s="76"/>
      <c r="I1196" s="76"/>
      <c r="J1196" s="76"/>
      <c r="K1196" s="76"/>
      <c r="L1196" s="76"/>
      <c r="M1196" s="69"/>
      <c r="N1196" s="76"/>
      <c r="O1196" s="76"/>
      <c r="P1196" s="76"/>
      <c r="Q1196" s="76"/>
      <c r="R1196" s="76"/>
      <c r="S1196" s="76"/>
      <c r="T1196" s="76"/>
      <c r="U1196" s="76"/>
      <c r="V1196" s="76"/>
      <c r="W1196" s="76"/>
    </row>
    <row r="1197" spans="1:23" ht="12.75">
      <c r="A1197" s="76"/>
      <c r="B1197" s="76"/>
      <c r="C1197" s="76"/>
      <c r="D1197" s="69"/>
      <c r="E1197" s="76"/>
      <c r="F1197" s="76"/>
      <c r="G1197" s="76"/>
      <c r="H1197" s="76"/>
      <c r="I1197" s="76"/>
      <c r="J1197" s="76"/>
      <c r="K1197" s="76"/>
      <c r="L1197" s="76"/>
      <c r="M1197" s="69"/>
      <c r="N1197" s="76"/>
      <c r="O1197" s="76"/>
      <c r="P1197" s="76"/>
      <c r="Q1197" s="76"/>
      <c r="R1197" s="76"/>
      <c r="S1197" s="76"/>
      <c r="T1197" s="76"/>
      <c r="U1197" s="76"/>
      <c r="V1197" s="76"/>
      <c r="W1197" s="76"/>
    </row>
    <row r="1198" spans="1:23" ht="12.75">
      <c r="A1198" s="76"/>
      <c r="B1198" s="76"/>
      <c r="C1198" s="76"/>
      <c r="D1198" s="69"/>
      <c r="E1198" s="76"/>
      <c r="F1198" s="76"/>
      <c r="G1198" s="76"/>
      <c r="H1198" s="76"/>
      <c r="I1198" s="76"/>
      <c r="J1198" s="76"/>
      <c r="K1198" s="76"/>
      <c r="L1198" s="76"/>
      <c r="M1198" s="69"/>
      <c r="N1198" s="76"/>
      <c r="O1198" s="76"/>
      <c r="P1198" s="76"/>
      <c r="Q1198" s="76"/>
      <c r="R1198" s="76"/>
      <c r="S1198" s="76"/>
      <c r="T1198" s="76"/>
      <c r="U1198" s="76"/>
      <c r="V1198" s="76"/>
      <c r="W1198" s="76"/>
    </row>
    <row r="1199" spans="1:23" ht="12.75">
      <c r="A1199" s="76"/>
      <c r="B1199" s="76"/>
      <c r="C1199" s="76"/>
      <c r="D1199" s="69"/>
      <c r="E1199" s="76"/>
      <c r="F1199" s="76"/>
      <c r="G1199" s="76"/>
      <c r="H1199" s="76"/>
      <c r="I1199" s="76"/>
      <c r="J1199" s="76"/>
      <c r="K1199" s="76"/>
      <c r="L1199" s="76"/>
      <c r="M1199" s="69"/>
      <c r="N1199" s="76"/>
      <c r="O1199" s="76"/>
      <c r="P1199" s="76"/>
      <c r="Q1199" s="76"/>
      <c r="R1199" s="76"/>
      <c r="S1199" s="76"/>
      <c r="T1199" s="76"/>
      <c r="U1199" s="76"/>
      <c r="V1199" s="76"/>
      <c r="W1199" s="76"/>
    </row>
    <row r="1200" spans="1:23" ht="12.75">
      <c r="A1200" s="76"/>
      <c r="B1200" s="76"/>
      <c r="C1200" s="76"/>
      <c r="D1200" s="69"/>
      <c r="E1200" s="76"/>
      <c r="F1200" s="76"/>
      <c r="G1200" s="76"/>
      <c r="H1200" s="76"/>
      <c r="I1200" s="76"/>
      <c r="J1200" s="76"/>
      <c r="K1200" s="76"/>
      <c r="L1200" s="76"/>
      <c r="M1200" s="69"/>
      <c r="N1200" s="76"/>
      <c r="O1200" s="76"/>
      <c r="P1200" s="76"/>
      <c r="Q1200" s="76"/>
      <c r="R1200" s="76"/>
      <c r="S1200" s="76"/>
      <c r="T1200" s="76"/>
      <c r="U1200" s="76"/>
      <c r="V1200" s="76"/>
      <c r="W1200" s="76"/>
    </row>
    <row r="1201" spans="1:23" ht="12.75">
      <c r="A1201" s="76"/>
      <c r="B1201" s="76"/>
      <c r="C1201" s="76"/>
      <c r="D1201" s="69"/>
      <c r="E1201" s="76"/>
      <c r="F1201" s="76"/>
      <c r="G1201" s="76"/>
      <c r="H1201" s="76"/>
      <c r="I1201" s="76"/>
      <c r="J1201" s="76"/>
      <c r="K1201" s="76"/>
      <c r="L1201" s="76"/>
      <c r="M1201" s="69"/>
      <c r="N1201" s="76"/>
      <c r="O1201" s="76"/>
      <c r="P1201" s="76"/>
      <c r="Q1201" s="76"/>
      <c r="R1201" s="76"/>
      <c r="S1201" s="76"/>
      <c r="T1201" s="76"/>
      <c r="U1201" s="76"/>
      <c r="V1201" s="76"/>
      <c r="W1201" s="76"/>
    </row>
    <row r="1202" spans="1:23" ht="12.75">
      <c r="A1202" s="76"/>
      <c r="B1202" s="76"/>
      <c r="C1202" s="76"/>
      <c r="D1202" s="69"/>
      <c r="E1202" s="76"/>
      <c r="F1202" s="76"/>
      <c r="G1202" s="76"/>
      <c r="H1202" s="76"/>
      <c r="I1202" s="76"/>
      <c r="J1202" s="76"/>
      <c r="K1202" s="76"/>
      <c r="L1202" s="76"/>
      <c r="M1202" s="69"/>
      <c r="N1202" s="76"/>
      <c r="O1202" s="76"/>
      <c r="P1202" s="76"/>
      <c r="Q1202" s="76"/>
      <c r="R1202" s="76"/>
      <c r="S1202" s="76"/>
      <c r="T1202" s="76"/>
      <c r="U1202" s="76"/>
      <c r="V1202" s="76"/>
      <c r="W1202" s="76"/>
    </row>
    <row r="1203" spans="1:23" ht="12.75">
      <c r="A1203" s="76"/>
      <c r="B1203" s="76"/>
      <c r="C1203" s="76"/>
      <c r="D1203" s="69"/>
      <c r="E1203" s="76"/>
      <c r="F1203" s="76"/>
      <c r="G1203" s="76"/>
      <c r="H1203" s="76"/>
      <c r="I1203" s="76"/>
      <c r="J1203" s="76"/>
      <c r="K1203" s="76"/>
      <c r="L1203" s="76"/>
      <c r="M1203" s="69"/>
      <c r="N1203" s="76"/>
      <c r="O1203" s="76"/>
      <c r="P1203" s="76"/>
      <c r="Q1203" s="76"/>
      <c r="R1203" s="76"/>
      <c r="S1203" s="76"/>
      <c r="T1203" s="76"/>
      <c r="U1203" s="76"/>
      <c r="V1203" s="76"/>
      <c r="W1203" s="76"/>
    </row>
    <row r="1204" spans="1:23" ht="12.75">
      <c r="A1204" s="76"/>
      <c r="B1204" s="76"/>
      <c r="C1204" s="76"/>
      <c r="D1204" s="69"/>
      <c r="E1204" s="76"/>
      <c r="F1204" s="76"/>
      <c r="G1204" s="76"/>
      <c r="H1204" s="76"/>
      <c r="I1204" s="76"/>
      <c r="J1204" s="76"/>
      <c r="K1204" s="76"/>
      <c r="L1204" s="76"/>
      <c r="M1204" s="69"/>
      <c r="N1204" s="76"/>
      <c r="O1204" s="76"/>
      <c r="P1204" s="76"/>
      <c r="Q1204" s="76"/>
      <c r="R1204" s="76"/>
      <c r="S1204" s="76"/>
      <c r="T1204" s="76"/>
      <c r="U1204" s="76"/>
      <c r="V1204" s="76"/>
      <c r="W1204" s="76"/>
    </row>
    <row r="1205" spans="1:23" ht="12.75">
      <c r="A1205" s="76"/>
      <c r="B1205" s="76"/>
      <c r="C1205" s="76"/>
      <c r="D1205" s="69"/>
      <c r="E1205" s="76"/>
      <c r="F1205" s="76"/>
      <c r="G1205" s="76"/>
      <c r="H1205" s="76"/>
      <c r="I1205" s="76"/>
      <c r="J1205" s="76"/>
      <c r="K1205" s="76"/>
      <c r="L1205" s="76"/>
      <c r="M1205" s="69"/>
      <c r="N1205" s="76"/>
      <c r="O1205" s="76"/>
      <c r="P1205" s="76"/>
      <c r="Q1205" s="76"/>
      <c r="R1205" s="76"/>
      <c r="S1205" s="76"/>
      <c r="T1205" s="76"/>
      <c r="U1205" s="76"/>
      <c r="V1205" s="76"/>
      <c r="W1205" s="76"/>
    </row>
    <row r="1206" spans="1:23" ht="12.75">
      <c r="A1206" s="76"/>
      <c r="B1206" s="76"/>
      <c r="C1206" s="76"/>
      <c r="D1206" s="69"/>
      <c r="E1206" s="76"/>
      <c r="F1206" s="76"/>
      <c r="G1206" s="76"/>
      <c r="H1206" s="76"/>
      <c r="I1206" s="76"/>
      <c r="J1206" s="76"/>
      <c r="K1206" s="76"/>
      <c r="L1206" s="76"/>
      <c r="M1206" s="69"/>
      <c r="N1206" s="76"/>
      <c r="O1206" s="76"/>
      <c r="P1206" s="76"/>
      <c r="Q1206" s="76"/>
      <c r="R1206" s="76"/>
      <c r="S1206" s="76"/>
      <c r="T1206" s="76"/>
      <c r="U1206" s="76"/>
      <c r="V1206" s="76"/>
      <c r="W1206" s="76"/>
    </row>
    <row r="1207" spans="1:23" ht="12.75">
      <c r="A1207" s="76"/>
      <c r="B1207" s="76"/>
      <c r="C1207" s="76"/>
      <c r="D1207" s="69"/>
      <c r="E1207" s="76"/>
      <c r="F1207" s="76"/>
      <c r="G1207" s="76"/>
      <c r="H1207" s="76"/>
      <c r="I1207" s="76"/>
      <c r="J1207" s="76"/>
      <c r="K1207" s="76"/>
      <c r="L1207" s="76"/>
      <c r="M1207" s="69"/>
      <c r="N1207" s="76"/>
      <c r="O1207" s="76"/>
      <c r="P1207" s="76"/>
      <c r="Q1207" s="76"/>
      <c r="R1207" s="76"/>
      <c r="S1207" s="76"/>
      <c r="T1207" s="76"/>
      <c r="U1207" s="76"/>
      <c r="V1207" s="76"/>
      <c r="W1207" s="76"/>
    </row>
    <row r="1208" spans="1:23" ht="12.75">
      <c r="A1208" s="76"/>
      <c r="B1208" s="76"/>
      <c r="C1208" s="76"/>
      <c r="D1208" s="69"/>
      <c r="E1208" s="76"/>
      <c r="F1208" s="76"/>
      <c r="G1208" s="76"/>
      <c r="H1208" s="76"/>
      <c r="I1208" s="76"/>
      <c r="J1208" s="76"/>
      <c r="K1208" s="76"/>
      <c r="L1208" s="76"/>
      <c r="M1208" s="69"/>
      <c r="N1208" s="76"/>
      <c r="O1208" s="76"/>
      <c r="P1208" s="76"/>
      <c r="Q1208" s="76"/>
      <c r="R1208" s="76"/>
      <c r="S1208" s="76"/>
      <c r="T1208" s="76"/>
      <c r="U1208" s="76"/>
      <c r="V1208" s="76"/>
      <c r="W1208" s="76"/>
    </row>
    <row r="1209" spans="1:23" ht="12.75">
      <c r="A1209" s="76"/>
      <c r="B1209" s="76"/>
      <c r="C1209" s="76"/>
      <c r="D1209" s="69"/>
      <c r="E1209" s="76"/>
      <c r="F1209" s="76"/>
      <c r="G1209" s="76"/>
      <c r="H1209" s="76"/>
      <c r="I1209" s="76"/>
      <c r="J1209" s="76"/>
      <c r="K1209" s="76"/>
      <c r="L1209" s="76"/>
      <c r="M1209" s="69"/>
      <c r="N1209" s="76"/>
      <c r="O1209" s="76"/>
      <c r="P1209" s="76"/>
      <c r="Q1209" s="76"/>
      <c r="R1209" s="76"/>
      <c r="S1209" s="76"/>
      <c r="T1209" s="76"/>
      <c r="U1209" s="76"/>
      <c r="V1209" s="76"/>
      <c r="W1209" s="76"/>
    </row>
    <row r="1210" spans="1:23" ht="12.75">
      <c r="A1210" s="76"/>
      <c r="B1210" s="76"/>
      <c r="C1210" s="76"/>
      <c r="D1210" s="69"/>
      <c r="E1210" s="76"/>
      <c r="F1210" s="76"/>
      <c r="G1210" s="76"/>
      <c r="H1210" s="76"/>
      <c r="I1210" s="76"/>
      <c r="J1210" s="76"/>
      <c r="K1210" s="76"/>
      <c r="L1210" s="76"/>
      <c r="M1210" s="69"/>
      <c r="N1210" s="76"/>
      <c r="O1210" s="76"/>
      <c r="P1210" s="76"/>
      <c r="Q1210" s="76"/>
      <c r="R1210" s="76"/>
      <c r="S1210" s="76"/>
      <c r="T1210" s="76"/>
      <c r="U1210" s="76"/>
      <c r="V1210" s="76"/>
      <c r="W1210" s="76"/>
    </row>
    <row r="1211" spans="1:23" ht="12.75">
      <c r="A1211" s="76"/>
      <c r="B1211" s="76"/>
      <c r="C1211" s="76"/>
      <c r="D1211" s="69"/>
      <c r="E1211" s="76"/>
      <c r="F1211" s="76"/>
      <c r="G1211" s="76"/>
      <c r="H1211" s="76"/>
      <c r="I1211" s="76"/>
      <c r="J1211" s="76"/>
      <c r="K1211" s="76"/>
      <c r="L1211" s="76"/>
      <c r="M1211" s="69"/>
      <c r="N1211" s="76"/>
      <c r="O1211" s="76"/>
      <c r="P1211" s="76"/>
      <c r="Q1211" s="76"/>
      <c r="R1211" s="76"/>
      <c r="S1211" s="76"/>
      <c r="T1211" s="76"/>
      <c r="U1211" s="76"/>
      <c r="V1211" s="76"/>
      <c r="W1211" s="76"/>
    </row>
    <row r="1212" spans="1:23" ht="12.75">
      <c r="A1212" s="76"/>
      <c r="B1212" s="76"/>
      <c r="C1212" s="76"/>
      <c r="D1212" s="69"/>
      <c r="E1212" s="76"/>
      <c r="F1212" s="76"/>
      <c r="G1212" s="76"/>
      <c r="H1212" s="76"/>
      <c r="I1212" s="76"/>
      <c r="J1212" s="76"/>
      <c r="K1212" s="76"/>
      <c r="L1212" s="76"/>
      <c r="M1212" s="69"/>
      <c r="N1212" s="76"/>
      <c r="O1212" s="76"/>
      <c r="P1212" s="76"/>
      <c r="Q1212" s="76"/>
      <c r="R1212" s="76"/>
      <c r="S1212" s="76"/>
      <c r="T1212" s="76"/>
      <c r="U1212" s="76"/>
      <c r="V1212" s="76"/>
      <c r="W1212" s="76"/>
    </row>
    <row r="1213" spans="1:23" ht="12.75">
      <c r="A1213" s="76"/>
      <c r="B1213" s="76"/>
      <c r="C1213" s="76"/>
      <c r="D1213" s="69"/>
      <c r="E1213" s="76"/>
      <c r="F1213" s="76"/>
      <c r="G1213" s="76"/>
      <c r="H1213" s="76"/>
      <c r="I1213" s="76"/>
      <c r="J1213" s="76"/>
      <c r="K1213" s="76"/>
      <c r="L1213" s="76"/>
      <c r="M1213" s="69"/>
      <c r="N1213" s="76"/>
      <c r="O1213" s="76"/>
      <c r="P1213" s="76"/>
      <c r="Q1213" s="76"/>
      <c r="R1213" s="76"/>
      <c r="S1213" s="76"/>
      <c r="T1213" s="76"/>
      <c r="U1213" s="76"/>
      <c r="V1213" s="76"/>
      <c r="W1213" s="76"/>
    </row>
    <row r="1214" spans="1:23" ht="12.75">
      <c r="A1214" s="76"/>
      <c r="B1214" s="76"/>
      <c r="C1214" s="76"/>
      <c r="D1214" s="69"/>
      <c r="E1214" s="76"/>
      <c r="F1214" s="76"/>
      <c r="G1214" s="76"/>
      <c r="H1214" s="76"/>
      <c r="I1214" s="76"/>
      <c r="J1214" s="76"/>
      <c r="K1214" s="76"/>
      <c r="L1214" s="76"/>
      <c r="M1214" s="69"/>
      <c r="N1214" s="76"/>
      <c r="O1214" s="76"/>
      <c r="P1214" s="76"/>
      <c r="Q1214" s="76"/>
      <c r="R1214" s="76"/>
      <c r="S1214" s="76"/>
      <c r="T1214" s="76"/>
      <c r="U1214" s="76"/>
      <c r="V1214" s="76"/>
      <c r="W1214" s="76"/>
    </row>
    <row r="1215" spans="1:23" ht="12.75">
      <c r="A1215" s="76"/>
      <c r="B1215" s="76"/>
      <c r="C1215" s="76"/>
      <c r="D1215" s="69"/>
      <c r="E1215" s="76"/>
      <c r="F1215" s="76"/>
      <c r="G1215" s="76"/>
      <c r="H1215" s="76"/>
      <c r="I1215" s="76"/>
      <c r="J1215" s="76"/>
      <c r="K1215" s="76"/>
      <c r="L1215" s="76"/>
      <c r="M1215" s="69"/>
      <c r="N1215" s="76"/>
      <c r="O1215" s="76"/>
      <c r="P1215" s="76"/>
      <c r="Q1215" s="76"/>
      <c r="R1215" s="76"/>
      <c r="S1215" s="76"/>
      <c r="T1215" s="76"/>
      <c r="U1215" s="76"/>
      <c r="V1215" s="76"/>
      <c r="W1215" s="76"/>
    </row>
    <row r="1216" spans="1:23" ht="12.75">
      <c r="A1216" s="76"/>
      <c r="B1216" s="76"/>
      <c r="C1216" s="76"/>
      <c r="D1216" s="69"/>
      <c r="E1216" s="76"/>
      <c r="F1216" s="76"/>
      <c r="G1216" s="76"/>
      <c r="H1216" s="76"/>
      <c r="I1216" s="76"/>
      <c r="J1216" s="76"/>
      <c r="K1216" s="76"/>
      <c r="L1216" s="76"/>
      <c r="M1216" s="69"/>
      <c r="N1216" s="76"/>
      <c r="O1216" s="76"/>
      <c r="P1216" s="76"/>
      <c r="Q1216" s="76"/>
      <c r="R1216" s="76"/>
      <c r="S1216" s="76"/>
      <c r="T1216" s="76"/>
      <c r="U1216" s="76"/>
      <c r="V1216" s="76"/>
      <c r="W1216" s="76"/>
    </row>
    <row r="1217" spans="1:23" ht="12.75">
      <c r="A1217" s="76"/>
      <c r="B1217" s="76"/>
      <c r="C1217" s="76"/>
      <c r="D1217" s="69"/>
      <c r="E1217" s="76"/>
      <c r="F1217" s="76"/>
      <c r="G1217" s="76"/>
      <c r="H1217" s="76"/>
      <c r="I1217" s="76"/>
      <c r="J1217" s="76"/>
      <c r="K1217" s="76"/>
      <c r="L1217" s="76"/>
      <c r="M1217" s="69"/>
      <c r="N1217" s="76"/>
      <c r="O1217" s="76"/>
      <c r="P1217" s="76"/>
      <c r="Q1217" s="76"/>
      <c r="R1217" s="76"/>
      <c r="S1217" s="76"/>
      <c r="T1217" s="76"/>
      <c r="U1217" s="76"/>
      <c r="V1217" s="76"/>
      <c r="W1217" s="76"/>
    </row>
    <row r="1218" spans="1:23" ht="12.75">
      <c r="A1218" s="76"/>
      <c r="B1218" s="76"/>
      <c r="C1218" s="76"/>
      <c r="D1218" s="69"/>
      <c r="E1218" s="76"/>
      <c r="F1218" s="76"/>
      <c r="G1218" s="76"/>
      <c r="H1218" s="76"/>
      <c r="I1218" s="76"/>
      <c r="J1218" s="76"/>
      <c r="K1218" s="76"/>
      <c r="L1218" s="76"/>
      <c r="M1218" s="69"/>
      <c r="N1218" s="76"/>
      <c r="O1218" s="76"/>
      <c r="P1218" s="76"/>
      <c r="Q1218" s="76"/>
      <c r="R1218" s="76"/>
      <c r="S1218" s="76"/>
      <c r="T1218" s="76"/>
      <c r="U1218" s="76"/>
      <c r="V1218" s="76"/>
      <c r="W1218" s="76"/>
    </row>
    <row r="1219" spans="1:23" ht="12.75">
      <c r="A1219" s="76"/>
      <c r="B1219" s="76"/>
      <c r="C1219" s="76"/>
      <c r="D1219" s="69"/>
      <c r="E1219" s="76"/>
      <c r="F1219" s="76"/>
      <c r="G1219" s="76"/>
      <c r="H1219" s="76"/>
      <c r="I1219" s="76"/>
      <c r="J1219" s="76"/>
      <c r="K1219" s="76"/>
      <c r="L1219" s="76"/>
      <c r="M1219" s="69"/>
      <c r="N1219" s="76"/>
      <c r="O1219" s="76"/>
      <c r="P1219" s="76"/>
      <c r="Q1219" s="76"/>
      <c r="R1219" s="76"/>
      <c r="S1219" s="76"/>
      <c r="T1219" s="76"/>
      <c r="U1219" s="76"/>
      <c r="V1219" s="76"/>
      <c r="W1219" s="76"/>
    </row>
    <row r="1220" spans="1:23" ht="12.75">
      <c r="A1220" s="76"/>
      <c r="B1220" s="76"/>
      <c r="C1220" s="76"/>
      <c r="D1220" s="69"/>
      <c r="E1220" s="76"/>
      <c r="F1220" s="76"/>
      <c r="G1220" s="76"/>
      <c r="H1220" s="76"/>
      <c r="I1220" s="76"/>
      <c r="J1220" s="76"/>
      <c r="K1220" s="76"/>
      <c r="L1220" s="76"/>
      <c r="M1220" s="69"/>
      <c r="N1220" s="76"/>
      <c r="O1220" s="76"/>
      <c r="P1220" s="76"/>
      <c r="Q1220" s="76"/>
      <c r="R1220" s="76"/>
      <c r="S1220" s="76"/>
      <c r="T1220" s="76"/>
      <c r="U1220" s="76"/>
      <c r="V1220" s="76"/>
      <c r="W1220" s="76"/>
    </row>
    <row r="1221" spans="1:23" ht="12.75">
      <c r="A1221" s="76"/>
      <c r="B1221" s="76"/>
      <c r="C1221" s="76"/>
      <c r="D1221" s="69"/>
      <c r="E1221" s="76"/>
      <c r="F1221" s="76"/>
      <c r="G1221" s="76"/>
      <c r="H1221" s="76"/>
      <c r="I1221" s="76"/>
      <c r="J1221" s="76"/>
      <c r="K1221" s="76"/>
      <c r="L1221" s="76"/>
      <c r="M1221" s="69"/>
      <c r="N1221" s="76"/>
      <c r="O1221" s="76"/>
      <c r="P1221" s="76"/>
      <c r="Q1221" s="76"/>
      <c r="R1221" s="76"/>
      <c r="S1221" s="76"/>
      <c r="T1221" s="76"/>
      <c r="U1221" s="76"/>
      <c r="V1221" s="76"/>
      <c r="W1221" s="76"/>
    </row>
    <row r="1222" spans="1:23" ht="12.75">
      <c r="A1222" s="76"/>
      <c r="B1222" s="76"/>
      <c r="C1222" s="76"/>
      <c r="D1222" s="69"/>
      <c r="E1222" s="76"/>
      <c r="F1222" s="76"/>
      <c r="G1222" s="76"/>
      <c r="H1222" s="76"/>
      <c r="I1222" s="76"/>
      <c r="J1222" s="76"/>
      <c r="K1222" s="76"/>
      <c r="L1222" s="76"/>
      <c r="M1222" s="69"/>
      <c r="N1222" s="76"/>
      <c r="O1222" s="76"/>
      <c r="P1222" s="76"/>
      <c r="Q1222" s="76"/>
      <c r="R1222" s="76"/>
      <c r="S1222" s="76"/>
      <c r="T1222" s="76"/>
      <c r="U1222" s="76"/>
      <c r="V1222" s="76"/>
      <c r="W1222" s="76"/>
    </row>
    <row r="1223" spans="1:23" ht="12.75">
      <c r="A1223" s="76"/>
      <c r="B1223" s="76"/>
      <c r="C1223" s="76"/>
      <c r="D1223" s="69"/>
      <c r="E1223" s="76"/>
      <c r="F1223" s="76"/>
      <c r="G1223" s="76"/>
      <c r="H1223" s="76"/>
      <c r="I1223" s="76"/>
      <c r="J1223" s="76"/>
      <c r="K1223" s="76"/>
      <c r="L1223" s="76"/>
      <c r="M1223" s="69"/>
      <c r="N1223" s="76"/>
      <c r="O1223" s="76"/>
      <c r="P1223" s="76"/>
      <c r="Q1223" s="76"/>
      <c r="R1223" s="76"/>
      <c r="S1223" s="76"/>
      <c r="T1223" s="76"/>
      <c r="U1223" s="76"/>
      <c r="V1223" s="76"/>
      <c r="W1223" s="76"/>
    </row>
  </sheetData>
  <autoFilter ref="A1:W357" xr:uid="{00000000-0009-0000-0000-000003000000}"/>
  <mergeCells count="3">
    <mergeCell ref="O70:O71"/>
    <mergeCell ref="O107:O109"/>
    <mergeCell ref="A357:G357"/>
  </mergeCells>
  <conditionalFormatting sqref="B1:B14 A1:A356 C1:J356 O16:O18 B20:B183 O33 O85:O86 O113 O144 O146 B186:B356">
    <cfRule type="cellIs" dxfId="42" priority="4" operator="equal">
      <formula>"KCD"</formula>
    </cfRule>
    <cfRule type="cellIs" dxfId="41" priority="5" operator="equal">
      <formula>"NiiHost-AFF"</formula>
    </cfRule>
  </conditionalFormatting>
  <conditionalFormatting sqref="E1:G356 O16:O18 O33 O113 O144 O146">
    <cfRule type="cellIs" dxfId="40" priority="1" operator="equal">
      <formula>"TUTU"</formula>
    </cfRule>
  </conditionalFormatting>
  <conditionalFormatting sqref="I1:I356">
    <cfRule type="cellIs" dxfId="39" priority="2" operator="greaterThan">
      <formula>0</formula>
    </cfRule>
  </conditionalFormatting>
  <conditionalFormatting sqref="I199 I268 H2:H356 O85:O86">
    <cfRule type="cellIs" dxfId="38" priority="3" operator="greaterThan">
      <formula>0</formula>
    </cfRule>
  </conditionalFormatting>
  <dataValidations count="4">
    <dataValidation type="list" allowBlank="1" showErrorMessage="1" sqref="G2:G355" xr:uid="{00000000-0002-0000-0300-000000000000}">
      <formula1>"销售收入,业务支出,退款,支给个人,银行提现"</formula1>
    </dataValidation>
    <dataValidation type="list" allowBlank="1" showErrorMessage="1" sqref="F3:F356" xr:uid="{00000000-0002-0000-0300-000001000000}">
      <formula1>"USDT,银行转帐,TRX"</formula1>
    </dataValidation>
    <dataValidation type="list" allowBlank="1" showErrorMessage="1" sqref="G356" xr:uid="{00000000-0002-0000-0300-000002000000}">
      <formula1>"销售收入,业务支出,退款,支给个人"</formula1>
    </dataValidation>
    <dataValidation type="list" allowBlank="1" showErrorMessage="1" sqref="F2" xr:uid="{00000000-0002-0000-0300-000003000000}">
      <formula1>"USDT,银行转帐"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4"/>
  <sheetViews>
    <sheetView workbookViewId="0"/>
  </sheetViews>
  <sheetFormatPr defaultColWidth="12.5703125" defaultRowHeight="15.75" customHeight="1"/>
  <cols>
    <col min="1" max="1" width="3.140625" customWidth="1"/>
    <col min="3" max="3" width="4.7109375" customWidth="1"/>
    <col min="4" max="4" width="4.42578125" customWidth="1"/>
    <col min="5" max="5" width="6.42578125" customWidth="1"/>
    <col min="7" max="7" width="7.5703125" customWidth="1"/>
    <col min="10" max="10" width="6" customWidth="1"/>
    <col min="11" max="11" width="9.5703125" customWidth="1"/>
  </cols>
  <sheetData>
    <row r="1" spans="1:15">
      <c r="A1" s="148" t="s">
        <v>853</v>
      </c>
      <c r="B1" s="148" t="s">
        <v>854</v>
      </c>
      <c r="C1" s="148" t="s">
        <v>855</v>
      </c>
      <c r="D1" s="148" t="s">
        <v>856</v>
      </c>
      <c r="E1" s="148" t="s">
        <v>857</v>
      </c>
      <c r="F1" s="149" t="s">
        <v>858</v>
      </c>
      <c r="G1" s="148" t="s">
        <v>859</v>
      </c>
      <c r="H1" s="148" t="s">
        <v>4</v>
      </c>
      <c r="I1" s="150" t="s">
        <v>5</v>
      </c>
      <c r="J1" s="148" t="s">
        <v>860</v>
      </c>
      <c r="K1" s="151" t="s">
        <v>861</v>
      </c>
      <c r="L1" s="152" t="s">
        <v>862</v>
      </c>
      <c r="M1" s="151" t="s">
        <v>863</v>
      </c>
      <c r="N1" s="152" t="s">
        <v>864</v>
      </c>
      <c r="O1" s="152" t="s">
        <v>7</v>
      </c>
    </row>
    <row r="2" spans="1:15">
      <c r="A2" s="153">
        <v>1</v>
      </c>
      <c r="B2" s="154">
        <v>45753</v>
      </c>
      <c r="C2" s="153">
        <f t="shared" ref="C2:C4" si="0">YEAR(B2)</f>
        <v>2025</v>
      </c>
      <c r="D2" s="155">
        <f t="shared" ref="D2:D3" si="1">MONTH(B2)</f>
        <v>4</v>
      </c>
      <c r="E2" s="153" t="s">
        <v>865</v>
      </c>
      <c r="F2" s="156" t="s">
        <v>875</v>
      </c>
      <c r="G2" s="157" t="s">
        <v>866</v>
      </c>
      <c r="H2" s="158">
        <v>836</v>
      </c>
      <c r="I2" s="159"/>
      <c r="J2" s="153" t="s">
        <v>867</v>
      </c>
      <c r="K2" s="160" t="b">
        <v>1</v>
      </c>
      <c r="L2" s="160"/>
      <c r="M2" s="161"/>
      <c r="N2" s="162" t="s">
        <v>14</v>
      </c>
      <c r="O2" s="162" t="s">
        <v>945</v>
      </c>
    </row>
    <row r="3" spans="1:15">
      <c r="A3" s="153">
        <v>2</v>
      </c>
      <c r="B3" s="154">
        <v>45785</v>
      </c>
      <c r="C3" s="153">
        <f t="shared" si="0"/>
        <v>2025</v>
      </c>
      <c r="D3" s="155">
        <f t="shared" si="1"/>
        <v>5</v>
      </c>
      <c r="E3" s="153" t="s">
        <v>865</v>
      </c>
      <c r="F3" s="156" t="s">
        <v>875</v>
      </c>
      <c r="G3" s="157" t="s">
        <v>866</v>
      </c>
      <c r="H3" s="158">
        <v>300</v>
      </c>
      <c r="I3" s="159"/>
      <c r="J3" s="153" t="s">
        <v>867</v>
      </c>
      <c r="K3" s="160" t="b">
        <v>1</v>
      </c>
      <c r="L3" s="163"/>
      <c r="M3" s="161"/>
      <c r="N3" s="162" t="s">
        <v>14</v>
      </c>
      <c r="O3" s="162" t="s">
        <v>945</v>
      </c>
    </row>
    <row r="4" spans="1:15">
      <c r="A4" s="153">
        <v>3</v>
      </c>
      <c r="B4" s="154">
        <v>45995</v>
      </c>
      <c r="C4" s="153">
        <f t="shared" si="0"/>
        <v>2025</v>
      </c>
      <c r="D4" s="155">
        <v>12</v>
      </c>
      <c r="E4" s="153" t="s">
        <v>865</v>
      </c>
      <c r="F4" s="156" t="s">
        <v>875</v>
      </c>
      <c r="G4" s="157" t="s">
        <v>866</v>
      </c>
      <c r="H4" s="158">
        <v>460</v>
      </c>
      <c r="I4" s="159"/>
      <c r="J4" s="153" t="s">
        <v>867</v>
      </c>
      <c r="K4" s="160" t="b">
        <v>1</v>
      </c>
      <c r="L4" s="163"/>
      <c r="M4" s="161"/>
      <c r="N4" s="162" t="s">
        <v>14</v>
      </c>
      <c r="O4" s="162" t="s">
        <v>946</v>
      </c>
    </row>
  </sheetData>
  <conditionalFormatting sqref="A1:J4">
    <cfRule type="cellIs" dxfId="37" priority="4" operator="equal">
      <formula>"KCD"</formula>
    </cfRule>
    <cfRule type="cellIs" dxfId="36" priority="5" operator="equal">
      <formula>"NiiHost-AFF"</formula>
    </cfRule>
  </conditionalFormatting>
  <conditionalFormatting sqref="E1:G4">
    <cfRule type="cellIs" dxfId="35" priority="1" operator="equal">
      <formula>"TUTU"</formula>
    </cfRule>
  </conditionalFormatting>
  <conditionalFormatting sqref="H2:H4">
    <cfRule type="cellIs" dxfId="34" priority="3" operator="greaterThan">
      <formula>0</formula>
    </cfRule>
  </conditionalFormatting>
  <conditionalFormatting sqref="I1:I4">
    <cfRule type="cellIs" dxfId="33" priority="2" operator="greaterThan">
      <formula>0</formula>
    </cfRule>
  </conditionalFormatting>
  <dataValidations count="1">
    <dataValidation type="list" allowBlank="1" showErrorMessage="1" sqref="F2:F4" xr:uid="{00000000-0002-0000-0400-000000000000}">
      <formula1>"USDT,银行转帐,TRX"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6.5703125" customWidth="1"/>
    <col min="2" max="2" width="6.85546875" customWidth="1"/>
    <col min="3" max="3" width="21" customWidth="1"/>
    <col min="5" max="5" width="8.42578125" customWidth="1"/>
    <col min="6" max="6" width="17" customWidth="1"/>
    <col min="7" max="7" width="17.42578125" customWidth="1"/>
    <col min="8" max="8" width="8.85546875" customWidth="1"/>
    <col min="10" max="10" width="7" customWidth="1"/>
    <col min="11" max="11" width="7.7109375" customWidth="1"/>
    <col min="17" max="17" width="14.85546875" customWidth="1"/>
    <col min="20" max="20" width="9.42578125" customWidth="1"/>
    <col min="22" max="22" width="6.7109375" customWidth="1"/>
  </cols>
  <sheetData>
    <row r="1" spans="1:28">
      <c r="A1" s="164" t="s">
        <v>18</v>
      </c>
      <c r="B1" s="165" t="s">
        <v>19</v>
      </c>
      <c r="C1" s="164" t="s">
        <v>947</v>
      </c>
      <c r="D1" s="164" t="s">
        <v>24</v>
      </c>
      <c r="E1" s="164" t="s">
        <v>948</v>
      </c>
      <c r="F1" s="164" t="s">
        <v>949</v>
      </c>
      <c r="G1" s="164" t="s">
        <v>950</v>
      </c>
      <c r="H1" s="164" t="s">
        <v>951</v>
      </c>
      <c r="I1" s="164" t="s">
        <v>952</v>
      </c>
      <c r="J1" s="164" t="s">
        <v>953</v>
      </c>
      <c r="K1" s="164" t="s">
        <v>954</v>
      </c>
      <c r="L1" s="164" t="s">
        <v>955</v>
      </c>
      <c r="M1" s="164" t="s">
        <v>956</v>
      </c>
      <c r="N1" s="164" t="s">
        <v>22</v>
      </c>
      <c r="O1" s="164" t="s">
        <v>23</v>
      </c>
      <c r="P1" s="164" t="s">
        <v>957</v>
      </c>
      <c r="Q1" s="164" t="s">
        <v>958</v>
      </c>
      <c r="R1" s="164" t="s">
        <v>959</v>
      </c>
      <c r="S1" s="164" t="s">
        <v>960</v>
      </c>
      <c r="T1" s="164" t="s">
        <v>961</v>
      </c>
      <c r="U1" s="164" t="s">
        <v>27</v>
      </c>
      <c r="V1" s="164" t="s">
        <v>962</v>
      </c>
      <c r="W1" s="164" t="s">
        <v>963</v>
      </c>
      <c r="X1" s="16"/>
      <c r="Y1" s="16"/>
      <c r="Z1" s="12"/>
      <c r="AA1" s="12"/>
      <c r="AB1" s="12"/>
    </row>
    <row r="2" spans="1:28">
      <c r="A2" s="17">
        <v>2025</v>
      </c>
      <c r="B2" s="166" t="s">
        <v>37</v>
      </c>
      <c r="C2" s="17" t="s">
        <v>964</v>
      </c>
      <c r="D2" s="17" t="s">
        <v>965</v>
      </c>
      <c r="E2" s="17" t="s">
        <v>22</v>
      </c>
      <c r="F2" s="167">
        <v>45688.209027777775</v>
      </c>
      <c r="G2" s="167">
        <v>45688.209027777775</v>
      </c>
      <c r="H2" s="17">
        <v>0</v>
      </c>
      <c r="I2" s="17" t="s">
        <v>45</v>
      </c>
      <c r="J2" s="17"/>
      <c r="K2" s="17"/>
      <c r="L2" s="17" t="s">
        <v>66</v>
      </c>
      <c r="M2" s="17">
        <v>26.5</v>
      </c>
      <c r="N2" s="19">
        <f t="shared" ref="N2:N98" si="0">IF(E2="IN",M2,0)</f>
        <v>26.5</v>
      </c>
      <c r="O2" s="19">
        <f t="shared" ref="O2:O98" si="1">IF(E2="OUT",M2+H2,0)</f>
        <v>0</v>
      </c>
      <c r="P2" s="17" t="s">
        <v>45</v>
      </c>
      <c r="Q2" s="17" t="s">
        <v>966</v>
      </c>
      <c r="R2" s="17">
        <v>26.5</v>
      </c>
      <c r="S2" s="17" t="s">
        <v>45</v>
      </c>
      <c r="T2" s="17">
        <v>1</v>
      </c>
      <c r="U2" s="17" t="s">
        <v>967</v>
      </c>
      <c r="V2" s="17"/>
      <c r="W2" s="17" t="s">
        <v>42</v>
      </c>
      <c r="X2" s="17"/>
      <c r="Y2" s="17"/>
    </row>
    <row r="3" spans="1:28">
      <c r="A3" s="17">
        <v>2025</v>
      </c>
      <c r="B3" s="166" t="s">
        <v>37</v>
      </c>
      <c r="C3" s="17" t="s">
        <v>968</v>
      </c>
      <c r="D3" s="17" t="s">
        <v>965</v>
      </c>
      <c r="E3" s="17" t="s">
        <v>22</v>
      </c>
      <c r="F3" s="167">
        <v>45687.208333333336</v>
      </c>
      <c r="G3" s="167">
        <v>45687.208333333336</v>
      </c>
      <c r="H3" s="17">
        <v>0</v>
      </c>
      <c r="I3" s="17" t="s">
        <v>45</v>
      </c>
      <c r="J3" s="17"/>
      <c r="K3" s="17"/>
      <c r="L3" s="17" t="s">
        <v>66</v>
      </c>
      <c r="M3" s="17">
        <v>24.57</v>
      </c>
      <c r="N3" s="19">
        <f t="shared" si="0"/>
        <v>24.57</v>
      </c>
      <c r="O3" s="19">
        <f t="shared" si="1"/>
        <v>0</v>
      </c>
      <c r="P3" s="17" t="s">
        <v>45</v>
      </c>
      <c r="Q3" s="17" t="s">
        <v>966</v>
      </c>
      <c r="R3" s="17">
        <v>24.57</v>
      </c>
      <c r="S3" s="17" t="s">
        <v>45</v>
      </c>
      <c r="T3" s="17">
        <v>1</v>
      </c>
      <c r="U3" s="17" t="s">
        <v>967</v>
      </c>
      <c r="V3" s="17"/>
      <c r="W3" s="17" t="s">
        <v>42</v>
      </c>
      <c r="X3" s="17"/>
      <c r="Y3" s="17"/>
    </row>
    <row r="4" spans="1:28">
      <c r="A4" s="17">
        <v>2025</v>
      </c>
      <c r="B4" s="166" t="s">
        <v>37</v>
      </c>
      <c r="C4" s="17" t="s">
        <v>969</v>
      </c>
      <c r="D4" s="17" t="s">
        <v>965</v>
      </c>
      <c r="E4" s="17" t="s">
        <v>22</v>
      </c>
      <c r="F4" s="167">
        <v>45686.209027777775</v>
      </c>
      <c r="G4" s="167">
        <v>45686.209027777775</v>
      </c>
      <c r="H4" s="17">
        <v>0</v>
      </c>
      <c r="I4" s="17" t="s">
        <v>45</v>
      </c>
      <c r="J4" s="17"/>
      <c r="K4" s="17"/>
      <c r="L4" s="17" t="s">
        <v>66</v>
      </c>
      <c r="M4" s="17">
        <v>141.59</v>
      </c>
      <c r="N4" s="19">
        <f t="shared" si="0"/>
        <v>141.59</v>
      </c>
      <c r="O4" s="19">
        <f t="shared" si="1"/>
        <v>0</v>
      </c>
      <c r="P4" s="17" t="s">
        <v>45</v>
      </c>
      <c r="Q4" s="17" t="s">
        <v>966</v>
      </c>
      <c r="R4" s="17">
        <v>141.59</v>
      </c>
      <c r="S4" s="17" t="s">
        <v>45</v>
      </c>
      <c r="T4" s="17">
        <v>1</v>
      </c>
      <c r="U4" s="17" t="s">
        <v>967</v>
      </c>
      <c r="V4" s="17"/>
      <c r="W4" s="17" t="s">
        <v>42</v>
      </c>
      <c r="X4" s="17"/>
      <c r="Y4" s="17"/>
    </row>
    <row r="5" spans="1:28">
      <c r="A5" s="17">
        <v>2025</v>
      </c>
      <c r="B5" s="166" t="s">
        <v>37</v>
      </c>
      <c r="C5" s="17" t="s">
        <v>970</v>
      </c>
      <c r="D5" s="17" t="s">
        <v>965</v>
      </c>
      <c r="E5" s="17" t="s">
        <v>22</v>
      </c>
      <c r="F5" s="167">
        <v>45685.209027777775</v>
      </c>
      <c r="G5" s="167">
        <v>45685.209722222222</v>
      </c>
      <c r="H5" s="17">
        <v>0</v>
      </c>
      <c r="I5" s="17" t="s">
        <v>45</v>
      </c>
      <c r="J5" s="17"/>
      <c r="K5" s="17"/>
      <c r="L5" s="17" t="s">
        <v>66</v>
      </c>
      <c r="M5" s="17">
        <v>9.1</v>
      </c>
      <c r="N5" s="19">
        <f t="shared" si="0"/>
        <v>9.1</v>
      </c>
      <c r="O5" s="19">
        <f t="shared" si="1"/>
        <v>0</v>
      </c>
      <c r="P5" s="17" t="s">
        <v>45</v>
      </c>
      <c r="Q5" s="17" t="s">
        <v>966</v>
      </c>
      <c r="R5" s="17">
        <v>9.1</v>
      </c>
      <c r="S5" s="17" t="s">
        <v>45</v>
      </c>
      <c r="T5" s="17">
        <v>1</v>
      </c>
      <c r="U5" s="17" t="s">
        <v>967</v>
      </c>
      <c r="V5" s="17"/>
      <c r="W5" s="17" t="s">
        <v>42</v>
      </c>
      <c r="X5" s="17"/>
      <c r="Y5" s="17"/>
    </row>
    <row r="6" spans="1:28">
      <c r="A6" s="17">
        <v>2025</v>
      </c>
      <c r="B6" s="166" t="s">
        <v>37</v>
      </c>
      <c r="C6" s="17" t="s">
        <v>971</v>
      </c>
      <c r="D6" s="17" t="s">
        <v>965</v>
      </c>
      <c r="E6" s="17" t="s">
        <v>22</v>
      </c>
      <c r="F6" s="167">
        <v>45684.597916666666</v>
      </c>
      <c r="G6" s="167">
        <v>45684.598611111112</v>
      </c>
      <c r="H6" s="17">
        <v>0</v>
      </c>
      <c r="I6" s="17" t="s">
        <v>45</v>
      </c>
      <c r="J6" s="17"/>
      <c r="K6" s="17"/>
      <c r="L6" s="17" t="s">
        <v>66</v>
      </c>
      <c r="M6" s="17">
        <v>67.53</v>
      </c>
      <c r="N6" s="19">
        <f t="shared" si="0"/>
        <v>67.53</v>
      </c>
      <c r="O6" s="19">
        <f t="shared" si="1"/>
        <v>0</v>
      </c>
      <c r="P6" s="17" t="s">
        <v>45</v>
      </c>
      <c r="Q6" s="17" t="s">
        <v>966</v>
      </c>
      <c r="R6" s="17">
        <v>67.53</v>
      </c>
      <c r="S6" s="17" t="s">
        <v>45</v>
      </c>
      <c r="T6" s="17">
        <v>1</v>
      </c>
      <c r="U6" s="17" t="s">
        <v>967</v>
      </c>
      <c r="V6" s="17"/>
      <c r="W6" s="17" t="s">
        <v>42</v>
      </c>
      <c r="X6" s="17"/>
      <c r="Y6" s="17"/>
    </row>
    <row r="7" spans="1:28">
      <c r="A7" s="17">
        <v>2025</v>
      </c>
      <c r="B7" s="166" t="s">
        <v>37</v>
      </c>
      <c r="C7" s="17" t="s">
        <v>972</v>
      </c>
      <c r="D7" s="17" t="s">
        <v>965</v>
      </c>
      <c r="E7" s="17" t="s">
        <v>22</v>
      </c>
      <c r="F7" s="167">
        <v>45681.209722222222</v>
      </c>
      <c r="G7" s="167">
        <v>45681.209722222222</v>
      </c>
      <c r="H7" s="17">
        <v>0</v>
      </c>
      <c r="I7" s="17" t="s">
        <v>45</v>
      </c>
      <c r="J7" s="17"/>
      <c r="K7" s="17"/>
      <c r="L7" s="17" t="s">
        <v>66</v>
      </c>
      <c r="M7" s="17">
        <v>52.59</v>
      </c>
      <c r="N7" s="19">
        <f t="shared" si="0"/>
        <v>52.59</v>
      </c>
      <c r="O7" s="19">
        <f t="shared" si="1"/>
        <v>0</v>
      </c>
      <c r="P7" s="17" t="s">
        <v>45</v>
      </c>
      <c r="Q7" s="17" t="s">
        <v>966</v>
      </c>
      <c r="R7" s="17">
        <v>52.59</v>
      </c>
      <c r="S7" s="17" t="s">
        <v>45</v>
      </c>
      <c r="T7" s="17">
        <v>1</v>
      </c>
      <c r="U7" s="17" t="s">
        <v>967</v>
      </c>
      <c r="V7" s="17"/>
      <c r="W7" s="17" t="s">
        <v>42</v>
      </c>
      <c r="X7" s="17"/>
      <c r="Y7" s="17"/>
    </row>
    <row r="8" spans="1:28">
      <c r="A8" s="17">
        <v>2025</v>
      </c>
      <c r="B8" s="166" t="s">
        <v>37</v>
      </c>
      <c r="C8" s="17" t="s">
        <v>973</v>
      </c>
      <c r="D8" s="17" t="s">
        <v>965</v>
      </c>
      <c r="E8" s="17" t="s">
        <v>22</v>
      </c>
      <c r="F8" s="167">
        <v>45680.209027777775</v>
      </c>
      <c r="G8" s="167">
        <v>45680.209027777775</v>
      </c>
      <c r="H8" s="17">
        <v>0</v>
      </c>
      <c r="I8" s="17" t="s">
        <v>45</v>
      </c>
      <c r="J8" s="17"/>
      <c r="K8" s="17"/>
      <c r="L8" s="17" t="s">
        <v>66</v>
      </c>
      <c r="M8" s="17">
        <v>249.19</v>
      </c>
      <c r="N8" s="19">
        <f t="shared" si="0"/>
        <v>249.19</v>
      </c>
      <c r="O8" s="19">
        <f t="shared" si="1"/>
        <v>0</v>
      </c>
      <c r="P8" s="17" t="s">
        <v>45</v>
      </c>
      <c r="Q8" s="17" t="s">
        <v>966</v>
      </c>
      <c r="R8" s="17">
        <v>249.19</v>
      </c>
      <c r="S8" s="17" t="s">
        <v>45</v>
      </c>
      <c r="T8" s="17">
        <v>1</v>
      </c>
      <c r="U8" s="17" t="s">
        <v>967</v>
      </c>
      <c r="V8" s="17"/>
      <c r="W8" s="17" t="s">
        <v>42</v>
      </c>
      <c r="X8" s="17"/>
      <c r="Y8" s="17"/>
    </row>
    <row r="9" spans="1:28">
      <c r="A9" s="17">
        <v>2025</v>
      </c>
      <c r="B9" s="166" t="s">
        <v>37</v>
      </c>
      <c r="C9" s="17" t="s">
        <v>974</v>
      </c>
      <c r="D9" s="17" t="s">
        <v>965</v>
      </c>
      <c r="E9" s="17" t="s">
        <v>22</v>
      </c>
      <c r="F9" s="167">
        <v>45679.209027777775</v>
      </c>
      <c r="G9" s="167">
        <v>45679.209027777775</v>
      </c>
      <c r="H9" s="17">
        <v>0</v>
      </c>
      <c r="I9" s="17" t="s">
        <v>45</v>
      </c>
      <c r="J9" s="17"/>
      <c r="K9" s="17"/>
      <c r="L9" s="17" t="s">
        <v>66</v>
      </c>
      <c r="M9" s="17">
        <v>106.01</v>
      </c>
      <c r="N9" s="19">
        <f t="shared" si="0"/>
        <v>106.01</v>
      </c>
      <c r="O9" s="19">
        <f t="shared" si="1"/>
        <v>0</v>
      </c>
      <c r="P9" s="17" t="s">
        <v>45</v>
      </c>
      <c r="Q9" s="17" t="s">
        <v>966</v>
      </c>
      <c r="R9" s="17">
        <v>106.01</v>
      </c>
      <c r="S9" s="17" t="s">
        <v>45</v>
      </c>
      <c r="T9" s="17">
        <v>1</v>
      </c>
      <c r="U9" s="17" t="s">
        <v>967</v>
      </c>
      <c r="V9" s="17"/>
      <c r="W9" s="17" t="s">
        <v>42</v>
      </c>
      <c r="X9" s="17"/>
      <c r="Y9" s="17"/>
    </row>
    <row r="10" spans="1:28">
      <c r="A10" s="17">
        <v>2025</v>
      </c>
      <c r="B10" s="166" t="s">
        <v>37</v>
      </c>
      <c r="C10" s="17" t="s">
        <v>975</v>
      </c>
      <c r="D10" s="17" t="s">
        <v>965</v>
      </c>
      <c r="E10" s="17" t="s">
        <v>22</v>
      </c>
      <c r="F10" s="167">
        <v>45678.599305555559</v>
      </c>
      <c r="G10" s="167">
        <v>45678.599305555559</v>
      </c>
      <c r="H10" s="17">
        <v>0</v>
      </c>
      <c r="I10" s="17" t="s">
        <v>45</v>
      </c>
      <c r="J10" s="17"/>
      <c r="K10" s="17"/>
      <c r="L10" s="17" t="s">
        <v>66</v>
      </c>
      <c r="M10" s="17">
        <v>114.36</v>
      </c>
      <c r="N10" s="19">
        <f t="shared" si="0"/>
        <v>114.36</v>
      </c>
      <c r="O10" s="19">
        <f t="shared" si="1"/>
        <v>0</v>
      </c>
      <c r="P10" s="17" t="s">
        <v>45</v>
      </c>
      <c r="Q10" s="17" t="s">
        <v>966</v>
      </c>
      <c r="R10" s="17">
        <v>114.36</v>
      </c>
      <c r="S10" s="17" t="s">
        <v>45</v>
      </c>
      <c r="T10" s="17">
        <v>1</v>
      </c>
      <c r="U10" s="17" t="s">
        <v>967</v>
      </c>
      <c r="V10" s="17"/>
      <c r="W10" s="17" t="s">
        <v>42</v>
      </c>
      <c r="X10" s="17"/>
      <c r="Y10" s="17"/>
    </row>
    <row r="11" spans="1:28">
      <c r="A11" s="17">
        <v>2025</v>
      </c>
      <c r="B11" s="166" t="s">
        <v>37</v>
      </c>
      <c r="C11" s="17" t="s">
        <v>976</v>
      </c>
      <c r="D11" s="17" t="s">
        <v>965</v>
      </c>
      <c r="E11" s="17" t="s">
        <v>22</v>
      </c>
      <c r="F11" s="167">
        <v>45674.209027777775</v>
      </c>
      <c r="G11" s="167">
        <v>45674.209027777775</v>
      </c>
      <c r="H11" s="17">
        <v>0</v>
      </c>
      <c r="I11" s="17" t="s">
        <v>45</v>
      </c>
      <c r="J11" s="17"/>
      <c r="K11" s="17"/>
      <c r="L11" s="17" t="s">
        <v>66</v>
      </c>
      <c r="M11" s="17">
        <v>57.6</v>
      </c>
      <c r="N11" s="19">
        <f t="shared" si="0"/>
        <v>57.6</v>
      </c>
      <c r="O11" s="19">
        <f t="shared" si="1"/>
        <v>0</v>
      </c>
      <c r="P11" s="17" t="s">
        <v>45</v>
      </c>
      <c r="Q11" s="17" t="s">
        <v>966</v>
      </c>
      <c r="R11" s="17">
        <v>57.6</v>
      </c>
      <c r="S11" s="17" t="s">
        <v>45</v>
      </c>
      <c r="T11" s="17">
        <v>1</v>
      </c>
      <c r="U11" s="17" t="s">
        <v>967</v>
      </c>
      <c r="V11" s="17"/>
      <c r="W11" s="17" t="s">
        <v>42</v>
      </c>
      <c r="X11" s="17"/>
      <c r="Y11" s="17"/>
    </row>
    <row r="12" spans="1:28">
      <c r="A12" s="17">
        <v>2025</v>
      </c>
      <c r="B12" s="166" t="s">
        <v>37</v>
      </c>
      <c r="C12" s="17" t="s">
        <v>977</v>
      </c>
      <c r="D12" s="17" t="s">
        <v>965</v>
      </c>
      <c r="E12" s="17" t="s">
        <v>22</v>
      </c>
      <c r="F12" s="167">
        <v>45673.209027777775</v>
      </c>
      <c r="G12" s="167">
        <v>45673.209722222222</v>
      </c>
      <c r="H12" s="17">
        <v>0</v>
      </c>
      <c r="I12" s="17" t="s">
        <v>45</v>
      </c>
      <c r="J12" s="17"/>
      <c r="K12" s="17"/>
      <c r="L12" s="17" t="s">
        <v>66</v>
      </c>
      <c r="M12" s="17">
        <v>1.64</v>
      </c>
      <c r="N12" s="19">
        <f t="shared" si="0"/>
        <v>1.64</v>
      </c>
      <c r="O12" s="19">
        <f t="shared" si="1"/>
        <v>0</v>
      </c>
      <c r="P12" s="17" t="s">
        <v>45</v>
      </c>
      <c r="Q12" s="17" t="s">
        <v>966</v>
      </c>
      <c r="R12" s="17">
        <v>1.64</v>
      </c>
      <c r="S12" s="17" t="s">
        <v>45</v>
      </c>
      <c r="T12" s="17">
        <v>1</v>
      </c>
      <c r="U12" s="17" t="s">
        <v>967</v>
      </c>
      <c r="V12" s="17"/>
      <c r="W12" s="17" t="s">
        <v>42</v>
      </c>
      <c r="X12" s="17"/>
      <c r="Y12" s="17"/>
    </row>
    <row r="13" spans="1:28">
      <c r="A13" s="17">
        <v>2025</v>
      </c>
      <c r="B13" s="166" t="s">
        <v>37</v>
      </c>
      <c r="C13" s="17" t="s">
        <v>978</v>
      </c>
      <c r="D13" s="17" t="s">
        <v>965</v>
      </c>
      <c r="E13" s="17" t="s">
        <v>22</v>
      </c>
      <c r="F13" s="167">
        <v>45672.209722222222</v>
      </c>
      <c r="G13" s="167">
        <v>45672.209722222222</v>
      </c>
      <c r="H13" s="17">
        <v>0</v>
      </c>
      <c r="I13" s="17" t="s">
        <v>45</v>
      </c>
      <c r="J13" s="17"/>
      <c r="K13" s="17"/>
      <c r="L13" s="17" t="s">
        <v>66</v>
      </c>
      <c r="M13" s="17">
        <v>152.08000000000001</v>
      </c>
      <c r="N13" s="19">
        <f t="shared" si="0"/>
        <v>152.08000000000001</v>
      </c>
      <c r="O13" s="19">
        <f t="shared" si="1"/>
        <v>0</v>
      </c>
      <c r="P13" s="17" t="s">
        <v>45</v>
      </c>
      <c r="Q13" s="17" t="s">
        <v>966</v>
      </c>
      <c r="R13" s="17">
        <v>152.08000000000001</v>
      </c>
      <c r="S13" s="17" t="s">
        <v>45</v>
      </c>
      <c r="T13" s="17">
        <v>1</v>
      </c>
      <c r="U13" s="17" t="s">
        <v>967</v>
      </c>
      <c r="V13" s="17"/>
      <c r="W13" s="17" t="s">
        <v>42</v>
      </c>
      <c r="X13" s="17"/>
      <c r="Y13" s="17"/>
    </row>
    <row r="14" spans="1:28">
      <c r="A14" s="17">
        <v>2025</v>
      </c>
      <c r="B14" s="166" t="s">
        <v>37</v>
      </c>
      <c r="C14" s="17" t="s">
        <v>979</v>
      </c>
      <c r="D14" s="17" t="s">
        <v>965</v>
      </c>
      <c r="E14" s="17" t="s">
        <v>22</v>
      </c>
      <c r="F14" s="167">
        <v>45671.208333333336</v>
      </c>
      <c r="G14" s="167">
        <v>45671.209027777775</v>
      </c>
      <c r="H14" s="17">
        <v>0</v>
      </c>
      <c r="I14" s="17" t="s">
        <v>45</v>
      </c>
      <c r="J14" s="17"/>
      <c r="K14" s="17"/>
      <c r="L14" s="17" t="s">
        <v>66</v>
      </c>
      <c r="M14" s="17">
        <v>86.7</v>
      </c>
      <c r="N14" s="19">
        <f t="shared" si="0"/>
        <v>86.7</v>
      </c>
      <c r="O14" s="19">
        <f t="shared" si="1"/>
        <v>0</v>
      </c>
      <c r="P14" s="17" t="s">
        <v>45</v>
      </c>
      <c r="Q14" s="17" t="s">
        <v>966</v>
      </c>
      <c r="R14" s="17">
        <v>86.7</v>
      </c>
      <c r="S14" s="17" t="s">
        <v>45</v>
      </c>
      <c r="T14" s="17">
        <v>1</v>
      </c>
      <c r="U14" s="17" t="s">
        <v>967</v>
      </c>
      <c r="V14" s="17"/>
      <c r="W14" s="17" t="s">
        <v>42</v>
      </c>
      <c r="X14" s="17"/>
      <c r="Y14" s="17"/>
    </row>
    <row r="15" spans="1:28">
      <c r="A15" s="17">
        <v>2025</v>
      </c>
      <c r="B15" s="166" t="s">
        <v>37</v>
      </c>
      <c r="C15" s="17" t="s">
        <v>980</v>
      </c>
      <c r="D15" s="17" t="s">
        <v>965</v>
      </c>
      <c r="E15" s="17" t="s">
        <v>22</v>
      </c>
      <c r="F15" s="167">
        <v>45670.600694444445</v>
      </c>
      <c r="G15" s="167">
        <v>45670.600694444445</v>
      </c>
      <c r="H15" s="17">
        <v>0</v>
      </c>
      <c r="I15" s="17" t="s">
        <v>45</v>
      </c>
      <c r="J15" s="17"/>
      <c r="K15" s="17"/>
      <c r="L15" s="17" t="s">
        <v>66</v>
      </c>
      <c r="M15" s="17">
        <v>0.76</v>
      </c>
      <c r="N15" s="19">
        <f t="shared" si="0"/>
        <v>0.76</v>
      </c>
      <c r="O15" s="19">
        <f t="shared" si="1"/>
        <v>0</v>
      </c>
      <c r="P15" s="17" t="s">
        <v>45</v>
      </c>
      <c r="Q15" s="17" t="s">
        <v>966</v>
      </c>
      <c r="R15" s="17">
        <v>0.76</v>
      </c>
      <c r="S15" s="17" t="s">
        <v>45</v>
      </c>
      <c r="T15" s="17">
        <v>1</v>
      </c>
      <c r="U15" s="17" t="s">
        <v>967</v>
      </c>
      <c r="V15" s="17"/>
      <c r="W15" s="17" t="s">
        <v>42</v>
      </c>
      <c r="X15" s="17"/>
      <c r="Y15" s="17"/>
    </row>
    <row r="16" spans="1:28">
      <c r="A16" s="17">
        <v>2025</v>
      </c>
      <c r="B16" s="166" t="s">
        <v>37</v>
      </c>
      <c r="C16" s="17" t="s">
        <v>981</v>
      </c>
      <c r="D16" s="17" t="s">
        <v>965</v>
      </c>
      <c r="E16" s="17" t="s">
        <v>23</v>
      </c>
      <c r="F16" s="167">
        <v>45669.240972222222</v>
      </c>
      <c r="G16" s="167">
        <v>45669.241666666669</v>
      </c>
      <c r="H16" s="17">
        <v>0</v>
      </c>
      <c r="I16" s="17" t="s">
        <v>45</v>
      </c>
      <c r="J16" s="17"/>
      <c r="K16" s="17"/>
      <c r="L16" s="17" t="s">
        <v>966</v>
      </c>
      <c r="M16" s="17">
        <v>204.56</v>
      </c>
      <c r="N16" s="19">
        <f t="shared" si="0"/>
        <v>0</v>
      </c>
      <c r="O16" s="19">
        <f t="shared" si="1"/>
        <v>204.56</v>
      </c>
      <c r="P16" s="17" t="s">
        <v>45</v>
      </c>
      <c r="Q16" s="17" t="s">
        <v>982</v>
      </c>
      <c r="R16" s="17">
        <v>204.56</v>
      </c>
      <c r="S16" s="17" t="s">
        <v>45</v>
      </c>
      <c r="T16" s="17">
        <v>1</v>
      </c>
      <c r="U16" s="17" t="s">
        <v>86</v>
      </c>
      <c r="V16" s="17"/>
      <c r="W16" s="17" t="s">
        <v>42</v>
      </c>
      <c r="X16" s="17"/>
      <c r="Y16" s="17"/>
    </row>
    <row r="17" spans="1:25">
      <c r="A17" s="17">
        <v>2025</v>
      </c>
      <c r="B17" s="166" t="s">
        <v>37</v>
      </c>
      <c r="C17" s="17" t="s">
        <v>983</v>
      </c>
      <c r="D17" s="17" t="s">
        <v>965</v>
      </c>
      <c r="E17" s="17" t="s">
        <v>22</v>
      </c>
      <c r="F17" s="167">
        <v>45667.209027777775</v>
      </c>
      <c r="G17" s="167">
        <v>45667.209027777775</v>
      </c>
      <c r="H17" s="17">
        <v>0</v>
      </c>
      <c r="I17" s="17" t="s">
        <v>45</v>
      </c>
      <c r="J17" s="17"/>
      <c r="K17" s="17"/>
      <c r="L17" s="17" t="s">
        <v>66</v>
      </c>
      <c r="M17" s="17">
        <v>62.43</v>
      </c>
      <c r="N17" s="19">
        <f t="shared" si="0"/>
        <v>62.43</v>
      </c>
      <c r="O17" s="19">
        <f t="shared" si="1"/>
        <v>0</v>
      </c>
      <c r="P17" s="17" t="s">
        <v>45</v>
      </c>
      <c r="Q17" s="17" t="s">
        <v>966</v>
      </c>
      <c r="R17" s="17">
        <v>62.43</v>
      </c>
      <c r="S17" s="17" t="s">
        <v>45</v>
      </c>
      <c r="T17" s="17">
        <v>1</v>
      </c>
      <c r="U17" s="17" t="s">
        <v>967</v>
      </c>
      <c r="V17" s="17"/>
      <c r="W17" s="17" t="s">
        <v>42</v>
      </c>
      <c r="X17" s="17"/>
      <c r="Y17" s="17"/>
    </row>
    <row r="18" spans="1:25">
      <c r="A18" s="17">
        <v>2025</v>
      </c>
      <c r="B18" s="166" t="s">
        <v>37</v>
      </c>
      <c r="C18" s="17" t="s">
        <v>984</v>
      </c>
      <c r="D18" s="17" t="s">
        <v>965</v>
      </c>
      <c r="E18" s="17" t="s">
        <v>22</v>
      </c>
      <c r="F18" s="167">
        <v>45666.208333333336</v>
      </c>
      <c r="G18" s="167">
        <v>45666.208333333336</v>
      </c>
      <c r="H18" s="17">
        <v>0</v>
      </c>
      <c r="I18" s="17" t="s">
        <v>45</v>
      </c>
      <c r="J18" s="17"/>
      <c r="K18" s="17"/>
      <c r="L18" s="17" t="s">
        <v>66</v>
      </c>
      <c r="M18" s="17">
        <v>32.33</v>
      </c>
      <c r="N18" s="19">
        <f t="shared" si="0"/>
        <v>32.33</v>
      </c>
      <c r="O18" s="19">
        <f t="shared" si="1"/>
        <v>0</v>
      </c>
      <c r="P18" s="17" t="s">
        <v>45</v>
      </c>
      <c r="Q18" s="17" t="s">
        <v>966</v>
      </c>
      <c r="R18" s="17">
        <v>32.33</v>
      </c>
      <c r="S18" s="17" t="s">
        <v>45</v>
      </c>
      <c r="T18" s="17">
        <v>1</v>
      </c>
      <c r="U18" s="17" t="s">
        <v>967</v>
      </c>
      <c r="V18" s="17"/>
      <c r="W18" s="17" t="s">
        <v>42</v>
      </c>
      <c r="X18" s="17"/>
      <c r="Y18" s="17"/>
    </row>
    <row r="19" spans="1:25">
      <c r="A19" s="17">
        <v>2025</v>
      </c>
      <c r="B19" s="166" t="s">
        <v>37</v>
      </c>
      <c r="C19" s="17" t="s">
        <v>985</v>
      </c>
      <c r="D19" s="17" t="s">
        <v>965</v>
      </c>
      <c r="E19" s="17" t="s">
        <v>22</v>
      </c>
      <c r="F19" s="167">
        <v>45665.208333333336</v>
      </c>
      <c r="G19" s="167">
        <v>45665.208333333336</v>
      </c>
      <c r="H19" s="17">
        <v>0</v>
      </c>
      <c r="I19" s="17" t="s">
        <v>45</v>
      </c>
      <c r="J19" s="17"/>
      <c r="K19" s="17"/>
      <c r="L19" s="17" t="s">
        <v>66</v>
      </c>
      <c r="M19" s="17">
        <v>350.26</v>
      </c>
      <c r="N19" s="19">
        <f t="shared" si="0"/>
        <v>350.26</v>
      </c>
      <c r="O19" s="19">
        <f t="shared" si="1"/>
        <v>0</v>
      </c>
      <c r="P19" s="17" t="s">
        <v>45</v>
      </c>
      <c r="Q19" s="17" t="s">
        <v>966</v>
      </c>
      <c r="R19" s="17">
        <v>350.26</v>
      </c>
      <c r="S19" s="17" t="s">
        <v>45</v>
      </c>
      <c r="T19" s="17">
        <v>1</v>
      </c>
      <c r="U19" s="17" t="s">
        <v>967</v>
      </c>
      <c r="V19" s="17"/>
      <c r="W19" s="17" t="s">
        <v>42</v>
      </c>
      <c r="X19" s="17"/>
      <c r="Y19" s="17"/>
    </row>
    <row r="20" spans="1:25">
      <c r="A20" s="17">
        <v>2025</v>
      </c>
      <c r="B20" s="166" t="s">
        <v>37</v>
      </c>
      <c r="C20" s="17" t="s">
        <v>986</v>
      </c>
      <c r="D20" s="17" t="s">
        <v>965</v>
      </c>
      <c r="E20" s="17" t="s">
        <v>22</v>
      </c>
      <c r="F20" s="167">
        <v>45664.209027777775</v>
      </c>
      <c r="G20" s="167">
        <v>45664.209722222222</v>
      </c>
      <c r="H20" s="17">
        <v>0</v>
      </c>
      <c r="I20" s="17" t="s">
        <v>45</v>
      </c>
      <c r="J20" s="17"/>
      <c r="K20" s="17"/>
      <c r="L20" s="17" t="s">
        <v>66</v>
      </c>
      <c r="M20" s="17">
        <v>79.45</v>
      </c>
      <c r="N20" s="19">
        <f t="shared" si="0"/>
        <v>79.45</v>
      </c>
      <c r="O20" s="19">
        <f t="shared" si="1"/>
        <v>0</v>
      </c>
      <c r="P20" s="17" t="s">
        <v>45</v>
      </c>
      <c r="Q20" s="17" t="s">
        <v>966</v>
      </c>
      <c r="R20" s="17">
        <v>79.45</v>
      </c>
      <c r="S20" s="17" t="s">
        <v>45</v>
      </c>
      <c r="T20" s="17">
        <v>1</v>
      </c>
      <c r="U20" s="17" t="s">
        <v>967</v>
      </c>
      <c r="V20" s="17"/>
      <c r="W20" s="17" t="s">
        <v>42</v>
      </c>
      <c r="X20" s="17"/>
      <c r="Y20" s="17"/>
    </row>
    <row r="21" spans="1:25">
      <c r="A21" s="17">
        <v>2025</v>
      </c>
      <c r="B21" s="166" t="s">
        <v>37</v>
      </c>
      <c r="C21" s="17" t="s">
        <v>987</v>
      </c>
      <c r="D21" s="17" t="s">
        <v>965</v>
      </c>
      <c r="E21" s="17" t="s">
        <v>22</v>
      </c>
      <c r="F21" s="167">
        <v>45663.600694444445</v>
      </c>
      <c r="G21" s="167">
        <v>45663.600694444445</v>
      </c>
      <c r="H21" s="17">
        <v>0</v>
      </c>
      <c r="I21" s="17" t="s">
        <v>45</v>
      </c>
      <c r="J21" s="17"/>
      <c r="K21" s="17"/>
      <c r="L21" s="17" t="s">
        <v>988</v>
      </c>
      <c r="M21" s="17">
        <v>500</v>
      </c>
      <c r="N21" s="19">
        <f t="shared" si="0"/>
        <v>500</v>
      </c>
      <c r="O21" s="19">
        <f t="shared" si="1"/>
        <v>0</v>
      </c>
      <c r="P21" s="17" t="s">
        <v>45</v>
      </c>
      <c r="Q21" s="17" t="s">
        <v>966</v>
      </c>
      <c r="R21" s="17">
        <v>500</v>
      </c>
      <c r="S21" s="17" t="s">
        <v>45</v>
      </c>
      <c r="T21" s="17">
        <v>1</v>
      </c>
      <c r="U21" s="17" t="s">
        <v>967</v>
      </c>
      <c r="V21" s="17"/>
      <c r="W21" s="17" t="s">
        <v>42</v>
      </c>
      <c r="X21" s="17"/>
      <c r="Y21" s="17"/>
    </row>
    <row r="22" spans="1:25">
      <c r="A22" s="17">
        <v>2025</v>
      </c>
      <c r="B22" s="166" t="s">
        <v>37</v>
      </c>
      <c r="C22" s="17" t="s">
        <v>989</v>
      </c>
      <c r="D22" s="17" t="s">
        <v>965</v>
      </c>
      <c r="E22" s="17" t="s">
        <v>22</v>
      </c>
      <c r="F22" s="167">
        <v>45663.600694444445</v>
      </c>
      <c r="G22" s="167">
        <v>45663.600694444445</v>
      </c>
      <c r="H22" s="17">
        <v>0</v>
      </c>
      <c r="I22" s="17" t="s">
        <v>45</v>
      </c>
      <c r="J22" s="17"/>
      <c r="K22" s="17"/>
      <c r="L22" s="17" t="s">
        <v>66</v>
      </c>
      <c r="M22" s="17">
        <v>119.04</v>
      </c>
      <c r="N22" s="19">
        <f t="shared" si="0"/>
        <v>119.04</v>
      </c>
      <c r="O22" s="19">
        <f t="shared" si="1"/>
        <v>0</v>
      </c>
      <c r="P22" s="17" t="s">
        <v>45</v>
      </c>
      <c r="Q22" s="17" t="s">
        <v>966</v>
      </c>
      <c r="R22" s="17">
        <v>119.04</v>
      </c>
      <c r="S22" s="17" t="s">
        <v>45</v>
      </c>
      <c r="T22" s="17">
        <v>1</v>
      </c>
      <c r="U22" s="17" t="s">
        <v>967</v>
      </c>
      <c r="V22" s="17"/>
      <c r="W22" s="17" t="s">
        <v>42</v>
      </c>
      <c r="X22" s="17"/>
      <c r="Y22" s="17"/>
    </row>
    <row r="23" spans="1:25">
      <c r="A23" s="17">
        <v>2025</v>
      </c>
      <c r="B23" s="166" t="s">
        <v>37</v>
      </c>
      <c r="C23" s="17" t="s">
        <v>990</v>
      </c>
      <c r="D23" s="17" t="s">
        <v>965</v>
      </c>
      <c r="E23" s="17" t="s">
        <v>23</v>
      </c>
      <c r="F23" s="167">
        <v>45663.255555555559</v>
      </c>
      <c r="G23" s="167">
        <v>45663.255555555559</v>
      </c>
      <c r="H23" s="17">
        <v>0</v>
      </c>
      <c r="I23" s="17" t="s">
        <v>45</v>
      </c>
      <c r="J23" s="17"/>
      <c r="K23" s="17"/>
      <c r="L23" s="17" t="s">
        <v>966</v>
      </c>
      <c r="M23" s="17">
        <v>400</v>
      </c>
      <c r="N23" s="19">
        <f t="shared" si="0"/>
        <v>0</v>
      </c>
      <c r="O23" s="19">
        <f t="shared" si="1"/>
        <v>400</v>
      </c>
      <c r="P23" s="17" t="s">
        <v>45</v>
      </c>
      <c r="Q23" s="17" t="s">
        <v>991</v>
      </c>
      <c r="R23" s="17">
        <v>400</v>
      </c>
      <c r="S23" s="17" t="s">
        <v>45</v>
      </c>
      <c r="T23" s="17">
        <v>1</v>
      </c>
      <c r="U23" s="17">
        <v>579221</v>
      </c>
      <c r="V23" s="17"/>
      <c r="W23" s="17" t="s">
        <v>42</v>
      </c>
      <c r="X23" s="17"/>
      <c r="Y23" s="17"/>
    </row>
    <row r="24" spans="1:25">
      <c r="A24" s="17">
        <v>2025</v>
      </c>
      <c r="B24" s="166" t="s">
        <v>37</v>
      </c>
      <c r="C24" s="17" t="s">
        <v>992</v>
      </c>
      <c r="D24" s="17" t="s">
        <v>965</v>
      </c>
      <c r="E24" s="17" t="s">
        <v>22</v>
      </c>
      <c r="F24" s="167">
        <v>45660.208333333336</v>
      </c>
      <c r="G24" s="167">
        <v>45660.209027777775</v>
      </c>
      <c r="H24" s="17">
        <v>0</v>
      </c>
      <c r="I24" s="17" t="s">
        <v>45</v>
      </c>
      <c r="J24" s="17"/>
      <c r="K24" s="17"/>
      <c r="L24" s="17" t="s">
        <v>66</v>
      </c>
      <c r="M24" s="17">
        <v>150.43</v>
      </c>
      <c r="N24" s="19">
        <f t="shared" si="0"/>
        <v>150.43</v>
      </c>
      <c r="O24" s="19">
        <f t="shared" si="1"/>
        <v>0</v>
      </c>
      <c r="P24" s="17" t="s">
        <v>45</v>
      </c>
      <c r="Q24" s="17" t="s">
        <v>966</v>
      </c>
      <c r="R24" s="17">
        <v>150.43</v>
      </c>
      <c r="S24" s="17" t="s">
        <v>45</v>
      </c>
      <c r="T24" s="17">
        <v>1</v>
      </c>
      <c r="U24" s="17" t="s">
        <v>967</v>
      </c>
      <c r="V24" s="17"/>
      <c r="W24" s="17" t="s">
        <v>42</v>
      </c>
      <c r="X24" s="17"/>
      <c r="Y24" s="17"/>
    </row>
    <row r="25" spans="1:25">
      <c r="A25" s="17">
        <v>2025</v>
      </c>
      <c r="B25" s="166" t="s">
        <v>37</v>
      </c>
      <c r="C25" s="17" t="s">
        <v>993</v>
      </c>
      <c r="D25" s="17" t="s">
        <v>965</v>
      </c>
      <c r="E25" s="17" t="s">
        <v>23</v>
      </c>
      <c r="F25" s="167">
        <v>45659.142361111109</v>
      </c>
      <c r="G25" s="167">
        <v>45659.60833333333</v>
      </c>
      <c r="H25" s="17">
        <v>1.1299999999999999</v>
      </c>
      <c r="I25" s="17" t="s">
        <v>45</v>
      </c>
      <c r="J25" s="17"/>
      <c r="K25" s="17"/>
      <c r="L25" s="17" t="s">
        <v>966</v>
      </c>
      <c r="M25" s="17">
        <v>1395.08</v>
      </c>
      <c r="N25" s="19">
        <f t="shared" si="0"/>
        <v>0</v>
      </c>
      <c r="O25" s="19">
        <f t="shared" si="1"/>
        <v>1396.21</v>
      </c>
      <c r="P25" s="17" t="s">
        <v>45</v>
      </c>
      <c r="Q25" s="17" t="s">
        <v>58</v>
      </c>
      <c r="R25" s="17">
        <v>1395.08</v>
      </c>
      <c r="S25" s="17" t="s">
        <v>45</v>
      </c>
      <c r="T25" s="17">
        <v>1</v>
      </c>
      <c r="U25" s="17" t="s">
        <v>994</v>
      </c>
      <c r="V25" s="17"/>
      <c r="W25" s="17" t="s">
        <v>42</v>
      </c>
      <c r="X25" s="17"/>
      <c r="Y25" s="17"/>
    </row>
    <row r="26" spans="1:25">
      <c r="A26" s="17">
        <v>2025</v>
      </c>
      <c r="B26" s="166" t="s">
        <v>37</v>
      </c>
      <c r="C26" s="17" t="s">
        <v>995</v>
      </c>
      <c r="D26" s="17" t="s">
        <v>965</v>
      </c>
      <c r="E26" s="17" t="s">
        <v>22</v>
      </c>
      <c r="F26" s="167">
        <v>45659.597222222219</v>
      </c>
      <c r="G26" s="167">
        <v>45659.597916666666</v>
      </c>
      <c r="H26" s="17">
        <v>0</v>
      </c>
      <c r="I26" s="17" t="s">
        <v>45</v>
      </c>
      <c r="J26" s="17"/>
      <c r="K26" s="17"/>
      <c r="L26" s="17" t="s">
        <v>66</v>
      </c>
      <c r="M26" s="17">
        <v>608.30999999999995</v>
      </c>
      <c r="N26" s="19">
        <f t="shared" si="0"/>
        <v>608.30999999999995</v>
      </c>
      <c r="O26" s="19">
        <f t="shared" si="1"/>
        <v>0</v>
      </c>
      <c r="P26" s="17" t="s">
        <v>45</v>
      </c>
      <c r="Q26" s="17" t="s">
        <v>966</v>
      </c>
      <c r="R26" s="17">
        <v>608.30999999999995</v>
      </c>
      <c r="S26" s="17" t="s">
        <v>45</v>
      </c>
      <c r="T26" s="17">
        <v>1</v>
      </c>
      <c r="U26" s="17" t="s">
        <v>967</v>
      </c>
      <c r="V26" s="17"/>
      <c r="W26" s="17" t="s">
        <v>42</v>
      </c>
      <c r="X26" s="17"/>
      <c r="Y26" s="17"/>
    </row>
    <row r="27" spans="1:25">
      <c r="A27" s="17">
        <v>2025</v>
      </c>
      <c r="B27" s="166" t="s">
        <v>65</v>
      </c>
      <c r="C27" s="23" t="s">
        <v>996</v>
      </c>
      <c r="D27" s="23" t="s">
        <v>965</v>
      </c>
      <c r="E27" s="23" t="s">
        <v>23</v>
      </c>
      <c r="F27" s="168">
        <v>45714.324305555558</v>
      </c>
      <c r="G27" s="168">
        <v>45714.60833333333</v>
      </c>
      <c r="H27" s="24">
        <v>1.1299999999999999</v>
      </c>
      <c r="I27" s="23" t="s">
        <v>45</v>
      </c>
      <c r="J27" s="23"/>
      <c r="K27" s="23"/>
      <c r="L27" s="23" t="s">
        <v>966</v>
      </c>
      <c r="M27" s="24">
        <v>1782.62</v>
      </c>
      <c r="N27" s="19">
        <f t="shared" si="0"/>
        <v>0</v>
      </c>
      <c r="O27" s="19">
        <f t="shared" si="1"/>
        <v>1783.75</v>
      </c>
      <c r="P27" s="23" t="s">
        <v>45</v>
      </c>
      <c r="Q27" s="23" t="s">
        <v>966</v>
      </c>
      <c r="R27" s="24">
        <v>1782.62</v>
      </c>
      <c r="S27" s="23" t="s">
        <v>45</v>
      </c>
      <c r="T27" s="24">
        <v>1</v>
      </c>
      <c r="U27" s="23"/>
      <c r="V27" s="23"/>
      <c r="W27" s="23" t="s">
        <v>42</v>
      </c>
      <c r="X27" s="17"/>
      <c r="Y27" s="17"/>
    </row>
    <row r="28" spans="1:25">
      <c r="A28" s="17">
        <v>2025</v>
      </c>
      <c r="B28" s="166" t="s">
        <v>65</v>
      </c>
      <c r="C28" s="23" t="s">
        <v>997</v>
      </c>
      <c r="D28" s="23" t="s">
        <v>965</v>
      </c>
      <c r="E28" s="23" t="s">
        <v>22</v>
      </c>
      <c r="F28" s="168">
        <v>45714.208333333336</v>
      </c>
      <c r="G28" s="168">
        <v>45714.208333333336</v>
      </c>
      <c r="H28" s="24">
        <v>0</v>
      </c>
      <c r="I28" s="23" t="s">
        <v>45</v>
      </c>
      <c r="J28" s="23"/>
      <c r="K28" s="23"/>
      <c r="L28" s="23" t="s">
        <v>66</v>
      </c>
      <c r="M28" s="24">
        <v>128.57</v>
      </c>
      <c r="N28" s="19">
        <f t="shared" si="0"/>
        <v>128.57</v>
      </c>
      <c r="O28" s="19">
        <f t="shared" si="1"/>
        <v>0</v>
      </c>
      <c r="P28" s="23" t="s">
        <v>45</v>
      </c>
      <c r="Q28" s="23" t="s">
        <v>966</v>
      </c>
      <c r="R28" s="24">
        <v>128.57</v>
      </c>
      <c r="S28" s="23" t="s">
        <v>45</v>
      </c>
      <c r="T28" s="24">
        <v>1</v>
      </c>
      <c r="U28" s="23" t="s">
        <v>967</v>
      </c>
      <c r="V28" s="23"/>
      <c r="W28" s="23" t="s">
        <v>42</v>
      </c>
      <c r="X28" s="17"/>
      <c r="Y28" s="17"/>
    </row>
    <row r="29" spans="1:25">
      <c r="A29" s="17">
        <v>2025</v>
      </c>
      <c r="B29" s="166" t="s">
        <v>65</v>
      </c>
      <c r="C29" s="23" t="s">
        <v>998</v>
      </c>
      <c r="D29" s="23" t="s">
        <v>965</v>
      </c>
      <c r="E29" s="23" t="s">
        <v>22</v>
      </c>
      <c r="F29" s="168">
        <v>45713.208333333336</v>
      </c>
      <c r="G29" s="168">
        <v>45713.208333333336</v>
      </c>
      <c r="H29" s="24">
        <v>0</v>
      </c>
      <c r="I29" s="23" t="s">
        <v>45</v>
      </c>
      <c r="J29" s="23"/>
      <c r="K29" s="23"/>
      <c r="L29" s="23" t="s">
        <v>66</v>
      </c>
      <c r="M29" s="24">
        <v>114.18</v>
      </c>
      <c r="N29" s="19">
        <f t="shared" si="0"/>
        <v>114.18</v>
      </c>
      <c r="O29" s="19">
        <f t="shared" si="1"/>
        <v>0</v>
      </c>
      <c r="P29" s="23" t="s">
        <v>45</v>
      </c>
      <c r="Q29" s="23" t="s">
        <v>966</v>
      </c>
      <c r="R29" s="24">
        <v>114.18</v>
      </c>
      <c r="S29" s="23" t="s">
        <v>45</v>
      </c>
      <c r="T29" s="24">
        <v>1</v>
      </c>
      <c r="U29" s="23" t="s">
        <v>967</v>
      </c>
      <c r="V29" s="23"/>
      <c r="W29" s="23" t="s">
        <v>42</v>
      </c>
      <c r="X29" s="17"/>
      <c r="Y29" s="17"/>
    </row>
    <row r="30" spans="1:25">
      <c r="A30" s="17">
        <v>2025</v>
      </c>
      <c r="B30" s="166" t="s">
        <v>65</v>
      </c>
      <c r="C30" s="23" t="s">
        <v>999</v>
      </c>
      <c r="D30" s="23" t="s">
        <v>965</v>
      </c>
      <c r="E30" s="23" t="s">
        <v>22</v>
      </c>
      <c r="F30" s="168">
        <v>45712.598611111112</v>
      </c>
      <c r="G30" s="168">
        <v>45712.598611111112</v>
      </c>
      <c r="H30" s="24">
        <v>0</v>
      </c>
      <c r="I30" s="23" t="s">
        <v>45</v>
      </c>
      <c r="J30" s="23"/>
      <c r="K30" s="23"/>
      <c r="L30" s="23" t="s">
        <v>66</v>
      </c>
      <c r="M30" s="24">
        <v>81.91</v>
      </c>
      <c r="N30" s="19">
        <f t="shared" si="0"/>
        <v>81.91</v>
      </c>
      <c r="O30" s="19">
        <f t="shared" si="1"/>
        <v>0</v>
      </c>
      <c r="P30" s="23" t="s">
        <v>45</v>
      </c>
      <c r="Q30" s="23" t="s">
        <v>966</v>
      </c>
      <c r="R30" s="24">
        <v>81.91</v>
      </c>
      <c r="S30" s="23" t="s">
        <v>45</v>
      </c>
      <c r="T30" s="24">
        <v>1</v>
      </c>
      <c r="U30" s="23" t="s">
        <v>967</v>
      </c>
      <c r="V30" s="23"/>
      <c r="W30" s="23" t="s">
        <v>42</v>
      </c>
      <c r="X30" s="17"/>
      <c r="Y30" s="17"/>
    </row>
    <row r="31" spans="1:25">
      <c r="A31" s="17">
        <v>2025</v>
      </c>
      <c r="B31" s="166" t="s">
        <v>65</v>
      </c>
      <c r="C31" s="23" t="s">
        <v>1000</v>
      </c>
      <c r="D31" s="23" t="s">
        <v>965</v>
      </c>
      <c r="E31" s="23" t="s">
        <v>22</v>
      </c>
      <c r="F31" s="168">
        <v>45709.208333333336</v>
      </c>
      <c r="G31" s="168">
        <v>45709.209027777775</v>
      </c>
      <c r="H31" s="24">
        <v>0</v>
      </c>
      <c r="I31" s="23" t="s">
        <v>45</v>
      </c>
      <c r="J31" s="23"/>
      <c r="K31" s="23"/>
      <c r="L31" s="23" t="s">
        <v>66</v>
      </c>
      <c r="M31" s="24">
        <v>18.36</v>
      </c>
      <c r="N31" s="19">
        <f t="shared" si="0"/>
        <v>18.36</v>
      </c>
      <c r="O31" s="19">
        <f t="shared" si="1"/>
        <v>0</v>
      </c>
      <c r="P31" s="23" t="s">
        <v>45</v>
      </c>
      <c r="Q31" s="23" t="s">
        <v>966</v>
      </c>
      <c r="R31" s="24">
        <v>18.36</v>
      </c>
      <c r="S31" s="23" t="s">
        <v>45</v>
      </c>
      <c r="T31" s="24">
        <v>1</v>
      </c>
      <c r="U31" s="23" t="s">
        <v>967</v>
      </c>
      <c r="V31" s="23"/>
      <c r="W31" s="23" t="s">
        <v>42</v>
      </c>
      <c r="X31" s="17"/>
      <c r="Y31" s="17"/>
    </row>
    <row r="32" spans="1:25">
      <c r="A32" s="17">
        <v>2025</v>
      </c>
      <c r="B32" s="166" t="s">
        <v>65</v>
      </c>
      <c r="C32" s="23" t="s">
        <v>1001</v>
      </c>
      <c r="D32" s="23" t="s">
        <v>965</v>
      </c>
      <c r="E32" s="23" t="s">
        <v>22</v>
      </c>
      <c r="F32" s="168">
        <v>45708.208333333336</v>
      </c>
      <c r="G32" s="168">
        <v>45708.209027777775</v>
      </c>
      <c r="H32" s="24">
        <v>0</v>
      </c>
      <c r="I32" s="23" t="s">
        <v>45</v>
      </c>
      <c r="J32" s="23"/>
      <c r="K32" s="23"/>
      <c r="L32" s="23" t="s">
        <v>66</v>
      </c>
      <c r="M32" s="24">
        <v>96.13</v>
      </c>
      <c r="N32" s="19">
        <f t="shared" si="0"/>
        <v>96.13</v>
      </c>
      <c r="O32" s="19">
        <f t="shared" si="1"/>
        <v>0</v>
      </c>
      <c r="P32" s="23" t="s">
        <v>45</v>
      </c>
      <c r="Q32" s="23" t="s">
        <v>966</v>
      </c>
      <c r="R32" s="24">
        <v>96.13</v>
      </c>
      <c r="S32" s="23" t="s">
        <v>45</v>
      </c>
      <c r="T32" s="24">
        <v>1</v>
      </c>
      <c r="U32" s="23" t="s">
        <v>967</v>
      </c>
      <c r="V32" s="23"/>
      <c r="W32" s="23" t="s">
        <v>42</v>
      </c>
      <c r="X32" s="17"/>
      <c r="Y32" s="17"/>
    </row>
    <row r="33" spans="1:25">
      <c r="A33" s="17">
        <v>2025</v>
      </c>
      <c r="B33" s="166" t="s">
        <v>65</v>
      </c>
      <c r="C33" s="23" t="s">
        <v>1002</v>
      </c>
      <c r="D33" s="23" t="s">
        <v>965</v>
      </c>
      <c r="E33" s="23" t="s">
        <v>22</v>
      </c>
      <c r="F33" s="168">
        <v>45707.209027777775</v>
      </c>
      <c r="G33" s="168">
        <v>45707.209027777775</v>
      </c>
      <c r="H33" s="24">
        <v>0</v>
      </c>
      <c r="I33" s="23" t="s">
        <v>45</v>
      </c>
      <c r="J33" s="23"/>
      <c r="K33" s="23"/>
      <c r="L33" s="23" t="s">
        <v>66</v>
      </c>
      <c r="M33" s="24">
        <v>21.08</v>
      </c>
      <c r="N33" s="19">
        <f t="shared" si="0"/>
        <v>21.08</v>
      </c>
      <c r="O33" s="19">
        <f t="shared" si="1"/>
        <v>0</v>
      </c>
      <c r="P33" s="23" t="s">
        <v>45</v>
      </c>
      <c r="Q33" s="23" t="s">
        <v>966</v>
      </c>
      <c r="R33" s="24">
        <v>21.08</v>
      </c>
      <c r="S33" s="23" t="s">
        <v>45</v>
      </c>
      <c r="T33" s="24">
        <v>1</v>
      </c>
      <c r="U33" s="23" t="s">
        <v>967</v>
      </c>
      <c r="V33" s="23"/>
      <c r="W33" s="23" t="s">
        <v>42</v>
      </c>
      <c r="X33" s="17"/>
      <c r="Y33" s="17"/>
    </row>
    <row r="34" spans="1:25">
      <c r="A34" s="17">
        <v>2025</v>
      </c>
      <c r="B34" s="166" t="s">
        <v>65</v>
      </c>
      <c r="C34" s="23" t="s">
        <v>1003</v>
      </c>
      <c r="D34" s="23" t="s">
        <v>965</v>
      </c>
      <c r="E34" s="23" t="s">
        <v>22</v>
      </c>
      <c r="F34" s="168">
        <v>45706.599305555559</v>
      </c>
      <c r="G34" s="168">
        <v>45706.599305555559</v>
      </c>
      <c r="H34" s="24">
        <v>0</v>
      </c>
      <c r="I34" s="23" t="s">
        <v>45</v>
      </c>
      <c r="J34" s="23"/>
      <c r="K34" s="23"/>
      <c r="L34" s="23" t="s">
        <v>66</v>
      </c>
      <c r="M34" s="24">
        <v>34.340000000000003</v>
      </c>
      <c r="N34" s="19">
        <f t="shared" si="0"/>
        <v>34.340000000000003</v>
      </c>
      <c r="O34" s="19">
        <f t="shared" si="1"/>
        <v>0</v>
      </c>
      <c r="P34" s="23" t="s">
        <v>45</v>
      </c>
      <c r="Q34" s="23" t="s">
        <v>966</v>
      </c>
      <c r="R34" s="24">
        <v>34.340000000000003</v>
      </c>
      <c r="S34" s="23" t="s">
        <v>45</v>
      </c>
      <c r="T34" s="24">
        <v>1</v>
      </c>
      <c r="U34" s="23" t="s">
        <v>967</v>
      </c>
      <c r="V34" s="23"/>
      <c r="W34" s="23" t="s">
        <v>42</v>
      </c>
      <c r="X34" s="17"/>
      <c r="Y34" s="17"/>
    </row>
    <row r="35" spans="1:25">
      <c r="A35" s="17">
        <v>2025</v>
      </c>
      <c r="B35" s="166" t="s">
        <v>65</v>
      </c>
      <c r="C35" s="23" t="s">
        <v>1004</v>
      </c>
      <c r="D35" s="23" t="s">
        <v>965</v>
      </c>
      <c r="E35" s="23" t="s">
        <v>22</v>
      </c>
      <c r="F35" s="168">
        <v>45702.209027777775</v>
      </c>
      <c r="G35" s="168">
        <v>45702.209027777775</v>
      </c>
      <c r="H35" s="24">
        <v>0</v>
      </c>
      <c r="I35" s="23" t="s">
        <v>45</v>
      </c>
      <c r="J35" s="23"/>
      <c r="K35" s="23"/>
      <c r="L35" s="23" t="s">
        <v>66</v>
      </c>
      <c r="M35" s="24">
        <v>50.5</v>
      </c>
      <c r="N35" s="19">
        <f t="shared" si="0"/>
        <v>50.5</v>
      </c>
      <c r="O35" s="19">
        <f t="shared" si="1"/>
        <v>0</v>
      </c>
      <c r="P35" s="23" t="s">
        <v>45</v>
      </c>
      <c r="Q35" s="23" t="s">
        <v>966</v>
      </c>
      <c r="R35" s="24">
        <v>50.5</v>
      </c>
      <c r="S35" s="23" t="s">
        <v>45</v>
      </c>
      <c r="T35" s="24">
        <v>1</v>
      </c>
      <c r="U35" s="23" t="s">
        <v>967</v>
      </c>
      <c r="V35" s="23"/>
      <c r="W35" s="23" t="s">
        <v>42</v>
      </c>
      <c r="X35" s="17"/>
      <c r="Y35" s="17"/>
    </row>
    <row r="36" spans="1:25">
      <c r="A36" s="17">
        <v>2025</v>
      </c>
      <c r="B36" s="166" t="s">
        <v>65</v>
      </c>
      <c r="C36" s="23" t="s">
        <v>1005</v>
      </c>
      <c r="D36" s="23" t="s">
        <v>965</v>
      </c>
      <c r="E36" s="23" t="s">
        <v>22</v>
      </c>
      <c r="F36" s="168">
        <v>45701.208333333336</v>
      </c>
      <c r="G36" s="168">
        <v>45701.566666666666</v>
      </c>
      <c r="H36" s="24">
        <v>0</v>
      </c>
      <c r="I36" s="23" t="s">
        <v>45</v>
      </c>
      <c r="J36" s="23"/>
      <c r="K36" s="23"/>
      <c r="L36" s="23" t="s">
        <v>66</v>
      </c>
      <c r="M36" s="24">
        <v>7.15</v>
      </c>
      <c r="N36" s="19">
        <f t="shared" si="0"/>
        <v>7.15</v>
      </c>
      <c r="O36" s="19">
        <f t="shared" si="1"/>
        <v>0</v>
      </c>
      <c r="P36" s="23" t="s">
        <v>45</v>
      </c>
      <c r="Q36" s="23" t="s">
        <v>966</v>
      </c>
      <c r="R36" s="24">
        <v>7.15</v>
      </c>
      <c r="S36" s="23" t="s">
        <v>45</v>
      </c>
      <c r="T36" s="24">
        <v>1</v>
      </c>
      <c r="U36" s="23" t="s">
        <v>967</v>
      </c>
      <c r="V36" s="23"/>
      <c r="W36" s="23" t="s">
        <v>42</v>
      </c>
      <c r="X36" s="17"/>
      <c r="Y36" s="17"/>
    </row>
    <row r="37" spans="1:25">
      <c r="A37" s="17">
        <v>2025</v>
      </c>
      <c r="B37" s="166" t="s">
        <v>65</v>
      </c>
      <c r="C37" s="23" t="s">
        <v>1006</v>
      </c>
      <c r="D37" s="23" t="s">
        <v>965</v>
      </c>
      <c r="E37" s="23" t="s">
        <v>22</v>
      </c>
      <c r="F37" s="168">
        <v>45700.599305555559</v>
      </c>
      <c r="G37" s="168">
        <v>45700.6</v>
      </c>
      <c r="H37" s="24">
        <v>0</v>
      </c>
      <c r="I37" s="23" t="s">
        <v>45</v>
      </c>
      <c r="J37" s="23"/>
      <c r="K37" s="23"/>
      <c r="L37" s="23" t="s">
        <v>988</v>
      </c>
      <c r="M37" s="24">
        <v>500</v>
      </c>
      <c r="N37" s="19">
        <f t="shared" si="0"/>
        <v>500</v>
      </c>
      <c r="O37" s="19">
        <f t="shared" si="1"/>
        <v>0</v>
      </c>
      <c r="P37" s="23" t="s">
        <v>45</v>
      </c>
      <c r="Q37" s="23" t="s">
        <v>966</v>
      </c>
      <c r="R37" s="24">
        <v>500</v>
      </c>
      <c r="S37" s="23" t="s">
        <v>45</v>
      </c>
      <c r="T37" s="24">
        <v>1</v>
      </c>
      <c r="U37" s="23" t="s">
        <v>967</v>
      </c>
      <c r="V37" s="23"/>
      <c r="W37" s="23" t="s">
        <v>42</v>
      </c>
      <c r="X37" s="17"/>
      <c r="Y37" s="17"/>
    </row>
    <row r="38" spans="1:25">
      <c r="A38" s="17">
        <v>2025</v>
      </c>
      <c r="B38" s="166" t="s">
        <v>65</v>
      </c>
      <c r="C38" s="23" t="s">
        <v>1007</v>
      </c>
      <c r="D38" s="23" t="s">
        <v>965</v>
      </c>
      <c r="E38" s="23" t="s">
        <v>22</v>
      </c>
      <c r="F38" s="168">
        <v>45700.209027777775</v>
      </c>
      <c r="G38" s="168">
        <v>45700.209722222222</v>
      </c>
      <c r="H38" s="24">
        <v>0</v>
      </c>
      <c r="I38" s="23" t="s">
        <v>45</v>
      </c>
      <c r="J38" s="23"/>
      <c r="K38" s="23"/>
      <c r="L38" s="23" t="s">
        <v>66</v>
      </c>
      <c r="M38" s="24">
        <v>29.04</v>
      </c>
      <c r="N38" s="19">
        <f t="shared" si="0"/>
        <v>29.04</v>
      </c>
      <c r="O38" s="19">
        <f t="shared" si="1"/>
        <v>0</v>
      </c>
      <c r="P38" s="23" t="s">
        <v>45</v>
      </c>
      <c r="Q38" s="23" t="s">
        <v>966</v>
      </c>
      <c r="R38" s="24">
        <v>29.04</v>
      </c>
      <c r="S38" s="23" t="s">
        <v>45</v>
      </c>
      <c r="T38" s="24">
        <v>1</v>
      </c>
      <c r="U38" s="23" t="s">
        <v>967</v>
      </c>
      <c r="V38" s="23"/>
      <c r="W38" s="23" t="s">
        <v>42</v>
      </c>
      <c r="X38" s="17"/>
      <c r="Y38" s="17"/>
    </row>
    <row r="39" spans="1:25">
      <c r="A39" s="17">
        <v>2025</v>
      </c>
      <c r="B39" s="166" t="s">
        <v>65</v>
      </c>
      <c r="C39" s="23" t="s">
        <v>1008</v>
      </c>
      <c r="D39" s="23" t="s">
        <v>965</v>
      </c>
      <c r="E39" s="23" t="s">
        <v>23</v>
      </c>
      <c r="F39" s="168">
        <v>45699.594444444447</v>
      </c>
      <c r="G39" s="168">
        <v>45699.594444444447</v>
      </c>
      <c r="H39" s="23"/>
      <c r="I39" s="23"/>
      <c r="J39" s="23"/>
      <c r="K39" s="23"/>
      <c r="L39" s="23"/>
      <c r="M39" s="24">
        <v>19.86</v>
      </c>
      <c r="N39" s="19">
        <f t="shared" si="0"/>
        <v>0</v>
      </c>
      <c r="O39" s="19">
        <f t="shared" si="1"/>
        <v>19.86</v>
      </c>
      <c r="P39" s="23" t="s">
        <v>45</v>
      </c>
      <c r="Q39" s="23" t="s">
        <v>66</v>
      </c>
      <c r="R39" s="24">
        <v>19.86</v>
      </c>
      <c r="S39" s="23" t="s">
        <v>45</v>
      </c>
      <c r="T39" s="24">
        <v>1</v>
      </c>
      <c r="U39" s="23" t="s">
        <v>1009</v>
      </c>
      <c r="V39" s="23"/>
      <c r="W39" s="23" t="s">
        <v>42</v>
      </c>
      <c r="X39" s="17"/>
      <c r="Y39" s="17"/>
    </row>
    <row r="40" spans="1:25">
      <c r="A40" s="17">
        <v>2025</v>
      </c>
      <c r="B40" s="166" t="s">
        <v>65</v>
      </c>
      <c r="C40" s="23" t="s">
        <v>1010</v>
      </c>
      <c r="D40" s="23" t="s">
        <v>965</v>
      </c>
      <c r="E40" s="23" t="s">
        <v>22</v>
      </c>
      <c r="F40" s="168">
        <v>45698.63958333333</v>
      </c>
      <c r="G40" s="168">
        <v>45698.63958333333</v>
      </c>
      <c r="H40" s="24">
        <v>0</v>
      </c>
      <c r="I40" s="23" t="s">
        <v>45</v>
      </c>
      <c r="J40" s="23"/>
      <c r="K40" s="23"/>
      <c r="L40" s="23" t="s">
        <v>66</v>
      </c>
      <c r="M40" s="24">
        <v>53.48</v>
      </c>
      <c r="N40" s="19">
        <f t="shared" si="0"/>
        <v>53.48</v>
      </c>
      <c r="O40" s="19">
        <f t="shared" si="1"/>
        <v>0</v>
      </c>
      <c r="P40" s="23" t="s">
        <v>45</v>
      </c>
      <c r="Q40" s="23" t="s">
        <v>966</v>
      </c>
      <c r="R40" s="24">
        <v>53.48</v>
      </c>
      <c r="S40" s="23" t="s">
        <v>45</v>
      </c>
      <c r="T40" s="24">
        <v>1</v>
      </c>
      <c r="U40" s="23" t="s">
        <v>967</v>
      </c>
      <c r="V40" s="23"/>
      <c r="W40" s="23" t="s">
        <v>42</v>
      </c>
      <c r="X40" s="17"/>
      <c r="Y40" s="17"/>
    </row>
    <row r="41" spans="1:25">
      <c r="A41" s="17">
        <v>2025</v>
      </c>
      <c r="B41" s="166" t="s">
        <v>65</v>
      </c>
      <c r="C41" s="23" t="s">
        <v>1011</v>
      </c>
      <c r="D41" s="23" t="s">
        <v>965</v>
      </c>
      <c r="E41" s="23" t="s">
        <v>22</v>
      </c>
      <c r="F41" s="168">
        <v>45695.208333333336</v>
      </c>
      <c r="G41" s="168">
        <v>45695.208333333336</v>
      </c>
      <c r="H41" s="24">
        <v>0</v>
      </c>
      <c r="I41" s="23" t="s">
        <v>45</v>
      </c>
      <c r="J41" s="23"/>
      <c r="K41" s="23"/>
      <c r="L41" s="23" t="s">
        <v>66</v>
      </c>
      <c r="M41" s="24">
        <v>1.62</v>
      </c>
      <c r="N41" s="19">
        <f t="shared" si="0"/>
        <v>1.62</v>
      </c>
      <c r="O41" s="19">
        <f t="shared" si="1"/>
        <v>0</v>
      </c>
      <c r="P41" s="23" t="s">
        <v>45</v>
      </c>
      <c r="Q41" s="23" t="s">
        <v>966</v>
      </c>
      <c r="R41" s="24">
        <v>1.62</v>
      </c>
      <c r="S41" s="23" t="s">
        <v>45</v>
      </c>
      <c r="T41" s="24">
        <v>1</v>
      </c>
      <c r="U41" s="23" t="s">
        <v>967</v>
      </c>
      <c r="V41" s="23"/>
      <c r="W41" s="23" t="s">
        <v>42</v>
      </c>
      <c r="X41" s="17"/>
      <c r="Y41" s="17"/>
    </row>
    <row r="42" spans="1:25">
      <c r="A42" s="17">
        <v>2025</v>
      </c>
      <c r="B42" s="166" t="s">
        <v>65</v>
      </c>
      <c r="C42" s="23" t="s">
        <v>1012</v>
      </c>
      <c r="D42" s="23" t="s">
        <v>965</v>
      </c>
      <c r="E42" s="23" t="s">
        <v>22</v>
      </c>
      <c r="F42" s="168">
        <v>45694.208333333336</v>
      </c>
      <c r="G42" s="168">
        <v>45694.209027777775</v>
      </c>
      <c r="H42" s="24">
        <v>0</v>
      </c>
      <c r="I42" s="23" t="s">
        <v>45</v>
      </c>
      <c r="J42" s="23"/>
      <c r="K42" s="23"/>
      <c r="L42" s="23" t="s">
        <v>66</v>
      </c>
      <c r="M42" s="24">
        <v>76.31</v>
      </c>
      <c r="N42" s="19">
        <f t="shared" si="0"/>
        <v>76.31</v>
      </c>
      <c r="O42" s="19">
        <f t="shared" si="1"/>
        <v>0</v>
      </c>
      <c r="P42" s="23" t="s">
        <v>45</v>
      </c>
      <c r="Q42" s="23" t="s">
        <v>966</v>
      </c>
      <c r="R42" s="24">
        <v>76.31</v>
      </c>
      <c r="S42" s="23" t="s">
        <v>45</v>
      </c>
      <c r="T42" s="24">
        <v>1</v>
      </c>
      <c r="U42" s="23" t="s">
        <v>967</v>
      </c>
      <c r="V42" s="23"/>
      <c r="W42" s="23" t="s">
        <v>42</v>
      </c>
      <c r="X42" s="17"/>
      <c r="Y42" s="17"/>
    </row>
    <row r="43" spans="1:25">
      <c r="A43" s="17">
        <v>2025</v>
      </c>
      <c r="B43" s="166" t="s">
        <v>65</v>
      </c>
      <c r="C43" s="23" t="s">
        <v>1013</v>
      </c>
      <c r="D43" s="23" t="s">
        <v>965</v>
      </c>
      <c r="E43" s="23" t="s">
        <v>23</v>
      </c>
      <c r="F43" s="168">
        <v>45693.106249999997</v>
      </c>
      <c r="G43" s="168">
        <v>45693.60833333333</v>
      </c>
      <c r="H43" s="24">
        <v>1.1299999999999999</v>
      </c>
      <c r="I43" s="23" t="s">
        <v>45</v>
      </c>
      <c r="J43" s="23"/>
      <c r="K43" s="23"/>
      <c r="L43" s="23" t="s">
        <v>966</v>
      </c>
      <c r="M43" s="24">
        <v>2175.0300000000002</v>
      </c>
      <c r="N43" s="19">
        <f t="shared" si="0"/>
        <v>0</v>
      </c>
      <c r="O43" s="19">
        <f t="shared" si="1"/>
        <v>2176.1600000000003</v>
      </c>
      <c r="P43" s="23" t="s">
        <v>45</v>
      </c>
      <c r="Q43" s="23" t="s">
        <v>58</v>
      </c>
      <c r="R43" s="24">
        <v>2175.0300000000002</v>
      </c>
      <c r="S43" s="23" t="s">
        <v>45</v>
      </c>
      <c r="T43" s="24">
        <v>1</v>
      </c>
      <c r="U43" s="23" t="s">
        <v>168</v>
      </c>
      <c r="V43" s="23"/>
      <c r="W43" s="23" t="s">
        <v>42</v>
      </c>
      <c r="X43" s="17"/>
      <c r="Y43" s="17"/>
    </row>
    <row r="44" spans="1:25">
      <c r="A44" s="17">
        <v>2025</v>
      </c>
      <c r="B44" s="166" t="s">
        <v>65</v>
      </c>
      <c r="C44" s="23" t="s">
        <v>1014</v>
      </c>
      <c r="D44" s="23" t="s">
        <v>965</v>
      </c>
      <c r="E44" s="23" t="s">
        <v>22</v>
      </c>
      <c r="F44" s="168">
        <v>45693.208333333336</v>
      </c>
      <c r="G44" s="168">
        <v>45693.208333333336</v>
      </c>
      <c r="H44" s="24">
        <v>0</v>
      </c>
      <c r="I44" s="23" t="s">
        <v>45</v>
      </c>
      <c r="J44" s="23"/>
      <c r="K44" s="23"/>
      <c r="L44" s="23" t="s">
        <v>66</v>
      </c>
      <c r="M44" s="24">
        <v>50.87</v>
      </c>
      <c r="N44" s="19">
        <f t="shared" si="0"/>
        <v>50.87</v>
      </c>
      <c r="O44" s="19">
        <f t="shared" si="1"/>
        <v>0</v>
      </c>
      <c r="P44" s="23" t="s">
        <v>45</v>
      </c>
      <c r="Q44" s="23" t="s">
        <v>966</v>
      </c>
      <c r="R44" s="24">
        <v>50.87</v>
      </c>
      <c r="S44" s="23" t="s">
        <v>45</v>
      </c>
      <c r="T44" s="24">
        <v>1</v>
      </c>
      <c r="U44" s="23" t="s">
        <v>967</v>
      </c>
      <c r="V44" s="23"/>
      <c r="W44" s="23" t="s">
        <v>42</v>
      </c>
      <c r="X44" s="17"/>
      <c r="Y44" s="17"/>
    </row>
    <row r="45" spans="1:25">
      <c r="A45" s="17">
        <v>2025</v>
      </c>
      <c r="B45" s="166" t="s">
        <v>65</v>
      </c>
      <c r="C45" s="23" t="s">
        <v>1015</v>
      </c>
      <c r="D45" s="23" t="s">
        <v>965</v>
      </c>
      <c r="E45" s="23" t="s">
        <v>22</v>
      </c>
      <c r="F45" s="168">
        <v>45692.209027777775</v>
      </c>
      <c r="G45" s="168">
        <v>45692.209027777775</v>
      </c>
      <c r="H45" s="24">
        <v>0</v>
      </c>
      <c r="I45" s="23" t="s">
        <v>45</v>
      </c>
      <c r="J45" s="23"/>
      <c r="K45" s="23"/>
      <c r="L45" s="23" t="s">
        <v>66</v>
      </c>
      <c r="M45" s="24">
        <v>57.66</v>
      </c>
      <c r="N45" s="19">
        <f t="shared" si="0"/>
        <v>57.66</v>
      </c>
      <c r="O45" s="19">
        <f t="shared" si="1"/>
        <v>0</v>
      </c>
      <c r="P45" s="23" t="s">
        <v>45</v>
      </c>
      <c r="Q45" s="23" t="s">
        <v>966</v>
      </c>
      <c r="R45" s="24">
        <v>57.66</v>
      </c>
      <c r="S45" s="23" t="s">
        <v>45</v>
      </c>
      <c r="T45" s="24">
        <v>1</v>
      </c>
      <c r="U45" s="23" t="s">
        <v>967</v>
      </c>
      <c r="V45" s="23"/>
      <c r="W45" s="23" t="s">
        <v>42</v>
      </c>
      <c r="X45" s="17"/>
      <c r="Y45" s="17"/>
    </row>
    <row r="46" spans="1:25">
      <c r="A46" s="17">
        <v>2025</v>
      </c>
      <c r="B46" s="166" t="s">
        <v>65</v>
      </c>
      <c r="C46" s="23" t="s">
        <v>1016</v>
      </c>
      <c r="D46" s="23" t="s">
        <v>965</v>
      </c>
      <c r="E46" s="23" t="s">
        <v>22</v>
      </c>
      <c r="F46" s="168">
        <v>45691.600694444445</v>
      </c>
      <c r="G46" s="168">
        <v>45691.600694444445</v>
      </c>
      <c r="H46" s="24">
        <v>0</v>
      </c>
      <c r="I46" s="23" t="s">
        <v>45</v>
      </c>
      <c r="J46" s="23"/>
      <c r="K46" s="23"/>
      <c r="L46" s="23" t="s">
        <v>66</v>
      </c>
      <c r="M46" s="24">
        <v>11.38</v>
      </c>
      <c r="N46" s="19">
        <f t="shared" si="0"/>
        <v>11.38</v>
      </c>
      <c r="O46" s="19">
        <f t="shared" si="1"/>
        <v>0</v>
      </c>
      <c r="P46" s="23" t="s">
        <v>45</v>
      </c>
      <c r="Q46" s="23" t="s">
        <v>966</v>
      </c>
      <c r="R46" s="24">
        <v>11.38</v>
      </c>
      <c r="S46" s="23" t="s">
        <v>45</v>
      </c>
      <c r="T46" s="24">
        <v>1</v>
      </c>
      <c r="U46" s="23" t="s">
        <v>967</v>
      </c>
      <c r="V46" s="23"/>
      <c r="W46" s="23" t="s">
        <v>42</v>
      </c>
      <c r="X46" s="17"/>
      <c r="Y46" s="17"/>
    </row>
    <row r="47" spans="1:25">
      <c r="A47" s="17">
        <v>2025</v>
      </c>
      <c r="B47" s="166" t="s">
        <v>120</v>
      </c>
      <c r="C47" s="17" t="s">
        <v>1017</v>
      </c>
      <c r="D47" s="17" t="s">
        <v>965</v>
      </c>
      <c r="E47" s="17" t="s">
        <v>22</v>
      </c>
      <c r="F47" s="16" t="s">
        <v>1018</v>
      </c>
      <c r="G47" s="16" t="s">
        <v>1018</v>
      </c>
      <c r="H47" s="17">
        <v>0</v>
      </c>
      <c r="I47" s="17" t="s">
        <v>45</v>
      </c>
      <c r="J47" s="17"/>
      <c r="K47" s="17"/>
      <c r="L47" s="17" t="s">
        <v>66</v>
      </c>
      <c r="M47" s="17">
        <v>675.55</v>
      </c>
      <c r="N47" s="19">
        <f t="shared" si="0"/>
        <v>675.55</v>
      </c>
      <c r="O47" s="19">
        <f t="shared" si="1"/>
        <v>0</v>
      </c>
      <c r="P47" s="17" t="s">
        <v>45</v>
      </c>
      <c r="Q47" s="17" t="s">
        <v>966</v>
      </c>
      <c r="R47" s="17">
        <v>675.55</v>
      </c>
      <c r="S47" s="17" t="s">
        <v>45</v>
      </c>
      <c r="T47" s="17">
        <v>1</v>
      </c>
      <c r="U47" s="17" t="s">
        <v>967</v>
      </c>
      <c r="V47" s="17"/>
      <c r="W47" s="17" t="s">
        <v>42</v>
      </c>
      <c r="X47" s="17"/>
      <c r="Y47" s="17"/>
    </row>
    <row r="48" spans="1:25">
      <c r="A48" s="17">
        <v>2025</v>
      </c>
      <c r="B48" s="166" t="s">
        <v>120</v>
      </c>
      <c r="C48" s="17" t="s">
        <v>1019</v>
      </c>
      <c r="D48" s="17" t="s">
        <v>965</v>
      </c>
      <c r="E48" s="17" t="s">
        <v>22</v>
      </c>
      <c r="F48" s="16" t="s">
        <v>1020</v>
      </c>
      <c r="G48" s="16" t="s">
        <v>1020</v>
      </c>
      <c r="H48" s="17">
        <v>0</v>
      </c>
      <c r="I48" s="17" t="s">
        <v>45</v>
      </c>
      <c r="J48" s="17"/>
      <c r="K48" s="17"/>
      <c r="L48" s="17" t="s">
        <v>66</v>
      </c>
      <c r="M48" s="17">
        <v>586.95000000000005</v>
      </c>
      <c r="N48" s="19">
        <f t="shared" si="0"/>
        <v>586.95000000000005</v>
      </c>
      <c r="O48" s="19">
        <f t="shared" si="1"/>
        <v>0</v>
      </c>
      <c r="P48" s="17" t="s">
        <v>45</v>
      </c>
      <c r="Q48" s="17" t="s">
        <v>966</v>
      </c>
      <c r="R48" s="17">
        <v>586.95000000000005</v>
      </c>
      <c r="S48" s="17" t="s">
        <v>45</v>
      </c>
      <c r="T48" s="17">
        <v>1</v>
      </c>
      <c r="U48" s="17" t="s">
        <v>967</v>
      </c>
      <c r="V48" s="17"/>
      <c r="W48" s="17" t="s">
        <v>42</v>
      </c>
      <c r="X48" s="17"/>
      <c r="Y48" s="17"/>
    </row>
    <row r="49" spans="1:25">
      <c r="A49" s="17">
        <v>2025</v>
      </c>
      <c r="B49" s="166" t="s">
        <v>138</v>
      </c>
      <c r="C49" s="17" t="s">
        <v>1021</v>
      </c>
      <c r="D49" s="17" t="s">
        <v>965</v>
      </c>
      <c r="E49" s="17" t="s">
        <v>22</v>
      </c>
      <c r="F49" s="16" t="s">
        <v>1022</v>
      </c>
      <c r="G49" s="16" t="s">
        <v>1022</v>
      </c>
      <c r="H49" s="17">
        <v>0</v>
      </c>
      <c r="I49" s="17" t="s">
        <v>45</v>
      </c>
      <c r="J49" s="17"/>
      <c r="K49" s="17"/>
      <c r="L49" s="17" t="s">
        <v>66</v>
      </c>
      <c r="M49" s="17">
        <v>1074.58</v>
      </c>
      <c r="N49" s="19">
        <f t="shared" si="0"/>
        <v>1074.58</v>
      </c>
      <c r="O49" s="19">
        <f t="shared" si="1"/>
        <v>0</v>
      </c>
      <c r="P49" s="17" t="s">
        <v>45</v>
      </c>
      <c r="Q49" s="17" t="s">
        <v>966</v>
      </c>
      <c r="R49" s="17">
        <v>1074.58</v>
      </c>
      <c r="S49" s="17" t="s">
        <v>45</v>
      </c>
      <c r="T49" s="17">
        <v>1</v>
      </c>
      <c r="U49" s="17" t="s">
        <v>967</v>
      </c>
      <c r="V49" s="17"/>
      <c r="W49" s="17" t="s">
        <v>42</v>
      </c>
      <c r="X49" s="17"/>
      <c r="Y49" s="17"/>
    </row>
    <row r="50" spans="1:25">
      <c r="A50" s="17">
        <v>2025</v>
      </c>
      <c r="B50" s="166" t="s">
        <v>138</v>
      </c>
      <c r="C50" s="17" t="s">
        <v>1023</v>
      </c>
      <c r="D50" s="17" t="s">
        <v>965</v>
      </c>
      <c r="E50" s="17" t="s">
        <v>22</v>
      </c>
      <c r="F50" s="16" t="s">
        <v>1024</v>
      </c>
      <c r="G50" s="16" t="s">
        <v>1024</v>
      </c>
      <c r="H50" s="17">
        <v>0</v>
      </c>
      <c r="I50" s="17" t="s">
        <v>45</v>
      </c>
      <c r="J50" s="17"/>
      <c r="K50" s="17"/>
      <c r="L50" s="17" t="s">
        <v>66</v>
      </c>
      <c r="M50" s="17">
        <v>266.33</v>
      </c>
      <c r="N50" s="19">
        <f t="shared" si="0"/>
        <v>266.33</v>
      </c>
      <c r="O50" s="19">
        <f t="shared" si="1"/>
        <v>0</v>
      </c>
      <c r="P50" s="17" t="s">
        <v>45</v>
      </c>
      <c r="Q50" s="17" t="s">
        <v>966</v>
      </c>
      <c r="R50" s="17">
        <v>266.33</v>
      </c>
      <c r="S50" s="17" t="s">
        <v>45</v>
      </c>
      <c r="T50" s="17">
        <v>1</v>
      </c>
      <c r="U50" s="17" t="s">
        <v>967</v>
      </c>
      <c r="V50" s="17"/>
      <c r="W50" s="17" t="s">
        <v>42</v>
      </c>
      <c r="X50" s="17"/>
      <c r="Y50" s="17"/>
    </row>
    <row r="51" spans="1:25">
      <c r="A51" s="17">
        <v>2025</v>
      </c>
      <c r="B51" s="166" t="s">
        <v>138</v>
      </c>
      <c r="C51" s="17" t="s">
        <v>1025</v>
      </c>
      <c r="D51" s="17" t="s">
        <v>965</v>
      </c>
      <c r="E51" s="17" t="s">
        <v>22</v>
      </c>
      <c r="F51" s="169">
        <v>45996.557638888888</v>
      </c>
      <c r="G51" s="169">
        <v>45996.557638888888</v>
      </c>
      <c r="H51" s="17">
        <v>0</v>
      </c>
      <c r="I51" s="17" t="s">
        <v>45</v>
      </c>
      <c r="J51" s="17"/>
      <c r="K51" s="17"/>
      <c r="L51" s="17" t="s">
        <v>66</v>
      </c>
      <c r="M51" s="17">
        <v>456.84</v>
      </c>
      <c r="N51" s="19">
        <f t="shared" si="0"/>
        <v>456.84</v>
      </c>
      <c r="O51" s="19">
        <f t="shared" si="1"/>
        <v>0</v>
      </c>
      <c r="P51" s="17" t="s">
        <v>45</v>
      </c>
      <c r="Q51" s="17" t="s">
        <v>966</v>
      </c>
      <c r="R51" s="17">
        <v>456.84</v>
      </c>
      <c r="S51" s="17" t="s">
        <v>45</v>
      </c>
      <c r="T51" s="17">
        <v>1</v>
      </c>
      <c r="U51" s="17" t="s">
        <v>967</v>
      </c>
      <c r="V51" s="17"/>
      <c r="W51" s="17" t="s">
        <v>42</v>
      </c>
      <c r="X51" s="17"/>
      <c r="Y51" s="17"/>
    </row>
    <row r="52" spans="1:25">
      <c r="A52" s="17">
        <v>2025</v>
      </c>
      <c r="B52" s="166" t="s">
        <v>138</v>
      </c>
      <c r="C52" s="17" t="s">
        <v>1026</v>
      </c>
      <c r="D52" s="17" t="s">
        <v>965</v>
      </c>
      <c r="E52" s="17" t="s">
        <v>22</v>
      </c>
      <c r="F52" s="169">
        <v>45782.55972222222</v>
      </c>
      <c r="G52" s="169">
        <v>45782.55972222222</v>
      </c>
      <c r="H52" s="17">
        <v>0</v>
      </c>
      <c r="I52" s="17" t="s">
        <v>45</v>
      </c>
      <c r="J52" s="17"/>
      <c r="K52" s="17"/>
      <c r="L52" s="17" t="s">
        <v>66</v>
      </c>
      <c r="M52" s="17">
        <v>292.8</v>
      </c>
      <c r="N52" s="19">
        <f t="shared" si="0"/>
        <v>292.8</v>
      </c>
      <c r="O52" s="19">
        <f t="shared" si="1"/>
        <v>0</v>
      </c>
      <c r="P52" s="17" t="s">
        <v>45</v>
      </c>
      <c r="Q52" s="17" t="s">
        <v>966</v>
      </c>
      <c r="R52" s="17">
        <v>292.8</v>
      </c>
      <c r="S52" s="17" t="s">
        <v>45</v>
      </c>
      <c r="T52" s="17">
        <v>1</v>
      </c>
      <c r="U52" s="17" t="s">
        <v>967</v>
      </c>
      <c r="V52" s="17"/>
      <c r="W52" s="17" t="s">
        <v>42</v>
      </c>
      <c r="X52" s="17"/>
      <c r="Y52" s="17"/>
    </row>
    <row r="53" spans="1:25">
      <c r="A53" s="17">
        <v>2025</v>
      </c>
      <c r="B53" s="166" t="s">
        <v>143</v>
      </c>
      <c r="C53" s="17" t="s">
        <v>1027</v>
      </c>
      <c r="D53" s="17" t="s">
        <v>965</v>
      </c>
      <c r="E53" s="17" t="s">
        <v>22</v>
      </c>
      <c r="F53" s="16" t="s">
        <v>1028</v>
      </c>
      <c r="G53" s="16" t="s">
        <v>1028</v>
      </c>
      <c r="H53" s="17">
        <v>0</v>
      </c>
      <c r="I53" s="17" t="s">
        <v>45</v>
      </c>
      <c r="J53" s="17"/>
      <c r="K53" s="17"/>
      <c r="L53" s="17" t="s">
        <v>66</v>
      </c>
      <c r="M53" s="17">
        <v>178.04</v>
      </c>
      <c r="N53" s="19">
        <f t="shared" si="0"/>
        <v>178.04</v>
      </c>
      <c r="O53" s="19">
        <f t="shared" si="1"/>
        <v>0</v>
      </c>
      <c r="P53" s="17" t="s">
        <v>45</v>
      </c>
      <c r="Q53" s="17" t="s">
        <v>966</v>
      </c>
      <c r="R53" s="17">
        <v>178.04</v>
      </c>
      <c r="S53" s="17" t="s">
        <v>45</v>
      </c>
      <c r="T53" s="17">
        <v>1</v>
      </c>
      <c r="U53" s="17" t="s">
        <v>967</v>
      </c>
      <c r="V53" s="17"/>
      <c r="W53" s="17" t="s">
        <v>42</v>
      </c>
      <c r="X53" s="17"/>
      <c r="Y53" s="17"/>
    </row>
    <row r="54" spans="1:25">
      <c r="A54" s="17">
        <v>2025</v>
      </c>
      <c r="B54" s="166" t="s">
        <v>143</v>
      </c>
      <c r="C54" s="17" t="s">
        <v>1029</v>
      </c>
      <c r="D54" s="17" t="s">
        <v>965</v>
      </c>
      <c r="E54" s="17" t="s">
        <v>22</v>
      </c>
      <c r="F54" s="16" t="s">
        <v>1030</v>
      </c>
      <c r="G54" s="16" t="s">
        <v>1030</v>
      </c>
      <c r="H54" s="17">
        <v>0</v>
      </c>
      <c r="I54" s="17" t="s">
        <v>45</v>
      </c>
      <c r="J54" s="17"/>
      <c r="K54" s="17"/>
      <c r="L54" s="17" t="s">
        <v>66</v>
      </c>
      <c r="M54" s="17">
        <v>202.14</v>
      </c>
      <c r="N54" s="19">
        <f t="shared" si="0"/>
        <v>202.14</v>
      </c>
      <c r="O54" s="19">
        <f t="shared" si="1"/>
        <v>0</v>
      </c>
      <c r="P54" s="17" t="s">
        <v>45</v>
      </c>
      <c r="Q54" s="17" t="s">
        <v>966</v>
      </c>
      <c r="R54" s="17">
        <v>202.14</v>
      </c>
      <c r="S54" s="17" t="s">
        <v>45</v>
      </c>
      <c r="T54" s="17">
        <v>1</v>
      </c>
      <c r="U54" s="17" t="s">
        <v>967</v>
      </c>
      <c r="V54" s="17"/>
      <c r="W54" s="17" t="s">
        <v>42</v>
      </c>
      <c r="X54" s="17"/>
      <c r="Y54" s="17"/>
    </row>
    <row r="55" spans="1:25">
      <c r="A55" s="17">
        <v>2025</v>
      </c>
      <c r="B55" s="166" t="s">
        <v>143</v>
      </c>
      <c r="C55" s="17" t="s">
        <v>1031</v>
      </c>
      <c r="D55" s="17" t="s">
        <v>965</v>
      </c>
      <c r="E55" s="17" t="s">
        <v>22</v>
      </c>
      <c r="F55" s="16" t="s">
        <v>1032</v>
      </c>
      <c r="G55" s="16" t="s">
        <v>1033</v>
      </c>
      <c r="H55" s="17">
        <v>0</v>
      </c>
      <c r="I55" s="17" t="s">
        <v>45</v>
      </c>
      <c r="J55" s="17"/>
      <c r="K55" s="17"/>
      <c r="L55" s="17" t="s">
        <v>66</v>
      </c>
      <c r="M55" s="17">
        <v>728.71</v>
      </c>
      <c r="N55" s="19">
        <f t="shared" si="0"/>
        <v>728.71</v>
      </c>
      <c r="O55" s="19">
        <f t="shared" si="1"/>
        <v>0</v>
      </c>
      <c r="P55" s="17" t="s">
        <v>45</v>
      </c>
      <c r="Q55" s="17" t="s">
        <v>966</v>
      </c>
      <c r="R55" s="17">
        <v>728.71</v>
      </c>
      <c r="S55" s="17" t="s">
        <v>45</v>
      </c>
      <c r="T55" s="17">
        <v>1</v>
      </c>
      <c r="U55" s="17" t="s">
        <v>967</v>
      </c>
      <c r="V55" s="17"/>
      <c r="W55" s="17" t="s">
        <v>42</v>
      </c>
      <c r="X55" s="17"/>
      <c r="Y55" s="17"/>
    </row>
    <row r="56" spans="1:25">
      <c r="A56" s="17">
        <v>2025</v>
      </c>
      <c r="B56" s="166" t="s">
        <v>143</v>
      </c>
      <c r="C56" s="17" t="s">
        <v>1034</v>
      </c>
      <c r="D56" s="17" t="s">
        <v>965</v>
      </c>
      <c r="E56" s="17" t="s">
        <v>22</v>
      </c>
      <c r="F56" s="169">
        <v>45906.569444444445</v>
      </c>
      <c r="G56" s="169">
        <v>45906.569444444445</v>
      </c>
      <c r="H56" s="17">
        <v>0</v>
      </c>
      <c r="I56" s="17" t="s">
        <v>45</v>
      </c>
      <c r="J56" s="17"/>
      <c r="K56" s="17"/>
      <c r="L56" s="17" t="s">
        <v>66</v>
      </c>
      <c r="M56" s="17">
        <v>999.89</v>
      </c>
      <c r="N56" s="19">
        <f t="shared" si="0"/>
        <v>999.89</v>
      </c>
      <c r="O56" s="19">
        <f t="shared" si="1"/>
        <v>0</v>
      </c>
      <c r="P56" s="17" t="s">
        <v>45</v>
      </c>
      <c r="Q56" s="17" t="s">
        <v>966</v>
      </c>
      <c r="R56" s="17">
        <v>999.89</v>
      </c>
      <c r="S56" s="17" t="s">
        <v>45</v>
      </c>
      <c r="T56" s="17">
        <v>1</v>
      </c>
      <c r="U56" s="17" t="s">
        <v>967</v>
      </c>
      <c r="V56" s="17"/>
      <c r="W56" s="17" t="s">
        <v>42</v>
      </c>
      <c r="X56" s="17"/>
      <c r="Y56" s="17"/>
    </row>
    <row r="57" spans="1:25">
      <c r="A57" s="17">
        <v>2025</v>
      </c>
      <c r="B57" s="166" t="s">
        <v>143</v>
      </c>
      <c r="C57" s="17" t="s">
        <v>1035</v>
      </c>
      <c r="D57" s="17" t="s">
        <v>965</v>
      </c>
      <c r="E57" s="17" t="s">
        <v>23</v>
      </c>
      <c r="F57" s="169">
        <v>45753.320833333331</v>
      </c>
      <c r="G57" s="169">
        <v>45753.566666666666</v>
      </c>
      <c r="H57" s="17">
        <v>1.1299999999999999</v>
      </c>
      <c r="I57" s="17" t="s">
        <v>45</v>
      </c>
      <c r="J57" s="17"/>
      <c r="K57" s="17"/>
      <c r="L57" s="17" t="s">
        <v>966</v>
      </c>
      <c r="M57" s="17">
        <v>367.26</v>
      </c>
      <c r="N57" s="19">
        <f t="shared" si="0"/>
        <v>0</v>
      </c>
      <c r="O57" s="19">
        <f t="shared" si="1"/>
        <v>368.39</v>
      </c>
      <c r="P57" s="17" t="s">
        <v>45</v>
      </c>
      <c r="Q57" s="17" t="s">
        <v>58</v>
      </c>
      <c r="R57" s="17">
        <v>367.26</v>
      </c>
      <c r="S57" s="17" t="s">
        <v>45</v>
      </c>
      <c r="T57" s="17">
        <v>1</v>
      </c>
      <c r="U57" s="17" t="s">
        <v>168</v>
      </c>
      <c r="V57" s="17"/>
      <c r="W57" s="17" t="s">
        <v>42</v>
      </c>
      <c r="X57" s="17"/>
      <c r="Y57" s="17"/>
    </row>
    <row r="58" spans="1:25">
      <c r="A58" s="17">
        <v>2025</v>
      </c>
      <c r="B58" s="166" t="s">
        <v>143</v>
      </c>
      <c r="C58" s="17" t="s">
        <v>1036</v>
      </c>
      <c r="D58" s="17" t="s">
        <v>965</v>
      </c>
      <c r="E58" s="17" t="s">
        <v>23</v>
      </c>
      <c r="F58" s="169">
        <v>45753.31527777778</v>
      </c>
      <c r="G58" s="169">
        <v>45753.564583333333</v>
      </c>
      <c r="H58" s="17">
        <v>1.1299999999999999</v>
      </c>
      <c r="I58" s="17" t="s">
        <v>45</v>
      </c>
      <c r="J58" s="17"/>
      <c r="K58" s="17"/>
      <c r="L58" s="17" t="s">
        <v>966</v>
      </c>
      <c r="M58" s="17">
        <v>1894.56</v>
      </c>
      <c r="N58" s="19">
        <f t="shared" si="0"/>
        <v>0</v>
      </c>
      <c r="O58" s="19">
        <f t="shared" si="1"/>
        <v>1895.69</v>
      </c>
      <c r="P58" s="17" t="s">
        <v>45</v>
      </c>
      <c r="Q58" s="17" t="s">
        <v>58</v>
      </c>
      <c r="R58" s="17">
        <v>1894.56</v>
      </c>
      <c r="S58" s="17" t="s">
        <v>45</v>
      </c>
      <c r="T58" s="17">
        <v>1</v>
      </c>
      <c r="U58" s="17" t="s">
        <v>168</v>
      </c>
      <c r="V58" s="17"/>
      <c r="W58" s="17" t="s">
        <v>42</v>
      </c>
      <c r="X58" s="17"/>
      <c r="Y58" s="17"/>
    </row>
    <row r="59" spans="1:25">
      <c r="A59" s="17">
        <v>2025</v>
      </c>
      <c r="B59" s="166" t="s">
        <v>143</v>
      </c>
      <c r="C59" s="17" t="s">
        <v>1037</v>
      </c>
      <c r="D59" s="17" t="s">
        <v>965</v>
      </c>
      <c r="E59" s="17" t="s">
        <v>22</v>
      </c>
      <c r="F59" s="169">
        <v>45694.560416666667</v>
      </c>
      <c r="G59" s="169">
        <v>45694.560416666667</v>
      </c>
      <c r="H59" s="17">
        <v>0</v>
      </c>
      <c r="I59" s="17" t="s">
        <v>45</v>
      </c>
      <c r="J59" s="17"/>
      <c r="K59" s="17"/>
      <c r="L59" s="17" t="s">
        <v>66</v>
      </c>
      <c r="M59" s="17">
        <v>2032.87</v>
      </c>
      <c r="N59" s="19">
        <f t="shared" si="0"/>
        <v>2032.87</v>
      </c>
      <c r="O59" s="19">
        <f t="shared" si="1"/>
        <v>0</v>
      </c>
      <c r="P59" s="17" t="s">
        <v>45</v>
      </c>
      <c r="Q59" s="17" t="s">
        <v>966</v>
      </c>
      <c r="R59" s="17">
        <v>2032.87</v>
      </c>
      <c r="S59" s="17" t="s">
        <v>45</v>
      </c>
      <c r="T59" s="17">
        <v>1</v>
      </c>
      <c r="U59" s="17" t="s">
        <v>967</v>
      </c>
      <c r="V59" s="17"/>
      <c r="W59" s="17" t="s">
        <v>42</v>
      </c>
      <c r="X59" s="17"/>
      <c r="Y59" s="17"/>
    </row>
    <row r="60" spans="1:25">
      <c r="A60" s="17">
        <v>2025</v>
      </c>
      <c r="B60" s="166" t="s">
        <v>150</v>
      </c>
      <c r="C60" s="17" t="s">
        <v>1038</v>
      </c>
      <c r="D60" s="17" t="s">
        <v>965</v>
      </c>
      <c r="E60" s="17" t="s">
        <v>22</v>
      </c>
      <c r="F60" s="16" t="s">
        <v>1039</v>
      </c>
      <c r="G60" s="16" t="s">
        <v>1040</v>
      </c>
      <c r="H60" s="17">
        <v>0</v>
      </c>
      <c r="I60" s="17" t="s">
        <v>45</v>
      </c>
      <c r="J60" s="17"/>
      <c r="K60" s="17"/>
      <c r="L60" s="17" t="s">
        <v>66</v>
      </c>
      <c r="M60" s="17">
        <v>769.74</v>
      </c>
      <c r="N60" s="19">
        <f t="shared" si="0"/>
        <v>769.74</v>
      </c>
      <c r="O60" s="19">
        <f t="shared" si="1"/>
        <v>0</v>
      </c>
      <c r="P60" s="17" t="s">
        <v>45</v>
      </c>
      <c r="Q60" s="17" t="s">
        <v>966</v>
      </c>
      <c r="R60" s="17">
        <v>769.74</v>
      </c>
      <c r="S60" s="17" t="s">
        <v>45</v>
      </c>
      <c r="T60" s="17">
        <v>1</v>
      </c>
      <c r="U60" s="17" t="s">
        <v>967</v>
      </c>
      <c r="V60" s="17"/>
      <c r="W60" s="17" t="s">
        <v>42</v>
      </c>
      <c r="X60" s="17"/>
      <c r="Y60" s="17"/>
    </row>
    <row r="61" spans="1:25">
      <c r="A61" s="17">
        <v>2025</v>
      </c>
      <c r="B61" s="166" t="s">
        <v>150</v>
      </c>
      <c r="C61" s="17" t="s">
        <v>1041</v>
      </c>
      <c r="D61" s="17" t="s">
        <v>965</v>
      </c>
      <c r="E61" s="17" t="s">
        <v>22</v>
      </c>
      <c r="F61" s="16" t="s">
        <v>1042</v>
      </c>
      <c r="G61" s="16" t="s">
        <v>1043</v>
      </c>
      <c r="H61" s="17">
        <v>0</v>
      </c>
      <c r="I61" s="17" t="s">
        <v>45</v>
      </c>
      <c r="J61" s="17"/>
      <c r="K61" s="17"/>
      <c r="L61" s="17" t="s">
        <v>66</v>
      </c>
      <c r="M61" s="17">
        <v>553.45000000000005</v>
      </c>
      <c r="N61" s="19">
        <f t="shared" si="0"/>
        <v>553.45000000000005</v>
      </c>
      <c r="O61" s="19">
        <f t="shared" si="1"/>
        <v>0</v>
      </c>
      <c r="P61" s="17" t="s">
        <v>45</v>
      </c>
      <c r="Q61" s="17" t="s">
        <v>966</v>
      </c>
      <c r="R61" s="17">
        <v>553.45000000000005</v>
      </c>
      <c r="S61" s="17" t="s">
        <v>45</v>
      </c>
      <c r="T61" s="17">
        <v>1</v>
      </c>
      <c r="U61" s="17" t="s">
        <v>967</v>
      </c>
      <c r="V61" s="17"/>
      <c r="W61" s="17" t="s">
        <v>42</v>
      </c>
      <c r="X61" s="17"/>
      <c r="Y61" s="17"/>
    </row>
    <row r="62" spans="1:25">
      <c r="A62" s="17">
        <v>2025</v>
      </c>
      <c r="B62" s="166" t="s">
        <v>150</v>
      </c>
      <c r="C62" s="17" t="s">
        <v>1044</v>
      </c>
      <c r="D62" s="17" t="s">
        <v>965</v>
      </c>
      <c r="E62" s="17" t="s">
        <v>22</v>
      </c>
      <c r="F62" s="16" t="s">
        <v>1045</v>
      </c>
      <c r="G62" s="16" t="s">
        <v>1045</v>
      </c>
      <c r="H62" s="17">
        <v>0</v>
      </c>
      <c r="I62" s="17" t="s">
        <v>45</v>
      </c>
      <c r="J62" s="17"/>
      <c r="K62" s="17"/>
      <c r="L62" s="17" t="s">
        <v>66</v>
      </c>
      <c r="M62" s="17">
        <v>1158.1300000000001</v>
      </c>
      <c r="N62" s="19">
        <f t="shared" si="0"/>
        <v>1158.1300000000001</v>
      </c>
      <c r="O62" s="19">
        <f t="shared" si="1"/>
        <v>0</v>
      </c>
      <c r="P62" s="17" t="s">
        <v>45</v>
      </c>
      <c r="Q62" s="17" t="s">
        <v>966</v>
      </c>
      <c r="R62" s="17">
        <v>1158.1300000000001</v>
      </c>
      <c r="S62" s="17" t="s">
        <v>45</v>
      </c>
      <c r="T62" s="17">
        <v>1</v>
      </c>
      <c r="U62" s="17" t="s">
        <v>967</v>
      </c>
      <c r="V62" s="17"/>
      <c r="W62" s="17" t="s">
        <v>42</v>
      </c>
      <c r="X62" s="17"/>
      <c r="Y62" s="17"/>
    </row>
    <row r="63" spans="1:25">
      <c r="A63" s="17">
        <v>2025</v>
      </c>
      <c r="B63" s="166" t="s">
        <v>150</v>
      </c>
      <c r="C63" s="17" t="s">
        <v>1046</v>
      </c>
      <c r="D63" s="17" t="s">
        <v>965</v>
      </c>
      <c r="E63" s="17" t="s">
        <v>23</v>
      </c>
      <c r="F63" s="169">
        <v>45907.475694444445</v>
      </c>
      <c r="G63" s="169">
        <v>45907.563888888886</v>
      </c>
      <c r="H63" s="17">
        <v>1.1299999999999999</v>
      </c>
      <c r="I63" s="17" t="s">
        <v>45</v>
      </c>
      <c r="J63" s="17"/>
      <c r="K63" s="17"/>
      <c r="L63" s="17" t="s">
        <v>966</v>
      </c>
      <c r="M63" s="17">
        <v>728.95</v>
      </c>
      <c r="N63" s="19">
        <f t="shared" si="0"/>
        <v>0</v>
      </c>
      <c r="O63" s="19">
        <f t="shared" si="1"/>
        <v>730.08</v>
      </c>
      <c r="P63" s="17" t="s">
        <v>45</v>
      </c>
      <c r="Q63" s="17" t="s">
        <v>58</v>
      </c>
      <c r="R63" s="17">
        <v>728.95</v>
      </c>
      <c r="S63" s="17" t="s">
        <v>45</v>
      </c>
      <c r="T63" s="17">
        <v>1</v>
      </c>
      <c r="U63" s="17" t="s">
        <v>168</v>
      </c>
      <c r="V63" s="17"/>
      <c r="W63" s="17" t="s">
        <v>42</v>
      </c>
      <c r="X63" s="17"/>
      <c r="Y63" s="17"/>
    </row>
    <row r="64" spans="1:25">
      <c r="A64" s="17">
        <v>2025</v>
      </c>
      <c r="B64" s="166" t="s">
        <v>150</v>
      </c>
      <c r="C64" s="17" t="s">
        <v>1047</v>
      </c>
      <c r="D64" s="17" t="s">
        <v>965</v>
      </c>
      <c r="E64" s="17" t="s">
        <v>22</v>
      </c>
      <c r="F64" s="169">
        <v>45845.570138888892</v>
      </c>
      <c r="G64" s="169">
        <v>45845.570833333331</v>
      </c>
      <c r="H64" s="17">
        <v>0</v>
      </c>
      <c r="I64" s="17" t="s">
        <v>45</v>
      </c>
      <c r="J64" s="17"/>
      <c r="K64" s="17"/>
      <c r="L64" s="17" t="s">
        <v>66</v>
      </c>
      <c r="M64" s="17">
        <v>168.45</v>
      </c>
      <c r="N64" s="19">
        <f t="shared" si="0"/>
        <v>168.45</v>
      </c>
      <c r="O64" s="19">
        <f t="shared" si="1"/>
        <v>0</v>
      </c>
      <c r="P64" s="17" t="s">
        <v>45</v>
      </c>
      <c r="Q64" s="17" t="s">
        <v>966</v>
      </c>
      <c r="R64" s="17">
        <v>168.45</v>
      </c>
      <c r="S64" s="17" t="s">
        <v>45</v>
      </c>
      <c r="T64" s="17">
        <v>1</v>
      </c>
      <c r="U64" s="17" t="s">
        <v>967</v>
      </c>
      <c r="V64" s="17"/>
      <c r="W64" s="17" t="s">
        <v>42</v>
      </c>
      <c r="X64" s="17"/>
      <c r="Y64" s="17"/>
    </row>
    <row r="65" spans="1:25">
      <c r="A65" s="17">
        <v>2025</v>
      </c>
      <c r="B65" s="166" t="s">
        <v>150</v>
      </c>
      <c r="C65" s="17" t="s">
        <v>1048</v>
      </c>
      <c r="D65" s="17" t="s">
        <v>965</v>
      </c>
      <c r="E65" s="17" t="s">
        <v>23</v>
      </c>
      <c r="F65" s="169">
        <v>45784.510416666664</v>
      </c>
      <c r="G65" s="169">
        <v>45845.566666666666</v>
      </c>
      <c r="H65" s="17">
        <v>1.1299999999999999</v>
      </c>
      <c r="I65" s="17" t="s">
        <v>45</v>
      </c>
      <c r="J65" s="17"/>
      <c r="K65" s="17"/>
      <c r="L65" s="17" t="s">
        <v>966</v>
      </c>
      <c r="M65" s="17">
        <v>2056.44</v>
      </c>
      <c r="N65" s="19">
        <f t="shared" si="0"/>
        <v>0</v>
      </c>
      <c r="O65" s="19">
        <f t="shared" si="1"/>
        <v>2057.5700000000002</v>
      </c>
      <c r="P65" s="17" t="s">
        <v>45</v>
      </c>
      <c r="Q65" s="17" t="s">
        <v>58</v>
      </c>
      <c r="R65" s="17">
        <v>2056.44</v>
      </c>
      <c r="S65" s="17" t="s">
        <v>45</v>
      </c>
      <c r="T65" s="17">
        <v>1</v>
      </c>
      <c r="U65" s="17" t="s">
        <v>168</v>
      </c>
      <c r="V65" s="17"/>
      <c r="W65" s="17" t="s">
        <v>42</v>
      </c>
      <c r="X65" s="17"/>
      <c r="Y65" s="17"/>
    </row>
    <row r="66" spans="1:25">
      <c r="A66" s="170">
        <v>2025</v>
      </c>
      <c r="B66" s="171" t="s">
        <v>156</v>
      </c>
      <c r="C66" s="172" t="s">
        <v>1049</v>
      </c>
      <c r="D66" s="172" t="s">
        <v>965</v>
      </c>
      <c r="E66" s="172" t="s">
        <v>23</v>
      </c>
      <c r="F66" s="170" t="s">
        <v>1050</v>
      </c>
      <c r="G66" s="170" t="s">
        <v>1050</v>
      </c>
      <c r="H66" s="170">
        <v>0</v>
      </c>
      <c r="I66" s="172" t="s">
        <v>45</v>
      </c>
      <c r="J66" s="172"/>
      <c r="K66" s="172"/>
      <c r="L66" s="172" t="s">
        <v>966</v>
      </c>
      <c r="M66" s="170">
        <v>10</v>
      </c>
      <c r="N66" s="19">
        <f t="shared" si="0"/>
        <v>0</v>
      </c>
      <c r="O66" s="19">
        <f t="shared" si="1"/>
        <v>10</v>
      </c>
      <c r="P66" s="172" t="s">
        <v>45</v>
      </c>
      <c r="Q66" s="172" t="s">
        <v>42</v>
      </c>
      <c r="R66" s="170">
        <v>10</v>
      </c>
      <c r="S66" s="172" t="s">
        <v>45</v>
      </c>
      <c r="T66" s="170">
        <v>1</v>
      </c>
      <c r="U66" s="172"/>
      <c r="V66" s="172"/>
      <c r="W66" s="172" t="s">
        <v>42</v>
      </c>
      <c r="X66" s="172" t="s">
        <v>1051</v>
      </c>
      <c r="Y66" s="172"/>
    </row>
    <row r="67" spans="1:25">
      <c r="A67" s="170">
        <v>2025</v>
      </c>
      <c r="B67" s="171" t="s">
        <v>156</v>
      </c>
      <c r="C67" s="172" t="s">
        <v>1052</v>
      </c>
      <c r="D67" s="172" t="s">
        <v>965</v>
      </c>
      <c r="E67" s="172" t="s">
        <v>22</v>
      </c>
      <c r="F67" s="170" t="s">
        <v>1053</v>
      </c>
      <c r="G67" s="170" t="s">
        <v>1053</v>
      </c>
      <c r="H67" s="170">
        <v>0</v>
      </c>
      <c r="I67" s="172" t="s">
        <v>45</v>
      </c>
      <c r="J67" s="172"/>
      <c r="K67" s="172"/>
      <c r="L67" s="172" t="s">
        <v>66</v>
      </c>
      <c r="M67" s="170">
        <v>399.43</v>
      </c>
      <c r="N67" s="19">
        <f t="shared" si="0"/>
        <v>399.43</v>
      </c>
      <c r="O67" s="19">
        <f t="shared" si="1"/>
        <v>0</v>
      </c>
      <c r="P67" s="172" t="s">
        <v>45</v>
      </c>
      <c r="Q67" s="172" t="s">
        <v>966</v>
      </c>
      <c r="R67" s="170">
        <v>399.43</v>
      </c>
      <c r="S67" s="172" t="s">
        <v>45</v>
      </c>
      <c r="T67" s="170">
        <v>1</v>
      </c>
      <c r="U67" s="363" t="s">
        <v>967</v>
      </c>
      <c r="V67" s="353"/>
      <c r="W67" s="172" t="s">
        <v>42</v>
      </c>
      <c r="X67" s="363" t="s">
        <v>1054</v>
      </c>
      <c r="Y67" s="353"/>
    </row>
    <row r="68" spans="1:25">
      <c r="A68" s="170">
        <v>2025</v>
      </c>
      <c r="B68" s="171" t="s">
        <v>156</v>
      </c>
      <c r="C68" s="172" t="s">
        <v>1055</v>
      </c>
      <c r="D68" s="172" t="s">
        <v>965</v>
      </c>
      <c r="E68" s="172" t="s">
        <v>22</v>
      </c>
      <c r="F68" s="170" t="s">
        <v>1056</v>
      </c>
      <c r="G68" s="170" t="s">
        <v>1056</v>
      </c>
      <c r="H68" s="170">
        <v>0</v>
      </c>
      <c r="I68" s="172" t="s">
        <v>45</v>
      </c>
      <c r="J68" s="172"/>
      <c r="K68" s="172"/>
      <c r="L68" s="172" t="s">
        <v>66</v>
      </c>
      <c r="M68" s="170">
        <v>663.12</v>
      </c>
      <c r="N68" s="19">
        <f t="shared" si="0"/>
        <v>663.12</v>
      </c>
      <c r="O68" s="19">
        <f t="shared" si="1"/>
        <v>0</v>
      </c>
      <c r="P68" s="172" t="s">
        <v>45</v>
      </c>
      <c r="Q68" s="172" t="s">
        <v>966</v>
      </c>
      <c r="R68" s="170">
        <v>663.12</v>
      </c>
      <c r="S68" s="172" t="s">
        <v>45</v>
      </c>
      <c r="T68" s="170">
        <v>1</v>
      </c>
      <c r="U68" s="363" t="s">
        <v>967</v>
      </c>
      <c r="V68" s="353"/>
      <c r="W68" s="172" t="s">
        <v>42</v>
      </c>
      <c r="X68" s="363" t="s">
        <v>1054</v>
      </c>
      <c r="Y68" s="353"/>
    </row>
    <row r="69" spans="1:25">
      <c r="A69" s="170">
        <v>2025</v>
      </c>
      <c r="B69" s="171" t="s">
        <v>156</v>
      </c>
      <c r="C69" s="172" t="s">
        <v>1057</v>
      </c>
      <c r="D69" s="172" t="s">
        <v>965</v>
      </c>
      <c r="E69" s="172" t="s">
        <v>22</v>
      </c>
      <c r="F69" s="173">
        <v>45969.55972222222</v>
      </c>
      <c r="G69" s="173">
        <v>45969.55972222222</v>
      </c>
      <c r="H69" s="170">
        <v>0</v>
      </c>
      <c r="I69" s="172" t="s">
        <v>45</v>
      </c>
      <c r="J69" s="172"/>
      <c r="K69" s="172"/>
      <c r="L69" s="172" t="s">
        <v>66</v>
      </c>
      <c r="M69" s="170">
        <v>291.60000000000002</v>
      </c>
      <c r="N69" s="19">
        <f t="shared" si="0"/>
        <v>291.60000000000002</v>
      </c>
      <c r="O69" s="19">
        <f t="shared" si="1"/>
        <v>0</v>
      </c>
      <c r="P69" s="172" t="s">
        <v>45</v>
      </c>
      <c r="Q69" s="172" t="s">
        <v>966</v>
      </c>
      <c r="R69" s="170">
        <v>291.60000000000002</v>
      </c>
      <c r="S69" s="172" t="s">
        <v>45</v>
      </c>
      <c r="T69" s="170">
        <v>1</v>
      </c>
      <c r="U69" s="363" t="s">
        <v>967</v>
      </c>
      <c r="V69" s="353"/>
      <c r="W69" s="172" t="s">
        <v>42</v>
      </c>
      <c r="X69" s="363" t="s">
        <v>1054</v>
      </c>
      <c r="Y69" s="353"/>
    </row>
    <row r="70" spans="1:25">
      <c r="A70" s="170">
        <v>2025</v>
      </c>
      <c r="B70" s="171" t="s">
        <v>156</v>
      </c>
      <c r="C70" s="172" t="s">
        <v>1058</v>
      </c>
      <c r="D70" s="172" t="s">
        <v>965</v>
      </c>
      <c r="E70" s="172" t="s">
        <v>23</v>
      </c>
      <c r="F70" s="173">
        <v>45785.091666666667</v>
      </c>
      <c r="G70" s="173">
        <v>45785.658333333333</v>
      </c>
      <c r="H70" s="170">
        <v>1.1299999999999999</v>
      </c>
      <c r="I70" s="172" t="s">
        <v>45</v>
      </c>
      <c r="J70" s="172"/>
      <c r="K70" s="172"/>
      <c r="L70" s="172" t="s">
        <v>966</v>
      </c>
      <c r="M70" s="170">
        <v>3966.87</v>
      </c>
      <c r="N70" s="19">
        <f t="shared" si="0"/>
        <v>0</v>
      </c>
      <c r="O70" s="19">
        <f t="shared" si="1"/>
        <v>3968</v>
      </c>
      <c r="P70" s="172" t="s">
        <v>45</v>
      </c>
      <c r="Q70" s="172" t="s">
        <v>58</v>
      </c>
      <c r="R70" s="170">
        <v>3966.87</v>
      </c>
      <c r="S70" s="172" t="s">
        <v>45</v>
      </c>
      <c r="T70" s="170">
        <v>1</v>
      </c>
      <c r="U70" s="172" t="s">
        <v>168</v>
      </c>
      <c r="V70" s="172"/>
      <c r="W70" s="172" t="s">
        <v>42</v>
      </c>
      <c r="X70" s="172" t="s">
        <v>1051</v>
      </c>
      <c r="Y70" s="172"/>
    </row>
    <row r="71" spans="1:25">
      <c r="A71" s="170">
        <v>2025</v>
      </c>
      <c r="B71" s="171" t="s">
        <v>156</v>
      </c>
      <c r="C71" s="172" t="s">
        <v>1059</v>
      </c>
      <c r="D71" s="172" t="s">
        <v>965</v>
      </c>
      <c r="E71" s="172" t="s">
        <v>22</v>
      </c>
      <c r="F71" s="173">
        <v>45755.681250000001</v>
      </c>
      <c r="G71" s="173">
        <v>45755.681250000001</v>
      </c>
      <c r="H71" s="170">
        <v>0</v>
      </c>
      <c r="I71" s="172" t="s">
        <v>45</v>
      </c>
      <c r="J71" s="172"/>
      <c r="K71" s="172"/>
      <c r="L71" s="172" t="s">
        <v>66</v>
      </c>
      <c r="M71" s="170">
        <v>689.89</v>
      </c>
      <c r="N71" s="19">
        <f t="shared" si="0"/>
        <v>689.89</v>
      </c>
      <c r="O71" s="19">
        <f t="shared" si="1"/>
        <v>0</v>
      </c>
      <c r="P71" s="172" t="s">
        <v>45</v>
      </c>
      <c r="Q71" s="172" t="s">
        <v>966</v>
      </c>
      <c r="R71" s="170">
        <v>689.89</v>
      </c>
      <c r="S71" s="172" t="s">
        <v>45</v>
      </c>
      <c r="T71" s="170">
        <v>1</v>
      </c>
      <c r="U71" s="363" t="s">
        <v>967</v>
      </c>
      <c r="V71" s="353"/>
      <c r="W71" s="172" t="s">
        <v>42</v>
      </c>
      <c r="X71" s="363" t="s">
        <v>1054</v>
      </c>
      <c r="Y71" s="353"/>
    </row>
    <row r="72" spans="1:25">
      <c r="A72" s="170">
        <v>2025</v>
      </c>
      <c r="B72" s="171" t="s">
        <v>173</v>
      </c>
      <c r="C72" s="28" t="s">
        <v>1060</v>
      </c>
      <c r="D72" s="28" t="s">
        <v>965</v>
      </c>
      <c r="E72" s="28" t="s">
        <v>22</v>
      </c>
      <c r="F72" s="27" t="s">
        <v>1061</v>
      </c>
      <c r="G72" s="27" t="s">
        <v>1062</v>
      </c>
      <c r="H72" s="28">
        <v>0</v>
      </c>
      <c r="I72" s="28" t="s">
        <v>45</v>
      </c>
      <c r="J72" s="28"/>
      <c r="K72" s="28"/>
      <c r="L72" s="28" t="s">
        <v>66</v>
      </c>
      <c r="M72" s="28">
        <v>171.03</v>
      </c>
      <c r="N72" s="19">
        <f t="shared" si="0"/>
        <v>171.03</v>
      </c>
      <c r="O72" s="19">
        <f t="shared" si="1"/>
        <v>0</v>
      </c>
      <c r="P72" s="28" t="s">
        <v>45</v>
      </c>
      <c r="Q72" s="28" t="s">
        <v>966</v>
      </c>
      <c r="R72" s="28">
        <v>171.03</v>
      </c>
      <c r="S72" s="28" t="s">
        <v>45</v>
      </c>
      <c r="T72" s="28">
        <v>1</v>
      </c>
      <c r="U72" s="28" t="s">
        <v>967</v>
      </c>
      <c r="V72" s="28"/>
      <c r="W72" s="28" t="s">
        <v>42</v>
      </c>
      <c r="X72" s="28" t="s">
        <v>1054</v>
      </c>
      <c r="Y72" s="28"/>
    </row>
    <row r="73" spans="1:25">
      <c r="A73" s="170">
        <v>2025</v>
      </c>
      <c r="B73" s="171" t="s">
        <v>173</v>
      </c>
      <c r="C73" s="28" t="s">
        <v>1063</v>
      </c>
      <c r="D73" s="28" t="s">
        <v>965</v>
      </c>
      <c r="E73" s="28" t="s">
        <v>22</v>
      </c>
      <c r="F73" s="27" t="s">
        <v>1064</v>
      </c>
      <c r="G73" s="27" t="s">
        <v>1065</v>
      </c>
      <c r="H73" s="28">
        <v>0</v>
      </c>
      <c r="I73" s="28" t="s">
        <v>45</v>
      </c>
      <c r="J73" s="28"/>
      <c r="K73" s="28"/>
      <c r="L73" s="28" t="s">
        <v>66</v>
      </c>
      <c r="M73" s="28">
        <v>294.19</v>
      </c>
      <c r="N73" s="19">
        <f t="shared" si="0"/>
        <v>294.19</v>
      </c>
      <c r="O73" s="19">
        <f t="shared" si="1"/>
        <v>0</v>
      </c>
      <c r="P73" s="28" t="s">
        <v>45</v>
      </c>
      <c r="Q73" s="28" t="s">
        <v>966</v>
      </c>
      <c r="R73" s="28">
        <v>294.19</v>
      </c>
      <c r="S73" s="28" t="s">
        <v>45</v>
      </c>
      <c r="T73" s="28">
        <v>1</v>
      </c>
      <c r="U73" s="28" t="s">
        <v>967</v>
      </c>
      <c r="V73" s="28"/>
      <c r="W73" s="28" t="s">
        <v>42</v>
      </c>
      <c r="X73" s="28" t="s">
        <v>1054</v>
      </c>
      <c r="Y73" s="28"/>
    </row>
    <row r="74" spans="1:25">
      <c r="A74" s="170">
        <v>2025</v>
      </c>
      <c r="B74" s="171" t="s">
        <v>173</v>
      </c>
      <c r="C74" s="28" t="s">
        <v>1066</v>
      </c>
      <c r="D74" s="28" t="s">
        <v>965</v>
      </c>
      <c r="E74" s="28" t="s">
        <v>22</v>
      </c>
      <c r="F74" s="27" t="s">
        <v>1067</v>
      </c>
      <c r="G74" s="27" t="s">
        <v>1068</v>
      </c>
      <c r="H74" s="28">
        <v>0</v>
      </c>
      <c r="I74" s="28" t="s">
        <v>45</v>
      </c>
      <c r="J74" s="28"/>
      <c r="K74" s="28"/>
      <c r="L74" s="28" t="s">
        <v>66</v>
      </c>
      <c r="M74" s="28">
        <v>144.77000000000001</v>
      </c>
      <c r="N74" s="19">
        <f t="shared" si="0"/>
        <v>144.77000000000001</v>
      </c>
      <c r="O74" s="19">
        <f t="shared" si="1"/>
        <v>0</v>
      </c>
      <c r="P74" s="28" t="s">
        <v>45</v>
      </c>
      <c r="Q74" s="28" t="s">
        <v>966</v>
      </c>
      <c r="R74" s="28">
        <v>144.77000000000001</v>
      </c>
      <c r="S74" s="28" t="s">
        <v>45</v>
      </c>
      <c r="T74" s="28">
        <v>1</v>
      </c>
      <c r="U74" s="28" t="s">
        <v>967</v>
      </c>
      <c r="V74" s="28"/>
      <c r="W74" s="28" t="s">
        <v>42</v>
      </c>
      <c r="X74" s="28" t="s">
        <v>1054</v>
      </c>
      <c r="Y74" s="28"/>
    </row>
    <row r="75" spans="1:25">
      <c r="A75" s="170">
        <v>2025</v>
      </c>
      <c r="B75" s="171" t="s">
        <v>173</v>
      </c>
      <c r="C75" s="28" t="s">
        <v>1069</v>
      </c>
      <c r="D75" s="28" t="s">
        <v>965</v>
      </c>
      <c r="E75" s="28" t="s">
        <v>22</v>
      </c>
      <c r="F75" s="174">
        <v>45878.690972222219</v>
      </c>
      <c r="G75" s="174">
        <v>45878.691666666666</v>
      </c>
      <c r="H75" s="28">
        <v>0</v>
      </c>
      <c r="I75" s="28" t="s">
        <v>45</v>
      </c>
      <c r="J75" s="28"/>
      <c r="K75" s="28"/>
      <c r="L75" s="28" t="s">
        <v>66</v>
      </c>
      <c r="M75" s="28">
        <v>117.43</v>
      </c>
      <c r="N75" s="19">
        <f t="shared" si="0"/>
        <v>117.43</v>
      </c>
      <c r="O75" s="19">
        <f t="shared" si="1"/>
        <v>0</v>
      </c>
      <c r="P75" s="28" t="s">
        <v>45</v>
      </c>
      <c r="Q75" s="28" t="s">
        <v>966</v>
      </c>
      <c r="R75" s="28">
        <v>117.43</v>
      </c>
      <c r="S75" s="28" t="s">
        <v>45</v>
      </c>
      <c r="T75" s="28">
        <v>1</v>
      </c>
      <c r="U75" s="28" t="s">
        <v>967</v>
      </c>
      <c r="V75" s="28"/>
      <c r="W75" s="28" t="s">
        <v>42</v>
      </c>
      <c r="X75" s="28" t="s">
        <v>1054</v>
      </c>
      <c r="Y75" s="28"/>
    </row>
    <row r="76" spans="1:25">
      <c r="A76" s="170">
        <v>2025</v>
      </c>
      <c r="B76" s="171" t="s">
        <v>173</v>
      </c>
      <c r="C76" s="28" t="s">
        <v>1070</v>
      </c>
      <c r="D76" s="28" t="s">
        <v>965</v>
      </c>
      <c r="E76" s="28" t="s">
        <v>23</v>
      </c>
      <c r="F76" s="174">
        <v>45878.147916666669</v>
      </c>
      <c r="G76" s="174">
        <v>45878.564583333333</v>
      </c>
      <c r="H76" s="28">
        <v>1.1299999999999999</v>
      </c>
      <c r="I76" s="28" t="s">
        <v>45</v>
      </c>
      <c r="J76" s="28"/>
      <c r="K76" s="28"/>
      <c r="L76" s="28" t="s">
        <v>966</v>
      </c>
      <c r="M76" s="28">
        <v>3200</v>
      </c>
      <c r="N76" s="19">
        <f t="shared" si="0"/>
        <v>0</v>
      </c>
      <c r="O76" s="19">
        <f t="shared" si="1"/>
        <v>3201.13</v>
      </c>
      <c r="P76" s="28" t="s">
        <v>45</v>
      </c>
      <c r="Q76" s="28" t="s">
        <v>58</v>
      </c>
      <c r="R76" s="28">
        <v>3200</v>
      </c>
      <c r="S76" s="28" t="s">
        <v>45</v>
      </c>
      <c r="T76" s="28">
        <v>1</v>
      </c>
      <c r="U76" s="28" t="s">
        <v>168</v>
      </c>
      <c r="V76" s="28"/>
      <c r="W76" s="28" t="s">
        <v>42</v>
      </c>
      <c r="X76" s="28" t="s">
        <v>1051</v>
      </c>
      <c r="Y76" s="28"/>
    </row>
    <row r="77" spans="1:25">
      <c r="A77" s="170">
        <v>2025</v>
      </c>
      <c r="B77" s="171" t="s">
        <v>173</v>
      </c>
      <c r="C77" s="28" t="s">
        <v>1071</v>
      </c>
      <c r="D77" s="28" t="s">
        <v>965</v>
      </c>
      <c r="E77" s="28" t="s">
        <v>22</v>
      </c>
      <c r="F77" s="174">
        <v>45697.561805555553</v>
      </c>
      <c r="G77" s="174">
        <v>45697.561805555553</v>
      </c>
      <c r="H77" s="28">
        <v>0</v>
      </c>
      <c r="I77" s="28" t="s">
        <v>45</v>
      </c>
      <c r="J77" s="28"/>
      <c r="K77" s="28"/>
      <c r="L77" s="28" t="s">
        <v>66</v>
      </c>
      <c r="M77" s="28">
        <v>725.6</v>
      </c>
      <c r="N77" s="19">
        <f t="shared" si="0"/>
        <v>725.6</v>
      </c>
      <c r="O77" s="19">
        <f t="shared" si="1"/>
        <v>0</v>
      </c>
      <c r="P77" s="28" t="s">
        <v>45</v>
      </c>
      <c r="Q77" s="28" t="s">
        <v>966</v>
      </c>
      <c r="R77" s="28">
        <v>725.6</v>
      </c>
      <c r="S77" s="28" t="s">
        <v>45</v>
      </c>
      <c r="T77" s="28">
        <v>1</v>
      </c>
      <c r="U77" s="28" t="s">
        <v>967</v>
      </c>
      <c r="V77" s="28"/>
      <c r="W77" s="28" t="s">
        <v>42</v>
      </c>
      <c r="X77" s="28" t="s">
        <v>1054</v>
      </c>
      <c r="Y77" s="28"/>
    </row>
    <row r="78" spans="1:25">
      <c r="A78" s="170">
        <v>2025</v>
      </c>
      <c r="B78" s="171" t="s">
        <v>173</v>
      </c>
      <c r="C78" s="28" t="s">
        <v>1072</v>
      </c>
      <c r="D78" s="28" t="s">
        <v>965</v>
      </c>
      <c r="E78" s="28" t="s">
        <v>23</v>
      </c>
      <c r="F78" s="174">
        <v>45666.663194444445</v>
      </c>
      <c r="G78" s="174">
        <v>45666.663194444445</v>
      </c>
      <c r="H78" s="28">
        <v>0</v>
      </c>
      <c r="I78" s="28" t="s">
        <v>45</v>
      </c>
      <c r="J78" s="28"/>
      <c r="K78" s="28"/>
      <c r="L78" s="28" t="s">
        <v>966</v>
      </c>
      <c r="M78" s="28">
        <v>660</v>
      </c>
      <c r="N78" s="19">
        <f t="shared" si="0"/>
        <v>0</v>
      </c>
      <c r="O78" s="19">
        <f t="shared" si="1"/>
        <v>660</v>
      </c>
      <c r="P78" s="28" t="s">
        <v>45</v>
      </c>
      <c r="Q78" s="28" t="s">
        <v>42</v>
      </c>
      <c r="R78" s="28">
        <v>660</v>
      </c>
      <c r="S78" s="28" t="s">
        <v>45</v>
      </c>
      <c r="T78" s="28">
        <v>1</v>
      </c>
      <c r="U78" s="28"/>
      <c r="V78" s="28"/>
      <c r="W78" s="28" t="s">
        <v>42</v>
      </c>
      <c r="X78" s="28" t="s">
        <v>1051</v>
      </c>
      <c r="Y78" s="28"/>
    </row>
    <row r="79" spans="1:25">
      <c r="A79" s="170">
        <v>2025</v>
      </c>
      <c r="B79" s="171" t="s">
        <v>208</v>
      </c>
      <c r="C79" s="28" t="s">
        <v>1073</v>
      </c>
      <c r="D79" s="28" t="s">
        <v>965</v>
      </c>
      <c r="E79" s="28" t="s">
        <v>22</v>
      </c>
      <c r="F79" s="27" t="s">
        <v>1074</v>
      </c>
      <c r="G79" s="27" t="s">
        <v>1074</v>
      </c>
      <c r="H79" s="28">
        <v>0</v>
      </c>
      <c r="I79" s="28" t="s">
        <v>45</v>
      </c>
      <c r="J79" s="28"/>
      <c r="K79" s="28"/>
      <c r="L79" s="28" t="s">
        <v>66</v>
      </c>
      <c r="M79" s="28">
        <v>174.6</v>
      </c>
      <c r="N79" s="19">
        <f t="shared" si="0"/>
        <v>174.6</v>
      </c>
      <c r="O79" s="19">
        <f t="shared" si="1"/>
        <v>0</v>
      </c>
      <c r="P79" s="28" t="s">
        <v>45</v>
      </c>
      <c r="Q79" s="28" t="s">
        <v>966</v>
      </c>
      <c r="R79" s="28">
        <v>174.6</v>
      </c>
      <c r="S79" s="28" t="s">
        <v>45</v>
      </c>
      <c r="T79" s="28">
        <v>1</v>
      </c>
      <c r="U79" s="28" t="s">
        <v>967</v>
      </c>
      <c r="V79" s="28"/>
      <c r="W79" s="28" t="s">
        <v>42</v>
      </c>
      <c r="X79" s="28" t="s">
        <v>1054</v>
      </c>
      <c r="Y79" s="28"/>
    </row>
    <row r="80" spans="1:25">
      <c r="A80" s="170">
        <v>2025</v>
      </c>
      <c r="B80" s="171" t="s">
        <v>208</v>
      </c>
      <c r="C80" s="28" t="s">
        <v>1075</v>
      </c>
      <c r="D80" s="28" t="s">
        <v>965</v>
      </c>
      <c r="E80" s="28" t="s">
        <v>22</v>
      </c>
      <c r="F80" s="27" t="s">
        <v>1076</v>
      </c>
      <c r="G80" s="27" t="s">
        <v>1076</v>
      </c>
      <c r="H80" s="28">
        <v>0</v>
      </c>
      <c r="I80" s="28" t="s">
        <v>45</v>
      </c>
      <c r="J80" s="28"/>
      <c r="K80" s="28"/>
      <c r="L80" s="28" t="s">
        <v>66</v>
      </c>
      <c r="M80" s="28">
        <v>390.49</v>
      </c>
      <c r="N80" s="19">
        <f t="shared" si="0"/>
        <v>390.49</v>
      </c>
      <c r="O80" s="19">
        <f t="shared" si="1"/>
        <v>0</v>
      </c>
      <c r="P80" s="28" t="s">
        <v>45</v>
      </c>
      <c r="Q80" s="28" t="s">
        <v>966</v>
      </c>
      <c r="R80" s="28">
        <v>390.49</v>
      </c>
      <c r="S80" s="28" t="s">
        <v>45</v>
      </c>
      <c r="T80" s="28">
        <v>1</v>
      </c>
      <c r="U80" s="28" t="s">
        <v>967</v>
      </c>
      <c r="V80" s="28"/>
      <c r="W80" s="28" t="s">
        <v>42</v>
      </c>
      <c r="X80" s="28" t="s">
        <v>1054</v>
      </c>
      <c r="Y80" s="28"/>
    </row>
    <row r="81" spans="1:25">
      <c r="A81" s="170">
        <v>2025</v>
      </c>
      <c r="B81" s="171" t="s">
        <v>208</v>
      </c>
      <c r="C81" s="28" t="s">
        <v>1077</v>
      </c>
      <c r="D81" s="28" t="s">
        <v>965</v>
      </c>
      <c r="E81" s="28" t="s">
        <v>22</v>
      </c>
      <c r="F81" s="27" t="s">
        <v>1078</v>
      </c>
      <c r="G81" s="27" t="s">
        <v>1078</v>
      </c>
      <c r="H81" s="28">
        <v>0</v>
      </c>
      <c r="I81" s="28" t="s">
        <v>45</v>
      </c>
      <c r="J81" s="28"/>
      <c r="K81" s="28"/>
      <c r="L81" s="28" t="s">
        <v>66</v>
      </c>
      <c r="M81" s="28">
        <v>134.68</v>
      </c>
      <c r="N81" s="19">
        <f t="shared" si="0"/>
        <v>134.68</v>
      </c>
      <c r="O81" s="19">
        <f t="shared" si="1"/>
        <v>0</v>
      </c>
      <c r="P81" s="28" t="s">
        <v>45</v>
      </c>
      <c r="Q81" s="28" t="s">
        <v>966</v>
      </c>
      <c r="R81" s="28">
        <v>134.68</v>
      </c>
      <c r="S81" s="28" t="s">
        <v>45</v>
      </c>
      <c r="T81" s="28">
        <v>1</v>
      </c>
      <c r="U81" s="28" t="s">
        <v>967</v>
      </c>
      <c r="V81" s="28"/>
      <c r="W81" s="28" t="s">
        <v>42</v>
      </c>
      <c r="X81" s="28" t="s">
        <v>1054</v>
      </c>
      <c r="Y81" s="28"/>
    </row>
    <row r="82" spans="1:25">
      <c r="A82" s="170">
        <v>2025</v>
      </c>
      <c r="B82" s="171" t="s">
        <v>208</v>
      </c>
      <c r="C82" s="28" t="s">
        <v>1079</v>
      </c>
      <c r="D82" s="28" t="s">
        <v>965</v>
      </c>
      <c r="E82" s="28" t="s">
        <v>23</v>
      </c>
      <c r="F82" s="174">
        <v>45879.563194444447</v>
      </c>
      <c r="G82" s="174">
        <v>45879.563194444447</v>
      </c>
      <c r="H82" s="28"/>
      <c r="I82" s="28"/>
      <c r="J82" s="28"/>
      <c r="K82" s="28"/>
      <c r="L82" s="28"/>
      <c r="M82" s="28">
        <v>262.5</v>
      </c>
      <c r="N82" s="19">
        <f t="shared" si="0"/>
        <v>0</v>
      </c>
      <c r="O82" s="19">
        <f t="shared" si="1"/>
        <v>262.5</v>
      </c>
      <c r="P82" s="28" t="s">
        <v>45</v>
      </c>
      <c r="Q82" s="28" t="s">
        <v>83</v>
      </c>
      <c r="R82" s="28">
        <v>262.5</v>
      </c>
      <c r="S82" s="28" t="s">
        <v>45</v>
      </c>
      <c r="T82" s="28">
        <v>1</v>
      </c>
      <c r="U82" s="28" t="s">
        <v>1080</v>
      </c>
      <c r="V82" s="28"/>
      <c r="W82" s="28" t="s">
        <v>42</v>
      </c>
      <c r="X82" s="28" t="s">
        <v>1051</v>
      </c>
      <c r="Y82" s="28"/>
    </row>
    <row r="83" spans="1:25">
      <c r="A83" s="170">
        <v>2025</v>
      </c>
      <c r="B83" s="171" t="s">
        <v>208</v>
      </c>
      <c r="C83" s="28" t="s">
        <v>1081</v>
      </c>
      <c r="D83" s="28" t="s">
        <v>965</v>
      </c>
      <c r="E83" s="28" t="s">
        <v>22</v>
      </c>
      <c r="F83" s="174">
        <v>45848.569444444445</v>
      </c>
      <c r="G83" s="174">
        <v>45848.570138888892</v>
      </c>
      <c r="H83" s="28">
        <v>0</v>
      </c>
      <c r="I83" s="28" t="s">
        <v>45</v>
      </c>
      <c r="J83" s="28"/>
      <c r="K83" s="28"/>
      <c r="L83" s="28" t="s">
        <v>988</v>
      </c>
      <c r="M83" s="28">
        <v>700</v>
      </c>
      <c r="N83" s="19">
        <f t="shared" si="0"/>
        <v>700</v>
      </c>
      <c r="O83" s="19">
        <f t="shared" si="1"/>
        <v>0</v>
      </c>
      <c r="P83" s="28" t="s">
        <v>45</v>
      </c>
      <c r="Q83" s="28" t="s">
        <v>966</v>
      </c>
      <c r="R83" s="28">
        <v>700</v>
      </c>
      <c r="S83" s="28" t="s">
        <v>45</v>
      </c>
      <c r="T83" s="28">
        <v>1</v>
      </c>
      <c r="U83" s="28" t="s">
        <v>967</v>
      </c>
      <c r="V83" s="28"/>
      <c r="W83" s="28" t="s">
        <v>42</v>
      </c>
      <c r="X83" s="28" t="s">
        <v>1054</v>
      </c>
      <c r="Y83" s="28"/>
    </row>
    <row r="84" spans="1:25">
      <c r="A84" s="170">
        <v>2025</v>
      </c>
      <c r="B84" s="171" t="s">
        <v>208</v>
      </c>
      <c r="C84" s="28" t="s">
        <v>1082</v>
      </c>
      <c r="D84" s="28" t="s">
        <v>965</v>
      </c>
      <c r="E84" s="28" t="s">
        <v>22</v>
      </c>
      <c r="F84" s="174">
        <v>45818.566666666666</v>
      </c>
      <c r="G84" s="174">
        <v>45818.566666666666</v>
      </c>
      <c r="H84" s="28">
        <v>0</v>
      </c>
      <c r="I84" s="28" t="s">
        <v>45</v>
      </c>
      <c r="J84" s="28"/>
      <c r="K84" s="28"/>
      <c r="L84" s="28" t="s">
        <v>66</v>
      </c>
      <c r="M84" s="28">
        <v>137.78</v>
      </c>
      <c r="N84" s="19">
        <f t="shared" si="0"/>
        <v>137.78</v>
      </c>
      <c r="O84" s="19">
        <f t="shared" si="1"/>
        <v>0</v>
      </c>
      <c r="P84" s="28" t="s">
        <v>45</v>
      </c>
      <c r="Q84" s="28" t="s">
        <v>966</v>
      </c>
      <c r="R84" s="28">
        <v>137.78</v>
      </c>
      <c r="S84" s="28" t="s">
        <v>45</v>
      </c>
      <c r="T84" s="28">
        <v>1</v>
      </c>
      <c r="U84" s="28" t="s">
        <v>967</v>
      </c>
      <c r="V84" s="28"/>
      <c r="W84" s="28" t="s">
        <v>42</v>
      </c>
      <c r="X84" s="28" t="s">
        <v>1054</v>
      </c>
      <c r="Y84" s="28"/>
    </row>
    <row r="85" spans="1:25">
      <c r="A85" s="170">
        <v>2025</v>
      </c>
      <c r="B85" s="171" t="s">
        <v>208</v>
      </c>
      <c r="C85" s="28" t="s">
        <v>1083</v>
      </c>
      <c r="D85" s="28" t="s">
        <v>965</v>
      </c>
      <c r="E85" s="28" t="s">
        <v>23</v>
      </c>
      <c r="F85" s="174">
        <v>45726.88958333333</v>
      </c>
      <c r="G85" s="174">
        <v>45726.88958333333</v>
      </c>
      <c r="H85" s="28">
        <v>0</v>
      </c>
      <c r="I85" s="28" t="s">
        <v>45</v>
      </c>
      <c r="J85" s="28"/>
      <c r="K85" s="28"/>
      <c r="L85" s="28" t="s">
        <v>966</v>
      </c>
      <c r="M85" s="28">
        <v>704</v>
      </c>
      <c r="N85" s="19">
        <f t="shared" si="0"/>
        <v>0</v>
      </c>
      <c r="O85" s="19">
        <f t="shared" si="1"/>
        <v>704</v>
      </c>
      <c r="P85" s="28" t="s">
        <v>45</v>
      </c>
      <c r="Q85" s="28" t="s">
        <v>42</v>
      </c>
      <c r="R85" s="28">
        <v>704</v>
      </c>
      <c r="S85" s="28" t="s">
        <v>45</v>
      </c>
      <c r="T85" s="28">
        <v>1</v>
      </c>
      <c r="U85" s="28"/>
      <c r="V85" s="28"/>
      <c r="W85" s="28" t="s">
        <v>42</v>
      </c>
      <c r="X85" s="28" t="s">
        <v>1051</v>
      </c>
      <c r="Y85" s="28"/>
    </row>
    <row r="86" spans="1:25">
      <c r="A86" s="170">
        <v>2025</v>
      </c>
      <c r="B86" s="171" t="s">
        <v>216</v>
      </c>
      <c r="C86" s="28" t="s">
        <v>1084</v>
      </c>
      <c r="D86" s="28" t="s">
        <v>965</v>
      </c>
      <c r="E86" s="28" t="s">
        <v>23</v>
      </c>
      <c r="F86" s="27" t="s">
        <v>1085</v>
      </c>
      <c r="G86" s="27" t="s">
        <v>1085</v>
      </c>
      <c r="H86" s="28">
        <v>0</v>
      </c>
      <c r="I86" s="28" t="s">
        <v>45</v>
      </c>
      <c r="J86" s="28"/>
      <c r="K86" s="28"/>
      <c r="L86" s="28" t="s">
        <v>966</v>
      </c>
      <c r="M86" s="28">
        <v>670</v>
      </c>
      <c r="N86" s="19">
        <f t="shared" si="0"/>
        <v>0</v>
      </c>
      <c r="O86" s="19">
        <f t="shared" si="1"/>
        <v>670</v>
      </c>
      <c r="P86" s="28" t="s">
        <v>45</v>
      </c>
      <c r="Q86" s="28" t="s">
        <v>42</v>
      </c>
      <c r="R86" s="28">
        <v>670</v>
      </c>
      <c r="S86" s="28" t="s">
        <v>45</v>
      </c>
      <c r="T86" s="28">
        <v>1</v>
      </c>
      <c r="U86" s="28"/>
      <c r="V86" s="28"/>
      <c r="W86" s="28" t="s">
        <v>42</v>
      </c>
      <c r="X86" s="28" t="s">
        <v>1051</v>
      </c>
      <c r="Y86" s="28"/>
    </row>
    <row r="87" spans="1:25">
      <c r="A87" s="170">
        <v>2025</v>
      </c>
      <c r="B87" s="171" t="s">
        <v>216</v>
      </c>
      <c r="C87" s="28" t="s">
        <v>1086</v>
      </c>
      <c r="D87" s="28" t="s">
        <v>965</v>
      </c>
      <c r="E87" s="28" t="s">
        <v>22</v>
      </c>
      <c r="F87" s="27" t="s">
        <v>1087</v>
      </c>
      <c r="G87" s="27" t="s">
        <v>1087</v>
      </c>
      <c r="H87" s="28">
        <v>0</v>
      </c>
      <c r="I87" s="28" t="s">
        <v>45</v>
      </c>
      <c r="J87" s="28"/>
      <c r="K87" s="28"/>
      <c r="L87" s="28" t="s">
        <v>66</v>
      </c>
      <c r="M87" s="28">
        <v>256.14999999999998</v>
      </c>
      <c r="N87" s="19">
        <f t="shared" si="0"/>
        <v>256.14999999999998</v>
      </c>
      <c r="O87" s="19">
        <f t="shared" si="1"/>
        <v>0</v>
      </c>
      <c r="P87" s="28" t="s">
        <v>45</v>
      </c>
      <c r="Q87" s="28" t="s">
        <v>966</v>
      </c>
      <c r="R87" s="28">
        <v>256.14999999999998</v>
      </c>
      <c r="S87" s="28" t="s">
        <v>45</v>
      </c>
      <c r="T87" s="28">
        <v>1</v>
      </c>
      <c r="U87" s="28" t="s">
        <v>967</v>
      </c>
      <c r="V87" s="28"/>
      <c r="W87" s="28" t="s">
        <v>42</v>
      </c>
      <c r="X87" s="28" t="s">
        <v>1054</v>
      </c>
      <c r="Y87" s="28"/>
    </row>
    <row r="88" spans="1:25">
      <c r="A88" s="170">
        <v>2025</v>
      </c>
      <c r="B88" s="171" t="s">
        <v>216</v>
      </c>
      <c r="C88" s="28" t="s">
        <v>1088</v>
      </c>
      <c r="D88" s="28" t="s">
        <v>965</v>
      </c>
      <c r="E88" s="28" t="s">
        <v>22</v>
      </c>
      <c r="F88" s="27" t="s">
        <v>1089</v>
      </c>
      <c r="G88" s="27" t="s">
        <v>1089</v>
      </c>
      <c r="H88" s="28">
        <v>0</v>
      </c>
      <c r="I88" s="28" t="s">
        <v>45</v>
      </c>
      <c r="J88" s="28"/>
      <c r="K88" s="28"/>
      <c r="L88" s="28" t="s">
        <v>66</v>
      </c>
      <c r="M88" s="28">
        <v>972.85</v>
      </c>
      <c r="N88" s="19">
        <f t="shared" si="0"/>
        <v>972.85</v>
      </c>
      <c r="O88" s="19">
        <f t="shared" si="1"/>
        <v>0</v>
      </c>
      <c r="P88" s="28" t="s">
        <v>45</v>
      </c>
      <c r="Q88" s="28" t="s">
        <v>966</v>
      </c>
      <c r="R88" s="28">
        <v>972.85</v>
      </c>
      <c r="S88" s="28" t="s">
        <v>45</v>
      </c>
      <c r="T88" s="28">
        <v>1</v>
      </c>
      <c r="U88" s="28" t="s">
        <v>967</v>
      </c>
      <c r="V88" s="28"/>
      <c r="W88" s="28" t="s">
        <v>42</v>
      </c>
      <c r="X88" s="28" t="s">
        <v>1054</v>
      </c>
      <c r="Y88" s="28"/>
    </row>
    <row r="89" spans="1:25">
      <c r="A89" s="170">
        <v>2025</v>
      </c>
      <c r="B89" s="171" t="s">
        <v>216</v>
      </c>
      <c r="C89" s="28" t="s">
        <v>1090</v>
      </c>
      <c r="D89" s="28" t="s">
        <v>965</v>
      </c>
      <c r="E89" s="28" t="s">
        <v>22</v>
      </c>
      <c r="F89" s="174">
        <v>45941.597916666666</v>
      </c>
      <c r="G89" s="174">
        <v>45941.599305555559</v>
      </c>
      <c r="H89" s="28">
        <v>0</v>
      </c>
      <c r="I89" s="28" t="s">
        <v>45</v>
      </c>
      <c r="J89" s="28"/>
      <c r="K89" s="28"/>
      <c r="L89" s="28" t="s">
        <v>66</v>
      </c>
      <c r="M89" s="28">
        <v>290.89999999999998</v>
      </c>
      <c r="N89" s="19">
        <f t="shared" si="0"/>
        <v>290.89999999999998</v>
      </c>
      <c r="O89" s="19">
        <f t="shared" si="1"/>
        <v>0</v>
      </c>
      <c r="P89" s="28" t="s">
        <v>45</v>
      </c>
      <c r="Q89" s="28" t="s">
        <v>966</v>
      </c>
      <c r="R89" s="28">
        <v>290.89999999999998</v>
      </c>
      <c r="S89" s="28" t="s">
        <v>45</v>
      </c>
      <c r="T89" s="28">
        <v>1</v>
      </c>
      <c r="U89" s="28" t="s">
        <v>967</v>
      </c>
      <c r="V89" s="28"/>
      <c r="W89" s="28" t="s">
        <v>42</v>
      </c>
      <c r="X89" s="28" t="s">
        <v>1054</v>
      </c>
      <c r="Y89" s="28"/>
    </row>
    <row r="90" spans="1:25">
      <c r="A90" s="170">
        <v>2025</v>
      </c>
      <c r="B90" s="171" t="s">
        <v>216</v>
      </c>
      <c r="C90" s="28" t="s">
        <v>1091</v>
      </c>
      <c r="D90" s="28" t="s">
        <v>965</v>
      </c>
      <c r="E90" s="28" t="s">
        <v>22</v>
      </c>
      <c r="F90" s="174">
        <v>45727.609027777777</v>
      </c>
      <c r="G90" s="174">
        <v>45727.609027777777</v>
      </c>
      <c r="H90" s="28">
        <v>0</v>
      </c>
      <c r="I90" s="28" t="s">
        <v>45</v>
      </c>
      <c r="J90" s="28"/>
      <c r="K90" s="28"/>
      <c r="L90" s="28" t="s">
        <v>66</v>
      </c>
      <c r="M90" s="28">
        <v>953.11</v>
      </c>
      <c r="N90" s="19">
        <f t="shared" si="0"/>
        <v>953.11</v>
      </c>
      <c r="O90" s="19">
        <f t="shared" si="1"/>
        <v>0</v>
      </c>
      <c r="P90" s="28" t="s">
        <v>45</v>
      </c>
      <c r="Q90" s="28" t="s">
        <v>966</v>
      </c>
      <c r="R90" s="28">
        <v>953.11</v>
      </c>
      <c r="S90" s="28" t="s">
        <v>45</v>
      </c>
      <c r="T90" s="28">
        <v>1</v>
      </c>
      <c r="U90" s="28" t="s">
        <v>967</v>
      </c>
      <c r="V90" s="28"/>
      <c r="W90" s="28" t="s">
        <v>42</v>
      </c>
      <c r="X90" s="28" t="s">
        <v>1054</v>
      </c>
      <c r="Y90" s="28"/>
    </row>
    <row r="91" spans="1:25">
      <c r="A91" s="170">
        <v>2025</v>
      </c>
      <c r="B91" s="171" t="s">
        <v>216</v>
      </c>
      <c r="C91" s="28" t="s">
        <v>1092</v>
      </c>
      <c r="D91" s="28" t="s">
        <v>965</v>
      </c>
      <c r="E91" s="28" t="s">
        <v>23</v>
      </c>
      <c r="F91" s="174">
        <v>45699.114583333336</v>
      </c>
      <c r="G91" s="174">
        <v>45699.115277777775</v>
      </c>
      <c r="H91" s="28">
        <v>0</v>
      </c>
      <c r="I91" s="28" t="s">
        <v>45</v>
      </c>
      <c r="J91" s="28"/>
      <c r="K91" s="28"/>
      <c r="L91" s="28" t="s">
        <v>966</v>
      </c>
      <c r="M91" s="28">
        <v>750</v>
      </c>
      <c r="N91" s="19">
        <f t="shared" si="0"/>
        <v>0</v>
      </c>
      <c r="O91" s="19">
        <f t="shared" si="1"/>
        <v>750</v>
      </c>
      <c r="P91" s="28" t="s">
        <v>45</v>
      </c>
      <c r="Q91" s="28" t="s">
        <v>42</v>
      </c>
      <c r="R91" s="28">
        <v>750</v>
      </c>
      <c r="S91" s="28" t="s">
        <v>45</v>
      </c>
      <c r="T91" s="28">
        <v>1</v>
      </c>
      <c r="U91" s="28"/>
      <c r="V91" s="28"/>
      <c r="W91" s="28" t="s">
        <v>42</v>
      </c>
      <c r="X91" s="28" t="s">
        <v>1051</v>
      </c>
      <c r="Y91" s="28"/>
    </row>
    <row r="92" spans="1:25">
      <c r="A92" s="170">
        <v>2025</v>
      </c>
      <c r="B92" s="171" t="s">
        <v>233</v>
      </c>
      <c r="C92" s="28" t="s">
        <v>1093</v>
      </c>
      <c r="D92" s="28" t="s">
        <v>965</v>
      </c>
      <c r="E92" s="28" t="s">
        <v>22</v>
      </c>
      <c r="F92" s="27" t="s">
        <v>1094</v>
      </c>
      <c r="G92" s="27" t="s">
        <v>1094</v>
      </c>
      <c r="H92" s="28">
        <v>0</v>
      </c>
      <c r="I92" s="28" t="s">
        <v>45</v>
      </c>
      <c r="J92" s="28"/>
      <c r="K92" s="28"/>
      <c r="L92" s="28" t="s">
        <v>66</v>
      </c>
      <c r="M92" s="28">
        <v>316.04000000000002</v>
      </c>
      <c r="N92" s="19">
        <f t="shared" si="0"/>
        <v>316.04000000000002</v>
      </c>
      <c r="O92" s="19">
        <f t="shared" si="1"/>
        <v>0</v>
      </c>
      <c r="P92" s="28" t="s">
        <v>45</v>
      </c>
      <c r="Q92" s="28" t="s">
        <v>966</v>
      </c>
      <c r="R92" s="28">
        <v>316.04000000000002</v>
      </c>
      <c r="S92" s="28" t="s">
        <v>45</v>
      </c>
      <c r="T92" s="28">
        <v>1</v>
      </c>
      <c r="U92" s="28" t="s">
        <v>967</v>
      </c>
      <c r="V92" s="28"/>
      <c r="W92" s="28" t="s">
        <v>42</v>
      </c>
      <c r="X92" s="28" t="s">
        <v>1054</v>
      </c>
      <c r="Y92" s="28"/>
    </row>
    <row r="93" spans="1:25">
      <c r="A93" s="170">
        <v>2025</v>
      </c>
      <c r="B93" s="171" t="s">
        <v>233</v>
      </c>
      <c r="C93" s="28" t="s">
        <v>1095</v>
      </c>
      <c r="D93" s="28" t="s">
        <v>965</v>
      </c>
      <c r="E93" s="28" t="s">
        <v>23</v>
      </c>
      <c r="F93" s="27" t="s">
        <v>1096</v>
      </c>
      <c r="G93" s="27" t="s">
        <v>1096</v>
      </c>
      <c r="H93" s="28">
        <v>0</v>
      </c>
      <c r="I93" s="28" t="s">
        <v>45</v>
      </c>
      <c r="J93" s="28"/>
      <c r="K93" s="28"/>
      <c r="L93" s="28" t="s">
        <v>966</v>
      </c>
      <c r="M93" s="28">
        <v>400</v>
      </c>
      <c r="N93" s="19">
        <f t="shared" si="0"/>
        <v>0</v>
      </c>
      <c r="O93" s="19">
        <f t="shared" si="1"/>
        <v>400</v>
      </c>
      <c r="P93" s="28" t="s">
        <v>45</v>
      </c>
      <c r="Q93" s="28" t="s">
        <v>1097</v>
      </c>
      <c r="R93" s="28">
        <v>400</v>
      </c>
      <c r="S93" s="28" t="s">
        <v>45</v>
      </c>
      <c r="T93" s="28">
        <v>1</v>
      </c>
      <c r="U93" s="28">
        <v>505685</v>
      </c>
      <c r="V93" s="28"/>
      <c r="W93" s="28" t="s">
        <v>42</v>
      </c>
      <c r="X93" s="28" t="s">
        <v>1051</v>
      </c>
      <c r="Y93" s="28"/>
    </row>
    <row r="94" spans="1:25">
      <c r="A94" s="170">
        <v>2025</v>
      </c>
      <c r="B94" s="171" t="s">
        <v>233</v>
      </c>
      <c r="C94" s="28" t="s">
        <v>1098</v>
      </c>
      <c r="D94" s="28" t="s">
        <v>965</v>
      </c>
      <c r="E94" s="28" t="s">
        <v>22</v>
      </c>
      <c r="F94" s="27" t="s">
        <v>1099</v>
      </c>
      <c r="G94" s="27" t="s">
        <v>1099</v>
      </c>
      <c r="H94" s="28">
        <v>0</v>
      </c>
      <c r="I94" s="28" t="s">
        <v>45</v>
      </c>
      <c r="J94" s="28"/>
      <c r="K94" s="28"/>
      <c r="L94" s="28" t="s">
        <v>66</v>
      </c>
      <c r="M94" s="28">
        <v>336.82</v>
      </c>
      <c r="N94" s="19">
        <f t="shared" si="0"/>
        <v>336.82</v>
      </c>
      <c r="O94" s="19">
        <f t="shared" si="1"/>
        <v>0</v>
      </c>
      <c r="P94" s="28" t="s">
        <v>45</v>
      </c>
      <c r="Q94" s="28" t="s">
        <v>966</v>
      </c>
      <c r="R94" s="28">
        <v>336.82</v>
      </c>
      <c r="S94" s="28" t="s">
        <v>45</v>
      </c>
      <c r="T94" s="28">
        <v>1</v>
      </c>
      <c r="U94" s="28" t="s">
        <v>967</v>
      </c>
      <c r="V94" s="28"/>
      <c r="W94" s="28" t="s">
        <v>42</v>
      </c>
      <c r="X94" s="28" t="s">
        <v>1054</v>
      </c>
      <c r="Y94" s="28"/>
    </row>
    <row r="95" spans="1:25">
      <c r="A95" s="170">
        <v>2025</v>
      </c>
      <c r="B95" s="171" t="s">
        <v>233</v>
      </c>
      <c r="C95" s="28" t="s">
        <v>1100</v>
      </c>
      <c r="D95" s="28" t="s">
        <v>965</v>
      </c>
      <c r="E95" s="28" t="s">
        <v>22</v>
      </c>
      <c r="F95" s="27" t="s">
        <v>1101</v>
      </c>
      <c r="G95" s="27" t="s">
        <v>1101</v>
      </c>
      <c r="H95" s="28">
        <v>0</v>
      </c>
      <c r="I95" s="28" t="s">
        <v>45</v>
      </c>
      <c r="J95" s="28"/>
      <c r="K95" s="28"/>
      <c r="L95" s="28" t="s">
        <v>66</v>
      </c>
      <c r="M95" s="28">
        <v>69.12</v>
      </c>
      <c r="N95" s="19">
        <f t="shared" si="0"/>
        <v>69.12</v>
      </c>
      <c r="O95" s="19">
        <f t="shared" si="1"/>
        <v>0</v>
      </c>
      <c r="P95" s="28" t="s">
        <v>45</v>
      </c>
      <c r="Q95" s="28" t="s">
        <v>966</v>
      </c>
      <c r="R95" s="28">
        <v>69.12</v>
      </c>
      <c r="S95" s="28" t="s">
        <v>45</v>
      </c>
      <c r="T95" s="28">
        <v>1</v>
      </c>
      <c r="U95" s="28" t="s">
        <v>967</v>
      </c>
      <c r="V95" s="28"/>
      <c r="W95" s="28" t="s">
        <v>42</v>
      </c>
      <c r="X95" s="28" t="s">
        <v>1054</v>
      </c>
      <c r="Y95" s="28"/>
    </row>
    <row r="96" spans="1:25">
      <c r="A96" s="170">
        <v>2025</v>
      </c>
      <c r="B96" s="171" t="s">
        <v>233</v>
      </c>
      <c r="C96" s="28" t="s">
        <v>1102</v>
      </c>
      <c r="D96" s="28" t="s">
        <v>965</v>
      </c>
      <c r="E96" s="28" t="s">
        <v>23</v>
      </c>
      <c r="F96" s="27" t="s">
        <v>1103</v>
      </c>
      <c r="G96" s="27" t="s">
        <v>1103</v>
      </c>
      <c r="H96" s="28">
        <v>1.1299999999999999</v>
      </c>
      <c r="I96" s="28" t="s">
        <v>45</v>
      </c>
      <c r="J96" s="28"/>
      <c r="K96" s="28"/>
      <c r="L96" s="28" t="s">
        <v>966</v>
      </c>
      <c r="M96" s="28">
        <v>1100</v>
      </c>
      <c r="N96" s="19">
        <f t="shared" si="0"/>
        <v>0</v>
      </c>
      <c r="O96" s="19">
        <f t="shared" si="1"/>
        <v>1101.1300000000001</v>
      </c>
      <c r="P96" s="28" t="s">
        <v>45</v>
      </c>
      <c r="Q96" s="28" t="s">
        <v>1104</v>
      </c>
      <c r="R96" s="28">
        <v>1100</v>
      </c>
      <c r="S96" s="28" t="s">
        <v>45</v>
      </c>
      <c r="T96" s="28">
        <v>1</v>
      </c>
      <c r="U96" s="28" t="s">
        <v>168</v>
      </c>
      <c r="V96" s="28"/>
      <c r="W96" s="28" t="s">
        <v>42</v>
      </c>
      <c r="X96" s="28" t="s">
        <v>1051</v>
      </c>
      <c r="Y96" s="28"/>
    </row>
    <row r="97" spans="1:25">
      <c r="A97" s="170">
        <v>2025</v>
      </c>
      <c r="B97" s="171" t="s">
        <v>233</v>
      </c>
      <c r="C97" s="28" t="s">
        <v>1105</v>
      </c>
      <c r="D97" s="28" t="s">
        <v>965</v>
      </c>
      <c r="E97" s="28" t="s">
        <v>22</v>
      </c>
      <c r="F97" s="174">
        <v>45881.597916666666</v>
      </c>
      <c r="G97" s="174">
        <v>45881.598611111112</v>
      </c>
      <c r="H97" s="28">
        <v>0</v>
      </c>
      <c r="I97" s="28" t="s">
        <v>45</v>
      </c>
      <c r="J97" s="28"/>
      <c r="K97" s="28"/>
      <c r="L97" s="28" t="s">
        <v>66</v>
      </c>
      <c r="M97" s="28">
        <v>87.82</v>
      </c>
      <c r="N97" s="19">
        <f t="shared" si="0"/>
        <v>87.82</v>
      </c>
      <c r="O97" s="19">
        <f t="shared" si="1"/>
        <v>0</v>
      </c>
      <c r="P97" s="28" t="s">
        <v>45</v>
      </c>
      <c r="Q97" s="28" t="s">
        <v>966</v>
      </c>
      <c r="R97" s="28">
        <v>87.82</v>
      </c>
      <c r="S97" s="28" t="s">
        <v>45</v>
      </c>
      <c r="T97" s="28">
        <v>1</v>
      </c>
      <c r="U97" s="28" t="s">
        <v>967</v>
      </c>
      <c r="V97" s="28"/>
      <c r="W97" s="28" t="s">
        <v>42</v>
      </c>
      <c r="X97" s="28" t="s">
        <v>1054</v>
      </c>
      <c r="Y97" s="28"/>
    </row>
    <row r="98" spans="1:25">
      <c r="A98" s="170">
        <v>2025</v>
      </c>
      <c r="B98" s="171" t="s">
        <v>233</v>
      </c>
      <c r="C98" s="28" t="s">
        <v>1106</v>
      </c>
      <c r="D98" s="28" t="s">
        <v>965</v>
      </c>
      <c r="E98" s="28" t="s">
        <v>22</v>
      </c>
      <c r="F98" s="174">
        <v>45669.598611111112</v>
      </c>
      <c r="G98" s="174">
        <v>45669.598611111112</v>
      </c>
      <c r="H98" s="28">
        <v>0</v>
      </c>
      <c r="I98" s="28" t="s">
        <v>45</v>
      </c>
      <c r="J98" s="28"/>
      <c r="K98" s="28"/>
      <c r="L98" s="28" t="s">
        <v>66</v>
      </c>
      <c r="M98" s="28">
        <v>168.51</v>
      </c>
      <c r="N98" s="19">
        <f t="shared" si="0"/>
        <v>168.51</v>
      </c>
      <c r="O98" s="19">
        <f t="shared" si="1"/>
        <v>0</v>
      </c>
      <c r="P98" s="28" t="s">
        <v>45</v>
      </c>
      <c r="Q98" s="28" t="s">
        <v>966</v>
      </c>
      <c r="R98" s="28">
        <v>168.51</v>
      </c>
      <c r="S98" s="28" t="s">
        <v>45</v>
      </c>
      <c r="T98" s="28">
        <v>1</v>
      </c>
      <c r="U98" s="28" t="s">
        <v>967</v>
      </c>
      <c r="V98" s="28"/>
      <c r="W98" s="28" t="s">
        <v>42</v>
      </c>
      <c r="X98" s="28" t="s">
        <v>1054</v>
      </c>
      <c r="Y98" s="28"/>
    </row>
    <row r="99" spans="1:25">
      <c r="B99" s="175"/>
      <c r="F99" s="12"/>
      <c r="G99" s="12"/>
    </row>
    <row r="100" spans="1:25">
      <c r="B100" s="175"/>
      <c r="F100" s="12"/>
      <c r="G100" s="12"/>
    </row>
    <row r="101" spans="1:25">
      <c r="B101" s="175"/>
      <c r="F101" s="12"/>
      <c r="G101" s="12"/>
    </row>
    <row r="102" spans="1:25">
      <c r="B102" s="175"/>
      <c r="F102" s="12"/>
      <c r="G102" s="12"/>
    </row>
    <row r="103" spans="1:25">
      <c r="B103" s="175"/>
      <c r="F103" s="12"/>
      <c r="G103" s="12"/>
    </row>
    <row r="104" spans="1:25">
      <c r="B104" s="175"/>
      <c r="F104" s="12"/>
      <c r="G104" s="12"/>
    </row>
    <row r="105" spans="1:25">
      <c r="B105" s="175"/>
      <c r="F105" s="12"/>
      <c r="G105" s="12"/>
    </row>
    <row r="106" spans="1:25">
      <c r="B106" s="175"/>
      <c r="F106" s="12"/>
      <c r="G106" s="12"/>
    </row>
    <row r="107" spans="1:25">
      <c r="B107" s="175"/>
      <c r="F107" s="12"/>
      <c r="G107" s="12"/>
    </row>
    <row r="108" spans="1:25">
      <c r="B108" s="175"/>
      <c r="F108" s="12"/>
      <c r="G108" s="12"/>
    </row>
    <row r="109" spans="1:25">
      <c r="B109" s="175"/>
      <c r="F109" s="12"/>
      <c r="G109" s="12"/>
    </row>
    <row r="110" spans="1:25">
      <c r="B110" s="175"/>
      <c r="F110" s="12"/>
      <c r="G110" s="12"/>
    </row>
    <row r="111" spans="1:25">
      <c r="B111" s="175"/>
      <c r="F111" s="12"/>
      <c r="G111" s="12"/>
    </row>
    <row r="112" spans="1:25">
      <c r="B112" s="175"/>
      <c r="F112" s="12"/>
      <c r="G112" s="12"/>
    </row>
    <row r="113" spans="2:7">
      <c r="B113" s="175"/>
      <c r="F113" s="12"/>
      <c r="G113" s="12"/>
    </row>
    <row r="114" spans="2:7">
      <c r="B114" s="175"/>
      <c r="F114" s="12"/>
      <c r="G114" s="12"/>
    </row>
    <row r="115" spans="2:7">
      <c r="B115" s="175"/>
      <c r="F115" s="12"/>
      <c r="G115" s="12"/>
    </row>
    <row r="116" spans="2:7">
      <c r="B116" s="175"/>
      <c r="F116" s="12"/>
      <c r="G116" s="12"/>
    </row>
    <row r="117" spans="2:7">
      <c r="B117" s="175"/>
      <c r="F117" s="12"/>
      <c r="G117" s="12"/>
    </row>
    <row r="118" spans="2:7">
      <c r="B118" s="175"/>
      <c r="F118" s="12"/>
      <c r="G118" s="12"/>
    </row>
    <row r="119" spans="2:7">
      <c r="B119" s="175"/>
      <c r="F119" s="12"/>
      <c r="G119" s="12"/>
    </row>
    <row r="120" spans="2:7">
      <c r="B120" s="175"/>
      <c r="F120" s="12"/>
      <c r="G120" s="12"/>
    </row>
    <row r="121" spans="2:7">
      <c r="B121" s="175"/>
      <c r="F121" s="12"/>
      <c r="G121" s="12"/>
    </row>
    <row r="122" spans="2:7">
      <c r="B122" s="175"/>
      <c r="F122" s="12"/>
      <c r="G122" s="12"/>
    </row>
    <row r="123" spans="2:7">
      <c r="B123" s="175"/>
      <c r="F123" s="12"/>
      <c r="G123" s="12"/>
    </row>
    <row r="124" spans="2:7">
      <c r="B124" s="175"/>
      <c r="F124" s="12"/>
      <c r="G124" s="12"/>
    </row>
    <row r="125" spans="2:7">
      <c r="B125" s="175"/>
      <c r="F125" s="12"/>
      <c r="G125" s="12"/>
    </row>
    <row r="126" spans="2:7">
      <c r="B126" s="175"/>
      <c r="F126" s="12"/>
      <c r="G126" s="12"/>
    </row>
    <row r="127" spans="2:7">
      <c r="B127" s="175"/>
      <c r="F127" s="12"/>
      <c r="G127" s="12"/>
    </row>
    <row r="128" spans="2:7">
      <c r="B128" s="175"/>
      <c r="F128" s="12"/>
      <c r="G128" s="12"/>
    </row>
    <row r="129" spans="2:7">
      <c r="B129" s="175"/>
      <c r="F129" s="12"/>
      <c r="G129" s="12"/>
    </row>
    <row r="130" spans="2:7">
      <c r="B130" s="175"/>
      <c r="F130" s="12"/>
      <c r="G130" s="12"/>
    </row>
    <row r="131" spans="2:7">
      <c r="B131" s="175"/>
      <c r="F131" s="12"/>
      <c r="G131" s="12"/>
    </row>
    <row r="132" spans="2:7">
      <c r="B132" s="175"/>
      <c r="F132" s="12"/>
      <c r="G132" s="12"/>
    </row>
    <row r="133" spans="2:7">
      <c r="B133" s="175"/>
      <c r="F133" s="12"/>
      <c r="G133" s="12"/>
    </row>
    <row r="134" spans="2:7">
      <c r="B134" s="175"/>
      <c r="F134" s="12"/>
      <c r="G134" s="12"/>
    </row>
    <row r="135" spans="2:7">
      <c r="B135" s="175"/>
      <c r="F135" s="12"/>
      <c r="G135" s="12"/>
    </row>
    <row r="136" spans="2:7">
      <c r="B136" s="175"/>
      <c r="F136" s="12"/>
      <c r="G136" s="12"/>
    </row>
    <row r="137" spans="2:7">
      <c r="B137" s="175"/>
      <c r="F137" s="12"/>
      <c r="G137" s="12"/>
    </row>
    <row r="138" spans="2:7">
      <c r="B138" s="175"/>
      <c r="F138" s="12"/>
      <c r="G138" s="12"/>
    </row>
    <row r="139" spans="2:7">
      <c r="B139" s="175"/>
      <c r="F139" s="12"/>
      <c r="G139" s="12"/>
    </row>
    <row r="140" spans="2:7">
      <c r="B140" s="175"/>
      <c r="F140" s="12"/>
      <c r="G140" s="12"/>
    </row>
    <row r="141" spans="2:7">
      <c r="B141" s="175"/>
      <c r="F141" s="12"/>
      <c r="G141" s="12"/>
    </row>
    <row r="142" spans="2:7">
      <c r="B142" s="175"/>
      <c r="F142" s="12"/>
      <c r="G142" s="12"/>
    </row>
    <row r="143" spans="2:7">
      <c r="B143" s="175"/>
      <c r="F143" s="12"/>
      <c r="G143" s="12"/>
    </row>
    <row r="144" spans="2:7">
      <c r="B144" s="175"/>
      <c r="F144" s="12"/>
      <c r="G144" s="12"/>
    </row>
    <row r="145" spans="2:7">
      <c r="B145" s="175"/>
      <c r="F145" s="12"/>
      <c r="G145" s="12"/>
    </row>
    <row r="146" spans="2:7">
      <c r="B146" s="175"/>
      <c r="F146" s="12"/>
      <c r="G146" s="12"/>
    </row>
    <row r="147" spans="2:7">
      <c r="B147" s="175"/>
      <c r="F147" s="12"/>
      <c r="G147" s="12"/>
    </row>
    <row r="148" spans="2:7">
      <c r="B148" s="175"/>
      <c r="F148" s="12"/>
      <c r="G148" s="12"/>
    </row>
    <row r="149" spans="2:7">
      <c r="B149" s="175"/>
      <c r="F149" s="12"/>
      <c r="G149" s="12"/>
    </row>
    <row r="150" spans="2:7">
      <c r="B150" s="175"/>
      <c r="F150" s="12"/>
      <c r="G150" s="12"/>
    </row>
    <row r="151" spans="2:7">
      <c r="B151" s="175"/>
      <c r="F151" s="12"/>
      <c r="G151" s="12"/>
    </row>
    <row r="152" spans="2:7">
      <c r="B152" s="175"/>
      <c r="F152" s="12"/>
      <c r="G152" s="12"/>
    </row>
    <row r="153" spans="2:7">
      <c r="B153" s="175"/>
      <c r="F153" s="12"/>
      <c r="G153" s="12"/>
    </row>
    <row r="154" spans="2:7">
      <c r="B154" s="175"/>
      <c r="F154" s="12"/>
      <c r="G154" s="12"/>
    </row>
    <row r="155" spans="2:7">
      <c r="B155" s="175"/>
      <c r="F155" s="12"/>
      <c r="G155" s="12"/>
    </row>
    <row r="156" spans="2:7">
      <c r="B156" s="175"/>
      <c r="F156" s="12"/>
      <c r="G156" s="12"/>
    </row>
    <row r="157" spans="2:7">
      <c r="B157" s="175"/>
      <c r="F157" s="12"/>
      <c r="G157" s="12"/>
    </row>
    <row r="158" spans="2:7">
      <c r="B158" s="175"/>
      <c r="F158" s="12"/>
      <c r="G158" s="12"/>
    </row>
    <row r="159" spans="2:7">
      <c r="B159" s="175"/>
      <c r="F159" s="12"/>
      <c r="G159" s="12"/>
    </row>
    <row r="160" spans="2:7">
      <c r="B160" s="175"/>
      <c r="F160" s="12"/>
      <c r="G160" s="12"/>
    </row>
    <row r="161" spans="2:7">
      <c r="B161" s="175"/>
      <c r="F161" s="12"/>
      <c r="G161" s="12"/>
    </row>
    <row r="162" spans="2:7">
      <c r="B162" s="175"/>
      <c r="F162" s="12"/>
      <c r="G162" s="12"/>
    </row>
    <row r="163" spans="2:7">
      <c r="B163" s="175"/>
      <c r="F163" s="12"/>
      <c r="G163" s="12"/>
    </row>
    <row r="164" spans="2:7">
      <c r="B164" s="175"/>
      <c r="F164" s="12"/>
      <c r="G164" s="12"/>
    </row>
    <row r="165" spans="2:7">
      <c r="B165" s="175"/>
      <c r="F165" s="12"/>
      <c r="G165" s="12"/>
    </row>
    <row r="166" spans="2:7">
      <c r="B166" s="175"/>
      <c r="F166" s="12"/>
      <c r="G166" s="12"/>
    </row>
    <row r="167" spans="2:7">
      <c r="B167" s="175"/>
      <c r="F167" s="12"/>
      <c r="G167" s="12"/>
    </row>
    <row r="168" spans="2:7">
      <c r="B168" s="175"/>
      <c r="F168" s="12"/>
      <c r="G168" s="12"/>
    </row>
    <row r="169" spans="2:7">
      <c r="B169" s="175"/>
      <c r="F169" s="12"/>
      <c r="G169" s="12"/>
    </row>
    <row r="170" spans="2:7">
      <c r="B170" s="175"/>
      <c r="F170" s="12"/>
      <c r="G170" s="12"/>
    </row>
    <row r="171" spans="2:7">
      <c r="B171" s="175"/>
      <c r="F171" s="12"/>
      <c r="G171" s="12"/>
    </row>
    <row r="172" spans="2:7">
      <c r="B172" s="175"/>
      <c r="F172" s="12"/>
      <c r="G172" s="12"/>
    </row>
    <row r="173" spans="2:7">
      <c r="B173" s="175"/>
      <c r="F173" s="12"/>
      <c r="G173" s="12"/>
    </row>
    <row r="174" spans="2:7">
      <c r="B174" s="175"/>
      <c r="F174" s="12"/>
      <c r="G174" s="12"/>
    </row>
    <row r="175" spans="2:7">
      <c r="B175" s="175"/>
      <c r="F175" s="12"/>
      <c r="G175" s="12"/>
    </row>
    <row r="176" spans="2:7">
      <c r="B176" s="175"/>
      <c r="F176" s="12"/>
      <c r="G176" s="12"/>
    </row>
    <row r="177" spans="2:7">
      <c r="B177" s="175"/>
      <c r="F177" s="12"/>
      <c r="G177" s="12"/>
    </row>
    <row r="178" spans="2:7">
      <c r="B178" s="175"/>
      <c r="F178" s="12"/>
      <c r="G178" s="12"/>
    </row>
    <row r="179" spans="2:7">
      <c r="B179" s="175"/>
      <c r="F179" s="12"/>
      <c r="G179" s="12"/>
    </row>
    <row r="180" spans="2:7">
      <c r="B180" s="175"/>
      <c r="F180" s="12"/>
      <c r="G180" s="12"/>
    </row>
    <row r="181" spans="2:7">
      <c r="B181" s="175"/>
      <c r="F181" s="12"/>
      <c r="G181" s="12"/>
    </row>
    <row r="182" spans="2:7">
      <c r="B182" s="175"/>
      <c r="F182" s="12"/>
      <c r="G182" s="12"/>
    </row>
    <row r="183" spans="2:7">
      <c r="B183" s="175"/>
      <c r="F183" s="12"/>
      <c r="G183" s="12"/>
    </row>
    <row r="184" spans="2:7">
      <c r="B184" s="175"/>
      <c r="F184" s="12"/>
      <c r="G184" s="12"/>
    </row>
    <row r="185" spans="2:7">
      <c r="B185" s="175"/>
      <c r="F185" s="12"/>
      <c r="G185" s="12"/>
    </row>
    <row r="186" spans="2:7">
      <c r="B186" s="175"/>
      <c r="F186" s="12"/>
      <c r="G186" s="12"/>
    </row>
    <row r="187" spans="2:7">
      <c r="B187" s="175"/>
      <c r="F187" s="12"/>
      <c r="G187" s="12"/>
    </row>
    <row r="188" spans="2:7">
      <c r="B188" s="175"/>
      <c r="F188" s="12"/>
      <c r="G188" s="12"/>
    </row>
    <row r="189" spans="2:7">
      <c r="B189" s="175"/>
      <c r="F189" s="12"/>
      <c r="G189" s="12"/>
    </row>
    <row r="190" spans="2:7">
      <c r="B190" s="175"/>
      <c r="F190" s="12"/>
      <c r="G190" s="12"/>
    </row>
    <row r="191" spans="2:7">
      <c r="B191" s="175"/>
      <c r="F191" s="12"/>
      <c r="G191" s="12"/>
    </row>
    <row r="192" spans="2:7">
      <c r="B192" s="175"/>
      <c r="F192" s="12"/>
      <c r="G192" s="12"/>
    </row>
    <row r="193" spans="2:7">
      <c r="B193" s="175"/>
      <c r="F193" s="12"/>
      <c r="G193" s="12"/>
    </row>
    <row r="194" spans="2:7">
      <c r="B194" s="175"/>
      <c r="F194" s="12"/>
      <c r="G194" s="12"/>
    </row>
    <row r="195" spans="2:7">
      <c r="B195" s="175"/>
      <c r="F195" s="12"/>
      <c r="G195" s="12"/>
    </row>
    <row r="196" spans="2:7">
      <c r="B196" s="175"/>
      <c r="F196" s="12"/>
      <c r="G196" s="12"/>
    </row>
    <row r="197" spans="2:7">
      <c r="B197" s="175"/>
      <c r="F197" s="12"/>
      <c r="G197" s="12"/>
    </row>
    <row r="198" spans="2:7">
      <c r="B198" s="175"/>
      <c r="F198" s="12"/>
      <c r="G198" s="12"/>
    </row>
    <row r="199" spans="2:7">
      <c r="B199" s="175"/>
      <c r="F199" s="12"/>
      <c r="G199" s="12"/>
    </row>
    <row r="200" spans="2:7">
      <c r="B200" s="175"/>
      <c r="F200" s="12"/>
      <c r="G200" s="12"/>
    </row>
    <row r="201" spans="2:7">
      <c r="B201" s="175"/>
      <c r="F201" s="12"/>
      <c r="G201" s="12"/>
    </row>
    <row r="202" spans="2:7">
      <c r="B202" s="175"/>
      <c r="F202" s="12"/>
      <c r="G202" s="12"/>
    </row>
    <row r="203" spans="2:7">
      <c r="B203" s="175"/>
      <c r="F203" s="12"/>
      <c r="G203" s="12"/>
    </row>
    <row r="204" spans="2:7">
      <c r="B204" s="175"/>
      <c r="F204" s="12"/>
      <c r="G204" s="12"/>
    </row>
    <row r="205" spans="2:7">
      <c r="B205" s="175"/>
      <c r="F205" s="12"/>
      <c r="G205" s="12"/>
    </row>
    <row r="206" spans="2:7">
      <c r="B206" s="175"/>
      <c r="F206" s="12"/>
      <c r="G206" s="12"/>
    </row>
    <row r="207" spans="2:7">
      <c r="B207" s="175"/>
      <c r="F207" s="12"/>
      <c r="G207" s="12"/>
    </row>
    <row r="208" spans="2:7">
      <c r="B208" s="175"/>
      <c r="F208" s="12"/>
      <c r="G208" s="12"/>
    </row>
    <row r="209" spans="2:7">
      <c r="B209" s="175"/>
      <c r="F209" s="12"/>
      <c r="G209" s="12"/>
    </row>
    <row r="210" spans="2:7">
      <c r="B210" s="175"/>
      <c r="F210" s="12"/>
      <c r="G210" s="12"/>
    </row>
    <row r="211" spans="2:7">
      <c r="B211" s="175"/>
      <c r="F211" s="12"/>
      <c r="G211" s="12"/>
    </row>
    <row r="212" spans="2:7">
      <c r="B212" s="175"/>
      <c r="F212" s="12"/>
      <c r="G212" s="12"/>
    </row>
    <row r="213" spans="2:7">
      <c r="B213" s="175"/>
      <c r="F213" s="12"/>
      <c r="G213" s="12"/>
    </row>
    <row r="214" spans="2:7">
      <c r="B214" s="175"/>
      <c r="F214" s="12"/>
      <c r="G214" s="12"/>
    </row>
    <row r="215" spans="2:7">
      <c r="B215" s="175"/>
      <c r="F215" s="12"/>
      <c r="G215" s="12"/>
    </row>
    <row r="216" spans="2:7">
      <c r="B216" s="175"/>
      <c r="F216" s="12"/>
      <c r="G216" s="12"/>
    </row>
    <row r="217" spans="2:7">
      <c r="B217" s="175"/>
      <c r="F217" s="12"/>
      <c r="G217" s="12"/>
    </row>
    <row r="218" spans="2:7">
      <c r="B218" s="175"/>
      <c r="F218" s="12"/>
      <c r="G218" s="12"/>
    </row>
    <row r="219" spans="2:7">
      <c r="B219" s="175"/>
      <c r="F219" s="12"/>
      <c r="G219" s="12"/>
    </row>
    <row r="220" spans="2:7">
      <c r="B220" s="175"/>
      <c r="F220" s="12"/>
      <c r="G220" s="12"/>
    </row>
    <row r="221" spans="2:7">
      <c r="B221" s="175"/>
      <c r="F221" s="12"/>
      <c r="G221" s="12"/>
    </row>
    <row r="222" spans="2:7">
      <c r="B222" s="175"/>
      <c r="F222" s="12"/>
      <c r="G222" s="12"/>
    </row>
    <row r="223" spans="2:7">
      <c r="B223" s="175"/>
      <c r="F223" s="12"/>
      <c r="G223" s="12"/>
    </row>
    <row r="224" spans="2:7">
      <c r="B224" s="175"/>
      <c r="F224" s="12"/>
      <c r="G224" s="12"/>
    </row>
    <row r="225" spans="2:7">
      <c r="B225" s="175"/>
      <c r="F225" s="12"/>
      <c r="G225" s="12"/>
    </row>
    <row r="226" spans="2:7">
      <c r="B226" s="175"/>
      <c r="F226" s="12"/>
      <c r="G226" s="12"/>
    </row>
    <row r="227" spans="2:7">
      <c r="B227" s="175"/>
      <c r="F227" s="12"/>
      <c r="G227" s="12"/>
    </row>
    <row r="228" spans="2:7">
      <c r="B228" s="175"/>
      <c r="F228" s="12"/>
      <c r="G228" s="12"/>
    </row>
    <row r="229" spans="2:7">
      <c r="B229" s="175"/>
      <c r="F229" s="12"/>
      <c r="G229" s="12"/>
    </row>
    <row r="230" spans="2:7">
      <c r="B230" s="175"/>
      <c r="F230" s="12"/>
      <c r="G230" s="12"/>
    </row>
    <row r="231" spans="2:7">
      <c r="B231" s="175"/>
      <c r="F231" s="12"/>
      <c r="G231" s="12"/>
    </row>
    <row r="232" spans="2:7">
      <c r="B232" s="175"/>
      <c r="F232" s="12"/>
      <c r="G232" s="12"/>
    </row>
    <row r="233" spans="2:7">
      <c r="B233" s="175"/>
      <c r="F233" s="12"/>
      <c r="G233" s="12"/>
    </row>
    <row r="234" spans="2:7">
      <c r="B234" s="175"/>
      <c r="F234" s="12"/>
      <c r="G234" s="12"/>
    </row>
    <row r="235" spans="2:7">
      <c r="B235" s="175"/>
      <c r="F235" s="12"/>
      <c r="G235" s="12"/>
    </row>
    <row r="236" spans="2:7">
      <c r="B236" s="175"/>
      <c r="F236" s="12"/>
      <c r="G236" s="12"/>
    </row>
    <row r="237" spans="2:7">
      <c r="B237" s="175"/>
      <c r="F237" s="12"/>
      <c r="G237" s="12"/>
    </row>
    <row r="238" spans="2:7">
      <c r="B238" s="175"/>
      <c r="F238" s="12"/>
      <c r="G238" s="12"/>
    </row>
    <row r="239" spans="2:7">
      <c r="B239" s="175"/>
      <c r="F239" s="12"/>
      <c r="G239" s="12"/>
    </row>
    <row r="240" spans="2:7">
      <c r="B240" s="175"/>
      <c r="F240" s="12"/>
      <c r="G240" s="12"/>
    </row>
    <row r="241" spans="2:7">
      <c r="B241" s="175"/>
      <c r="F241" s="12"/>
      <c r="G241" s="12"/>
    </row>
    <row r="242" spans="2:7">
      <c r="B242" s="175"/>
      <c r="F242" s="12"/>
      <c r="G242" s="12"/>
    </row>
    <row r="243" spans="2:7">
      <c r="B243" s="175"/>
      <c r="F243" s="12"/>
      <c r="G243" s="12"/>
    </row>
    <row r="244" spans="2:7">
      <c r="B244" s="175"/>
      <c r="F244" s="12"/>
      <c r="G244" s="12"/>
    </row>
    <row r="245" spans="2:7">
      <c r="B245" s="175"/>
      <c r="F245" s="12"/>
      <c r="G245" s="12"/>
    </row>
    <row r="246" spans="2:7">
      <c r="B246" s="175"/>
      <c r="F246" s="12"/>
      <c r="G246" s="12"/>
    </row>
    <row r="247" spans="2:7">
      <c r="B247" s="175"/>
      <c r="F247" s="12"/>
      <c r="G247" s="12"/>
    </row>
    <row r="248" spans="2:7">
      <c r="B248" s="175"/>
      <c r="F248" s="12"/>
      <c r="G248" s="12"/>
    </row>
    <row r="249" spans="2:7">
      <c r="B249" s="175"/>
      <c r="F249" s="12"/>
      <c r="G249" s="12"/>
    </row>
    <row r="250" spans="2:7">
      <c r="B250" s="175"/>
      <c r="F250" s="12"/>
      <c r="G250" s="12"/>
    </row>
    <row r="251" spans="2:7">
      <c r="B251" s="175"/>
      <c r="F251" s="12"/>
      <c r="G251" s="12"/>
    </row>
    <row r="252" spans="2:7">
      <c r="B252" s="175"/>
      <c r="F252" s="12"/>
      <c r="G252" s="12"/>
    </row>
    <row r="253" spans="2:7">
      <c r="B253" s="175"/>
      <c r="F253" s="12"/>
      <c r="G253" s="12"/>
    </row>
    <row r="254" spans="2:7">
      <c r="B254" s="175"/>
      <c r="F254" s="12"/>
      <c r="G254" s="12"/>
    </row>
    <row r="255" spans="2:7">
      <c r="B255" s="175"/>
      <c r="F255" s="12"/>
      <c r="G255" s="12"/>
    </row>
    <row r="256" spans="2:7">
      <c r="B256" s="175"/>
      <c r="F256" s="12"/>
      <c r="G256" s="12"/>
    </row>
    <row r="257" spans="2:7">
      <c r="B257" s="175"/>
      <c r="F257" s="12"/>
      <c r="G257" s="12"/>
    </row>
    <row r="258" spans="2:7">
      <c r="B258" s="175"/>
      <c r="F258" s="12"/>
      <c r="G258" s="12"/>
    </row>
    <row r="259" spans="2:7">
      <c r="B259" s="175"/>
      <c r="F259" s="12"/>
      <c r="G259" s="12"/>
    </row>
    <row r="260" spans="2:7">
      <c r="B260" s="175"/>
      <c r="F260" s="12"/>
      <c r="G260" s="12"/>
    </row>
    <row r="261" spans="2:7">
      <c r="B261" s="175"/>
      <c r="F261" s="12"/>
      <c r="G261" s="12"/>
    </row>
    <row r="262" spans="2:7">
      <c r="B262" s="175"/>
      <c r="F262" s="12"/>
      <c r="G262" s="12"/>
    </row>
    <row r="263" spans="2:7">
      <c r="B263" s="175"/>
      <c r="F263" s="12"/>
      <c r="G263" s="12"/>
    </row>
    <row r="264" spans="2:7">
      <c r="B264" s="175"/>
      <c r="F264" s="12"/>
      <c r="G264" s="12"/>
    </row>
    <row r="265" spans="2:7">
      <c r="B265" s="175"/>
      <c r="F265" s="12"/>
      <c r="G265" s="12"/>
    </row>
    <row r="266" spans="2:7">
      <c r="B266" s="175"/>
      <c r="F266" s="12"/>
      <c r="G266" s="12"/>
    </row>
    <row r="267" spans="2:7">
      <c r="B267" s="175"/>
      <c r="F267" s="12"/>
      <c r="G267" s="12"/>
    </row>
    <row r="268" spans="2:7">
      <c r="B268" s="175"/>
      <c r="F268" s="12"/>
      <c r="G268" s="12"/>
    </row>
    <row r="269" spans="2:7">
      <c r="B269" s="175"/>
      <c r="F269" s="12"/>
      <c r="G269" s="12"/>
    </row>
    <row r="270" spans="2:7">
      <c r="B270" s="175"/>
      <c r="F270" s="12"/>
      <c r="G270" s="12"/>
    </row>
    <row r="271" spans="2:7">
      <c r="B271" s="175"/>
      <c r="F271" s="12"/>
      <c r="G271" s="12"/>
    </row>
    <row r="272" spans="2:7">
      <c r="B272" s="175"/>
      <c r="F272" s="12"/>
      <c r="G272" s="12"/>
    </row>
    <row r="273" spans="2:7">
      <c r="B273" s="175"/>
      <c r="F273" s="12"/>
      <c r="G273" s="12"/>
    </row>
    <row r="274" spans="2:7">
      <c r="B274" s="175"/>
      <c r="F274" s="12"/>
      <c r="G274" s="12"/>
    </row>
    <row r="275" spans="2:7">
      <c r="B275" s="175"/>
      <c r="F275" s="12"/>
      <c r="G275" s="12"/>
    </row>
    <row r="276" spans="2:7">
      <c r="B276" s="175"/>
      <c r="F276" s="12"/>
      <c r="G276" s="12"/>
    </row>
    <row r="277" spans="2:7">
      <c r="B277" s="175"/>
      <c r="F277" s="12"/>
      <c r="G277" s="12"/>
    </row>
    <row r="278" spans="2:7">
      <c r="B278" s="175"/>
      <c r="F278" s="12"/>
      <c r="G278" s="12"/>
    </row>
    <row r="279" spans="2:7">
      <c r="B279" s="175"/>
      <c r="F279" s="12"/>
      <c r="G279" s="12"/>
    </row>
    <row r="280" spans="2:7">
      <c r="B280" s="175"/>
      <c r="F280" s="12"/>
      <c r="G280" s="12"/>
    </row>
    <row r="281" spans="2:7">
      <c r="B281" s="175"/>
      <c r="F281" s="12"/>
      <c r="G281" s="12"/>
    </row>
    <row r="282" spans="2:7">
      <c r="B282" s="175"/>
      <c r="F282" s="12"/>
      <c r="G282" s="12"/>
    </row>
    <row r="283" spans="2:7">
      <c r="B283" s="175"/>
      <c r="F283" s="12"/>
      <c r="G283" s="12"/>
    </row>
    <row r="284" spans="2:7">
      <c r="B284" s="175"/>
      <c r="F284" s="12"/>
      <c r="G284" s="12"/>
    </row>
    <row r="285" spans="2:7">
      <c r="B285" s="175"/>
      <c r="F285" s="12"/>
      <c r="G285" s="12"/>
    </row>
    <row r="286" spans="2:7">
      <c r="B286" s="175"/>
      <c r="F286" s="12"/>
      <c r="G286" s="12"/>
    </row>
    <row r="287" spans="2:7">
      <c r="B287" s="175"/>
      <c r="F287" s="12"/>
      <c r="G287" s="12"/>
    </row>
    <row r="288" spans="2:7">
      <c r="B288" s="175"/>
      <c r="F288" s="12"/>
      <c r="G288" s="12"/>
    </row>
    <row r="289" spans="2:7">
      <c r="B289" s="175"/>
      <c r="F289" s="12"/>
      <c r="G289" s="12"/>
    </row>
    <row r="290" spans="2:7">
      <c r="B290" s="175"/>
      <c r="F290" s="12"/>
      <c r="G290" s="12"/>
    </row>
    <row r="291" spans="2:7">
      <c r="B291" s="175"/>
      <c r="F291" s="12"/>
      <c r="G291" s="12"/>
    </row>
    <row r="292" spans="2:7">
      <c r="B292" s="175"/>
      <c r="F292" s="12"/>
      <c r="G292" s="12"/>
    </row>
    <row r="293" spans="2:7">
      <c r="B293" s="175"/>
      <c r="F293" s="12"/>
      <c r="G293" s="12"/>
    </row>
    <row r="294" spans="2:7">
      <c r="B294" s="175"/>
      <c r="F294" s="12"/>
      <c r="G294" s="12"/>
    </row>
    <row r="295" spans="2:7">
      <c r="B295" s="175"/>
      <c r="F295" s="12"/>
      <c r="G295" s="12"/>
    </row>
    <row r="296" spans="2:7">
      <c r="B296" s="175"/>
      <c r="F296" s="12"/>
      <c r="G296" s="12"/>
    </row>
    <row r="297" spans="2:7">
      <c r="B297" s="175"/>
      <c r="F297" s="12"/>
      <c r="G297" s="12"/>
    </row>
    <row r="298" spans="2:7">
      <c r="B298" s="175"/>
      <c r="F298" s="12"/>
      <c r="G298" s="12"/>
    </row>
    <row r="299" spans="2:7">
      <c r="B299" s="175"/>
      <c r="F299" s="12"/>
      <c r="G299" s="12"/>
    </row>
    <row r="300" spans="2:7">
      <c r="B300" s="175"/>
      <c r="F300" s="12"/>
      <c r="G300" s="12"/>
    </row>
    <row r="301" spans="2:7">
      <c r="B301" s="175"/>
      <c r="F301" s="12"/>
      <c r="G301" s="12"/>
    </row>
    <row r="302" spans="2:7">
      <c r="B302" s="175"/>
      <c r="F302" s="12"/>
      <c r="G302" s="12"/>
    </row>
    <row r="303" spans="2:7">
      <c r="B303" s="175"/>
      <c r="F303" s="12"/>
      <c r="G303" s="12"/>
    </row>
    <row r="304" spans="2:7">
      <c r="B304" s="175"/>
      <c r="F304" s="12"/>
      <c r="G304" s="12"/>
    </row>
    <row r="305" spans="2:7">
      <c r="B305" s="175"/>
      <c r="F305" s="12"/>
      <c r="G305" s="12"/>
    </row>
    <row r="306" spans="2:7">
      <c r="B306" s="175"/>
      <c r="F306" s="12"/>
      <c r="G306" s="12"/>
    </row>
    <row r="307" spans="2:7">
      <c r="B307" s="175"/>
      <c r="F307" s="12"/>
      <c r="G307" s="12"/>
    </row>
    <row r="308" spans="2:7">
      <c r="B308" s="175"/>
      <c r="F308" s="12"/>
      <c r="G308" s="12"/>
    </row>
    <row r="309" spans="2:7">
      <c r="B309" s="175"/>
      <c r="F309" s="12"/>
      <c r="G309" s="12"/>
    </row>
    <row r="310" spans="2:7">
      <c r="B310" s="175"/>
      <c r="F310" s="12"/>
      <c r="G310" s="12"/>
    </row>
    <row r="311" spans="2:7">
      <c r="B311" s="175"/>
      <c r="F311" s="12"/>
      <c r="G311" s="12"/>
    </row>
    <row r="312" spans="2:7">
      <c r="B312" s="175"/>
      <c r="F312" s="12"/>
      <c r="G312" s="12"/>
    </row>
    <row r="313" spans="2:7">
      <c r="B313" s="175"/>
      <c r="F313" s="12"/>
      <c r="G313" s="12"/>
    </row>
    <row r="314" spans="2:7">
      <c r="B314" s="175"/>
      <c r="F314" s="12"/>
      <c r="G314" s="12"/>
    </row>
    <row r="315" spans="2:7">
      <c r="B315" s="175"/>
      <c r="F315" s="12"/>
      <c r="G315" s="12"/>
    </row>
    <row r="316" spans="2:7">
      <c r="B316" s="175"/>
      <c r="F316" s="12"/>
      <c r="G316" s="12"/>
    </row>
    <row r="317" spans="2:7">
      <c r="B317" s="175"/>
      <c r="F317" s="12"/>
      <c r="G317" s="12"/>
    </row>
    <row r="318" spans="2:7">
      <c r="B318" s="175"/>
      <c r="F318" s="12"/>
      <c r="G318" s="12"/>
    </row>
    <row r="319" spans="2:7">
      <c r="B319" s="175"/>
      <c r="F319" s="12"/>
      <c r="G319" s="12"/>
    </row>
    <row r="320" spans="2:7">
      <c r="B320" s="175"/>
      <c r="F320" s="12"/>
      <c r="G320" s="12"/>
    </row>
    <row r="321" spans="2:7">
      <c r="B321" s="175"/>
      <c r="F321" s="12"/>
      <c r="G321" s="12"/>
    </row>
    <row r="322" spans="2:7">
      <c r="B322" s="175"/>
      <c r="F322" s="12"/>
      <c r="G322" s="12"/>
    </row>
    <row r="323" spans="2:7">
      <c r="B323" s="175"/>
      <c r="F323" s="12"/>
      <c r="G323" s="12"/>
    </row>
    <row r="324" spans="2:7">
      <c r="B324" s="175"/>
      <c r="F324" s="12"/>
      <c r="G324" s="12"/>
    </row>
    <row r="325" spans="2:7">
      <c r="B325" s="175"/>
      <c r="F325" s="12"/>
      <c r="G325" s="12"/>
    </row>
    <row r="326" spans="2:7">
      <c r="B326" s="175"/>
      <c r="F326" s="12"/>
      <c r="G326" s="12"/>
    </row>
    <row r="327" spans="2:7">
      <c r="B327" s="175"/>
      <c r="F327" s="12"/>
      <c r="G327" s="12"/>
    </row>
    <row r="328" spans="2:7">
      <c r="B328" s="175"/>
      <c r="F328" s="12"/>
      <c r="G328" s="12"/>
    </row>
    <row r="329" spans="2:7">
      <c r="B329" s="175"/>
      <c r="F329" s="12"/>
      <c r="G329" s="12"/>
    </row>
    <row r="330" spans="2:7">
      <c r="B330" s="175"/>
      <c r="F330" s="12"/>
      <c r="G330" s="12"/>
    </row>
    <row r="331" spans="2:7">
      <c r="B331" s="175"/>
      <c r="F331" s="12"/>
      <c r="G331" s="12"/>
    </row>
    <row r="332" spans="2:7">
      <c r="B332" s="175"/>
      <c r="F332" s="12"/>
      <c r="G332" s="12"/>
    </row>
    <row r="333" spans="2:7">
      <c r="B333" s="175"/>
      <c r="F333" s="12"/>
      <c r="G333" s="12"/>
    </row>
    <row r="334" spans="2:7">
      <c r="B334" s="175"/>
      <c r="F334" s="12"/>
      <c r="G334" s="12"/>
    </row>
    <row r="335" spans="2:7">
      <c r="B335" s="175"/>
      <c r="F335" s="12"/>
      <c r="G335" s="12"/>
    </row>
    <row r="336" spans="2:7">
      <c r="B336" s="175"/>
      <c r="F336" s="12"/>
      <c r="G336" s="12"/>
    </row>
    <row r="337" spans="2:7">
      <c r="B337" s="175"/>
      <c r="F337" s="12"/>
      <c r="G337" s="12"/>
    </row>
    <row r="338" spans="2:7">
      <c r="B338" s="175"/>
      <c r="F338" s="12"/>
      <c r="G338" s="12"/>
    </row>
    <row r="339" spans="2:7">
      <c r="B339" s="175"/>
      <c r="F339" s="12"/>
      <c r="G339" s="12"/>
    </row>
    <row r="340" spans="2:7">
      <c r="B340" s="175"/>
      <c r="F340" s="12"/>
      <c r="G340" s="12"/>
    </row>
    <row r="341" spans="2:7">
      <c r="B341" s="175"/>
      <c r="F341" s="12"/>
      <c r="G341" s="12"/>
    </row>
    <row r="342" spans="2:7">
      <c r="B342" s="175"/>
      <c r="F342" s="12"/>
      <c r="G342" s="12"/>
    </row>
    <row r="343" spans="2:7">
      <c r="B343" s="175"/>
      <c r="F343" s="12"/>
      <c r="G343" s="12"/>
    </row>
    <row r="344" spans="2:7">
      <c r="B344" s="175"/>
      <c r="F344" s="12"/>
      <c r="G344" s="12"/>
    </row>
    <row r="345" spans="2:7">
      <c r="B345" s="175"/>
      <c r="F345" s="12"/>
      <c r="G345" s="12"/>
    </row>
    <row r="346" spans="2:7">
      <c r="B346" s="175"/>
      <c r="F346" s="12"/>
      <c r="G346" s="12"/>
    </row>
    <row r="347" spans="2:7">
      <c r="B347" s="175"/>
      <c r="F347" s="12"/>
      <c r="G347" s="12"/>
    </row>
    <row r="348" spans="2:7">
      <c r="B348" s="175"/>
      <c r="F348" s="12"/>
      <c r="G348" s="12"/>
    </row>
    <row r="349" spans="2:7">
      <c r="B349" s="175"/>
      <c r="F349" s="12"/>
      <c r="G349" s="12"/>
    </row>
    <row r="350" spans="2:7">
      <c r="B350" s="175"/>
      <c r="F350" s="12"/>
      <c r="G350" s="12"/>
    </row>
    <row r="351" spans="2:7">
      <c r="B351" s="175"/>
      <c r="F351" s="12"/>
      <c r="G351" s="12"/>
    </row>
    <row r="352" spans="2:7">
      <c r="B352" s="175"/>
      <c r="F352" s="12"/>
      <c r="G352" s="12"/>
    </row>
    <row r="353" spans="2:7">
      <c r="B353" s="175"/>
      <c r="F353" s="12"/>
      <c r="G353" s="12"/>
    </row>
    <row r="354" spans="2:7">
      <c r="B354" s="175"/>
      <c r="F354" s="12"/>
      <c r="G354" s="12"/>
    </row>
    <row r="355" spans="2:7">
      <c r="B355" s="175"/>
      <c r="F355" s="12"/>
      <c r="G355" s="12"/>
    </row>
    <row r="356" spans="2:7">
      <c r="B356" s="175"/>
      <c r="F356" s="12"/>
      <c r="G356" s="12"/>
    </row>
    <row r="357" spans="2:7">
      <c r="B357" s="175"/>
      <c r="F357" s="12"/>
      <c r="G357" s="12"/>
    </row>
    <row r="358" spans="2:7">
      <c r="B358" s="175"/>
      <c r="F358" s="12"/>
      <c r="G358" s="12"/>
    </row>
    <row r="359" spans="2:7">
      <c r="B359" s="175"/>
      <c r="F359" s="12"/>
      <c r="G359" s="12"/>
    </row>
    <row r="360" spans="2:7">
      <c r="B360" s="175"/>
      <c r="F360" s="12"/>
      <c r="G360" s="12"/>
    </row>
    <row r="361" spans="2:7">
      <c r="B361" s="175"/>
      <c r="F361" s="12"/>
      <c r="G361" s="12"/>
    </row>
    <row r="362" spans="2:7">
      <c r="B362" s="175"/>
      <c r="F362" s="12"/>
      <c r="G362" s="12"/>
    </row>
    <row r="363" spans="2:7">
      <c r="B363" s="175"/>
      <c r="F363" s="12"/>
      <c r="G363" s="12"/>
    </row>
    <row r="364" spans="2:7">
      <c r="B364" s="175"/>
      <c r="F364" s="12"/>
      <c r="G364" s="12"/>
    </row>
    <row r="365" spans="2:7">
      <c r="B365" s="175"/>
      <c r="F365" s="12"/>
      <c r="G365" s="12"/>
    </row>
    <row r="366" spans="2:7">
      <c r="B366" s="175"/>
      <c r="F366" s="12"/>
      <c r="G366" s="12"/>
    </row>
    <row r="367" spans="2:7">
      <c r="B367" s="175"/>
      <c r="F367" s="12"/>
      <c r="G367" s="12"/>
    </row>
    <row r="368" spans="2:7">
      <c r="B368" s="175"/>
      <c r="F368" s="12"/>
      <c r="G368" s="12"/>
    </row>
    <row r="369" spans="2:7">
      <c r="B369" s="175"/>
      <c r="F369" s="12"/>
      <c r="G369" s="12"/>
    </row>
    <row r="370" spans="2:7">
      <c r="B370" s="175"/>
      <c r="F370" s="12"/>
      <c r="G370" s="12"/>
    </row>
    <row r="371" spans="2:7">
      <c r="B371" s="175"/>
      <c r="F371" s="12"/>
      <c r="G371" s="12"/>
    </row>
    <row r="372" spans="2:7">
      <c r="B372" s="175"/>
      <c r="F372" s="12"/>
      <c r="G372" s="12"/>
    </row>
    <row r="373" spans="2:7">
      <c r="B373" s="175"/>
      <c r="F373" s="12"/>
      <c r="G373" s="12"/>
    </row>
    <row r="374" spans="2:7">
      <c r="B374" s="175"/>
      <c r="F374" s="12"/>
      <c r="G374" s="12"/>
    </row>
    <row r="375" spans="2:7">
      <c r="B375" s="175"/>
      <c r="F375" s="12"/>
      <c r="G375" s="12"/>
    </row>
    <row r="376" spans="2:7">
      <c r="B376" s="175"/>
      <c r="F376" s="12"/>
      <c r="G376" s="12"/>
    </row>
    <row r="377" spans="2:7">
      <c r="B377" s="175"/>
      <c r="F377" s="12"/>
      <c r="G377" s="12"/>
    </row>
    <row r="378" spans="2:7">
      <c r="B378" s="175"/>
      <c r="F378" s="12"/>
      <c r="G378" s="12"/>
    </row>
    <row r="379" spans="2:7">
      <c r="B379" s="175"/>
      <c r="F379" s="12"/>
      <c r="G379" s="12"/>
    </row>
    <row r="380" spans="2:7">
      <c r="B380" s="175"/>
      <c r="F380" s="12"/>
      <c r="G380" s="12"/>
    </row>
    <row r="381" spans="2:7">
      <c r="B381" s="175"/>
      <c r="F381" s="12"/>
      <c r="G381" s="12"/>
    </row>
    <row r="382" spans="2:7">
      <c r="B382" s="175"/>
      <c r="F382" s="12"/>
      <c r="G382" s="12"/>
    </row>
    <row r="383" spans="2:7">
      <c r="B383" s="175"/>
      <c r="F383" s="12"/>
      <c r="G383" s="12"/>
    </row>
    <row r="384" spans="2:7">
      <c r="B384" s="175"/>
      <c r="F384" s="12"/>
      <c r="G384" s="12"/>
    </row>
    <row r="385" spans="2:7">
      <c r="B385" s="175"/>
      <c r="F385" s="12"/>
      <c r="G385" s="12"/>
    </row>
    <row r="386" spans="2:7">
      <c r="B386" s="175"/>
      <c r="F386" s="12"/>
      <c r="G386" s="12"/>
    </row>
    <row r="387" spans="2:7">
      <c r="B387" s="175"/>
      <c r="F387" s="12"/>
      <c r="G387" s="12"/>
    </row>
    <row r="388" spans="2:7">
      <c r="B388" s="175"/>
      <c r="F388" s="12"/>
      <c r="G388" s="12"/>
    </row>
    <row r="389" spans="2:7">
      <c r="B389" s="175"/>
      <c r="F389" s="12"/>
      <c r="G389" s="12"/>
    </row>
    <row r="390" spans="2:7">
      <c r="B390" s="175"/>
      <c r="F390" s="12"/>
      <c r="G390" s="12"/>
    </row>
    <row r="391" spans="2:7">
      <c r="B391" s="175"/>
      <c r="F391" s="12"/>
      <c r="G391" s="12"/>
    </row>
    <row r="392" spans="2:7">
      <c r="B392" s="175"/>
      <c r="F392" s="12"/>
      <c r="G392" s="12"/>
    </row>
    <row r="393" spans="2:7">
      <c r="B393" s="175"/>
      <c r="F393" s="12"/>
      <c r="G393" s="12"/>
    </row>
    <row r="394" spans="2:7">
      <c r="B394" s="175"/>
      <c r="F394" s="12"/>
      <c r="G394" s="12"/>
    </row>
    <row r="395" spans="2:7">
      <c r="B395" s="175"/>
      <c r="F395" s="12"/>
      <c r="G395" s="12"/>
    </row>
    <row r="396" spans="2:7">
      <c r="B396" s="175"/>
      <c r="F396" s="12"/>
      <c r="G396" s="12"/>
    </row>
    <row r="397" spans="2:7">
      <c r="B397" s="175"/>
      <c r="F397" s="12"/>
      <c r="G397" s="12"/>
    </row>
    <row r="398" spans="2:7">
      <c r="B398" s="175"/>
      <c r="F398" s="12"/>
      <c r="G398" s="12"/>
    </row>
    <row r="399" spans="2:7">
      <c r="B399" s="175"/>
      <c r="F399" s="12"/>
      <c r="G399" s="12"/>
    </row>
    <row r="400" spans="2:7">
      <c r="B400" s="175"/>
      <c r="F400" s="12"/>
      <c r="G400" s="12"/>
    </row>
    <row r="401" spans="2:7">
      <c r="B401" s="175"/>
      <c r="F401" s="12"/>
      <c r="G401" s="12"/>
    </row>
    <row r="402" spans="2:7">
      <c r="B402" s="175"/>
      <c r="F402" s="12"/>
      <c r="G402" s="12"/>
    </row>
    <row r="403" spans="2:7">
      <c r="B403" s="175"/>
      <c r="F403" s="12"/>
      <c r="G403" s="12"/>
    </row>
    <row r="404" spans="2:7">
      <c r="B404" s="175"/>
      <c r="F404" s="12"/>
      <c r="G404" s="12"/>
    </row>
    <row r="405" spans="2:7">
      <c r="B405" s="175"/>
      <c r="F405" s="12"/>
      <c r="G405" s="12"/>
    </row>
    <row r="406" spans="2:7">
      <c r="B406" s="175"/>
      <c r="F406" s="12"/>
      <c r="G406" s="12"/>
    </row>
    <row r="407" spans="2:7">
      <c r="B407" s="175"/>
      <c r="F407" s="12"/>
      <c r="G407" s="12"/>
    </row>
    <row r="408" spans="2:7">
      <c r="B408" s="175"/>
      <c r="F408" s="12"/>
      <c r="G408" s="12"/>
    </row>
    <row r="409" spans="2:7">
      <c r="B409" s="175"/>
      <c r="F409" s="12"/>
      <c r="G409" s="12"/>
    </row>
    <row r="410" spans="2:7">
      <c r="B410" s="175"/>
      <c r="F410" s="12"/>
      <c r="G410" s="12"/>
    </row>
    <row r="411" spans="2:7">
      <c r="B411" s="175"/>
      <c r="F411" s="12"/>
      <c r="G411" s="12"/>
    </row>
    <row r="412" spans="2:7">
      <c r="B412" s="175"/>
      <c r="F412" s="12"/>
      <c r="G412" s="12"/>
    </row>
    <row r="413" spans="2:7">
      <c r="B413" s="175"/>
      <c r="F413" s="12"/>
      <c r="G413" s="12"/>
    </row>
    <row r="414" spans="2:7">
      <c r="B414" s="175"/>
      <c r="F414" s="12"/>
      <c r="G414" s="12"/>
    </row>
    <row r="415" spans="2:7">
      <c r="B415" s="175"/>
      <c r="F415" s="12"/>
      <c r="G415" s="12"/>
    </row>
    <row r="416" spans="2:7">
      <c r="B416" s="175"/>
      <c r="F416" s="12"/>
      <c r="G416" s="12"/>
    </row>
    <row r="417" spans="2:7">
      <c r="B417" s="175"/>
      <c r="F417" s="12"/>
      <c r="G417" s="12"/>
    </row>
    <row r="418" spans="2:7">
      <c r="B418" s="175"/>
      <c r="F418" s="12"/>
      <c r="G418" s="12"/>
    </row>
    <row r="419" spans="2:7">
      <c r="B419" s="175"/>
      <c r="F419" s="12"/>
      <c r="G419" s="12"/>
    </row>
    <row r="420" spans="2:7">
      <c r="B420" s="175"/>
      <c r="F420" s="12"/>
      <c r="G420" s="12"/>
    </row>
    <row r="421" spans="2:7">
      <c r="B421" s="175"/>
      <c r="F421" s="12"/>
      <c r="G421" s="12"/>
    </row>
    <row r="422" spans="2:7">
      <c r="B422" s="175"/>
      <c r="F422" s="12"/>
      <c r="G422" s="12"/>
    </row>
    <row r="423" spans="2:7">
      <c r="B423" s="175"/>
      <c r="F423" s="12"/>
      <c r="G423" s="12"/>
    </row>
    <row r="424" spans="2:7">
      <c r="B424" s="175"/>
      <c r="F424" s="12"/>
      <c r="G424" s="12"/>
    </row>
    <row r="425" spans="2:7">
      <c r="B425" s="175"/>
      <c r="F425" s="12"/>
      <c r="G425" s="12"/>
    </row>
    <row r="426" spans="2:7">
      <c r="B426" s="175"/>
      <c r="F426" s="12"/>
      <c r="G426" s="12"/>
    </row>
    <row r="427" spans="2:7">
      <c r="B427" s="175"/>
      <c r="F427" s="12"/>
      <c r="G427" s="12"/>
    </row>
    <row r="428" spans="2:7">
      <c r="B428" s="175"/>
      <c r="F428" s="12"/>
      <c r="G428" s="12"/>
    </row>
    <row r="429" spans="2:7">
      <c r="B429" s="175"/>
      <c r="F429" s="12"/>
      <c r="G429" s="12"/>
    </row>
    <row r="430" spans="2:7">
      <c r="B430" s="175"/>
      <c r="F430" s="12"/>
      <c r="G430" s="12"/>
    </row>
    <row r="431" spans="2:7">
      <c r="B431" s="175"/>
      <c r="F431" s="12"/>
      <c r="G431" s="12"/>
    </row>
    <row r="432" spans="2:7">
      <c r="B432" s="175"/>
      <c r="F432" s="12"/>
      <c r="G432" s="12"/>
    </row>
    <row r="433" spans="2:7">
      <c r="B433" s="175"/>
      <c r="F433" s="12"/>
      <c r="G433" s="12"/>
    </row>
    <row r="434" spans="2:7">
      <c r="B434" s="175"/>
      <c r="F434" s="12"/>
      <c r="G434" s="12"/>
    </row>
    <row r="435" spans="2:7">
      <c r="B435" s="175"/>
      <c r="F435" s="12"/>
      <c r="G435" s="12"/>
    </row>
    <row r="436" spans="2:7">
      <c r="B436" s="175"/>
      <c r="F436" s="12"/>
      <c r="G436" s="12"/>
    </row>
    <row r="437" spans="2:7">
      <c r="B437" s="175"/>
      <c r="F437" s="12"/>
      <c r="G437" s="12"/>
    </row>
    <row r="438" spans="2:7">
      <c r="B438" s="175"/>
      <c r="F438" s="12"/>
      <c r="G438" s="12"/>
    </row>
    <row r="439" spans="2:7">
      <c r="B439" s="175"/>
      <c r="F439" s="12"/>
      <c r="G439" s="12"/>
    </row>
    <row r="440" spans="2:7">
      <c r="B440" s="175"/>
      <c r="F440" s="12"/>
      <c r="G440" s="12"/>
    </row>
    <row r="441" spans="2:7">
      <c r="B441" s="175"/>
      <c r="F441" s="12"/>
      <c r="G441" s="12"/>
    </row>
    <row r="442" spans="2:7">
      <c r="B442" s="175"/>
      <c r="F442" s="12"/>
      <c r="G442" s="12"/>
    </row>
    <row r="443" spans="2:7">
      <c r="B443" s="175"/>
      <c r="F443" s="12"/>
      <c r="G443" s="12"/>
    </row>
    <row r="444" spans="2:7">
      <c r="B444" s="175"/>
      <c r="F444" s="12"/>
      <c r="G444" s="12"/>
    </row>
    <row r="445" spans="2:7">
      <c r="B445" s="175"/>
      <c r="F445" s="12"/>
      <c r="G445" s="12"/>
    </row>
    <row r="446" spans="2:7">
      <c r="B446" s="175"/>
      <c r="F446" s="12"/>
      <c r="G446" s="12"/>
    </row>
    <row r="447" spans="2:7">
      <c r="B447" s="175"/>
      <c r="F447" s="12"/>
      <c r="G447" s="12"/>
    </row>
    <row r="448" spans="2:7">
      <c r="B448" s="175"/>
      <c r="F448" s="12"/>
      <c r="G448" s="12"/>
    </row>
    <row r="449" spans="2:7">
      <c r="B449" s="175"/>
      <c r="F449" s="12"/>
      <c r="G449" s="12"/>
    </row>
    <row r="450" spans="2:7">
      <c r="B450" s="175"/>
      <c r="F450" s="12"/>
      <c r="G450" s="12"/>
    </row>
    <row r="451" spans="2:7">
      <c r="B451" s="175"/>
      <c r="F451" s="12"/>
      <c r="G451" s="12"/>
    </row>
    <row r="452" spans="2:7">
      <c r="B452" s="175"/>
      <c r="F452" s="12"/>
      <c r="G452" s="12"/>
    </row>
    <row r="453" spans="2:7">
      <c r="B453" s="175"/>
      <c r="F453" s="12"/>
      <c r="G453" s="12"/>
    </row>
    <row r="454" spans="2:7">
      <c r="B454" s="175"/>
      <c r="F454" s="12"/>
      <c r="G454" s="12"/>
    </row>
    <row r="455" spans="2:7">
      <c r="B455" s="175"/>
      <c r="F455" s="12"/>
      <c r="G455" s="12"/>
    </row>
    <row r="456" spans="2:7">
      <c r="B456" s="175"/>
      <c r="F456" s="12"/>
      <c r="G456" s="12"/>
    </row>
    <row r="457" spans="2:7">
      <c r="B457" s="175"/>
      <c r="F457" s="12"/>
      <c r="G457" s="12"/>
    </row>
    <row r="458" spans="2:7">
      <c r="B458" s="175"/>
      <c r="F458" s="12"/>
      <c r="G458" s="12"/>
    </row>
    <row r="459" spans="2:7">
      <c r="B459" s="175"/>
      <c r="F459" s="12"/>
      <c r="G459" s="12"/>
    </row>
    <row r="460" spans="2:7">
      <c r="B460" s="175"/>
      <c r="F460" s="12"/>
      <c r="G460" s="12"/>
    </row>
    <row r="461" spans="2:7">
      <c r="B461" s="175"/>
      <c r="F461" s="12"/>
      <c r="G461" s="12"/>
    </row>
    <row r="462" spans="2:7">
      <c r="B462" s="175"/>
      <c r="F462" s="12"/>
      <c r="G462" s="12"/>
    </row>
    <row r="463" spans="2:7">
      <c r="B463" s="175"/>
      <c r="F463" s="12"/>
      <c r="G463" s="12"/>
    </row>
    <row r="464" spans="2:7">
      <c r="B464" s="175"/>
      <c r="F464" s="12"/>
      <c r="G464" s="12"/>
    </row>
    <row r="465" spans="2:7">
      <c r="B465" s="175"/>
      <c r="F465" s="12"/>
      <c r="G465" s="12"/>
    </row>
    <row r="466" spans="2:7">
      <c r="B466" s="175"/>
      <c r="F466" s="12"/>
      <c r="G466" s="12"/>
    </row>
    <row r="467" spans="2:7">
      <c r="B467" s="175"/>
      <c r="F467" s="12"/>
      <c r="G467" s="12"/>
    </row>
    <row r="468" spans="2:7">
      <c r="B468" s="175"/>
      <c r="F468" s="12"/>
      <c r="G468" s="12"/>
    </row>
    <row r="469" spans="2:7">
      <c r="B469" s="175"/>
      <c r="F469" s="12"/>
      <c r="G469" s="12"/>
    </row>
    <row r="470" spans="2:7">
      <c r="B470" s="175"/>
      <c r="F470" s="12"/>
      <c r="G470" s="12"/>
    </row>
    <row r="471" spans="2:7">
      <c r="B471" s="175"/>
      <c r="F471" s="12"/>
      <c r="G471" s="12"/>
    </row>
    <row r="472" spans="2:7">
      <c r="B472" s="175"/>
      <c r="F472" s="12"/>
      <c r="G472" s="12"/>
    </row>
    <row r="473" spans="2:7">
      <c r="B473" s="175"/>
      <c r="F473" s="12"/>
      <c r="G473" s="12"/>
    </row>
    <row r="474" spans="2:7">
      <c r="B474" s="175"/>
      <c r="F474" s="12"/>
      <c r="G474" s="12"/>
    </row>
    <row r="475" spans="2:7">
      <c r="B475" s="175"/>
      <c r="F475" s="12"/>
      <c r="G475" s="12"/>
    </row>
    <row r="476" spans="2:7">
      <c r="B476" s="175"/>
      <c r="F476" s="12"/>
      <c r="G476" s="12"/>
    </row>
    <row r="477" spans="2:7">
      <c r="B477" s="175"/>
      <c r="F477" s="12"/>
      <c r="G477" s="12"/>
    </row>
    <row r="478" spans="2:7">
      <c r="B478" s="175"/>
      <c r="F478" s="12"/>
      <c r="G478" s="12"/>
    </row>
    <row r="479" spans="2:7">
      <c r="B479" s="175"/>
      <c r="F479" s="12"/>
      <c r="G479" s="12"/>
    </row>
    <row r="480" spans="2:7">
      <c r="B480" s="175"/>
      <c r="F480" s="12"/>
      <c r="G480" s="12"/>
    </row>
    <row r="481" spans="2:7">
      <c r="B481" s="175"/>
      <c r="F481" s="12"/>
      <c r="G481" s="12"/>
    </row>
    <row r="482" spans="2:7">
      <c r="B482" s="175"/>
      <c r="F482" s="12"/>
      <c r="G482" s="12"/>
    </row>
    <row r="483" spans="2:7">
      <c r="B483" s="175"/>
      <c r="F483" s="12"/>
      <c r="G483" s="12"/>
    </row>
    <row r="484" spans="2:7">
      <c r="B484" s="175"/>
      <c r="F484" s="12"/>
      <c r="G484" s="12"/>
    </row>
    <row r="485" spans="2:7">
      <c r="B485" s="175"/>
      <c r="F485" s="12"/>
      <c r="G485" s="12"/>
    </row>
    <row r="486" spans="2:7">
      <c r="B486" s="175"/>
      <c r="F486" s="12"/>
      <c r="G486" s="12"/>
    </row>
    <row r="487" spans="2:7">
      <c r="B487" s="175"/>
      <c r="F487" s="12"/>
      <c r="G487" s="12"/>
    </row>
    <row r="488" spans="2:7">
      <c r="B488" s="175"/>
      <c r="F488" s="12"/>
      <c r="G488" s="12"/>
    </row>
    <row r="489" spans="2:7">
      <c r="B489" s="175"/>
      <c r="F489" s="12"/>
      <c r="G489" s="12"/>
    </row>
    <row r="490" spans="2:7">
      <c r="B490" s="175"/>
      <c r="F490" s="12"/>
      <c r="G490" s="12"/>
    </row>
    <row r="491" spans="2:7">
      <c r="B491" s="175"/>
      <c r="F491" s="12"/>
      <c r="G491" s="12"/>
    </row>
    <row r="492" spans="2:7">
      <c r="B492" s="175"/>
      <c r="F492" s="12"/>
      <c r="G492" s="12"/>
    </row>
    <row r="493" spans="2:7">
      <c r="B493" s="175"/>
      <c r="F493" s="12"/>
      <c r="G493" s="12"/>
    </row>
    <row r="494" spans="2:7">
      <c r="B494" s="175"/>
      <c r="F494" s="12"/>
      <c r="G494" s="12"/>
    </row>
    <row r="495" spans="2:7">
      <c r="B495" s="175"/>
      <c r="F495" s="12"/>
      <c r="G495" s="12"/>
    </row>
    <row r="496" spans="2:7">
      <c r="B496" s="175"/>
      <c r="F496" s="12"/>
      <c r="G496" s="12"/>
    </row>
    <row r="497" spans="2:7">
      <c r="B497" s="175"/>
      <c r="F497" s="12"/>
      <c r="G497" s="12"/>
    </row>
    <row r="498" spans="2:7">
      <c r="B498" s="175"/>
      <c r="F498" s="12"/>
      <c r="G498" s="12"/>
    </row>
    <row r="499" spans="2:7">
      <c r="B499" s="175"/>
      <c r="F499" s="12"/>
      <c r="G499" s="12"/>
    </row>
    <row r="500" spans="2:7">
      <c r="B500" s="175"/>
      <c r="F500" s="12"/>
      <c r="G500" s="12"/>
    </row>
    <row r="501" spans="2:7">
      <c r="B501" s="175"/>
      <c r="F501" s="12"/>
      <c r="G501" s="12"/>
    </row>
    <row r="502" spans="2:7">
      <c r="B502" s="175"/>
      <c r="F502" s="12"/>
      <c r="G502" s="12"/>
    </row>
    <row r="503" spans="2:7">
      <c r="B503" s="175"/>
      <c r="F503" s="12"/>
      <c r="G503" s="12"/>
    </row>
    <row r="504" spans="2:7">
      <c r="B504" s="175"/>
      <c r="F504" s="12"/>
      <c r="G504" s="12"/>
    </row>
    <row r="505" spans="2:7">
      <c r="B505" s="175"/>
      <c r="F505" s="12"/>
      <c r="G505" s="12"/>
    </row>
    <row r="506" spans="2:7">
      <c r="B506" s="175"/>
      <c r="F506" s="12"/>
      <c r="G506" s="12"/>
    </row>
    <row r="507" spans="2:7">
      <c r="B507" s="175"/>
      <c r="F507" s="12"/>
      <c r="G507" s="12"/>
    </row>
    <row r="508" spans="2:7">
      <c r="B508" s="175"/>
      <c r="F508" s="12"/>
      <c r="G508" s="12"/>
    </row>
    <row r="509" spans="2:7">
      <c r="B509" s="175"/>
      <c r="F509" s="12"/>
      <c r="G509" s="12"/>
    </row>
    <row r="510" spans="2:7">
      <c r="B510" s="175"/>
      <c r="F510" s="12"/>
      <c r="G510" s="12"/>
    </row>
    <row r="511" spans="2:7">
      <c r="B511" s="175"/>
      <c r="F511" s="12"/>
      <c r="G511" s="12"/>
    </row>
    <row r="512" spans="2:7">
      <c r="B512" s="175"/>
      <c r="F512" s="12"/>
      <c r="G512" s="12"/>
    </row>
    <row r="513" spans="2:7">
      <c r="B513" s="175"/>
      <c r="F513" s="12"/>
      <c r="G513" s="12"/>
    </row>
    <row r="514" spans="2:7">
      <c r="B514" s="175"/>
      <c r="F514" s="12"/>
      <c r="G514" s="12"/>
    </row>
    <row r="515" spans="2:7">
      <c r="B515" s="175"/>
      <c r="F515" s="12"/>
      <c r="G515" s="12"/>
    </row>
    <row r="516" spans="2:7">
      <c r="B516" s="175"/>
      <c r="F516" s="12"/>
      <c r="G516" s="12"/>
    </row>
    <row r="517" spans="2:7">
      <c r="B517" s="175"/>
      <c r="F517" s="12"/>
      <c r="G517" s="12"/>
    </row>
    <row r="518" spans="2:7">
      <c r="B518" s="175"/>
      <c r="F518" s="12"/>
      <c r="G518" s="12"/>
    </row>
    <row r="519" spans="2:7">
      <c r="B519" s="175"/>
      <c r="F519" s="12"/>
      <c r="G519" s="12"/>
    </row>
    <row r="520" spans="2:7">
      <c r="B520" s="175"/>
      <c r="F520" s="12"/>
      <c r="G520" s="12"/>
    </row>
    <row r="521" spans="2:7">
      <c r="B521" s="175"/>
      <c r="F521" s="12"/>
      <c r="G521" s="12"/>
    </row>
    <row r="522" spans="2:7">
      <c r="B522" s="175"/>
      <c r="F522" s="12"/>
      <c r="G522" s="12"/>
    </row>
    <row r="523" spans="2:7">
      <c r="B523" s="175"/>
      <c r="F523" s="12"/>
      <c r="G523" s="12"/>
    </row>
    <row r="524" spans="2:7">
      <c r="B524" s="175"/>
      <c r="F524" s="12"/>
      <c r="G524" s="12"/>
    </row>
    <row r="525" spans="2:7">
      <c r="B525" s="175"/>
      <c r="F525" s="12"/>
      <c r="G525" s="12"/>
    </row>
    <row r="526" spans="2:7">
      <c r="B526" s="175"/>
      <c r="F526" s="12"/>
      <c r="G526" s="12"/>
    </row>
    <row r="527" spans="2:7">
      <c r="B527" s="175"/>
      <c r="F527" s="12"/>
      <c r="G527" s="12"/>
    </row>
    <row r="528" spans="2:7">
      <c r="B528" s="175"/>
      <c r="F528" s="12"/>
      <c r="G528" s="12"/>
    </row>
    <row r="529" spans="2:7">
      <c r="B529" s="175"/>
      <c r="F529" s="12"/>
      <c r="G529" s="12"/>
    </row>
    <row r="530" spans="2:7">
      <c r="B530" s="175"/>
      <c r="F530" s="12"/>
      <c r="G530" s="12"/>
    </row>
    <row r="531" spans="2:7">
      <c r="B531" s="175"/>
      <c r="F531" s="12"/>
      <c r="G531" s="12"/>
    </row>
    <row r="532" spans="2:7">
      <c r="B532" s="175"/>
      <c r="F532" s="12"/>
      <c r="G532" s="12"/>
    </row>
    <row r="533" spans="2:7">
      <c r="B533" s="175"/>
      <c r="F533" s="12"/>
      <c r="G533" s="12"/>
    </row>
    <row r="534" spans="2:7">
      <c r="B534" s="175"/>
      <c r="F534" s="12"/>
      <c r="G534" s="12"/>
    </row>
    <row r="535" spans="2:7">
      <c r="B535" s="175"/>
      <c r="F535" s="12"/>
      <c r="G535" s="12"/>
    </row>
    <row r="536" spans="2:7">
      <c r="B536" s="175"/>
      <c r="F536" s="12"/>
      <c r="G536" s="12"/>
    </row>
    <row r="537" spans="2:7">
      <c r="B537" s="175"/>
      <c r="F537" s="12"/>
      <c r="G537" s="12"/>
    </row>
    <row r="538" spans="2:7">
      <c r="B538" s="175"/>
      <c r="F538" s="12"/>
      <c r="G538" s="12"/>
    </row>
    <row r="539" spans="2:7">
      <c r="B539" s="175"/>
      <c r="F539" s="12"/>
      <c r="G539" s="12"/>
    </row>
    <row r="540" spans="2:7">
      <c r="B540" s="175"/>
      <c r="F540" s="12"/>
      <c r="G540" s="12"/>
    </row>
    <row r="541" spans="2:7">
      <c r="B541" s="175"/>
      <c r="F541" s="12"/>
      <c r="G541" s="12"/>
    </row>
    <row r="542" spans="2:7">
      <c r="B542" s="175"/>
      <c r="F542" s="12"/>
      <c r="G542" s="12"/>
    </row>
    <row r="543" spans="2:7">
      <c r="B543" s="175"/>
      <c r="F543" s="12"/>
      <c r="G543" s="12"/>
    </row>
    <row r="544" spans="2:7">
      <c r="B544" s="175"/>
      <c r="F544" s="12"/>
      <c r="G544" s="12"/>
    </row>
    <row r="545" spans="2:7">
      <c r="B545" s="175"/>
      <c r="F545" s="12"/>
      <c r="G545" s="12"/>
    </row>
    <row r="546" spans="2:7">
      <c r="B546" s="175"/>
      <c r="F546" s="12"/>
      <c r="G546" s="12"/>
    </row>
    <row r="547" spans="2:7">
      <c r="B547" s="175"/>
      <c r="F547" s="12"/>
      <c r="G547" s="12"/>
    </row>
    <row r="548" spans="2:7">
      <c r="B548" s="175"/>
      <c r="F548" s="12"/>
      <c r="G548" s="12"/>
    </row>
    <row r="549" spans="2:7">
      <c r="B549" s="175"/>
      <c r="F549" s="12"/>
      <c r="G549" s="12"/>
    </row>
    <row r="550" spans="2:7">
      <c r="B550" s="175"/>
      <c r="F550" s="12"/>
      <c r="G550" s="12"/>
    </row>
    <row r="551" spans="2:7">
      <c r="B551" s="175"/>
      <c r="F551" s="12"/>
      <c r="G551" s="12"/>
    </row>
    <row r="552" spans="2:7">
      <c r="B552" s="175"/>
      <c r="F552" s="12"/>
      <c r="G552" s="12"/>
    </row>
    <row r="553" spans="2:7">
      <c r="B553" s="175"/>
      <c r="F553" s="12"/>
      <c r="G553" s="12"/>
    </row>
    <row r="554" spans="2:7">
      <c r="B554" s="175"/>
      <c r="F554" s="12"/>
      <c r="G554" s="12"/>
    </row>
    <row r="555" spans="2:7">
      <c r="B555" s="175"/>
      <c r="F555" s="12"/>
      <c r="G555" s="12"/>
    </row>
    <row r="556" spans="2:7">
      <c r="B556" s="175"/>
      <c r="F556" s="12"/>
      <c r="G556" s="12"/>
    </row>
    <row r="557" spans="2:7">
      <c r="B557" s="175"/>
      <c r="F557" s="12"/>
      <c r="G557" s="12"/>
    </row>
    <row r="558" spans="2:7">
      <c r="B558" s="175"/>
      <c r="F558" s="12"/>
      <c r="G558" s="12"/>
    </row>
    <row r="559" spans="2:7">
      <c r="B559" s="175"/>
      <c r="F559" s="12"/>
      <c r="G559" s="12"/>
    </row>
    <row r="560" spans="2:7">
      <c r="B560" s="175"/>
      <c r="F560" s="12"/>
      <c r="G560" s="12"/>
    </row>
    <row r="561" spans="2:7">
      <c r="B561" s="175"/>
      <c r="F561" s="12"/>
      <c r="G561" s="12"/>
    </row>
    <row r="562" spans="2:7">
      <c r="B562" s="175"/>
      <c r="F562" s="12"/>
      <c r="G562" s="12"/>
    </row>
    <row r="563" spans="2:7">
      <c r="B563" s="175"/>
      <c r="F563" s="12"/>
      <c r="G563" s="12"/>
    </row>
    <row r="564" spans="2:7">
      <c r="B564" s="175"/>
      <c r="F564" s="12"/>
      <c r="G564" s="12"/>
    </row>
    <row r="565" spans="2:7">
      <c r="B565" s="175"/>
      <c r="F565" s="12"/>
      <c r="G565" s="12"/>
    </row>
    <row r="566" spans="2:7">
      <c r="B566" s="175"/>
      <c r="F566" s="12"/>
      <c r="G566" s="12"/>
    </row>
    <row r="567" spans="2:7">
      <c r="B567" s="175"/>
      <c r="F567" s="12"/>
      <c r="G567" s="12"/>
    </row>
    <row r="568" spans="2:7">
      <c r="B568" s="175"/>
      <c r="F568" s="12"/>
      <c r="G568" s="12"/>
    </row>
    <row r="569" spans="2:7">
      <c r="B569" s="175"/>
      <c r="F569" s="12"/>
      <c r="G569" s="12"/>
    </row>
    <row r="570" spans="2:7">
      <c r="B570" s="175"/>
      <c r="F570" s="12"/>
      <c r="G570" s="12"/>
    </row>
    <row r="571" spans="2:7">
      <c r="B571" s="175"/>
      <c r="F571" s="12"/>
      <c r="G571" s="12"/>
    </row>
    <row r="572" spans="2:7">
      <c r="B572" s="175"/>
      <c r="F572" s="12"/>
      <c r="G572" s="12"/>
    </row>
    <row r="573" spans="2:7">
      <c r="B573" s="175"/>
      <c r="F573" s="12"/>
      <c r="G573" s="12"/>
    </row>
    <row r="574" spans="2:7">
      <c r="B574" s="175"/>
      <c r="F574" s="12"/>
      <c r="G574" s="12"/>
    </row>
    <row r="575" spans="2:7">
      <c r="B575" s="175"/>
      <c r="F575" s="12"/>
      <c r="G575" s="12"/>
    </row>
    <row r="576" spans="2:7">
      <c r="B576" s="175"/>
      <c r="F576" s="12"/>
      <c r="G576" s="12"/>
    </row>
    <row r="577" spans="2:7">
      <c r="B577" s="175"/>
      <c r="F577" s="12"/>
      <c r="G577" s="12"/>
    </row>
    <row r="578" spans="2:7">
      <c r="B578" s="175"/>
      <c r="F578" s="12"/>
      <c r="G578" s="12"/>
    </row>
    <row r="579" spans="2:7">
      <c r="B579" s="175"/>
      <c r="F579" s="12"/>
      <c r="G579" s="12"/>
    </row>
    <row r="580" spans="2:7">
      <c r="B580" s="175"/>
      <c r="F580" s="12"/>
      <c r="G580" s="12"/>
    </row>
    <row r="581" spans="2:7">
      <c r="B581" s="175"/>
      <c r="F581" s="12"/>
      <c r="G581" s="12"/>
    </row>
    <row r="582" spans="2:7">
      <c r="B582" s="175"/>
      <c r="F582" s="12"/>
      <c r="G582" s="12"/>
    </row>
    <row r="583" spans="2:7">
      <c r="B583" s="175"/>
      <c r="F583" s="12"/>
      <c r="G583" s="12"/>
    </row>
    <row r="584" spans="2:7">
      <c r="B584" s="175"/>
      <c r="F584" s="12"/>
      <c r="G584" s="12"/>
    </row>
    <row r="585" spans="2:7">
      <c r="B585" s="175"/>
      <c r="F585" s="12"/>
      <c r="G585" s="12"/>
    </row>
    <row r="586" spans="2:7">
      <c r="B586" s="175"/>
      <c r="F586" s="12"/>
      <c r="G586" s="12"/>
    </row>
    <row r="587" spans="2:7">
      <c r="B587" s="175"/>
      <c r="F587" s="12"/>
      <c r="G587" s="12"/>
    </row>
    <row r="588" spans="2:7">
      <c r="B588" s="175"/>
      <c r="F588" s="12"/>
      <c r="G588" s="12"/>
    </row>
    <row r="589" spans="2:7">
      <c r="B589" s="175"/>
      <c r="F589" s="12"/>
      <c r="G589" s="12"/>
    </row>
    <row r="590" spans="2:7">
      <c r="B590" s="175"/>
      <c r="F590" s="12"/>
      <c r="G590" s="12"/>
    </row>
    <row r="591" spans="2:7">
      <c r="B591" s="175"/>
      <c r="F591" s="12"/>
      <c r="G591" s="12"/>
    </row>
    <row r="592" spans="2:7">
      <c r="B592" s="175"/>
      <c r="F592" s="12"/>
      <c r="G592" s="12"/>
    </row>
    <row r="593" spans="2:7">
      <c r="B593" s="175"/>
      <c r="F593" s="12"/>
      <c r="G593" s="12"/>
    </row>
    <row r="594" spans="2:7">
      <c r="B594" s="175"/>
      <c r="F594" s="12"/>
      <c r="G594" s="12"/>
    </row>
    <row r="595" spans="2:7">
      <c r="B595" s="175"/>
      <c r="F595" s="12"/>
      <c r="G595" s="12"/>
    </row>
    <row r="596" spans="2:7">
      <c r="B596" s="175"/>
      <c r="F596" s="12"/>
      <c r="G596" s="12"/>
    </row>
    <row r="597" spans="2:7">
      <c r="B597" s="175"/>
      <c r="F597" s="12"/>
      <c r="G597" s="12"/>
    </row>
    <row r="598" spans="2:7">
      <c r="B598" s="175"/>
      <c r="F598" s="12"/>
      <c r="G598" s="12"/>
    </row>
    <row r="599" spans="2:7">
      <c r="B599" s="175"/>
      <c r="F599" s="12"/>
      <c r="G599" s="12"/>
    </row>
    <row r="600" spans="2:7">
      <c r="B600" s="175"/>
      <c r="F600" s="12"/>
      <c r="G600" s="12"/>
    </row>
    <row r="601" spans="2:7">
      <c r="B601" s="175"/>
      <c r="F601" s="12"/>
      <c r="G601" s="12"/>
    </row>
    <row r="602" spans="2:7">
      <c r="B602" s="175"/>
      <c r="F602" s="12"/>
      <c r="G602" s="12"/>
    </row>
    <row r="603" spans="2:7">
      <c r="B603" s="175"/>
      <c r="F603" s="12"/>
      <c r="G603" s="12"/>
    </row>
    <row r="604" spans="2:7">
      <c r="B604" s="175"/>
      <c r="F604" s="12"/>
      <c r="G604" s="12"/>
    </row>
    <row r="605" spans="2:7">
      <c r="B605" s="175"/>
      <c r="F605" s="12"/>
      <c r="G605" s="12"/>
    </row>
    <row r="606" spans="2:7">
      <c r="B606" s="175"/>
      <c r="F606" s="12"/>
      <c r="G606" s="12"/>
    </row>
    <row r="607" spans="2:7">
      <c r="B607" s="175"/>
      <c r="F607" s="12"/>
      <c r="G607" s="12"/>
    </row>
    <row r="608" spans="2:7">
      <c r="B608" s="175"/>
      <c r="F608" s="12"/>
      <c r="G608" s="12"/>
    </row>
    <row r="609" spans="2:7">
      <c r="B609" s="175"/>
      <c r="F609" s="12"/>
      <c r="G609" s="12"/>
    </row>
    <row r="610" spans="2:7">
      <c r="B610" s="175"/>
      <c r="F610" s="12"/>
      <c r="G610" s="12"/>
    </row>
    <row r="611" spans="2:7">
      <c r="B611" s="175"/>
      <c r="F611" s="12"/>
      <c r="G611" s="12"/>
    </row>
    <row r="612" spans="2:7">
      <c r="B612" s="175"/>
      <c r="F612" s="12"/>
      <c r="G612" s="12"/>
    </row>
    <row r="613" spans="2:7">
      <c r="B613" s="175"/>
      <c r="F613" s="12"/>
      <c r="G613" s="12"/>
    </row>
    <row r="614" spans="2:7">
      <c r="B614" s="175"/>
      <c r="F614" s="12"/>
      <c r="G614" s="12"/>
    </row>
    <row r="615" spans="2:7">
      <c r="B615" s="175"/>
      <c r="F615" s="12"/>
      <c r="G615" s="12"/>
    </row>
    <row r="616" spans="2:7">
      <c r="B616" s="175"/>
      <c r="F616" s="12"/>
      <c r="G616" s="12"/>
    </row>
    <row r="617" spans="2:7">
      <c r="B617" s="175"/>
      <c r="F617" s="12"/>
      <c r="G617" s="12"/>
    </row>
    <row r="618" spans="2:7">
      <c r="B618" s="175"/>
      <c r="F618" s="12"/>
      <c r="G618" s="12"/>
    </row>
    <row r="619" spans="2:7">
      <c r="B619" s="175"/>
      <c r="F619" s="12"/>
      <c r="G619" s="12"/>
    </row>
    <row r="620" spans="2:7">
      <c r="B620" s="175"/>
      <c r="F620" s="12"/>
      <c r="G620" s="12"/>
    </row>
    <row r="621" spans="2:7">
      <c r="B621" s="175"/>
      <c r="F621" s="12"/>
      <c r="G621" s="12"/>
    </row>
    <row r="622" spans="2:7">
      <c r="B622" s="175"/>
      <c r="F622" s="12"/>
      <c r="G622" s="12"/>
    </row>
    <row r="623" spans="2:7">
      <c r="B623" s="175"/>
      <c r="F623" s="12"/>
      <c r="G623" s="12"/>
    </row>
    <row r="624" spans="2:7">
      <c r="B624" s="175"/>
      <c r="F624" s="12"/>
      <c r="G624" s="12"/>
    </row>
    <row r="625" spans="2:7">
      <c r="B625" s="175"/>
      <c r="F625" s="12"/>
      <c r="G625" s="12"/>
    </row>
    <row r="626" spans="2:7">
      <c r="B626" s="175"/>
      <c r="F626" s="12"/>
      <c r="G626" s="12"/>
    </row>
    <row r="627" spans="2:7">
      <c r="B627" s="175"/>
      <c r="F627" s="12"/>
      <c r="G627" s="12"/>
    </row>
    <row r="628" spans="2:7">
      <c r="B628" s="175"/>
      <c r="F628" s="12"/>
      <c r="G628" s="12"/>
    </row>
    <row r="629" spans="2:7">
      <c r="B629" s="175"/>
      <c r="F629" s="12"/>
      <c r="G629" s="12"/>
    </row>
    <row r="630" spans="2:7">
      <c r="B630" s="175"/>
      <c r="F630" s="12"/>
      <c r="G630" s="12"/>
    </row>
    <row r="631" spans="2:7">
      <c r="B631" s="175"/>
      <c r="F631" s="12"/>
      <c r="G631" s="12"/>
    </row>
    <row r="632" spans="2:7">
      <c r="B632" s="175"/>
      <c r="F632" s="12"/>
      <c r="G632" s="12"/>
    </row>
    <row r="633" spans="2:7">
      <c r="B633" s="175"/>
      <c r="F633" s="12"/>
      <c r="G633" s="12"/>
    </row>
    <row r="634" spans="2:7">
      <c r="B634" s="175"/>
      <c r="F634" s="12"/>
      <c r="G634" s="12"/>
    </row>
    <row r="635" spans="2:7">
      <c r="B635" s="175"/>
      <c r="F635" s="12"/>
      <c r="G635" s="12"/>
    </row>
    <row r="636" spans="2:7">
      <c r="B636" s="175"/>
      <c r="F636" s="12"/>
      <c r="G636" s="12"/>
    </row>
    <row r="637" spans="2:7">
      <c r="B637" s="175"/>
      <c r="F637" s="12"/>
      <c r="G637" s="12"/>
    </row>
    <row r="638" spans="2:7">
      <c r="B638" s="175"/>
      <c r="F638" s="12"/>
      <c r="G638" s="12"/>
    </row>
    <row r="639" spans="2:7">
      <c r="B639" s="175"/>
      <c r="F639" s="12"/>
      <c r="G639" s="12"/>
    </row>
    <row r="640" spans="2:7">
      <c r="B640" s="175"/>
      <c r="F640" s="12"/>
      <c r="G640" s="12"/>
    </row>
    <row r="641" spans="2:7">
      <c r="B641" s="175"/>
      <c r="F641" s="12"/>
      <c r="G641" s="12"/>
    </row>
    <row r="642" spans="2:7">
      <c r="B642" s="175"/>
      <c r="F642" s="12"/>
      <c r="G642" s="12"/>
    </row>
    <row r="643" spans="2:7">
      <c r="B643" s="175"/>
      <c r="F643" s="12"/>
      <c r="G643" s="12"/>
    </row>
    <row r="644" spans="2:7">
      <c r="B644" s="175"/>
      <c r="F644" s="12"/>
      <c r="G644" s="12"/>
    </row>
    <row r="645" spans="2:7">
      <c r="B645" s="175"/>
      <c r="F645" s="12"/>
      <c r="G645" s="12"/>
    </row>
    <row r="646" spans="2:7">
      <c r="B646" s="175"/>
      <c r="F646" s="12"/>
      <c r="G646" s="12"/>
    </row>
    <row r="647" spans="2:7">
      <c r="B647" s="175"/>
      <c r="F647" s="12"/>
      <c r="G647" s="12"/>
    </row>
    <row r="648" spans="2:7">
      <c r="B648" s="175"/>
      <c r="F648" s="12"/>
      <c r="G648" s="12"/>
    </row>
    <row r="649" spans="2:7">
      <c r="B649" s="175"/>
      <c r="F649" s="12"/>
      <c r="G649" s="12"/>
    </row>
    <row r="650" spans="2:7">
      <c r="B650" s="175"/>
      <c r="F650" s="12"/>
      <c r="G650" s="12"/>
    </row>
    <row r="651" spans="2:7">
      <c r="B651" s="175"/>
      <c r="F651" s="12"/>
      <c r="G651" s="12"/>
    </row>
    <row r="652" spans="2:7">
      <c r="B652" s="175"/>
      <c r="F652" s="12"/>
      <c r="G652" s="12"/>
    </row>
    <row r="653" spans="2:7">
      <c r="B653" s="175"/>
      <c r="F653" s="12"/>
      <c r="G653" s="12"/>
    </row>
    <row r="654" spans="2:7">
      <c r="B654" s="175"/>
      <c r="F654" s="12"/>
      <c r="G654" s="12"/>
    </row>
    <row r="655" spans="2:7">
      <c r="B655" s="175"/>
      <c r="F655" s="12"/>
      <c r="G655" s="12"/>
    </row>
    <row r="656" spans="2:7">
      <c r="B656" s="175"/>
      <c r="F656" s="12"/>
      <c r="G656" s="12"/>
    </row>
    <row r="657" spans="2:7">
      <c r="B657" s="175"/>
      <c r="F657" s="12"/>
      <c r="G657" s="12"/>
    </row>
    <row r="658" spans="2:7">
      <c r="B658" s="175"/>
      <c r="F658" s="12"/>
      <c r="G658" s="12"/>
    </row>
    <row r="659" spans="2:7">
      <c r="B659" s="175"/>
      <c r="F659" s="12"/>
      <c r="G659" s="12"/>
    </row>
    <row r="660" spans="2:7">
      <c r="B660" s="175"/>
      <c r="F660" s="12"/>
      <c r="G660" s="12"/>
    </row>
    <row r="661" spans="2:7">
      <c r="B661" s="175"/>
      <c r="F661" s="12"/>
      <c r="G661" s="12"/>
    </row>
    <row r="662" spans="2:7">
      <c r="B662" s="175"/>
      <c r="F662" s="12"/>
      <c r="G662" s="12"/>
    </row>
    <row r="663" spans="2:7">
      <c r="B663" s="175"/>
      <c r="F663" s="12"/>
      <c r="G663" s="12"/>
    </row>
    <row r="664" spans="2:7">
      <c r="B664" s="175"/>
      <c r="F664" s="12"/>
      <c r="G664" s="12"/>
    </row>
    <row r="665" spans="2:7">
      <c r="B665" s="175"/>
      <c r="F665" s="12"/>
      <c r="G665" s="12"/>
    </row>
    <row r="666" spans="2:7">
      <c r="B666" s="175"/>
      <c r="F666" s="12"/>
      <c r="G666" s="12"/>
    </row>
    <row r="667" spans="2:7">
      <c r="B667" s="175"/>
      <c r="F667" s="12"/>
      <c r="G667" s="12"/>
    </row>
    <row r="668" spans="2:7">
      <c r="B668" s="175"/>
      <c r="F668" s="12"/>
      <c r="G668" s="12"/>
    </row>
    <row r="669" spans="2:7">
      <c r="B669" s="175"/>
      <c r="F669" s="12"/>
      <c r="G669" s="12"/>
    </row>
    <row r="670" spans="2:7">
      <c r="B670" s="175"/>
      <c r="F670" s="12"/>
      <c r="G670" s="12"/>
    </row>
    <row r="671" spans="2:7">
      <c r="B671" s="175"/>
      <c r="F671" s="12"/>
      <c r="G671" s="12"/>
    </row>
    <row r="672" spans="2:7">
      <c r="B672" s="175"/>
      <c r="F672" s="12"/>
      <c r="G672" s="12"/>
    </row>
    <row r="673" spans="2:7">
      <c r="B673" s="175"/>
      <c r="F673" s="12"/>
      <c r="G673" s="12"/>
    </row>
    <row r="674" spans="2:7">
      <c r="B674" s="175"/>
      <c r="F674" s="12"/>
      <c r="G674" s="12"/>
    </row>
    <row r="675" spans="2:7">
      <c r="B675" s="175"/>
      <c r="F675" s="12"/>
      <c r="G675" s="12"/>
    </row>
    <row r="676" spans="2:7">
      <c r="B676" s="175"/>
      <c r="F676" s="12"/>
      <c r="G676" s="12"/>
    </row>
    <row r="677" spans="2:7">
      <c r="B677" s="175"/>
      <c r="F677" s="12"/>
      <c r="G677" s="12"/>
    </row>
    <row r="678" spans="2:7">
      <c r="B678" s="175"/>
      <c r="F678" s="12"/>
      <c r="G678" s="12"/>
    </row>
    <row r="679" spans="2:7">
      <c r="B679" s="175"/>
      <c r="F679" s="12"/>
      <c r="G679" s="12"/>
    </row>
    <row r="680" spans="2:7">
      <c r="B680" s="175"/>
      <c r="F680" s="12"/>
      <c r="G680" s="12"/>
    </row>
    <row r="681" spans="2:7">
      <c r="B681" s="175"/>
      <c r="F681" s="12"/>
      <c r="G681" s="12"/>
    </row>
    <row r="682" spans="2:7">
      <c r="B682" s="175"/>
      <c r="F682" s="12"/>
      <c r="G682" s="12"/>
    </row>
    <row r="683" spans="2:7">
      <c r="B683" s="175"/>
      <c r="F683" s="12"/>
      <c r="G683" s="12"/>
    </row>
    <row r="684" spans="2:7">
      <c r="B684" s="175"/>
      <c r="F684" s="12"/>
      <c r="G684" s="12"/>
    </row>
    <row r="685" spans="2:7">
      <c r="B685" s="175"/>
      <c r="F685" s="12"/>
      <c r="G685" s="12"/>
    </row>
    <row r="686" spans="2:7">
      <c r="B686" s="175"/>
      <c r="F686" s="12"/>
      <c r="G686" s="12"/>
    </row>
    <row r="687" spans="2:7">
      <c r="B687" s="175"/>
      <c r="F687" s="12"/>
      <c r="G687" s="12"/>
    </row>
    <row r="688" spans="2:7">
      <c r="B688" s="175"/>
      <c r="F688" s="12"/>
      <c r="G688" s="12"/>
    </row>
    <row r="689" spans="2:7">
      <c r="B689" s="175"/>
      <c r="F689" s="12"/>
      <c r="G689" s="12"/>
    </row>
    <row r="690" spans="2:7">
      <c r="B690" s="175"/>
      <c r="F690" s="12"/>
      <c r="G690" s="12"/>
    </row>
    <row r="691" spans="2:7">
      <c r="B691" s="175"/>
      <c r="F691" s="12"/>
      <c r="G691" s="12"/>
    </row>
    <row r="692" spans="2:7">
      <c r="B692" s="175"/>
      <c r="F692" s="12"/>
      <c r="G692" s="12"/>
    </row>
    <row r="693" spans="2:7">
      <c r="B693" s="175"/>
      <c r="F693" s="12"/>
      <c r="G693" s="12"/>
    </row>
    <row r="694" spans="2:7">
      <c r="B694" s="175"/>
      <c r="F694" s="12"/>
      <c r="G694" s="12"/>
    </row>
    <row r="695" spans="2:7">
      <c r="B695" s="175"/>
      <c r="F695" s="12"/>
      <c r="G695" s="12"/>
    </row>
    <row r="696" spans="2:7">
      <c r="B696" s="175"/>
      <c r="F696" s="12"/>
      <c r="G696" s="12"/>
    </row>
    <row r="697" spans="2:7">
      <c r="B697" s="175"/>
      <c r="F697" s="12"/>
      <c r="G697" s="12"/>
    </row>
    <row r="698" spans="2:7">
      <c r="B698" s="175"/>
      <c r="F698" s="12"/>
      <c r="G698" s="12"/>
    </row>
    <row r="699" spans="2:7">
      <c r="B699" s="175"/>
      <c r="F699" s="12"/>
      <c r="G699" s="12"/>
    </row>
    <row r="700" spans="2:7">
      <c r="B700" s="175"/>
      <c r="F700" s="12"/>
      <c r="G700" s="12"/>
    </row>
    <row r="701" spans="2:7">
      <c r="B701" s="175"/>
      <c r="F701" s="12"/>
      <c r="G701" s="12"/>
    </row>
    <row r="702" spans="2:7">
      <c r="B702" s="175"/>
      <c r="F702" s="12"/>
      <c r="G702" s="12"/>
    </row>
    <row r="703" spans="2:7">
      <c r="B703" s="175"/>
      <c r="F703" s="12"/>
      <c r="G703" s="12"/>
    </row>
    <row r="704" spans="2:7">
      <c r="B704" s="175"/>
      <c r="F704" s="12"/>
      <c r="G704" s="12"/>
    </row>
    <row r="705" spans="2:7">
      <c r="B705" s="175"/>
      <c r="F705" s="12"/>
      <c r="G705" s="12"/>
    </row>
    <row r="706" spans="2:7">
      <c r="B706" s="175"/>
      <c r="F706" s="12"/>
      <c r="G706" s="12"/>
    </row>
    <row r="707" spans="2:7">
      <c r="B707" s="175"/>
      <c r="F707" s="12"/>
      <c r="G707" s="12"/>
    </row>
    <row r="708" spans="2:7">
      <c r="B708" s="175"/>
      <c r="F708" s="12"/>
      <c r="G708" s="12"/>
    </row>
    <row r="709" spans="2:7">
      <c r="B709" s="175"/>
      <c r="F709" s="12"/>
      <c r="G709" s="12"/>
    </row>
    <row r="710" spans="2:7">
      <c r="B710" s="175"/>
      <c r="F710" s="12"/>
      <c r="G710" s="12"/>
    </row>
    <row r="711" spans="2:7">
      <c r="B711" s="175"/>
      <c r="F711" s="12"/>
      <c r="G711" s="12"/>
    </row>
    <row r="712" spans="2:7">
      <c r="B712" s="175"/>
      <c r="F712" s="12"/>
      <c r="G712" s="12"/>
    </row>
    <row r="713" spans="2:7">
      <c r="B713" s="175"/>
      <c r="F713" s="12"/>
      <c r="G713" s="12"/>
    </row>
    <row r="714" spans="2:7">
      <c r="B714" s="175"/>
      <c r="F714" s="12"/>
      <c r="G714" s="12"/>
    </row>
    <row r="715" spans="2:7">
      <c r="B715" s="175"/>
      <c r="F715" s="12"/>
      <c r="G715" s="12"/>
    </row>
    <row r="716" spans="2:7">
      <c r="B716" s="175"/>
      <c r="F716" s="12"/>
      <c r="G716" s="12"/>
    </row>
    <row r="717" spans="2:7">
      <c r="B717" s="175"/>
      <c r="F717" s="12"/>
      <c r="G717" s="12"/>
    </row>
    <row r="718" spans="2:7">
      <c r="B718" s="175"/>
      <c r="F718" s="12"/>
      <c r="G718" s="12"/>
    </row>
    <row r="719" spans="2:7">
      <c r="B719" s="175"/>
      <c r="F719" s="12"/>
      <c r="G719" s="12"/>
    </row>
    <row r="720" spans="2:7">
      <c r="B720" s="175"/>
      <c r="F720" s="12"/>
      <c r="G720" s="12"/>
    </row>
    <row r="721" spans="2:7">
      <c r="B721" s="175"/>
      <c r="F721" s="12"/>
      <c r="G721" s="12"/>
    </row>
    <row r="722" spans="2:7">
      <c r="B722" s="175"/>
      <c r="F722" s="12"/>
      <c r="G722" s="12"/>
    </row>
    <row r="723" spans="2:7">
      <c r="B723" s="175"/>
      <c r="F723" s="12"/>
      <c r="G723" s="12"/>
    </row>
    <row r="724" spans="2:7">
      <c r="B724" s="175"/>
      <c r="F724" s="12"/>
      <c r="G724" s="12"/>
    </row>
    <row r="725" spans="2:7">
      <c r="B725" s="175"/>
      <c r="F725" s="12"/>
      <c r="G725" s="12"/>
    </row>
    <row r="726" spans="2:7">
      <c r="B726" s="175"/>
      <c r="F726" s="12"/>
      <c r="G726" s="12"/>
    </row>
    <row r="727" spans="2:7">
      <c r="B727" s="175"/>
      <c r="F727" s="12"/>
      <c r="G727" s="12"/>
    </row>
    <row r="728" spans="2:7">
      <c r="B728" s="175"/>
      <c r="F728" s="12"/>
      <c r="G728" s="12"/>
    </row>
    <row r="729" spans="2:7">
      <c r="B729" s="175"/>
      <c r="F729" s="12"/>
      <c r="G729" s="12"/>
    </row>
    <row r="730" spans="2:7">
      <c r="B730" s="175"/>
      <c r="F730" s="12"/>
      <c r="G730" s="12"/>
    </row>
    <row r="731" spans="2:7">
      <c r="B731" s="175"/>
      <c r="F731" s="12"/>
      <c r="G731" s="12"/>
    </row>
    <row r="732" spans="2:7">
      <c r="B732" s="175"/>
      <c r="F732" s="12"/>
      <c r="G732" s="12"/>
    </row>
    <row r="733" spans="2:7">
      <c r="B733" s="175"/>
      <c r="F733" s="12"/>
      <c r="G733" s="12"/>
    </row>
    <row r="734" spans="2:7">
      <c r="B734" s="175"/>
      <c r="F734" s="12"/>
      <c r="G734" s="12"/>
    </row>
    <row r="735" spans="2:7">
      <c r="B735" s="175"/>
      <c r="F735" s="12"/>
      <c r="G735" s="12"/>
    </row>
    <row r="736" spans="2:7">
      <c r="B736" s="175"/>
      <c r="F736" s="12"/>
      <c r="G736" s="12"/>
    </row>
    <row r="737" spans="2:7">
      <c r="B737" s="175"/>
      <c r="F737" s="12"/>
      <c r="G737" s="12"/>
    </row>
    <row r="738" spans="2:7">
      <c r="B738" s="175"/>
      <c r="F738" s="12"/>
      <c r="G738" s="12"/>
    </row>
    <row r="739" spans="2:7">
      <c r="B739" s="175"/>
      <c r="F739" s="12"/>
      <c r="G739" s="12"/>
    </row>
    <row r="740" spans="2:7">
      <c r="B740" s="175"/>
      <c r="F740" s="12"/>
      <c r="G740" s="12"/>
    </row>
    <row r="741" spans="2:7">
      <c r="B741" s="175"/>
      <c r="F741" s="12"/>
      <c r="G741" s="12"/>
    </row>
    <row r="742" spans="2:7">
      <c r="B742" s="175"/>
      <c r="F742" s="12"/>
      <c r="G742" s="12"/>
    </row>
    <row r="743" spans="2:7">
      <c r="B743" s="175"/>
      <c r="F743" s="12"/>
      <c r="G743" s="12"/>
    </row>
    <row r="744" spans="2:7">
      <c r="B744" s="175"/>
      <c r="F744" s="12"/>
      <c r="G744" s="12"/>
    </row>
    <row r="745" spans="2:7">
      <c r="B745" s="175"/>
      <c r="F745" s="12"/>
      <c r="G745" s="12"/>
    </row>
    <row r="746" spans="2:7">
      <c r="B746" s="175"/>
      <c r="F746" s="12"/>
      <c r="G746" s="12"/>
    </row>
    <row r="747" spans="2:7">
      <c r="B747" s="175"/>
      <c r="F747" s="12"/>
      <c r="G747" s="12"/>
    </row>
    <row r="748" spans="2:7">
      <c r="B748" s="175"/>
      <c r="F748" s="12"/>
      <c r="G748" s="12"/>
    </row>
    <row r="749" spans="2:7">
      <c r="B749" s="175"/>
      <c r="F749" s="12"/>
      <c r="G749" s="12"/>
    </row>
    <row r="750" spans="2:7">
      <c r="B750" s="175"/>
      <c r="F750" s="12"/>
      <c r="G750" s="12"/>
    </row>
    <row r="751" spans="2:7">
      <c r="B751" s="175"/>
      <c r="F751" s="12"/>
      <c r="G751" s="12"/>
    </row>
    <row r="752" spans="2:7">
      <c r="B752" s="175"/>
      <c r="F752" s="12"/>
      <c r="G752" s="12"/>
    </row>
    <row r="753" spans="2:7">
      <c r="B753" s="175"/>
      <c r="F753" s="12"/>
      <c r="G753" s="12"/>
    </row>
    <row r="754" spans="2:7">
      <c r="B754" s="175"/>
      <c r="F754" s="12"/>
      <c r="G754" s="12"/>
    </row>
    <row r="755" spans="2:7">
      <c r="B755" s="175"/>
      <c r="F755" s="12"/>
      <c r="G755" s="12"/>
    </row>
    <row r="756" spans="2:7">
      <c r="B756" s="175"/>
      <c r="F756" s="12"/>
      <c r="G756" s="12"/>
    </row>
    <row r="757" spans="2:7">
      <c r="B757" s="175"/>
      <c r="F757" s="12"/>
      <c r="G757" s="12"/>
    </row>
    <row r="758" spans="2:7">
      <c r="B758" s="175"/>
      <c r="F758" s="12"/>
      <c r="G758" s="12"/>
    </row>
    <row r="759" spans="2:7">
      <c r="B759" s="175"/>
      <c r="F759" s="12"/>
      <c r="G759" s="12"/>
    </row>
    <row r="760" spans="2:7">
      <c r="B760" s="175"/>
      <c r="F760" s="12"/>
      <c r="G760" s="12"/>
    </row>
    <row r="761" spans="2:7">
      <c r="B761" s="175"/>
      <c r="F761" s="12"/>
      <c r="G761" s="12"/>
    </row>
    <row r="762" spans="2:7">
      <c r="B762" s="175"/>
      <c r="F762" s="12"/>
      <c r="G762" s="12"/>
    </row>
    <row r="763" spans="2:7">
      <c r="B763" s="175"/>
      <c r="F763" s="12"/>
      <c r="G763" s="12"/>
    </row>
    <row r="764" spans="2:7">
      <c r="B764" s="175"/>
      <c r="F764" s="12"/>
      <c r="G764" s="12"/>
    </row>
    <row r="765" spans="2:7">
      <c r="B765" s="175"/>
      <c r="F765" s="12"/>
      <c r="G765" s="12"/>
    </row>
    <row r="766" spans="2:7">
      <c r="B766" s="175"/>
      <c r="F766" s="12"/>
      <c r="G766" s="12"/>
    </row>
    <row r="767" spans="2:7">
      <c r="B767" s="175"/>
      <c r="F767" s="12"/>
      <c r="G767" s="12"/>
    </row>
    <row r="768" spans="2:7">
      <c r="B768" s="175"/>
      <c r="F768" s="12"/>
      <c r="G768" s="12"/>
    </row>
    <row r="769" spans="2:7">
      <c r="B769" s="175"/>
      <c r="F769" s="12"/>
      <c r="G769" s="12"/>
    </row>
    <row r="770" spans="2:7">
      <c r="B770" s="175"/>
      <c r="F770" s="12"/>
      <c r="G770" s="12"/>
    </row>
    <row r="771" spans="2:7">
      <c r="B771" s="175"/>
      <c r="F771" s="12"/>
      <c r="G771" s="12"/>
    </row>
    <row r="772" spans="2:7">
      <c r="B772" s="175"/>
      <c r="F772" s="12"/>
      <c r="G772" s="12"/>
    </row>
    <row r="773" spans="2:7">
      <c r="B773" s="175"/>
      <c r="F773" s="12"/>
      <c r="G773" s="12"/>
    </row>
    <row r="774" spans="2:7">
      <c r="B774" s="175"/>
      <c r="F774" s="12"/>
      <c r="G774" s="12"/>
    </row>
    <row r="775" spans="2:7">
      <c r="B775" s="175"/>
      <c r="F775" s="12"/>
      <c r="G775" s="12"/>
    </row>
    <row r="776" spans="2:7">
      <c r="B776" s="175"/>
      <c r="F776" s="12"/>
      <c r="G776" s="12"/>
    </row>
    <row r="777" spans="2:7">
      <c r="B777" s="175"/>
      <c r="F777" s="12"/>
      <c r="G777" s="12"/>
    </row>
    <row r="778" spans="2:7">
      <c r="B778" s="175"/>
      <c r="F778" s="12"/>
      <c r="G778" s="12"/>
    </row>
    <row r="779" spans="2:7">
      <c r="B779" s="175"/>
      <c r="F779" s="12"/>
      <c r="G779" s="12"/>
    </row>
    <row r="780" spans="2:7">
      <c r="B780" s="175"/>
      <c r="F780" s="12"/>
      <c r="G780" s="12"/>
    </row>
    <row r="781" spans="2:7">
      <c r="B781" s="175"/>
      <c r="F781" s="12"/>
      <c r="G781" s="12"/>
    </row>
    <row r="782" spans="2:7">
      <c r="B782" s="175"/>
      <c r="F782" s="12"/>
      <c r="G782" s="12"/>
    </row>
    <row r="783" spans="2:7">
      <c r="B783" s="175"/>
      <c r="F783" s="12"/>
      <c r="G783" s="12"/>
    </row>
    <row r="784" spans="2:7">
      <c r="B784" s="175"/>
      <c r="F784" s="12"/>
      <c r="G784" s="12"/>
    </row>
    <row r="785" spans="2:7">
      <c r="B785" s="175"/>
      <c r="F785" s="12"/>
      <c r="G785" s="12"/>
    </row>
    <row r="786" spans="2:7">
      <c r="B786" s="175"/>
      <c r="F786" s="12"/>
      <c r="G786" s="12"/>
    </row>
    <row r="787" spans="2:7">
      <c r="B787" s="175"/>
      <c r="F787" s="12"/>
      <c r="G787" s="12"/>
    </row>
    <row r="788" spans="2:7">
      <c r="B788" s="175"/>
      <c r="F788" s="12"/>
      <c r="G788" s="12"/>
    </row>
    <row r="789" spans="2:7">
      <c r="B789" s="175"/>
      <c r="F789" s="12"/>
      <c r="G789" s="12"/>
    </row>
    <row r="790" spans="2:7">
      <c r="B790" s="175"/>
      <c r="F790" s="12"/>
      <c r="G790" s="12"/>
    </row>
    <row r="791" spans="2:7">
      <c r="B791" s="175"/>
      <c r="F791" s="12"/>
      <c r="G791" s="12"/>
    </row>
    <row r="792" spans="2:7">
      <c r="B792" s="175"/>
      <c r="F792" s="12"/>
      <c r="G792" s="12"/>
    </row>
    <row r="793" spans="2:7">
      <c r="B793" s="175"/>
      <c r="F793" s="12"/>
      <c r="G793" s="12"/>
    </row>
    <row r="794" spans="2:7">
      <c r="B794" s="175"/>
      <c r="F794" s="12"/>
      <c r="G794" s="12"/>
    </row>
    <row r="795" spans="2:7">
      <c r="B795" s="175"/>
      <c r="F795" s="12"/>
      <c r="G795" s="12"/>
    </row>
    <row r="796" spans="2:7">
      <c r="B796" s="175"/>
      <c r="F796" s="12"/>
      <c r="G796" s="12"/>
    </row>
    <row r="797" spans="2:7">
      <c r="B797" s="175"/>
      <c r="F797" s="12"/>
      <c r="G797" s="12"/>
    </row>
    <row r="798" spans="2:7">
      <c r="B798" s="175"/>
      <c r="F798" s="12"/>
      <c r="G798" s="12"/>
    </row>
    <row r="799" spans="2:7">
      <c r="B799" s="175"/>
      <c r="F799" s="12"/>
      <c r="G799" s="12"/>
    </row>
    <row r="800" spans="2:7">
      <c r="B800" s="175"/>
      <c r="F800" s="12"/>
      <c r="G800" s="12"/>
    </row>
    <row r="801" spans="2:7">
      <c r="B801" s="175"/>
      <c r="F801" s="12"/>
      <c r="G801" s="12"/>
    </row>
    <row r="802" spans="2:7">
      <c r="B802" s="175"/>
      <c r="F802" s="12"/>
      <c r="G802" s="12"/>
    </row>
    <row r="803" spans="2:7">
      <c r="B803" s="175"/>
      <c r="F803" s="12"/>
      <c r="G803" s="12"/>
    </row>
    <row r="804" spans="2:7">
      <c r="B804" s="175"/>
      <c r="F804" s="12"/>
      <c r="G804" s="12"/>
    </row>
    <row r="805" spans="2:7">
      <c r="B805" s="175"/>
      <c r="F805" s="12"/>
      <c r="G805" s="12"/>
    </row>
    <row r="806" spans="2:7">
      <c r="B806" s="175"/>
      <c r="F806" s="12"/>
      <c r="G806" s="12"/>
    </row>
    <row r="807" spans="2:7">
      <c r="B807" s="175"/>
      <c r="F807" s="12"/>
      <c r="G807" s="12"/>
    </row>
    <row r="808" spans="2:7">
      <c r="B808" s="175"/>
      <c r="F808" s="12"/>
      <c r="G808" s="12"/>
    </row>
    <row r="809" spans="2:7">
      <c r="B809" s="175"/>
      <c r="F809" s="12"/>
      <c r="G809" s="12"/>
    </row>
    <row r="810" spans="2:7">
      <c r="B810" s="175"/>
      <c r="F810" s="12"/>
      <c r="G810" s="12"/>
    </row>
    <row r="811" spans="2:7">
      <c r="B811" s="175"/>
      <c r="F811" s="12"/>
      <c r="G811" s="12"/>
    </row>
    <row r="812" spans="2:7">
      <c r="B812" s="175"/>
      <c r="F812" s="12"/>
      <c r="G812" s="12"/>
    </row>
    <row r="813" spans="2:7">
      <c r="B813" s="175"/>
      <c r="F813" s="12"/>
      <c r="G813" s="12"/>
    </row>
    <row r="814" spans="2:7">
      <c r="B814" s="175"/>
      <c r="F814" s="12"/>
      <c r="G814" s="12"/>
    </row>
    <row r="815" spans="2:7">
      <c r="B815" s="175"/>
      <c r="F815" s="12"/>
      <c r="G815" s="12"/>
    </row>
    <row r="816" spans="2:7">
      <c r="B816" s="175"/>
      <c r="F816" s="12"/>
      <c r="G816" s="12"/>
    </row>
    <row r="817" spans="2:7">
      <c r="B817" s="175"/>
      <c r="F817" s="12"/>
      <c r="G817" s="12"/>
    </row>
    <row r="818" spans="2:7">
      <c r="B818" s="175"/>
      <c r="F818" s="12"/>
      <c r="G818" s="12"/>
    </row>
    <row r="819" spans="2:7">
      <c r="B819" s="175"/>
      <c r="F819" s="12"/>
      <c r="G819" s="12"/>
    </row>
    <row r="820" spans="2:7">
      <c r="B820" s="175"/>
      <c r="F820" s="12"/>
      <c r="G820" s="12"/>
    </row>
    <row r="821" spans="2:7">
      <c r="B821" s="175"/>
      <c r="F821" s="12"/>
      <c r="G821" s="12"/>
    </row>
    <row r="822" spans="2:7">
      <c r="B822" s="175"/>
      <c r="F822" s="12"/>
      <c r="G822" s="12"/>
    </row>
    <row r="823" spans="2:7">
      <c r="B823" s="175"/>
      <c r="F823" s="12"/>
      <c r="G823" s="12"/>
    </row>
    <row r="824" spans="2:7">
      <c r="B824" s="175"/>
      <c r="F824" s="12"/>
      <c r="G824" s="12"/>
    </row>
    <row r="825" spans="2:7">
      <c r="B825" s="175"/>
      <c r="F825" s="12"/>
      <c r="G825" s="12"/>
    </row>
    <row r="826" spans="2:7">
      <c r="B826" s="175"/>
      <c r="F826" s="12"/>
      <c r="G826" s="12"/>
    </row>
    <row r="827" spans="2:7">
      <c r="B827" s="175"/>
      <c r="F827" s="12"/>
      <c r="G827" s="12"/>
    </row>
    <row r="828" spans="2:7">
      <c r="B828" s="175"/>
      <c r="F828" s="12"/>
      <c r="G828" s="12"/>
    </row>
    <row r="829" spans="2:7">
      <c r="B829" s="175"/>
      <c r="F829" s="12"/>
      <c r="G829" s="12"/>
    </row>
    <row r="830" spans="2:7">
      <c r="B830" s="175"/>
      <c r="F830" s="12"/>
      <c r="G830" s="12"/>
    </row>
    <row r="831" spans="2:7">
      <c r="B831" s="175"/>
      <c r="F831" s="12"/>
      <c r="G831" s="12"/>
    </row>
    <row r="832" spans="2:7">
      <c r="B832" s="175"/>
      <c r="F832" s="12"/>
      <c r="G832" s="12"/>
    </row>
    <row r="833" spans="2:7">
      <c r="B833" s="175"/>
      <c r="F833" s="12"/>
      <c r="G833" s="12"/>
    </row>
    <row r="834" spans="2:7">
      <c r="B834" s="175"/>
      <c r="F834" s="12"/>
      <c r="G834" s="12"/>
    </row>
    <row r="835" spans="2:7">
      <c r="B835" s="175"/>
      <c r="F835" s="12"/>
      <c r="G835" s="12"/>
    </row>
    <row r="836" spans="2:7">
      <c r="B836" s="175"/>
      <c r="F836" s="12"/>
      <c r="G836" s="12"/>
    </row>
    <row r="837" spans="2:7">
      <c r="B837" s="175"/>
      <c r="F837" s="12"/>
      <c r="G837" s="12"/>
    </row>
    <row r="838" spans="2:7">
      <c r="B838" s="175"/>
      <c r="F838" s="12"/>
      <c r="G838" s="12"/>
    </row>
    <row r="839" spans="2:7">
      <c r="B839" s="175"/>
      <c r="F839" s="12"/>
      <c r="G839" s="12"/>
    </row>
    <row r="840" spans="2:7">
      <c r="B840" s="175"/>
      <c r="F840" s="12"/>
      <c r="G840" s="12"/>
    </row>
    <row r="841" spans="2:7">
      <c r="B841" s="175"/>
      <c r="F841" s="12"/>
      <c r="G841" s="12"/>
    </row>
    <row r="842" spans="2:7">
      <c r="B842" s="175"/>
      <c r="F842" s="12"/>
      <c r="G842" s="12"/>
    </row>
    <row r="843" spans="2:7">
      <c r="B843" s="175"/>
      <c r="F843" s="12"/>
      <c r="G843" s="12"/>
    </row>
    <row r="844" spans="2:7">
      <c r="B844" s="175"/>
      <c r="F844" s="12"/>
      <c r="G844" s="12"/>
    </row>
    <row r="845" spans="2:7">
      <c r="B845" s="175"/>
      <c r="F845" s="12"/>
      <c r="G845" s="12"/>
    </row>
    <row r="846" spans="2:7">
      <c r="B846" s="175"/>
      <c r="F846" s="12"/>
      <c r="G846" s="12"/>
    </row>
    <row r="847" spans="2:7">
      <c r="B847" s="175"/>
      <c r="F847" s="12"/>
      <c r="G847" s="12"/>
    </row>
    <row r="848" spans="2:7">
      <c r="B848" s="175"/>
      <c r="F848" s="12"/>
      <c r="G848" s="12"/>
    </row>
    <row r="849" spans="2:7">
      <c r="B849" s="175"/>
      <c r="F849" s="12"/>
      <c r="G849" s="12"/>
    </row>
    <row r="850" spans="2:7">
      <c r="B850" s="175"/>
      <c r="F850" s="12"/>
      <c r="G850" s="12"/>
    </row>
    <row r="851" spans="2:7">
      <c r="B851" s="175"/>
      <c r="F851" s="12"/>
      <c r="G851" s="12"/>
    </row>
    <row r="852" spans="2:7">
      <c r="B852" s="175"/>
      <c r="F852" s="12"/>
      <c r="G852" s="12"/>
    </row>
    <row r="853" spans="2:7">
      <c r="B853" s="175"/>
      <c r="F853" s="12"/>
      <c r="G853" s="12"/>
    </row>
    <row r="854" spans="2:7">
      <c r="B854" s="175"/>
      <c r="F854" s="12"/>
      <c r="G854" s="12"/>
    </row>
    <row r="855" spans="2:7">
      <c r="B855" s="175"/>
      <c r="F855" s="12"/>
      <c r="G855" s="12"/>
    </row>
    <row r="856" spans="2:7">
      <c r="B856" s="175"/>
      <c r="F856" s="12"/>
      <c r="G856" s="12"/>
    </row>
    <row r="857" spans="2:7">
      <c r="B857" s="175"/>
      <c r="F857" s="12"/>
      <c r="G857" s="12"/>
    </row>
    <row r="858" spans="2:7">
      <c r="B858" s="175"/>
      <c r="F858" s="12"/>
      <c r="G858" s="12"/>
    </row>
    <row r="859" spans="2:7">
      <c r="B859" s="175"/>
      <c r="F859" s="12"/>
      <c r="G859" s="12"/>
    </row>
    <row r="860" spans="2:7">
      <c r="B860" s="175"/>
      <c r="F860" s="12"/>
      <c r="G860" s="12"/>
    </row>
    <row r="861" spans="2:7">
      <c r="B861" s="175"/>
      <c r="F861" s="12"/>
      <c r="G861" s="12"/>
    </row>
    <row r="862" spans="2:7">
      <c r="B862" s="175"/>
      <c r="F862" s="12"/>
      <c r="G862" s="12"/>
    </row>
    <row r="863" spans="2:7">
      <c r="B863" s="175"/>
      <c r="F863" s="12"/>
      <c r="G863" s="12"/>
    </row>
    <row r="864" spans="2:7">
      <c r="B864" s="175"/>
      <c r="F864" s="12"/>
      <c r="G864" s="12"/>
    </row>
    <row r="865" spans="2:7">
      <c r="B865" s="175"/>
      <c r="F865" s="12"/>
      <c r="G865" s="12"/>
    </row>
    <row r="866" spans="2:7">
      <c r="B866" s="175"/>
      <c r="F866" s="12"/>
      <c r="G866" s="12"/>
    </row>
    <row r="867" spans="2:7">
      <c r="B867" s="175"/>
      <c r="F867" s="12"/>
      <c r="G867" s="12"/>
    </row>
    <row r="868" spans="2:7">
      <c r="B868" s="175"/>
      <c r="F868" s="12"/>
      <c r="G868" s="12"/>
    </row>
    <row r="869" spans="2:7">
      <c r="B869" s="175"/>
      <c r="F869" s="12"/>
      <c r="G869" s="12"/>
    </row>
    <row r="870" spans="2:7">
      <c r="B870" s="175"/>
      <c r="F870" s="12"/>
      <c r="G870" s="12"/>
    </row>
    <row r="871" spans="2:7">
      <c r="B871" s="175"/>
      <c r="F871" s="12"/>
      <c r="G871" s="12"/>
    </row>
    <row r="872" spans="2:7">
      <c r="B872" s="175"/>
      <c r="F872" s="12"/>
      <c r="G872" s="12"/>
    </row>
    <row r="873" spans="2:7">
      <c r="B873" s="175"/>
      <c r="F873" s="12"/>
      <c r="G873" s="12"/>
    </row>
    <row r="874" spans="2:7">
      <c r="B874" s="175"/>
      <c r="F874" s="12"/>
      <c r="G874" s="12"/>
    </row>
    <row r="875" spans="2:7">
      <c r="B875" s="175"/>
      <c r="F875" s="12"/>
      <c r="G875" s="12"/>
    </row>
    <row r="876" spans="2:7">
      <c r="B876" s="175"/>
      <c r="F876" s="12"/>
      <c r="G876" s="12"/>
    </row>
    <row r="877" spans="2:7">
      <c r="B877" s="175"/>
      <c r="F877" s="12"/>
      <c r="G877" s="12"/>
    </row>
    <row r="878" spans="2:7">
      <c r="B878" s="175"/>
      <c r="F878" s="12"/>
      <c r="G878" s="12"/>
    </row>
    <row r="879" spans="2:7">
      <c r="B879" s="175"/>
      <c r="F879" s="12"/>
      <c r="G879" s="12"/>
    </row>
    <row r="880" spans="2:7">
      <c r="B880" s="175"/>
      <c r="F880" s="12"/>
      <c r="G880" s="12"/>
    </row>
    <row r="881" spans="2:7">
      <c r="B881" s="175"/>
      <c r="F881" s="12"/>
      <c r="G881" s="12"/>
    </row>
    <row r="882" spans="2:7">
      <c r="B882" s="175"/>
      <c r="F882" s="12"/>
      <c r="G882" s="12"/>
    </row>
    <row r="883" spans="2:7">
      <c r="B883" s="175"/>
      <c r="F883" s="12"/>
      <c r="G883" s="12"/>
    </row>
    <row r="884" spans="2:7">
      <c r="B884" s="175"/>
      <c r="F884" s="12"/>
      <c r="G884" s="12"/>
    </row>
    <row r="885" spans="2:7">
      <c r="B885" s="175"/>
      <c r="F885" s="12"/>
      <c r="G885" s="12"/>
    </row>
    <row r="886" spans="2:7">
      <c r="B886" s="175"/>
      <c r="F886" s="12"/>
      <c r="G886" s="12"/>
    </row>
    <row r="887" spans="2:7">
      <c r="B887" s="175"/>
      <c r="F887" s="12"/>
      <c r="G887" s="12"/>
    </row>
    <row r="888" spans="2:7">
      <c r="B888" s="175"/>
      <c r="F888" s="12"/>
      <c r="G888" s="12"/>
    </row>
    <row r="889" spans="2:7">
      <c r="B889" s="175"/>
      <c r="F889" s="12"/>
      <c r="G889" s="12"/>
    </row>
    <row r="890" spans="2:7">
      <c r="B890" s="175"/>
      <c r="F890" s="12"/>
      <c r="G890" s="12"/>
    </row>
    <row r="891" spans="2:7">
      <c r="B891" s="175"/>
      <c r="F891" s="12"/>
      <c r="G891" s="12"/>
    </row>
    <row r="892" spans="2:7">
      <c r="B892" s="175"/>
      <c r="F892" s="12"/>
      <c r="G892" s="12"/>
    </row>
    <row r="893" spans="2:7">
      <c r="B893" s="175"/>
      <c r="F893" s="12"/>
      <c r="G893" s="12"/>
    </row>
    <row r="894" spans="2:7">
      <c r="B894" s="175"/>
      <c r="F894" s="12"/>
      <c r="G894" s="12"/>
    </row>
    <row r="895" spans="2:7">
      <c r="B895" s="175"/>
      <c r="F895" s="12"/>
      <c r="G895" s="12"/>
    </row>
    <row r="896" spans="2:7">
      <c r="B896" s="175"/>
      <c r="F896" s="12"/>
      <c r="G896" s="12"/>
    </row>
    <row r="897" spans="2:7">
      <c r="B897" s="175"/>
      <c r="F897" s="12"/>
      <c r="G897" s="12"/>
    </row>
    <row r="898" spans="2:7">
      <c r="B898" s="175"/>
      <c r="F898" s="12"/>
      <c r="G898" s="12"/>
    </row>
    <row r="899" spans="2:7">
      <c r="B899" s="175"/>
      <c r="F899" s="12"/>
      <c r="G899" s="12"/>
    </row>
    <row r="900" spans="2:7">
      <c r="B900" s="175"/>
      <c r="F900" s="12"/>
      <c r="G900" s="12"/>
    </row>
    <row r="901" spans="2:7">
      <c r="B901" s="175"/>
      <c r="F901" s="12"/>
      <c r="G901" s="12"/>
    </row>
    <row r="902" spans="2:7">
      <c r="B902" s="175"/>
      <c r="F902" s="12"/>
      <c r="G902" s="12"/>
    </row>
    <row r="903" spans="2:7">
      <c r="B903" s="175"/>
      <c r="F903" s="12"/>
      <c r="G903" s="12"/>
    </row>
    <row r="904" spans="2:7">
      <c r="B904" s="175"/>
      <c r="F904" s="12"/>
      <c r="G904" s="12"/>
    </row>
    <row r="905" spans="2:7">
      <c r="B905" s="175"/>
      <c r="F905" s="12"/>
      <c r="G905" s="12"/>
    </row>
    <row r="906" spans="2:7">
      <c r="B906" s="175"/>
      <c r="F906" s="12"/>
      <c r="G906" s="12"/>
    </row>
    <row r="907" spans="2:7">
      <c r="B907" s="175"/>
      <c r="F907" s="12"/>
      <c r="G907" s="12"/>
    </row>
    <row r="908" spans="2:7">
      <c r="B908" s="175"/>
      <c r="F908" s="12"/>
      <c r="G908" s="12"/>
    </row>
    <row r="909" spans="2:7">
      <c r="B909" s="175"/>
      <c r="F909" s="12"/>
      <c r="G909" s="12"/>
    </row>
    <row r="910" spans="2:7">
      <c r="B910" s="175"/>
      <c r="F910" s="12"/>
      <c r="G910" s="12"/>
    </row>
    <row r="911" spans="2:7">
      <c r="B911" s="175"/>
      <c r="F911" s="12"/>
      <c r="G911" s="12"/>
    </row>
    <row r="912" spans="2:7">
      <c r="B912" s="175"/>
      <c r="F912" s="12"/>
      <c r="G912" s="12"/>
    </row>
    <row r="913" spans="2:7">
      <c r="B913" s="175"/>
      <c r="F913" s="12"/>
      <c r="G913" s="12"/>
    </row>
    <row r="914" spans="2:7">
      <c r="B914" s="175"/>
      <c r="F914" s="12"/>
      <c r="G914" s="12"/>
    </row>
    <row r="915" spans="2:7">
      <c r="B915" s="175"/>
      <c r="F915" s="12"/>
      <c r="G915" s="12"/>
    </row>
    <row r="916" spans="2:7">
      <c r="B916" s="175"/>
      <c r="F916" s="12"/>
      <c r="G916" s="12"/>
    </row>
    <row r="917" spans="2:7">
      <c r="B917" s="175"/>
      <c r="F917" s="12"/>
      <c r="G917" s="12"/>
    </row>
    <row r="918" spans="2:7">
      <c r="B918" s="175"/>
      <c r="F918" s="12"/>
      <c r="G918" s="12"/>
    </row>
    <row r="919" spans="2:7">
      <c r="B919" s="175"/>
      <c r="F919" s="12"/>
      <c r="G919" s="12"/>
    </row>
    <row r="920" spans="2:7">
      <c r="B920" s="175"/>
      <c r="F920" s="12"/>
      <c r="G920" s="12"/>
    </row>
    <row r="921" spans="2:7">
      <c r="B921" s="175"/>
      <c r="F921" s="12"/>
      <c r="G921" s="12"/>
    </row>
    <row r="922" spans="2:7">
      <c r="B922" s="175"/>
      <c r="F922" s="12"/>
      <c r="G922" s="12"/>
    </row>
    <row r="923" spans="2:7">
      <c r="B923" s="175"/>
      <c r="F923" s="12"/>
      <c r="G923" s="12"/>
    </row>
    <row r="924" spans="2:7">
      <c r="B924" s="175"/>
      <c r="F924" s="12"/>
      <c r="G924" s="12"/>
    </row>
    <row r="925" spans="2:7">
      <c r="B925" s="175"/>
      <c r="F925" s="12"/>
      <c r="G925" s="12"/>
    </row>
    <row r="926" spans="2:7">
      <c r="B926" s="175"/>
      <c r="F926" s="12"/>
      <c r="G926" s="12"/>
    </row>
    <row r="927" spans="2:7">
      <c r="B927" s="175"/>
      <c r="F927" s="12"/>
      <c r="G927" s="12"/>
    </row>
    <row r="928" spans="2:7">
      <c r="B928" s="175"/>
      <c r="F928" s="12"/>
      <c r="G928" s="12"/>
    </row>
    <row r="929" spans="2:7">
      <c r="B929" s="175"/>
      <c r="F929" s="12"/>
      <c r="G929" s="12"/>
    </row>
    <row r="930" spans="2:7">
      <c r="B930" s="175"/>
      <c r="F930" s="12"/>
      <c r="G930" s="12"/>
    </row>
    <row r="931" spans="2:7">
      <c r="B931" s="175"/>
      <c r="F931" s="12"/>
      <c r="G931" s="12"/>
    </row>
    <row r="932" spans="2:7">
      <c r="B932" s="175"/>
      <c r="F932" s="12"/>
      <c r="G932" s="12"/>
    </row>
    <row r="933" spans="2:7">
      <c r="B933" s="175"/>
      <c r="F933" s="12"/>
      <c r="G933" s="12"/>
    </row>
    <row r="934" spans="2:7">
      <c r="B934" s="175"/>
      <c r="F934" s="12"/>
      <c r="G934" s="12"/>
    </row>
    <row r="935" spans="2:7">
      <c r="B935" s="175"/>
      <c r="F935" s="12"/>
      <c r="G935" s="12"/>
    </row>
    <row r="936" spans="2:7">
      <c r="B936" s="175"/>
      <c r="F936" s="12"/>
      <c r="G936" s="12"/>
    </row>
    <row r="937" spans="2:7">
      <c r="B937" s="175"/>
      <c r="F937" s="12"/>
      <c r="G937" s="12"/>
    </row>
    <row r="938" spans="2:7">
      <c r="B938" s="175"/>
      <c r="F938" s="12"/>
      <c r="G938" s="12"/>
    </row>
    <row r="939" spans="2:7">
      <c r="B939" s="175"/>
      <c r="F939" s="12"/>
      <c r="G939" s="12"/>
    </row>
    <row r="940" spans="2:7">
      <c r="B940" s="175"/>
      <c r="F940" s="12"/>
      <c r="G940" s="12"/>
    </row>
    <row r="941" spans="2:7">
      <c r="B941" s="175"/>
      <c r="F941" s="12"/>
      <c r="G941" s="12"/>
    </row>
    <row r="942" spans="2:7">
      <c r="B942" s="175"/>
      <c r="F942" s="12"/>
      <c r="G942" s="12"/>
    </row>
    <row r="943" spans="2:7">
      <c r="B943" s="175"/>
      <c r="F943" s="12"/>
      <c r="G943" s="12"/>
    </row>
    <row r="944" spans="2:7">
      <c r="B944" s="175"/>
      <c r="F944" s="12"/>
      <c r="G944" s="12"/>
    </row>
    <row r="945" spans="2:7">
      <c r="B945" s="175"/>
      <c r="F945" s="12"/>
      <c r="G945" s="12"/>
    </row>
    <row r="946" spans="2:7">
      <c r="B946" s="175"/>
      <c r="F946" s="12"/>
      <c r="G946" s="12"/>
    </row>
    <row r="947" spans="2:7">
      <c r="B947" s="175"/>
      <c r="F947" s="12"/>
      <c r="G947" s="12"/>
    </row>
    <row r="948" spans="2:7">
      <c r="B948" s="175"/>
      <c r="F948" s="12"/>
      <c r="G948" s="12"/>
    </row>
    <row r="949" spans="2:7">
      <c r="B949" s="175"/>
      <c r="F949" s="12"/>
      <c r="G949" s="12"/>
    </row>
    <row r="950" spans="2:7">
      <c r="B950" s="175"/>
      <c r="F950" s="12"/>
      <c r="G950" s="12"/>
    </row>
    <row r="951" spans="2:7">
      <c r="B951" s="175"/>
      <c r="F951" s="12"/>
      <c r="G951" s="12"/>
    </row>
    <row r="952" spans="2:7">
      <c r="B952" s="175"/>
      <c r="F952" s="12"/>
      <c r="G952" s="12"/>
    </row>
    <row r="953" spans="2:7">
      <c r="B953" s="175"/>
      <c r="F953" s="12"/>
      <c r="G953" s="12"/>
    </row>
    <row r="954" spans="2:7">
      <c r="B954" s="175"/>
      <c r="F954" s="12"/>
      <c r="G954" s="12"/>
    </row>
    <row r="955" spans="2:7">
      <c r="B955" s="175"/>
      <c r="F955" s="12"/>
      <c r="G955" s="12"/>
    </row>
    <row r="956" spans="2:7">
      <c r="B956" s="175"/>
      <c r="F956" s="12"/>
      <c r="G956" s="12"/>
    </row>
    <row r="957" spans="2:7">
      <c r="B957" s="175"/>
      <c r="F957" s="12"/>
      <c r="G957" s="12"/>
    </row>
    <row r="958" spans="2:7">
      <c r="B958" s="175"/>
      <c r="F958" s="12"/>
      <c r="G958" s="12"/>
    </row>
    <row r="959" spans="2:7">
      <c r="B959" s="175"/>
      <c r="F959" s="12"/>
      <c r="G959" s="12"/>
    </row>
    <row r="960" spans="2:7">
      <c r="B960" s="175"/>
      <c r="F960" s="12"/>
      <c r="G960" s="12"/>
    </row>
    <row r="961" spans="2:7">
      <c r="B961" s="175"/>
      <c r="F961" s="12"/>
      <c r="G961" s="12"/>
    </row>
    <row r="962" spans="2:7">
      <c r="B962" s="175"/>
      <c r="F962" s="12"/>
      <c r="G962" s="12"/>
    </row>
    <row r="963" spans="2:7">
      <c r="B963" s="175"/>
      <c r="F963" s="12"/>
      <c r="G963" s="12"/>
    </row>
    <row r="964" spans="2:7">
      <c r="B964" s="175"/>
      <c r="F964" s="12"/>
      <c r="G964" s="12"/>
    </row>
    <row r="965" spans="2:7">
      <c r="B965" s="175"/>
      <c r="F965" s="12"/>
      <c r="G965" s="12"/>
    </row>
    <row r="966" spans="2:7">
      <c r="B966" s="175"/>
      <c r="F966" s="12"/>
      <c r="G966" s="12"/>
    </row>
    <row r="967" spans="2:7">
      <c r="B967" s="175"/>
      <c r="F967" s="12"/>
      <c r="G967" s="12"/>
    </row>
    <row r="968" spans="2:7">
      <c r="B968" s="175"/>
      <c r="F968" s="12"/>
      <c r="G968" s="12"/>
    </row>
    <row r="969" spans="2:7">
      <c r="B969" s="175"/>
      <c r="F969" s="12"/>
      <c r="G969" s="12"/>
    </row>
    <row r="970" spans="2:7">
      <c r="B970" s="175"/>
      <c r="F970" s="12"/>
      <c r="G970" s="12"/>
    </row>
    <row r="971" spans="2:7">
      <c r="B971" s="175"/>
      <c r="F971" s="12"/>
      <c r="G971" s="12"/>
    </row>
    <row r="972" spans="2:7">
      <c r="B972" s="175"/>
      <c r="F972" s="12"/>
      <c r="G972" s="12"/>
    </row>
    <row r="973" spans="2:7">
      <c r="B973" s="175"/>
      <c r="F973" s="12"/>
      <c r="G973" s="12"/>
    </row>
    <row r="974" spans="2:7">
      <c r="B974" s="175"/>
      <c r="F974" s="12"/>
      <c r="G974" s="12"/>
    </row>
    <row r="975" spans="2:7">
      <c r="B975" s="175"/>
      <c r="F975" s="12"/>
      <c r="G975" s="12"/>
    </row>
    <row r="976" spans="2:7">
      <c r="B976" s="175"/>
      <c r="F976" s="12"/>
      <c r="G976" s="12"/>
    </row>
    <row r="977" spans="2:7">
      <c r="B977" s="175"/>
      <c r="F977" s="12"/>
      <c r="G977" s="12"/>
    </row>
    <row r="978" spans="2:7">
      <c r="B978" s="175"/>
      <c r="F978" s="12"/>
      <c r="G978" s="12"/>
    </row>
    <row r="979" spans="2:7">
      <c r="B979" s="175"/>
      <c r="F979" s="12"/>
      <c r="G979" s="12"/>
    </row>
    <row r="980" spans="2:7">
      <c r="B980" s="175"/>
      <c r="F980" s="12"/>
      <c r="G980" s="12"/>
    </row>
    <row r="981" spans="2:7">
      <c r="B981" s="175"/>
      <c r="F981" s="12"/>
      <c r="G981" s="12"/>
    </row>
    <row r="982" spans="2:7">
      <c r="B982" s="175"/>
      <c r="F982" s="12"/>
      <c r="G982" s="12"/>
    </row>
    <row r="983" spans="2:7">
      <c r="B983" s="175"/>
      <c r="F983" s="12"/>
      <c r="G983" s="12"/>
    </row>
    <row r="984" spans="2:7">
      <c r="B984" s="175"/>
      <c r="F984" s="12"/>
      <c r="G984" s="12"/>
    </row>
    <row r="985" spans="2:7">
      <c r="B985" s="175"/>
      <c r="F985" s="12"/>
      <c r="G985" s="12"/>
    </row>
    <row r="986" spans="2:7">
      <c r="B986" s="175"/>
      <c r="F986" s="12"/>
      <c r="G986" s="12"/>
    </row>
    <row r="987" spans="2:7">
      <c r="B987" s="175"/>
      <c r="F987" s="12"/>
      <c r="G987" s="12"/>
    </row>
    <row r="988" spans="2:7">
      <c r="B988" s="175"/>
      <c r="F988" s="12"/>
      <c r="G988" s="12"/>
    </row>
    <row r="989" spans="2:7">
      <c r="B989" s="175"/>
      <c r="F989" s="12"/>
      <c r="G989" s="12"/>
    </row>
    <row r="990" spans="2:7">
      <c r="B990" s="175"/>
      <c r="F990" s="12"/>
      <c r="G990" s="12"/>
    </row>
    <row r="991" spans="2:7">
      <c r="B991" s="175"/>
      <c r="F991" s="12"/>
      <c r="G991" s="12"/>
    </row>
    <row r="992" spans="2:7">
      <c r="B992" s="175"/>
      <c r="F992" s="12"/>
      <c r="G992" s="12"/>
    </row>
    <row r="993" spans="2:7">
      <c r="B993" s="175"/>
      <c r="F993" s="12"/>
      <c r="G993" s="12"/>
    </row>
    <row r="994" spans="2:7">
      <c r="B994" s="175"/>
      <c r="F994" s="12"/>
      <c r="G994" s="12"/>
    </row>
    <row r="995" spans="2:7">
      <c r="B995" s="175"/>
      <c r="F995" s="12"/>
      <c r="G995" s="12"/>
    </row>
    <row r="996" spans="2:7">
      <c r="B996" s="175"/>
      <c r="F996" s="12"/>
      <c r="G996" s="12"/>
    </row>
    <row r="997" spans="2:7">
      <c r="B997" s="175"/>
      <c r="F997" s="12"/>
      <c r="G997" s="12"/>
    </row>
    <row r="998" spans="2:7">
      <c r="B998" s="175"/>
      <c r="F998" s="12"/>
      <c r="G998" s="12"/>
    </row>
    <row r="999" spans="2:7">
      <c r="B999" s="175"/>
      <c r="F999" s="12"/>
      <c r="G999" s="12"/>
    </row>
    <row r="1000" spans="2:7">
      <c r="B1000" s="175"/>
      <c r="F1000" s="12"/>
      <c r="G1000" s="12"/>
    </row>
    <row r="1001" spans="2:7">
      <c r="B1001" s="175"/>
      <c r="F1001" s="12"/>
      <c r="G1001" s="12"/>
    </row>
    <row r="1002" spans="2:7">
      <c r="B1002" s="175"/>
      <c r="F1002" s="12"/>
      <c r="G1002" s="12"/>
    </row>
    <row r="1003" spans="2:7">
      <c r="B1003" s="175"/>
      <c r="F1003" s="12"/>
      <c r="G1003" s="12"/>
    </row>
    <row r="1004" spans="2:7">
      <c r="B1004" s="175"/>
      <c r="F1004" s="12"/>
      <c r="G1004" s="12"/>
    </row>
    <row r="1005" spans="2:7">
      <c r="B1005" s="175"/>
      <c r="F1005" s="12"/>
      <c r="G1005" s="12"/>
    </row>
    <row r="1006" spans="2:7">
      <c r="B1006" s="175"/>
      <c r="F1006" s="12"/>
      <c r="G1006" s="12"/>
    </row>
  </sheetData>
  <autoFilter ref="A1:AB98" xr:uid="{00000000-0009-0000-0000-000005000000}"/>
  <mergeCells count="8">
    <mergeCell ref="U71:V71"/>
    <mergeCell ref="X71:Y71"/>
    <mergeCell ref="U67:V67"/>
    <mergeCell ref="X67:Y67"/>
    <mergeCell ref="U68:V68"/>
    <mergeCell ref="X68:Y68"/>
    <mergeCell ref="U69:V69"/>
    <mergeCell ref="X69:Y6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R49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4.28515625" customWidth="1"/>
    <col min="2" max="2" width="5.140625" customWidth="1"/>
    <col min="3" max="3" width="9.5703125" customWidth="1"/>
    <col min="5" max="5" width="9.42578125" customWidth="1"/>
    <col min="6" max="6" width="8.7109375" customWidth="1"/>
  </cols>
  <sheetData>
    <row r="1" spans="1:18">
      <c r="A1" s="34" t="s">
        <v>1107</v>
      </c>
      <c r="B1" s="34" t="s">
        <v>19</v>
      </c>
      <c r="C1" s="34" t="s">
        <v>1108</v>
      </c>
      <c r="D1" s="34" t="s">
        <v>254</v>
      </c>
      <c r="E1" s="34" t="s">
        <v>1109</v>
      </c>
      <c r="F1" s="34" t="s">
        <v>1110</v>
      </c>
      <c r="G1" s="34" t="s">
        <v>1111</v>
      </c>
      <c r="H1" s="34" t="s">
        <v>1112</v>
      </c>
      <c r="I1" s="34" t="s">
        <v>1113</v>
      </c>
      <c r="J1" s="34" t="s">
        <v>1114</v>
      </c>
      <c r="K1" s="34" t="s">
        <v>1115</v>
      </c>
      <c r="L1" s="34" t="s">
        <v>250</v>
      </c>
      <c r="M1" s="34" t="s">
        <v>1116</v>
      </c>
      <c r="N1" s="34" t="s">
        <v>1117</v>
      </c>
      <c r="O1" s="34" t="s">
        <v>20</v>
      </c>
      <c r="P1" s="34" t="s">
        <v>1118</v>
      </c>
      <c r="Q1" s="34" t="s">
        <v>1119</v>
      </c>
      <c r="R1" s="34" t="s">
        <v>1120</v>
      </c>
    </row>
    <row r="2" spans="1:18">
      <c r="A2" s="32" t="s">
        <v>1121</v>
      </c>
      <c r="B2" s="34">
        <v>6</v>
      </c>
      <c r="C2" s="34" t="s">
        <v>1122</v>
      </c>
      <c r="D2" s="34" t="s">
        <v>1123</v>
      </c>
      <c r="E2" s="34" t="s">
        <v>1124</v>
      </c>
      <c r="F2" s="34" t="s">
        <v>1125</v>
      </c>
      <c r="G2" s="32">
        <v>13.99</v>
      </c>
      <c r="H2" s="32">
        <v>13.99</v>
      </c>
      <c r="I2" s="32">
        <v>0.41</v>
      </c>
      <c r="J2" s="32">
        <v>13.58</v>
      </c>
      <c r="K2" s="32">
        <v>0</v>
      </c>
      <c r="L2" s="34" t="s">
        <v>45</v>
      </c>
      <c r="M2" s="34"/>
      <c r="N2" s="34"/>
      <c r="O2" s="34" t="s">
        <v>1126</v>
      </c>
      <c r="P2" s="34">
        <v>69644</v>
      </c>
      <c r="Q2" s="34"/>
      <c r="R2" s="34" t="s">
        <v>1127</v>
      </c>
    </row>
    <row r="3" spans="1:18">
      <c r="A3" s="32" t="s">
        <v>1128</v>
      </c>
      <c r="B3" s="34">
        <v>6</v>
      </c>
      <c r="C3" s="34" t="s">
        <v>1122</v>
      </c>
      <c r="D3" s="34" t="s">
        <v>1129</v>
      </c>
      <c r="E3" s="34" t="s">
        <v>1124</v>
      </c>
      <c r="F3" s="34" t="s">
        <v>1125</v>
      </c>
      <c r="G3" s="32">
        <v>14.39</v>
      </c>
      <c r="H3" s="32">
        <v>14.39</v>
      </c>
      <c r="I3" s="32">
        <v>0.42</v>
      </c>
      <c r="J3" s="32">
        <v>13.97</v>
      </c>
      <c r="K3" s="32">
        <v>0</v>
      </c>
      <c r="L3" s="34" t="s">
        <v>45</v>
      </c>
      <c r="M3" s="34"/>
      <c r="N3" s="34"/>
      <c r="O3" s="34" t="s">
        <v>1130</v>
      </c>
      <c r="P3" s="34">
        <v>69620</v>
      </c>
      <c r="Q3" s="34"/>
      <c r="R3" s="34" t="s">
        <v>1131</v>
      </c>
    </row>
    <row r="4" spans="1:18">
      <c r="A4" s="32" t="s">
        <v>1132</v>
      </c>
      <c r="B4" s="34">
        <v>6</v>
      </c>
      <c r="C4" s="34" t="s">
        <v>1122</v>
      </c>
      <c r="D4" s="34" t="s">
        <v>1133</v>
      </c>
      <c r="E4" s="34" t="s">
        <v>1124</v>
      </c>
      <c r="F4" s="34" t="s">
        <v>1125</v>
      </c>
      <c r="G4" s="32">
        <v>18.39</v>
      </c>
      <c r="H4" s="32">
        <v>18.39</v>
      </c>
      <c r="I4" s="32">
        <v>0.54</v>
      </c>
      <c r="J4" s="32">
        <v>17.850000000000001</v>
      </c>
      <c r="K4" s="32">
        <v>0</v>
      </c>
      <c r="L4" s="34" t="s">
        <v>45</v>
      </c>
      <c r="M4" s="34"/>
      <c r="N4" s="34"/>
      <c r="O4" s="34" t="s">
        <v>1134</v>
      </c>
      <c r="P4" s="34">
        <v>69608</v>
      </c>
      <c r="Q4" s="34"/>
      <c r="R4" s="34" t="s">
        <v>1135</v>
      </c>
    </row>
    <row r="5" spans="1:18">
      <c r="A5" s="32" t="s">
        <v>1136</v>
      </c>
      <c r="B5" s="34">
        <v>6</v>
      </c>
      <c r="C5" s="34" t="s">
        <v>1122</v>
      </c>
      <c r="D5" s="34" t="s">
        <v>1137</v>
      </c>
      <c r="E5" s="34" t="s">
        <v>1124</v>
      </c>
      <c r="F5" s="34" t="s">
        <v>1125</v>
      </c>
      <c r="G5" s="32">
        <v>28.79</v>
      </c>
      <c r="H5" s="32">
        <v>28.79</v>
      </c>
      <c r="I5" s="32">
        <v>0.84</v>
      </c>
      <c r="J5" s="32">
        <v>27.95</v>
      </c>
      <c r="K5" s="32">
        <v>0</v>
      </c>
      <c r="L5" s="34" t="s">
        <v>45</v>
      </c>
      <c r="M5" s="34"/>
      <c r="N5" s="34"/>
      <c r="O5" s="34" t="s">
        <v>1138</v>
      </c>
      <c r="P5" s="34">
        <v>69860</v>
      </c>
      <c r="Q5" s="34"/>
      <c r="R5" s="34" t="s">
        <v>1139</v>
      </c>
    </row>
    <row r="6" spans="1:18">
      <c r="A6" s="32" t="s">
        <v>1140</v>
      </c>
      <c r="B6" s="34">
        <v>6</v>
      </c>
      <c r="C6" s="34" t="s">
        <v>1122</v>
      </c>
      <c r="D6" s="34" t="s">
        <v>1141</v>
      </c>
      <c r="E6" s="34" t="s">
        <v>1124</v>
      </c>
      <c r="F6" s="34" t="s">
        <v>1125</v>
      </c>
      <c r="G6" s="32">
        <v>7.99</v>
      </c>
      <c r="H6" s="32">
        <v>7.99</v>
      </c>
      <c r="I6" s="32">
        <v>0.24</v>
      </c>
      <c r="J6" s="32">
        <v>7.75</v>
      </c>
      <c r="K6" s="32">
        <v>0</v>
      </c>
      <c r="L6" s="34" t="s">
        <v>45</v>
      </c>
      <c r="M6" s="34"/>
      <c r="N6" s="34"/>
      <c r="O6" s="34" t="s">
        <v>1142</v>
      </c>
      <c r="P6" s="34">
        <v>69848</v>
      </c>
      <c r="Q6" s="34"/>
      <c r="R6" s="34" t="s">
        <v>1131</v>
      </c>
    </row>
    <row r="7" spans="1:18">
      <c r="A7" s="32" t="s">
        <v>1143</v>
      </c>
      <c r="B7" s="34">
        <v>6</v>
      </c>
      <c r="C7" s="34" t="s">
        <v>1122</v>
      </c>
      <c r="D7" s="34" t="s">
        <v>1144</v>
      </c>
      <c r="E7" s="34" t="s">
        <v>1124</v>
      </c>
      <c r="F7" s="34" t="s">
        <v>1125</v>
      </c>
      <c r="G7" s="32">
        <v>56.79</v>
      </c>
      <c r="H7" s="32">
        <v>56.79</v>
      </c>
      <c r="I7" s="32">
        <v>1.65</v>
      </c>
      <c r="J7" s="32">
        <v>55.14</v>
      </c>
      <c r="K7" s="32">
        <v>0</v>
      </c>
      <c r="L7" s="34" t="s">
        <v>45</v>
      </c>
      <c r="M7" s="34"/>
      <c r="N7" s="34"/>
      <c r="O7" s="34" t="s">
        <v>1145</v>
      </c>
      <c r="P7" s="34">
        <v>69836</v>
      </c>
      <c r="Q7" s="34"/>
      <c r="R7" s="34" t="s">
        <v>1135</v>
      </c>
    </row>
    <row r="8" spans="1:18">
      <c r="A8" s="32" t="s">
        <v>1146</v>
      </c>
      <c r="B8" s="34">
        <v>6</v>
      </c>
      <c r="C8" s="34" t="s">
        <v>1122</v>
      </c>
      <c r="D8" s="34" t="s">
        <v>1147</v>
      </c>
      <c r="E8" s="34" t="s">
        <v>1124</v>
      </c>
      <c r="F8" s="34" t="s">
        <v>1125</v>
      </c>
      <c r="G8" s="32">
        <v>165.59</v>
      </c>
      <c r="H8" s="32">
        <v>165.59</v>
      </c>
      <c r="I8" s="32">
        <v>4.8099999999999996</v>
      </c>
      <c r="J8" s="32">
        <v>160.78</v>
      </c>
      <c r="K8" s="32">
        <v>0</v>
      </c>
      <c r="L8" s="34" t="s">
        <v>45</v>
      </c>
      <c r="M8" s="34"/>
      <c r="N8" s="34"/>
      <c r="O8" s="34" t="s">
        <v>1148</v>
      </c>
      <c r="P8" s="34">
        <v>70196</v>
      </c>
      <c r="Q8" s="34"/>
      <c r="R8" s="34" t="s">
        <v>1149</v>
      </c>
    </row>
    <row r="9" spans="1:18">
      <c r="A9" s="32" t="s">
        <v>1150</v>
      </c>
      <c r="B9" s="34">
        <v>6</v>
      </c>
      <c r="C9" s="34" t="s">
        <v>1122</v>
      </c>
      <c r="D9" s="34" t="s">
        <v>1151</v>
      </c>
      <c r="E9" s="34" t="s">
        <v>1124</v>
      </c>
      <c r="F9" s="34" t="s">
        <v>1125</v>
      </c>
      <c r="G9" s="32">
        <v>20.25</v>
      </c>
      <c r="H9" s="32">
        <v>20.25</v>
      </c>
      <c r="I9" s="32">
        <v>0.59</v>
      </c>
      <c r="J9" s="32">
        <v>19.66</v>
      </c>
      <c r="K9" s="32">
        <v>0</v>
      </c>
      <c r="L9" s="34" t="s">
        <v>45</v>
      </c>
      <c r="M9" s="34"/>
      <c r="N9" s="34"/>
      <c r="O9" s="34" t="s">
        <v>1152</v>
      </c>
      <c r="P9" s="34">
        <v>70172</v>
      </c>
      <c r="Q9" s="34"/>
      <c r="R9" s="34" t="s">
        <v>1153</v>
      </c>
    </row>
    <row r="10" spans="1:18">
      <c r="A10" s="32" t="s">
        <v>1154</v>
      </c>
      <c r="B10" s="34">
        <v>6</v>
      </c>
      <c r="C10" s="34" t="s">
        <v>1122</v>
      </c>
      <c r="D10" s="34" t="s">
        <v>1155</v>
      </c>
      <c r="E10" s="34" t="s">
        <v>1124</v>
      </c>
      <c r="F10" s="34" t="s">
        <v>1125</v>
      </c>
      <c r="G10" s="32">
        <v>3.19</v>
      </c>
      <c r="H10" s="32">
        <v>3.19</v>
      </c>
      <c r="I10" s="32">
        <v>0.1</v>
      </c>
      <c r="J10" s="32">
        <v>3.09</v>
      </c>
      <c r="K10" s="32">
        <v>0</v>
      </c>
      <c r="L10" s="34" t="s">
        <v>45</v>
      </c>
      <c r="M10" s="34"/>
      <c r="N10" s="34"/>
      <c r="O10" s="34" t="s">
        <v>1156</v>
      </c>
      <c r="P10" s="34">
        <v>70148</v>
      </c>
      <c r="Q10" s="34"/>
      <c r="R10" s="34" t="s">
        <v>1131</v>
      </c>
    </row>
    <row r="11" spans="1:18">
      <c r="A11" s="32" t="s">
        <v>1157</v>
      </c>
      <c r="B11" s="34">
        <v>6</v>
      </c>
      <c r="C11" s="34" t="s">
        <v>1122</v>
      </c>
      <c r="D11" s="34" t="s">
        <v>1158</v>
      </c>
      <c r="E11" s="34" t="s">
        <v>1124</v>
      </c>
      <c r="F11" s="34" t="s">
        <v>1125</v>
      </c>
      <c r="G11" s="32">
        <v>5.99</v>
      </c>
      <c r="H11" s="32">
        <v>5.99</v>
      </c>
      <c r="I11" s="32">
        <v>0.18</v>
      </c>
      <c r="J11" s="32">
        <v>5.81</v>
      </c>
      <c r="K11" s="32">
        <v>0</v>
      </c>
      <c r="L11" s="34" t="s">
        <v>45</v>
      </c>
      <c r="M11" s="34"/>
      <c r="N11" s="34"/>
      <c r="O11" s="34" t="s">
        <v>1159</v>
      </c>
      <c r="P11" s="34">
        <v>70124</v>
      </c>
      <c r="Q11" s="34"/>
      <c r="R11" s="34" t="s">
        <v>1160</v>
      </c>
    </row>
    <row r="12" spans="1:18">
      <c r="A12" s="32" t="s">
        <v>1161</v>
      </c>
      <c r="B12" s="34">
        <v>6</v>
      </c>
      <c r="C12" s="34" t="s">
        <v>1122</v>
      </c>
      <c r="D12" s="34" t="s">
        <v>1162</v>
      </c>
      <c r="E12" s="34" t="s">
        <v>1124</v>
      </c>
      <c r="F12" s="34" t="s">
        <v>1125</v>
      </c>
      <c r="G12" s="32">
        <v>4.79</v>
      </c>
      <c r="H12" s="32">
        <v>4.79</v>
      </c>
      <c r="I12" s="32">
        <v>0.14000000000000001</v>
      </c>
      <c r="J12" s="32">
        <v>4.6500000000000004</v>
      </c>
      <c r="K12" s="32">
        <v>0</v>
      </c>
      <c r="L12" s="34" t="s">
        <v>45</v>
      </c>
      <c r="M12" s="34"/>
      <c r="N12" s="34"/>
      <c r="O12" s="34" t="s">
        <v>1163</v>
      </c>
      <c r="P12" s="34">
        <v>70641</v>
      </c>
      <c r="Q12" s="34"/>
      <c r="R12" s="34" t="s">
        <v>1131</v>
      </c>
    </row>
    <row r="13" spans="1:18">
      <c r="A13" s="32" t="s">
        <v>1164</v>
      </c>
      <c r="B13" s="34">
        <v>6</v>
      </c>
      <c r="C13" s="34" t="s">
        <v>1122</v>
      </c>
      <c r="D13" s="34" t="s">
        <v>1165</v>
      </c>
      <c r="E13" s="34" t="s">
        <v>1124</v>
      </c>
      <c r="F13" s="34" t="s">
        <v>1125</v>
      </c>
      <c r="G13" s="32">
        <v>17.989999999999998</v>
      </c>
      <c r="H13" s="32">
        <v>17.989999999999998</v>
      </c>
      <c r="I13" s="32">
        <v>0.53</v>
      </c>
      <c r="J13" s="32">
        <v>17.46</v>
      </c>
      <c r="K13" s="32">
        <v>0</v>
      </c>
      <c r="L13" s="34" t="s">
        <v>45</v>
      </c>
      <c r="M13" s="34"/>
      <c r="N13" s="34"/>
      <c r="O13" s="34" t="s">
        <v>1166</v>
      </c>
      <c r="P13" s="34">
        <v>70617</v>
      </c>
      <c r="Q13" s="34"/>
      <c r="R13" s="34" t="s">
        <v>1160</v>
      </c>
    </row>
    <row r="14" spans="1:18">
      <c r="A14" s="32" t="s">
        <v>1167</v>
      </c>
      <c r="B14" s="34">
        <v>6</v>
      </c>
      <c r="C14" s="34" t="s">
        <v>1122</v>
      </c>
      <c r="D14" s="34" t="s">
        <v>1168</v>
      </c>
      <c r="E14" s="34" t="s">
        <v>1124</v>
      </c>
      <c r="F14" s="34" t="s">
        <v>1125</v>
      </c>
      <c r="G14" s="32">
        <v>1</v>
      </c>
      <c r="H14" s="32">
        <v>1</v>
      </c>
      <c r="I14" s="32">
        <v>0.03</v>
      </c>
      <c r="J14" s="32">
        <v>0.97</v>
      </c>
      <c r="K14" s="32">
        <v>0</v>
      </c>
      <c r="L14" s="34" t="s">
        <v>45</v>
      </c>
      <c r="M14" s="34"/>
      <c r="N14" s="34"/>
      <c r="O14" s="34" t="s">
        <v>1169</v>
      </c>
      <c r="P14" s="34">
        <v>70593</v>
      </c>
      <c r="Q14" s="34"/>
      <c r="R14" s="34" t="s">
        <v>1131</v>
      </c>
    </row>
    <row r="15" spans="1:18">
      <c r="A15" s="32" t="s">
        <v>1170</v>
      </c>
      <c r="B15" s="34">
        <v>6</v>
      </c>
      <c r="C15" s="34" t="s">
        <v>1122</v>
      </c>
      <c r="D15" s="34" t="s">
        <v>1171</v>
      </c>
      <c r="E15" s="34" t="s">
        <v>1124</v>
      </c>
      <c r="F15" s="34" t="s">
        <v>1125</v>
      </c>
      <c r="G15" s="32">
        <v>22.99</v>
      </c>
      <c r="H15" s="32">
        <v>22.99</v>
      </c>
      <c r="I15" s="32">
        <v>0.67</v>
      </c>
      <c r="J15" s="32">
        <v>22.32</v>
      </c>
      <c r="K15" s="32">
        <v>0</v>
      </c>
      <c r="L15" s="34" t="s">
        <v>45</v>
      </c>
      <c r="M15" s="34"/>
      <c r="N15" s="34"/>
      <c r="O15" s="34" t="s">
        <v>1172</v>
      </c>
      <c r="P15" s="34">
        <v>70533</v>
      </c>
      <c r="Q15" s="34"/>
      <c r="R15" s="34" t="s">
        <v>1135</v>
      </c>
    </row>
    <row r="16" spans="1:18">
      <c r="A16" s="32" t="s">
        <v>1173</v>
      </c>
      <c r="B16" s="34">
        <v>6</v>
      </c>
      <c r="C16" s="34" t="s">
        <v>1122</v>
      </c>
      <c r="D16" s="34" t="s">
        <v>1174</v>
      </c>
      <c r="E16" s="34" t="s">
        <v>1124</v>
      </c>
      <c r="F16" s="34" t="s">
        <v>1125</v>
      </c>
      <c r="G16" s="32">
        <v>61.8</v>
      </c>
      <c r="H16" s="32">
        <v>61.8</v>
      </c>
      <c r="I16" s="32">
        <v>1.8</v>
      </c>
      <c r="J16" s="32">
        <v>60</v>
      </c>
      <c r="K16" s="32">
        <v>0</v>
      </c>
      <c r="L16" s="34" t="s">
        <v>45</v>
      </c>
      <c r="M16" s="34"/>
      <c r="N16" s="34"/>
      <c r="O16" s="34" t="s">
        <v>1175</v>
      </c>
      <c r="P16" s="34">
        <v>70448</v>
      </c>
      <c r="Q16" s="34"/>
      <c r="R16" s="34" t="s">
        <v>1149</v>
      </c>
    </row>
    <row r="17" spans="1:18">
      <c r="A17" s="32" t="s">
        <v>1176</v>
      </c>
      <c r="B17" s="34">
        <v>6</v>
      </c>
      <c r="C17" s="34" t="s">
        <v>1122</v>
      </c>
      <c r="D17" s="34" t="s">
        <v>1177</v>
      </c>
      <c r="E17" s="34" t="s">
        <v>1124</v>
      </c>
      <c r="F17" s="34" t="s">
        <v>1125</v>
      </c>
      <c r="G17" s="32">
        <v>4.05</v>
      </c>
      <c r="H17" s="32">
        <v>4.05</v>
      </c>
      <c r="I17" s="32">
        <v>0.12</v>
      </c>
      <c r="J17" s="32">
        <v>3.93</v>
      </c>
      <c r="K17" s="32">
        <v>0</v>
      </c>
      <c r="L17" s="34" t="s">
        <v>45</v>
      </c>
      <c r="M17" s="34"/>
      <c r="N17" s="34"/>
      <c r="O17" s="34" t="s">
        <v>1178</v>
      </c>
      <c r="P17" s="34">
        <v>67808</v>
      </c>
      <c r="Q17" s="34"/>
      <c r="R17" s="34" t="s">
        <v>1127</v>
      </c>
    </row>
    <row r="18" spans="1:18">
      <c r="A18" s="32" t="s">
        <v>1179</v>
      </c>
      <c r="B18" s="34">
        <v>6</v>
      </c>
      <c r="C18" s="34" t="s">
        <v>1122</v>
      </c>
      <c r="D18" s="34" t="s">
        <v>1180</v>
      </c>
      <c r="E18" s="34" t="s">
        <v>1124</v>
      </c>
      <c r="F18" s="34" t="s">
        <v>1125</v>
      </c>
      <c r="G18" s="32">
        <v>417.66</v>
      </c>
      <c r="H18" s="32">
        <v>417.66</v>
      </c>
      <c r="I18" s="32">
        <v>12.12</v>
      </c>
      <c r="J18" s="32">
        <v>405.54</v>
      </c>
      <c r="K18" s="32">
        <v>0</v>
      </c>
      <c r="L18" s="34" t="s">
        <v>45</v>
      </c>
      <c r="M18" s="34"/>
      <c r="N18" s="34"/>
      <c r="O18" s="34" t="s">
        <v>1181</v>
      </c>
      <c r="P18" s="34">
        <v>69104</v>
      </c>
      <c r="Q18" s="34"/>
      <c r="R18" s="34" t="s">
        <v>1139</v>
      </c>
    </row>
    <row r="19" spans="1:18">
      <c r="A19" s="32" t="s">
        <v>1182</v>
      </c>
      <c r="B19" s="34">
        <v>6</v>
      </c>
      <c r="C19" s="34" t="s">
        <v>1122</v>
      </c>
      <c r="D19" s="34" t="s">
        <v>1183</v>
      </c>
      <c r="E19" s="34" t="s">
        <v>1124</v>
      </c>
      <c r="F19" s="34" t="s">
        <v>1125</v>
      </c>
      <c r="G19" s="32">
        <v>2.39</v>
      </c>
      <c r="H19" s="32">
        <v>2.39</v>
      </c>
      <c r="I19" s="32">
        <v>7.0000000000000007E-2</v>
      </c>
      <c r="J19" s="32">
        <v>2.3199999999999998</v>
      </c>
      <c r="K19" s="32">
        <v>0</v>
      </c>
      <c r="L19" s="34" t="s">
        <v>45</v>
      </c>
      <c r="M19" s="34"/>
      <c r="N19" s="34"/>
      <c r="O19" s="34" t="s">
        <v>1184</v>
      </c>
      <c r="P19" s="34">
        <v>70388</v>
      </c>
      <c r="Q19" s="34"/>
      <c r="R19" s="34" t="s">
        <v>1149</v>
      </c>
    </row>
    <row r="20" spans="1:18">
      <c r="A20" s="32" t="s">
        <v>1185</v>
      </c>
      <c r="B20" s="34">
        <v>6</v>
      </c>
      <c r="C20" s="34" t="s">
        <v>1122</v>
      </c>
      <c r="D20" s="34" t="s">
        <v>1186</v>
      </c>
      <c r="E20" s="34" t="s">
        <v>1124</v>
      </c>
      <c r="F20" s="34" t="s">
        <v>1125</v>
      </c>
      <c r="G20" s="32">
        <v>14.39</v>
      </c>
      <c r="H20" s="32">
        <v>14.39</v>
      </c>
      <c r="I20" s="32">
        <v>0.42</v>
      </c>
      <c r="J20" s="32">
        <v>13.97</v>
      </c>
      <c r="K20" s="32">
        <v>0</v>
      </c>
      <c r="L20" s="34" t="s">
        <v>45</v>
      </c>
      <c r="M20" s="34"/>
      <c r="N20" s="34"/>
      <c r="O20" s="34" t="s">
        <v>1187</v>
      </c>
      <c r="P20" s="34">
        <v>70376</v>
      </c>
      <c r="Q20" s="34"/>
      <c r="R20" s="34" t="s">
        <v>1188</v>
      </c>
    </row>
    <row r="21" spans="1:18">
      <c r="A21" s="32" t="s">
        <v>1189</v>
      </c>
      <c r="B21" s="34">
        <v>6</v>
      </c>
      <c r="C21" s="34" t="s">
        <v>1122</v>
      </c>
      <c r="D21" s="34" t="s">
        <v>1190</v>
      </c>
      <c r="E21" s="34" t="s">
        <v>1124</v>
      </c>
      <c r="F21" s="34" t="s">
        <v>1125</v>
      </c>
      <c r="G21" s="32">
        <v>14.39</v>
      </c>
      <c r="H21" s="32">
        <v>14.39</v>
      </c>
      <c r="I21" s="32">
        <v>0.42</v>
      </c>
      <c r="J21" s="32">
        <v>13.97</v>
      </c>
      <c r="K21" s="32">
        <v>0</v>
      </c>
      <c r="L21" s="34" t="s">
        <v>45</v>
      </c>
      <c r="M21" s="34"/>
      <c r="N21" s="34"/>
      <c r="O21" s="34" t="s">
        <v>1191</v>
      </c>
      <c r="P21" s="34">
        <v>70364</v>
      </c>
      <c r="Q21" s="34"/>
      <c r="R21" s="34" t="s">
        <v>1131</v>
      </c>
    </row>
    <row r="22" spans="1:18">
      <c r="A22" s="32" t="s">
        <v>1192</v>
      </c>
      <c r="B22" s="34">
        <v>6</v>
      </c>
      <c r="C22" s="34" t="s">
        <v>1122</v>
      </c>
      <c r="D22" s="34" t="s">
        <v>1193</v>
      </c>
      <c r="E22" s="34" t="s">
        <v>1194</v>
      </c>
      <c r="F22" s="34" t="s">
        <v>1125</v>
      </c>
      <c r="G22" s="32">
        <v>-4.49</v>
      </c>
      <c r="H22" s="32">
        <v>-4.49</v>
      </c>
      <c r="I22" s="32">
        <v>0.5</v>
      </c>
      <c r="J22" s="32">
        <v>-4.49</v>
      </c>
      <c r="K22" s="32">
        <v>3.99</v>
      </c>
      <c r="L22" s="34" t="s">
        <v>45</v>
      </c>
      <c r="M22" s="34"/>
      <c r="N22" s="34"/>
      <c r="O22" s="34" t="s">
        <v>1195</v>
      </c>
      <c r="P22" s="34">
        <v>70340</v>
      </c>
      <c r="Q22" s="34" t="s">
        <v>1196</v>
      </c>
      <c r="R22" s="34" t="s">
        <v>1149</v>
      </c>
    </row>
    <row r="23" spans="1:18">
      <c r="A23" s="32" t="s">
        <v>1197</v>
      </c>
      <c r="B23" s="34">
        <v>6</v>
      </c>
      <c r="C23" s="34" t="s">
        <v>1122</v>
      </c>
      <c r="D23" s="34" t="s">
        <v>1198</v>
      </c>
      <c r="E23" s="34" t="s">
        <v>1124</v>
      </c>
      <c r="F23" s="34" t="s">
        <v>1125</v>
      </c>
      <c r="G23" s="32">
        <v>20.69</v>
      </c>
      <c r="H23" s="32">
        <v>20.69</v>
      </c>
      <c r="I23" s="32">
        <v>0.6</v>
      </c>
      <c r="J23" s="32">
        <v>20.09</v>
      </c>
      <c r="K23" s="32">
        <v>0</v>
      </c>
      <c r="L23" s="34" t="s">
        <v>45</v>
      </c>
      <c r="M23" s="34"/>
      <c r="N23" s="34"/>
      <c r="O23" s="34" t="s">
        <v>1199</v>
      </c>
      <c r="P23" s="34">
        <v>70208</v>
      </c>
      <c r="Q23" s="34"/>
      <c r="R23" s="34" t="s">
        <v>1131</v>
      </c>
    </row>
    <row r="24" spans="1:18">
      <c r="A24" s="32" t="s">
        <v>1200</v>
      </c>
      <c r="B24" s="34">
        <v>6</v>
      </c>
      <c r="C24" s="34" t="s">
        <v>1122</v>
      </c>
      <c r="D24" s="34" t="s">
        <v>1196</v>
      </c>
      <c r="E24" s="34" t="s">
        <v>1124</v>
      </c>
      <c r="F24" s="34" t="s">
        <v>1125</v>
      </c>
      <c r="G24" s="32">
        <v>3.99</v>
      </c>
      <c r="H24" s="32">
        <v>3.99</v>
      </c>
      <c r="I24" s="32">
        <v>0.12</v>
      </c>
      <c r="J24" s="32">
        <v>3.87</v>
      </c>
      <c r="K24" s="32">
        <v>3.99</v>
      </c>
      <c r="L24" s="34" t="s">
        <v>45</v>
      </c>
      <c r="M24" s="34"/>
      <c r="N24" s="34"/>
      <c r="O24" s="34" t="s">
        <v>1201</v>
      </c>
      <c r="P24" s="34">
        <v>70340</v>
      </c>
      <c r="Q24" s="34"/>
      <c r="R24" s="34" t="s">
        <v>1149</v>
      </c>
    </row>
    <row r="25" spans="1:18">
      <c r="A25" s="32" t="s">
        <v>1202</v>
      </c>
      <c r="B25" s="34">
        <v>6</v>
      </c>
      <c r="C25" s="34" t="s">
        <v>1122</v>
      </c>
      <c r="D25" s="34" t="s">
        <v>1203</v>
      </c>
      <c r="E25" s="34" t="s">
        <v>1124</v>
      </c>
      <c r="F25" s="34" t="s">
        <v>1125</v>
      </c>
      <c r="G25" s="32">
        <v>3.99</v>
      </c>
      <c r="H25" s="32">
        <v>3.99</v>
      </c>
      <c r="I25" s="32">
        <v>0.12</v>
      </c>
      <c r="J25" s="32">
        <v>3.87</v>
      </c>
      <c r="K25" s="32">
        <v>0</v>
      </c>
      <c r="L25" s="34" t="s">
        <v>45</v>
      </c>
      <c r="M25" s="34"/>
      <c r="N25" s="34"/>
      <c r="O25" s="34" t="s">
        <v>1204</v>
      </c>
      <c r="P25" s="34">
        <v>70328</v>
      </c>
      <c r="Q25" s="34"/>
      <c r="R25" s="34" t="s">
        <v>1149</v>
      </c>
    </row>
    <row r="26" spans="1:18">
      <c r="A26" s="32" t="s">
        <v>1205</v>
      </c>
      <c r="B26" s="34">
        <v>6</v>
      </c>
      <c r="C26" s="34" t="s">
        <v>1122</v>
      </c>
      <c r="D26" s="34" t="s">
        <v>1206</v>
      </c>
      <c r="E26" s="34" t="s">
        <v>1124</v>
      </c>
      <c r="F26" s="34" t="s">
        <v>1125</v>
      </c>
      <c r="G26" s="32">
        <v>12.99</v>
      </c>
      <c r="H26" s="32">
        <v>12.99</v>
      </c>
      <c r="I26" s="32">
        <v>0.38</v>
      </c>
      <c r="J26" s="32">
        <v>12.61</v>
      </c>
      <c r="K26" s="32">
        <v>0</v>
      </c>
      <c r="L26" s="34" t="s">
        <v>45</v>
      </c>
      <c r="M26" s="34"/>
      <c r="N26" s="34"/>
      <c r="O26" s="34" t="s">
        <v>1207</v>
      </c>
      <c r="P26" s="34">
        <v>70965</v>
      </c>
      <c r="Q26" s="34"/>
      <c r="R26" s="34" t="s">
        <v>1131</v>
      </c>
    </row>
    <row r="27" spans="1:18">
      <c r="A27" s="32" t="s">
        <v>1208</v>
      </c>
      <c r="B27" s="34">
        <v>6</v>
      </c>
      <c r="C27" s="34" t="s">
        <v>1122</v>
      </c>
      <c r="D27" s="34" t="s">
        <v>1209</v>
      </c>
      <c r="E27" s="34" t="s">
        <v>1124</v>
      </c>
      <c r="F27" s="34" t="s">
        <v>1125</v>
      </c>
      <c r="G27" s="32">
        <v>20.69</v>
      </c>
      <c r="H27" s="32">
        <v>20.69</v>
      </c>
      <c r="I27" s="32">
        <v>0.6</v>
      </c>
      <c r="J27" s="32">
        <v>20.09</v>
      </c>
      <c r="K27" s="32">
        <v>0</v>
      </c>
      <c r="L27" s="34" t="s">
        <v>45</v>
      </c>
      <c r="M27" s="34"/>
      <c r="N27" s="34"/>
      <c r="O27" s="34" t="s">
        <v>1210</v>
      </c>
      <c r="P27" s="34">
        <v>70929</v>
      </c>
      <c r="Q27" s="34"/>
      <c r="R27" s="34" t="s">
        <v>1149</v>
      </c>
    </row>
    <row r="28" spans="1:18">
      <c r="A28" s="32" t="s">
        <v>1211</v>
      </c>
      <c r="B28" s="34">
        <v>6</v>
      </c>
      <c r="C28" s="34" t="s">
        <v>1122</v>
      </c>
      <c r="D28" s="34" t="s">
        <v>1212</v>
      </c>
      <c r="E28" s="34" t="s">
        <v>1124</v>
      </c>
      <c r="F28" s="34" t="s">
        <v>1125</v>
      </c>
      <c r="G28" s="32">
        <v>3.99</v>
      </c>
      <c r="H28" s="32">
        <v>3.99</v>
      </c>
      <c r="I28" s="32">
        <v>0.12</v>
      </c>
      <c r="J28" s="32">
        <v>3.87</v>
      </c>
      <c r="K28" s="32">
        <v>0</v>
      </c>
      <c r="L28" s="34" t="s">
        <v>45</v>
      </c>
      <c r="M28" s="34"/>
      <c r="N28" s="34"/>
      <c r="O28" s="34" t="s">
        <v>1213</v>
      </c>
      <c r="P28" s="34">
        <v>70917</v>
      </c>
      <c r="Q28" s="34"/>
      <c r="R28" s="34" t="s">
        <v>1149</v>
      </c>
    </row>
    <row r="29" spans="1:18">
      <c r="A29" s="32" t="s">
        <v>1214</v>
      </c>
      <c r="B29" s="34">
        <v>6</v>
      </c>
      <c r="C29" s="34" t="s">
        <v>1122</v>
      </c>
      <c r="D29" s="34" t="s">
        <v>1215</v>
      </c>
      <c r="E29" s="34" t="s">
        <v>1124</v>
      </c>
      <c r="F29" s="34" t="s">
        <v>1125</v>
      </c>
      <c r="G29" s="32">
        <v>1</v>
      </c>
      <c r="H29" s="32">
        <v>1</v>
      </c>
      <c r="I29" s="32">
        <v>0.03</v>
      </c>
      <c r="J29" s="32">
        <v>0.97</v>
      </c>
      <c r="K29" s="32">
        <v>0</v>
      </c>
      <c r="L29" s="34" t="s">
        <v>45</v>
      </c>
      <c r="M29" s="34"/>
      <c r="N29" s="34"/>
      <c r="O29" s="34" t="s">
        <v>1216</v>
      </c>
      <c r="P29" s="34">
        <v>71193</v>
      </c>
      <c r="Q29" s="34"/>
      <c r="R29" s="34"/>
    </row>
    <row r="30" spans="1:18">
      <c r="A30" s="32" t="s">
        <v>1217</v>
      </c>
      <c r="B30" s="34">
        <v>6</v>
      </c>
      <c r="C30" s="34" t="s">
        <v>1122</v>
      </c>
      <c r="D30" s="34" t="s">
        <v>1218</v>
      </c>
      <c r="E30" s="34" t="s">
        <v>1124</v>
      </c>
      <c r="F30" s="34" t="s">
        <v>1125</v>
      </c>
      <c r="G30" s="32">
        <v>1.98</v>
      </c>
      <c r="H30" s="32">
        <v>1.98</v>
      </c>
      <c r="I30" s="32">
        <v>0.06</v>
      </c>
      <c r="J30" s="32">
        <v>1.92</v>
      </c>
      <c r="K30" s="32">
        <v>0</v>
      </c>
      <c r="L30" s="34" t="s">
        <v>45</v>
      </c>
      <c r="M30" s="34"/>
      <c r="N30" s="34"/>
      <c r="O30" s="34" t="s">
        <v>1219</v>
      </c>
      <c r="P30" s="34">
        <v>71181</v>
      </c>
      <c r="Q30" s="34"/>
      <c r="R30" s="34" t="s">
        <v>1135</v>
      </c>
    </row>
    <row r="31" spans="1:18">
      <c r="A31" s="32" t="s">
        <v>1220</v>
      </c>
      <c r="B31" s="34">
        <v>6</v>
      </c>
      <c r="C31" s="34" t="s">
        <v>1122</v>
      </c>
      <c r="D31" s="34" t="s">
        <v>1221</v>
      </c>
      <c r="E31" s="34" t="s">
        <v>1124</v>
      </c>
      <c r="F31" s="34" t="s">
        <v>1125</v>
      </c>
      <c r="G31" s="32">
        <v>1.98</v>
      </c>
      <c r="H31" s="32">
        <v>1.98</v>
      </c>
      <c r="I31" s="32">
        <v>0.06</v>
      </c>
      <c r="J31" s="32">
        <v>1.92</v>
      </c>
      <c r="K31" s="32">
        <v>0</v>
      </c>
      <c r="L31" s="34" t="s">
        <v>45</v>
      </c>
      <c r="M31" s="34"/>
      <c r="N31" s="34"/>
      <c r="O31" s="34" t="s">
        <v>1222</v>
      </c>
      <c r="P31" s="34">
        <v>71169</v>
      </c>
      <c r="Q31" s="34"/>
      <c r="R31" s="34" t="s">
        <v>1135</v>
      </c>
    </row>
    <row r="32" spans="1:18">
      <c r="A32" s="32" t="s">
        <v>1223</v>
      </c>
      <c r="B32" s="34">
        <v>6</v>
      </c>
      <c r="C32" s="34" t="s">
        <v>1122</v>
      </c>
      <c r="D32" s="34" t="s">
        <v>1224</v>
      </c>
      <c r="E32" s="34" t="s">
        <v>1124</v>
      </c>
      <c r="F32" s="34" t="s">
        <v>1125</v>
      </c>
      <c r="G32" s="32">
        <v>20.69</v>
      </c>
      <c r="H32" s="32">
        <v>20.69</v>
      </c>
      <c r="I32" s="32">
        <v>0.6</v>
      </c>
      <c r="J32" s="32">
        <v>20.09</v>
      </c>
      <c r="K32" s="32">
        <v>0</v>
      </c>
      <c r="L32" s="34" t="s">
        <v>45</v>
      </c>
      <c r="M32" s="34"/>
      <c r="N32" s="34"/>
      <c r="O32" s="34" t="s">
        <v>1225</v>
      </c>
      <c r="P32" s="34">
        <v>71145</v>
      </c>
      <c r="Q32" s="34"/>
      <c r="R32" s="34" t="s">
        <v>1139</v>
      </c>
    </row>
    <row r="33" spans="1:18">
      <c r="A33" s="32" t="s">
        <v>1226</v>
      </c>
      <c r="B33" s="34">
        <v>6</v>
      </c>
      <c r="C33" s="34" t="s">
        <v>1122</v>
      </c>
      <c r="D33" s="34" t="s">
        <v>1227</v>
      </c>
      <c r="E33" s="34" t="s">
        <v>1124</v>
      </c>
      <c r="F33" s="34" t="s">
        <v>1125</v>
      </c>
      <c r="G33" s="32">
        <v>1</v>
      </c>
      <c r="H33" s="32">
        <v>1</v>
      </c>
      <c r="I33" s="32">
        <v>0.03</v>
      </c>
      <c r="J33" s="32">
        <v>0.97</v>
      </c>
      <c r="K33" s="32">
        <v>0</v>
      </c>
      <c r="L33" s="34" t="s">
        <v>45</v>
      </c>
      <c r="M33" s="34"/>
      <c r="N33" s="34"/>
      <c r="O33" s="34" t="s">
        <v>1228</v>
      </c>
      <c r="P33" s="34">
        <v>71109</v>
      </c>
      <c r="Q33" s="34"/>
      <c r="R33" s="34" t="s">
        <v>1149</v>
      </c>
    </row>
    <row r="34" spans="1:18">
      <c r="A34" s="32" t="s">
        <v>1229</v>
      </c>
      <c r="B34" s="34">
        <v>6</v>
      </c>
      <c r="C34" s="34" t="s">
        <v>1122</v>
      </c>
      <c r="D34" s="34" t="s">
        <v>1230</v>
      </c>
      <c r="E34" s="34" t="s">
        <v>1124</v>
      </c>
      <c r="F34" s="34" t="s">
        <v>1125</v>
      </c>
      <c r="G34" s="32">
        <v>2.99</v>
      </c>
      <c r="H34" s="32">
        <v>2.99</v>
      </c>
      <c r="I34" s="32">
        <v>0.09</v>
      </c>
      <c r="J34" s="32">
        <v>2.9</v>
      </c>
      <c r="K34" s="32">
        <v>0</v>
      </c>
      <c r="L34" s="34" t="s">
        <v>45</v>
      </c>
      <c r="M34" s="34"/>
      <c r="N34" s="34"/>
      <c r="O34" s="34" t="s">
        <v>1231</v>
      </c>
      <c r="P34" s="34">
        <v>71097</v>
      </c>
      <c r="Q34" s="34"/>
      <c r="R34" s="34" t="s">
        <v>1131</v>
      </c>
    </row>
    <row r="35" spans="1:18">
      <c r="A35" s="32" t="s">
        <v>1232</v>
      </c>
      <c r="B35" s="34">
        <v>6</v>
      </c>
      <c r="C35" s="34" t="s">
        <v>1122</v>
      </c>
      <c r="D35" s="34" t="s">
        <v>1233</v>
      </c>
      <c r="E35" s="34" t="s">
        <v>1124</v>
      </c>
      <c r="F35" s="34" t="s">
        <v>1125</v>
      </c>
      <c r="G35" s="32">
        <v>24.25</v>
      </c>
      <c r="H35" s="32">
        <v>24.25</v>
      </c>
      <c r="I35" s="32">
        <v>0.71</v>
      </c>
      <c r="J35" s="32">
        <v>23.54</v>
      </c>
      <c r="K35" s="32">
        <v>0</v>
      </c>
      <c r="L35" s="34" t="s">
        <v>45</v>
      </c>
      <c r="M35" s="34"/>
      <c r="N35" s="34"/>
      <c r="O35" s="34" t="s">
        <v>1234</v>
      </c>
      <c r="P35" s="34">
        <v>71013</v>
      </c>
      <c r="Q35" s="34"/>
      <c r="R35" s="34" t="s">
        <v>1135</v>
      </c>
    </row>
    <row r="36" spans="1:18">
      <c r="A36" s="32" t="s">
        <v>1235</v>
      </c>
      <c r="B36" s="34">
        <v>6</v>
      </c>
      <c r="C36" s="34" t="s">
        <v>1122</v>
      </c>
      <c r="D36" s="34" t="s">
        <v>1236</v>
      </c>
      <c r="E36" s="34" t="s">
        <v>1124</v>
      </c>
      <c r="F36" s="34" t="s">
        <v>1125</v>
      </c>
      <c r="G36" s="32">
        <v>2.99</v>
      </c>
      <c r="H36" s="32">
        <v>2.99</v>
      </c>
      <c r="I36" s="32">
        <v>0.09</v>
      </c>
      <c r="J36" s="32">
        <v>2.9</v>
      </c>
      <c r="K36" s="32">
        <v>0</v>
      </c>
      <c r="L36" s="34" t="s">
        <v>45</v>
      </c>
      <c r="M36" s="34"/>
      <c r="N36" s="34"/>
      <c r="O36" s="34" t="s">
        <v>1237</v>
      </c>
      <c r="P36" s="34">
        <v>71337</v>
      </c>
      <c r="Q36" s="34"/>
      <c r="R36" s="34" t="s">
        <v>1135</v>
      </c>
    </row>
    <row r="37" spans="1:18">
      <c r="A37" s="32" t="s">
        <v>1238</v>
      </c>
      <c r="B37" s="34">
        <v>6</v>
      </c>
      <c r="C37" s="34" t="s">
        <v>1122</v>
      </c>
      <c r="D37" s="34" t="s">
        <v>1239</v>
      </c>
      <c r="E37" s="34" t="s">
        <v>1124</v>
      </c>
      <c r="F37" s="34" t="s">
        <v>1125</v>
      </c>
      <c r="G37" s="32">
        <v>19.989999999999998</v>
      </c>
      <c r="H37" s="32">
        <v>19.989999999999998</v>
      </c>
      <c r="I37" s="32">
        <v>0.57999999999999996</v>
      </c>
      <c r="J37" s="32">
        <v>19.41</v>
      </c>
      <c r="K37" s="32">
        <v>0</v>
      </c>
      <c r="L37" s="34" t="s">
        <v>45</v>
      </c>
      <c r="M37" s="34"/>
      <c r="N37" s="34"/>
      <c r="O37" s="34" t="s">
        <v>1240</v>
      </c>
      <c r="P37" s="34">
        <v>71325</v>
      </c>
      <c r="Q37" s="34"/>
      <c r="R37" s="34" t="s">
        <v>1131</v>
      </c>
    </row>
    <row r="38" spans="1:18">
      <c r="A38" s="32" t="s">
        <v>1241</v>
      </c>
      <c r="B38" s="34">
        <v>6</v>
      </c>
      <c r="C38" s="34" t="s">
        <v>1122</v>
      </c>
      <c r="D38" s="34" t="s">
        <v>1242</v>
      </c>
      <c r="E38" s="34" t="s">
        <v>1124</v>
      </c>
      <c r="F38" s="34" t="s">
        <v>1125</v>
      </c>
      <c r="G38" s="32">
        <v>6.99</v>
      </c>
      <c r="H38" s="32">
        <v>6.99</v>
      </c>
      <c r="I38" s="32">
        <v>0.21</v>
      </c>
      <c r="J38" s="32">
        <v>6.78</v>
      </c>
      <c r="K38" s="32">
        <v>0</v>
      </c>
      <c r="L38" s="34" t="s">
        <v>45</v>
      </c>
      <c r="M38" s="34"/>
      <c r="N38" s="34"/>
      <c r="O38" s="34" t="s">
        <v>1243</v>
      </c>
      <c r="P38" s="34">
        <v>71313</v>
      </c>
      <c r="Q38" s="34"/>
      <c r="R38" s="34" t="s">
        <v>1131</v>
      </c>
    </row>
    <row r="39" spans="1:18">
      <c r="A39" s="32" t="s">
        <v>1244</v>
      </c>
      <c r="B39" s="34">
        <v>6</v>
      </c>
      <c r="C39" s="34" t="s">
        <v>1122</v>
      </c>
      <c r="D39" s="34" t="s">
        <v>1245</v>
      </c>
      <c r="E39" s="34" t="s">
        <v>1124</v>
      </c>
      <c r="F39" s="34" t="s">
        <v>1125</v>
      </c>
      <c r="G39" s="32">
        <v>2.99</v>
      </c>
      <c r="H39" s="32">
        <v>2.99</v>
      </c>
      <c r="I39" s="32">
        <v>0.09</v>
      </c>
      <c r="J39" s="32">
        <v>2.9</v>
      </c>
      <c r="K39" s="32">
        <v>0</v>
      </c>
      <c r="L39" s="34" t="s">
        <v>45</v>
      </c>
      <c r="M39" s="34"/>
      <c r="N39" s="34"/>
      <c r="O39" s="34" t="s">
        <v>1246</v>
      </c>
      <c r="P39" s="34">
        <v>68828</v>
      </c>
      <c r="Q39" s="34"/>
      <c r="R39" s="34" t="s">
        <v>1135</v>
      </c>
    </row>
    <row r="40" spans="1:18">
      <c r="A40" s="32" t="s">
        <v>1247</v>
      </c>
      <c r="B40" s="34">
        <v>6</v>
      </c>
      <c r="C40" s="34" t="s">
        <v>1122</v>
      </c>
      <c r="D40" s="34" t="s">
        <v>1248</v>
      </c>
      <c r="E40" s="34" t="s">
        <v>1124</v>
      </c>
      <c r="F40" s="34" t="s">
        <v>1125</v>
      </c>
      <c r="G40" s="32">
        <v>5.49</v>
      </c>
      <c r="H40" s="32">
        <v>5.49</v>
      </c>
      <c r="I40" s="32">
        <v>0.16</v>
      </c>
      <c r="J40" s="32">
        <v>5.33</v>
      </c>
      <c r="K40" s="32">
        <v>0</v>
      </c>
      <c r="L40" s="34" t="s">
        <v>45</v>
      </c>
      <c r="M40" s="34"/>
      <c r="N40" s="34"/>
      <c r="O40" s="34" t="s">
        <v>1249</v>
      </c>
      <c r="P40" s="34">
        <v>71541</v>
      </c>
      <c r="Q40" s="34"/>
      <c r="R40" s="34" t="s">
        <v>1149</v>
      </c>
    </row>
    <row r="41" spans="1:18">
      <c r="A41" s="32" t="s">
        <v>1250</v>
      </c>
      <c r="B41" s="34">
        <v>6</v>
      </c>
      <c r="C41" s="34" t="s">
        <v>1122</v>
      </c>
      <c r="D41" s="34" t="s">
        <v>1251</v>
      </c>
      <c r="E41" s="34" t="s">
        <v>1124</v>
      </c>
      <c r="F41" s="34" t="s">
        <v>1125</v>
      </c>
      <c r="G41" s="32">
        <v>20.25</v>
      </c>
      <c r="H41" s="32">
        <v>20.25</v>
      </c>
      <c r="I41" s="32">
        <v>0.59</v>
      </c>
      <c r="J41" s="32">
        <v>19.66</v>
      </c>
      <c r="K41" s="32">
        <v>0</v>
      </c>
      <c r="L41" s="34" t="s">
        <v>45</v>
      </c>
      <c r="M41" s="34"/>
      <c r="N41" s="34"/>
      <c r="O41" s="34" t="s">
        <v>1252</v>
      </c>
      <c r="P41" s="34">
        <v>71853</v>
      </c>
      <c r="Q41" s="34"/>
      <c r="R41" s="34" t="s">
        <v>1139</v>
      </c>
    </row>
    <row r="42" spans="1:18">
      <c r="A42" s="32" t="s">
        <v>1253</v>
      </c>
      <c r="B42" s="34">
        <v>6</v>
      </c>
      <c r="C42" s="34" t="s">
        <v>1122</v>
      </c>
      <c r="D42" s="34" t="s">
        <v>1254</v>
      </c>
      <c r="E42" s="34" t="s">
        <v>1124</v>
      </c>
      <c r="F42" s="34" t="s">
        <v>1125</v>
      </c>
      <c r="G42" s="32">
        <v>1.98</v>
      </c>
      <c r="H42" s="32">
        <v>1.98</v>
      </c>
      <c r="I42" s="32">
        <v>0.06</v>
      </c>
      <c r="J42" s="32">
        <v>1.92</v>
      </c>
      <c r="K42" s="32">
        <v>0</v>
      </c>
      <c r="L42" s="34" t="s">
        <v>45</v>
      </c>
      <c r="M42" s="34"/>
      <c r="N42" s="34"/>
      <c r="O42" s="34" t="s">
        <v>1255</v>
      </c>
      <c r="P42" s="34">
        <v>71805</v>
      </c>
      <c r="Q42" s="34"/>
      <c r="R42" s="34" t="s">
        <v>1127</v>
      </c>
    </row>
    <row r="43" spans="1:18">
      <c r="A43" s="32" t="s">
        <v>1256</v>
      </c>
      <c r="B43" s="34">
        <v>6</v>
      </c>
      <c r="C43" s="34" t="s">
        <v>1122</v>
      </c>
      <c r="D43" s="34" t="s">
        <v>1257</v>
      </c>
      <c r="E43" s="34" t="s">
        <v>1124</v>
      </c>
      <c r="F43" s="34" t="s">
        <v>1125</v>
      </c>
      <c r="G43" s="32">
        <v>5.49</v>
      </c>
      <c r="H43" s="32">
        <v>5.49</v>
      </c>
      <c r="I43" s="32">
        <v>0.16</v>
      </c>
      <c r="J43" s="32">
        <v>5.33</v>
      </c>
      <c r="K43" s="32">
        <v>0</v>
      </c>
      <c r="L43" s="34" t="s">
        <v>45</v>
      </c>
      <c r="M43" s="34"/>
      <c r="N43" s="34"/>
      <c r="O43" s="34" t="s">
        <v>1258</v>
      </c>
      <c r="P43" s="34">
        <v>71841</v>
      </c>
      <c r="Q43" s="34"/>
      <c r="R43" s="34" t="s">
        <v>1127</v>
      </c>
    </row>
    <row r="44" spans="1:18">
      <c r="A44" s="32" t="s">
        <v>1259</v>
      </c>
      <c r="B44" s="34">
        <v>6</v>
      </c>
      <c r="C44" s="34" t="s">
        <v>1122</v>
      </c>
      <c r="D44" s="34" t="s">
        <v>1260</v>
      </c>
      <c r="E44" s="34" t="s">
        <v>1124</v>
      </c>
      <c r="F44" s="34" t="s">
        <v>1125</v>
      </c>
      <c r="G44" s="32">
        <v>1.98</v>
      </c>
      <c r="H44" s="32">
        <v>1.98</v>
      </c>
      <c r="I44" s="32">
        <v>0.06</v>
      </c>
      <c r="J44" s="32">
        <v>1.92</v>
      </c>
      <c r="K44" s="32">
        <v>0</v>
      </c>
      <c r="L44" s="34" t="s">
        <v>45</v>
      </c>
      <c r="M44" s="34"/>
      <c r="N44" s="34"/>
      <c r="O44" s="34" t="s">
        <v>1261</v>
      </c>
      <c r="P44" s="34">
        <v>72297</v>
      </c>
      <c r="Q44" s="34"/>
      <c r="R44" s="34" t="s">
        <v>1139</v>
      </c>
    </row>
    <row r="45" spans="1:18">
      <c r="A45" s="32" t="s">
        <v>1262</v>
      </c>
      <c r="B45" s="34">
        <v>6</v>
      </c>
      <c r="C45" s="34" t="s">
        <v>1122</v>
      </c>
      <c r="D45" s="34" t="s">
        <v>1263</v>
      </c>
      <c r="E45" s="34" t="s">
        <v>1124</v>
      </c>
      <c r="F45" s="34" t="s">
        <v>1125</v>
      </c>
      <c r="G45" s="32">
        <v>2.99</v>
      </c>
      <c r="H45" s="32">
        <v>2.99</v>
      </c>
      <c r="I45" s="32">
        <v>0.09</v>
      </c>
      <c r="J45" s="32">
        <v>2.9</v>
      </c>
      <c r="K45" s="32">
        <v>0</v>
      </c>
      <c r="L45" s="34" t="s">
        <v>45</v>
      </c>
      <c r="M45" s="34"/>
      <c r="N45" s="34"/>
      <c r="O45" s="34" t="s">
        <v>1264</v>
      </c>
      <c r="P45" s="34">
        <v>72285</v>
      </c>
      <c r="Q45" s="34"/>
      <c r="R45" s="34" t="s">
        <v>1149</v>
      </c>
    </row>
    <row r="46" spans="1:18">
      <c r="A46" s="32" t="s">
        <v>1265</v>
      </c>
      <c r="B46" s="34">
        <v>6</v>
      </c>
      <c r="C46" s="34" t="s">
        <v>1122</v>
      </c>
      <c r="D46" s="34" t="s">
        <v>1266</v>
      </c>
      <c r="E46" s="34" t="s">
        <v>1124</v>
      </c>
      <c r="F46" s="34" t="s">
        <v>1125</v>
      </c>
      <c r="G46" s="32">
        <v>20.25</v>
      </c>
      <c r="H46" s="32">
        <v>20.25</v>
      </c>
      <c r="I46" s="32">
        <v>0.59</v>
      </c>
      <c r="J46" s="32">
        <v>19.66</v>
      </c>
      <c r="K46" s="32">
        <v>20.25</v>
      </c>
      <c r="L46" s="34" t="s">
        <v>45</v>
      </c>
      <c r="M46" s="34"/>
      <c r="N46" s="34"/>
      <c r="O46" s="34" t="s">
        <v>1267</v>
      </c>
      <c r="P46" s="34">
        <v>72273</v>
      </c>
      <c r="Q46" s="34"/>
      <c r="R46" s="34" t="s">
        <v>1149</v>
      </c>
    </row>
    <row r="47" spans="1:18">
      <c r="A47" s="32" t="s">
        <v>1268</v>
      </c>
      <c r="B47" s="34">
        <v>6</v>
      </c>
      <c r="C47" s="34" t="s">
        <v>1122</v>
      </c>
      <c r="D47" s="34" t="s">
        <v>1269</v>
      </c>
      <c r="E47" s="34" t="s">
        <v>1124</v>
      </c>
      <c r="F47" s="34" t="s">
        <v>1125</v>
      </c>
      <c r="G47" s="32">
        <v>7.99</v>
      </c>
      <c r="H47" s="32">
        <v>7.99</v>
      </c>
      <c r="I47" s="32">
        <v>0.24</v>
      </c>
      <c r="J47" s="32">
        <v>7.75</v>
      </c>
      <c r="K47" s="32">
        <v>0</v>
      </c>
      <c r="L47" s="34" t="s">
        <v>45</v>
      </c>
      <c r="M47" s="34"/>
      <c r="N47" s="34"/>
      <c r="O47" s="34" t="s">
        <v>1270</v>
      </c>
      <c r="P47" s="34">
        <v>72453</v>
      </c>
      <c r="Q47" s="34"/>
      <c r="R47" s="34" t="s">
        <v>1149</v>
      </c>
    </row>
    <row r="48" spans="1:18">
      <c r="A48" s="32" t="s">
        <v>1271</v>
      </c>
      <c r="B48" s="34">
        <v>6</v>
      </c>
      <c r="C48" s="34" t="s">
        <v>1122</v>
      </c>
      <c r="D48" s="34" t="s">
        <v>1272</v>
      </c>
      <c r="E48" s="34" t="s">
        <v>1124</v>
      </c>
      <c r="F48" s="34" t="s">
        <v>1125</v>
      </c>
      <c r="G48" s="32">
        <v>20.25</v>
      </c>
      <c r="H48" s="32">
        <v>20.25</v>
      </c>
      <c r="I48" s="32">
        <v>0.59</v>
      </c>
      <c r="J48" s="32">
        <v>19.66</v>
      </c>
      <c r="K48" s="32">
        <v>0</v>
      </c>
      <c r="L48" s="34" t="s">
        <v>45</v>
      </c>
      <c r="M48" s="34"/>
      <c r="N48" s="34"/>
      <c r="O48" s="34" t="s">
        <v>1273</v>
      </c>
      <c r="P48" s="34">
        <v>72441</v>
      </c>
      <c r="Q48" s="34"/>
      <c r="R48" s="34" t="s">
        <v>1131</v>
      </c>
    </row>
    <row r="49" spans="1:18">
      <c r="A49" s="32" t="s">
        <v>1274</v>
      </c>
      <c r="B49" s="34">
        <v>6</v>
      </c>
      <c r="C49" s="34" t="s">
        <v>1122</v>
      </c>
      <c r="D49" s="34" t="s">
        <v>1275</v>
      </c>
      <c r="E49" s="34" t="s">
        <v>1124</v>
      </c>
      <c r="F49" s="34" t="s">
        <v>1125</v>
      </c>
      <c r="G49" s="32">
        <v>2.99</v>
      </c>
      <c r="H49" s="32">
        <v>2.99</v>
      </c>
      <c r="I49" s="32">
        <v>0.09</v>
      </c>
      <c r="J49" s="32">
        <v>2.9</v>
      </c>
      <c r="K49" s="32">
        <v>0</v>
      </c>
      <c r="L49" s="34" t="s">
        <v>45</v>
      </c>
      <c r="M49" s="34"/>
      <c r="N49" s="34"/>
      <c r="O49" s="34" t="s">
        <v>1276</v>
      </c>
      <c r="P49" s="34">
        <v>72429</v>
      </c>
      <c r="Q49" s="34"/>
      <c r="R49" s="34" t="s">
        <v>1277</v>
      </c>
    </row>
    <row r="50" spans="1:18">
      <c r="A50" s="32" t="s">
        <v>1278</v>
      </c>
      <c r="B50" s="34">
        <v>6</v>
      </c>
      <c r="C50" s="34" t="s">
        <v>1122</v>
      </c>
      <c r="D50" s="34" t="s">
        <v>1279</v>
      </c>
      <c r="E50" s="34" t="s">
        <v>1194</v>
      </c>
      <c r="F50" s="34" t="s">
        <v>1125</v>
      </c>
      <c r="G50" s="32">
        <v>-20.75</v>
      </c>
      <c r="H50" s="32">
        <v>-20.75</v>
      </c>
      <c r="I50" s="32">
        <v>0.5</v>
      </c>
      <c r="J50" s="32">
        <v>-20.75</v>
      </c>
      <c r="K50" s="32">
        <v>20.25</v>
      </c>
      <c r="L50" s="34" t="s">
        <v>45</v>
      </c>
      <c r="M50" s="34"/>
      <c r="N50" s="34"/>
      <c r="O50" s="34" t="s">
        <v>1280</v>
      </c>
      <c r="P50" s="34">
        <v>72273</v>
      </c>
      <c r="Q50" s="34" t="s">
        <v>1266</v>
      </c>
      <c r="R50" s="34" t="s">
        <v>1149</v>
      </c>
    </row>
    <row r="51" spans="1:18">
      <c r="A51" s="32" t="s">
        <v>1281</v>
      </c>
      <c r="B51" s="34">
        <v>6</v>
      </c>
      <c r="C51" s="34" t="s">
        <v>1122</v>
      </c>
      <c r="D51" s="34" t="s">
        <v>1282</v>
      </c>
      <c r="E51" s="34" t="s">
        <v>1124</v>
      </c>
      <c r="F51" s="34" t="s">
        <v>1125</v>
      </c>
      <c r="G51" s="32">
        <v>20.75</v>
      </c>
      <c r="H51" s="32">
        <v>20.75</v>
      </c>
      <c r="I51" s="32">
        <v>0.61</v>
      </c>
      <c r="J51" s="32">
        <v>20.14</v>
      </c>
      <c r="K51" s="32">
        <v>0</v>
      </c>
      <c r="L51" s="34" t="s">
        <v>45</v>
      </c>
      <c r="M51" s="34"/>
      <c r="N51" s="34"/>
      <c r="O51" s="34" t="s">
        <v>1283</v>
      </c>
      <c r="P51" s="34">
        <v>69128</v>
      </c>
      <c r="Q51" s="34"/>
      <c r="R51" s="34" t="s">
        <v>1277</v>
      </c>
    </row>
    <row r="52" spans="1:18">
      <c r="A52" s="32" t="s">
        <v>1284</v>
      </c>
      <c r="B52" s="34">
        <v>6</v>
      </c>
      <c r="C52" s="34" t="s">
        <v>1122</v>
      </c>
      <c r="D52" s="34" t="s">
        <v>1285</v>
      </c>
      <c r="E52" s="34" t="s">
        <v>1124</v>
      </c>
      <c r="F52" s="34" t="s">
        <v>1125</v>
      </c>
      <c r="G52" s="32">
        <v>587.99</v>
      </c>
      <c r="H52" s="32">
        <v>587.99</v>
      </c>
      <c r="I52" s="32">
        <v>17.059999999999999</v>
      </c>
      <c r="J52" s="32">
        <v>570.92999999999995</v>
      </c>
      <c r="K52" s="32">
        <v>0</v>
      </c>
      <c r="L52" s="34" t="s">
        <v>45</v>
      </c>
      <c r="M52" s="34"/>
      <c r="N52" s="34"/>
      <c r="O52" s="34" t="s">
        <v>1286</v>
      </c>
      <c r="P52" s="34">
        <v>72789</v>
      </c>
      <c r="Q52" s="34"/>
      <c r="R52" s="34" t="s">
        <v>1135</v>
      </c>
    </row>
    <row r="53" spans="1:18">
      <c r="A53" s="32" t="s">
        <v>1287</v>
      </c>
      <c r="B53" s="34">
        <v>6</v>
      </c>
      <c r="C53" s="34" t="s">
        <v>1122</v>
      </c>
      <c r="D53" s="34" t="s">
        <v>1288</v>
      </c>
      <c r="E53" s="34" t="s">
        <v>1124</v>
      </c>
      <c r="F53" s="34" t="s">
        <v>1125</v>
      </c>
      <c r="G53" s="32">
        <v>2.0099999999999998</v>
      </c>
      <c r="H53" s="32">
        <v>2.0099999999999998</v>
      </c>
      <c r="I53" s="32">
        <v>0.06</v>
      </c>
      <c r="J53" s="32">
        <v>1.95</v>
      </c>
      <c r="K53" s="32">
        <v>0</v>
      </c>
      <c r="L53" s="34" t="s">
        <v>45</v>
      </c>
      <c r="M53" s="34"/>
      <c r="N53" s="34"/>
      <c r="O53" s="34" t="s">
        <v>1289</v>
      </c>
      <c r="P53" s="34">
        <v>72753</v>
      </c>
      <c r="Q53" s="34"/>
      <c r="R53" s="34" t="s">
        <v>1160</v>
      </c>
    </row>
    <row r="54" spans="1:18">
      <c r="A54" s="32" t="s">
        <v>1290</v>
      </c>
      <c r="B54" s="34">
        <v>6</v>
      </c>
      <c r="C54" s="34" t="s">
        <v>1122</v>
      </c>
      <c r="D54" s="34" t="s">
        <v>1291</v>
      </c>
      <c r="E54" s="34" t="s">
        <v>1124</v>
      </c>
      <c r="F54" s="34" t="s">
        <v>1125</v>
      </c>
      <c r="G54" s="32">
        <v>2.99</v>
      </c>
      <c r="H54" s="32">
        <v>2.99</v>
      </c>
      <c r="I54" s="32">
        <v>0.09</v>
      </c>
      <c r="J54" s="32">
        <v>2.9</v>
      </c>
      <c r="K54" s="32">
        <v>0</v>
      </c>
      <c r="L54" s="34" t="s">
        <v>45</v>
      </c>
      <c r="M54" s="34"/>
      <c r="N54" s="34"/>
      <c r="O54" s="34" t="s">
        <v>1292</v>
      </c>
      <c r="P54" s="34">
        <v>72741</v>
      </c>
      <c r="Q54" s="34"/>
      <c r="R54" s="34" t="s">
        <v>1131</v>
      </c>
    </row>
    <row r="55" spans="1:18">
      <c r="A55" s="32" t="s">
        <v>1293</v>
      </c>
      <c r="B55" s="34">
        <v>6</v>
      </c>
      <c r="C55" s="34" t="s">
        <v>1122</v>
      </c>
      <c r="D55" s="34" t="s">
        <v>1294</v>
      </c>
      <c r="E55" s="34" t="s">
        <v>1124</v>
      </c>
      <c r="F55" s="34" t="s">
        <v>1125</v>
      </c>
      <c r="G55" s="32">
        <v>1</v>
      </c>
      <c r="H55" s="32">
        <v>1</v>
      </c>
      <c r="I55" s="32">
        <v>0.03</v>
      </c>
      <c r="J55" s="32">
        <v>0.97</v>
      </c>
      <c r="K55" s="32">
        <v>0</v>
      </c>
      <c r="L55" s="34" t="s">
        <v>45</v>
      </c>
      <c r="M55" s="34"/>
      <c r="N55" s="34"/>
      <c r="O55" s="34" t="s">
        <v>1295</v>
      </c>
      <c r="P55" s="34">
        <v>73113</v>
      </c>
      <c r="Q55" s="34"/>
      <c r="R55" s="34" t="s">
        <v>1131</v>
      </c>
    </row>
    <row r="56" spans="1:18">
      <c r="A56" s="32" t="s">
        <v>1296</v>
      </c>
      <c r="B56" s="34">
        <v>6</v>
      </c>
      <c r="C56" s="34" t="s">
        <v>1122</v>
      </c>
      <c r="D56" s="34" t="s">
        <v>1297</v>
      </c>
      <c r="E56" s="34" t="s">
        <v>1124</v>
      </c>
      <c r="F56" s="34" t="s">
        <v>1125</v>
      </c>
      <c r="G56" s="32">
        <v>119.98</v>
      </c>
      <c r="H56" s="32">
        <v>119.98</v>
      </c>
      <c r="I56" s="32">
        <v>3.48</v>
      </c>
      <c r="J56" s="32">
        <v>116.5</v>
      </c>
      <c r="K56" s="32">
        <v>0</v>
      </c>
      <c r="L56" s="34" t="s">
        <v>45</v>
      </c>
      <c r="M56" s="34"/>
      <c r="N56" s="34"/>
      <c r="O56" s="34" t="s">
        <v>1298</v>
      </c>
      <c r="P56" s="34">
        <v>73089</v>
      </c>
      <c r="Q56" s="34"/>
      <c r="R56" s="34" t="s">
        <v>1149</v>
      </c>
    </row>
    <row r="57" spans="1:18">
      <c r="A57" s="32" t="s">
        <v>1299</v>
      </c>
      <c r="B57" s="34">
        <v>6</v>
      </c>
      <c r="C57" s="34" t="s">
        <v>1122</v>
      </c>
      <c r="D57" s="34" t="s">
        <v>1300</v>
      </c>
      <c r="E57" s="34" t="s">
        <v>1124</v>
      </c>
      <c r="F57" s="34" t="s">
        <v>1125</v>
      </c>
      <c r="G57" s="32">
        <v>85.51</v>
      </c>
      <c r="H57" s="32">
        <v>85.51</v>
      </c>
      <c r="I57" s="32">
        <v>2.48</v>
      </c>
      <c r="J57" s="32">
        <v>83.03</v>
      </c>
      <c r="K57" s="32">
        <v>0</v>
      </c>
      <c r="L57" s="34" t="s">
        <v>45</v>
      </c>
      <c r="M57" s="34"/>
      <c r="N57" s="34"/>
      <c r="O57" s="34" t="s">
        <v>1301</v>
      </c>
      <c r="P57" s="34">
        <v>73209</v>
      </c>
      <c r="Q57" s="34"/>
      <c r="R57" s="34" t="s">
        <v>1127</v>
      </c>
    </row>
    <row r="58" spans="1:18">
      <c r="A58" s="32" t="s">
        <v>1302</v>
      </c>
      <c r="B58" s="34">
        <v>6</v>
      </c>
      <c r="C58" s="34" t="s">
        <v>1122</v>
      </c>
      <c r="D58" s="34" t="s">
        <v>1303</v>
      </c>
      <c r="E58" s="34" t="s">
        <v>1124</v>
      </c>
      <c r="F58" s="34" t="s">
        <v>1125</v>
      </c>
      <c r="G58" s="32">
        <v>13.02</v>
      </c>
      <c r="H58" s="32">
        <v>13.02</v>
      </c>
      <c r="I58" s="32">
        <v>0.38</v>
      </c>
      <c r="J58" s="32">
        <v>12.64</v>
      </c>
      <c r="K58" s="32">
        <v>0</v>
      </c>
      <c r="L58" s="34" t="s">
        <v>45</v>
      </c>
      <c r="M58" s="34"/>
      <c r="N58" s="34"/>
      <c r="O58" s="34" t="s">
        <v>1304</v>
      </c>
      <c r="P58" s="34">
        <v>73185</v>
      </c>
      <c r="Q58" s="34"/>
      <c r="R58" s="34" t="s">
        <v>1131</v>
      </c>
    </row>
    <row r="59" spans="1:18">
      <c r="A59" s="32" t="s">
        <v>1305</v>
      </c>
      <c r="B59" s="34">
        <v>6</v>
      </c>
      <c r="C59" s="34" t="s">
        <v>1122</v>
      </c>
      <c r="D59" s="34" t="s">
        <v>1306</v>
      </c>
      <c r="E59" s="34" t="s">
        <v>1124</v>
      </c>
      <c r="F59" s="34" t="s">
        <v>1125</v>
      </c>
      <c r="G59" s="32">
        <v>9.99</v>
      </c>
      <c r="H59" s="32">
        <v>9.99</v>
      </c>
      <c r="I59" s="32">
        <v>0.28999999999999998</v>
      </c>
      <c r="J59" s="32">
        <v>9.6999999999999993</v>
      </c>
      <c r="K59" s="32">
        <v>0</v>
      </c>
      <c r="L59" s="34" t="s">
        <v>45</v>
      </c>
      <c r="M59" s="34"/>
      <c r="N59" s="34"/>
      <c r="O59" s="34" t="s">
        <v>1307</v>
      </c>
      <c r="P59" s="34">
        <v>73389</v>
      </c>
      <c r="Q59" s="34"/>
      <c r="R59" s="34" t="s">
        <v>1308</v>
      </c>
    </row>
    <row r="60" spans="1:18">
      <c r="A60" s="32" t="s">
        <v>1309</v>
      </c>
      <c r="B60" s="34">
        <v>6</v>
      </c>
      <c r="C60" s="34" t="s">
        <v>1122</v>
      </c>
      <c r="D60" s="34" t="s">
        <v>1310</v>
      </c>
      <c r="E60" s="34" t="s">
        <v>1124</v>
      </c>
      <c r="F60" s="34" t="s">
        <v>1125</v>
      </c>
      <c r="G60" s="32">
        <v>32.950000000000003</v>
      </c>
      <c r="H60" s="32">
        <v>32.950000000000003</v>
      </c>
      <c r="I60" s="32">
        <v>0.96</v>
      </c>
      <c r="J60" s="32">
        <v>31.99</v>
      </c>
      <c r="K60" s="32">
        <v>0</v>
      </c>
      <c r="L60" s="34" t="s">
        <v>45</v>
      </c>
      <c r="M60" s="34"/>
      <c r="N60" s="34"/>
      <c r="O60" s="34" t="s">
        <v>1311</v>
      </c>
      <c r="P60" s="34">
        <v>73377</v>
      </c>
      <c r="Q60" s="34"/>
      <c r="R60" s="34" t="s">
        <v>1127</v>
      </c>
    </row>
    <row r="61" spans="1:18">
      <c r="A61" s="32" t="s">
        <v>1312</v>
      </c>
      <c r="B61" s="34">
        <v>6</v>
      </c>
      <c r="C61" s="34" t="s">
        <v>1122</v>
      </c>
      <c r="D61" s="34" t="s">
        <v>1313</v>
      </c>
      <c r="E61" s="34" t="s">
        <v>1124</v>
      </c>
      <c r="F61" s="34" t="s">
        <v>1125</v>
      </c>
      <c r="G61" s="32">
        <v>29.98</v>
      </c>
      <c r="H61" s="32">
        <v>29.98</v>
      </c>
      <c r="I61" s="32">
        <v>0.87</v>
      </c>
      <c r="J61" s="32">
        <v>29.11</v>
      </c>
      <c r="K61" s="32">
        <v>0</v>
      </c>
      <c r="L61" s="34" t="s">
        <v>45</v>
      </c>
      <c r="M61" s="34"/>
      <c r="N61" s="34"/>
      <c r="O61" s="34" t="s">
        <v>1314</v>
      </c>
      <c r="P61" s="34">
        <v>73365</v>
      </c>
      <c r="Q61" s="34"/>
      <c r="R61" s="34" t="s">
        <v>1149</v>
      </c>
    </row>
    <row r="62" spans="1:18">
      <c r="A62" s="32" t="s">
        <v>1315</v>
      </c>
      <c r="B62" s="34">
        <v>6</v>
      </c>
      <c r="C62" s="34" t="s">
        <v>1122</v>
      </c>
      <c r="D62" s="34" t="s">
        <v>1316</v>
      </c>
      <c r="E62" s="34" t="s">
        <v>1124</v>
      </c>
      <c r="F62" s="34" t="s">
        <v>1125</v>
      </c>
      <c r="G62" s="32">
        <v>28.79</v>
      </c>
      <c r="H62" s="32">
        <v>28.79</v>
      </c>
      <c r="I62" s="32">
        <v>0.84</v>
      </c>
      <c r="J62" s="32">
        <v>27.95</v>
      </c>
      <c r="K62" s="32">
        <v>0</v>
      </c>
      <c r="L62" s="34" t="s">
        <v>45</v>
      </c>
      <c r="M62" s="34"/>
      <c r="N62" s="34"/>
      <c r="O62" s="34" t="s">
        <v>1317</v>
      </c>
      <c r="P62" s="34">
        <v>73341</v>
      </c>
      <c r="Q62" s="34"/>
      <c r="R62" s="34" t="s">
        <v>1149</v>
      </c>
    </row>
    <row r="63" spans="1:18">
      <c r="A63" s="32" t="s">
        <v>1318</v>
      </c>
      <c r="B63" s="34">
        <v>6</v>
      </c>
      <c r="C63" s="34" t="s">
        <v>1122</v>
      </c>
      <c r="D63" s="34" t="s">
        <v>1319</v>
      </c>
      <c r="E63" s="34" t="s">
        <v>1124</v>
      </c>
      <c r="F63" s="34" t="s">
        <v>1125</v>
      </c>
      <c r="G63" s="32">
        <v>18.600000000000001</v>
      </c>
      <c r="H63" s="32">
        <v>18.600000000000001</v>
      </c>
      <c r="I63" s="32">
        <v>0.54</v>
      </c>
      <c r="J63" s="32">
        <v>18.059999999999999</v>
      </c>
      <c r="K63" s="32">
        <v>0</v>
      </c>
      <c r="L63" s="34" t="s">
        <v>45</v>
      </c>
      <c r="M63" s="34"/>
      <c r="N63" s="34"/>
      <c r="O63" s="34" t="s">
        <v>1320</v>
      </c>
      <c r="P63" s="34">
        <v>73329</v>
      </c>
      <c r="Q63" s="34"/>
      <c r="R63" s="34" t="s">
        <v>1135</v>
      </c>
    </row>
    <row r="64" spans="1:18">
      <c r="A64" s="32" t="s">
        <v>1321</v>
      </c>
      <c r="B64" s="34">
        <v>6</v>
      </c>
      <c r="C64" s="34" t="s">
        <v>1122</v>
      </c>
      <c r="D64" s="34" t="s">
        <v>1322</v>
      </c>
      <c r="E64" s="34" t="s">
        <v>1124</v>
      </c>
      <c r="F64" s="34" t="s">
        <v>1125</v>
      </c>
      <c r="G64" s="32">
        <v>18.989999999999998</v>
      </c>
      <c r="H64" s="32">
        <v>18.989999999999998</v>
      </c>
      <c r="I64" s="32">
        <v>0.55000000000000004</v>
      </c>
      <c r="J64" s="32">
        <v>18.440000000000001</v>
      </c>
      <c r="K64" s="32">
        <v>0</v>
      </c>
      <c r="L64" s="34" t="s">
        <v>45</v>
      </c>
      <c r="M64" s="34"/>
      <c r="N64" s="34"/>
      <c r="O64" s="34" t="s">
        <v>1323</v>
      </c>
      <c r="P64" s="34">
        <v>69776</v>
      </c>
      <c r="Q64" s="34"/>
      <c r="R64" s="34" t="s">
        <v>1160</v>
      </c>
    </row>
    <row r="65" spans="1:18">
      <c r="A65" s="28" t="s">
        <v>1324</v>
      </c>
      <c r="B65" s="28">
        <v>6</v>
      </c>
      <c r="C65" s="28"/>
      <c r="D65" s="28" t="s">
        <v>1325</v>
      </c>
      <c r="E65" s="28"/>
      <c r="F65" s="28"/>
      <c r="G65" s="28">
        <v>1500</v>
      </c>
      <c r="H65" s="28"/>
      <c r="I65" s="28">
        <v>20</v>
      </c>
      <c r="J65" s="28">
        <v>-1480</v>
      </c>
      <c r="K65" s="28"/>
      <c r="L65" s="28" t="s">
        <v>45</v>
      </c>
      <c r="M65" s="28"/>
      <c r="N65" s="28"/>
      <c r="O65" s="28" t="s">
        <v>1326</v>
      </c>
      <c r="P65" s="28"/>
      <c r="Q65" s="28"/>
      <c r="R65" s="28"/>
    </row>
    <row r="66" spans="1:18">
      <c r="A66" s="176">
        <v>45664.90902777778</v>
      </c>
      <c r="B66" s="52">
        <v>7</v>
      </c>
      <c r="C66" s="52" t="s">
        <v>1122</v>
      </c>
      <c r="D66" s="52" t="s">
        <v>1327</v>
      </c>
      <c r="E66" s="52" t="s">
        <v>1124</v>
      </c>
      <c r="F66" s="52" t="s">
        <v>1125</v>
      </c>
      <c r="G66" s="52">
        <v>1.88</v>
      </c>
      <c r="H66" s="52">
        <v>1.88</v>
      </c>
      <c r="I66" s="52">
        <v>0.06</v>
      </c>
      <c r="J66" s="52">
        <v>1.82</v>
      </c>
      <c r="K66" s="52">
        <v>0</v>
      </c>
      <c r="L66" s="52" t="s">
        <v>45</v>
      </c>
      <c r="M66" s="52"/>
      <c r="N66" s="52"/>
      <c r="O66" s="52" t="s">
        <v>1328</v>
      </c>
      <c r="P66" s="52">
        <v>70677</v>
      </c>
      <c r="Q66" s="52"/>
      <c r="R66" s="52" t="s">
        <v>1329</v>
      </c>
    </row>
    <row r="67" spans="1:18">
      <c r="A67" s="176">
        <v>45664.789583333331</v>
      </c>
      <c r="B67" s="52">
        <v>7</v>
      </c>
      <c r="C67" s="52" t="s">
        <v>1122</v>
      </c>
      <c r="D67" s="52" t="s">
        <v>1330</v>
      </c>
      <c r="E67" s="52" t="s">
        <v>1124</v>
      </c>
      <c r="F67" s="52" t="s">
        <v>1125</v>
      </c>
      <c r="G67" s="52">
        <v>17.989999999999998</v>
      </c>
      <c r="H67" s="52">
        <v>17.989999999999998</v>
      </c>
      <c r="I67" s="52">
        <v>0.53</v>
      </c>
      <c r="J67" s="52">
        <v>17.46</v>
      </c>
      <c r="K67" s="52">
        <v>0</v>
      </c>
      <c r="L67" s="52" t="s">
        <v>45</v>
      </c>
      <c r="M67" s="52"/>
      <c r="N67" s="52"/>
      <c r="O67" s="52" t="s">
        <v>1331</v>
      </c>
      <c r="P67" s="52">
        <v>73545</v>
      </c>
      <c r="Q67" s="52"/>
      <c r="R67" s="52" t="s">
        <v>1139</v>
      </c>
    </row>
    <row r="68" spans="1:18">
      <c r="A68" s="176">
        <v>45664.739583333336</v>
      </c>
      <c r="B68" s="52">
        <v>7</v>
      </c>
      <c r="C68" s="52" t="s">
        <v>1122</v>
      </c>
      <c r="D68" s="52" t="s">
        <v>1332</v>
      </c>
      <c r="E68" s="52" t="s">
        <v>1124</v>
      </c>
      <c r="F68" s="52" t="s">
        <v>1125</v>
      </c>
      <c r="G68" s="52">
        <v>2.99</v>
      </c>
      <c r="H68" s="52">
        <v>2.99</v>
      </c>
      <c r="I68" s="52">
        <v>0.09</v>
      </c>
      <c r="J68" s="52">
        <v>2.9</v>
      </c>
      <c r="K68" s="52">
        <v>0</v>
      </c>
      <c r="L68" s="52" t="s">
        <v>45</v>
      </c>
      <c r="M68" s="52"/>
      <c r="N68" s="52"/>
      <c r="O68" s="52" t="s">
        <v>1333</v>
      </c>
      <c r="P68" s="52">
        <v>73533</v>
      </c>
      <c r="Q68" s="52"/>
      <c r="R68" s="52" t="s">
        <v>1135</v>
      </c>
    </row>
    <row r="69" spans="1:18">
      <c r="A69" s="176">
        <v>45664.502083333333</v>
      </c>
      <c r="B69" s="52">
        <v>7</v>
      </c>
      <c r="C69" s="52" t="s">
        <v>1122</v>
      </c>
      <c r="D69" s="52" t="s">
        <v>1334</v>
      </c>
      <c r="E69" s="52" t="s">
        <v>1124</v>
      </c>
      <c r="F69" s="52" t="s">
        <v>1125</v>
      </c>
      <c r="G69" s="52">
        <v>2.99</v>
      </c>
      <c r="H69" s="52">
        <v>2.99</v>
      </c>
      <c r="I69" s="52">
        <v>0.09</v>
      </c>
      <c r="J69" s="52">
        <v>2.9</v>
      </c>
      <c r="K69" s="52">
        <v>2.99</v>
      </c>
      <c r="L69" s="52" t="s">
        <v>45</v>
      </c>
      <c r="M69" s="52"/>
      <c r="N69" s="52"/>
      <c r="O69" s="52" t="s">
        <v>1335</v>
      </c>
      <c r="P69" s="52">
        <v>73521</v>
      </c>
      <c r="Q69" s="52"/>
      <c r="R69" s="52" t="s">
        <v>1139</v>
      </c>
    </row>
    <row r="70" spans="1:18">
      <c r="A70" s="176">
        <v>45664.404861111114</v>
      </c>
      <c r="B70" s="52">
        <v>7</v>
      </c>
      <c r="C70" s="52" t="s">
        <v>1122</v>
      </c>
      <c r="D70" s="52" t="s">
        <v>1336</v>
      </c>
      <c r="E70" s="52" t="s">
        <v>1124</v>
      </c>
      <c r="F70" s="52" t="s">
        <v>1125</v>
      </c>
      <c r="G70" s="52">
        <v>19.989999999999998</v>
      </c>
      <c r="H70" s="52">
        <v>19.989999999999998</v>
      </c>
      <c r="I70" s="52">
        <v>0.57999999999999996</v>
      </c>
      <c r="J70" s="52">
        <v>19.41</v>
      </c>
      <c r="K70" s="52">
        <v>0</v>
      </c>
      <c r="L70" s="52" t="s">
        <v>45</v>
      </c>
      <c r="M70" s="52"/>
      <c r="N70" s="52"/>
      <c r="O70" s="52" t="s">
        <v>1337</v>
      </c>
      <c r="P70" s="52">
        <v>73497</v>
      </c>
      <c r="Q70" s="52"/>
      <c r="R70" s="52" t="s">
        <v>1149</v>
      </c>
    </row>
    <row r="71" spans="1:18">
      <c r="A71" s="176">
        <v>45664.381944444445</v>
      </c>
      <c r="B71" s="52">
        <v>7</v>
      </c>
      <c r="C71" s="52" t="s">
        <v>1122</v>
      </c>
      <c r="D71" s="52" t="s">
        <v>1338</v>
      </c>
      <c r="E71" s="52" t="s">
        <v>1124</v>
      </c>
      <c r="F71" s="52" t="s">
        <v>1125</v>
      </c>
      <c r="G71" s="52">
        <v>1.88</v>
      </c>
      <c r="H71" s="52">
        <v>1.88</v>
      </c>
      <c r="I71" s="52">
        <v>0.06</v>
      </c>
      <c r="J71" s="52">
        <v>1.82</v>
      </c>
      <c r="K71" s="52">
        <v>0</v>
      </c>
      <c r="L71" s="52" t="s">
        <v>45</v>
      </c>
      <c r="M71" s="52"/>
      <c r="N71" s="52"/>
      <c r="O71" s="52" t="s">
        <v>1339</v>
      </c>
      <c r="P71" s="52">
        <v>70869</v>
      </c>
      <c r="Q71" s="52"/>
      <c r="R71" s="52" t="s">
        <v>1188</v>
      </c>
    </row>
    <row r="72" spans="1:18">
      <c r="A72" s="176">
        <v>45664.345138888886</v>
      </c>
      <c r="B72" s="52">
        <v>7</v>
      </c>
      <c r="C72" s="52" t="s">
        <v>1122</v>
      </c>
      <c r="D72" s="52" t="s">
        <v>1340</v>
      </c>
      <c r="E72" s="52" t="s">
        <v>1124</v>
      </c>
      <c r="F72" s="52" t="s">
        <v>1125</v>
      </c>
      <c r="G72" s="52">
        <v>25.25</v>
      </c>
      <c r="H72" s="52">
        <v>25.25</v>
      </c>
      <c r="I72" s="52">
        <v>0.74</v>
      </c>
      <c r="J72" s="52">
        <v>24.51</v>
      </c>
      <c r="K72" s="52">
        <v>0</v>
      </c>
      <c r="L72" s="52" t="s">
        <v>45</v>
      </c>
      <c r="M72" s="52"/>
      <c r="N72" s="52"/>
      <c r="O72" s="52" t="s">
        <v>1341</v>
      </c>
      <c r="P72" s="52">
        <v>73485</v>
      </c>
      <c r="Q72" s="52"/>
      <c r="R72" s="52" t="s">
        <v>1149</v>
      </c>
    </row>
    <row r="73" spans="1:18">
      <c r="A73" s="176">
        <v>45664.313194444447</v>
      </c>
      <c r="B73" s="52">
        <v>7</v>
      </c>
      <c r="C73" s="52" t="s">
        <v>1122</v>
      </c>
      <c r="D73" s="52" t="s">
        <v>1342</v>
      </c>
      <c r="E73" s="52" t="s">
        <v>1124</v>
      </c>
      <c r="F73" s="52" t="s">
        <v>1125</v>
      </c>
      <c r="G73" s="52">
        <v>1.99</v>
      </c>
      <c r="H73" s="52">
        <v>1.99</v>
      </c>
      <c r="I73" s="52">
        <v>0.06</v>
      </c>
      <c r="J73" s="52">
        <v>1.93</v>
      </c>
      <c r="K73" s="52">
        <v>1.99</v>
      </c>
      <c r="L73" s="52" t="s">
        <v>45</v>
      </c>
      <c r="M73" s="52"/>
      <c r="N73" s="52"/>
      <c r="O73" s="52" t="s">
        <v>1343</v>
      </c>
      <c r="P73" s="52">
        <v>73461</v>
      </c>
      <c r="Q73" s="52"/>
      <c r="R73" s="52" t="s">
        <v>1139</v>
      </c>
    </row>
    <row r="74" spans="1:18">
      <c r="A74" s="176">
        <v>45695.970138888886</v>
      </c>
      <c r="B74" s="52">
        <v>7</v>
      </c>
      <c r="C74" s="52" t="s">
        <v>1122</v>
      </c>
      <c r="D74" s="52" t="s">
        <v>1344</v>
      </c>
      <c r="E74" s="52" t="s">
        <v>1124</v>
      </c>
      <c r="F74" s="52" t="s">
        <v>1125</v>
      </c>
      <c r="G74" s="52">
        <v>9.99</v>
      </c>
      <c r="H74" s="52">
        <v>9.99</v>
      </c>
      <c r="I74" s="52">
        <v>0.28999999999999998</v>
      </c>
      <c r="J74" s="52">
        <v>9.6999999999999993</v>
      </c>
      <c r="K74" s="52">
        <v>0</v>
      </c>
      <c r="L74" s="52" t="s">
        <v>45</v>
      </c>
      <c r="M74" s="52"/>
      <c r="N74" s="52"/>
      <c r="O74" s="52" t="s">
        <v>1345</v>
      </c>
      <c r="P74" s="52">
        <v>73809</v>
      </c>
      <c r="Q74" s="52"/>
      <c r="R74" s="52" t="s">
        <v>1131</v>
      </c>
    </row>
    <row r="75" spans="1:18">
      <c r="A75" s="176">
        <v>45695.652083333334</v>
      </c>
      <c r="B75" s="52">
        <v>7</v>
      </c>
      <c r="C75" s="52" t="s">
        <v>1122</v>
      </c>
      <c r="D75" s="52" t="s">
        <v>1346</v>
      </c>
      <c r="E75" s="52" t="s">
        <v>1124</v>
      </c>
      <c r="F75" s="52" t="s">
        <v>1125</v>
      </c>
      <c r="G75" s="52">
        <v>20.69</v>
      </c>
      <c r="H75" s="52">
        <v>20.69</v>
      </c>
      <c r="I75" s="52">
        <v>0.6</v>
      </c>
      <c r="J75" s="52">
        <v>20.09</v>
      </c>
      <c r="K75" s="52">
        <v>0</v>
      </c>
      <c r="L75" s="52" t="s">
        <v>45</v>
      </c>
      <c r="M75" s="52"/>
      <c r="N75" s="52"/>
      <c r="O75" s="52" t="s">
        <v>1347</v>
      </c>
      <c r="P75" s="52">
        <v>73797</v>
      </c>
      <c r="Q75" s="52"/>
      <c r="R75" s="52" t="s">
        <v>1135</v>
      </c>
    </row>
    <row r="76" spans="1:18">
      <c r="A76" s="176">
        <v>45695.643750000003</v>
      </c>
      <c r="B76" s="52">
        <v>7</v>
      </c>
      <c r="C76" s="52" t="s">
        <v>1122</v>
      </c>
      <c r="D76" s="52" t="s">
        <v>1348</v>
      </c>
      <c r="E76" s="52" t="s">
        <v>1124</v>
      </c>
      <c r="F76" s="52" t="s">
        <v>1125</v>
      </c>
      <c r="G76" s="52">
        <v>2.4900000000000002</v>
      </c>
      <c r="H76" s="52">
        <v>2.4900000000000002</v>
      </c>
      <c r="I76" s="52">
        <v>0.08</v>
      </c>
      <c r="J76" s="52">
        <v>2.41</v>
      </c>
      <c r="K76" s="52">
        <v>0</v>
      </c>
      <c r="L76" s="52" t="s">
        <v>45</v>
      </c>
      <c r="M76" s="52"/>
      <c r="N76" s="52"/>
      <c r="O76" s="52" t="s">
        <v>1349</v>
      </c>
      <c r="P76" s="52">
        <v>73785</v>
      </c>
      <c r="Q76" s="52"/>
      <c r="R76" s="52" t="s">
        <v>1149</v>
      </c>
    </row>
    <row r="77" spans="1:18">
      <c r="A77" s="176">
        <v>45695.556250000001</v>
      </c>
      <c r="B77" s="52">
        <v>7</v>
      </c>
      <c r="C77" s="52" t="s">
        <v>1122</v>
      </c>
      <c r="D77" s="52" t="s">
        <v>1350</v>
      </c>
      <c r="E77" s="52" t="s">
        <v>1124</v>
      </c>
      <c r="F77" s="52" t="s">
        <v>1125</v>
      </c>
      <c r="G77" s="52">
        <v>59.49</v>
      </c>
      <c r="H77" s="52">
        <v>59.49</v>
      </c>
      <c r="I77" s="52">
        <v>1.73</v>
      </c>
      <c r="J77" s="52">
        <v>57.76</v>
      </c>
      <c r="K77" s="52">
        <v>13.58</v>
      </c>
      <c r="L77" s="52" t="s">
        <v>45</v>
      </c>
      <c r="M77" s="52"/>
      <c r="N77" s="52"/>
      <c r="O77" s="52" t="s">
        <v>1351</v>
      </c>
      <c r="P77" s="52">
        <v>73773</v>
      </c>
      <c r="Q77" s="52"/>
      <c r="R77" s="52" t="s">
        <v>1135</v>
      </c>
    </row>
    <row r="78" spans="1:18">
      <c r="A78" s="176">
        <v>45695.51458333333</v>
      </c>
      <c r="B78" s="52">
        <v>7</v>
      </c>
      <c r="C78" s="52" t="s">
        <v>1122</v>
      </c>
      <c r="D78" s="52" t="s">
        <v>1352</v>
      </c>
      <c r="E78" s="52" t="s">
        <v>1124</v>
      </c>
      <c r="F78" s="52" t="s">
        <v>1125</v>
      </c>
      <c r="G78" s="52">
        <v>11.73</v>
      </c>
      <c r="H78" s="52">
        <v>11.73</v>
      </c>
      <c r="I78" s="52">
        <v>0.34</v>
      </c>
      <c r="J78" s="52">
        <v>11.39</v>
      </c>
      <c r="K78" s="52">
        <v>0</v>
      </c>
      <c r="L78" s="52" t="s">
        <v>45</v>
      </c>
      <c r="M78" s="52"/>
      <c r="N78" s="52"/>
      <c r="O78" s="52" t="s">
        <v>1353</v>
      </c>
      <c r="P78" s="52">
        <v>73761</v>
      </c>
      <c r="Q78" s="52"/>
      <c r="R78" s="52" t="s">
        <v>1149</v>
      </c>
    </row>
    <row r="79" spans="1:18">
      <c r="A79" s="176">
        <v>45695.381249999999</v>
      </c>
      <c r="B79" s="52">
        <v>7</v>
      </c>
      <c r="C79" s="52" t="s">
        <v>1122</v>
      </c>
      <c r="D79" s="52" t="s">
        <v>1354</v>
      </c>
      <c r="E79" s="52" t="s">
        <v>1124</v>
      </c>
      <c r="F79" s="52" t="s">
        <v>1125</v>
      </c>
      <c r="G79" s="52">
        <v>54.99</v>
      </c>
      <c r="H79" s="52">
        <v>54.99</v>
      </c>
      <c r="I79" s="52">
        <v>1.6</v>
      </c>
      <c r="J79" s="52">
        <v>53.39</v>
      </c>
      <c r="K79" s="52">
        <v>0</v>
      </c>
      <c r="L79" s="52" t="s">
        <v>45</v>
      </c>
      <c r="M79" s="52"/>
      <c r="N79" s="52"/>
      <c r="O79" s="52" t="s">
        <v>1355</v>
      </c>
      <c r="P79" s="52">
        <v>73749</v>
      </c>
      <c r="Q79" s="52"/>
      <c r="R79" s="52" t="s">
        <v>1149</v>
      </c>
    </row>
    <row r="80" spans="1:18">
      <c r="A80" s="176">
        <v>45695.282638888886</v>
      </c>
      <c r="B80" s="52">
        <v>7</v>
      </c>
      <c r="C80" s="52" t="s">
        <v>1122</v>
      </c>
      <c r="D80" s="52" t="s">
        <v>1356</v>
      </c>
      <c r="E80" s="52" t="s">
        <v>1124</v>
      </c>
      <c r="F80" s="52" t="s">
        <v>1125</v>
      </c>
      <c r="G80" s="52">
        <v>12.99</v>
      </c>
      <c r="H80" s="52">
        <v>12.99</v>
      </c>
      <c r="I80" s="52">
        <v>0.38</v>
      </c>
      <c r="J80" s="52">
        <v>12.61</v>
      </c>
      <c r="K80" s="52">
        <v>0</v>
      </c>
      <c r="L80" s="52" t="s">
        <v>45</v>
      </c>
      <c r="M80" s="52"/>
      <c r="N80" s="52"/>
      <c r="O80" s="52" t="s">
        <v>1357</v>
      </c>
      <c r="P80" s="52">
        <v>73737</v>
      </c>
      <c r="Q80" s="52"/>
      <c r="R80" s="52" t="s">
        <v>1149</v>
      </c>
    </row>
    <row r="81" spans="1:18">
      <c r="A81" s="176">
        <v>45695.179166666669</v>
      </c>
      <c r="B81" s="52">
        <v>7</v>
      </c>
      <c r="C81" s="52" t="s">
        <v>1122</v>
      </c>
      <c r="D81" s="52" t="s">
        <v>1358</v>
      </c>
      <c r="E81" s="52" t="s">
        <v>1124</v>
      </c>
      <c r="F81" s="52" t="s">
        <v>1125</v>
      </c>
      <c r="G81" s="52">
        <v>56.79</v>
      </c>
      <c r="H81" s="52">
        <v>56.79</v>
      </c>
      <c r="I81" s="52">
        <v>1.65</v>
      </c>
      <c r="J81" s="52">
        <v>55.14</v>
      </c>
      <c r="K81" s="52">
        <v>0</v>
      </c>
      <c r="L81" s="52" t="s">
        <v>45</v>
      </c>
      <c r="M81" s="52"/>
      <c r="N81" s="52"/>
      <c r="O81" s="52" t="s">
        <v>1359</v>
      </c>
      <c r="P81" s="52">
        <v>73689</v>
      </c>
      <c r="Q81" s="52"/>
      <c r="R81" s="52" t="s">
        <v>1149</v>
      </c>
    </row>
    <row r="82" spans="1:18">
      <c r="A82" s="176">
        <v>45723.720138888886</v>
      </c>
      <c r="B82" s="52">
        <v>7</v>
      </c>
      <c r="C82" s="52" t="s">
        <v>1122</v>
      </c>
      <c r="D82" s="52" t="s">
        <v>1360</v>
      </c>
      <c r="E82" s="52" t="s">
        <v>1124</v>
      </c>
      <c r="F82" s="52" t="s">
        <v>1125</v>
      </c>
      <c r="G82" s="52">
        <v>4.3</v>
      </c>
      <c r="H82" s="52">
        <v>4.3</v>
      </c>
      <c r="I82" s="52">
        <v>0.13</v>
      </c>
      <c r="J82" s="52">
        <v>4.17</v>
      </c>
      <c r="K82" s="52">
        <v>0</v>
      </c>
      <c r="L82" s="52" t="s">
        <v>45</v>
      </c>
      <c r="M82" s="52"/>
      <c r="N82" s="52"/>
      <c r="O82" s="52" t="s">
        <v>1361</v>
      </c>
      <c r="P82" s="52">
        <v>73930</v>
      </c>
      <c r="Q82" s="52"/>
      <c r="R82" s="52" t="s">
        <v>1139</v>
      </c>
    </row>
    <row r="83" spans="1:18">
      <c r="A83" s="176">
        <v>45723.417361111111</v>
      </c>
      <c r="B83" s="52">
        <v>7</v>
      </c>
      <c r="C83" s="52" t="s">
        <v>1122</v>
      </c>
      <c r="D83" s="52" t="s">
        <v>1362</v>
      </c>
      <c r="E83" s="52" t="s">
        <v>1124</v>
      </c>
      <c r="F83" s="52" t="s">
        <v>1125</v>
      </c>
      <c r="G83" s="52">
        <v>8.7899999999999991</v>
      </c>
      <c r="H83" s="52">
        <v>8.7899999999999991</v>
      </c>
      <c r="I83" s="52">
        <v>0.26</v>
      </c>
      <c r="J83" s="52">
        <v>8.5299999999999994</v>
      </c>
      <c r="K83" s="52">
        <v>0</v>
      </c>
      <c r="L83" s="52" t="s">
        <v>45</v>
      </c>
      <c r="M83" s="52"/>
      <c r="N83" s="52"/>
      <c r="O83" s="52" t="s">
        <v>1363</v>
      </c>
      <c r="P83" s="52">
        <v>73917</v>
      </c>
      <c r="Q83" s="52"/>
      <c r="R83" s="52" t="s">
        <v>1153</v>
      </c>
    </row>
    <row r="84" spans="1:18">
      <c r="A84" s="176">
        <v>45754.865277777775</v>
      </c>
      <c r="B84" s="52">
        <v>7</v>
      </c>
      <c r="C84" s="52" t="s">
        <v>1122</v>
      </c>
      <c r="D84" s="52" t="s">
        <v>1364</v>
      </c>
      <c r="E84" s="52" t="s">
        <v>1124</v>
      </c>
      <c r="F84" s="52" t="s">
        <v>1125</v>
      </c>
      <c r="G84" s="52">
        <v>7.99</v>
      </c>
      <c r="H84" s="52">
        <v>7.99</v>
      </c>
      <c r="I84" s="52">
        <v>0.24</v>
      </c>
      <c r="J84" s="52">
        <v>7.75</v>
      </c>
      <c r="K84" s="52">
        <v>0</v>
      </c>
      <c r="L84" s="52" t="s">
        <v>45</v>
      </c>
      <c r="M84" s="52"/>
      <c r="N84" s="52"/>
      <c r="O84" s="52" t="s">
        <v>1365</v>
      </c>
      <c r="P84" s="52">
        <v>74230</v>
      </c>
      <c r="Q84" s="52"/>
      <c r="R84" s="52" t="s">
        <v>1149</v>
      </c>
    </row>
    <row r="85" spans="1:18">
      <c r="A85" s="176">
        <v>45754.652777777781</v>
      </c>
      <c r="B85" s="52">
        <v>7</v>
      </c>
      <c r="C85" s="52" t="s">
        <v>1122</v>
      </c>
      <c r="D85" s="52" t="s">
        <v>1366</v>
      </c>
      <c r="E85" s="52" t="s">
        <v>1124</v>
      </c>
      <c r="F85" s="52" t="s">
        <v>1125</v>
      </c>
      <c r="G85" s="52">
        <v>2.99</v>
      </c>
      <c r="H85" s="52">
        <v>2.99</v>
      </c>
      <c r="I85" s="52">
        <v>0.09</v>
      </c>
      <c r="J85" s="52">
        <v>2.9</v>
      </c>
      <c r="K85" s="52">
        <v>0</v>
      </c>
      <c r="L85" s="52" t="s">
        <v>45</v>
      </c>
      <c r="M85" s="52"/>
      <c r="N85" s="52"/>
      <c r="O85" s="52" t="s">
        <v>1367</v>
      </c>
      <c r="P85" s="52">
        <v>74182</v>
      </c>
      <c r="Q85" s="52"/>
      <c r="R85" s="52" t="s">
        <v>1149</v>
      </c>
    </row>
    <row r="86" spans="1:18">
      <c r="A86" s="176">
        <v>45754.645833333336</v>
      </c>
      <c r="B86" s="52">
        <v>7</v>
      </c>
      <c r="C86" s="52" t="s">
        <v>1122</v>
      </c>
      <c r="D86" s="52" t="s">
        <v>1368</v>
      </c>
      <c r="E86" s="52" t="s">
        <v>1124</v>
      </c>
      <c r="F86" s="52" t="s">
        <v>1125</v>
      </c>
      <c r="G86" s="52">
        <v>2.4900000000000002</v>
      </c>
      <c r="H86" s="52">
        <v>2.4900000000000002</v>
      </c>
      <c r="I86" s="52">
        <v>0.08</v>
      </c>
      <c r="J86" s="52">
        <v>2.41</v>
      </c>
      <c r="K86" s="52">
        <v>0</v>
      </c>
      <c r="L86" s="52" t="s">
        <v>45</v>
      </c>
      <c r="M86" s="52"/>
      <c r="N86" s="52"/>
      <c r="O86" s="52" t="s">
        <v>1369</v>
      </c>
      <c r="P86" s="52">
        <v>74170</v>
      </c>
      <c r="Q86" s="52"/>
      <c r="R86" s="52" t="s">
        <v>1149</v>
      </c>
    </row>
    <row r="87" spans="1:18">
      <c r="A87" s="176">
        <v>45754.602777777778</v>
      </c>
      <c r="B87" s="52">
        <v>7</v>
      </c>
      <c r="C87" s="52" t="s">
        <v>1122</v>
      </c>
      <c r="D87" s="52" t="s">
        <v>1370</v>
      </c>
      <c r="E87" s="52" t="s">
        <v>1124</v>
      </c>
      <c r="F87" s="52" t="s">
        <v>1125</v>
      </c>
      <c r="G87" s="52">
        <v>2.4900000000000002</v>
      </c>
      <c r="H87" s="52">
        <v>2.4900000000000002</v>
      </c>
      <c r="I87" s="52">
        <v>0.08</v>
      </c>
      <c r="J87" s="52">
        <v>2.41</v>
      </c>
      <c r="K87" s="52">
        <v>0</v>
      </c>
      <c r="L87" s="52" t="s">
        <v>45</v>
      </c>
      <c r="M87" s="52"/>
      <c r="N87" s="52"/>
      <c r="O87" s="52" t="s">
        <v>1371</v>
      </c>
      <c r="P87" s="52">
        <v>74158</v>
      </c>
      <c r="Q87" s="52"/>
      <c r="R87" s="52" t="s">
        <v>1135</v>
      </c>
    </row>
    <row r="88" spans="1:18">
      <c r="A88" s="176">
        <v>45754.594444444447</v>
      </c>
      <c r="B88" s="52">
        <v>7</v>
      </c>
      <c r="C88" s="52" t="s">
        <v>1122</v>
      </c>
      <c r="D88" s="52" t="s">
        <v>1372</v>
      </c>
      <c r="E88" s="52" t="s">
        <v>1124</v>
      </c>
      <c r="F88" s="52" t="s">
        <v>1125</v>
      </c>
      <c r="G88" s="52">
        <v>7.59</v>
      </c>
      <c r="H88" s="52">
        <v>7.59</v>
      </c>
      <c r="I88" s="52">
        <v>0.22</v>
      </c>
      <c r="J88" s="52">
        <v>7.37</v>
      </c>
      <c r="K88" s="52">
        <v>0</v>
      </c>
      <c r="L88" s="52" t="s">
        <v>45</v>
      </c>
      <c r="M88" s="52"/>
      <c r="N88" s="52"/>
      <c r="O88" s="52" t="s">
        <v>1373</v>
      </c>
      <c r="P88" s="52">
        <v>74146</v>
      </c>
      <c r="Q88" s="52"/>
      <c r="R88" s="52" t="s">
        <v>1153</v>
      </c>
    </row>
    <row r="89" spans="1:18">
      <c r="A89" s="176">
        <v>45754.556250000001</v>
      </c>
      <c r="B89" s="52">
        <v>7</v>
      </c>
      <c r="C89" s="52" t="s">
        <v>1122</v>
      </c>
      <c r="D89" s="52" t="s">
        <v>1374</v>
      </c>
      <c r="E89" s="52" t="s">
        <v>1124</v>
      </c>
      <c r="F89" s="52" t="s">
        <v>1125</v>
      </c>
      <c r="G89" s="52">
        <v>5.44</v>
      </c>
      <c r="H89" s="52">
        <v>5.44</v>
      </c>
      <c r="I89" s="52">
        <v>0.16</v>
      </c>
      <c r="J89" s="52">
        <v>5.28</v>
      </c>
      <c r="K89" s="52">
        <v>0</v>
      </c>
      <c r="L89" s="52" t="s">
        <v>45</v>
      </c>
      <c r="M89" s="52"/>
      <c r="N89" s="52"/>
      <c r="O89" s="52" t="s">
        <v>1375</v>
      </c>
      <c r="P89" s="52">
        <v>74134</v>
      </c>
      <c r="Q89" s="52"/>
      <c r="R89" s="52" t="s">
        <v>1131</v>
      </c>
    </row>
    <row r="90" spans="1:18">
      <c r="A90" s="176">
        <v>45754.532638888886</v>
      </c>
      <c r="B90" s="52">
        <v>7</v>
      </c>
      <c r="C90" s="52" t="s">
        <v>1122</v>
      </c>
      <c r="D90" s="52" t="s">
        <v>1376</v>
      </c>
      <c r="E90" s="52" t="s">
        <v>1124</v>
      </c>
      <c r="F90" s="52" t="s">
        <v>1125</v>
      </c>
      <c r="G90" s="52">
        <v>4.49</v>
      </c>
      <c r="H90" s="52">
        <v>4.49</v>
      </c>
      <c r="I90" s="52">
        <v>0.13</v>
      </c>
      <c r="J90" s="52">
        <v>4.3600000000000003</v>
      </c>
      <c r="K90" s="52">
        <v>4.49</v>
      </c>
      <c r="L90" s="52" t="s">
        <v>45</v>
      </c>
      <c r="M90" s="52"/>
      <c r="N90" s="52"/>
      <c r="O90" s="52" t="s">
        <v>1377</v>
      </c>
      <c r="P90" s="52">
        <v>74122</v>
      </c>
      <c r="Q90" s="52"/>
      <c r="R90" s="52" t="s">
        <v>1139</v>
      </c>
    </row>
    <row r="91" spans="1:18">
      <c r="A91" s="176">
        <v>45784.329861111109</v>
      </c>
      <c r="B91" s="52">
        <v>7</v>
      </c>
      <c r="C91" s="52" t="s">
        <v>1122</v>
      </c>
      <c r="D91" s="52" t="s">
        <v>1378</v>
      </c>
      <c r="E91" s="52" t="s">
        <v>1124</v>
      </c>
      <c r="F91" s="52" t="s">
        <v>1125</v>
      </c>
      <c r="G91" s="52">
        <v>7.99</v>
      </c>
      <c r="H91" s="52">
        <v>7.99</v>
      </c>
      <c r="I91" s="52">
        <v>0.24</v>
      </c>
      <c r="J91" s="52">
        <v>7.75</v>
      </c>
      <c r="K91" s="52">
        <v>0</v>
      </c>
      <c r="L91" s="52" t="s">
        <v>45</v>
      </c>
      <c r="M91" s="52"/>
      <c r="N91" s="52"/>
      <c r="O91" s="52" t="s">
        <v>1379</v>
      </c>
      <c r="P91" s="52">
        <v>74338</v>
      </c>
      <c r="Q91" s="52"/>
      <c r="R91" s="52" t="s">
        <v>1131</v>
      </c>
    </row>
    <row r="92" spans="1:18">
      <c r="A92" s="176">
        <v>45784.217361111114</v>
      </c>
      <c r="B92" s="52">
        <v>7</v>
      </c>
      <c r="C92" s="52" t="s">
        <v>1122</v>
      </c>
      <c r="D92" s="52" t="s">
        <v>1380</v>
      </c>
      <c r="E92" s="52" t="s">
        <v>1194</v>
      </c>
      <c r="F92" s="52" t="s">
        <v>1125</v>
      </c>
      <c r="G92" s="52">
        <v>-2.4900000000000002</v>
      </c>
      <c r="H92" s="52">
        <v>-2.4900000000000002</v>
      </c>
      <c r="I92" s="52">
        <v>0.5</v>
      </c>
      <c r="J92" s="52">
        <v>-2.4900000000000002</v>
      </c>
      <c r="K92" s="52">
        <v>1.99</v>
      </c>
      <c r="L92" s="52" t="s">
        <v>45</v>
      </c>
      <c r="M92" s="52"/>
      <c r="N92" s="52"/>
      <c r="O92" s="52" t="s">
        <v>1381</v>
      </c>
      <c r="P92" s="52">
        <v>73461</v>
      </c>
      <c r="Q92" s="52" t="s">
        <v>1342</v>
      </c>
      <c r="R92" s="52" t="s">
        <v>1139</v>
      </c>
    </row>
    <row r="93" spans="1:18">
      <c r="A93" s="176">
        <v>45784.216666666667</v>
      </c>
      <c r="B93" s="52">
        <v>7</v>
      </c>
      <c r="C93" s="52" t="s">
        <v>1122</v>
      </c>
      <c r="D93" s="52" t="s">
        <v>1382</v>
      </c>
      <c r="E93" s="52" t="s">
        <v>1194</v>
      </c>
      <c r="F93" s="52" t="s">
        <v>1125</v>
      </c>
      <c r="G93" s="52">
        <v>-3.49</v>
      </c>
      <c r="H93" s="52">
        <v>-3.49</v>
      </c>
      <c r="I93" s="52">
        <v>0.5</v>
      </c>
      <c r="J93" s="52">
        <v>-3.49</v>
      </c>
      <c r="K93" s="52">
        <v>2.99</v>
      </c>
      <c r="L93" s="52" t="s">
        <v>45</v>
      </c>
      <c r="M93" s="52"/>
      <c r="N93" s="52"/>
      <c r="O93" s="52" t="s">
        <v>1383</v>
      </c>
      <c r="P93" s="52">
        <v>73521</v>
      </c>
      <c r="Q93" s="52" t="s">
        <v>1334</v>
      </c>
      <c r="R93" s="52" t="s">
        <v>1139</v>
      </c>
    </row>
    <row r="94" spans="1:18">
      <c r="A94" s="176">
        <v>45815.30972222222</v>
      </c>
      <c r="B94" s="52">
        <v>7</v>
      </c>
      <c r="C94" s="52" t="s">
        <v>1122</v>
      </c>
      <c r="D94" s="52" t="s">
        <v>1384</v>
      </c>
      <c r="E94" s="52" t="s">
        <v>1124</v>
      </c>
      <c r="F94" s="52" t="s">
        <v>1125</v>
      </c>
      <c r="G94" s="52">
        <v>2.99</v>
      </c>
      <c r="H94" s="52">
        <v>2.99</v>
      </c>
      <c r="I94" s="52">
        <v>0.09</v>
      </c>
      <c r="J94" s="52">
        <v>2.9</v>
      </c>
      <c r="K94" s="52">
        <v>0</v>
      </c>
      <c r="L94" s="52" t="s">
        <v>45</v>
      </c>
      <c r="M94" s="52"/>
      <c r="N94" s="52"/>
      <c r="O94" s="52" t="s">
        <v>1385</v>
      </c>
      <c r="P94" s="52">
        <v>74470</v>
      </c>
      <c r="Q94" s="52"/>
      <c r="R94" s="52" t="s">
        <v>1135</v>
      </c>
    </row>
    <row r="95" spans="1:18">
      <c r="A95" s="176">
        <v>45815.251388888886</v>
      </c>
      <c r="B95" s="52">
        <v>7</v>
      </c>
      <c r="C95" s="52" t="s">
        <v>1122</v>
      </c>
      <c r="D95" s="52" t="s">
        <v>1386</v>
      </c>
      <c r="E95" s="52" t="s">
        <v>1194</v>
      </c>
      <c r="F95" s="52" t="s">
        <v>1125</v>
      </c>
      <c r="G95" s="52">
        <v>-4.99</v>
      </c>
      <c r="H95" s="52">
        <v>-4.99</v>
      </c>
      <c r="I95" s="52">
        <v>0.5</v>
      </c>
      <c r="J95" s="52">
        <v>-4.99</v>
      </c>
      <c r="K95" s="52">
        <v>4.49</v>
      </c>
      <c r="L95" s="52" t="s">
        <v>45</v>
      </c>
      <c r="M95" s="52"/>
      <c r="N95" s="52"/>
      <c r="O95" s="52" t="s">
        <v>1387</v>
      </c>
      <c r="P95" s="52">
        <v>74122</v>
      </c>
      <c r="Q95" s="52" t="s">
        <v>1376</v>
      </c>
      <c r="R95" s="52" t="s">
        <v>1139</v>
      </c>
    </row>
    <row r="96" spans="1:18">
      <c r="A96" s="176">
        <v>45876.625694444447</v>
      </c>
      <c r="B96" s="52">
        <v>7</v>
      </c>
      <c r="C96" s="52" t="s">
        <v>1122</v>
      </c>
      <c r="D96" s="52" t="s">
        <v>1388</v>
      </c>
      <c r="E96" s="52" t="s">
        <v>1124</v>
      </c>
      <c r="F96" s="52" t="s">
        <v>1125</v>
      </c>
      <c r="G96" s="52">
        <v>2.99</v>
      </c>
      <c r="H96" s="52">
        <v>2.99</v>
      </c>
      <c r="I96" s="52">
        <v>0.09</v>
      </c>
      <c r="J96" s="52">
        <v>2.9</v>
      </c>
      <c r="K96" s="52">
        <v>2.99</v>
      </c>
      <c r="L96" s="52" t="s">
        <v>45</v>
      </c>
      <c r="M96" s="52"/>
      <c r="N96" s="52"/>
      <c r="O96" s="52" t="s">
        <v>1389</v>
      </c>
      <c r="P96" s="52">
        <v>74734</v>
      </c>
      <c r="Q96" s="52"/>
      <c r="R96" s="52" t="s">
        <v>1139</v>
      </c>
    </row>
    <row r="97" spans="1:18">
      <c r="A97" s="176">
        <v>45937.284722222219</v>
      </c>
      <c r="B97" s="52">
        <v>7</v>
      </c>
      <c r="C97" s="52" t="s">
        <v>1122</v>
      </c>
      <c r="D97" s="52" t="s">
        <v>1390</v>
      </c>
      <c r="E97" s="52" t="s">
        <v>1124</v>
      </c>
      <c r="F97" s="52" t="s">
        <v>1125</v>
      </c>
      <c r="G97" s="52">
        <v>2.99</v>
      </c>
      <c r="H97" s="52">
        <v>2.99</v>
      </c>
      <c r="I97" s="52">
        <v>0.09</v>
      </c>
      <c r="J97" s="52">
        <v>2.9</v>
      </c>
      <c r="K97" s="52">
        <v>0</v>
      </c>
      <c r="L97" s="52" t="s">
        <v>45</v>
      </c>
      <c r="M97" s="52"/>
      <c r="N97" s="52"/>
      <c r="O97" s="52" t="s">
        <v>1391</v>
      </c>
      <c r="P97" s="52">
        <v>75034</v>
      </c>
      <c r="Q97" s="52"/>
      <c r="R97" s="52" t="s">
        <v>1135</v>
      </c>
    </row>
    <row r="98" spans="1:18">
      <c r="A98" s="176">
        <v>45937.126388888886</v>
      </c>
      <c r="B98" s="52">
        <v>7</v>
      </c>
      <c r="C98" s="52" t="s">
        <v>1122</v>
      </c>
      <c r="D98" s="52" t="s">
        <v>1392</v>
      </c>
      <c r="E98" s="52" t="s">
        <v>1194</v>
      </c>
      <c r="F98" s="52" t="s">
        <v>1125</v>
      </c>
      <c r="G98" s="52">
        <v>-3.49</v>
      </c>
      <c r="H98" s="52">
        <v>-3.49</v>
      </c>
      <c r="I98" s="52">
        <v>0.5</v>
      </c>
      <c r="J98" s="52">
        <v>-3.49</v>
      </c>
      <c r="K98" s="52">
        <v>2.99</v>
      </c>
      <c r="L98" s="52" t="s">
        <v>45</v>
      </c>
      <c r="M98" s="52"/>
      <c r="N98" s="52"/>
      <c r="O98" s="52" t="s">
        <v>1393</v>
      </c>
      <c r="P98" s="52">
        <v>74734</v>
      </c>
      <c r="Q98" s="52" t="s">
        <v>1388</v>
      </c>
      <c r="R98" s="52" t="s">
        <v>1139</v>
      </c>
    </row>
    <row r="99" spans="1:18">
      <c r="A99" s="176">
        <v>45998.759027777778</v>
      </c>
      <c r="B99" s="52">
        <v>7</v>
      </c>
      <c r="C99" s="52" t="s">
        <v>1122</v>
      </c>
      <c r="D99" s="52" t="s">
        <v>1394</v>
      </c>
      <c r="E99" s="52" t="s">
        <v>1124</v>
      </c>
      <c r="F99" s="52" t="s">
        <v>1125</v>
      </c>
      <c r="G99" s="52">
        <v>26.99</v>
      </c>
      <c r="H99" s="52">
        <v>26.99</v>
      </c>
      <c r="I99" s="52">
        <v>0.79</v>
      </c>
      <c r="J99" s="52">
        <v>26.2</v>
      </c>
      <c r="K99" s="52">
        <v>26.2</v>
      </c>
      <c r="L99" s="52" t="s">
        <v>45</v>
      </c>
      <c r="M99" s="52"/>
      <c r="N99" s="52"/>
      <c r="O99" s="52" t="s">
        <v>1395</v>
      </c>
      <c r="P99" s="52">
        <v>75418</v>
      </c>
      <c r="Q99" s="52"/>
      <c r="R99" s="52" t="s">
        <v>1149</v>
      </c>
    </row>
    <row r="100" spans="1:18">
      <c r="A100" s="176">
        <v>45998.274305555555</v>
      </c>
      <c r="B100" s="52">
        <v>7</v>
      </c>
      <c r="C100" s="52" t="s">
        <v>1122</v>
      </c>
      <c r="D100" s="52" t="s">
        <v>1396</v>
      </c>
      <c r="E100" s="52" t="s">
        <v>1124</v>
      </c>
      <c r="F100" s="52" t="s">
        <v>1125</v>
      </c>
      <c r="G100" s="52">
        <v>20.75</v>
      </c>
      <c r="H100" s="52">
        <v>20.75</v>
      </c>
      <c r="I100" s="52">
        <v>0.61</v>
      </c>
      <c r="J100" s="52">
        <v>20.14</v>
      </c>
      <c r="K100" s="52">
        <v>0</v>
      </c>
      <c r="L100" s="52" t="s">
        <v>45</v>
      </c>
      <c r="M100" s="52"/>
      <c r="N100" s="52"/>
      <c r="O100" s="52" t="s">
        <v>1397</v>
      </c>
      <c r="P100" s="52">
        <v>74422</v>
      </c>
      <c r="Q100" s="52"/>
      <c r="R100" s="52" t="s">
        <v>1135</v>
      </c>
    </row>
    <row r="101" spans="1:18">
      <c r="A101" s="52" t="s">
        <v>1398</v>
      </c>
      <c r="B101" s="52">
        <v>7</v>
      </c>
      <c r="C101" s="52" t="s">
        <v>1122</v>
      </c>
      <c r="D101" s="52" t="s">
        <v>1399</v>
      </c>
      <c r="E101" s="52" t="s">
        <v>1124</v>
      </c>
      <c r="F101" s="52" t="s">
        <v>1125</v>
      </c>
      <c r="G101" s="52">
        <v>4.54</v>
      </c>
      <c r="H101" s="52">
        <v>4.54</v>
      </c>
      <c r="I101" s="52">
        <v>0.14000000000000001</v>
      </c>
      <c r="J101" s="52">
        <v>4.4000000000000004</v>
      </c>
      <c r="K101" s="52">
        <v>0</v>
      </c>
      <c r="L101" s="52" t="s">
        <v>45</v>
      </c>
      <c r="M101" s="52"/>
      <c r="N101" s="52"/>
      <c r="O101" s="52" t="s">
        <v>1400</v>
      </c>
      <c r="P101" s="52">
        <v>75490</v>
      </c>
      <c r="Q101" s="52"/>
      <c r="R101" s="52" t="s">
        <v>1149</v>
      </c>
    </row>
    <row r="102" spans="1:18">
      <c r="A102" s="52" t="s">
        <v>1401</v>
      </c>
      <c r="B102" s="52">
        <v>7</v>
      </c>
      <c r="C102" s="52" t="s">
        <v>1122</v>
      </c>
      <c r="D102" s="52" t="s">
        <v>1402</v>
      </c>
      <c r="E102" s="52" t="s">
        <v>1124</v>
      </c>
      <c r="F102" s="52" t="s">
        <v>1125</v>
      </c>
      <c r="G102" s="52">
        <v>90.34</v>
      </c>
      <c r="H102" s="52">
        <v>90.34</v>
      </c>
      <c r="I102" s="52">
        <v>2.62</v>
      </c>
      <c r="J102" s="52">
        <v>87.72</v>
      </c>
      <c r="K102" s="52">
        <v>0</v>
      </c>
      <c r="L102" s="52" t="s">
        <v>45</v>
      </c>
      <c r="M102" s="52"/>
      <c r="N102" s="52"/>
      <c r="O102" s="52" t="s">
        <v>1403</v>
      </c>
      <c r="P102" s="52">
        <v>75478</v>
      </c>
      <c r="Q102" s="52"/>
      <c r="R102" s="52" t="s">
        <v>1139</v>
      </c>
    </row>
    <row r="103" spans="1:18">
      <c r="A103" s="52" t="s">
        <v>1404</v>
      </c>
      <c r="B103" s="52">
        <v>7</v>
      </c>
      <c r="C103" s="52" t="s">
        <v>1122</v>
      </c>
      <c r="D103" s="52" t="s">
        <v>1405</v>
      </c>
      <c r="E103" s="52" t="s">
        <v>1194</v>
      </c>
      <c r="F103" s="52" t="s">
        <v>1125</v>
      </c>
      <c r="G103" s="52">
        <v>-3.49</v>
      </c>
      <c r="H103" s="52">
        <v>-3.49</v>
      </c>
      <c r="I103" s="52">
        <v>0.5</v>
      </c>
      <c r="J103" s="52">
        <v>-3.49</v>
      </c>
      <c r="K103" s="52">
        <v>2.99</v>
      </c>
      <c r="L103" s="52" t="s">
        <v>45</v>
      </c>
      <c r="M103" s="52"/>
      <c r="N103" s="52"/>
      <c r="O103" s="52" t="s">
        <v>1406</v>
      </c>
      <c r="P103" s="52">
        <v>75634</v>
      </c>
      <c r="Q103" s="52" t="s">
        <v>1407</v>
      </c>
      <c r="R103" s="52" t="s">
        <v>1127</v>
      </c>
    </row>
    <row r="104" spans="1:18">
      <c r="A104" s="52" t="s">
        <v>1408</v>
      </c>
      <c r="B104" s="52">
        <v>7</v>
      </c>
      <c r="C104" s="52" t="s">
        <v>1122</v>
      </c>
      <c r="D104" s="52" t="s">
        <v>1407</v>
      </c>
      <c r="E104" s="52" t="s">
        <v>1124</v>
      </c>
      <c r="F104" s="52" t="s">
        <v>1125</v>
      </c>
      <c r="G104" s="52">
        <v>2.99</v>
      </c>
      <c r="H104" s="52">
        <v>2.99</v>
      </c>
      <c r="I104" s="52">
        <v>0.09</v>
      </c>
      <c r="J104" s="52">
        <v>2.9</v>
      </c>
      <c r="K104" s="52">
        <v>2.99</v>
      </c>
      <c r="L104" s="52" t="s">
        <v>45</v>
      </c>
      <c r="M104" s="52"/>
      <c r="N104" s="52"/>
      <c r="O104" s="52" t="s">
        <v>1409</v>
      </c>
      <c r="P104" s="52">
        <v>75634</v>
      </c>
      <c r="Q104" s="52"/>
      <c r="R104" s="52" t="s">
        <v>1127</v>
      </c>
    </row>
    <row r="105" spans="1:18">
      <c r="A105" s="52" t="s">
        <v>1410</v>
      </c>
      <c r="B105" s="52">
        <v>7</v>
      </c>
      <c r="C105" s="52" t="s">
        <v>1122</v>
      </c>
      <c r="D105" s="52" t="s">
        <v>1411</v>
      </c>
      <c r="E105" s="52" t="s">
        <v>1124</v>
      </c>
      <c r="F105" s="52" t="s">
        <v>1125</v>
      </c>
      <c r="G105" s="52">
        <v>3.99</v>
      </c>
      <c r="H105" s="52">
        <v>3.99</v>
      </c>
      <c r="I105" s="52">
        <v>0.12</v>
      </c>
      <c r="J105" s="52">
        <v>3.87</v>
      </c>
      <c r="K105" s="52">
        <v>0</v>
      </c>
      <c r="L105" s="52" t="s">
        <v>45</v>
      </c>
      <c r="M105" s="52"/>
      <c r="N105" s="52"/>
      <c r="O105" s="52" t="s">
        <v>1412</v>
      </c>
      <c r="P105" s="52">
        <v>75598</v>
      </c>
      <c r="Q105" s="52"/>
      <c r="R105" s="52" t="s">
        <v>1413</v>
      </c>
    </row>
    <row r="106" spans="1:18">
      <c r="A106" s="52" t="s">
        <v>1414</v>
      </c>
      <c r="B106" s="52">
        <v>7</v>
      </c>
      <c r="C106" s="52" t="s">
        <v>1122</v>
      </c>
      <c r="D106" s="52" t="s">
        <v>1415</v>
      </c>
      <c r="E106" s="52" t="s">
        <v>1124</v>
      </c>
      <c r="F106" s="52" t="s">
        <v>1125</v>
      </c>
      <c r="G106" s="52">
        <v>118.9</v>
      </c>
      <c r="H106" s="52">
        <v>118.9</v>
      </c>
      <c r="I106" s="52">
        <v>3.45</v>
      </c>
      <c r="J106" s="52">
        <v>115.45</v>
      </c>
      <c r="K106" s="52">
        <v>112.96</v>
      </c>
      <c r="L106" s="52" t="s">
        <v>45</v>
      </c>
      <c r="M106" s="52"/>
      <c r="N106" s="52"/>
      <c r="O106" s="52" t="s">
        <v>1416</v>
      </c>
      <c r="P106" s="52">
        <v>75826</v>
      </c>
      <c r="Q106" s="52"/>
      <c r="R106" s="52" t="s">
        <v>1135</v>
      </c>
    </row>
    <row r="107" spans="1:18">
      <c r="A107" s="52" t="s">
        <v>1417</v>
      </c>
      <c r="B107" s="52">
        <v>7</v>
      </c>
      <c r="C107" s="52" t="s">
        <v>1122</v>
      </c>
      <c r="D107" s="52" t="s">
        <v>1418</v>
      </c>
      <c r="E107" s="52" t="s">
        <v>1124</v>
      </c>
      <c r="F107" s="52" t="s">
        <v>1125</v>
      </c>
      <c r="G107" s="52">
        <v>7.99</v>
      </c>
      <c r="H107" s="52">
        <v>7.99</v>
      </c>
      <c r="I107" s="52">
        <v>0.24</v>
      </c>
      <c r="J107" s="52">
        <v>7.75</v>
      </c>
      <c r="K107" s="52">
        <v>0</v>
      </c>
      <c r="L107" s="52" t="s">
        <v>45</v>
      </c>
      <c r="M107" s="52"/>
      <c r="N107" s="52"/>
      <c r="O107" s="52" t="s">
        <v>1419</v>
      </c>
      <c r="P107" s="52">
        <v>76066</v>
      </c>
      <c r="Q107" s="52"/>
      <c r="R107" s="52" t="s">
        <v>1139</v>
      </c>
    </row>
    <row r="108" spans="1:18">
      <c r="A108" s="52" t="s">
        <v>1420</v>
      </c>
      <c r="B108" s="52">
        <v>7</v>
      </c>
      <c r="C108" s="52" t="s">
        <v>1122</v>
      </c>
      <c r="D108" s="52" t="s">
        <v>1421</v>
      </c>
      <c r="E108" s="52" t="s">
        <v>1124</v>
      </c>
      <c r="F108" s="52" t="s">
        <v>1125</v>
      </c>
      <c r="G108" s="52">
        <v>7.99</v>
      </c>
      <c r="H108" s="52">
        <v>7.99</v>
      </c>
      <c r="I108" s="52">
        <v>0.24</v>
      </c>
      <c r="J108" s="52">
        <v>7.75</v>
      </c>
      <c r="K108" s="52">
        <v>0</v>
      </c>
      <c r="L108" s="52" t="s">
        <v>45</v>
      </c>
      <c r="M108" s="52"/>
      <c r="N108" s="52"/>
      <c r="O108" s="52" t="s">
        <v>1422</v>
      </c>
      <c r="P108" s="52">
        <v>76054</v>
      </c>
      <c r="Q108" s="52"/>
      <c r="R108" s="52" t="s">
        <v>1131</v>
      </c>
    </row>
    <row r="109" spans="1:18">
      <c r="A109" s="52" t="s">
        <v>1423</v>
      </c>
      <c r="B109" s="52">
        <v>7</v>
      </c>
      <c r="C109" s="52" t="s">
        <v>1122</v>
      </c>
      <c r="D109" s="52" t="s">
        <v>1424</v>
      </c>
      <c r="E109" s="52" t="s">
        <v>1124</v>
      </c>
      <c r="F109" s="52" t="s">
        <v>1125</v>
      </c>
      <c r="G109" s="52">
        <v>20.69</v>
      </c>
      <c r="H109" s="52">
        <v>20.69</v>
      </c>
      <c r="I109" s="52">
        <v>0.6</v>
      </c>
      <c r="J109" s="52">
        <v>20.09</v>
      </c>
      <c r="K109" s="52">
        <v>0</v>
      </c>
      <c r="L109" s="52" t="s">
        <v>45</v>
      </c>
      <c r="M109" s="52"/>
      <c r="N109" s="52"/>
      <c r="O109" s="52" t="s">
        <v>1425</v>
      </c>
      <c r="P109" s="52">
        <v>69596</v>
      </c>
      <c r="Q109" s="52"/>
      <c r="R109" s="52" t="s">
        <v>1149</v>
      </c>
    </row>
    <row r="110" spans="1:18">
      <c r="A110" s="52" t="s">
        <v>1426</v>
      </c>
      <c r="B110" s="52">
        <v>7</v>
      </c>
      <c r="C110" s="52" t="s">
        <v>1122</v>
      </c>
      <c r="D110" s="52" t="s">
        <v>1427</v>
      </c>
      <c r="E110" s="52" t="s">
        <v>1124</v>
      </c>
      <c r="F110" s="52" t="s">
        <v>1125</v>
      </c>
      <c r="G110" s="52">
        <v>20.69</v>
      </c>
      <c r="H110" s="52">
        <v>20.69</v>
      </c>
      <c r="I110" s="52">
        <v>0.6</v>
      </c>
      <c r="J110" s="52">
        <v>20.09</v>
      </c>
      <c r="K110" s="52">
        <v>0</v>
      </c>
      <c r="L110" s="52" t="s">
        <v>45</v>
      </c>
      <c r="M110" s="52"/>
      <c r="N110" s="52"/>
      <c r="O110" s="52" t="s">
        <v>1428</v>
      </c>
      <c r="P110" s="52">
        <v>76174</v>
      </c>
      <c r="Q110" s="52"/>
      <c r="R110" s="52" t="s">
        <v>1149</v>
      </c>
    </row>
    <row r="111" spans="1:18">
      <c r="A111" s="52" t="s">
        <v>1429</v>
      </c>
      <c r="B111" s="52">
        <v>7</v>
      </c>
      <c r="C111" s="52" t="s">
        <v>1122</v>
      </c>
      <c r="D111" s="52" t="s">
        <v>1430</v>
      </c>
      <c r="E111" s="52" t="s">
        <v>1124</v>
      </c>
      <c r="F111" s="52" t="s">
        <v>1125</v>
      </c>
      <c r="G111" s="52">
        <v>22.99</v>
      </c>
      <c r="H111" s="52">
        <v>22.99</v>
      </c>
      <c r="I111" s="52">
        <v>0.67</v>
      </c>
      <c r="J111" s="52">
        <v>22.32</v>
      </c>
      <c r="K111" s="52">
        <v>0</v>
      </c>
      <c r="L111" s="52" t="s">
        <v>45</v>
      </c>
      <c r="M111" s="52"/>
      <c r="N111" s="52"/>
      <c r="O111" s="52" t="s">
        <v>1431</v>
      </c>
      <c r="P111" s="52">
        <v>76162</v>
      </c>
      <c r="Q111" s="52"/>
      <c r="R111" s="52" t="s">
        <v>1432</v>
      </c>
    </row>
    <row r="112" spans="1:18">
      <c r="A112" s="52" t="s">
        <v>1433</v>
      </c>
      <c r="B112" s="52">
        <v>7</v>
      </c>
      <c r="C112" s="52" t="s">
        <v>1122</v>
      </c>
      <c r="D112" s="52" t="s">
        <v>1434</v>
      </c>
      <c r="E112" s="52" t="s">
        <v>1124</v>
      </c>
      <c r="F112" s="52" t="s">
        <v>1125</v>
      </c>
      <c r="G112" s="52">
        <v>20.71</v>
      </c>
      <c r="H112" s="52">
        <v>20.71</v>
      </c>
      <c r="I112" s="52">
        <v>0.6</v>
      </c>
      <c r="J112" s="52">
        <v>20.11</v>
      </c>
      <c r="K112" s="52">
        <v>0</v>
      </c>
      <c r="L112" s="52" t="s">
        <v>45</v>
      </c>
      <c r="M112" s="52"/>
      <c r="N112" s="52"/>
      <c r="O112" s="52" t="s">
        <v>1435</v>
      </c>
      <c r="P112" s="52">
        <v>74314</v>
      </c>
      <c r="Q112" s="52"/>
      <c r="R112" s="52" t="s">
        <v>1149</v>
      </c>
    </row>
    <row r="113" spans="1:18">
      <c r="A113" s="52" t="s">
        <v>1436</v>
      </c>
      <c r="B113" s="52">
        <v>7</v>
      </c>
      <c r="C113" s="52" t="s">
        <v>1122</v>
      </c>
      <c r="D113" s="52" t="s">
        <v>1437</v>
      </c>
      <c r="E113" s="52" t="s">
        <v>1124</v>
      </c>
      <c r="F113" s="52" t="s">
        <v>1125</v>
      </c>
      <c r="G113" s="52">
        <v>6.49</v>
      </c>
      <c r="H113" s="52">
        <v>6.49</v>
      </c>
      <c r="I113" s="52">
        <v>0.19</v>
      </c>
      <c r="J113" s="52">
        <v>6.3</v>
      </c>
      <c r="K113" s="52">
        <v>0</v>
      </c>
      <c r="L113" s="52" t="s">
        <v>45</v>
      </c>
      <c r="M113" s="52"/>
      <c r="N113" s="52"/>
      <c r="O113" s="52" t="s">
        <v>1438</v>
      </c>
      <c r="P113" s="52">
        <v>76426</v>
      </c>
      <c r="Q113" s="52"/>
      <c r="R113" s="52" t="s">
        <v>1135</v>
      </c>
    </row>
    <row r="114" spans="1:18">
      <c r="A114" s="52" t="s">
        <v>1439</v>
      </c>
      <c r="B114" s="52">
        <v>7</v>
      </c>
      <c r="C114" s="52" t="s">
        <v>1122</v>
      </c>
      <c r="D114" s="52" t="s">
        <v>1440</v>
      </c>
      <c r="E114" s="52" t="s">
        <v>1194</v>
      </c>
      <c r="F114" s="52" t="s">
        <v>1125</v>
      </c>
      <c r="G114" s="52">
        <v>-26.7</v>
      </c>
      <c r="H114" s="52">
        <v>-26.7</v>
      </c>
      <c r="I114" s="52">
        <v>0.5</v>
      </c>
      <c r="J114" s="52">
        <v>-26.7</v>
      </c>
      <c r="K114" s="52">
        <v>26.2</v>
      </c>
      <c r="L114" s="52" t="s">
        <v>45</v>
      </c>
      <c r="M114" s="52"/>
      <c r="N114" s="52"/>
      <c r="O114" s="52" t="s">
        <v>1441</v>
      </c>
      <c r="P114" s="52">
        <v>75418</v>
      </c>
      <c r="Q114" s="52" t="s">
        <v>1394</v>
      </c>
      <c r="R114" s="52" t="s">
        <v>1149</v>
      </c>
    </row>
    <row r="115" spans="1:18">
      <c r="A115" s="52" t="s">
        <v>1442</v>
      </c>
      <c r="B115" s="52">
        <v>7</v>
      </c>
      <c r="C115" s="52" t="s">
        <v>1122</v>
      </c>
      <c r="D115" s="52" t="s">
        <v>1443</v>
      </c>
      <c r="E115" s="52" t="s">
        <v>1124</v>
      </c>
      <c r="F115" s="52" t="s">
        <v>1125</v>
      </c>
      <c r="G115" s="52">
        <v>5.99</v>
      </c>
      <c r="H115" s="52">
        <v>5.99</v>
      </c>
      <c r="I115" s="52">
        <v>0.18</v>
      </c>
      <c r="J115" s="52">
        <v>5.81</v>
      </c>
      <c r="K115" s="52">
        <v>0</v>
      </c>
      <c r="L115" s="52" t="s">
        <v>45</v>
      </c>
      <c r="M115" s="52"/>
      <c r="N115" s="52"/>
      <c r="O115" s="52" t="s">
        <v>1444</v>
      </c>
      <c r="P115" s="52">
        <v>73893</v>
      </c>
      <c r="Q115" s="52"/>
      <c r="R115" s="52" t="s">
        <v>1149</v>
      </c>
    </row>
    <row r="116" spans="1:18">
      <c r="A116" s="52" t="s">
        <v>1445</v>
      </c>
      <c r="B116" s="52">
        <v>7</v>
      </c>
      <c r="C116" s="52" t="s">
        <v>1122</v>
      </c>
      <c r="D116" s="52" t="s">
        <v>1446</v>
      </c>
      <c r="E116" s="52" t="s">
        <v>1124</v>
      </c>
      <c r="F116" s="52" t="s">
        <v>1125</v>
      </c>
      <c r="G116" s="52">
        <v>2.79</v>
      </c>
      <c r="H116" s="52">
        <v>2.79</v>
      </c>
      <c r="I116" s="52">
        <v>0.08</v>
      </c>
      <c r="J116" s="52">
        <v>2.71</v>
      </c>
      <c r="K116" s="52">
        <v>0</v>
      </c>
      <c r="L116" s="52" t="s">
        <v>45</v>
      </c>
      <c r="M116" s="52"/>
      <c r="N116" s="52"/>
      <c r="O116" s="52" t="s">
        <v>1447</v>
      </c>
      <c r="P116" s="52">
        <v>71397</v>
      </c>
      <c r="Q116" s="52"/>
      <c r="R116" s="52" t="s">
        <v>1135</v>
      </c>
    </row>
    <row r="117" spans="1:18">
      <c r="A117" s="52" t="s">
        <v>1448</v>
      </c>
      <c r="B117" s="52">
        <v>7</v>
      </c>
      <c r="C117" s="52" t="s">
        <v>1122</v>
      </c>
      <c r="D117" s="52" t="s">
        <v>1449</v>
      </c>
      <c r="E117" s="52" t="s">
        <v>1124</v>
      </c>
      <c r="F117" s="52" t="s">
        <v>1125</v>
      </c>
      <c r="G117" s="52">
        <v>8.99</v>
      </c>
      <c r="H117" s="52">
        <v>8.99</v>
      </c>
      <c r="I117" s="52">
        <v>0.26</v>
      </c>
      <c r="J117" s="52">
        <v>8.73</v>
      </c>
      <c r="K117" s="52">
        <v>0</v>
      </c>
      <c r="L117" s="52" t="s">
        <v>45</v>
      </c>
      <c r="M117" s="52"/>
      <c r="N117" s="52"/>
      <c r="O117" s="52" t="s">
        <v>1450</v>
      </c>
      <c r="P117" s="52">
        <v>74530</v>
      </c>
      <c r="Q117" s="52"/>
      <c r="R117" s="52" t="s">
        <v>1139</v>
      </c>
    </row>
    <row r="118" spans="1:18">
      <c r="A118" s="52" t="s">
        <v>1451</v>
      </c>
      <c r="B118" s="52">
        <v>7</v>
      </c>
      <c r="C118" s="52" t="s">
        <v>1122</v>
      </c>
      <c r="D118" s="52" t="s">
        <v>1452</v>
      </c>
      <c r="E118" s="52" t="s">
        <v>1124</v>
      </c>
      <c r="F118" s="52" t="s">
        <v>1125</v>
      </c>
      <c r="G118" s="52">
        <v>9.99</v>
      </c>
      <c r="H118" s="52">
        <v>9.99</v>
      </c>
      <c r="I118" s="52">
        <v>0.28999999999999998</v>
      </c>
      <c r="J118" s="52">
        <v>9.6999999999999993</v>
      </c>
      <c r="K118" s="52">
        <v>0</v>
      </c>
      <c r="L118" s="52" t="s">
        <v>45</v>
      </c>
      <c r="M118" s="52"/>
      <c r="N118" s="52"/>
      <c r="O118" s="52" t="s">
        <v>1453</v>
      </c>
      <c r="P118" s="52">
        <v>76834</v>
      </c>
      <c r="Q118" s="52"/>
      <c r="R118" s="52" t="s">
        <v>1131</v>
      </c>
    </row>
    <row r="119" spans="1:18">
      <c r="A119" s="52" t="s">
        <v>1454</v>
      </c>
      <c r="B119" s="52">
        <v>7</v>
      </c>
      <c r="C119" s="52" t="s">
        <v>1122</v>
      </c>
      <c r="D119" s="52" t="s">
        <v>1455</v>
      </c>
      <c r="E119" s="52" t="s">
        <v>1124</v>
      </c>
      <c r="F119" s="52" t="s">
        <v>1125</v>
      </c>
      <c r="G119" s="52">
        <v>9.99</v>
      </c>
      <c r="H119" s="52">
        <v>9.99</v>
      </c>
      <c r="I119" s="52">
        <v>0.28999999999999998</v>
      </c>
      <c r="J119" s="52">
        <v>9.6999999999999993</v>
      </c>
      <c r="K119" s="52">
        <v>0</v>
      </c>
      <c r="L119" s="52" t="s">
        <v>45</v>
      </c>
      <c r="M119" s="52"/>
      <c r="N119" s="52"/>
      <c r="O119" s="52" t="s">
        <v>1456</v>
      </c>
      <c r="P119" s="52">
        <v>75886</v>
      </c>
      <c r="Q119" s="52"/>
      <c r="R119" s="52" t="s">
        <v>1308</v>
      </c>
    </row>
    <row r="120" spans="1:18">
      <c r="A120" s="52" t="s">
        <v>1457</v>
      </c>
      <c r="B120" s="52">
        <v>7</v>
      </c>
      <c r="C120" s="52" t="s">
        <v>1122</v>
      </c>
      <c r="D120" s="52" t="s">
        <v>1458</v>
      </c>
      <c r="E120" s="52" t="s">
        <v>1124</v>
      </c>
      <c r="F120" s="52" t="s">
        <v>1125</v>
      </c>
      <c r="G120" s="52">
        <v>3.99</v>
      </c>
      <c r="H120" s="52">
        <v>3.99</v>
      </c>
      <c r="I120" s="52">
        <v>0.12</v>
      </c>
      <c r="J120" s="52">
        <v>3.87</v>
      </c>
      <c r="K120" s="52">
        <v>0</v>
      </c>
      <c r="L120" s="52" t="s">
        <v>45</v>
      </c>
      <c r="M120" s="52"/>
      <c r="N120" s="52"/>
      <c r="O120" s="52" t="s">
        <v>1459</v>
      </c>
      <c r="P120" s="52">
        <v>77734</v>
      </c>
      <c r="Q120" s="52"/>
      <c r="R120" s="52" t="s">
        <v>1149</v>
      </c>
    </row>
    <row r="121" spans="1:18">
      <c r="A121" s="52" t="s">
        <v>1460</v>
      </c>
      <c r="B121" s="52">
        <v>7</v>
      </c>
      <c r="C121" s="52" t="s">
        <v>1122</v>
      </c>
      <c r="D121" s="52" t="s">
        <v>1461</v>
      </c>
      <c r="E121" s="52" t="s">
        <v>1124</v>
      </c>
      <c r="F121" s="52" t="s">
        <v>1125</v>
      </c>
      <c r="G121" s="52">
        <v>20.69</v>
      </c>
      <c r="H121" s="52">
        <v>20.69</v>
      </c>
      <c r="I121" s="52">
        <v>0.6</v>
      </c>
      <c r="J121" s="52">
        <v>20.09</v>
      </c>
      <c r="K121" s="52">
        <v>0</v>
      </c>
      <c r="L121" s="52" t="s">
        <v>45</v>
      </c>
      <c r="M121" s="52"/>
      <c r="N121" s="52"/>
      <c r="O121" s="52" t="s">
        <v>1462</v>
      </c>
      <c r="P121" s="52">
        <v>77938</v>
      </c>
      <c r="Q121" s="52"/>
      <c r="R121" s="52" t="s">
        <v>1127</v>
      </c>
    </row>
    <row r="122" spans="1:18">
      <c r="A122" s="52" t="s">
        <v>1463</v>
      </c>
      <c r="B122" s="52">
        <v>7</v>
      </c>
      <c r="C122" s="52" t="s">
        <v>1122</v>
      </c>
      <c r="D122" s="52" t="s">
        <v>1464</v>
      </c>
      <c r="E122" s="52" t="s">
        <v>1194</v>
      </c>
      <c r="F122" s="52" t="s">
        <v>1125</v>
      </c>
      <c r="G122" s="52">
        <v>-14.08</v>
      </c>
      <c r="H122" s="52">
        <v>-14.08</v>
      </c>
      <c r="I122" s="52">
        <v>0.5</v>
      </c>
      <c r="J122" s="52">
        <v>-14.08</v>
      </c>
      <c r="K122" s="52">
        <v>13.58</v>
      </c>
      <c r="L122" s="52" t="s">
        <v>45</v>
      </c>
      <c r="M122" s="52"/>
      <c r="N122" s="52"/>
      <c r="O122" s="52" t="s">
        <v>1465</v>
      </c>
      <c r="P122" s="52">
        <v>73773</v>
      </c>
      <c r="Q122" s="52" t="s">
        <v>1350</v>
      </c>
      <c r="R122" s="52" t="s">
        <v>1135</v>
      </c>
    </row>
    <row r="123" spans="1:18">
      <c r="A123" s="52" t="s">
        <v>1466</v>
      </c>
      <c r="B123" s="52">
        <v>7</v>
      </c>
      <c r="C123" s="52" t="s">
        <v>1122</v>
      </c>
      <c r="D123" s="52" t="s">
        <v>1467</v>
      </c>
      <c r="E123" s="52" t="s">
        <v>1194</v>
      </c>
      <c r="F123" s="52" t="s">
        <v>1125</v>
      </c>
      <c r="G123" s="52">
        <v>-113.46</v>
      </c>
      <c r="H123" s="52">
        <v>-113.46</v>
      </c>
      <c r="I123" s="52">
        <v>0.5</v>
      </c>
      <c r="J123" s="52">
        <v>-113.46</v>
      </c>
      <c r="K123" s="52">
        <v>112.96</v>
      </c>
      <c r="L123" s="52" t="s">
        <v>45</v>
      </c>
      <c r="M123" s="52"/>
      <c r="N123" s="52"/>
      <c r="O123" s="52" t="s">
        <v>1468</v>
      </c>
      <c r="P123" s="52">
        <v>75826</v>
      </c>
      <c r="Q123" s="52" t="s">
        <v>1415</v>
      </c>
      <c r="R123" s="52" t="s">
        <v>1135</v>
      </c>
    </row>
    <row r="124" spans="1:18">
      <c r="A124" s="52" t="s">
        <v>1469</v>
      </c>
      <c r="B124" s="52">
        <v>7</v>
      </c>
      <c r="C124" s="52" t="s">
        <v>1122</v>
      </c>
      <c r="D124" s="52" t="s">
        <v>1470</v>
      </c>
      <c r="E124" s="52" t="s">
        <v>1124</v>
      </c>
      <c r="F124" s="52" t="s">
        <v>1125</v>
      </c>
      <c r="G124" s="52">
        <v>17.27</v>
      </c>
      <c r="H124" s="52">
        <v>17.27</v>
      </c>
      <c r="I124" s="52">
        <v>0.5</v>
      </c>
      <c r="J124" s="52">
        <v>16.77</v>
      </c>
      <c r="K124" s="52">
        <v>0</v>
      </c>
      <c r="L124" s="52" t="s">
        <v>45</v>
      </c>
      <c r="M124" s="52"/>
      <c r="N124" s="52"/>
      <c r="O124" s="52" t="s">
        <v>1471</v>
      </c>
      <c r="P124" s="52">
        <v>78370</v>
      </c>
      <c r="Q124" s="52"/>
      <c r="R124" s="52" t="s">
        <v>1139</v>
      </c>
    </row>
    <row r="125" spans="1:18">
      <c r="A125" s="177">
        <v>45665.458333333336</v>
      </c>
      <c r="B125" s="34">
        <v>8</v>
      </c>
      <c r="C125" s="34" t="s">
        <v>1122</v>
      </c>
      <c r="D125" s="34" t="s">
        <v>1472</v>
      </c>
      <c r="E125" s="34" t="s">
        <v>1124</v>
      </c>
      <c r="F125" s="34" t="s">
        <v>1125</v>
      </c>
      <c r="G125" s="32">
        <v>54.74</v>
      </c>
      <c r="H125" s="32">
        <v>54.74</v>
      </c>
      <c r="I125" s="32">
        <v>1.59</v>
      </c>
      <c r="J125" s="32">
        <v>53.15</v>
      </c>
      <c r="K125" s="32">
        <v>0</v>
      </c>
      <c r="L125" s="34" t="s">
        <v>45</v>
      </c>
      <c r="M125" s="34"/>
      <c r="N125" s="34"/>
      <c r="O125" s="34" t="s">
        <v>1473</v>
      </c>
      <c r="P125" s="34">
        <v>76546</v>
      </c>
      <c r="Q125" s="34"/>
      <c r="R125" s="34" t="s">
        <v>1149</v>
      </c>
    </row>
    <row r="126" spans="1:18">
      <c r="A126" s="177">
        <v>45724.607638888891</v>
      </c>
      <c r="B126" s="34">
        <v>8</v>
      </c>
      <c r="C126" s="34" t="s">
        <v>1122</v>
      </c>
      <c r="D126" s="34" t="s">
        <v>1474</v>
      </c>
      <c r="E126" s="34" t="s">
        <v>1124</v>
      </c>
      <c r="F126" s="34" t="s">
        <v>1125</v>
      </c>
      <c r="G126" s="32">
        <v>1</v>
      </c>
      <c r="H126" s="32">
        <v>1</v>
      </c>
      <c r="I126" s="32">
        <v>0.03</v>
      </c>
      <c r="J126" s="32">
        <v>0.97</v>
      </c>
      <c r="K126" s="32">
        <v>0</v>
      </c>
      <c r="L126" s="34" t="s">
        <v>45</v>
      </c>
      <c r="M126" s="34"/>
      <c r="N126" s="34"/>
      <c r="O126" s="34" t="s">
        <v>1475</v>
      </c>
      <c r="P126" s="34">
        <v>69356</v>
      </c>
      <c r="Q126" s="34"/>
      <c r="R126" s="34" t="s">
        <v>1149</v>
      </c>
    </row>
    <row r="127" spans="1:18">
      <c r="A127" s="177">
        <v>45724.377083333333</v>
      </c>
      <c r="B127" s="34">
        <v>8</v>
      </c>
      <c r="C127" s="34" t="s">
        <v>1122</v>
      </c>
      <c r="D127" s="34" t="s">
        <v>1476</v>
      </c>
      <c r="E127" s="34" t="s">
        <v>1124</v>
      </c>
      <c r="F127" s="34" t="s">
        <v>1125</v>
      </c>
      <c r="G127" s="32">
        <v>2.0099999999999998</v>
      </c>
      <c r="H127" s="32">
        <v>2.0099999999999998</v>
      </c>
      <c r="I127" s="32">
        <v>0.06</v>
      </c>
      <c r="J127" s="32">
        <v>1.95</v>
      </c>
      <c r="K127" s="32">
        <v>0</v>
      </c>
      <c r="L127" s="34" t="s">
        <v>45</v>
      </c>
      <c r="M127" s="34"/>
      <c r="N127" s="34"/>
      <c r="O127" s="34" t="s">
        <v>1477</v>
      </c>
      <c r="P127" s="34">
        <v>78538</v>
      </c>
      <c r="Q127" s="34"/>
      <c r="R127" s="34" t="s">
        <v>1139</v>
      </c>
    </row>
    <row r="128" spans="1:18">
      <c r="A128" s="177">
        <v>45724.175694444442</v>
      </c>
      <c r="B128" s="34">
        <v>8</v>
      </c>
      <c r="C128" s="34" t="s">
        <v>1122</v>
      </c>
      <c r="D128" s="34" t="s">
        <v>1478</v>
      </c>
      <c r="E128" s="34" t="s">
        <v>1124</v>
      </c>
      <c r="F128" s="34" t="s">
        <v>1125</v>
      </c>
      <c r="G128" s="32">
        <v>15</v>
      </c>
      <c r="H128" s="32">
        <v>15</v>
      </c>
      <c r="I128" s="32">
        <v>0.44</v>
      </c>
      <c r="J128" s="32">
        <v>14.56</v>
      </c>
      <c r="K128" s="32">
        <v>0</v>
      </c>
      <c r="L128" s="34" t="s">
        <v>45</v>
      </c>
      <c r="M128" s="34"/>
      <c r="N128" s="34"/>
      <c r="O128" s="34" t="s">
        <v>1479</v>
      </c>
      <c r="P128" s="34">
        <v>79258</v>
      </c>
      <c r="Q128" s="34"/>
      <c r="R128" s="34" t="s">
        <v>1160</v>
      </c>
    </row>
    <row r="129" spans="1:18">
      <c r="A129" s="177">
        <v>45816.47152777778</v>
      </c>
      <c r="B129" s="34">
        <v>8</v>
      </c>
      <c r="C129" s="34" t="s">
        <v>1122</v>
      </c>
      <c r="D129" s="34" t="s">
        <v>1480</v>
      </c>
      <c r="E129" s="34" t="s">
        <v>1124</v>
      </c>
      <c r="F129" s="34" t="s">
        <v>1125</v>
      </c>
      <c r="G129" s="32">
        <v>56.79</v>
      </c>
      <c r="H129" s="32">
        <v>56.79</v>
      </c>
      <c r="I129" s="32">
        <v>1.65</v>
      </c>
      <c r="J129" s="32">
        <v>55.14</v>
      </c>
      <c r="K129" s="32">
        <v>0</v>
      </c>
      <c r="L129" s="34" t="s">
        <v>45</v>
      </c>
      <c r="M129" s="34"/>
      <c r="N129" s="34"/>
      <c r="O129" s="34" t="s">
        <v>1481</v>
      </c>
      <c r="P129" s="34">
        <v>79030</v>
      </c>
      <c r="Q129" s="34"/>
      <c r="R129" s="34" t="s">
        <v>1135</v>
      </c>
    </row>
    <row r="130" spans="1:18">
      <c r="A130" s="177">
        <v>45877.356249999997</v>
      </c>
      <c r="B130" s="34">
        <v>8</v>
      </c>
      <c r="C130" s="34" t="s">
        <v>1122</v>
      </c>
      <c r="D130" s="34" t="s">
        <v>1482</v>
      </c>
      <c r="E130" s="34" t="s">
        <v>1124</v>
      </c>
      <c r="F130" s="34" t="s">
        <v>1125</v>
      </c>
      <c r="G130" s="32">
        <v>15</v>
      </c>
      <c r="H130" s="32">
        <v>15</v>
      </c>
      <c r="I130" s="32">
        <v>0.44</v>
      </c>
      <c r="J130" s="32">
        <v>14.56</v>
      </c>
      <c r="K130" s="32">
        <v>0</v>
      </c>
      <c r="L130" s="34" t="s">
        <v>45</v>
      </c>
      <c r="M130" s="34"/>
      <c r="N130" s="34"/>
      <c r="O130" s="34" t="s">
        <v>1483</v>
      </c>
      <c r="P130" s="34">
        <v>80074</v>
      </c>
      <c r="Q130" s="34"/>
      <c r="R130" s="34" t="s">
        <v>1160</v>
      </c>
    </row>
    <row r="131" spans="1:18">
      <c r="A131" s="177">
        <v>45969.210416666669</v>
      </c>
      <c r="B131" s="34">
        <v>8</v>
      </c>
      <c r="C131" s="34" t="s">
        <v>1122</v>
      </c>
      <c r="D131" s="34" t="s">
        <v>1484</v>
      </c>
      <c r="E131" s="34" t="s">
        <v>1124</v>
      </c>
      <c r="F131" s="34" t="s">
        <v>1125</v>
      </c>
      <c r="G131" s="32">
        <v>20.7</v>
      </c>
      <c r="H131" s="32">
        <v>20.7</v>
      </c>
      <c r="I131" s="32">
        <v>0.6</v>
      </c>
      <c r="J131" s="32">
        <v>20.100000000000001</v>
      </c>
      <c r="K131" s="32">
        <v>0</v>
      </c>
      <c r="L131" s="34" t="s">
        <v>45</v>
      </c>
      <c r="M131" s="34"/>
      <c r="N131" s="34"/>
      <c r="O131" s="34" t="s">
        <v>1485</v>
      </c>
      <c r="P131" s="34">
        <v>79750</v>
      </c>
      <c r="Q131" s="34"/>
      <c r="R131" s="34" t="s">
        <v>1131</v>
      </c>
    </row>
    <row r="132" spans="1:18">
      <c r="A132" s="32" t="s">
        <v>1486</v>
      </c>
      <c r="B132" s="34">
        <v>8</v>
      </c>
      <c r="C132" s="34" t="s">
        <v>1122</v>
      </c>
      <c r="D132" s="34" t="s">
        <v>1487</v>
      </c>
      <c r="E132" s="34" t="s">
        <v>1124</v>
      </c>
      <c r="F132" s="34" t="s">
        <v>1125</v>
      </c>
      <c r="G132" s="32">
        <v>8.9700000000000006</v>
      </c>
      <c r="H132" s="32">
        <v>8.9700000000000006</v>
      </c>
      <c r="I132" s="32">
        <v>0.26</v>
      </c>
      <c r="J132" s="32">
        <v>8.7100000000000009</v>
      </c>
      <c r="K132" s="32">
        <v>0</v>
      </c>
      <c r="L132" s="34" t="s">
        <v>45</v>
      </c>
      <c r="M132" s="34"/>
      <c r="N132" s="34"/>
      <c r="O132" s="34" t="s">
        <v>1488</v>
      </c>
      <c r="P132" s="34">
        <v>80434</v>
      </c>
      <c r="Q132" s="34"/>
      <c r="R132" s="34" t="s">
        <v>1127</v>
      </c>
    </row>
    <row r="133" spans="1:18">
      <c r="A133" s="32" t="s">
        <v>1489</v>
      </c>
      <c r="B133" s="34">
        <v>8</v>
      </c>
      <c r="C133" s="34" t="s">
        <v>1122</v>
      </c>
      <c r="D133" s="34" t="s">
        <v>1490</v>
      </c>
      <c r="E133" s="34" t="s">
        <v>1124</v>
      </c>
      <c r="F133" s="34" t="s">
        <v>1125</v>
      </c>
      <c r="G133" s="32">
        <v>8.99</v>
      </c>
      <c r="H133" s="32">
        <v>8.99</v>
      </c>
      <c r="I133" s="32">
        <v>0.26</v>
      </c>
      <c r="J133" s="32">
        <v>8.73</v>
      </c>
      <c r="K133" s="32">
        <v>0</v>
      </c>
      <c r="L133" s="34" t="s">
        <v>45</v>
      </c>
      <c r="M133" s="34"/>
      <c r="N133" s="34"/>
      <c r="O133" s="34" t="s">
        <v>1491</v>
      </c>
      <c r="P133" s="34">
        <v>81082</v>
      </c>
      <c r="Q133" s="34"/>
      <c r="R133" s="34" t="s">
        <v>1135</v>
      </c>
    </row>
    <row r="134" spans="1:18">
      <c r="A134" s="32" t="s">
        <v>1492</v>
      </c>
      <c r="B134" s="34">
        <v>8</v>
      </c>
      <c r="C134" s="34" t="s">
        <v>1122</v>
      </c>
      <c r="D134" s="34" t="s">
        <v>1493</v>
      </c>
      <c r="E134" s="34" t="s">
        <v>1124</v>
      </c>
      <c r="F134" s="34" t="s">
        <v>1125</v>
      </c>
      <c r="G134" s="32">
        <v>4.05</v>
      </c>
      <c r="H134" s="32">
        <v>4.05</v>
      </c>
      <c r="I134" s="32">
        <v>0.12</v>
      </c>
      <c r="J134" s="32">
        <v>3.93</v>
      </c>
      <c r="K134" s="32">
        <v>0</v>
      </c>
      <c r="L134" s="34" t="s">
        <v>45</v>
      </c>
      <c r="M134" s="34"/>
      <c r="N134" s="34"/>
      <c r="O134" s="34" t="s">
        <v>1494</v>
      </c>
      <c r="P134" s="34">
        <v>79714</v>
      </c>
      <c r="Q134" s="34"/>
      <c r="R134" s="34" t="s">
        <v>1127</v>
      </c>
    </row>
    <row r="135" spans="1:18">
      <c r="A135" s="32" t="s">
        <v>1495</v>
      </c>
      <c r="B135" s="34">
        <v>8</v>
      </c>
      <c r="C135" s="34" t="s">
        <v>1122</v>
      </c>
      <c r="D135" s="34" t="s">
        <v>1496</v>
      </c>
      <c r="E135" s="34" t="s">
        <v>1124</v>
      </c>
      <c r="F135" s="34" t="s">
        <v>1125</v>
      </c>
      <c r="G135" s="32">
        <v>5.99</v>
      </c>
      <c r="H135" s="32">
        <v>5.99</v>
      </c>
      <c r="I135" s="32">
        <v>0.18</v>
      </c>
      <c r="J135" s="32">
        <v>5.81</v>
      </c>
      <c r="K135" s="32">
        <v>0</v>
      </c>
      <c r="L135" s="34" t="s">
        <v>45</v>
      </c>
      <c r="M135" s="34"/>
      <c r="N135" s="34"/>
      <c r="O135" s="34" t="s">
        <v>1497</v>
      </c>
      <c r="P135" s="34">
        <v>79582</v>
      </c>
      <c r="Q135" s="34"/>
      <c r="R135" s="34" t="s">
        <v>1135</v>
      </c>
    </row>
    <row r="136" spans="1:18">
      <c r="A136" s="32" t="s">
        <v>1498</v>
      </c>
      <c r="B136" s="34">
        <v>8</v>
      </c>
      <c r="C136" s="34" t="s">
        <v>1122</v>
      </c>
      <c r="D136" s="34" t="s">
        <v>1499</v>
      </c>
      <c r="E136" s="34" t="s">
        <v>1124</v>
      </c>
      <c r="F136" s="34" t="s">
        <v>1125</v>
      </c>
      <c r="G136" s="32">
        <v>4.99</v>
      </c>
      <c r="H136" s="32">
        <v>4.99</v>
      </c>
      <c r="I136" s="32">
        <v>0.15</v>
      </c>
      <c r="J136" s="32">
        <v>4.84</v>
      </c>
      <c r="K136" s="32">
        <v>0</v>
      </c>
      <c r="L136" s="34" t="s">
        <v>45</v>
      </c>
      <c r="M136" s="34"/>
      <c r="N136" s="34"/>
      <c r="O136" s="34" t="s">
        <v>1500</v>
      </c>
      <c r="P136" s="34">
        <v>82162</v>
      </c>
      <c r="Q136" s="34"/>
      <c r="R136" s="34" t="s">
        <v>1135</v>
      </c>
    </row>
    <row r="137" spans="1:18">
      <c r="A137" s="32" t="s">
        <v>1501</v>
      </c>
      <c r="B137" s="34">
        <v>8</v>
      </c>
      <c r="C137" s="34" t="s">
        <v>1122</v>
      </c>
      <c r="D137" s="34" t="s">
        <v>1502</v>
      </c>
      <c r="E137" s="34" t="s">
        <v>1124</v>
      </c>
      <c r="F137" s="34" t="s">
        <v>1125</v>
      </c>
      <c r="G137" s="32">
        <v>10.5</v>
      </c>
      <c r="H137" s="32">
        <v>10.5</v>
      </c>
      <c r="I137" s="32">
        <v>0.31</v>
      </c>
      <c r="J137" s="32">
        <v>10.19</v>
      </c>
      <c r="K137" s="32">
        <v>0</v>
      </c>
      <c r="L137" s="34" t="s">
        <v>45</v>
      </c>
      <c r="M137" s="34"/>
      <c r="N137" s="34"/>
      <c r="O137" s="34" t="s">
        <v>1503</v>
      </c>
      <c r="P137" s="34">
        <v>82342</v>
      </c>
      <c r="Q137" s="34"/>
      <c r="R137" s="34" t="s">
        <v>1135</v>
      </c>
    </row>
    <row r="138" spans="1:18">
      <c r="A138" s="32" t="s">
        <v>1504</v>
      </c>
      <c r="B138" s="34">
        <v>8</v>
      </c>
      <c r="C138" s="34" t="s">
        <v>1122</v>
      </c>
      <c r="D138" s="34" t="s">
        <v>1505</v>
      </c>
      <c r="E138" s="34" t="s">
        <v>1124</v>
      </c>
      <c r="F138" s="34" t="s">
        <v>1125</v>
      </c>
      <c r="G138" s="32">
        <v>9</v>
      </c>
      <c r="H138" s="32">
        <v>9</v>
      </c>
      <c r="I138" s="32">
        <v>0.26</v>
      </c>
      <c r="J138" s="32">
        <v>8.74</v>
      </c>
      <c r="K138" s="32">
        <v>0</v>
      </c>
      <c r="L138" s="34" t="s">
        <v>45</v>
      </c>
      <c r="M138" s="34"/>
      <c r="N138" s="34"/>
      <c r="O138" s="34" t="s">
        <v>1506</v>
      </c>
      <c r="P138" s="34">
        <v>82354</v>
      </c>
      <c r="Q138" s="34"/>
      <c r="R138" s="34" t="s">
        <v>1135</v>
      </c>
    </row>
    <row r="139" spans="1:18">
      <c r="A139" s="32" t="s">
        <v>1507</v>
      </c>
      <c r="B139" s="34">
        <v>8</v>
      </c>
      <c r="C139" s="34" t="s">
        <v>1122</v>
      </c>
      <c r="D139" s="34" t="s">
        <v>1508</v>
      </c>
      <c r="E139" s="34" t="s">
        <v>1124</v>
      </c>
      <c r="F139" s="34" t="s">
        <v>1125</v>
      </c>
      <c r="G139" s="32">
        <v>20.69</v>
      </c>
      <c r="H139" s="32">
        <v>20.69</v>
      </c>
      <c r="I139" s="32">
        <v>0.6</v>
      </c>
      <c r="J139" s="32">
        <v>20.09</v>
      </c>
      <c r="K139" s="32">
        <v>0</v>
      </c>
      <c r="L139" s="34" t="s">
        <v>45</v>
      </c>
      <c r="M139" s="34"/>
      <c r="N139" s="34"/>
      <c r="O139" s="34" t="s">
        <v>1509</v>
      </c>
      <c r="P139" s="34">
        <v>82102</v>
      </c>
      <c r="Q139" s="34"/>
      <c r="R139" s="34" t="s">
        <v>1510</v>
      </c>
    </row>
    <row r="140" spans="1:18">
      <c r="A140" s="32" t="s">
        <v>1511</v>
      </c>
      <c r="B140" s="34">
        <v>8</v>
      </c>
      <c r="C140" s="34" t="s">
        <v>1122</v>
      </c>
      <c r="D140" s="34" t="s">
        <v>1512</v>
      </c>
      <c r="E140" s="34" t="s">
        <v>1124</v>
      </c>
      <c r="F140" s="34" t="s">
        <v>1125</v>
      </c>
      <c r="G140" s="32">
        <v>55.23</v>
      </c>
      <c r="H140" s="32">
        <v>55.23</v>
      </c>
      <c r="I140" s="32">
        <v>1.61</v>
      </c>
      <c r="J140" s="32">
        <v>53.62</v>
      </c>
      <c r="K140" s="32">
        <v>0</v>
      </c>
      <c r="L140" s="34" t="s">
        <v>45</v>
      </c>
      <c r="M140" s="34"/>
      <c r="N140" s="34"/>
      <c r="O140" s="34" t="s">
        <v>1513</v>
      </c>
      <c r="P140" s="34">
        <v>81670</v>
      </c>
      <c r="Q140" s="34"/>
      <c r="R140" s="34" t="s">
        <v>1514</v>
      </c>
    </row>
    <row r="141" spans="1:18">
      <c r="A141" s="32" t="s">
        <v>1515</v>
      </c>
      <c r="B141" s="34">
        <v>8</v>
      </c>
      <c r="C141" s="34" t="s">
        <v>1122</v>
      </c>
      <c r="D141" s="34" t="s">
        <v>1516</v>
      </c>
      <c r="E141" s="34" t="s">
        <v>1124</v>
      </c>
      <c r="F141" s="34" t="s">
        <v>1125</v>
      </c>
      <c r="G141" s="32">
        <v>20.71</v>
      </c>
      <c r="H141" s="32">
        <v>20.71</v>
      </c>
      <c r="I141" s="32">
        <v>0.6</v>
      </c>
      <c r="J141" s="32">
        <v>20.11</v>
      </c>
      <c r="K141" s="32">
        <v>0</v>
      </c>
      <c r="L141" s="34" t="s">
        <v>45</v>
      </c>
      <c r="M141" s="34"/>
      <c r="N141" s="34"/>
      <c r="O141" s="34" t="s">
        <v>1517</v>
      </c>
      <c r="P141" s="34">
        <v>80470</v>
      </c>
      <c r="Q141" s="34"/>
      <c r="R141" s="34" t="s">
        <v>1518</v>
      </c>
    </row>
    <row r="142" spans="1:18">
      <c r="A142" s="28" t="s">
        <v>1519</v>
      </c>
      <c r="B142" s="28">
        <v>8</v>
      </c>
      <c r="C142" s="28"/>
      <c r="D142" s="28" t="s">
        <v>1520</v>
      </c>
      <c r="E142" s="28"/>
      <c r="F142" s="28"/>
      <c r="G142" s="28">
        <v>1000</v>
      </c>
      <c r="H142" s="28"/>
      <c r="I142" s="28">
        <v>20</v>
      </c>
      <c r="J142" s="28">
        <v>-980</v>
      </c>
      <c r="K142" s="28"/>
      <c r="L142" s="28" t="s">
        <v>45</v>
      </c>
      <c r="M142" s="28"/>
      <c r="N142" s="28"/>
      <c r="O142" s="28" t="s">
        <v>1326</v>
      </c>
      <c r="P142" s="28"/>
      <c r="Q142" s="28"/>
      <c r="R142" s="28"/>
    </row>
    <row r="143" spans="1:18">
      <c r="A143" s="31">
        <v>45666.53402777778</v>
      </c>
      <c r="B143" s="28">
        <v>9</v>
      </c>
      <c r="C143" s="28" t="s">
        <v>1122</v>
      </c>
      <c r="D143" s="28" t="s">
        <v>1521</v>
      </c>
      <c r="E143" s="28" t="s">
        <v>1124</v>
      </c>
      <c r="F143" s="28" t="s">
        <v>1125</v>
      </c>
      <c r="G143" s="28">
        <v>18.989999999999998</v>
      </c>
      <c r="H143" s="28">
        <v>18.989999999999998</v>
      </c>
      <c r="I143" s="28">
        <v>0.55000000000000004</v>
      </c>
      <c r="J143" s="28">
        <v>18.440000000000001</v>
      </c>
      <c r="K143" s="28">
        <v>0</v>
      </c>
      <c r="L143" s="28" t="s">
        <v>45</v>
      </c>
      <c r="M143" s="28"/>
      <c r="N143" s="28"/>
      <c r="O143" s="28" t="s">
        <v>1522</v>
      </c>
      <c r="P143" s="28">
        <v>83326</v>
      </c>
      <c r="Q143" s="28"/>
      <c r="R143" s="28" t="s">
        <v>1131</v>
      </c>
    </row>
    <row r="144" spans="1:18">
      <c r="A144" s="31">
        <v>45697.63958333333</v>
      </c>
      <c r="B144" s="28">
        <v>9</v>
      </c>
      <c r="C144" s="28" t="s">
        <v>1122</v>
      </c>
      <c r="D144" s="28" t="s">
        <v>1523</v>
      </c>
      <c r="E144" s="28" t="s">
        <v>1124</v>
      </c>
      <c r="F144" s="28" t="s">
        <v>1125</v>
      </c>
      <c r="G144" s="28">
        <v>2.4900000000000002</v>
      </c>
      <c r="H144" s="28">
        <v>2.4900000000000002</v>
      </c>
      <c r="I144" s="28">
        <v>0.08</v>
      </c>
      <c r="J144" s="28">
        <v>2.41</v>
      </c>
      <c r="K144" s="28">
        <v>0</v>
      </c>
      <c r="L144" s="28" t="s">
        <v>45</v>
      </c>
      <c r="M144" s="28"/>
      <c r="N144" s="28"/>
      <c r="O144" s="28" t="s">
        <v>1524</v>
      </c>
      <c r="P144" s="28">
        <v>83482</v>
      </c>
      <c r="Q144" s="28"/>
      <c r="R144" s="28" t="s">
        <v>1135</v>
      </c>
    </row>
    <row r="145" spans="1:18">
      <c r="A145" s="31">
        <v>45697.405555555553</v>
      </c>
      <c r="B145" s="28">
        <v>9</v>
      </c>
      <c r="C145" s="28" t="s">
        <v>1122</v>
      </c>
      <c r="D145" s="28" t="s">
        <v>1525</v>
      </c>
      <c r="E145" s="28" t="s">
        <v>1124</v>
      </c>
      <c r="F145" s="28" t="s">
        <v>1125</v>
      </c>
      <c r="G145" s="28">
        <v>20.18</v>
      </c>
      <c r="H145" s="28">
        <v>20.18</v>
      </c>
      <c r="I145" s="28">
        <v>0.59</v>
      </c>
      <c r="J145" s="28">
        <v>19.59</v>
      </c>
      <c r="K145" s="28">
        <v>0</v>
      </c>
      <c r="L145" s="28" t="s">
        <v>45</v>
      </c>
      <c r="M145" s="28"/>
      <c r="N145" s="28"/>
      <c r="O145" s="28" t="s">
        <v>1526</v>
      </c>
      <c r="P145" s="28">
        <v>83470</v>
      </c>
      <c r="Q145" s="28"/>
      <c r="R145" s="28" t="s">
        <v>1131</v>
      </c>
    </row>
    <row r="146" spans="1:18">
      <c r="A146" s="31">
        <v>45697.381249999999</v>
      </c>
      <c r="B146" s="28">
        <v>9</v>
      </c>
      <c r="C146" s="28" t="s">
        <v>1122</v>
      </c>
      <c r="D146" s="28" t="s">
        <v>1527</v>
      </c>
      <c r="E146" s="28" t="s">
        <v>1124</v>
      </c>
      <c r="F146" s="28" t="s">
        <v>1125</v>
      </c>
      <c r="G146" s="28">
        <v>5.49</v>
      </c>
      <c r="H146" s="28">
        <v>5.49</v>
      </c>
      <c r="I146" s="28">
        <v>0.16</v>
      </c>
      <c r="J146" s="28">
        <v>5.33</v>
      </c>
      <c r="K146" s="28">
        <v>0</v>
      </c>
      <c r="L146" s="28" t="s">
        <v>45</v>
      </c>
      <c r="M146" s="28"/>
      <c r="N146" s="28"/>
      <c r="O146" s="28" t="s">
        <v>1528</v>
      </c>
      <c r="P146" s="28">
        <v>83458</v>
      </c>
      <c r="Q146" s="28"/>
      <c r="R146" s="28" t="s">
        <v>1127</v>
      </c>
    </row>
    <row r="147" spans="1:18">
      <c r="A147" s="31">
        <v>45697.286111111112</v>
      </c>
      <c r="B147" s="28">
        <v>9</v>
      </c>
      <c r="C147" s="28" t="s">
        <v>1122</v>
      </c>
      <c r="D147" s="28" t="s">
        <v>1529</v>
      </c>
      <c r="E147" s="28" t="s">
        <v>1124</v>
      </c>
      <c r="F147" s="28" t="s">
        <v>1125</v>
      </c>
      <c r="G147" s="28">
        <v>12.79</v>
      </c>
      <c r="H147" s="28">
        <v>12.79</v>
      </c>
      <c r="I147" s="28">
        <v>0.37</v>
      </c>
      <c r="J147" s="28">
        <v>12.42</v>
      </c>
      <c r="K147" s="28">
        <v>0</v>
      </c>
      <c r="L147" s="28" t="s">
        <v>45</v>
      </c>
      <c r="M147" s="28"/>
      <c r="N147" s="28"/>
      <c r="O147" s="28" t="s">
        <v>1530</v>
      </c>
      <c r="P147" s="28">
        <v>83446</v>
      </c>
      <c r="Q147" s="28"/>
      <c r="R147" s="28" t="s">
        <v>1531</v>
      </c>
    </row>
    <row r="148" spans="1:18">
      <c r="A148" s="31">
        <v>45725.617361111108</v>
      </c>
      <c r="B148" s="28">
        <v>9</v>
      </c>
      <c r="C148" s="28" t="s">
        <v>1122</v>
      </c>
      <c r="D148" s="28" t="s">
        <v>1532</v>
      </c>
      <c r="E148" s="28" t="s">
        <v>1124</v>
      </c>
      <c r="F148" s="28" t="s">
        <v>1125</v>
      </c>
      <c r="G148" s="28">
        <v>15.37</v>
      </c>
      <c r="H148" s="28">
        <v>15.37</v>
      </c>
      <c r="I148" s="28">
        <v>0.45</v>
      </c>
      <c r="J148" s="28">
        <v>14.92</v>
      </c>
      <c r="K148" s="28">
        <v>0</v>
      </c>
      <c r="L148" s="28" t="s">
        <v>45</v>
      </c>
      <c r="M148" s="28"/>
      <c r="N148" s="28"/>
      <c r="O148" s="28" t="s">
        <v>1533</v>
      </c>
      <c r="P148" s="28">
        <v>82582</v>
      </c>
      <c r="Q148" s="28"/>
      <c r="R148" s="28" t="s">
        <v>1153</v>
      </c>
    </row>
    <row r="149" spans="1:18">
      <c r="A149" s="31">
        <v>45725.435416666667</v>
      </c>
      <c r="B149" s="28">
        <v>9</v>
      </c>
      <c r="C149" s="28" t="s">
        <v>1122</v>
      </c>
      <c r="D149" s="28" t="s">
        <v>1534</v>
      </c>
      <c r="E149" s="28" t="s">
        <v>1124</v>
      </c>
      <c r="F149" s="28" t="s">
        <v>1125</v>
      </c>
      <c r="G149" s="28">
        <v>2.4900000000000002</v>
      </c>
      <c r="H149" s="28">
        <v>2.4900000000000002</v>
      </c>
      <c r="I149" s="28">
        <v>0.08</v>
      </c>
      <c r="J149" s="28">
        <v>2.41</v>
      </c>
      <c r="K149" s="28">
        <v>0</v>
      </c>
      <c r="L149" s="28" t="s">
        <v>45</v>
      </c>
      <c r="M149" s="28"/>
      <c r="N149" s="28"/>
      <c r="O149" s="28" t="s">
        <v>1535</v>
      </c>
      <c r="P149" s="28">
        <v>83626</v>
      </c>
      <c r="Q149" s="28"/>
      <c r="R149" s="28" t="s">
        <v>1135</v>
      </c>
    </row>
    <row r="150" spans="1:18">
      <c r="A150" s="31">
        <v>45725.390277777777</v>
      </c>
      <c r="B150" s="28">
        <v>9</v>
      </c>
      <c r="C150" s="28" t="s">
        <v>1122</v>
      </c>
      <c r="D150" s="28" t="s">
        <v>1536</v>
      </c>
      <c r="E150" s="28" t="s">
        <v>1124</v>
      </c>
      <c r="F150" s="28" t="s">
        <v>1125</v>
      </c>
      <c r="G150" s="28">
        <v>3.99</v>
      </c>
      <c r="H150" s="28">
        <v>3.99</v>
      </c>
      <c r="I150" s="28">
        <v>0.12</v>
      </c>
      <c r="J150" s="28">
        <v>3.87</v>
      </c>
      <c r="K150" s="28">
        <v>0</v>
      </c>
      <c r="L150" s="28" t="s">
        <v>45</v>
      </c>
      <c r="M150" s="28"/>
      <c r="N150" s="28"/>
      <c r="O150" s="28" t="s">
        <v>1537</v>
      </c>
      <c r="P150" s="28">
        <v>83614</v>
      </c>
      <c r="Q150" s="28"/>
      <c r="R150" s="28" t="s">
        <v>1131</v>
      </c>
    </row>
    <row r="151" spans="1:18">
      <c r="A151" s="31">
        <v>45725.3</v>
      </c>
      <c r="B151" s="28">
        <v>9</v>
      </c>
      <c r="C151" s="28" t="s">
        <v>1122</v>
      </c>
      <c r="D151" s="28" t="s">
        <v>1538</v>
      </c>
      <c r="E151" s="28" t="s">
        <v>1124</v>
      </c>
      <c r="F151" s="28" t="s">
        <v>1125</v>
      </c>
      <c r="G151" s="28">
        <v>3.99</v>
      </c>
      <c r="H151" s="28">
        <v>3.99</v>
      </c>
      <c r="I151" s="28">
        <v>0.12</v>
      </c>
      <c r="J151" s="28">
        <v>3.87</v>
      </c>
      <c r="K151" s="28">
        <v>0</v>
      </c>
      <c r="L151" s="28" t="s">
        <v>45</v>
      </c>
      <c r="M151" s="28"/>
      <c r="N151" s="28"/>
      <c r="O151" s="28" t="s">
        <v>1539</v>
      </c>
      <c r="P151" s="28">
        <v>83602</v>
      </c>
      <c r="Q151" s="28"/>
      <c r="R151" s="28" t="s">
        <v>1131</v>
      </c>
    </row>
    <row r="152" spans="1:18">
      <c r="A152" s="31">
        <v>45756.636805555558</v>
      </c>
      <c r="B152" s="28">
        <v>9</v>
      </c>
      <c r="C152" s="28" t="s">
        <v>1122</v>
      </c>
      <c r="D152" s="28" t="s">
        <v>1540</v>
      </c>
      <c r="E152" s="28" t="s">
        <v>1124</v>
      </c>
      <c r="F152" s="28" t="s">
        <v>1125</v>
      </c>
      <c r="G152" s="28">
        <v>15.29</v>
      </c>
      <c r="H152" s="28">
        <v>15.29</v>
      </c>
      <c r="I152" s="28">
        <v>0.45</v>
      </c>
      <c r="J152" s="28">
        <v>14.84</v>
      </c>
      <c r="K152" s="28">
        <v>0</v>
      </c>
      <c r="L152" s="28" t="s">
        <v>45</v>
      </c>
      <c r="M152" s="28"/>
      <c r="N152" s="28"/>
      <c r="O152" s="28" t="s">
        <v>1541</v>
      </c>
      <c r="P152" s="28">
        <v>83782</v>
      </c>
      <c r="Q152" s="28"/>
      <c r="R152" s="28" t="s">
        <v>1149</v>
      </c>
    </row>
    <row r="153" spans="1:18">
      <c r="A153" s="31">
        <v>45756.62222222222</v>
      </c>
      <c r="B153" s="28">
        <v>9</v>
      </c>
      <c r="C153" s="28" t="s">
        <v>1122</v>
      </c>
      <c r="D153" s="28" t="s">
        <v>1542</v>
      </c>
      <c r="E153" s="28" t="s">
        <v>1124</v>
      </c>
      <c r="F153" s="28" t="s">
        <v>1125</v>
      </c>
      <c r="G153" s="28">
        <v>2.4900000000000002</v>
      </c>
      <c r="H153" s="28">
        <v>2.4900000000000002</v>
      </c>
      <c r="I153" s="28">
        <v>0.08</v>
      </c>
      <c r="J153" s="28">
        <v>2.41</v>
      </c>
      <c r="K153" s="28">
        <v>0</v>
      </c>
      <c r="L153" s="28" t="s">
        <v>45</v>
      </c>
      <c r="M153" s="28"/>
      <c r="N153" s="28"/>
      <c r="O153" s="28" t="s">
        <v>1543</v>
      </c>
      <c r="P153" s="28">
        <v>83770</v>
      </c>
      <c r="Q153" s="28"/>
      <c r="R153" s="28" t="s">
        <v>1131</v>
      </c>
    </row>
    <row r="154" spans="1:18">
      <c r="A154" s="31">
        <v>45756.060416666667</v>
      </c>
      <c r="B154" s="28">
        <v>9</v>
      </c>
      <c r="C154" s="28" t="s">
        <v>1122</v>
      </c>
      <c r="D154" s="28" t="s">
        <v>1544</v>
      </c>
      <c r="E154" s="28" t="s">
        <v>1124</v>
      </c>
      <c r="F154" s="28" t="s">
        <v>1125</v>
      </c>
      <c r="G154" s="28">
        <v>12.99</v>
      </c>
      <c r="H154" s="28">
        <v>12.99</v>
      </c>
      <c r="I154" s="28">
        <v>0.38</v>
      </c>
      <c r="J154" s="28">
        <v>12.61</v>
      </c>
      <c r="K154" s="28">
        <v>0</v>
      </c>
      <c r="L154" s="28" t="s">
        <v>45</v>
      </c>
      <c r="M154" s="28"/>
      <c r="N154" s="28"/>
      <c r="O154" s="28" t="s">
        <v>1545</v>
      </c>
      <c r="P154" s="28">
        <v>83758</v>
      </c>
      <c r="Q154" s="28"/>
      <c r="R154" s="28" t="s">
        <v>1277</v>
      </c>
    </row>
    <row r="155" spans="1:18">
      <c r="A155" s="31">
        <v>45786.308333333334</v>
      </c>
      <c r="B155" s="28">
        <v>9</v>
      </c>
      <c r="C155" s="28" t="s">
        <v>1122</v>
      </c>
      <c r="D155" s="28" t="s">
        <v>1546</v>
      </c>
      <c r="E155" s="28" t="s">
        <v>1124</v>
      </c>
      <c r="F155" s="28" t="s">
        <v>1125</v>
      </c>
      <c r="G155" s="28">
        <v>20.69</v>
      </c>
      <c r="H155" s="28">
        <v>20.69</v>
      </c>
      <c r="I155" s="28">
        <v>0.6</v>
      </c>
      <c r="J155" s="28">
        <v>20.09</v>
      </c>
      <c r="K155" s="28">
        <v>0</v>
      </c>
      <c r="L155" s="28" t="s">
        <v>45</v>
      </c>
      <c r="M155" s="28"/>
      <c r="N155" s="28"/>
      <c r="O155" s="28" t="s">
        <v>1547</v>
      </c>
      <c r="P155" s="28">
        <v>83866</v>
      </c>
      <c r="Q155" s="28"/>
      <c r="R155" s="28" t="s">
        <v>1188</v>
      </c>
    </row>
    <row r="156" spans="1:18">
      <c r="A156" s="31">
        <v>45817.197222222225</v>
      </c>
      <c r="B156" s="28">
        <v>9</v>
      </c>
      <c r="C156" s="28" t="s">
        <v>1122</v>
      </c>
      <c r="D156" s="28" t="s">
        <v>1548</v>
      </c>
      <c r="E156" s="28" t="s">
        <v>1124</v>
      </c>
      <c r="F156" s="28" t="s">
        <v>1125</v>
      </c>
      <c r="G156" s="28">
        <v>11.69</v>
      </c>
      <c r="H156" s="28">
        <v>11.69</v>
      </c>
      <c r="I156" s="28">
        <v>0.34</v>
      </c>
      <c r="J156" s="28">
        <v>11.35</v>
      </c>
      <c r="K156" s="28">
        <v>0</v>
      </c>
      <c r="L156" s="28" t="s">
        <v>45</v>
      </c>
      <c r="M156" s="28"/>
      <c r="N156" s="28"/>
      <c r="O156" s="28" t="s">
        <v>1549</v>
      </c>
      <c r="P156" s="28">
        <v>84070</v>
      </c>
      <c r="Q156" s="28"/>
      <c r="R156" s="28" t="s">
        <v>1131</v>
      </c>
    </row>
    <row r="157" spans="1:18">
      <c r="A157" s="31">
        <v>45817.083333333336</v>
      </c>
      <c r="B157" s="28">
        <v>9</v>
      </c>
      <c r="C157" s="28" t="s">
        <v>1122</v>
      </c>
      <c r="D157" s="28" t="s">
        <v>1550</v>
      </c>
      <c r="E157" s="28" t="s">
        <v>1124</v>
      </c>
      <c r="F157" s="28" t="s">
        <v>1125</v>
      </c>
      <c r="G157" s="28">
        <v>8.7899999999999991</v>
      </c>
      <c r="H157" s="28">
        <v>8.7899999999999991</v>
      </c>
      <c r="I157" s="28">
        <v>0.26</v>
      </c>
      <c r="J157" s="28">
        <v>8.5299999999999994</v>
      </c>
      <c r="K157" s="28">
        <v>0</v>
      </c>
      <c r="L157" s="28" t="s">
        <v>45</v>
      </c>
      <c r="M157" s="28"/>
      <c r="N157" s="28"/>
      <c r="O157" s="28" t="s">
        <v>1551</v>
      </c>
      <c r="P157" s="28">
        <v>84058</v>
      </c>
      <c r="Q157" s="28"/>
      <c r="R157" s="28" t="s">
        <v>1131</v>
      </c>
    </row>
    <row r="158" spans="1:18">
      <c r="A158" s="31">
        <v>45847.984722222223</v>
      </c>
      <c r="B158" s="28">
        <v>9</v>
      </c>
      <c r="C158" s="28" t="s">
        <v>1122</v>
      </c>
      <c r="D158" s="28" t="s">
        <v>1552</v>
      </c>
      <c r="E158" s="28" t="s">
        <v>1124</v>
      </c>
      <c r="F158" s="28" t="s">
        <v>1125</v>
      </c>
      <c r="G158" s="28">
        <v>2.4900000000000002</v>
      </c>
      <c r="H158" s="28">
        <v>2.4900000000000002</v>
      </c>
      <c r="I158" s="28">
        <v>0.08</v>
      </c>
      <c r="J158" s="28">
        <v>2.41</v>
      </c>
      <c r="K158" s="28">
        <v>0</v>
      </c>
      <c r="L158" s="28" t="s">
        <v>45</v>
      </c>
      <c r="M158" s="28"/>
      <c r="N158" s="28"/>
      <c r="O158" s="28" t="s">
        <v>1553</v>
      </c>
      <c r="P158" s="28">
        <v>84154</v>
      </c>
      <c r="Q158" s="28"/>
      <c r="R158" s="28" t="s">
        <v>1149</v>
      </c>
    </row>
    <row r="159" spans="1:18">
      <c r="A159" s="31">
        <v>45878.355555555558</v>
      </c>
      <c r="B159" s="28">
        <v>9</v>
      </c>
      <c r="C159" s="28" t="s">
        <v>1122</v>
      </c>
      <c r="D159" s="28" t="s">
        <v>1554</v>
      </c>
      <c r="E159" s="28" t="s">
        <v>1124</v>
      </c>
      <c r="F159" s="28" t="s">
        <v>1125</v>
      </c>
      <c r="G159" s="28">
        <v>3.59</v>
      </c>
      <c r="H159" s="28">
        <v>3.59</v>
      </c>
      <c r="I159" s="28">
        <v>0.11</v>
      </c>
      <c r="J159" s="28">
        <v>3.48</v>
      </c>
      <c r="K159" s="28">
        <v>0</v>
      </c>
      <c r="L159" s="28" t="s">
        <v>45</v>
      </c>
      <c r="M159" s="28"/>
      <c r="N159" s="28"/>
      <c r="O159" s="28" t="s">
        <v>1555</v>
      </c>
      <c r="P159" s="28">
        <v>84238</v>
      </c>
      <c r="Q159" s="28"/>
      <c r="R159" s="28" t="s">
        <v>1131</v>
      </c>
    </row>
    <row r="160" spans="1:18">
      <c r="A160" s="31">
        <v>45909.743750000001</v>
      </c>
      <c r="B160" s="28">
        <v>9</v>
      </c>
      <c r="C160" s="28" t="s">
        <v>1122</v>
      </c>
      <c r="D160" s="28" t="s">
        <v>1556</v>
      </c>
      <c r="E160" s="28" t="s">
        <v>1124</v>
      </c>
      <c r="F160" s="28" t="s">
        <v>1125</v>
      </c>
      <c r="G160" s="28">
        <v>26</v>
      </c>
      <c r="H160" s="28">
        <v>26</v>
      </c>
      <c r="I160" s="28">
        <v>0.76</v>
      </c>
      <c r="J160" s="28">
        <v>25.24</v>
      </c>
      <c r="K160" s="28">
        <v>0</v>
      </c>
      <c r="L160" s="28" t="s">
        <v>45</v>
      </c>
      <c r="M160" s="28"/>
      <c r="N160" s="28"/>
      <c r="O160" s="28" t="s">
        <v>1557</v>
      </c>
      <c r="P160" s="28">
        <v>84454</v>
      </c>
      <c r="Q160" s="28"/>
      <c r="R160" s="28" t="s">
        <v>1127</v>
      </c>
    </row>
    <row r="161" spans="1:18">
      <c r="A161" s="31">
        <v>45909.729166666664</v>
      </c>
      <c r="B161" s="28">
        <v>9</v>
      </c>
      <c r="C161" s="28" t="s">
        <v>1122</v>
      </c>
      <c r="D161" s="28" t="s">
        <v>1558</v>
      </c>
      <c r="E161" s="28" t="s">
        <v>1124</v>
      </c>
      <c r="F161" s="28" t="s">
        <v>1125</v>
      </c>
      <c r="G161" s="28">
        <v>9.99</v>
      </c>
      <c r="H161" s="28">
        <v>9.99</v>
      </c>
      <c r="I161" s="28">
        <v>0.28999999999999998</v>
      </c>
      <c r="J161" s="28">
        <v>9.6999999999999993</v>
      </c>
      <c r="K161" s="28">
        <v>0</v>
      </c>
      <c r="L161" s="28" t="s">
        <v>45</v>
      </c>
      <c r="M161" s="28"/>
      <c r="N161" s="28"/>
      <c r="O161" s="28" t="s">
        <v>1559</v>
      </c>
      <c r="P161" s="28">
        <v>84442</v>
      </c>
      <c r="Q161" s="28"/>
      <c r="R161" s="28" t="s">
        <v>1127</v>
      </c>
    </row>
    <row r="162" spans="1:18">
      <c r="A162" s="31">
        <v>45909.487500000003</v>
      </c>
      <c r="B162" s="28">
        <v>9</v>
      </c>
      <c r="C162" s="28" t="s">
        <v>1122</v>
      </c>
      <c r="D162" s="28" t="s">
        <v>1560</v>
      </c>
      <c r="E162" s="28" t="s">
        <v>1124</v>
      </c>
      <c r="F162" s="28" t="s">
        <v>1125</v>
      </c>
      <c r="G162" s="28">
        <v>11.69</v>
      </c>
      <c r="H162" s="28">
        <v>11.69</v>
      </c>
      <c r="I162" s="28">
        <v>0.34</v>
      </c>
      <c r="J162" s="28">
        <v>11.35</v>
      </c>
      <c r="K162" s="28">
        <v>0</v>
      </c>
      <c r="L162" s="28" t="s">
        <v>45</v>
      </c>
      <c r="M162" s="28"/>
      <c r="N162" s="28"/>
      <c r="O162" s="28" t="s">
        <v>1561</v>
      </c>
      <c r="P162" s="28">
        <v>84430</v>
      </c>
      <c r="Q162" s="28"/>
      <c r="R162" s="28" t="s">
        <v>1562</v>
      </c>
    </row>
    <row r="163" spans="1:18">
      <c r="A163" s="31">
        <v>45909.143055555556</v>
      </c>
      <c r="B163" s="28">
        <v>9</v>
      </c>
      <c r="C163" s="28" t="s">
        <v>1122</v>
      </c>
      <c r="D163" s="28" t="s">
        <v>1563</v>
      </c>
      <c r="E163" s="28" t="s">
        <v>1124</v>
      </c>
      <c r="F163" s="28" t="s">
        <v>1125</v>
      </c>
      <c r="G163" s="28">
        <v>2.4900000000000002</v>
      </c>
      <c r="H163" s="28">
        <v>2.4900000000000002</v>
      </c>
      <c r="I163" s="28">
        <v>0.08</v>
      </c>
      <c r="J163" s="28">
        <v>2.41</v>
      </c>
      <c r="K163" s="28">
        <v>0</v>
      </c>
      <c r="L163" s="28" t="s">
        <v>45</v>
      </c>
      <c r="M163" s="28"/>
      <c r="N163" s="28"/>
      <c r="O163" s="28" t="s">
        <v>1564</v>
      </c>
      <c r="P163" s="28">
        <v>84370</v>
      </c>
      <c r="Q163" s="28"/>
      <c r="R163" s="28" t="s">
        <v>1149</v>
      </c>
    </row>
    <row r="164" spans="1:18">
      <c r="A164" s="31">
        <v>45909.109722222223</v>
      </c>
      <c r="B164" s="28">
        <v>9</v>
      </c>
      <c r="C164" s="28" t="s">
        <v>1122</v>
      </c>
      <c r="D164" s="28" t="s">
        <v>1565</v>
      </c>
      <c r="E164" s="28" t="s">
        <v>1124</v>
      </c>
      <c r="F164" s="28" t="s">
        <v>1125</v>
      </c>
      <c r="G164" s="28">
        <v>1.99</v>
      </c>
      <c r="H164" s="28">
        <v>1.99</v>
      </c>
      <c r="I164" s="28">
        <v>0.06</v>
      </c>
      <c r="J164" s="28">
        <v>1.93</v>
      </c>
      <c r="K164" s="28">
        <v>0</v>
      </c>
      <c r="L164" s="28" t="s">
        <v>45</v>
      </c>
      <c r="M164" s="28"/>
      <c r="N164" s="28"/>
      <c r="O164" s="28" t="s">
        <v>1566</v>
      </c>
      <c r="P164" s="28">
        <v>84358</v>
      </c>
      <c r="Q164" s="28"/>
      <c r="R164" s="28" t="s">
        <v>1149</v>
      </c>
    </row>
    <row r="165" spans="1:18">
      <c r="A165" s="31">
        <v>45939.04791666667</v>
      </c>
      <c r="B165" s="28">
        <v>9</v>
      </c>
      <c r="C165" s="28" t="s">
        <v>1122</v>
      </c>
      <c r="D165" s="28" t="s">
        <v>1567</v>
      </c>
      <c r="E165" s="28" t="s">
        <v>1124</v>
      </c>
      <c r="F165" s="28" t="s">
        <v>1125</v>
      </c>
      <c r="G165" s="28">
        <v>60.99</v>
      </c>
      <c r="H165" s="28">
        <v>60.99</v>
      </c>
      <c r="I165" s="28">
        <v>1.77</v>
      </c>
      <c r="J165" s="28">
        <v>59.22</v>
      </c>
      <c r="K165" s="28">
        <v>0</v>
      </c>
      <c r="L165" s="28" t="s">
        <v>45</v>
      </c>
      <c r="M165" s="28"/>
      <c r="N165" s="28"/>
      <c r="O165" s="28" t="s">
        <v>1568</v>
      </c>
      <c r="P165" s="28">
        <v>82774</v>
      </c>
      <c r="Q165" s="28"/>
      <c r="R165" s="28" t="s">
        <v>1531</v>
      </c>
    </row>
    <row r="166" spans="1:18">
      <c r="A166" s="31">
        <v>46000.629166666666</v>
      </c>
      <c r="B166" s="28">
        <v>9</v>
      </c>
      <c r="C166" s="28" t="s">
        <v>1122</v>
      </c>
      <c r="D166" s="28" t="s">
        <v>1569</v>
      </c>
      <c r="E166" s="28" t="s">
        <v>1124</v>
      </c>
      <c r="F166" s="28" t="s">
        <v>1125</v>
      </c>
      <c r="G166" s="28">
        <v>2.99</v>
      </c>
      <c r="H166" s="28">
        <v>2.99</v>
      </c>
      <c r="I166" s="28">
        <v>0.09</v>
      </c>
      <c r="J166" s="28">
        <v>2.9</v>
      </c>
      <c r="K166" s="28">
        <v>0</v>
      </c>
      <c r="L166" s="28" t="s">
        <v>45</v>
      </c>
      <c r="M166" s="28"/>
      <c r="N166" s="28"/>
      <c r="O166" s="28" t="s">
        <v>1570</v>
      </c>
      <c r="P166" s="28">
        <v>84730</v>
      </c>
      <c r="Q166" s="28"/>
      <c r="R166" s="28" t="s">
        <v>1149</v>
      </c>
    </row>
    <row r="167" spans="1:18">
      <c r="A167" s="31">
        <v>46000.057638888888</v>
      </c>
      <c r="B167" s="28">
        <v>9</v>
      </c>
      <c r="C167" s="28" t="s">
        <v>1122</v>
      </c>
      <c r="D167" s="28" t="s">
        <v>1571</v>
      </c>
      <c r="E167" s="28" t="s">
        <v>1124</v>
      </c>
      <c r="F167" s="28" t="s">
        <v>1125</v>
      </c>
      <c r="G167" s="28">
        <v>3.99</v>
      </c>
      <c r="H167" s="28">
        <v>3.99</v>
      </c>
      <c r="I167" s="28">
        <v>0.12</v>
      </c>
      <c r="J167" s="28">
        <v>3.87</v>
      </c>
      <c r="K167" s="28">
        <v>0</v>
      </c>
      <c r="L167" s="28" t="s">
        <v>45</v>
      </c>
      <c r="M167" s="28"/>
      <c r="N167" s="28"/>
      <c r="O167" s="28" t="s">
        <v>1572</v>
      </c>
      <c r="P167" s="28">
        <v>84718</v>
      </c>
      <c r="Q167" s="28"/>
      <c r="R167" s="28" t="s">
        <v>1131</v>
      </c>
    </row>
    <row r="168" spans="1:18">
      <c r="A168" s="28" t="s">
        <v>1573</v>
      </c>
      <c r="B168" s="28">
        <v>9</v>
      </c>
      <c r="C168" s="28" t="s">
        <v>1122</v>
      </c>
      <c r="D168" s="28" t="s">
        <v>1574</v>
      </c>
      <c r="E168" s="28" t="s">
        <v>1124</v>
      </c>
      <c r="F168" s="28" t="s">
        <v>1125</v>
      </c>
      <c r="G168" s="28">
        <v>5.49</v>
      </c>
      <c r="H168" s="28">
        <v>5.49</v>
      </c>
      <c r="I168" s="28">
        <v>0.16</v>
      </c>
      <c r="J168" s="28">
        <v>5.33</v>
      </c>
      <c r="K168" s="28">
        <v>4.99</v>
      </c>
      <c r="L168" s="28" t="s">
        <v>45</v>
      </c>
      <c r="M168" s="28"/>
      <c r="N168" s="28"/>
      <c r="O168" s="28" t="s">
        <v>1575</v>
      </c>
      <c r="P168" s="28">
        <v>84814</v>
      </c>
      <c r="Q168" s="28"/>
      <c r="R168" s="28" t="s">
        <v>1131</v>
      </c>
    </row>
    <row r="169" spans="1:18">
      <c r="A169" s="28" t="s">
        <v>1576</v>
      </c>
      <c r="B169" s="28">
        <v>9</v>
      </c>
      <c r="C169" s="28" t="s">
        <v>1122</v>
      </c>
      <c r="D169" s="28" t="s">
        <v>1577</v>
      </c>
      <c r="E169" s="28" t="s">
        <v>1124</v>
      </c>
      <c r="F169" s="28" t="s">
        <v>1125</v>
      </c>
      <c r="G169" s="28">
        <v>15.99</v>
      </c>
      <c r="H169" s="28">
        <v>15.99</v>
      </c>
      <c r="I169" s="28">
        <v>0.47</v>
      </c>
      <c r="J169" s="28">
        <v>15.52</v>
      </c>
      <c r="K169" s="28">
        <v>0</v>
      </c>
      <c r="L169" s="28" t="s">
        <v>45</v>
      </c>
      <c r="M169" s="28"/>
      <c r="N169" s="28"/>
      <c r="O169" s="28" t="s">
        <v>1578</v>
      </c>
      <c r="P169" s="28">
        <v>84970</v>
      </c>
      <c r="Q169" s="28"/>
      <c r="R169" s="28" t="s">
        <v>1131</v>
      </c>
    </row>
    <row r="170" spans="1:18">
      <c r="A170" s="28" t="s">
        <v>1579</v>
      </c>
      <c r="B170" s="28">
        <v>9</v>
      </c>
      <c r="C170" s="28" t="s">
        <v>1122</v>
      </c>
      <c r="D170" s="28" t="s">
        <v>1580</v>
      </c>
      <c r="E170" s="28" t="s">
        <v>1124</v>
      </c>
      <c r="F170" s="28" t="s">
        <v>1125</v>
      </c>
      <c r="G170" s="28">
        <v>70.989999999999995</v>
      </c>
      <c r="H170" s="28">
        <v>70.989999999999995</v>
      </c>
      <c r="I170" s="28">
        <v>2.06</v>
      </c>
      <c r="J170" s="28">
        <v>68.930000000000007</v>
      </c>
      <c r="K170" s="28">
        <v>0</v>
      </c>
      <c r="L170" s="28" t="s">
        <v>45</v>
      </c>
      <c r="M170" s="28"/>
      <c r="N170" s="28"/>
      <c r="O170" s="28" t="s">
        <v>1581</v>
      </c>
      <c r="P170" s="28">
        <v>82906</v>
      </c>
      <c r="Q170" s="28"/>
      <c r="R170" s="28" t="s">
        <v>1135</v>
      </c>
    </row>
    <row r="171" spans="1:18">
      <c r="A171" s="28" t="s">
        <v>1582</v>
      </c>
      <c r="B171" s="28">
        <v>9</v>
      </c>
      <c r="C171" s="28" t="s">
        <v>1122</v>
      </c>
      <c r="D171" s="28" t="s">
        <v>1583</v>
      </c>
      <c r="E171" s="28" t="s">
        <v>1124</v>
      </c>
      <c r="F171" s="28" t="s">
        <v>1125</v>
      </c>
      <c r="G171" s="28">
        <v>11.69</v>
      </c>
      <c r="H171" s="28">
        <v>11.69</v>
      </c>
      <c r="I171" s="28">
        <v>0.34</v>
      </c>
      <c r="J171" s="28">
        <v>11.35</v>
      </c>
      <c r="K171" s="28">
        <v>0</v>
      </c>
      <c r="L171" s="28" t="s">
        <v>45</v>
      </c>
      <c r="M171" s="28"/>
      <c r="N171" s="28"/>
      <c r="O171" s="28" t="s">
        <v>1584</v>
      </c>
      <c r="P171" s="28">
        <v>85018</v>
      </c>
      <c r="Q171" s="28"/>
      <c r="R171" s="28" t="s">
        <v>1135</v>
      </c>
    </row>
    <row r="172" spans="1:18">
      <c r="A172" s="28" t="s">
        <v>1585</v>
      </c>
      <c r="B172" s="28">
        <v>9</v>
      </c>
      <c r="C172" s="28" t="s">
        <v>1122</v>
      </c>
      <c r="D172" s="28" t="s">
        <v>1586</v>
      </c>
      <c r="E172" s="28" t="s">
        <v>1124</v>
      </c>
      <c r="F172" s="28" t="s">
        <v>1125</v>
      </c>
      <c r="G172" s="28">
        <v>15.42</v>
      </c>
      <c r="H172" s="28">
        <v>15.42</v>
      </c>
      <c r="I172" s="28">
        <v>0.45</v>
      </c>
      <c r="J172" s="28">
        <v>14.97</v>
      </c>
      <c r="K172" s="28">
        <v>0</v>
      </c>
      <c r="L172" s="28" t="s">
        <v>45</v>
      </c>
      <c r="M172" s="28"/>
      <c r="N172" s="28"/>
      <c r="O172" s="28" t="s">
        <v>1587</v>
      </c>
      <c r="P172" s="28">
        <v>85126</v>
      </c>
      <c r="Q172" s="28"/>
      <c r="R172" s="28" t="s">
        <v>1153</v>
      </c>
    </row>
    <row r="173" spans="1:18">
      <c r="A173" s="28" t="s">
        <v>1588</v>
      </c>
      <c r="B173" s="28">
        <v>9</v>
      </c>
      <c r="C173" s="28" t="s">
        <v>1122</v>
      </c>
      <c r="D173" s="28" t="s">
        <v>1589</v>
      </c>
      <c r="E173" s="28" t="s">
        <v>1124</v>
      </c>
      <c r="F173" s="28" t="s">
        <v>1125</v>
      </c>
      <c r="G173" s="28">
        <v>3.99</v>
      </c>
      <c r="H173" s="28">
        <v>3.99</v>
      </c>
      <c r="I173" s="28">
        <v>0.12</v>
      </c>
      <c r="J173" s="28">
        <v>3.87</v>
      </c>
      <c r="K173" s="28">
        <v>0</v>
      </c>
      <c r="L173" s="28" t="s">
        <v>45</v>
      </c>
      <c r="M173" s="28"/>
      <c r="N173" s="28"/>
      <c r="O173" s="28" t="s">
        <v>1590</v>
      </c>
      <c r="P173" s="28">
        <v>85114</v>
      </c>
      <c r="Q173" s="28"/>
      <c r="R173" s="28" t="s">
        <v>1131</v>
      </c>
    </row>
    <row r="174" spans="1:18">
      <c r="A174" s="28" t="s">
        <v>1591</v>
      </c>
      <c r="B174" s="28">
        <v>9</v>
      </c>
      <c r="C174" s="28" t="s">
        <v>1122</v>
      </c>
      <c r="D174" s="28" t="s">
        <v>1592</v>
      </c>
      <c r="E174" s="28" t="s">
        <v>1124</v>
      </c>
      <c r="F174" s="28" t="s">
        <v>1125</v>
      </c>
      <c r="G174" s="28">
        <v>5.19</v>
      </c>
      <c r="H174" s="28">
        <v>5.19</v>
      </c>
      <c r="I174" s="28">
        <v>0.15</v>
      </c>
      <c r="J174" s="28">
        <v>5.04</v>
      </c>
      <c r="K174" s="28">
        <v>0</v>
      </c>
      <c r="L174" s="28" t="s">
        <v>45</v>
      </c>
      <c r="M174" s="28"/>
      <c r="N174" s="28"/>
      <c r="O174" s="28" t="s">
        <v>1593</v>
      </c>
      <c r="P174" s="28">
        <v>85102</v>
      </c>
      <c r="Q174" s="28"/>
      <c r="R174" s="28" t="s">
        <v>1518</v>
      </c>
    </row>
    <row r="175" spans="1:18">
      <c r="A175" s="28" t="s">
        <v>1594</v>
      </c>
      <c r="B175" s="28">
        <v>9</v>
      </c>
      <c r="C175" s="28" t="s">
        <v>1122</v>
      </c>
      <c r="D175" s="28" t="s">
        <v>1595</v>
      </c>
      <c r="E175" s="28" t="s">
        <v>1124</v>
      </c>
      <c r="F175" s="28" t="s">
        <v>1125</v>
      </c>
      <c r="G175" s="28">
        <v>56.79</v>
      </c>
      <c r="H175" s="28">
        <v>56.79</v>
      </c>
      <c r="I175" s="28">
        <v>1.65</v>
      </c>
      <c r="J175" s="28">
        <v>55.14</v>
      </c>
      <c r="K175" s="28">
        <v>0</v>
      </c>
      <c r="L175" s="28" t="s">
        <v>45</v>
      </c>
      <c r="M175" s="28"/>
      <c r="N175" s="28"/>
      <c r="O175" s="28" t="s">
        <v>1596</v>
      </c>
      <c r="P175" s="28">
        <v>83434</v>
      </c>
      <c r="Q175" s="28"/>
      <c r="R175" s="28" t="s">
        <v>1135</v>
      </c>
    </row>
    <row r="176" spans="1:18">
      <c r="A176" s="28" t="s">
        <v>1597</v>
      </c>
      <c r="B176" s="28">
        <v>9</v>
      </c>
      <c r="C176" s="28" t="s">
        <v>1122</v>
      </c>
      <c r="D176" s="28" t="s">
        <v>1598</v>
      </c>
      <c r="E176" s="28" t="s">
        <v>1124</v>
      </c>
      <c r="F176" s="28" t="s">
        <v>1125</v>
      </c>
      <c r="G176" s="28">
        <v>6.49</v>
      </c>
      <c r="H176" s="28">
        <v>6.49</v>
      </c>
      <c r="I176" s="28">
        <v>0.19</v>
      </c>
      <c r="J176" s="28">
        <v>6.3</v>
      </c>
      <c r="K176" s="28">
        <v>0</v>
      </c>
      <c r="L176" s="28" t="s">
        <v>45</v>
      </c>
      <c r="M176" s="28"/>
      <c r="N176" s="28"/>
      <c r="O176" s="28" t="s">
        <v>1599</v>
      </c>
      <c r="P176" s="28">
        <v>85090</v>
      </c>
      <c r="Q176" s="28"/>
      <c r="R176" s="28" t="s">
        <v>1531</v>
      </c>
    </row>
    <row r="177" spans="1:18">
      <c r="A177" s="28" t="s">
        <v>1600</v>
      </c>
      <c r="B177" s="28">
        <v>9</v>
      </c>
      <c r="C177" s="28" t="s">
        <v>1122</v>
      </c>
      <c r="D177" s="28" t="s">
        <v>1601</v>
      </c>
      <c r="E177" s="28" t="s">
        <v>1124</v>
      </c>
      <c r="F177" s="28" t="s">
        <v>1125</v>
      </c>
      <c r="G177" s="28">
        <v>2</v>
      </c>
      <c r="H177" s="28">
        <v>2</v>
      </c>
      <c r="I177" s="28">
        <v>0.06</v>
      </c>
      <c r="J177" s="28">
        <v>1.94</v>
      </c>
      <c r="K177" s="28">
        <v>0</v>
      </c>
      <c r="L177" s="28" t="s">
        <v>45</v>
      </c>
      <c r="M177" s="28"/>
      <c r="N177" s="28"/>
      <c r="O177" s="28" t="s">
        <v>1602</v>
      </c>
      <c r="P177" s="28">
        <v>85318</v>
      </c>
      <c r="Q177" s="28"/>
      <c r="R177" s="28" t="s">
        <v>1131</v>
      </c>
    </row>
    <row r="178" spans="1:18">
      <c r="A178" s="28" t="s">
        <v>1603</v>
      </c>
      <c r="B178" s="28">
        <v>9</v>
      </c>
      <c r="C178" s="28" t="s">
        <v>1122</v>
      </c>
      <c r="D178" s="28" t="s">
        <v>1604</v>
      </c>
      <c r="E178" s="28" t="s">
        <v>1124</v>
      </c>
      <c r="F178" s="28" t="s">
        <v>1125</v>
      </c>
      <c r="G178" s="28">
        <v>9</v>
      </c>
      <c r="H178" s="28">
        <v>9</v>
      </c>
      <c r="I178" s="28">
        <v>0.26</v>
      </c>
      <c r="J178" s="28">
        <v>8.74</v>
      </c>
      <c r="K178" s="28">
        <v>0</v>
      </c>
      <c r="L178" s="28" t="s">
        <v>45</v>
      </c>
      <c r="M178" s="28"/>
      <c r="N178" s="28"/>
      <c r="O178" s="28" t="s">
        <v>1605</v>
      </c>
      <c r="P178" s="28">
        <v>85306</v>
      </c>
      <c r="Q178" s="28"/>
      <c r="R178" s="28" t="s">
        <v>1131</v>
      </c>
    </row>
    <row r="179" spans="1:18">
      <c r="A179" s="28" t="s">
        <v>1606</v>
      </c>
      <c r="B179" s="28">
        <v>9</v>
      </c>
      <c r="C179" s="28" t="s">
        <v>1122</v>
      </c>
      <c r="D179" s="28" t="s">
        <v>1607</v>
      </c>
      <c r="E179" s="28" t="s">
        <v>1124</v>
      </c>
      <c r="F179" s="28" t="s">
        <v>1125</v>
      </c>
      <c r="G179" s="28">
        <v>2.4900000000000002</v>
      </c>
      <c r="H179" s="28">
        <v>2.4900000000000002</v>
      </c>
      <c r="I179" s="28">
        <v>0.08</v>
      </c>
      <c r="J179" s="28">
        <v>2.41</v>
      </c>
      <c r="K179" s="28">
        <v>0</v>
      </c>
      <c r="L179" s="28" t="s">
        <v>45</v>
      </c>
      <c r="M179" s="28"/>
      <c r="N179" s="28"/>
      <c r="O179" s="28" t="s">
        <v>1608</v>
      </c>
      <c r="P179" s="28">
        <v>85294</v>
      </c>
      <c r="Q179" s="28"/>
      <c r="R179" s="28" t="s">
        <v>1149</v>
      </c>
    </row>
    <row r="180" spans="1:18">
      <c r="A180" s="28" t="s">
        <v>1609</v>
      </c>
      <c r="B180" s="28">
        <v>9</v>
      </c>
      <c r="C180" s="28" t="s">
        <v>1122</v>
      </c>
      <c r="D180" s="28" t="s">
        <v>1610</v>
      </c>
      <c r="E180" s="28" t="s">
        <v>1124</v>
      </c>
      <c r="F180" s="28" t="s">
        <v>1125</v>
      </c>
      <c r="G180" s="28">
        <v>2.4900000000000002</v>
      </c>
      <c r="H180" s="28">
        <v>2.4900000000000002</v>
      </c>
      <c r="I180" s="28">
        <v>0.08</v>
      </c>
      <c r="J180" s="28">
        <v>2.41</v>
      </c>
      <c r="K180" s="28">
        <v>0</v>
      </c>
      <c r="L180" s="28" t="s">
        <v>45</v>
      </c>
      <c r="M180" s="28"/>
      <c r="N180" s="28"/>
      <c r="O180" s="28" t="s">
        <v>1611</v>
      </c>
      <c r="P180" s="28">
        <v>85270</v>
      </c>
      <c r="Q180" s="28"/>
      <c r="R180" s="28" t="s">
        <v>1135</v>
      </c>
    </row>
    <row r="181" spans="1:18">
      <c r="A181" s="28" t="s">
        <v>1612</v>
      </c>
      <c r="B181" s="28">
        <v>9</v>
      </c>
      <c r="C181" s="28" t="s">
        <v>1122</v>
      </c>
      <c r="D181" s="28" t="s">
        <v>1613</v>
      </c>
      <c r="E181" s="28" t="s">
        <v>1124</v>
      </c>
      <c r="F181" s="28" t="s">
        <v>1125</v>
      </c>
      <c r="G181" s="28">
        <v>2.99</v>
      </c>
      <c r="H181" s="28">
        <v>2.99</v>
      </c>
      <c r="I181" s="28">
        <v>0.09</v>
      </c>
      <c r="J181" s="28">
        <v>2.9</v>
      </c>
      <c r="K181" s="28">
        <v>0</v>
      </c>
      <c r="L181" s="28" t="s">
        <v>45</v>
      </c>
      <c r="M181" s="28"/>
      <c r="N181" s="28"/>
      <c r="O181" s="28" t="s">
        <v>1614</v>
      </c>
      <c r="P181" s="28">
        <v>84466</v>
      </c>
      <c r="Q181" s="28"/>
      <c r="R181" s="28" t="s">
        <v>1135</v>
      </c>
    </row>
    <row r="182" spans="1:18">
      <c r="A182" s="28" t="s">
        <v>1615</v>
      </c>
      <c r="B182" s="28">
        <v>9</v>
      </c>
      <c r="C182" s="28" t="s">
        <v>1122</v>
      </c>
      <c r="D182" s="28" t="s">
        <v>1616</v>
      </c>
      <c r="E182" s="28" t="s">
        <v>1124</v>
      </c>
      <c r="F182" s="28" t="s">
        <v>1125</v>
      </c>
      <c r="G182" s="28">
        <v>2.99</v>
      </c>
      <c r="H182" s="28">
        <v>2.99</v>
      </c>
      <c r="I182" s="28">
        <v>0.09</v>
      </c>
      <c r="J182" s="28">
        <v>2.9</v>
      </c>
      <c r="K182" s="28">
        <v>0</v>
      </c>
      <c r="L182" s="28" t="s">
        <v>45</v>
      </c>
      <c r="M182" s="28"/>
      <c r="N182" s="28"/>
      <c r="O182" s="28" t="s">
        <v>1617</v>
      </c>
      <c r="P182" s="28">
        <v>85450</v>
      </c>
      <c r="Q182" s="28"/>
      <c r="R182" s="28" t="s">
        <v>1149</v>
      </c>
    </row>
    <row r="183" spans="1:18">
      <c r="A183" s="28" t="s">
        <v>1618</v>
      </c>
      <c r="B183" s="28">
        <v>9</v>
      </c>
      <c r="C183" s="28" t="s">
        <v>1122</v>
      </c>
      <c r="D183" s="28" t="s">
        <v>1619</v>
      </c>
      <c r="E183" s="28" t="s">
        <v>1124</v>
      </c>
      <c r="F183" s="28" t="s">
        <v>1125</v>
      </c>
      <c r="G183" s="28">
        <v>20.69</v>
      </c>
      <c r="H183" s="28">
        <v>20.69</v>
      </c>
      <c r="I183" s="28">
        <v>0.6</v>
      </c>
      <c r="J183" s="28">
        <v>20.09</v>
      </c>
      <c r="K183" s="28">
        <v>0</v>
      </c>
      <c r="L183" s="28" t="s">
        <v>45</v>
      </c>
      <c r="M183" s="28"/>
      <c r="N183" s="28"/>
      <c r="O183" s="28" t="s">
        <v>1620</v>
      </c>
      <c r="P183" s="28">
        <v>85438</v>
      </c>
      <c r="Q183" s="28"/>
      <c r="R183" s="28" t="s">
        <v>1135</v>
      </c>
    </row>
    <row r="184" spans="1:18">
      <c r="A184" s="28" t="s">
        <v>1621</v>
      </c>
      <c r="B184" s="28">
        <v>9</v>
      </c>
      <c r="C184" s="28" t="s">
        <v>1122</v>
      </c>
      <c r="D184" s="28" t="s">
        <v>1622</v>
      </c>
      <c r="E184" s="28" t="s">
        <v>1124</v>
      </c>
      <c r="F184" s="28" t="s">
        <v>1125</v>
      </c>
      <c r="G184" s="28">
        <v>20.69</v>
      </c>
      <c r="H184" s="28">
        <v>20.69</v>
      </c>
      <c r="I184" s="28">
        <v>0.6</v>
      </c>
      <c r="J184" s="28">
        <v>20.09</v>
      </c>
      <c r="K184" s="28">
        <v>0</v>
      </c>
      <c r="L184" s="28" t="s">
        <v>45</v>
      </c>
      <c r="M184" s="28"/>
      <c r="N184" s="28"/>
      <c r="O184" s="28" t="s">
        <v>1623</v>
      </c>
      <c r="P184" s="28">
        <v>85402</v>
      </c>
      <c r="Q184" s="28"/>
      <c r="R184" s="28" t="s">
        <v>1149</v>
      </c>
    </row>
    <row r="185" spans="1:18">
      <c r="A185" s="28" t="s">
        <v>1624</v>
      </c>
      <c r="B185" s="28">
        <v>9</v>
      </c>
      <c r="C185" s="28" t="s">
        <v>1122</v>
      </c>
      <c r="D185" s="28" t="s">
        <v>1625</v>
      </c>
      <c r="E185" s="28" t="s">
        <v>1124</v>
      </c>
      <c r="F185" s="28" t="s">
        <v>1125</v>
      </c>
      <c r="G185" s="28">
        <v>15.29</v>
      </c>
      <c r="H185" s="28">
        <v>15.29</v>
      </c>
      <c r="I185" s="28">
        <v>0.45</v>
      </c>
      <c r="J185" s="28">
        <v>14.84</v>
      </c>
      <c r="K185" s="28">
        <v>0</v>
      </c>
      <c r="L185" s="28" t="s">
        <v>45</v>
      </c>
      <c r="M185" s="28"/>
      <c r="N185" s="28"/>
      <c r="O185" s="28" t="s">
        <v>1626</v>
      </c>
      <c r="P185" s="28">
        <v>85558</v>
      </c>
      <c r="Q185" s="28"/>
      <c r="R185" s="28" t="s">
        <v>1131</v>
      </c>
    </row>
    <row r="186" spans="1:18">
      <c r="A186" s="28" t="s">
        <v>1627</v>
      </c>
      <c r="B186" s="28">
        <v>9</v>
      </c>
      <c r="C186" s="28" t="s">
        <v>1122</v>
      </c>
      <c r="D186" s="28" t="s">
        <v>1628</v>
      </c>
      <c r="E186" s="28" t="s">
        <v>1124</v>
      </c>
      <c r="F186" s="28" t="s">
        <v>1125</v>
      </c>
      <c r="G186" s="28">
        <v>5.99</v>
      </c>
      <c r="H186" s="28">
        <v>5.99</v>
      </c>
      <c r="I186" s="28">
        <v>0.18</v>
      </c>
      <c r="J186" s="28">
        <v>5.81</v>
      </c>
      <c r="K186" s="28">
        <v>0</v>
      </c>
      <c r="L186" s="28" t="s">
        <v>45</v>
      </c>
      <c r="M186" s="28"/>
      <c r="N186" s="28"/>
      <c r="O186" s="28" t="s">
        <v>1629</v>
      </c>
      <c r="P186" s="28">
        <v>83818</v>
      </c>
      <c r="Q186" s="28"/>
      <c r="R186" s="28" t="s">
        <v>1149</v>
      </c>
    </row>
    <row r="187" spans="1:18">
      <c r="A187" s="28" t="s">
        <v>1630</v>
      </c>
      <c r="B187" s="28">
        <v>9</v>
      </c>
      <c r="C187" s="28" t="s">
        <v>1122</v>
      </c>
      <c r="D187" s="28" t="s">
        <v>1631</v>
      </c>
      <c r="E187" s="28" t="s">
        <v>1124</v>
      </c>
      <c r="F187" s="28" t="s">
        <v>1125</v>
      </c>
      <c r="G187" s="28">
        <v>7.99</v>
      </c>
      <c r="H187" s="28">
        <v>7.99</v>
      </c>
      <c r="I187" s="28">
        <v>0.24</v>
      </c>
      <c r="J187" s="28">
        <v>7.75</v>
      </c>
      <c r="K187" s="28">
        <v>0</v>
      </c>
      <c r="L187" s="28" t="s">
        <v>45</v>
      </c>
      <c r="M187" s="28"/>
      <c r="N187" s="28"/>
      <c r="O187" s="28" t="s">
        <v>1632</v>
      </c>
      <c r="P187" s="28">
        <v>85474</v>
      </c>
      <c r="Q187" s="28"/>
      <c r="R187" s="28" t="s">
        <v>1510</v>
      </c>
    </row>
    <row r="188" spans="1:18">
      <c r="A188" s="28" t="s">
        <v>1633</v>
      </c>
      <c r="B188" s="28">
        <v>9</v>
      </c>
      <c r="C188" s="28" t="s">
        <v>1122</v>
      </c>
      <c r="D188" s="28" t="s">
        <v>1634</v>
      </c>
      <c r="E188" s="28" t="s">
        <v>1194</v>
      </c>
      <c r="F188" s="28" t="s">
        <v>1125</v>
      </c>
      <c r="G188" s="28">
        <v>-5.49</v>
      </c>
      <c r="H188" s="28">
        <v>-5.49</v>
      </c>
      <c r="I188" s="28">
        <v>0.5</v>
      </c>
      <c r="J188" s="28">
        <v>-5.49</v>
      </c>
      <c r="K188" s="28">
        <v>4.99</v>
      </c>
      <c r="L188" s="28" t="s">
        <v>45</v>
      </c>
      <c r="M188" s="28"/>
      <c r="N188" s="28"/>
      <c r="O188" s="28" t="s">
        <v>1635</v>
      </c>
      <c r="P188" s="28">
        <v>84814</v>
      </c>
      <c r="Q188" s="28" t="s">
        <v>1574</v>
      </c>
      <c r="R188" s="28" t="s">
        <v>1131</v>
      </c>
    </row>
    <row r="189" spans="1:18">
      <c r="A189" s="28" t="s">
        <v>1636</v>
      </c>
      <c r="B189" s="28">
        <v>9</v>
      </c>
      <c r="C189" s="28" t="s">
        <v>1122</v>
      </c>
      <c r="D189" s="28" t="s">
        <v>1637</v>
      </c>
      <c r="E189" s="28" t="s">
        <v>1124</v>
      </c>
      <c r="F189" s="28" t="s">
        <v>1125</v>
      </c>
      <c r="G189" s="28">
        <v>43.2</v>
      </c>
      <c r="H189" s="28">
        <v>43.2</v>
      </c>
      <c r="I189" s="28">
        <v>1.26</v>
      </c>
      <c r="J189" s="28">
        <v>41.94</v>
      </c>
      <c r="K189" s="28">
        <v>0</v>
      </c>
      <c r="L189" s="28" t="s">
        <v>45</v>
      </c>
      <c r="M189" s="28"/>
      <c r="N189" s="28"/>
      <c r="O189" s="28" t="s">
        <v>1638</v>
      </c>
      <c r="P189" s="28">
        <v>85666</v>
      </c>
      <c r="Q189" s="28"/>
      <c r="R189" s="28" t="s">
        <v>1139</v>
      </c>
    </row>
    <row r="190" spans="1:18">
      <c r="A190" s="28" t="s">
        <v>1639</v>
      </c>
      <c r="B190" s="28">
        <v>9</v>
      </c>
      <c r="C190" s="28" t="s">
        <v>1122</v>
      </c>
      <c r="D190" s="28" t="s">
        <v>1640</v>
      </c>
      <c r="E190" s="28" t="s">
        <v>1124</v>
      </c>
      <c r="F190" s="28" t="s">
        <v>1125</v>
      </c>
      <c r="G190" s="28">
        <v>9.99</v>
      </c>
      <c r="H190" s="28">
        <v>9.99</v>
      </c>
      <c r="I190" s="28">
        <v>0.28999999999999998</v>
      </c>
      <c r="J190" s="28">
        <v>9.6999999999999993</v>
      </c>
      <c r="K190" s="28">
        <v>0</v>
      </c>
      <c r="L190" s="28" t="s">
        <v>45</v>
      </c>
      <c r="M190" s="28"/>
      <c r="N190" s="28"/>
      <c r="O190" s="28" t="s">
        <v>1641</v>
      </c>
      <c r="P190" s="28">
        <v>85042</v>
      </c>
      <c r="Q190" s="28"/>
      <c r="R190" s="28" t="s">
        <v>1308</v>
      </c>
    </row>
    <row r="191" spans="1:18">
      <c r="A191" s="28" t="s">
        <v>1642</v>
      </c>
      <c r="B191" s="28">
        <v>9</v>
      </c>
      <c r="C191" s="28" t="s">
        <v>1122</v>
      </c>
      <c r="D191" s="28" t="s">
        <v>1643</v>
      </c>
      <c r="E191" s="28" t="s">
        <v>1124</v>
      </c>
      <c r="F191" s="28" t="s">
        <v>1125</v>
      </c>
      <c r="G191" s="28">
        <v>4.99</v>
      </c>
      <c r="H191" s="28">
        <v>4.99</v>
      </c>
      <c r="I191" s="28">
        <v>0.15</v>
      </c>
      <c r="J191" s="28">
        <v>4.84</v>
      </c>
      <c r="K191" s="28">
        <v>0</v>
      </c>
      <c r="L191" s="28" t="s">
        <v>45</v>
      </c>
      <c r="M191" s="28"/>
      <c r="N191" s="28"/>
      <c r="O191" s="28" t="s">
        <v>1644</v>
      </c>
      <c r="P191" s="28">
        <v>85774</v>
      </c>
      <c r="Q191" s="28"/>
      <c r="R191" s="28" t="s">
        <v>1135</v>
      </c>
    </row>
    <row r="192" spans="1:18">
      <c r="A192" s="28" t="s">
        <v>1645</v>
      </c>
      <c r="B192" s="28">
        <v>9</v>
      </c>
      <c r="C192" s="28" t="s">
        <v>1122</v>
      </c>
      <c r="D192" s="28" t="s">
        <v>1646</v>
      </c>
      <c r="E192" s="28" t="s">
        <v>1124</v>
      </c>
      <c r="F192" s="28" t="s">
        <v>1125</v>
      </c>
      <c r="G192" s="28">
        <v>8.99</v>
      </c>
      <c r="H192" s="28">
        <v>8.99</v>
      </c>
      <c r="I192" s="28">
        <v>0.26</v>
      </c>
      <c r="J192" s="28">
        <v>8.73</v>
      </c>
      <c r="K192" s="28">
        <v>0</v>
      </c>
      <c r="L192" s="28" t="s">
        <v>45</v>
      </c>
      <c r="M192" s="28"/>
      <c r="N192" s="28"/>
      <c r="O192" s="28" t="s">
        <v>1647</v>
      </c>
      <c r="P192" s="28">
        <v>85690</v>
      </c>
      <c r="Q192" s="28"/>
      <c r="R192" s="28" t="s">
        <v>1149</v>
      </c>
    </row>
    <row r="193" spans="1:18">
      <c r="A193" s="28" t="s">
        <v>1648</v>
      </c>
      <c r="B193" s="28">
        <v>9</v>
      </c>
      <c r="C193" s="28" t="s">
        <v>1122</v>
      </c>
      <c r="D193" s="28" t="s">
        <v>1649</v>
      </c>
      <c r="E193" s="28" t="s">
        <v>1124</v>
      </c>
      <c r="F193" s="28" t="s">
        <v>1125</v>
      </c>
      <c r="G193" s="28">
        <v>20.69</v>
      </c>
      <c r="H193" s="28">
        <v>20.69</v>
      </c>
      <c r="I193" s="28">
        <v>0.6</v>
      </c>
      <c r="J193" s="28">
        <v>20.09</v>
      </c>
      <c r="K193" s="28">
        <v>0</v>
      </c>
      <c r="L193" s="28" t="s">
        <v>45</v>
      </c>
      <c r="M193" s="28"/>
      <c r="N193" s="28"/>
      <c r="O193" s="28" t="s">
        <v>1650</v>
      </c>
      <c r="P193" s="28">
        <v>85906</v>
      </c>
      <c r="Q193" s="28"/>
      <c r="R193" s="28" t="s">
        <v>1149</v>
      </c>
    </row>
    <row r="194" spans="1:18">
      <c r="A194" s="28" t="s">
        <v>1651</v>
      </c>
      <c r="B194" s="28">
        <v>9</v>
      </c>
      <c r="C194" s="28" t="s">
        <v>1122</v>
      </c>
      <c r="D194" s="28" t="s">
        <v>1652</v>
      </c>
      <c r="E194" s="28" t="s">
        <v>1124</v>
      </c>
      <c r="F194" s="28" t="s">
        <v>1125</v>
      </c>
      <c r="G194" s="28">
        <v>3.99</v>
      </c>
      <c r="H194" s="28">
        <v>3.99</v>
      </c>
      <c r="I194" s="28">
        <v>0.12</v>
      </c>
      <c r="J194" s="28">
        <v>3.87</v>
      </c>
      <c r="K194" s="28">
        <v>0</v>
      </c>
      <c r="L194" s="28" t="s">
        <v>45</v>
      </c>
      <c r="M194" s="28"/>
      <c r="N194" s="28"/>
      <c r="O194" s="28" t="s">
        <v>1653</v>
      </c>
      <c r="P194" s="28">
        <v>85786</v>
      </c>
      <c r="Q194" s="28"/>
      <c r="R194" s="28" t="s">
        <v>1139</v>
      </c>
    </row>
    <row r="195" spans="1:18">
      <c r="A195" s="28" t="s">
        <v>1654</v>
      </c>
      <c r="B195" s="28">
        <v>9</v>
      </c>
      <c r="C195" s="28" t="s">
        <v>1122</v>
      </c>
      <c r="D195" s="28" t="s">
        <v>1655</v>
      </c>
      <c r="E195" s="28" t="s">
        <v>1124</v>
      </c>
      <c r="F195" s="28" t="s">
        <v>1125</v>
      </c>
      <c r="G195" s="28">
        <v>18.989999999999998</v>
      </c>
      <c r="H195" s="28">
        <v>18.989999999999998</v>
      </c>
      <c r="I195" s="28">
        <v>0.55000000000000004</v>
      </c>
      <c r="J195" s="28">
        <v>18.440000000000001</v>
      </c>
      <c r="K195" s="28">
        <v>0</v>
      </c>
      <c r="L195" s="28" t="s">
        <v>45</v>
      </c>
      <c r="M195" s="28"/>
      <c r="N195" s="28"/>
      <c r="O195" s="28" t="s">
        <v>1656</v>
      </c>
      <c r="P195" s="28">
        <v>86014</v>
      </c>
      <c r="Q195" s="28"/>
      <c r="R195" s="28" t="s">
        <v>1131</v>
      </c>
    </row>
    <row r="196" spans="1:18">
      <c r="A196" s="28" t="s">
        <v>1657</v>
      </c>
      <c r="B196" s="28">
        <v>9</v>
      </c>
      <c r="C196" s="28" t="s">
        <v>1122</v>
      </c>
      <c r="D196" s="28" t="s">
        <v>1658</v>
      </c>
      <c r="E196" s="28" t="s">
        <v>1124</v>
      </c>
      <c r="F196" s="28" t="s">
        <v>1125</v>
      </c>
      <c r="G196" s="28">
        <v>18.989999999999998</v>
      </c>
      <c r="H196" s="28">
        <v>18.989999999999998</v>
      </c>
      <c r="I196" s="28">
        <v>0.55000000000000004</v>
      </c>
      <c r="J196" s="28">
        <v>18.440000000000001</v>
      </c>
      <c r="K196" s="28">
        <v>0</v>
      </c>
      <c r="L196" s="28" t="s">
        <v>45</v>
      </c>
      <c r="M196" s="28"/>
      <c r="N196" s="28"/>
      <c r="O196" s="28" t="s">
        <v>1659</v>
      </c>
      <c r="P196" s="28">
        <v>85978</v>
      </c>
      <c r="Q196" s="28"/>
      <c r="R196" s="28" t="s">
        <v>1149</v>
      </c>
    </row>
    <row r="197" spans="1:18">
      <c r="A197" s="28" t="s">
        <v>1660</v>
      </c>
      <c r="B197" s="28">
        <v>9</v>
      </c>
      <c r="C197" s="28" t="s">
        <v>1122</v>
      </c>
      <c r="D197" s="28" t="s">
        <v>1661</v>
      </c>
      <c r="E197" s="28" t="s">
        <v>1124</v>
      </c>
      <c r="F197" s="28" t="s">
        <v>1125</v>
      </c>
      <c r="G197" s="28">
        <v>3.99</v>
      </c>
      <c r="H197" s="28">
        <v>3.99</v>
      </c>
      <c r="I197" s="28">
        <v>0.12</v>
      </c>
      <c r="J197" s="28">
        <v>3.87</v>
      </c>
      <c r="K197" s="28">
        <v>0</v>
      </c>
      <c r="L197" s="28" t="s">
        <v>45</v>
      </c>
      <c r="M197" s="28"/>
      <c r="N197" s="28"/>
      <c r="O197" s="28" t="s">
        <v>1662</v>
      </c>
      <c r="P197" s="28">
        <v>86074</v>
      </c>
      <c r="Q197" s="28"/>
      <c r="R197" s="28" t="s">
        <v>1131</v>
      </c>
    </row>
    <row r="198" spans="1:18">
      <c r="A198" s="28" t="s">
        <v>1663</v>
      </c>
      <c r="B198" s="28">
        <v>9</v>
      </c>
      <c r="C198" s="28" t="s">
        <v>1122</v>
      </c>
      <c r="D198" s="28" t="s">
        <v>1664</v>
      </c>
      <c r="E198" s="28" t="s">
        <v>1124</v>
      </c>
      <c r="F198" s="28" t="s">
        <v>1125</v>
      </c>
      <c r="G198" s="28">
        <v>3.99</v>
      </c>
      <c r="H198" s="28">
        <v>3.99</v>
      </c>
      <c r="I198" s="28">
        <v>0.12</v>
      </c>
      <c r="J198" s="28">
        <v>3.87</v>
      </c>
      <c r="K198" s="28">
        <v>0</v>
      </c>
      <c r="L198" s="28" t="s">
        <v>45</v>
      </c>
      <c r="M198" s="28"/>
      <c r="N198" s="28"/>
      <c r="O198" s="28" t="s">
        <v>1665</v>
      </c>
      <c r="P198" s="28">
        <v>86062</v>
      </c>
      <c r="Q198" s="28"/>
      <c r="R198" s="28" t="s">
        <v>1135</v>
      </c>
    </row>
    <row r="199" spans="1:18">
      <c r="A199" s="28" t="s">
        <v>1666</v>
      </c>
      <c r="B199" s="28">
        <v>9</v>
      </c>
      <c r="C199" s="28" t="s">
        <v>1122</v>
      </c>
      <c r="D199" s="28" t="s">
        <v>1667</v>
      </c>
      <c r="E199" s="28" t="s">
        <v>1124</v>
      </c>
      <c r="F199" s="28" t="s">
        <v>1125</v>
      </c>
      <c r="G199" s="28">
        <v>6.39</v>
      </c>
      <c r="H199" s="28">
        <v>6.39</v>
      </c>
      <c r="I199" s="28">
        <v>0.19</v>
      </c>
      <c r="J199" s="28">
        <v>6.2</v>
      </c>
      <c r="K199" s="28">
        <v>0</v>
      </c>
      <c r="L199" s="28" t="s">
        <v>45</v>
      </c>
      <c r="M199" s="28"/>
      <c r="N199" s="28"/>
      <c r="O199" s="28" t="s">
        <v>1668</v>
      </c>
      <c r="P199" s="28">
        <v>86206</v>
      </c>
      <c r="Q199" s="28"/>
      <c r="R199" s="28" t="s">
        <v>1531</v>
      </c>
    </row>
    <row r="200" spans="1:18">
      <c r="A200" s="28" t="s">
        <v>1669</v>
      </c>
      <c r="B200" s="28">
        <v>9</v>
      </c>
      <c r="C200" s="28" t="s">
        <v>1122</v>
      </c>
      <c r="D200" s="28" t="s">
        <v>1670</v>
      </c>
      <c r="E200" s="28" t="s">
        <v>1124</v>
      </c>
      <c r="F200" s="28" t="s">
        <v>1125</v>
      </c>
      <c r="G200" s="28">
        <v>7.99</v>
      </c>
      <c r="H200" s="28">
        <v>7.99</v>
      </c>
      <c r="I200" s="28">
        <v>0.24</v>
      </c>
      <c r="J200" s="28">
        <v>7.75</v>
      </c>
      <c r="K200" s="28">
        <v>0</v>
      </c>
      <c r="L200" s="28" t="s">
        <v>45</v>
      </c>
      <c r="M200" s="28"/>
      <c r="N200" s="28"/>
      <c r="O200" s="28" t="s">
        <v>1671</v>
      </c>
      <c r="P200" s="28">
        <v>86194</v>
      </c>
      <c r="Q200" s="28"/>
      <c r="R200" s="28" t="s">
        <v>1531</v>
      </c>
    </row>
    <row r="201" spans="1:18">
      <c r="A201" s="28" t="s">
        <v>1672</v>
      </c>
      <c r="B201" s="28">
        <v>9</v>
      </c>
      <c r="C201" s="28" t="s">
        <v>1122</v>
      </c>
      <c r="D201" s="28" t="s">
        <v>1673</v>
      </c>
      <c r="E201" s="28" t="s">
        <v>1124</v>
      </c>
      <c r="F201" s="28" t="s">
        <v>1125</v>
      </c>
      <c r="G201" s="28">
        <v>9.99</v>
      </c>
      <c r="H201" s="28">
        <v>9.99</v>
      </c>
      <c r="I201" s="28">
        <v>0.28999999999999998</v>
      </c>
      <c r="J201" s="28">
        <v>9.6999999999999993</v>
      </c>
      <c r="K201" s="28">
        <v>0</v>
      </c>
      <c r="L201" s="28" t="s">
        <v>45</v>
      </c>
      <c r="M201" s="28"/>
      <c r="N201" s="28"/>
      <c r="O201" s="28" t="s">
        <v>1674</v>
      </c>
      <c r="P201" s="28">
        <v>86182</v>
      </c>
      <c r="Q201" s="28"/>
      <c r="R201" s="28" t="s">
        <v>1127</v>
      </c>
    </row>
    <row r="202" spans="1:18">
      <c r="A202" s="28" t="s">
        <v>1675</v>
      </c>
      <c r="B202" s="28">
        <v>9</v>
      </c>
      <c r="C202" s="28" t="s">
        <v>1122</v>
      </c>
      <c r="D202" s="28" t="s">
        <v>1676</v>
      </c>
      <c r="E202" s="28" t="s">
        <v>1124</v>
      </c>
      <c r="F202" s="28" t="s">
        <v>1125</v>
      </c>
      <c r="G202" s="28">
        <v>2.4900000000000002</v>
      </c>
      <c r="H202" s="28">
        <v>2.4900000000000002</v>
      </c>
      <c r="I202" s="28">
        <v>0.08</v>
      </c>
      <c r="J202" s="28">
        <v>2.41</v>
      </c>
      <c r="K202" s="28">
        <v>0</v>
      </c>
      <c r="L202" s="28" t="s">
        <v>45</v>
      </c>
      <c r="M202" s="28"/>
      <c r="N202" s="28"/>
      <c r="O202" s="28" t="s">
        <v>1677</v>
      </c>
      <c r="P202" s="28">
        <v>86314</v>
      </c>
      <c r="Q202" s="28"/>
      <c r="R202" s="28" t="s">
        <v>1149</v>
      </c>
    </row>
    <row r="203" spans="1:18">
      <c r="A203" s="28" t="s">
        <v>1678</v>
      </c>
      <c r="B203" s="28">
        <v>9</v>
      </c>
      <c r="C203" s="28" t="s">
        <v>1122</v>
      </c>
      <c r="D203" s="28" t="s">
        <v>1679</v>
      </c>
      <c r="E203" s="28" t="s">
        <v>1124</v>
      </c>
      <c r="F203" s="28" t="s">
        <v>1125</v>
      </c>
      <c r="G203" s="28">
        <v>18.989999999999998</v>
      </c>
      <c r="H203" s="28">
        <v>18.989999999999998</v>
      </c>
      <c r="I203" s="28">
        <v>0.55000000000000004</v>
      </c>
      <c r="J203" s="28">
        <v>18.440000000000001</v>
      </c>
      <c r="K203" s="28">
        <v>0</v>
      </c>
      <c r="L203" s="28" t="s">
        <v>45</v>
      </c>
      <c r="M203" s="28"/>
      <c r="N203" s="28"/>
      <c r="O203" s="28" t="s">
        <v>1680</v>
      </c>
      <c r="P203" s="28">
        <v>86302</v>
      </c>
      <c r="Q203" s="28"/>
      <c r="R203" s="28" t="s">
        <v>1131</v>
      </c>
    </row>
    <row r="204" spans="1:18">
      <c r="A204" s="28" t="s">
        <v>1681</v>
      </c>
      <c r="B204" s="28">
        <v>9</v>
      </c>
      <c r="C204" s="28" t="s">
        <v>1122</v>
      </c>
      <c r="D204" s="28" t="s">
        <v>1682</v>
      </c>
      <c r="E204" s="28" t="s">
        <v>1124</v>
      </c>
      <c r="F204" s="28" t="s">
        <v>1125</v>
      </c>
      <c r="G204" s="28">
        <v>20.25</v>
      </c>
      <c r="H204" s="28">
        <v>20.25</v>
      </c>
      <c r="I204" s="28">
        <v>0.59</v>
      </c>
      <c r="J204" s="28">
        <v>19.66</v>
      </c>
      <c r="K204" s="28">
        <v>0</v>
      </c>
      <c r="L204" s="28" t="s">
        <v>45</v>
      </c>
      <c r="M204" s="28"/>
      <c r="N204" s="28"/>
      <c r="O204" s="28" t="s">
        <v>1683</v>
      </c>
      <c r="P204" s="28">
        <v>86290</v>
      </c>
      <c r="Q204" s="28"/>
      <c r="R204" s="28" t="s">
        <v>1131</v>
      </c>
    </row>
    <row r="205" spans="1:18">
      <c r="A205" s="28" t="s">
        <v>1681</v>
      </c>
      <c r="B205" s="28">
        <v>9</v>
      </c>
      <c r="C205" s="28" t="s">
        <v>1122</v>
      </c>
      <c r="D205" s="28" t="s">
        <v>1684</v>
      </c>
      <c r="E205" s="28" t="s">
        <v>1685</v>
      </c>
      <c r="F205" s="28" t="s">
        <v>1125</v>
      </c>
      <c r="G205" s="28">
        <v>20.25</v>
      </c>
      <c r="H205" s="28">
        <v>0</v>
      </c>
      <c r="I205" s="28">
        <v>0</v>
      </c>
      <c r="J205" s="28">
        <v>0</v>
      </c>
      <c r="K205" s="28">
        <v>0</v>
      </c>
      <c r="L205" s="28" t="s">
        <v>45</v>
      </c>
      <c r="M205" s="28"/>
      <c r="N205" s="28"/>
      <c r="O205" s="28" t="s">
        <v>1683</v>
      </c>
      <c r="P205" s="28">
        <v>86290</v>
      </c>
      <c r="Q205" s="28"/>
      <c r="R205" s="28" t="s">
        <v>1131</v>
      </c>
    </row>
    <row r="206" spans="1:18">
      <c r="A206" s="28" t="s">
        <v>1686</v>
      </c>
      <c r="B206" s="28">
        <v>9</v>
      </c>
      <c r="C206" s="28" t="s">
        <v>1122</v>
      </c>
      <c r="D206" s="28" t="s">
        <v>1687</v>
      </c>
      <c r="E206" s="28" t="s">
        <v>1124</v>
      </c>
      <c r="F206" s="28" t="s">
        <v>1125</v>
      </c>
      <c r="G206" s="28">
        <v>15.29</v>
      </c>
      <c r="H206" s="28">
        <v>15.29</v>
      </c>
      <c r="I206" s="28">
        <v>0.45</v>
      </c>
      <c r="J206" s="28">
        <v>14.84</v>
      </c>
      <c r="K206" s="28">
        <v>0</v>
      </c>
      <c r="L206" s="28" t="s">
        <v>45</v>
      </c>
      <c r="M206" s="28"/>
      <c r="N206" s="28"/>
      <c r="O206" s="28" t="s">
        <v>1688</v>
      </c>
      <c r="P206" s="28">
        <v>86278</v>
      </c>
      <c r="Q206" s="28"/>
      <c r="R206" s="28" t="s">
        <v>1131</v>
      </c>
    </row>
    <row r="207" spans="1:18">
      <c r="A207" s="28" t="s">
        <v>1689</v>
      </c>
      <c r="B207" s="28">
        <v>9</v>
      </c>
      <c r="C207" s="28" t="s">
        <v>1122</v>
      </c>
      <c r="D207" s="28" t="s">
        <v>1690</v>
      </c>
      <c r="E207" s="28" t="s">
        <v>1124</v>
      </c>
      <c r="F207" s="28" t="s">
        <v>1125</v>
      </c>
      <c r="G207" s="28">
        <v>11.69</v>
      </c>
      <c r="H207" s="28">
        <v>11.69</v>
      </c>
      <c r="I207" s="28">
        <v>0.34</v>
      </c>
      <c r="J207" s="28">
        <v>11.35</v>
      </c>
      <c r="K207" s="28">
        <v>0</v>
      </c>
      <c r="L207" s="28" t="s">
        <v>45</v>
      </c>
      <c r="M207" s="28"/>
      <c r="N207" s="28"/>
      <c r="O207" s="28" t="s">
        <v>1691</v>
      </c>
      <c r="P207" s="28">
        <v>86398</v>
      </c>
      <c r="Q207" s="28"/>
      <c r="R207" s="28" t="s">
        <v>1127</v>
      </c>
    </row>
    <row r="208" spans="1:18">
      <c r="A208" s="28" t="s">
        <v>1692</v>
      </c>
      <c r="B208" s="28">
        <v>9</v>
      </c>
      <c r="C208" s="28" t="s">
        <v>1122</v>
      </c>
      <c r="D208" s="28" t="s">
        <v>1693</v>
      </c>
      <c r="E208" s="28" t="s">
        <v>1124</v>
      </c>
      <c r="F208" s="28" t="s">
        <v>1125</v>
      </c>
      <c r="G208" s="28">
        <v>16.989999999999998</v>
      </c>
      <c r="H208" s="28">
        <v>16.989999999999998</v>
      </c>
      <c r="I208" s="28">
        <v>0.5</v>
      </c>
      <c r="J208" s="28">
        <v>16.489999999999998</v>
      </c>
      <c r="K208" s="28">
        <v>0</v>
      </c>
      <c r="L208" s="28" t="s">
        <v>45</v>
      </c>
      <c r="M208" s="28"/>
      <c r="N208" s="28"/>
      <c r="O208" s="28" t="s">
        <v>1694</v>
      </c>
      <c r="P208" s="28">
        <v>86386</v>
      </c>
      <c r="Q208" s="28"/>
      <c r="R208" s="28" t="s">
        <v>1135</v>
      </c>
    </row>
    <row r="209" spans="1:18">
      <c r="A209" s="28" t="s">
        <v>1695</v>
      </c>
      <c r="B209" s="28">
        <v>9</v>
      </c>
      <c r="C209" s="28" t="s">
        <v>1122</v>
      </c>
      <c r="D209" s="28" t="s">
        <v>1696</v>
      </c>
      <c r="E209" s="28" t="s">
        <v>1124</v>
      </c>
      <c r="F209" s="28" t="s">
        <v>1125</v>
      </c>
      <c r="G209" s="28">
        <v>16.989999999999998</v>
      </c>
      <c r="H209" s="28">
        <v>16.989999999999998</v>
      </c>
      <c r="I209" s="28">
        <v>0.5</v>
      </c>
      <c r="J209" s="28">
        <v>16.489999999999998</v>
      </c>
      <c r="K209" s="28">
        <v>0</v>
      </c>
      <c r="L209" s="28" t="s">
        <v>45</v>
      </c>
      <c r="M209" s="28"/>
      <c r="N209" s="28"/>
      <c r="O209" s="28" t="s">
        <v>1697</v>
      </c>
      <c r="P209" s="28">
        <v>86494</v>
      </c>
      <c r="Q209" s="28"/>
      <c r="R209" s="28" t="s">
        <v>1131</v>
      </c>
    </row>
    <row r="210" spans="1:18">
      <c r="A210" s="28" t="s">
        <v>1698</v>
      </c>
      <c r="B210" s="28">
        <v>9</v>
      </c>
      <c r="C210" s="28" t="s">
        <v>1122</v>
      </c>
      <c r="D210" s="28" t="s">
        <v>1699</v>
      </c>
      <c r="E210" s="28" t="s">
        <v>1124</v>
      </c>
      <c r="F210" s="28" t="s">
        <v>1125</v>
      </c>
      <c r="G210" s="28">
        <v>7.99</v>
      </c>
      <c r="H210" s="28">
        <v>7.99</v>
      </c>
      <c r="I210" s="28">
        <v>0.24</v>
      </c>
      <c r="J210" s="28">
        <v>7.75</v>
      </c>
      <c r="K210" s="28">
        <v>0</v>
      </c>
      <c r="L210" s="28" t="s">
        <v>45</v>
      </c>
      <c r="M210" s="28"/>
      <c r="N210" s="28"/>
      <c r="O210" s="28" t="s">
        <v>1700</v>
      </c>
      <c r="P210" s="28">
        <v>86542</v>
      </c>
      <c r="Q210" s="28"/>
      <c r="R210" s="28" t="s">
        <v>1131</v>
      </c>
    </row>
    <row r="211" spans="1:18">
      <c r="A211" s="28" t="s">
        <v>1701</v>
      </c>
      <c r="B211" s="28">
        <v>9</v>
      </c>
      <c r="C211" s="28" t="s">
        <v>1122</v>
      </c>
      <c r="D211" s="28" t="s">
        <v>1702</v>
      </c>
      <c r="E211" s="28" t="s">
        <v>1124</v>
      </c>
      <c r="F211" s="28" t="s">
        <v>1125</v>
      </c>
      <c r="G211" s="28">
        <v>55.18</v>
      </c>
      <c r="H211" s="28">
        <v>55.18</v>
      </c>
      <c r="I211" s="28">
        <v>1.6</v>
      </c>
      <c r="J211" s="28">
        <v>53.58</v>
      </c>
      <c r="K211" s="28">
        <v>0</v>
      </c>
      <c r="L211" s="28" t="s">
        <v>45</v>
      </c>
      <c r="M211" s="28"/>
      <c r="N211" s="28"/>
      <c r="O211" s="28" t="s">
        <v>1703</v>
      </c>
      <c r="P211" s="28">
        <v>85354</v>
      </c>
      <c r="Q211" s="28"/>
      <c r="R211" s="28" t="s">
        <v>1135</v>
      </c>
    </row>
    <row r="212" spans="1:18">
      <c r="A212" s="28" t="s">
        <v>1704</v>
      </c>
      <c r="B212" s="28">
        <v>9</v>
      </c>
      <c r="C212" s="28" t="s">
        <v>1122</v>
      </c>
      <c r="D212" s="28" t="s">
        <v>1705</v>
      </c>
      <c r="E212" s="28" t="s">
        <v>1124</v>
      </c>
      <c r="F212" s="28" t="s">
        <v>1125</v>
      </c>
      <c r="G212" s="28">
        <v>9</v>
      </c>
      <c r="H212" s="28">
        <v>9</v>
      </c>
      <c r="I212" s="28">
        <v>0.26</v>
      </c>
      <c r="J212" s="28">
        <v>8.74</v>
      </c>
      <c r="K212" s="28">
        <v>0</v>
      </c>
      <c r="L212" s="28" t="s">
        <v>45</v>
      </c>
      <c r="M212" s="28"/>
      <c r="N212" s="28"/>
      <c r="O212" s="28" t="s">
        <v>1706</v>
      </c>
      <c r="P212" s="28">
        <v>86638</v>
      </c>
      <c r="Q212" s="28"/>
      <c r="R212" s="28" t="s">
        <v>1135</v>
      </c>
    </row>
    <row r="213" spans="1:18">
      <c r="A213" s="28" t="s">
        <v>1707</v>
      </c>
      <c r="B213" s="28">
        <v>9</v>
      </c>
      <c r="C213" s="28" t="s">
        <v>1122</v>
      </c>
      <c r="D213" s="28" t="s">
        <v>1708</v>
      </c>
      <c r="E213" s="28" t="s">
        <v>1124</v>
      </c>
      <c r="F213" s="28" t="s">
        <v>1125</v>
      </c>
      <c r="G213" s="28">
        <v>12.79</v>
      </c>
      <c r="H213" s="28">
        <v>12.79</v>
      </c>
      <c r="I213" s="28">
        <v>0.37</v>
      </c>
      <c r="J213" s="28">
        <v>12.42</v>
      </c>
      <c r="K213" s="28">
        <v>0</v>
      </c>
      <c r="L213" s="28" t="s">
        <v>45</v>
      </c>
      <c r="M213" s="28"/>
      <c r="N213" s="28"/>
      <c r="O213" s="28" t="s">
        <v>1709</v>
      </c>
      <c r="P213" s="28">
        <v>85390</v>
      </c>
      <c r="Q213" s="28"/>
      <c r="R213" s="28" t="s">
        <v>1135</v>
      </c>
    </row>
    <row r="214" spans="1:18">
      <c r="A214" s="28" t="s">
        <v>1710</v>
      </c>
      <c r="B214" s="28">
        <v>9</v>
      </c>
      <c r="C214" s="28" t="s">
        <v>1122</v>
      </c>
      <c r="D214" s="28" t="s">
        <v>1711</v>
      </c>
      <c r="E214" s="28" t="s">
        <v>1124</v>
      </c>
      <c r="F214" s="28" t="s">
        <v>1125</v>
      </c>
      <c r="G214" s="28">
        <v>2.5</v>
      </c>
      <c r="H214" s="28">
        <v>2.5</v>
      </c>
      <c r="I214" s="28">
        <v>0.08</v>
      </c>
      <c r="J214" s="28">
        <v>2.42</v>
      </c>
      <c r="K214" s="28">
        <v>0</v>
      </c>
      <c r="L214" s="28" t="s">
        <v>45</v>
      </c>
      <c r="M214" s="28"/>
      <c r="N214" s="28"/>
      <c r="O214" s="28" t="s">
        <v>1712</v>
      </c>
      <c r="P214" s="28">
        <v>85486</v>
      </c>
      <c r="Q214" s="28"/>
      <c r="R214" s="28" t="s">
        <v>1135</v>
      </c>
    </row>
    <row r="215" spans="1:18">
      <c r="A215" s="28" t="s">
        <v>1713</v>
      </c>
      <c r="B215" s="28">
        <v>9</v>
      </c>
      <c r="C215" s="28" t="s">
        <v>1122</v>
      </c>
      <c r="D215" s="28" t="s">
        <v>1714</v>
      </c>
      <c r="E215" s="28" t="s">
        <v>1124</v>
      </c>
      <c r="F215" s="28" t="s">
        <v>1125</v>
      </c>
      <c r="G215" s="28">
        <v>19.02</v>
      </c>
      <c r="H215" s="28">
        <v>19.02</v>
      </c>
      <c r="I215" s="28">
        <v>0.56000000000000005</v>
      </c>
      <c r="J215" s="28">
        <v>18.46</v>
      </c>
      <c r="K215" s="28">
        <v>0</v>
      </c>
      <c r="L215" s="28" t="s">
        <v>45</v>
      </c>
      <c r="M215" s="28"/>
      <c r="N215" s="28"/>
      <c r="O215" s="28" t="s">
        <v>1715</v>
      </c>
      <c r="P215" s="28">
        <v>85222</v>
      </c>
      <c r="Q215" s="28"/>
      <c r="R215" s="28" t="s">
        <v>1149</v>
      </c>
    </row>
    <row r="216" spans="1:18">
      <c r="A216" s="28" t="s">
        <v>1716</v>
      </c>
      <c r="B216" s="28">
        <v>9</v>
      </c>
      <c r="C216" s="28"/>
      <c r="D216" s="28" t="s">
        <v>1717</v>
      </c>
      <c r="E216" s="28"/>
      <c r="F216" s="28"/>
      <c r="G216" s="28">
        <v>1000</v>
      </c>
      <c r="H216" s="28"/>
      <c r="I216" s="28">
        <v>20</v>
      </c>
      <c r="J216" s="28">
        <v>-980</v>
      </c>
      <c r="K216" s="28"/>
      <c r="L216" s="28" t="s">
        <v>45</v>
      </c>
      <c r="M216" s="28"/>
      <c r="N216" s="28"/>
      <c r="O216" s="28" t="s">
        <v>1326</v>
      </c>
      <c r="P216" s="28"/>
      <c r="Q216" s="28"/>
      <c r="R216" s="28"/>
    </row>
    <row r="217" spans="1:18">
      <c r="A217" s="31">
        <v>45667.428472222222</v>
      </c>
      <c r="B217" s="28">
        <v>10</v>
      </c>
      <c r="C217" s="28" t="s">
        <v>1122</v>
      </c>
      <c r="D217" s="28" t="s">
        <v>1718</v>
      </c>
      <c r="E217" s="28" t="s">
        <v>1124</v>
      </c>
      <c r="F217" s="28" t="s">
        <v>1125</v>
      </c>
      <c r="G217" s="28">
        <v>1.99</v>
      </c>
      <c r="H217" s="28">
        <v>1.99</v>
      </c>
      <c r="I217" s="28">
        <v>0.06</v>
      </c>
      <c r="J217" s="28">
        <v>1.93</v>
      </c>
      <c r="K217" s="28">
        <v>0</v>
      </c>
      <c r="L217" s="28" t="s">
        <v>45</v>
      </c>
      <c r="M217" s="28"/>
      <c r="N217" s="28"/>
      <c r="O217" s="28" t="s">
        <v>1719</v>
      </c>
      <c r="P217" s="28">
        <v>86686</v>
      </c>
      <c r="Q217" s="28"/>
      <c r="R217" s="28" t="s">
        <v>1149</v>
      </c>
    </row>
    <row r="218" spans="1:18">
      <c r="A218" s="31">
        <v>45698.548611111109</v>
      </c>
      <c r="B218" s="28">
        <v>10</v>
      </c>
      <c r="C218" s="28" t="s">
        <v>1122</v>
      </c>
      <c r="D218" s="28" t="s">
        <v>1720</v>
      </c>
      <c r="E218" s="28" t="s">
        <v>1124</v>
      </c>
      <c r="F218" s="28" t="s">
        <v>1125</v>
      </c>
      <c r="G218" s="28">
        <v>12.99</v>
      </c>
      <c r="H218" s="28">
        <v>12.99</v>
      </c>
      <c r="I218" s="28">
        <v>0.38</v>
      </c>
      <c r="J218" s="28">
        <v>12.61</v>
      </c>
      <c r="K218" s="28">
        <v>0</v>
      </c>
      <c r="L218" s="28" t="s">
        <v>45</v>
      </c>
      <c r="M218" s="28"/>
      <c r="N218" s="28"/>
      <c r="O218" s="28" t="s">
        <v>1721</v>
      </c>
      <c r="P218" s="28">
        <v>86878</v>
      </c>
      <c r="Q218" s="28"/>
      <c r="R218" s="28" t="s">
        <v>1131</v>
      </c>
    </row>
    <row r="219" spans="1:18">
      <c r="A219" s="31">
        <v>45698.470833333333</v>
      </c>
      <c r="B219" s="28">
        <v>10</v>
      </c>
      <c r="C219" s="28" t="s">
        <v>1122</v>
      </c>
      <c r="D219" s="28" t="s">
        <v>1722</v>
      </c>
      <c r="E219" s="28" t="s">
        <v>1124</v>
      </c>
      <c r="F219" s="28" t="s">
        <v>1125</v>
      </c>
      <c r="G219" s="28">
        <v>11.69</v>
      </c>
      <c r="H219" s="28">
        <v>11.69</v>
      </c>
      <c r="I219" s="28">
        <v>0.34</v>
      </c>
      <c r="J219" s="28">
        <v>11.35</v>
      </c>
      <c r="K219" s="28">
        <v>0</v>
      </c>
      <c r="L219" s="28" t="s">
        <v>45</v>
      </c>
      <c r="M219" s="28"/>
      <c r="N219" s="28"/>
      <c r="O219" s="28" t="s">
        <v>1723</v>
      </c>
      <c r="P219" s="28">
        <v>86866</v>
      </c>
      <c r="Q219" s="28"/>
      <c r="R219" s="28" t="s">
        <v>1131</v>
      </c>
    </row>
    <row r="220" spans="1:18">
      <c r="A220" s="31">
        <v>45698.328472222223</v>
      </c>
      <c r="B220" s="28">
        <v>10</v>
      </c>
      <c r="C220" s="28" t="s">
        <v>1122</v>
      </c>
      <c r="D220" s="28" t="s">
        <v>1724</v>
      </c>
      <c r="E220" s="28" t="s">
        <v>1124</v>
      </c>
      <c r="F220" s="28" t="s">
        <v>1125</v>
      </c>
      <c r="G220" s="28">
        <v>56.79</v>
      </c>
      <c r="H220" s="28">
        <v>56.79</v>
      </c>
      <c r="I220" s="28">
        <v>1.65</v>
      </c>
      <c r="J220" s="28">
        <v>55.14</v>
      </c>
      <c r="K220" s="28">
        <v>0</v>
      </c>
      <c r="L220" s="28" t="s">
        <v>45</v>
      </c>
      <c r="M220" s="28"/>
      <c r="N220" s="28"/>
      <c r="O220" s="28" t="s">
        <v>1725</v>
      </c>
      <c r="P220" s="28">
        <v>86830</v>
      </c>
      <c r="Q220" s="28"/>
      <c r="R220" s="28" t="s">
        <v>1135</v>
      </c>
    </row>
    <row r="221" spans="1:18">
      <c r="A221" s="31">
        <v>45698.304166666669</v>
      </c>
      <c r="B221" s="28">
        <v>10</v>
      </c>
      <c r="C221" s="28" t="s">
        <v>1122</v>
      </c>
      <c r="D221" s="28" t="s">
        <v>1726</v>
      </c>
      <c r="E221" s="28" t="s">
        <v>1124</v>
      </c>
      <c r="F221" s="28" t="s">
        <v>1125</v>
      </c>
      <c r="G221" s="28">
        <v>15.29</v>
      </c>
      <c r="H221" s="28">
        <v>15.29</v>
      </c>
      <c r="I221" s="28">
        <v>0.45</v>
      </c>
      <c r="J221" s="28">
        <v>14.84</v>
      </c>
      <c r="K221" s="28">
        <v>0</v>
      </c>
      <c r="L221" s="28" t="s">
        <v>45</v>
      </c>
      <c r="M221" s="28"/>
      <c r="N221" s="28"/>
      <c r="O221" s="28" t="s">
        <v>1727</v>
      </c>
      <c r="P221" s="28">
        <v>86854</v>
      </c>
      <c r="Q221" s="28"/>
      <c r="R221" s="28" t="s">
        <v>1131</v>
      </c>
    </row>
    <row r="222" spans="1:18">
      <c r="A222" s="31">
        <v>45726.530555555553</v>
      </c>
      <c r="B222" s="28">
        <v>10</v>
      </c>
      <c r="C222" s="28" t="s">
        <v>1122</v>
      </c>
      <c r="D222" s="28" t="s">
        <v>1728</v>
      </c>
      <c r="E222" s="28" t="s">
        <v>1124</v>
      </c>
      <c r="F222" s="28" t="s">
        <v>1125</v>
      </c>
      <c r="G222" s="28">
        <v>9</v>
      </c>
      <c r="H222" s="28">
        <v>9</v>
      </c>
      <c r="I222" s="28">
        <v>0.26</v>
      </c>
      <c r="J222" s="28">
        <v>8.74</v>
      </c>
      <c r="K222" s="28">
        <v>0</v>
      </c>
      <c r="L222" s="28" t="s">
        <v>45</v>
      </c>
      <c r="M222" s="28"/>
      <c r="N222" s="28"/>
      <c r="O222" s="28" t="s">
        <v>1729</v>
      </c>
      <c r="P222" s="28">
        <v>87022</v>
      </c>
      <c r="Q222" s="28"/>
      <c r="R222" s="28" t="s">
        <v>1730</v>
      </c>
    </row>
    <row r="223" spans="1:18">
      <c r="A223" s="31">
        <v>45726.436111111114</v>
      </c>
      <c r="B223" s="28">
        <v>10</v>
      </c>
      <c r="C223" s="28" t="s">
        <v>1122</v>
      </c>
      <c r="D223" s="28" t="s">
        <v>1731</v>
      </c>
      <c r="E223" s="28" t="s">
        <v>1124</v>
      </c>
      <c r="F223" s="28" t="s">
        <v>1125</v>
      </c>
      <c r="G223" s="28">
        <v>9.49</v>
      </c>
      <c r="H223" s="28">
        <v>9.49</v>
      </c>
      <c r="I223" s="28">
        <v>0.28000000000000003</v>
      </c>
      <c r="J223" s="28">
        <v>9.2100000000000009</v>
      </c>
      <c r="K223" s="28">
        <v>0</v>
      </c>
      <c r="L223" s="28" t="s">
        <v>45</v>
      </c>
      <c r="M223" s="28"/>
      <c r="N223" s="28"/>
      <c r="O223" s="28" t="s">
        <v>1732</v>
      </c>
      <c r="P223" s="28">
        <v>87010</v>
      </c>
      <c r="Q223" s="28"/>
      <c r="R223" s="28" t="s">
        <v>1531</v>
      </c>
    </row>
    <row r="224" spans="1:18">
      <c r="A224" s="31">
        <v>45757.531944444447</v>
      </c>
      <c r="B224" s="28">
        <v>10</v>
      </c>
      <c r="C224" s="28" t="s">
        <v>1122</v>
      </c>
      <c r="D224" s="28" t="s">
        <v>1733</v>
      </c>
      <c r="E224" s="28" t="s">
        <v>1124</v>
      </c>
      <c r="F224" s="28" t="s">
        <v>1125</v>
      </c>
      <c r="G224" s="28">
        <v>19.45</v>
      </c>
      <c r="H224" s="28">
        <v>19.45</v>
      </c>
      <c r="I224" s="28">
        <v>0.56999999999999995</v>
      </c>
      <c r="J224" s="28">
        <v>18.88</v>
      </c>
      <c r="K224" s="28">
        <v>0</v>
      </c>
      <c r="L224" s="28" t="s">
        <v>45</v>
      </c>
      <c r="M224" s="28"/>
      <c r="N224" s="28"/>
      <c r="O224" s="28" t="s">
        <v>1734</v>
      </c>
      <c r="P224" s="28">
        <v>87202</v>
      </c>
      <c r="Q224" s="28"/>
      <c r="R224" s="28" t="s">
        <v>1127</v>
      </c>
    </row>
    <row r="225" spans="1:18">
      <c r="A225" s="31">
        <v>45757.51666666667</v>
      </c>
      <c r="B225" s="28">
        <v>10</v>
      </c>
      <c r="C225" s="28" t="s">
        <v>1122</v>
      </c>
      <c r="D225" s="28" t="s">
        <v>1735</v>
      </c>
      <c r="E225" s="28" t="s">
        <v>1124</v>
      </c>
      <c r="F225" s="28" t="s">
        <v>1125</v>
      </c>
      <c r="G225" s="28">
        <v>7.99</v>
      </c>
      <c r="H225" s="28">
        <v>7.99</v>
      </c>
      <c r="I225" s="28">
        <v>0.24</v>
      </c>
      <c r="J225" s="28">
        <v>7.75</v>
      </c>
      <c r="K225" s="28">
        <v>0</v>
      </c>
      <c r="L225" s="28" t="s">
        <v>45</v>
      </c>
      <c r="M225" s="28"/>
      <c r="N225" s="28"/>
      <c r="O225" s="28" t="s">
        <v>1736</v>
      </c>
      <c r="P225" s="28">
        <v>87190</v>
      </c>
      <c r="Q225" s="28"/>
      <c r="R225" s="28" t="s">
        <v>1135</v>
      </c>
    </row>
    <row r="226" spans="1:18">
      <c r="A226" s="31">
        <v>45757.046527777777</v>
      </c>
      <c r="B226" s="28">
        <v>10</v>
      </c>
      <c r="C226" s="28" t="s">
        <v>1122</v>
      </c>
      <c r="D226" s="28" t="s">
        <v>1737</v>
      </c>
      <c r="E226" s="28" t="s">
        <v>1124</v>
      </c>
      <c r="F226" s="28" t="s">
        <v>1125</v>
      </c>
      <c r="G226" s="28">
        <v>8.81</v>
      </c>
      <c r="H226" s="28">
        <v>8.81</v>
      </c>
      <c r="I226" s="28">
        <v>0.26</v>
      </c>
      <c r="J226" s="28">
        <v>8.5500000000000007</v>
      </c>
      <c r="K226" s="28">
        <v>0</v>
      </c>
      <c r="L226" s="28" t="s">
        <v>45</v>
      </c>
      <c r="M226" s="28"/>
      <c r="N226" s="28"/>
      <c r="O226" s="28" t="s">
        <v>1738</v>
      </c>
      <c r="P226" s="28">
        <v>85858</v>
      </c>
      <c r="Q226" s="28"/>
      <c r="R226" s="28" t="s">
        <v>1135</v>
      </c>
    </row>
    <row r="227" spans="1:18">
      <c r="A227" s="31">
        <v>45787.536111111112</v>
      </c>
      <c r="B227" s="28">
        <v>10</v>
      </c>
      <c r="C227" s="28" t="s">
        <v>1122</v>
      </c>
      <c r="D227" s="28" t="s">
        <v>1739</v>
      </c>
      <c r="E227" s="28" t="s">
        <v>1124</v>
      </c>
      <c r="F227" s="28" t="s">
        <v>1125</v>
      </c>
      <c r="G227" s="28">
        <v>9.99</v>
      </c>
      <c r="H227" s="28">
        <v>9.99</v>
      </c>
      <c r="I227" s="28">
        <v>0.28999999999999998</v>
      </c>
      <c r="J227" s="28">
        <v>9.6999999999999993</v>
      </c>
      <c r="K227" s="28">
        <v>0</v>
      </c>
      <c r="L227" s="28" t="s">
        <v>45</v>
      </c>
      <c r="M227" s="28"/>
      <c r="N227" s="28"/>
      <c r="O227" s="28" t="s">
        <v>1740</v>
      </c>
      <c r="P227" s="28">
        <v>87310</v>
      </c>
      <c r="Q227" s="28"/>
      <c r="R227" s="28" t="s">
        <v>1149</v>
      </c>
    </row>
    <row r="228" spans="1:18">
      <c r="A228" s="31">
        <v>45787.527083333334</v>
      </c>
      <c r="B228" s="28">
        <v>10</v>
      </c>
      <c r="C228" s="28" t="s">
        <v>1122</v>
      </c>
      <c r="D228" s="28" t="s">
        <v>1741</v>
      </c>
      <c r="E228" s="28" t="s">
        <v>1124</v>
      </c>
      <c r="F228" s="28" t="s">
        <v>1125</v>
      </c>
      <c r="G228" s="28">
        <v>12.99</v>
      </c>
      <c r="H228" s="28">
        <v>12.99</v>
      </c>
      <c r="I228" s="28">
        <v>0.38</v>
      </c>
      <c r="J228" s="28">
        <v>12.61</v>
      </c>
      <c r="K228" s="28">
        <v>0</v>
      </c>
      <c r="L228" s="28" t="s">
        <v>45</v>
      </c>
      <c r="M228" s="28"/>
      <c r="N228" s="28"/>
      <c r="O228" s="28" t="s">
        <v>1742</v>
      </c>
      <c r="P228" s="28">
        <v>87298</v>
      </c>
      <c r="Q228" s="28"/>
      <c r="R228" s="28" t="s">
        <v>1131</v>
      </c>
    </row>
    <row r="229" spans="1:18">
      <c r="A229" s="31">
        <v>45787.450694444444</v>
      </c>
      <c r="B229" s="28">
        <v>10</v>
      </c>
      <c r="C229" s="28" t="s">
        <v>1122</v>
      </c>
      <c r="D229" s="28" t="s">
        <v>1743</v>
      </c>
      <c r="E229" s="28" t="s">
        <v>1124</v>
      </c>
      <c r="F229" s="28" t="s">
        <v>1125</v>
      </c>
      <c r="G229" s="28">
        <v>12.83</v>
      </c>
      <c r="H229" s="28">
        <v>12.83</v>
      </c>
      <c r="I229" s="28">
        <v>0.38</v>
      </c>
      <c r="J229" s="28">
        <v>12.45</v>
      </c>
      <c r="K229" s="28">
        <v>0</v>
      </c>
      <c r="L229" s="28" t="s">
        <v>45</v>
      </c>
      <c r="M229" s="28"/>
      <c r="N229" s="28"/>
      <c r="O229" s="28" t="s">
        <v>1744</v>
      </c>
      <c r="P229" s="28">
        <v>87286</v>
      </c>
      <c r="Q229" s="28"/>
      <c r="R229" s="28" t="s">
        <v>1131</v>
      </c>
    </row>
    <row r="230" spans="1:18">
      <c r="A230" s="31">
        <v>45818.546527777777</v>
      </c>
      <c r="B230" s="28">
        <v>10</v>
      </c>
      <c r="C230" s="28" t="s">
        <v>1122</v>
      </c>
      <c r="D230" s="28" t="s">
        <v>1745</v>
      </c>
      <c r="E230" s="28" t="s">
        <v>1124</v>
      </c>
      <c r="F230" s="28" t="s">
        <v>1125</v>
      </c>
      <c r="G230" s="28">
        <v>11.69</v>
      </c>
      <c r="H230" s="28">
        <v>11.69</v>
      </c>
      <c r="I230" s="28">
        <v>0.34</v>
      </c>
      <c r="J230" s="28">
        <v>11.35</v>
      </c>
      <c r="K230" s="28">
        <v>0</v>
      </c>
      <c r="L230" s="28" t="s">
        <v>45</v>
      </c>
      <c r="M230" s="28"/>
      <c r="N230" s="28"/>
      <c r="O230" s="28" t="s">
        <v>1746</v>
      </c>
      <c r="P230" s="28">
        <v>87478</v>
      </c>
      <c r="Q230" s="28"/>
      <c r="R230" s="28"/>
    </row>
    <row r="231" spans="1:18">
      <c r="A231" s="31">
        <v>45848.652083333334</v>
      </c>
      <c r="B231" s="28">
        <v>10</v>
      </c>
      <c r="C231" s="28" t="s">
        <v>1122</v>
      </c>
      <c r="D231" s="28" t="s">
        <v>1747</v>
      </c>
      <c r="E231" s="28" t="s">
        <v>1124</v>
      </c>
      <c r="F231" s="28" t="s">
        <v>1125</v>
      </c>
      <c r="G231" s="28">
        <v>11.7</v>
      </c>
      <c r="H231" s="28">
        <v>11.7</v>
      </c>
      <c r="I231" s="28">
        <v>0.34</v>
      </c>
      <c r="J231" s="28">
        <v>11.36</v>
      </c>
      <c r="K231" s="28">
        <v>0</v>
      </c>
      <c r="L231" s="28" t="s">
        <v>45</v>
      </c>
      <c r="M231" s="28"/>
      <c r="N231" s="28"/>
      <c r="O231" s="28" t="s">
        <v>1748</v>
      </c>
      <c r="P231" s="28">
        <v>86650</v>
      </c>
      <c r="Q231" s="28"/>
      <c r="R231" s="28" t="s">
        <v>1135</v>
      </c>
    </row>
    <row r="232" spans="1:18">
      <c r="A232" s="31">
        <v>45848.508333333331</v>
      </c>
      <c r="B232" s="28">
        <v>10</v>
      </c>
      <c r="C232" s="28" t="s">
        <v>1122</v>
      </c>
      <c r="D232" s="28" t="s">
        <v>1749</v>
      </c>
      <c r="E232" s="28" t="s">
        <v>1124</v>
      </c>
      <c r="F232" s="28" t="s">
        <v>1125</v>
      </c>
      <c r="G232" s="28">
        <v>15.3</v>
      </c>
      <c r="H232" s="28">
        <v>15.3</v>
      </c>
      <c r="I232" s="28">
        <v>0.45</v>
      </c>
      <c r="J232" s="28">
        <v>14.85</v>
      </c>
      <c r="K232" s="28">
        <v>0</v>
      </c>
      <c r="L232" s="28" t="s">
        <v>45</v>
      </c>
      <c r="M232" s="28"/>
      <c r="N232" s="28"/>
      <c r="O232" s="28" t="s">
        <v>1750</v>
      </c>
      <c r="P232" s="28">
        <v>87562</v>
      </c>
      <c r="Q232" s="28"/>
      <c r="R232" s="28" t="s">
        <v>1131</v>
      </c>
    </row>
    <row r="233" spans="1:18">
      <c r="A233" s="31">
        <v>45848.417361111111</v>
      </c>
      <c r="B233" s="28">
        <v>10</v>
      </c>
      <c r="C233" s="28" t="s">
        <v>1122</v>
      </c>
      <c r="D233" s="28" t="s">
        <v>1751</v>
      </c>
      <c r="E233" s="28" t="s">
        <v>1124</v>
      </c>
      <c r="F233" s="28" t="s">
        <v>1125</v>
      </c>
      <c r="G233" s="28">
        <v>20.69</v>
      </c>
      <c r="H233" s="28">
        <v>20.69</v>
      </c>
      <c r="I233" s="28">
        <v>0.6</v>
      </c>
      <c r="J233" s="28">
        <v>20.09</v>
      </c>
      <c r="K233" s="28">
        <v>20.09</v>
      </c>
      <c r="L233" s="28" t="s">
        <v>45</v>
      </c>
      <c r="M233" s="28"/>
      <c r="N233" s="28"/>
      <c r="O233" s="28" t="s">
        <v>1752</v>
      </c>
      <c r="P233" s="28">
        <v>87538</v>
      </c>
      <c r="Q233" s="28"/>
      <c r="R233" s="28" t="s">
        <v>1135</v>
      </c>
    </row>
    <row r="234" spans="1:18">
      <c r="A234" s="31">
        <v>45848.345138888886</v>
      </c>
      <c r="B234" s="28">
        <v>10</v>
      </c>
      <c r="C234" s="28" t="s">
        <v>1122</v>
      </c>
      <c r="D234" s="28" t="s">
        <v>1753</v>
      </c>
      <c r="E234" s="28" t="s">
        <v>1124</v>
      </c>
      <c r="F234" s="28" t="s">
        <v>1125</v>
      </c>
      <c r="G234" s="28">
        <v>5.99</v>
      </c>
      <c r="H234" s="28">
        <v>5.99</v>
      </c>
      <c r="I234" s="28">
        <v>0.18</v>
      </c>
      <c r="J234" s="28">
        <v>5.81</v>
      </c>
      <c r="K234" s="28">
        <v>5.81</v>
      </c>
      <c r="L234" s="28" t="s">
        <v>45</v>
      </c>
      <c r="M234" s="28"/>
      <c r="N234" s="28"/>
      <c r="O234" s="28" t="s">
        <v>1754</v>
      </c>
      <c r="P234" s="28">
        <v>87526</v>
      </c>
      <c r="Q234" s="28"/>
      <c r="R234" s="28" t="s">
        <v>1160</v>
      </c>
    </row>
    <row r="235" spans="1:18">
      <c r="A235" s="31">
        <v>45879.681250000001</v>
      </c>
      <c r="B235" s="28">
        <v>10</v>
      </c>
      <c r="C235" s="28" t="s">
        <v>1122</v>
      </c>
      <c r="D235" s="28" t="s">
        <v>1755</v>
      </c>
      <c r="E235" s="28" t="s">
        <v>1124</v>
      </c>
      <c r="F235" s="28" t="s">
        <v>1125</v>
      </c>
      <c r="G235" s="28">
        <v>26.09</v>
      </c>
      <c r="H235" s="28">
        <v>26.09</v>
      </c>
      <c r="I235" s="28">
        <v>0.76</v>
      </c>
      <c r="J235" s="28">
        <v>25.33</v>
      </c>
      <c r="K235" s="28">
        <v>0</v>
      </c>
      <c r="L235" s="28" t="s">
        <v>45</v>
      </c>
      <c r="M235" s="28"/>
      <c r="N235" s="28"/>
      <c r="O235" s="28" t="s">
        <v>1756</v>
      </c>
      <c r="P235" s="28">
        <v>87682</v>
      </c>
      <c r="Q235" s="28"/>
      <c r="R235" s="28" t="s">
        <v>1562</v>
      </c>
    </row>
    <row r="236" spans="1:18">
      <c r="A236" s="31">
        <v>45879.61041666667</v>
      </c>
      <c r="B236" s="28">
        <v>10</v>
      </c>
      <c r="C236" s="28" t="s">
        <v>1122</v>
      </c>
      <c r="D236" s="28" t="s">
        <v>1757</v>
      </c>
      <c r="E236" s="28" t="s">
        <v>1124</v>
      </c>
      <c r="F236" s="28" t="s">
        <v>1125</v>
      </c>
      <c r="G236" s="28">
        <v>11.69</v>
      </c>
      <c r="H236" s="28">
        <v>11.69</v>
      </c>
      <c r="I236" s="28">
        <v>0.34</v>
      </c>
      <c r="J236" s="28">
        <v>11.35</v>
      </c>
      <c r="K236" s="28">
        <v>0</v>
      </c>
      <c r="L236" s="28" t="s">
        <v>45</v>
      </c>
      <c r="M236" s="28"/>
      <c r="N236" s="28"/>
      <c r="O236" s="28" t="s">
        <v>1758</v>
      </c>
      <c r="P236" s="28">
        <v>87670</v>
      </c>
      <c r="Q236" s="28"/>
      <c r="R236" s="28" t="s">
        <v>1562</v>
      </c>
    </row>
    <row r="237" spans="1:18">
      <c r="A237" s="31">
        <v>45879.581944444442</v>
      </c>
      <c r="B237" s="28">
        <v>10</v>
      </c>
      <c r="C237" s="28" t="s">
        <v>1122</v>
      </c>
      <c r="D237" s="28" t="s">
        <v>1759</v>
      </c>
      <c r="E237" s="28" t="s">
        <v>1194</v>
      </c>
      <c r="F237" s="28" t="s">
        <v>1125</v>
      </c>
      <c r="G237" s="28">
        <v>-20.59</v>
      </c>
      <c r="H237" s="28">
        <v>-20.59</v>
      </c>
      <c r="I237" s="28">
        <v>0.5</v>
      </c>
      <c r="J237" s="28">
        <v>-20.59</v>
      </c>
      <c r="K237" s="28">
        <v>20.09</v>
      </c>
      <c r="L237" s="28" t="s">
        <v>45</v>
      </c>
      <c r="M237" s="28"/>
      <c r="N237" s="28"/>
      <c r="O237" s="28" t="s">
        <v>1760</v>
      </c>
      <c r="P237" s="28">
        <v>87538</v>
      </c>
      <c r="Q237" s="28" t="s">
        <v>1751</v>
      </c>
      <c r="R237" s="28" t="s">
        <v>1135</v>
      </c>
    </row>
    <row r="238" spans="1:18">
      <c r="A238" s="31">
        <v>45879.57708333333</v>
      </c>
      <c r="B238" s="28">
        <v>10</v>
      </c>
      <c r="C238" s="28" t="s">
        <v>1122</v>
      </c>
      <c r="D238" s="28" t="s">
        <v>1761</v>
      </c>
      <c r="E238" s="28" t="s">
        <v>1194</v>
      </c>
      <c r="F238" s="28" t="s">
        <v>1125</v>
      </c>
      <c r="G238" s="28">
        <v>-6.31</v>
      </c>
      <c r="H238" s="28">
        <v>-6.31</v>
      </c>
      <c r="I238" s="28">
        <v>0.5</v>
      </c>
      <c r="J238" s="28">
        <v>-6.31</v>
      </c>
      <c r="K238" s="28">
        <v>5.81</v>
      </c>
      <c r="L238" s="28" t="s">
        <v>45</v>
      </c>
      <c r="M238" s="28"/>
      <c r="N238" s="28"/>
      <c r="O238" s="28" t="s">
        <v>1762</v>
      </c>
      <c r="P238" s="28">
        <v>87526</v>
      </c>
      <c r="Q238" s="28" t="s">
        <v>1753</v>
      </c>
      <c r="R238" s="28" t="s">
        <v>1160</v>
      </c>
    </row>
    <row r="239" spans="1:18">
      <c r="A239" s="31">
        <v>45879.539583333331</v>
      </c>
      <c r="B239" s="28">
        <v>10</v>
      </c>
      <c r="C239" s="28" t="s">
        <v>1122</v>
      </c>
      <c r="D239" s="28" t="s">
        <v>1763</v>
      </c>
      <c r="E239" s="28" t="s">
        <v>1124</v>
      </c>
      <c r="F239" s="28" t="s">
        <v>1125</v>
      </c>
      <c r="G239" s="28">
        <v>2.5</v>
      </c>
      <c r="H239" s="28">
        <v>2.5</v>
      </c>
      <c r="I239" s="28">
        <v>0.08</v>
      </c>
      <c r="J239" s="28">
        <v>2.42</v>
      </c>
      <c r="K239" s="28">
        <v>0</v>
      </c>
      <c r="L239" s="28" t="s">
        <v>45</v>
      </c>
      <c r="M239" s="28"/>
      <c r="N239" s="28"/>
      <c r="O239" s="28" t="s">
        <v>1764</v>
      </c>
      <c r="P239" s="28">
        <v>86038</v>
      </c>
      <c r="Q239" s="28"/>
      <c r="R239" s="28" t="s">
        <v>1149</v>
      </c>
    </row>
    <row r="240" spans="1:18">
      <c r="A240" s="31">
        <v>45879.375</v>
      </c>
      <c r="B240" s="28">
        <v>10</v>
      </c>
      <c r="C240" s="28" t="s">
        <v>1122</v>
      </c>
      <c r="D240" s="28" t="s">
        <v>1765</v>
      </c>
      <c r="E240" s="28" t="s">
        <v>1124</v>
      </c>
      <c r="F240" s="28" t="s">
        <v>1125</v>
      </c>
      <c r="G240" s="28">
        <v>5.49</v>
      </c>
      <c r="H240" s="28">
        <v>5.49</v>
      </c>
      <c r="I240" s="28">
        <v>0.16</v>
      </c>
      <c r="J240" s="28">
        <v>5.33</v>
      </c>
      <c r="K240" s="28">
        <v>0</v>
      </c>
      <c r="L240" s="28" t="s">
        <v>45</v>
      </c>
      <c r="M240" s="28"/>
      <c r="N240" s="28"/>
      <c r="O240" s="28" t="s">
        <v>1766</v>
      </c>
      <c r="P240" s="28">
        <v>87658</v>
      </c>
      <c r="Q240" s="28"/>
      <c r="R240" s="28" t="s">
        <v>1127</v>
      </c>
    </row>
    <row r="241" spans="1:18">
      <c r="A241" s="31">
        <v>45940.493055555555</v>
      </c>
      <c r="B241" s="28">
        <v>10</v>
      </c>
      <c r="C241" s="28" t="s">
        <v>1122</v>
      </c>
      <c r="D241" s="28" t="s">
        <v>1767</v>
      </c>
      <c r="E241" s="28" t="s">
        <v>1124</v>
      </c>
      <c r="F241" s="28" t="s">
        <v>1125</v>
      </c>
      <c r="G241" s="28">
        <v>1.99</v>
      </c>
      <c r="H241" s="28">
        <v>1.99</v>
      </c>
      <c r="I241" s="28">
        <v>0.06</v>
      </c>
      <c r="J241" s="28">
        <v>1.93</v>
      </c>
      <c r="K241" s="28">
        <v>0</v>
      </c>
      <c r="L241" s="28" t="s">
        <v>45</v>
      </c>
      <c r="M241" s="28"/>
      <c r="N241" s="28"/>
      <c r="O241" s="28" t="s">
        <v>1768</v>
      </c>
      <c r="P241" s="28">
        <v>87826</v>
      </c>
      <c r="Q241" s="28"/>
      <c r="R241" s="28" t="s">
        <v>1131</v>
      </c>
    </row>
    <row r="242" spans="1:18">
      <c r="A242" s="31">
        <v>45940.057638888888</v>
      </c>
      <c r="B242" s="28">
        <v>10</v>
      </c>
      <c r="C242" s="28" t="s">
        <v>1122</v>
      </c>
      <c r="D242" s="28" t="s">
        <v>1769</v>
      </c>
      <c r="E242" s="28" t="s">
        <v>1124</v>
      </c>
      <c r="F242" s="28" t="s">
        <v>1125</v>
      </c>
      <c r="G242" s="28">
        <v>60.99</v>
      </c>
      <c r="H242" s="28">
        <v>60.99</v>
      </c>
      <c r="I242" s="28">
        <v>1.77</v>
      </c>
      <c r="J242" s="28">
        <v>59.22</v>
      </c>
      <c r="K242" s="28">
        <v>0</v>
      </c>
      <c r="L242" s="28" t="s">
        <v>45</v>
      </c>
      <c r="M242" s="28"/>
      <c r="N242" s="28"/>
      <c r="O242" s="28" t="s">
        <v>1770</v>
      </c>
      <c r="P242" s="28">
        <v>86230</v>
      </c>
      <c r="Q242" s="28"/>
      <c r="R242" s="28" t="s">
        <v>1531</v>
      </c>
    </row>
    <row r="243" spans="1:18">
      <c r="A243" s="31">
        <v>45940.054166666669</v>
      </c>
      <c r="B243" s="28">
        <v>10</v>
      </c>
      <c r="C243" s="28" t="s">
        <v>1122</v>
      </c>
      <c r="D243" s="28" t="s">
        <v>1771</v>
      </c>
      <c r="E243" s="28" t="s">
        <v>1124</v>
      </c>
      <c r="F243" s="28" t="s">
        <v>1125</v>
      </c>
      <c r="G243" s="28">
        <v>20.69</v>
      </c>
      <c r="H243" s="28">
        <v>20.69</v>
      </c>
      <c r="I243" s="28">
        <v>0.6</v>
      </c>
      <c r="J243" s="28">
        <v>20.09</v>
      </c>
      <c r="K243" s="28">
        <v>0</v>
      </c>
      <c r="L243" s="28" t="s">
        <v>45</v>
      </c>
      <c r="M243" s="28"/>
      <c r="N243" s="28"/>
      <c r="O243" s="28" t="s">
        <v>1772</v>
      </c>
      <c r="P243" s="28">
        <v>87802</v>
      </c>
      <c r="Q243" s="28"/>
      <c r="R243" s="28" t="s">
        <v>1562</v>
      </c>
    </row>
    <row r="244" spans="1:18">
      <c r="A244" s="31">
        <v>45971.36041666667</v>
      </c>
      <c r="B244" s="28">
        <v>10</v>
      </c>
      <c r="C244" s="28" t="s">
        <v>1122</v>
      </c>
      <c r="D244" s="28" t="s">
        <v>1773</v>
      </c>
      <c r="E244" s="28" t="s">
        <v>1124</v>
      </c>
      <c r="F244" s="28" t="s">
        <v>1125</v>
      </c>
      <c r="G244" s="28">
        <v>20.64</v>
      </c>
      <c r="H244" s="28">
        <v>20.64</v>
      </c>
      <c r="I244" s="28">
        <v>0.6</v>
      </c>
      <c r="J244" s="28">
        <v>20.04</v>
      </c>
      <c r="K244" s="28">
        <v>0</v>
      </c>
      <c r="L244" s="28" t="s">
        <v>45</v>
      </c>
      <c r="M244" s="28"/>
      <c r="N244" s="28"/>
      <c r="O244" s="28" t="s">
        <v>1774</v>
      </c>
      <c r="P244" s="28">
        <v>87142</v>
      </c>
      <c r="Q244" s="28"/>
      <c r="R244" s="28" t="s">
        <v>1149</v>
      </c>
    </row>
    <row r="245" spans="1:18">
      <c r="A245" s="31">
        <v>45971.230555555558</v>
      </c>
      <c r="B245" s="28">
        <v>10</v>
      </c>
      <c r="C245" s="28" t="s">
        <v>1122</v>
      </c>
      <c r="D245" s="28" t="s">
        <v>1775</v>
      </c>
      <c r="E245" s="28" t="s">
        <v>1124</v>
      </c>
      <c r="F245" s="28" t="s">
        <v>1125</v>
      </c>
      <c r="G245" s="28">
        <v>11.69</v>
      </c>
      <c r="H245" s="28">
        <v>11.69</v>
      </c>
      <c r="I245" s="28">
        <v>0.34</v>
      </c>
      <c r="J245" s="28">
        <v>11.35</v>
      </c>
      <c r="K245" s="28">
        <v>0</v>
      </c>
      <c r="L245" s="28" t="s">
        <v>45</v>
      </c>
      <c r="M245" s="28"/>
      <c r="N245" s="28"/>
      <c r="O245" s="28" t="s">
        <v>1776</v>
      </c>
      <c r="P245" s="28">
        <v>87910</v>
      </c>
      <c r="Q245" s="28"/>
      <c r="R245" s="28" t="s">
        <v>1127</v>
      </c>
    </row>
    <row r="246" spans="1:18">
      <c r="A246" s="31">
        <v>46001.756944444445</v>
      </c>
      <c r="B246" s="28">
        <v>10</v>
      </c>
      <c r="C246" s="28" t="s">
        <v>1122</v>
      </c>
      <c r="D246" s="28" t="s">
        <v>1777</v>
      </c>
      <c r="E246" s="28" t="s">
        <v>1124</v>
      </c>
      <c r="F246" s="28" t="s">
        <v>1125</v>
      </c>
      <c r="G246" s="28">
        <v>2.99</v>
      </c>
      <c r="H246" s="28">
        <v>2.99</v>
      </c>
      <c r="I246" s="28">
        <v>0.09</v>
      </c>
      <c r="J246" s="28">
        <v>2.9</v>
      </c>
      <c r="K246" s="28">
        <v>0</v>
      </c>
      <c r="L246" s="28" t="s">
        <v>45</v>
      </c>
      <c r="M246" s="28"/>
      <c r="N246" s="28"/>
      <c r="O246" s="28" t="s">
        <v>1778</v>
      </c>
      <c r="P246" s="28">
        <v>88150</v>
      </c>
      <c r="Q246" s="28"/>
      <c r="R246" s="28" t="s">
        <v>1149</v>
      </c>
    </row>
    <row r="247" spans="1:18">
      <c r="A247" s="31">
        <v>46001.681944444441</v>
      </c>
      <c r="B247" s="28">
        <v>10</v>
      </c>
      <c r="C247" s="28" t="s">
        <v>1122</v>
      </c>
      <c r="D247" s="28" t="s">
        <v>1779</v>
      </c>
      <c r="E247" s="28" t="s">
        <v>1124</v>
      </c>
      <c r="F247" s="28" t="s">
        <v>1125</v>
      </c>
      <c r="G247" s="28">
        <v>12.99</v>
      </c>
      <c r="H247" s="28">
        <v>12.99</v>
      </c>
      <c r="I247" s="28">
        <v>0.38</v>
      </c>
      <c r="J247" s="28">
        <v>12.61</v>
      </c>
      <c r="K247" s="28">
        <v>0</v>
      </c>
      <c r="L247" s="28" t="s">
        <v>45</v>
      </c>
      <c r="M247" s="28"/>
      <c r="N247" s="28"/>
      <c r="O247" s="28" t="s">
        <v>1780</v>
      </c>
      <c r="P247" s="28">
        <v>88138</v>
      </c>
      <c r="Q247" s="28"/>
      <c r="R247" s="28" t="s">
        <v>1135</v>
      </c>
    </row>
    <row r="248" spans="1:18">
      <c r="A248" s="31">
        <v>46001.61041666667</v>
      </c>
      <c r="B248" s="28">
        <v>10</v>
      </c>
      <c r="C248" s="28" t="s">
        <v>1122</v>
      </c>
      <c r="D248" s="28" t="s">
        <v>1781</v>
      </c>
      <c r="E248" s="28" t="s">
        <v>1124</v>
      </c>
      <c r="F248" s="28" t="s">
        <v>1125</v>
      </c>
      <c r="G248" s="28">
        <v>15.29</v>
      </c>
      <c r="H248" s="28">
        <v>15.29</v>
      </c>
      <c r="I248" s="28">
        <v>0.45</v>
      </c>
      <c r="J248" s="28">
        <v>14.84</v>
      </c>
      <c r="K248" s="28">
        <v>0</v>
      </c>
      <c r="L248" s="28" t="s">
        <v>45</v>
      </c>
      <c r="M248" s="28"/>
      <c r="N248" s="28"/>
      <c r="O248" s="28" t="s">
        <v>1782</v>
      </c>
      <c r="P248" s="28">
        <v>88126</v>
      </c>
      <c r="Q248" s="28"/>
      <c r="R248" s="28" t="s">
        <v>1135</v>
      </c>
    </row>
    <row r="249" spans="1:18">
      <c r="A249" s="31">
        <v>46001.574305555558</v>
      </c>
      <c r="B249" s="28">
        <v>10</v>
      </c>
      <c r="C249" s="28" t="s">
        <v>1122</v>
      </c>
      <c r="D249" s="28" t="s">
        <v>1783</v>
      </c>
      <c r="E249" s="28" t="s">
        <v>1124</v>
      </c>
      <c r="F249" s="28" t="s">
        <v>1125</v>
      </c>
      <c r="G249" s="28">
        <v>6.49</v>
      </c>
      <c r="H249" s="28">
        <v>6.49</v>
      </c>
      <c r="I249" s="28">
        <v>0.19</v>
      </c>
      <c r="J249" s="28">
        <v>6.3</v>
      </c>
      <c r="K249" s="28">
        <v>0</v>
      </c>
      <c r="L249" s="28" t="s">
        <v>45</v>
      </c>
      <c r="M249" s="28"/>
      <c r="N249" s="28"/>
      <c r="O249" s="28" t="s">
        <v>1784</v>
      </c>
      <c r="P249" s="28">
        <v>88114</v>
      </c>
      <c r="Q249" s="28"/>
      <c r="R249" s="28" t="s">
        <v>1531</v>
      </c>
    </row>
    <row r="250" spans="1:18">
      <c r="A250" s="31">
        <v>46001.353472222225</v>
      </c>
      <c r="B250" s="28">
        <v>10</v>
      </c>
      <c r="C250" s="28" t="s">
        <v>1122</v>
      </c>
      <c r="D250" s="28" t="s">
        <v>1785</v>
      </c>
      <c r="E250" s="28" t="s">
        <v>1124</v>
      </c>
      <c r="F250" s="28" t="s">
        <v>1125</v>
      </c>
      <c r="G250" s="28">
        <v>72.87</v>
      </c>
      <c r="H250" s="28">
        <v>72.87</v>
      </c>
      <c r="I250" s="28">
        <v>2.12</v>
      </c>
      <c r="J250" s="28">
        <v>70.75</v>
      </c>
      <c r="K250" s="28">
        <v>0</v>
      </c>
      <c r="L250" s="28" t="s">
        <v>45</v>
      </c>
      <c r="M250" s="28"/>
      <c r="N250" s="28"/>
      <c r="O250" s="28" t="s">
        <v>1786</v>
      </c>
      <c r="P250" s="28">
        <v>86410</v>
      </c>
      <c r="Q250" s="28"/>
      <c r="R250" s="28" t="s">
        <v>1149</v>
      </c>
    </row>
    <row r="251" spans="1:18">
      <c r="A251" s="31">
        <v>46001.179861111108</v>
      </c>
      <c r="B251" s="28">
        <v>10</v>
      </c>
      <c r="C251" s="28" t="s">
        <v>1122</v>
      </c>
      <c r="D251" s="28" t="s">
        <v>1787</v>
      </c>
      <c r="E251" s="28" t="s">
        <v>1124</v>
      </c>
      <c r="F251" s="28" t="s">
        <v>1125</v>
      </c>
      <c r="G251" s="28">
        <v>11.98</v>
      </c>
      <c r="H251" s="28">
        <v>11.98</v>
      </c>
      <c r="I251" s="28">
        <v>0.35</v>
      </c>
      <c r="J251" s="28">
        <v>11.63</v>
      </c>
      <c r="K251" s="28">
        <v>0</v>
      </c>
      <c r="L251" s="28" t="s">
        <v>45</v>
      </c>
      <c r="M251" s="28"/>
      <c r="N251" s="28"/>
      <c r="O251" s="28" t="s">
        <v>1788</v>
      </c>
      <c r="P251" s="28">
        <v>88102</v>
      </c>
      <c r="Q251" s="28"/>
      <c r="R251" s="28" t="s">
        <v>1149</v>
      </c>
    </row>
    <row r="252" spans="1:18">
      <c r="A252" s="28" t="s">
        <v>1789</v>
      </c>
      <c r="B252" s="28">
        <v>10</v>
      </c>
      <c r="C252" s="28" t="s">
        <v>1122</v>
      </c>
      <c r="D252" s="28" t="s">
        <v>1790</v>
      </c>
      <c r="E252" s="28" t="s">
        <v>1124</v>
      </c>
      <c r="F252" s="28" t="s">
        <v>1125</v>
      </c>
      <c r="G252" s="28">
        <v>8.6</v>
      </c>
      <c r="H252" s="28">
        <v>8.6</v>
      </c>
      <c r="I252" s="28">
        <v>0.25</v>
      </c>
      <c r="J252" s="28">
        <v>8.35</v>
      </c>
      <c r="K252" s="28">
        <v>0</v>
      </c>
      <c r="L252" s="28" t="s">
        <v>45</v>
      </c>
      <c r="M252" s="28"/>
      <c r="N252" s="28"/>
      <c r="O252" s="28" t="s">
        <v>1791</v>
      </c>
      <c r="P252" s="28">
        <v>88294</v>
      </c>
      <c r="Q252" s="28"/>
      <c r="R252" s="28" t="s">
        <v>1135</v>
      </c>
    </row>
    <row r="253" spans="1:18">
      <c r="A253" s="28" t="s">
        <v>1792</v>
      </c>
      <c r="B253" s="28">
        <v>10</v>
      </c>
      <c r="C253" s="28" t="s">
        <v>1122</v>
      </c>
      <c r="D253" s="28" t="s">
        <v>1793</v>
      </c>
      <c r="E253" s="28" t="s">
        <v>1124</v>
      </c>
      <c r="F253" s="28" t="s">
        <v>1125</v>
      </c>
      <c r="G253" s="28">
        <v>3.99</v>
      </c>
      <c r="H253" s="28">
        <v>3.99</v>
      </c>
      <c r="I253" s="28">
        <v>0.12</v>
      </c>
      <c r="J253" s="28">
        <v>3.87</v>
      </c>
      <c r="K253" s="28">
        <v>0</v>
      </c>
      <c r="L253" s="28" t="s">
        <v>45</v>
      </c>
      <c r="M253" s="28"/>
      <c r="N253" s="28"/>
      <c r="O253" s="28" t="s">
        <v>1794</v>
      </c>
      <c r="P253" s="28">
        <v>88270</v>
      </c>
      <c r="Q253" s="28"/>
      <c r="R253" s="28" t="s">
        <v>1131</v>
      </c>
    </row>
    <row r="254" spans="1:18">
      <c r="A254" s="28" t="s">
        <v>1795</v>
      </c>
      <c r="B254" s="28">
        <v>10</v>
      </c>
      <c r="C254" s="28" t="s">
        <v>1122</v>
      </c>
      <c r="D254" s="28" t="s">
        <v>1796</v>
      </c>
      <c r="E254" s="28" t="s">
        <v>1124</v>
      </c>
      <c r="F254" s="28" t="s">
        <v>1125</v>
      </c>
      <c r="G254" s="28">
        <v>4.99</v>
      </c>
      <c r="H254" s="28">
        <v>4.99</v>
      </c>
      <c r="I254" s="28">
        <v>0.15</v>
      </c>
      <c r="J254" s="28">
        <v>4.84</v>
      </c>
      <c r="K254" s="28">
        <v>0</v>
      </c>
      <c r="L254" s="28" t="s">
        <v>45</v>
      </c>
      <c r="M254" s="28"/>
      <c r="N254" s="28"/>
      <c r="O254" s="28" t="s">
        <v>1797</v>
      </c>
      <c r="P254" s="28">
        <v>88258</v>
      </c>
      <c r="Q254" s="28"/>
      <c r="R254" s="28" t="s">
        <v>1135</v>
      </c>
    </row>
    <row r="255" spans="1:18">
      <c r="A255" s="28" t="s">
        <v>1798</v>
      </c>
      <c r="B255" s="28">
        <v>10</v>
      </c>
      <c r="C255" s="28" t="s">
        <v>1122</v>
      </c>
      <c r="D255" s="28" t="s">
        <v>1799</v>
      </c>
      <c r="E255" s="28" t="s">
        <v>1124</v>
      </c>
      <c r="F255" s="28" t="s">
        <v>1125</v>
      </c>
      <c r="G255" s="28">
        <v>0.84</v>
      </c>
      <c r="H255" s="28">
        <v>0.84</v>
      </c>
      <c r="I255" s="28">
        <v>0.03</v>
      </c>
      <c r="J255" s="28">
        <v>0.81</v>
      </c>
      <c r="K255" s="28">
        <v>0</v>
      </c>
      <c r="L255" s="28" t="s">
        <v>45</v>
      </c>
      <c r="M255" s="28"/>
      <c r="N255" s="28"/>
      <c r="O255" s="28" t="s">
        <v>1800</v>
      </c>
      <c r="P255" s="28">
        <v>88426</v>
      </c>
      <c r="Q255" s="28"/>
      <c r="R255" s="28" t="s">
        <v>1160</v>
      </c>
    </row>
    <row r="256" spans="1:18">
      <c r="A256" s="28" t="s">
        <v>1801</v>
      </c>
      <c r="B256" s="28">
        <v>10</v>
      </c>
      <c r="C256" s="28" t="s">
        <v>1122</v>
      </c>
      <c r="D256" s="28" t="s">
        <v>1802</v>
      </c>
      <c r="E256" s="28" t="s">
        <v>1124</v>
      </c>
      <c r="F256" s="28" t="s">
        <v>1125</v>
      </c>
      <c r="G256" s="28">
        <v>7.59</v>
      </c>
      <c r="H256" s="28">
        <v>7.59</v>
      </c>
      <c r="I256" s="28">
        <v>0.22</v>
      </c>
      <c r="J256" s="28">
        <v>7.37</v>
      </c>
      <c r="K256" s="28">
        <v>0</v>
      </c>
      <c r="L256" s="28" t="s">
        <v>45</v>
      </c>
      <c r="M256" s="28"/>
      <c r="N256" s="28"/>
      <c r="O256" s="28" t="s">
        <v>1803</v>
      </c>
      <c r="P256" s="28">
        <v>88414</v>
      </c>
      <c r="Q256" s="28"/>
      <c r="R256" s="28" t="s">
        <v>1131</v>
      </c>
    </row>
    <row r="257" spans="1:18">
      <c r="A257" s="28" t="s">
        <v>1804</v>
      </c>
      <c r="B257" s="28">
        <v>10</v>
      </c>
      <c r="C257" s="28" t="s">
        <v>1122</v>
      </c>
      <c r="D257" s="28" t="s">
        <v>1805</v>
      </c>
      <c r="E257" s="28" t="s">
        <v>1124</v>
      </c>
      <c r="F257" s="28" t="s">
        <v>1125</v>
      </c>
      <c r="G257" s="28">
        <v>6.49</v>
      </c>
      <c r="H257" s="28">
        <v>6.49</v>
      </c>
      <c r="I257" s="28">
        <v>0.19</v>
      </c>
      <c r="J257" s="28">
        <v>6.3</v>
      </c>
      <c r="K257" s="28">
        <v>0</v>
      </c>
      <c r="L257" s="28" t="s">
        <v>45</v>
      </c>
      <c r="M257" s="28"/>
      <c r="N257" s="28"/>
      <c r="O257" s="28" t="s">
        <v>1806</v>
      </c>
      <c r="P257" s="28">
        <v>88714</v>
      </c>
      <c r="Q257" s="28"/>
      <c r="R257" s="28" t="s">
        <v>1160</v>
      </c>
    </row>
    <row r="258" spans="1:18">
      <c r="A258" s="28" t="s">
        <v>1807</v>
      </c>
      <c r="B258" s="28">
        <v>10</v>
      </c>
      <c r="C258" s="28" t="s">
        <v>1122</v>
      </c>
      <c r="D258" s="28" t="s">
        <v>1808</v>
      </c>
      <c r="E258" s="28" t="s">
        <v>1124</v>
      </c>
      <c r="F258" s="28" t="s">
        <v>1125</v>
      </c>
      <c r="G258" s="28">
        <v>7.99</v>
      </c>
      <c r="H258" s="28">
        <v>7.99</v>
      </c>
      <c r="I258" s="28">
        <v>0.24</v>
      </c>
      <c r="J258" s="28">
        <v>7.75</v>
      </c>
      <c r="K258" s="28">
        <v>0</v>
      </c>
      <c r="L258" s="28" t="s">
        <v>45</v>
      </c>
      <c r="M258" s="28"/>
      <c r="N258" s="28"/>
      <c r="O258" s="28" t="s">
        <v>1809</v>
      </c>
      <c r="P258" s="28">
        <v>88690</v>
      </c>
      <c r="Q258" s="28"/>
      <c r="R258" s="28" t="s">
        <v>1149</v>
      </c>
    </row>
    <row r="259" spans="1:18">
      <c r="A259" s="28" t="s">
        <v>1810</v>
      </c>
      <c r="B259" s="28">
        <v>10</v>
      </c>
      <c r="C259" s="28" t="s">
        <v>1122</v>
      </c>
      <c r="D259" s="28" t="s">
        <v>1811</v>
      </c>
      <c r="E259" s="28" t="s">
        <v>1124</v>
      </c>
      <c r="F259" s="28" t="s">
        <v>1125</v>
      </c>
      <c r="G259" s="28">
        <v>2.4900000000000002</v>
      </c>
      <c r="H259" s="28">
        <v>2.4900000000000002</v>
      </c>
      <c r="I259" s="28">
        <v>0.08</v>
      </c>
      <c r="J259" s="28">
        <v>2.41</v>
      </c>
      <c r="K259" s="28">
        <v>0</v>
      </c>
      <c r="L259" s="28" t="s">
        <v>45</v>
      </c>
      <c r="M259" s="28"/>
      <c r="N259" s="28"/>
      <c r="O259" s="28" t="s">
        <v>1812</v>
      </c>
      <c r="P259" s="28">
        <v>88654</v>
      </c>
      <c r="Q259" s="28"/>
      <c r="R259" s="28" t="s">
        <v>1131</v>
      </c>
    </row>
    <row r="260" spans="1:18">
      <c r="A260" s="28" t="s">
        <v>1813</v>
      </c>
      <c r="B260" s="28">
        <v>10</v>
      </c>
      <c r="C260" s="28" t="s">
        <v>1122</v>
      </c>
      <c r="D260" s="28" t="s">
        <v>1814</v>
      </c>
      <c r="E260" s="28" t="s">
        <v>1124</v>
      </c>
      <c r="F260" s="28" t="s">
        <v>1125</v>
      </c>
      <c r="G260" s="28">
        <v>6.49</v>
      </c>
      <c r="H260" s="28">
        <v>6.49</v>
      </c>
      <c r="I260" s="28">
        <v>0.19</v>
      </c>
      <c r="J260" s="28">
        <v>6.3</v>
      </c>
      <c r="K260" s="28">
        <v>0</v>
      </c>
      <c r="L260" s="28" t="s">
        <v>45</v>
      </c>
      <c r="M260" s="28"/>
      <c r="N260" s="28"/>
      <c r="O260" s="28" t="s">
        <v>1815</v>
      </c>
      <c r="P260" s="28">
        <v>88642</v>
      </c>
      <c r="Q260" s="28"/>
      <c r="R260" s="28" t="s">
        <v>1135</v>
      </c>
    </row>
    <row r="261" spans="1:18">
      <c r="A261" s="28" t="s">
        <v>1816</v>
      </c>
      <c r="B261" s="28">
        <v>10</v>
      </c>
      <c r="C261" s="28" t="s">
        <v>1122</v>
      </c>
      <c r="D261" s="28" t="s">
        <v>1817</v>
      </c>
      <c r="E261" s="28" t="s">
        <v>1124</v>
      </c>
      <c r="F261" s="28" t="s">
        <v>1125</v>
      </c>
      <c r="G261" s="28">
        <v>6.49</v>
      </c>
      <c r="H261" s="28">
        <v>6.49</v>
      </c>
      <c r="I261" s="28">
        <v>0.19</v>
      </c>
      <c r="J261" s="28">
        <v>6.3</v>
      </c>
      <c r="K261" s="28">
        <v>0</v>
      </c>
      <c r="L261" s="28" t="s">
        <v>45</v>
      </c>
      <c r="M261" s="28"/>
      <c r="N261" s="28"/>
      <c r="O261" s="28" t="s">
        <v>1818</v>
      </c>
      <c r="P261" s="28">
        <v>86818</v>
      </c>
      <c r="Q261" s="28"/>
      <c r="R261" s="28" t="s">
        <v>1135</v>
      </c>
    </row>
    <row r="262" spans="1:18">
      <c r="A262" s="28" t="s">
        <v>1819</v>
      </c>
      <c r="B262" s="28">
        <v>10</v>
      </c>
      <c r="C262" s="28" t="s">
        <v>1122</v>
      </c>
      <c r="D262" s="28" t="s">
        <v>1820</v>
      </c>
      <c r="E262" s="28" t="s">
        <v>1124</v>
      </c>
      <c r="F262" s="28" t="s">
        <v>1125</v>
      </c>
      <c r="G262" s="28">
        <v>19.98</v>
      </c>
      <c r="H262" s="28">
        <v>19.98</v>
      </c>
      <c r="I262" s="28">
        <v>0.57999999999999996</v>
      </c>
      <c r="J262" s="28">
        <v>19.399999999999999</v>
      </c>
      <c r="K262" s="28">
        <v>0</v>
      </c>
      <c r="L262" s="28" t="s">
        <v>45</v>
      </c>
      <c r="M262" s="28"/>
      <c r="N262" s="28"/>
      <c r="O262" s="28" t="s">
        <v>1821</v>
      </c>
      <c r="P262" s="28">
        <v>88846</v>
      </c>
      <c r="Q262" s="28"/>
      <c r="R262" s="28" t="s">
        <v>1308</v>
      </c>
    </row>
    <row r="263" spans="1:18">
      <c r="A263" s="28" t="s">
        <v>1822</v>
      </c>
      <c r="B263" s="28">
        <v>10</v>
      </c>
      <c r="C263" s="28" t="s">
        <v>1122</v>
      </c>
      <c r="D263" s="28" t="s">
        <v>1823</v>
      </c>
      <c r="E263" s="28" t="s">
        <v>1124</v>
      </c>
      <c r="F263" s="28" t="s">
        <v>1125</v>
      </c>
      <c r="G263" s="28">
        <v>2.4900000000000002</v>
      </c>
      <c r="H263" s="28">
        <v>2.4900000000000002</v>
      </c>
      <c r="I263" s="28">
        <v>0.08</v>
      </c>
      <c r="J263" s="28">
        <v>2.41</v>
      </c>
      <c r="K263" s="28">
        <v>0</v>
      </c>
      <c r="L263" s="28" t="s">
        <v>45</v>
      </c>
      <c r="M263" s="28"/>
      <c r="N263" s="28"/>
      <c r="O263" s="28" t="s">
        <v>1824</v>
      </c>
      <c r="P263" s="28">
        <v>88810</v>
      </c>
      <c r="Q263" s="28"/>
      <c r="R263" s="28" t="s">
        <v>1531</v>
      </c>
    </row>
    <row r="264" spans="1:18">
      <c r="A264" s="28" t="s">
        <v>1825</v>
      </c>
      <c r="B264" s="28">
        <v>10</v>
      </c>
      <c r="C264" s="28" t="s">
        <v>1122</v>
      </c>
      <c r="D264" s="28" t="s">
        <v>1826</v>
      </c>
      <c r="E264" s="28" t="s">
        <v>1124</v>
      </c>
      <c r="F264" s="28" t="s">
        <v>1125</v>
      </c>
      <c r="G264" s="28">
        <v>2.4900000000000002</v>
      </c>
      <c r="H264" s="28">
        <v>2.4900000000000002</v>
      </c>
      <c r="I264" s="28">
        <v>0.08</v>
      </c>
      <c r="J264" s="28">
        <v>2.41</v>
      </c>
      <c r="K264" s="28">
        <v>0</v>
      </c>
      <c r="L264" s="28" t="s">
        <v>45</v>
      </c>
      <c r="M264" s="28"/>
      <c r="N264" s="28"/>
      <c r="O264" s="28" t="s">
        <v>1827</v>
      </c>
      <c r="P264" s="28">
        <v>88798</v>
      </c>
      <c r="Q264" s="28"/>
      <c r="R264" s="28" t="s">
        <v>1531</v>
      </c>
    </row>
    <row r="265" spans="1:18">
      <c r="A265" s="28" t="s">
        <v>1828</v>
      </c>
      <c r="B265" s="28">
        <v>10</v>
      </c>
      <c r="C265" s="28" t="s">
        <v>1122</v>
      </c>
      <c r="D265" s="28" t="s">
        <v>1829</v>
      </c>
      <c r="E265" s="28" t="s">
        <v>1124</v>
      </c>
      <c r="F265" s="28" t="s">
        <v>1125</v>
      </c>
      <c r="G265" s="28">
        <v>4.49</v>
      </c>
      <c r="H265" s="28">
        <v>4.49</v>
      </c>
      <c r="I265" s="28">
        <v>0.13</v>
      </c>
      <c r="J265" s="28">
        <v>4.3600000000000003</v>
      </c>
      <c r="K265" s="28">
        <v>0</v>
      </c>
      <c r="L265" s="28" t="s">
        <v>45</v>
      </c>
      <c r="M265" s="28"/>
      <c r="N265" s="28"/>
      <c r="O265" s="28" t="s">
        <v>1830</v>
      </c>
      <c r="P265" s="28">
        <v>88786</v>
      </c>
      <c r="Q265" s="28"/>
      <c r="R265" s="28" t="s">
        <v>1531</v>
      </c>
    </row>
    <row r="266" spans="1:18">
      <c r="A266" s="28" t="s">
        <v>1831</v>
      </c>
      <c r="B266" s="28">
        <v>10</v>
      </c>
      <c r="C266" s="28" t="s">
        <v>1122</v>
      </c>
      <c r="D266" s="28" t="s">
        <v>1832</v>
      </c>
      <c r="E266" s="28" t="s">
        <v>1124</v>
      </c>
      <c r="F266" s="28" t="s">
        <v>1125</v>
      </c>
      <c r="G266" s="28">
        <v>3.99</v>
      </c>
      <c r="H266" s="28">
        <v>3.99</v>
      </c>
      <c r="I266" s="28">
        <v>0.12</v>
      </c>
      <c r="J266" s="28">
        <v>3.87</v>
      </c>
      <c r="K266" s="28">
        <v>0</v>
      </c>
      <c r="L266" s="28" t="s">
        <v>45</v>
      </c>
      <c r="M266" s="28"/>
      <c r="N266" s="28"/>
      <c r="O266" s="28" t="s">
        <v>1833</v>
      </c>
      <c r="P266" s="28">
        <v>88774</v>
      </c>
      <c r="Q266" s="28"/>
      <c r="R266" s="28"/>
    </row>
    <row r="267" spans="1:18">
      <c r="A267" s="28" t="s">
        <v>1834</v>
      </c>
      <c r="B267" s="28">
        <v>10</v>
      </c>
      <c r="C267" s="28" t="s">
        <v>1122</v>
      </c>
      <c r="D267" s="28" t="s">
        <v>1835</v>
      </c>
      <c r="E267" s="28" t="s">
        <v>1124</v>
      </c>
      <c r="F267" s="28" t="s">
        <v>1125</v>
      </c>
      <c r="G267" s="28">
        <v>1.98</v>
      </c>
      <c r="H267" s="28">
        <v>1.98</v>
      </c>
      <c r="I267" s="28">
        <v>0.06</v>
      </c>
      <c r="J267" s="28">
        <v>1.92</v>
      </c>
      <c r="K267" s="28">
        <v>0</v>
      </c>
      <c r="L267" s="28" t="s">
        <v>45</v>
      </c>
      <c r="M267" s="28"/>
      <c r="N267" s="28"/>
      <c r="O267" s="28" t="s">
        <v>1836</v>
      </c>
      <c r="P267" s="28">
        <v>89050</v>
      </c>
      <c r="Q267" s="28"/>
      <c r="R267" s="28" t="s">
        <v>1149</v>
      </c>
    </row>
    <row r="268" spans="1:18">
      <c r="A268" s="28" t="s">
        <v>1837</v>
      </c>
      <c r="B268" s="28">
        <v>10</v>
      </c>
      <c r="C268" s="28" t="s">
        <v>1122</v>
      </c>
      <c r="D268" s="28" t="s">
        <v>1838</v>
      </c>
      <c r="E268" s="28" t="s">
        <v>1124</v>
      </c>
      <c r="F268" s="28" t="s">
        <v>1125</v>
      </c>
      <c r="G268" s="28">
        <v>2.99</v>
      </c>
      <c r="H268" s="28">
        <v>2.99</v>
      </c>
      <c r="I268" s="28">
        <v>0.09</v>
      </c>
      <c r="J268" s="28">
        <v>2.9</v>
      </c>
      <c r="K268" s="28">
        <v>0</v>
      </c>
      <c r="L268" s="28" t="s">
        <v>45</v>
      </c>
      <c r="M268" s="28"/>
      <c r="N268" s="28"/>
      <c r="O268" s="28" t="s">
        <v>1839</v>
      </c>
      <c r="P268" s="28">
        <v>89038</v>
      </c>
      <c r="Q268" s="28"/>
      <c r="R268" s="28" t="s">
        <v>1531</v>
      </c>
    </row>
    <row r="269" spans="1:18">
      <c r="A269" s="28" t="s">
        <v>1840</v>
      </c>
      <c r="B269" s="28">
        <v>10</v>
      </c>
      <c r="C269" s="28" t="s">
        <v>1122</v>
      </c>
      <c r="D269" s="28" t="s">
        <v>1841</v>
      </c>
      <c r="E269" s="28" t="s">
        <v>1124</v>
      </c>
      <c r="F269" s="28" t="s">
        <v>1125</v>
      </c>
      <c r="G269" s="28">
        <v>2.98</v>
      </c>
      <c r="H269" s="28">
        <v>2.98</v>
      </c>
      <c r="I269" s="28">
        <v>0.09</v>
      </c>
      <c r="J269" s="28">
        <v>2.89</v>
      </c>
      <c r="K269" s="28">
        <v>0</v>
      </c>
      <c r="L269" s="28" t="s">
        <v>45</v>
      </c>
      <c r="M269" s="28"/>
      <c r="N269" s="28"/>
      <c r="O269" s="28" t="s">
        <v>1842</v>
      </c>
      <c r="P269" s="28">
        <v>87130</v>
      </c>
      <c r="Q269" s="28"/>
      <c r="R269" s="28" t="s">
        <v>1135</v>
      </c>
    </row>
    <row r="270" spans="1:18">
      <c r="A270" s="28" t="s">
        <v>1843</v>
      </c>
      <c r="B270" s="28">
        <v>10</v>
      </c>
      <c r="C270" s="28" t="s">
        <v>1122</v>
      </c>
      <c r="D270" s="28" t="s">
        <v>1844</v>
      </c>
      <c r="E270" s="28" t="s">
        <v>1124</v>
      </c>
      <c r="F270" s="28" t="s">
        <v>1125</v>
      </c>
      <c r="G270" s="28">
        <v>4.08</v>
      </c>
      <c r="H270" s="28">
        <v>4.08</v>
      </c>
      <c r="I270" s="28">
        <v>0.12</v>
      </c>
      <c r="J270" s="28">
        <v>3.96</v>
      </c>
      <c r="K270" s="28">
        <v>0</v>
      </c>
      <c r="L270" s="28" t="s">
        <v>45</v>
      </c>
      <c r="M270" s="28"/>
      <c r="N270" s="28"/>
      <c r="O270" s="28" t="s">
        <v>1845</v>
      </c>
      <c r="P270" s="28">
        <v>87370</v>
      </c>
      <c r="Q270" s="28"/>
      <c r="R270" s="28" t="s">
        <v>1127</v>
      </c>
    </row>
    <row r="271" spans="1:18">
      <c r="A271" s="28" t="s">
        <v>1846</v>
      </c>
      <c r="B271" s="28">
        <v>10</v>
      </c>
      <c r="C271" s="28" t="s">
        <v>1122</v>
      </c>
      <c r="D271" s="28" t="s">
        <v>1847</v>
      </c>
      <c r="E271" s="28" t="s">
        <v>1124</v>
      </c>
      <c r="F271" s="28" t="s">
        <v>1125</v>
      </c>
      <c r="G271" s="28">
        <v>59.99</v>
      </c>
      <c r="H271" s="28">
        <v>59.99</v>
      </c>
      <c r="I271" s="28">
        <v>1.74</v>
      </c>
      <c r="J271" s="28">
        <v>58.25</v>
      </c>
      <c r="K271" s="28">
        <v>0</v>
      </c>
      <c r="L271" s="28" t="s">
        <v>45</v>
      </c>
      <c r="M271" s="28"/>
      <c r="N271" s="28"/>
      <c r="O271" s="28" t="s">
        <v>1848</v>
      </c>
      <c r="P271" s="28">
        <v>89447</v>
      </c>
      <c r="Q271" s="28"/>
      <c r="R271" s="28" t="s">
        <v>1135</v>
      </c>
    </row>
    <row r="272" spans="1:18">
      <c r="A272" s="28" t="s">
        <v>1849</v>
      </c>
      <c r="B272" s="28">
        <v>10</v>
      </c>
      <c r="C272" s="28" t="s">
        <v>1122</v>
      </c>
      <c r="D272" s="28" t="s">
        <v>1850</v>
      </c>
      <c r="E272" s="28" t="s">
        <v>1124</v>
      </c>
      <c r="F272" s="28" t="s">
        <v>1125</v>
      </c>
      <c r="G272" s="28">
        <v>16.989999999999998</v>
      </c>
      <c r="H272" s="28">
        <v>16.989999999999998</v>
      </c>
      <c r="I272" s="28">
        <v>0.5</v>
      </c>
      <c r="J272" s="28">
        <v>16.489999999999998</v>
      </c>
      <c r="K272" s="28">
        <v>0</v>
      </c>
      <c r="L272" s="28" t="s">
        <v>45</v>
      </c>
      <c r="M272" s="28"/>
      <c r="N272" s="28"/>
      <c r="O272" s="28" t="s">
        <v>1851</v>
      </c>
      <c r="P272" s="28">
        <v>88210</v>
      </c>
      <c r="Q272" s="28"/>
      <c r="R272" s="28" t="s">
        <v>1135</v>
      </c>
    </row>
    <row r="273" spans="1:18">
      <c r="A273" s="28" t="s">
        <v>1852</v>
      </c>
      <c r="B273" s="28">
        <v>10</v>
      </c>
      <c r="C273" s="28" t="s">
        <v>1122</v>
      </c>
      <c r="D273" s="28" t="s">
        <v>1853</v>
      </c>
      <c r="E273" s="28" t="s">
        <v>1124</v>
      </c>
      <c r="F273" s="28" t="s">
        <v>1125</v>
      </c>
      <c r="G273" s="28">
        <v>26.09</v>
      </c>
      <c r="H273" s="28">
        <v>26.09</v>
      </c>
      <c r="I273" s="28">
        <v>0.76</v>
      </c>
      <c r="J273" s="28">
        <v>25.33</v>
      </c>
      <c r="K273" s="28">
        <v>0</v>
      </c>
      <c r="L273" s="28" t="s">
        <v>45</v>
      </c>
      <c r="M273" s="28"/>
      <c r="N273" s="28"/>
      <c r="O273" s="28" t="s">
        <v>1854</v>
      </c>
      <c r="P273" s="28">
        <v>89423</v>
      </c>
      <c r="Q273" s="28"/>
      <c r="R273" s="28" t="s">
        <v>1135</v>
      </c>
    </row>
    <row r="274" spans="1:18">
      <c r="A274" s="28" t="s">
        <v>1855</v>
      </c>
      <c r="B274" s="28">
        <v>10</v>
      </c>
      <c r="C274" s="28" t="s">
        <v>1122</v>
      </c>
      <c r="D274" s="28" t="s">
        <v>1856</v>
      </c>
      <c r="E274" s="28" t="s">
        <v>1124</v>
      </c>
      <c r="F274" s="28" t="s">
        <v>1125</v>
      </c>
      <c r="G274" s="28">
        <v>4.99</v>
      </c>
      <c r="H274" s="28">
        <v>4.99</v>
      </c>
      <c r="I274" s="28">
        <v>0.15</v>
      </c>
      <c r="J274" s="28">
        <v>4.84</v>
      </c>
      <c r="K274" s="28">
        <v>0</v>
      </c>
      <c r="L274" s="28" t="s">
        <v>45</v>
      </c>
      <c r="M274" s="28"/>
      <c r="N274" s="28"/>
      <c r="O274" s="28" t="s">
        <v>1857</v>
      </c>
      <c r="P274" s="28">
        <v>89387</v>
      </c>
      <c r="Q274" s="28"/>
      <c r="R274" s="28" t="s">
        <v>1149</v>
      </c>
    </row>
    <row r="275" spans="1:18">
      <c r="A275" s="28" t="s">
        <v>1858</v>
      </c>
      <c r="B275" s="28">
        <v>10</v>
      </c>
      <c r="C275" s="28" t="s">
        <v>1122</v>
      </c>
      <c r="D275" s="28" t="s">
        <v>1859</v>
      </c>
      <c r="E275" s="28" t="s">
        <v>1124</v>
      </c>
      <c r="F275" s="28" t="s">
        <v>1125</v>
      </c>
      <c r="G275" s="28">
        <v>20.69</v>
      </c>
      <c r="H275" s="28">
        <v>20.69</v>
      </c>
      <c r="I275" s="28">
        <v>0.6</v>
      </c>
      <c r="J275" s="28">
        <v>20.09</v>
      </c>
      <c r="K275" s="28">
        <v>0</v>
      </c>
      <c r="L275" s="28" t="s">
        <v>45</v>
      </c>
      <c r="M275" s="28"/>
      <c r="N275" s="28"/>
      <c r="O275" s="28" t="s">
        <v>1860</v>
      </c>
      <c r="P275" s="28">
        <v>89363</v>
      </c>
      <c r="Q275" s="28"/>
      <c r="R275" s="28" t="s">
        <v>1139</v>
      </c>
    </row>
    <row r="276" spans="1:18">
      <c r="A276" s="28" t="s">
        <v>1861</v>
      </c>
      <c r="B276" s="28">
        <v>10</v>
      </c>
      <c r="C276" s="28" t="s">
        <v>1122</v>
      </c>
      <c r="D276" s="28" t="s">
        <v>1862</v>
      </c>
      <c r="E276" s="28" t="s">
        <v>1124</v>
      </c>
      <c r="F276" s="28" t="s">
        <v>1125</v>
      </c>
      <c r="G276" s="28">
        <v>20.67</v>
      </c>
      <c r="H276" s="28">
        <v>20.67</v>
      </c>
      <c r="I276" s="28">
        <v>0.6</v>
      </c>
      <c r="J276" s="28">
        <v>20.07</v>
      </c>
      <c r="K276" s="28">
        <v>0</v>
      </c>
      <c r="L276" s="28" t="s">
        <v>45</v>
      </c>
      <c r="M276" s="28"/>
      <c r="N276" s="28"/>
      <c r="O276" s="28" t="s">
        <v>1863</v>
      </c>
      <c r="P276" s="28">
        <v>87622</v>
      </c>
      <c r="Q276" s="28"/>
      <c r="R276" s="28" t="s">
        <v>1135</v>
      </c>
    </row>
    <row r="277" spans="1:18">
      <c r="A277" s="28" t="s">
        <v>1864</v>
      </c>
      <c r="B277" s="28">
        <v>10</v>
      </c>
      <c r="C277" s="28" t="s">
        <v>1122</v>
      </c>
      <c r="D277" s="28" t="s">
        <v>1865</v>
      </c>
      <c r="E277" s="28" t="s">
        <v>1124</v>
      </c>
      <c r="F277" s="28" t="s">
        <v>1125</v>
      </c>
      <c r="G277" s="28">
        <v>23.7</v>
      </c>
      <c r="H277" s="28">
        <v>23.7</v>
      </c>
      <c r="I277" s="28">
        <v>0.69</v>
      </c>
      <c r="J277" s="28">
        <v>23.01</v>
      </c>
      <c r="K277" s="28">
        <v>0</v>
      </c>
      <c r="L277" s="28" t="s">
        <v>45</v>
      </c>
      <c r="M277" s="28"/>
      <c r="N277" s="28"/>
      <c r="O277" s="28" t="s">
        <v>1866</v>
      </c>
      <c r="P277" s="28">
        <v>89543</v>
      </c>
      <c r="Q277" s="28"/>
      <c r="R277" s="28" t="s">
        <v>1135</v>
      </c>
    </row>
    <row r="278" spans="1:18">
      <c r="A278" s="28" t="s">
        <v>1867</v>
      </c>
      <c r="B278" s="28">
        <v>10</v>
      </c>
      <c r="C278" s="28" t="s">
        <v>1122</v>
      </c>
      <c r="D278" s="28" t="s">
        <v>1868</v>
      </c>
      <c r="E278" s="28" t="s">
        <v>1194</v>
      </c>
      <c r="F278" s="28" t="s">
        <v>1125</v>
      </c>
      <c r="G278" s="28">
        <v>-5.83</v>
      </c>
      <c r="H278" s="28">
        <v>-5.83</v>
      </c>
      <c r="I278" s="28">
        <v>0.5</v>
      </c>
      <c r="J278" s="28">
        <v>-5.83</v>
      </c>
      <c r="K278" s="28">
        <v>5.33</v>
      </c>
      <c r="L278" s="28" t="s">
        <v>45</v>
      </c>
      <c r="M278" s="28"/>
      <c r="N278" s="28"/>
      <c r="O278" s="28" t="s">
        <v>1869</v>
      </c>
      <c r="P278" s="28">
        <v>89711</v>
      </c>
      <c r="Q278" s="28" t="s">
        <v>1870</v>
      </c>
      <c r="R278" s="28" t="s">
        <v>1131</v>
      </c>
    </row>
    <row r="279" spans="1:18">
      <c r="A279" s="28" t="s">
        <v>1871</v>
      </c>
      <c r="B279" s="28">
        <v>10</v>
      </c>
      <c r="C279" s="28" t="s">
        <v>1122</v>
      </c>
      <c r="D279" s="28" t="s">
        <v>1870</v>
      </c>
      <c r="E279" s="28" t="s">
        <v>1124</v>
      </c>
      <c r="F279" s="28" t="s">
        <v>1125</v>
      </c>
      <c r="G279" s="28">
        <v>5.49</v>
      </c>
      <c r="H279" s="28">
        <v>5.49</v>
      </c>
      <c r="I279" s="28">
        <v>0.16</v>
      </c>
      <c r="J279" s="28">
        <v>5.33</v>
      </c>
      <c r="K279" s="28">
        <v>5.33</v>
      </c>
      <c r="L279" s="28" t="s">
        <v>45</v>
      </c>
      <c r="M279" s="28"/>
      <c r="N279" s="28"/>
      <c r="O279" s="28" t="s">
        <v>1872</v>
      </c>
      <c r="P279" s="28">
        <v>89711</v>
      </c>
      <c r="Q279" s="28"/>
      <c r="R279" s="28" t="s">
        <v>1131</v>
      </c>
    </row>
    <row r="280" spans="1:18">
      <c r="A280" s="28" t="s">
        <v>1873</v>
      </c>
      <c r="B280" s="28">
        <v>10</v>
      </c>
      <c r="C280" s="28" t="s">
        <v>1122</v>
      </c>
      <c r="D280" s="28" t="s">
        <v>1874</v>
      </c>
      <c r="E280" s="28" t="s">
        <v>1124</v>
      </c>
      <c r="F280" s="28" t="s">
        <v>1125</v>
      </c>
      <c r="G280" s="28">
        <v>2.4900000000000002</v>
      </c>
      <c r="H280" s="28">
        <v>2.4900000000000002</v>
      </c>
      <c r="I280" s="28">
        <v>0.08</v>
      </c>
      <c r="J280" s="28">
        <v>2.41</v>
      </c>
      <c r="K280" s="28">
        <v>0</v>
      </c>
      <c r="L280" s="28" t="s">
        <v>45</v>
      </c>
      <c r="M280" s="28"/>
      <c r="N280" s="28"/>
      <c r="O280" s="28" t="s">
        <v>1875</v>
      </c>
      <c r="P280" s="28">
        <v>89687</v>
      </c>
      <c r="Q280" s="28"/>
      <c r="R280" s="28" t="s">
        <v>1131</v>
      </c>
    </row>
    <row r="281" spans="1:18">
      <c r="A281" s="28" t="s">
        <v>1876</v>
      </c>
      <c r="B281" s="28">
        <v>10</v>
      </c>
      <c r="C281" s="28" t="s">
        <v>1122</v>
      </c>
      <c r="D281" s="28" t="s">
        <v>1877</v>
      </c>
      <c r="E281" s="28" t="s">
        <v>1124</v>
      </c>
      <c r="F281" s="28" t="s">
        <v>1125</v>
      </c>
      <c r="G281" s="28">
        <v>28.99</v>
      </c>
      <c r="H281" s="28">
        <v>28.99</v>
      </c>
      <c r="I281" s="28">
        <v>0.84</v>
      </c>
      <c r="J281" s="28">
        <v>28.15</v>
      </c>
      <c r="K281" s="28">
        <v>0</v>
      </c>
      <c r="L281" s="28" t="s">
        <v>45</v>
      </c>
      <c r="M281" s="28"/>
      <c r="N281" s="28"/>
      <c r="O281" s="28" t="s">
        <v>1878</v>
      </c>
      <c r="P281" s="28">
        <v>89855</v>
      </c>
      <c r="Q281" s="28"/>
      <c r="R281" s="28" t="s">
        <v>1879</v>
      </c>
    </row>
    <row r="282" spans="1:18">
      <c r="A282" s="28" t="s">
        <v>1880</v>
      </c>
      <c r="B282" s="28">
        <v>10</v>
      </c>
      <c r="C282" s="28" t="s">
        <v>1122</v>
      </c>
      <c r="D282" s="28" t="s">
        <v>1881</v>
      </c>
      <c r="E282" s="28" t="s">
        <v>1124</v>
      </c>
      <c r="F282" s="28" t="s">
        <v>1125</v>
      </c>
      <c r="G282" s="28">
        <v>28.99</v>
      </c>
      <c r="H282" s="28">
        <v>28.99</v>
      </c>
      <c r="I282" s="28">
        <v>0.84</v>
      </c>
      <c r="J282" s="28">
        <v>28.15</v>
      </c>
      <c r="K282" s="28">
        <v>0</v>
      </c>
      <c r="L282" s="28" t="s">
        <v>45</v>
      </c>
      <c r="M282" s="28"/>
      <c r="N282" s="28"/>
      <c r="O282" s="28" t="s">
        <v>1882</v>
      </c>
      <c r="P282" s="28">
        <v>89843</v>
      </c>
      <c r="Q282" s="28"/>
      <c r="R282" s="28" t="s">
        <v>1131</v>
      </c>
    </row>
    <row r="283" spans="1:18">
      <c r="A283" s="28" t="s">
        <v>1883</v>
      </c>
      <c r="B283" s="28">
        <v>10</v>
      </c>
      <c r="C283" s="28" t="s">
        <v>1122</v>
      </c>
      <c r="D283" s="28" t="s">
        <v>1884</v>
      </c>
      <c r="E283" s="28" t="s">
        <v>1124</v>
      </c>
      <c r="F283" s="28" t="s">
        <v>1125</v>
      </c>
      <c r="G283" s="28">
        <v>9</v>
      </c>
      <c r="H283" s="28">
        <v>9</v>
      </c>
      <c r="I283" s="28">
        <v>0.26</v>
      </c>
      <c r="J283" s="28">
        <v>8.74</v>
      </c>
      <c r="K283" s="28">
        <v>0</v>
      </c>
      <c r="L283" s="28" t="s">
        <v>45</v>
      </c>
      <c r="M283" s="28"/>
      <c r="N283" s="28"/>
      <c r="O283" s="28" t="s">
        <v>1885</v>
      </c>
      <c r="P283" s="28">
        <v>90023</v>
      </c>
      <c r="Q283" s="28"/>
      <c r="R283" s="28" t="s">
        <v>1131</v>
      </c>
    </row>
    <row r="284" spans="1:18">
      <c r="A284" s="28" t="s">
        <v>1886</v>
      </c>
      <c r="B284" s="28">
        <v>10</v>
      </c>
      <c r="C284" s="28" t="s">
        <v>1122</v>
      </c>
      <c r="D284" s="28" t="s">
        <v>1887</v>
      </c>
      <c r="E284" s="28" t="s">
        <v>1124</v>
      </c>
      <c r="F284" s="28" t="s">
        <v>1125</v>
      </c>
      <c r="G284" s="28">
        <v>2.4900000000000002</v>
      </c>
      <c r="H284" s="28">
        <v>2.4900000000000002</v>
      </c>
      <c r="I284" s="28">
        <v>0.08</v>
      </c>
      <c r="J284" s="28">
        <v>2.41</v>
      </c>
      <c r="K284" s="28">
        <v>0</v>
      </c>
      <c r="L284" s="28" t="s">
        <v>45</v>
      </c>
      <c r="M284" s="28"/>
      <c r="N284" s="28"/>
      <c r="O284" s="28" t="s">
        <v>1888</v>
      </c>
      <c r="P284" s="28">
        <v>89999</v>
      </c>
      <c r="Q284" s="28"/>
      <c r="R284" s="28" t="s">
        <v>1889</v>
      </c>
    </row>
    <row r="285" spans="1:18">
      <c r="A285" s="28" t="s">
        <v>1890</v>
      </c>
      <c r="B285" s="28">
        <v>10</v>
      </c>
      <c r="C285" s="28" t="s">
        <v>1122</v>
      </c>
      <c r="D285" s="28" t="s">
        <v>1891</v>
      </c>
      <c r="E285" s="28" t="s">
        <v>1124</v>
      </c>
      <c r="F285" s="28" t="s">
        <v>1125</v>
      </c>
      <c r="G285" s="28">
        <v>4.49</v>
      </c>
      <c r="H285" s="28">
        <v>4.49</v>
      </c>
      <c r="I285" s="28">
        <v>0.13</v>
      </c>
      <c r="J285" s="28">
        <v>4.3600000000000003</v>
      </c>
      <c r="K285" s="28">
        <v>4.3600000000000003</v>
      </c>
      <c r="L285" s="28" t="s">
        <v>45</v>
      </c>
      <c r="M285" s="28"/>
      <c r="N285" s="28"/>
      <c r="O285" s="28" t="s">
        <v>1892</v>
      </c>
      <c r="P285" s="28">
        <v>89987</v>
      </c>
      <c r="Q285" s="28"/>
      <c r="R285" s="28" t="s">
        <v>1531</v>
      </c>
    </row>
    <row r="286" spans="1:18">
      <c r="A286" s="28" t="s">
        <v>1893</v>
      </c>
      <c r="B286" s="28">
        <v>10</v>
      </c>
      <c r="C286" s="28" t="s">
        <v>1122</v>
      </c>
      <c r="D286" s="28" t="s">
        <v>1894</v>
      </c>
      <c r="E286" s="28" t="s">
        <v>1124</v>
      </c>
      <c r="F286" s="28" t="s">
        <v>1125</v>
      </c>
      <c r="G286" s="28">
        <v>4.49</v>
      </c>
      <c r="H286" s="28">
        <v>4.49</v>
      </c>
      <c r="I286" s="28">
        <v>0.13</v>
      </c>
      <c r="J286" s="28">
        <v>4.3600000000000003</v>
      </c>
      <c r="K286" s="28">
        <v>0</v>
      </c>
      <c r="L286" s="28" t="s">
        <v>45</v>
      </c>
      <c r="M286" s="28"/>
      <c r="N286" s="28"/>
      <c r="O286" s="28" t="s">
        <v>1895</v>
      </c>
      <c r="P286" s="28">
        <v>89975</v>
      </c>
      <c r="Q286" s="28"/>
      <c r="R286" s="28" t="s">
        <v>1135</v>
      </c>
    </row>
    <row r="287" spans="1:18">
      <c r="A287" s="28" t="s">
        <v>1896</v>
      </c>
      <c r="B287" s="28">
        <v>10</v>
      </c>
      <c r="C287" s="28" t="s">
        <v>1122</v>
      </c>
      <c r="D287" s="28" t="s">
        <v>1897</v>
      </c>
      <c r="E287" s="28" t="s">
        <v>1124</v>
      </c>
      <c r="F287" s="28" t="s">
        <v>1125</v>
      </c>
      <c r="G287" s="28">
        <v>8.99</v>
      </c>
      <c r="H287" s="28">
        <v>8.99</v>
      </c>
      <c r="I287" s="28">
        <v>0.26</v>
      </c>
      <c r="J287" s="28">
        <v>8.73</v>
      </c>
      <c r="K287" s="28">
        <v>0</v>
      </c>
      <c r="L287" s="28" t="s">
        <v>45</v>
      </c>
      <c r="M287" s="28"/>
      <c r="N287" s="28"/>
      <c r="O287" s="28" t="s">
        <v>1898</v>
      </c>
      <c r="P287" s="28">
        <v>89951</v>
      </c>
      <c r="Q287" s="28"/>
      <c r="R287" s="28" t="s">
        <v>1135</v>
      </c>
    </row>
    <row r="288" spans="1:18">
      <c r="A288" s="28" t="s">
        <v>1899</v>
      </c>
      <c r="B288" s="28">
        <v>10</v>
      </c>
      <c r="C288" s="28" t="s">
        <v>1122</v>
      </c>
      <c r="D288" s="28" t="s">
        <v>1900</v>
      </c>
      <c r="E288" s="28" t="s">
        <v>1124</v>
      </c>
      <c r="F288" s="28" t="s">
        <v>1125</v>
      </c>
      <c r="G288" s="28">
        <v>4.49</v>
      </c>
      <c r="H288" s="28">
        <v>4.49</v>
      </c>
      <c r="I288" s="28">
        <v>0.13</v>
      </c>
      <c r="J288" s="28">
        <v>4.3600000000000003</v>
      </c>
      <c r="K288" s="28">
        <v>0</v>
      </c>
      <c r="L288" s="28" t="s">
        <v>45</v>
      </c>
      <c r="M288" s="28"/>
      <c r="N288" s="28"/>
      <c r="O288" s="28" t="s">
        <v>1901</v>
      </c>
      <c r="P288" s="28">
        <v>90143</v>
      </c>
      <c r="Q288" s="28"/>
      <c r="R288" s="28" t="s">
        <v>1135</v>
      </c>
    </row>
    <row r="289" spans="1:18">
      <c r="A289" s="28" t="s">
        <v>1902</v>
      </c>
      <c r="B289" s="28">
        <v>10</v>
      </c>
      <c r="C289" s="28" t="s">
        <v>1122</v>
      </c>
      <c r="D289" s="28" t="s">
        <v>1903</v>
      </c>
      <c r="E289" s="28" t="s">
        <v>1194</v>
      </c>
      <c r="F289" s="28" t="s">
        <v>1125</v>
      </c>
      <c r="G289" s="28">
        <v>-4.8600000000000003</v>
      </c>
      <c r="H289" s="28">
        <v>-4.8600000000000003</v>
      </c>
      <c r="I289" s="28">
        <v>0.5</v>
      </c>
      <c r="J289" s="28">
        <v>-4.8600000000000003</v>
      </c>
      <c r="K289" s="28">
        <v>4.3600000000000003</v>
      </c>
      <c r="L289" s="28" t="s">
        <v>45</v>
      </c>
      <c r="M289" s="28"/>
      <c r="N289" s="28"/>
      <c r="O289" s="28" t="s">
        <v>1904</v>
      </c>
      <c r="P289" s="28">
        <v>89987</v>
      </c>
      <c r="Q289" s="28" t="s">
        <v>1891</v>
      </c>
      <c r="R289" s="28" t="s">
        <v>1531</v>
      </c>
    </row>
    <row r="290" spans="1:18">
      <c r="A290" s="28" t="s">
        <v>1905</v>
      </c>
      <c r="B290" s="28">
        <v>10</v>
      </c>
      <c r="C290" s="28" t="s">
        <v>1122</v>
      </c>
      <c r="D290" s="28" t="s">
        <v>1906</v>
      </c>
      <c r="E290" s="28" t="s">
        <v>1124</v>
      </c>
      <c r="F290" s="28" t="s">
        <v>1125</v>
      </c>
      <c r="G290" s="28">
        <v>3.99</v>
      </c>
      <c r="H290" s="28">
        <v>3.99</v>
      </c>
      <c r="I290" s="28">
        <v>0.12</v>
      </c>
      <c r="J290" s="28">
        <v>3.87</v>
      </c>
      <c r="K290" s="28">
        <v>0</v>
      </c>
      <c r="L290" s="28" t="s">
        <v>45</v>
      </c>
      <c r="M290" s="28"/>
      <c r="N290" s="28"/>
      <c r="O290" s="28" t="s">
        <v>1907</v>
      </c>
      <c r="P290" s="28">
        <v>90131</v>
      </c>
      <c r="Q290" s="28"/>
      <c r="R290" s="28" t="s">
        <v>1131</v>
      </c>
    </row>
    <row r="291" spans="1:18">
      <c r="A291" s="28" t="s">
        <v>1908</v>
      </c>
      <c r="B291" s="28">
        <v>10</v>
      </c>
      <c r="C291" s="28" t="s">
        <v>1122</v>
      </c>
      <c r="D291" s="28" t="s">
        <v>1909</v>
      </c>
      <c r="E291" s="28" t="s">
        <v>1124</v>
      </c>
      <c r="F291" s="28" t="s">
        <v>1125</v>
      </c>
      <c r="G291" s="28">
        <v>2.4900000000000002</v>
      </c>
      <c r="H291" s="28">
        <v>2.4900000000000002</v>
      </c>
      <c r="I291" s="28">
        <v>0.08</v>
      </c>
      <c r="J291" s="28">
        <v>2.41</v>
      </c>
      <c r="K291" s="28">
        <v>0</v>
      </c>
      <c r="L291" s="28" t="s">
        <v>45</v>
      </c>
      <c r="M291" s="28"/>
      <c r="N291" s="28"/>
      <c r="O291" s="28" t="s">
        <v>1910</v>
      </c>
      <c r="P291" s="28">
        <v>90287</v>
      </c>
      <c r="Q291" s="28"/>
      <c r="R291" s="28" t="s">
        <v>1131</v>
      </c>
    </row>
    <row r="292" spans="1:18">
      <c r="A292" s="28" t="s">
        <v>1911</v>
      </c>
      <c r="B292" s="28">
        <v>10</v>
      </c>
      <c r="C292" s="28" t="s">
        <v>1122</v>
      </c>
      <c r="D292" s="28" t="s">
        <v>1912</v>
      </c>
      <c r="E292" s="28" t="s">
        <v>1124</v>
      </c>
      <c r="F292" s="28" t="s">
        <v>1125</v>
      </c>
      <c r="G292" s="28">
        <v>6.49</v>
      </c>
      <c r="H292" s="28">
        <v>6.49</v>
      </c>
      <c r="I292" s="28">
        <v>0.19</v>
      </c>
      <c r="J292" s="28">
        <v>6.3</v>
      </c>
      <c r="K292" s="28">
        <v>0</v>
      </c>
      <c r="L292" s="28" t="s">
        <v>45</v>
      </c>
      <c r="M292" s="28"/>
      <c r="N292" s="28"/>
      <c r="O292" s="28" t="s">
        <v>1913</v>
      </c>
      <c r="P292" s="28">
        <v>90263</v>
      </c>
      <c r="Q292" s="28"/>
      <c r="R292" s="28" t="s">
        <v>1135</v>
      </c>
    </row>
    <row r="293" spans="1:18">
      <c r="A293" s="28" t="s">
        <v>1914</v>
      </c>
      <c r="B293" s="28">
        <v>10</v>
      </c>
      <c r="C293" s="28" t="s">
        <v>1122</v>
      </c>
      <c r="D293" s="28" t="s">
        <v>1915</v>
      </c>
      <c r="E293" s="28" t="s">
        <v>1124</v>
      </c>
      <c r="F293" s="28" t="s">
        <v>1125</v>
      </c>
      <c r="G293" s="28">
        <v>3.99</v>
      </c>
      <c r="H293" s="28">
        <v>3.99</v>
      </c>
      <c r="I293" s="28">
        <v>0.12</v>
      </c>
      <c r="J293" s="28">
        <v>3.87</v>
      </c>
      <c r="K293" s="28">
        <v>0</v>
      </c>
      <c r="L293" s="28" t="s">
        <v>45</v>
      </c>
      <c r="M293" s="28"/>
      <c r="N293" s="28"/>
      <c r="O293" s="28" t="s">
        <v>1916</v>
      </c>
      <c r="P293" s="28">
        <v>90455</v>
      </c>
      <c r="Q293" s="28"/>
      <c r="R293" s="28" t="s">
        <v>1131</v>
      </c>
    </row>
    <row r="294" spans="1:18">
      <c r="A294" s="28" t="s">
        <v>1917</v>
      </c>
      <c r="B294" s="28">
        <v>10</v>
      </c>
      <c r="C294" s="28" t="s">
        <v>1122</v>
      </c>
      <c r="D294" s="28" t="s">
        <v>1918</v>
      </c>
      <c r="E294" s="28" t="s">
        <v>1124</v>
      </c>
      <c r="F294" s="28" t="s">
        <v>1125</v>
      </c>
      <c r="G294" s="28">
        <v>2.4900000000000002</v>
      </c>
      <c r="H294" s="28">
        <v>2.4900000000000002</v>
      </c>
      <c r="I294" s="28">
        <v>0.08</v>
      </c>
      <c r="J294" s="28">
        <v>2.41</v>
      </c>
      <c r="K294" s="28">
        <v>0</v>
      </c>
      <c r="L294" s="28" t="s">
        <v>45</v>
      </c>
      <c r="M294" s="28"/>
      <c r="N294" s="28"/>
      <c r="O294" s="28" t="s">
        <v>1919</v>
      </c>
      <c r="P294" s="28">
        <v>90419</v>
      </c>
      <c r="Q294" s="28"/>
      <c r="R294" s="28" t="s">
        <v>1531</v>
      </c>
    </row>
    <row r="295" spans="1:18">
      <c r="A295" s="28" t="s">
        <v>1920</v>
      </c>
      <c r="B295" s="28">
        <v>10</v>
      </c>
      <c r="C295" s="28" t="s">
        <v>1122</v>
      </c>
      <c r="D295" s="28" t="s">
        <v>1921</v>
      </c>
      <c r="E295" s="28" t="s">
        <v>1124</v>
      </c>
      <c r="F295" s="28" t="s">
        <v>1125</v>
      </c>
      <c r="G295" s="28">
        <v>23.99</v>
      </c>
      <c r="H295" s="28">
        <v>23.99</v>
      </c>
      <c r="I295" s="28">
        <v>0.7</v>
      </c>
      <c r="J295" s="28">
        <v>23.29</v>
      </c>
      <c r="K295" s="28">
        <v>0</v>
      </c>
      <c r="L295" s="28" t="s">
        <v>45</v>
      </c>
      <c r="M295" s="28"/>
      <c r="N295" s="28"/>
      <c r="O295" s="28" t="s">
        <v>1922</v>
      </c>
      <c r="P295" s="28">
        <v>90395</v>
      </c>
      <c r="Q295" s="28"/>
      <c r="R295" s="28" t="s">
        <v>1131</v>
      </c>
    </row>
    <row r="296" spans="1:18">
      <c r="A296" s="28" t="s">
        <v>1923</v>
      </c>
      <c r="B296" s="28">
        <v>10</v>
      </c>
      <c r="C296" s="28" t="s">
        <v>1122</v>
      </c>
      <c r="D296" s="28" t="s">
        <v>1924</v>
      </c>
      <c r="E296" s="28" t="s">
        <v>1124</v>
      </c>
      <c r="F296" s="28" t="s">
        <v>1125</v>
      </c>
      <c r="G296" s="28">
        <v>28.99</v>
      </c>
      <c r="H296" s="28">
        <v>28.99</v>
      </c>
      <c r="I296" s="28">
        <v>0.84</v>
      </c>
      <c r="J296" s="28">
        <v>28.15</v>
      </c>
      <c r="K296" s="28">
        <v>0</v>
      </c>
      <c r="L296" s="28" t="s">
        <v>45</v>
      </c>
      <c r="M296" s="28"/>
      <c r="N296" s="28"/>
      <c r="O296" s="28" t="s">
        <v>1925</v>
      </c>
      <c r="P296" s="28">
        <v>90383</v>
      </c>
      <c r="Q296" s="28"/>
      <c r="R296" s="28" t="s">
        <v>1135</v>
      </c>
    </row>
    <row r="297" spans="1:18">
      <c r="A297" s="28" t="s">
        <v>1926</v>
      </c>
      <c r="B297" s="28">
        <v>10</v>
      </c>
      <c r="C297" s="28" t="s">
        <v>1122</v>
      </c>
      <c r="D297" s="28" t="s">
        <v>1927</v>
      </c>
      <c r="E297" s="28" t="s">
        <v>1124</v>
      </c>
      <c r="F297" s="28" t="s">
        <v>1125</v>
      </c>
      <c r="G297" s="28">
        <v>11.72</v>
      </c>
      <c r="H297" s="28">
        <v>11.72</v>
      </c>
      <c r="I297" s="28">
        <v>0.34</v>
      </c>
      <c r="J297" s="28">
        <v>11.38</v>
      </c>
      <c r="K297" s="28">
        <v>0</v>
      </c>
      <c r="L297" s="28" t="s">
        <v>45</v>
      </c>
      <c r="M297" s="28"/>
      <c r="N297" s="28"/>
      <c r="O297" s="28" t="s">
        <v>1928</v>
      </c>
      <c r="P297" s="28">
        <v>88222</v>
      </c>
      <c r="Q297" s="28"/>
      <c r="R297" s="28" t="s">
        <v>1135</v>
      </c>
    </row>
    <row r="298" spans="1:18">
      <c r="A298" s="28" t="s">
        <v>1929</v>
      </c>
      <c r="B298" s="28">
        <v>10</v>
      </c>
      <c r="C298" s="28" t="s">
        <v>1122</v>
      </c>
      <c r="D298" s="28" t="s">
        <v>1930</v>
      </c>
      <c r="E298" s="28" t="s">
        <v>1124</v>
      </c>
      <c r="F298" s="28" t="s">
        <v>1125</v>
      </c>
      <c r="G298" s="28">
        <v>3.99</v>
      </c>
      <c r="H298" s="28">
        <v>3.99</v>
      </c>
      <c r="I298" s="28">
        <v>0.12</v>
      </c>
      <c r="J298" s="28">
        <v>3.87</v>
      </c>
      <c r="K298" s="28">
        <v>0</v>
      </c>
      <c r="L298" s="28" t="s">
        <v>45</v>
      </c>
      <c r="M298" s="28"/>
      <c r="N298" s="28"/>
      <c r="O298" s="28" t="s">
        <v>1931</v>
      </c>
      <c r="P298" s="28">
        <v>90611</v>
      </c>
      <c r="Q298" s="28"/>
      <c r="R298" s="28" t="s">
        <v>1139</v>
      </c>
    </row>
    <row r="299" spans="1:18">
      <c r="A299" s="28" t="s">
        <v>1932</v>
      </c>
      <c r="B299" s="28">
        <v>10</v>
      </c>
      <c r="C299" s="28" t="s">
        <v>1122</v>
      </c>
      <c r="D299" s="28" t="s">
        <v>1933</v>
      </c>
      <c r="E299" s="28" t="s">
        <v>1124</v>
      </c>
      <c r="F299" s="28" t="s">
        <v>1125</v>
      </c>
      <c r="G299" s="28">
        <v>4.49</v>
      </c>
      <c r="H299" s="28">
        <v>4.49</v>
      </c>
      <c r="I299" s="28">
        <v>0.13</v>
      </c>
      <c r="J299" s="28">
        <v>4.3600000000000003</v>
      </c>
      <c r="K299" s="28">
        <v>0</v>
      </c>
      <c r="L299" s="28" t="s">
        <v>45</v>
      </c>
      <c r="M299" s="28"/>
      <c r="N299" s="28"/>
      <c r="O299" s="28" t="s">
        <v>1934</v>
      </c>
      <c r="P299" s="28">
        <v>90563</v>
      </c>
      <c r="Q299" s="28"/>
      <c r="R299" s="28" t="s">
        <v>1149</v>
      </c>
    </row>
    <row r="300" spans="1:18">
      <c r="A300" s="28" t="s">
        <v>1935</v>
      </c>
      <c r="B300" s="28">
        <v>10</v>
      </c>
      <c r="C300" s="28" t="s">
        <v>1122</v>
      </c>
      <c r="D300" s="28" t="s">
        <v>1936</v>
      </c>
      <c r="E300" s="28" t="s">
        <v>1124</v>
      </c>
      <c r="F300" s="28" t="s">
        <v>1125</v>
      </c>
      <c r="G300" s="28">
        <v>77.989999999999995</v>
      </c>
      <c r="H300" s="28">
        <v>77.989999999999995</v>
      </c>
      <c r="I300" s="28">
        <v>2.27</v>
      </c>
      <c r="J300" s="28">
        <v>75.72</v>
      </c>
      <c r="K300" s="28">
        <v>0</v>
      </c>
      <c r="L300" s="28" t="s">
        <v>45</v>
      </c>
      <c r="M300" s="28"/>
      <c r="N300" s="28"/>
      <c r="O300" s="28" t="s">
        <v>1937</v>
      </c>
      <c r="P300" s="28">
        <v>90467</v>
      </c>
      <c r="Q300" s="28"/>
      <c r="R300" s="28" t="s">
        <v>1135</v>
      </c>
    </row>
    <row r="301" spans="1:18">
      <c r="A301" s="28" t="s">
        <v>1938</v>
      </c>
      <c r="B301" s="28">
        <v>10</v>
      </c>
      <c r="C301" s="28" t="s">
        <v>1122</v>
      </c>
      <c r="D301" s="28" t="s">
        <v>1939</v>
      </c>
      <c r="E301" s="28" t="s">
        <v>1124</v>
      </c>
      <c r="F301" s="28" t="s">
        <v>1125</v>
      </c>
      <c r="G301" s="28">
        <v>13.58</v>
      </c>
      <c r="H301" s="28">
        <v>13.58</v>
      </c>
      <c r="I301" s="28">
        <v>0.4</v>
      </c>
      <c r="J301" s="28">
        <v>13.18</v>
      </c>
      <c r="K301" s="28">
        <v>0</v>
      </c>
      <c r="L301" s="28" t="s">
        <v>45</v>
      </c>
      <c r="M301" s="28"/>
      <c r="N301" s="28"/>
      <c r="O301" s="28" t="s">
        <v>1940</v>
      </c>
      <c r="P301" s="28">
        <v>90731</v>
      </c>
      <c r="Q301" s="28"/>
      <c r="R301" s="28" t="s">
        <v>1160</v>
      </c>
    </row>
    <row r="302" spans="1:18">
      <c r="A302" s="28" t="s">
        <v>1941</v>
      </c>
      <c r="B302" s="28">
        <v>10</v>
      </c>
      <c r="C302" s="28" t="s">
        <v>1122</v>
      </c>
      <c r="D302" s="28" t="s">
        <v>1942</v>
      </c>
      <c r="E302" s="28" t="s">
        <v>1124</v>
      </c>
      <c r="F302" s="28" t="s">
        <v>1125</v>
      </c>
      <c r="G302" s="28">
        <v>37.19</v>
      </c>
      <c r="H302" s="28">
        <v>37.19</v>
      </c>
      <c r="I302" s="28">
        <v>1.08</v>
      </c>
      <c r="J302" s="28">
        <v>36.11</v>
      </c>
      <c r="K302" s="28">
        <v>0</v>
      </c>
      <c r="L302" s="28" t="s">
        <v>45</v>
      </c>
      <c r="M302" s="28"/>
      <c r="N302" s="28"/>
      <c r="O302" s="28" t="s">
        <v>1943</v>
      </c>
      <c r="P302" s="28">
        <v>88618</v>
      </c>
      <c r="Q302" s="28"/>
      <c r="R302" s="28" t="s">
        <v>1135</v>
      </c>
    </row>
    <row r="303" spans="1:18">
      <c r="A303" s="28" t="s">
        <v>1944</v>
      </c>
      <c r="B303" s="28">
        <v>10</v>
      </c>
      <c r="C303" s="28" t="s">
        <v>1122</v>
      </c>
      <c r="D303" s="28" t="s">
        <v>1945</v>
      </c>
      <c r="E303" s="28" t="s">
        <v>1124</v>
      </c>
      <c r="F303" s="28" t="s">
        <v>1125</v>
      </c>
      <c r="G303" s="28">
        <v>76.790000000000006</v>
      </c>
      <c r="H303" s="28">
        <v>76.790000000000006</v>
      </c>
      <c r="I303" s="28">
        <v>2.23</v>
      </c>
      <c r="J303" s="28">
        <v>74.56</v>
      </c>
      <c r="K303" s="28">
        <v>0</v>
      </c>
      <c r="L303" s="28" t="s">
        <v>45</v>
      </c>
      <c r="M303" s="28"/>
      <c r="N303" s="28"/>
      <c r="O303" s="28" t="s">
        <v>1946</v>
      </c>
      <c r="P303" s="28">
        <v>90707</v>
      </c>
      <c r="Q303" s="28"/>
      <c r="R303" s="28" t="s">
        <v>1131</v>
      </c>
    </row>
    <row r="304" spans="1:18">
      <c r="A304" s="28" t="s">
        <v>1947</v>
      </c>
      <c r="B304" s="28">
        <v>10</v>
      </c>
      <c r="C304" s="28" t="s">
        <v>1122</v>
      </c>
      <c r="D304" s="28" t="s">
        <v>1948</v>
      </c>
      <c r="E304" s="28" t="s">
        <v>1124</v>
      </c>
      <c r="F304" s="28" t="s">
        <v>1125</v>
      </c>
      <c r="G304" s="28">
        <v>11.73</v>
      </c>
      <c r="H304" s="28">
        <v>11.73</v>
      </c>
      <c r="I304" s="28">
        <v>0.34</v>
      </c>
      <c r="J304" s="28">
        <v>11.39</v>
      </c>
      <c r="K304" s="28">
        <v>0</v>
      </c>
      <c r="L304" s="28" t="s">
        <v>45</v>
      </c>
      <c r="M304" s="28"/>
      <c r="N304" s="28"/>
      <c r="O304" s="28" t="s">
        <v>1949</v>
      </c>
      <c r="P304" s="28">
        <v>90899</v>
      </c>
      <c r="Q304" s="28"/>
      <c r="R304" s="28" t="s">
        <v>1135</v>
      </c>
    </row>
    <row r="305" spans="1:18">
      <c r="A305" s="28" t="s">
        <v>1950</v>
      </c>
      <c r="B305" s="28">
        <v>10</v>
      </c>
      <c r="C305" s="28" t="s">
        <v>1122</v>
      </c>
      <c r="D305" s="28" t="s">
        <v>1951</v>
      </c>
      <c r="E305" s="28" t="s">
        <v>1124</v>
      </c>
      <c r="F305" s="28" t="s">
        <v>1125</v>
      </c>
      <c r="G305" s="28">
        <v>3.99</v>
      </c>
      <c r="H305" s="28">
        <v>3.99</v>
      </c>
      <c r="I305" s="28">
        <v>0.12</v>
      </c>
      <c r="J305" s="28">
        <v>3.87</v>
      </c>
      <c r="K305" s="28">
        <v>0</v>
      </c>
      <c r="L305" s="28" t="s">
        <v>45</v>
      </c>
      <c r="M305" s="28"/>
      <c r="N305" s="28"/>
      <c r="O305" s="28" t="s">
        <v>1952</v>
      </c>
      <c r="P305" s="28">
        <v>90863</v>
      </c>
      <c r="Q305" s="28"/>
      <c r="R305" s="28" t="s">
        <v>1135</v>
      </c>
    </row>
    <row r="306" spans="1:18">
      <c r="A306" s="28" t="s">
        <v>1953</v>
      </c>
      <c r="B306" s="28">
        <v>10</v>
      </c>
      <c r="C306" s="28" t="s">
        <v>1122</v>
      </c>
      <c r="D306" s="28" t="s">
        <v>1954</v>
      </c>
      <c r="E306" s="28" t="s">
        <v>1124</v>
      </c>
      <c r="F306" s="28" t="s">
        <v>1125</v>
      </c>
      <c r="G306" s="28">
        <v>2.4900000000000002</v>
      </c>
      <c r="H306" s="28">
        <v>2.4900000000000002</v>
      </c>
      <c r="I306" s="28">
        <v>0.08</v>
      </c>
      <c r="J306" s="28">
        <v>2.41</v>
      </c>
      <c r="K306" s="28">
        <v>0</v>
      </c>
      <c r="L306" s="28" t="s">
        <v>45</v>
      </c>
      <c r="M306" s="28"/>
      <c r="N306" s="28"/>
      <c r="O306" s="28" t="s">
        <v>1955</v>
      </c>
      <c r="P306" s="28">
        <v>90839</v>
      </c>
      <c r="Q306" s="28"/>
      <c r="R306" s="28" t="s">
        <v>1135</v>
      </c>
    </row>
    <row r="307" spans="1:18">
      <c r="A307" s="28" t="s">
        <v>1956</v>
      </c>
      <c r="B307" s="28">
        <v>10</v>
      </c>
      <c r="C307" s="28" t="s">
        <v>1122</v>
      </c>
      <c r="D307" s="28" t="s">
        <v>1957</v>
      </c>
      <c r="E307" s="28" t="s">
        <v>1124</v>
      </c>
      <c r="F307" s="28" t="s">
        <v>1125</v>
      </c>
      <c r="G307" s="28">
        <v>7.99</v>
      </c>
      <c r="H307" s="28">
        <v>7.99</v>
      </c>
      <c r="I307" s="28">
        <v>0.24</v>
      </c>
      <c r="J307" s="28">
        <v>7.75</v>
      </c>
      <c r="K307" s="28">
        <v>0</v>
      </c>
      <c r="L307" s="28" t="s">
        <v>45</v>
      </c>
      <c r="M307" s="28"/>
      <c r="N307" s="28"/>
      <c r="O307" s="28" t="s">
        <v>1958</v>
      </c>
      <c r="P307" s="28">
        <v>91103</v>
      </c>
      <c r="Q307" s="28"/>
      <c r="R307" s="28" t="s">
        <v>1135</v>
      </c>
    </row>
    <row r="308" spans="1:18">
      <c r="A308" s="28" t="s">
        <v>1959</v>
      </c>
      <c r="B308" s="28">
        <v>10</v>
      </c>
      <c r="C308" s="28" t="s">
        <v>1122</v>
      </c>
      <c r="D308" s="28" t="s">
        <v>1960</v>
      </c>
      <c r="E308" s="28" t="s">
        <v>1124</v>
      </c>
      <c r="F308" s="28" t="s">
        <v>1125</v>
      </c>
      <c r="G308" s="28">
        <v>119.98</v>
      </c>
      <c r="H308" s="28">
        <v>119.98</v>
      </c>
      <c r="I308" s="28">
        <v>3.48</v>
      </c>
      <c r="J308" s="28">
        <v>116.5</v>
      </c>
      <c r="K308" s="28">
        <v>0</v>
      </c>
      <c r="L308" s="28" t="s">
        <v>45</v>
      </c>
      <c r="M308" s="28"/>
      <c r="N308" s="28"/>
      <c r="O308" s="28" t="s">
        <v>1961</v>
      </c>
      <c r="P308" s="28">
        <v>91079</v>
      </c>
      <c r="Q308" s="28"/>
      <c r="R308" s="28" t="s">
        <v>1149</v>
      </c>
    </row>
    <row r="309" spans="1:18">
      <c r="A309" s="28" t="s">
        <v>1962</v>
      </c>
      <c r="B309" s="28">
        <v>10</v>
      </c>
      <c r="C309" s="28" t="s">
        <v>1122</v>
      </c>
      <c r="D309" s="28" t="s">
        <v>1963</v>
      </c>
      <c r="E309" s="28" t="s">
        <v>1124</v>
      </c>
      <c r="F309" s="28" t="s">
        <v>1125</v>
      </c>
      <c r="G309" s="28">
        <v>12.6</v>
      </c>
      <c r="H309" s="28">
        <v>12.6</v>
      </c>
      <c r="I309" s="28">
        <v>0.37</v>
      </c>
      <c r="J309" s="28">
        <v>12.23</v>
      </c>
      <c r="K309" s="28">
        <v>0</v>
      </c>
      <c r="L309" s="28" t="s">
        <v>45</v>
      </c>
      <c r="M309" s="28"/>
      <c r="N309" s="28"/>
      <c r="O309" s="28" t="s">
        <v>1964</v>
      </c>
      <c r="P309" s="28">
        <v>91067</v>
      </c>
      <c r="Q309" s="28"/>
      <c r="R309" s="28" t="s">
        <v>1149</v>
      </c>
    </row>
    <row r="310" spans="1:18">
      <c r="A310" s="28" t="s">
        <v>1965</v>
      </c>
      <c r="B310" s="28">
        <v>10</v>
      </c>
      <c r="C310" s="28" t="s">
        <v>1122</v>
      </c>
      <c r="D310" s="28" t="s">
        <v>1966</v>
      </c>
      <c r="E310" s="28" t="s">
        <v>1124</v>
      </c>
      <c r="F310" s="28" t="s">
        <v>1125</v>
      </c>
      <c r="G310" s="28">
        <v>19.04</v>
      </c>
      <c r="H310" s="28">
        <v>19.04</v>
      </c>
      <c r="I310" s="28">
        <v>0.56000000000000005</v>
      </c>
      <c r="J310" s="28">
        <v>18.48</v>
      </c>
      <c r="K310" s="28">
        <v>0</v>
      </c>
      <c r="L310" s="28" t="s">
        <v>45</v>
      </c>
      <c r="M310" s="28"/>
      <c r="N310" s="28"/>
      <c r="O310" s="28" t="s">
        <v>1967</v>
      </c>
      <c r="P310" s="28">
        <v>89014</v>
      </c>
      <c r="Q310" s="28"/>
      <c r="R310" s="28" t="s">
        <v>1131</v>
      </c>
    </row>
    <row r="311" spans="1:18">
      <c r="A311" s="28" t="s">
        <v>1968</v>
      </c>
      <c r="B311" s="28">
        <v>10</v>
      </c>
      <c r="C311" s="28"/>
      <c r="D311" s="28" t="s">
        <v>230</v>
      </c>
      <c r="E311" s="28"/>
      <c r="F311" s="28"/>
      <c r="G311" s="28">
        <v>1000</v>
      </c>
      <c r="H311" s="28"/>
      <c r="I311" s="28">
        <v>20</v>
      </c>
      <c r="J311" s="28">
        <v>-980</v>
      </c>
      <c r="K311" s="28"/>
      <c r="L311" s="28" t="s">
        <v>45</v>
      </c>
      <c r="M311" s="28"/>
      <c r="N311" s="28"/>
      <c r="O311" s="28" t="s">
        <v>1326</v>
      </c>
      <c r="P311" s="28"/>
      <c r="Q311" s="28"/>
      <c r="R311" s="28"/>
    </row>
    <row r="312" spans="1:18">
      <c r="A312" s="31">
        <v>45668.79791666667</v>
      </c>
      <c r="B312" s="28">
        <v>11</v>
      </c>
      <c r="C312" s="28" t="s">
        <v>1122</v>
      </c>
      <c r="D312" s="28" t="s">
        <v>1969</v>
      </c>
      <c r="E312" s="28" t="s">
        <v>1124</v>
      </c>
      <c r="F312" s="28" t="s">
        <v>1125</v>
      </c>
      <c r="G312" s="28">
        <v>9.99</v>
      </c>
      <c r="H312" s="28">
        <v>9.99</v>
      </c>
      <c r="I312" s="28">
        <v>0.28999999999999998</v>
      </c>
      <c r="J312" s="28">
        <v>9.6999999999999993</v>
      </c>
      <c r="K312" s="28">
        <v>0</v>
      </c>
      <c r="L312" s="28" t="s">
        <v>45</v>
      </c>
      <c r="M312" s="28"/>
      <c r="N312" s="28"/>
      <c r="O312" s="28" t="s">
        <v>1970</v>
      </c>
      <c r="P312" s="28">
        <v>91235</v>
      </c>
      <c r="Q312" s="28"/>
      <c r="R312" s="28" t="s">
        <v>1135</v>
      </c>
    </row>
    <row r="313" spans="1:18">
      <c r="A313" s="31">
        <v>45668.522222222222</v>
      </c>
      <c r="B313" s="28">
        <v>11</v>
      </c>
      <c r="C313" s="28" t="s">
        <v>1122</v>
      </c>
      <c r="D313" s="28" t="s">
        <v>1971</v>
      </c>
      <c r="E313" s="28" t="s">
        <v>1124</v>
      </c>
      <c r="F313" s="28" t="s">
        <v>1125</v>
      </c>
      <c r="G313" s="28">
        <v>101.99</v>
      </c>
      <c r="H313" s="28">
        <v>101.99</v>
      </c>
      <c r="I313" s="28">
        <v>2.96</v>
      </c>
      <c r="J313" s="28">
        <v>99.03</v>
      </c>
      <c r="K313" s="28">
        <v>0</v>
      </c>
      <c r="L313" s="28" t="s">
        <v>45</v>
      </c>
      <c r="M313" s="28"/>
      <c r="N313" s="28"/>
      <c r="O313" s="28" t="s">
        <v>1972</v>
      </c>
      <c r="P313" s="28">
        <v>91211</v>
      </c>
      <c r="Q313" s="28"/>
      <c r="R313" s="28" t="s">
        <v>1135</v>
      </c>
    </row>
    <row r="314" spans="1:18">
      <c r="A314" s="31">
        <v>45668.127083333333</v>
      </c>
      <c r="B314" s="28">
        <v>11</v>
      </c>
      <c r="C314" s="28" t="s">
        <v>1122</v>
      </c>
      <c r="D314" s="28" t="s">
        <v>1973</v>
      </c>
      <c r="E314" s="28" t="s">
        <v>1124</v>
      </c>
      <c r="F314" s="28" t="s">
        <v>1125</v>
      </c>
      <c r="G314" s="28">
        <v>7.99</v>
      </c>
      <c r="H314" s="28">
        <v>7.99</v>
      </c>
      <c r="I314" s="28">
        <v>0.24</v>
      </c>
      <c r="J314" s="28">
        <v>7.75</v>
      </c>
      <c r="K314" s="28">
        <v>0</v>
      </c>
      <c r="L314" s="28" t="s">
        <v>45</v>
      </c>
      <c r="M314" s="28"/>
      <c r="N314" s="28"/>
      <c r="O314" s="28" t="s">
        <v>1974</v>
      </c>
      <c r="P314" s="28">
        <v>91175</v>
      </c>
      <c r="Q314" s="28"/>
      <c r="R314" s="28" t="s">
        <v>1149</v>
      </c>
    </row>
    <row r="315" spans="1:18">
      <c r="A315" s="31">
        <v>45699.57916666667</v>
      </c>
      <c r="B315" s="28">
        <v>11</v>
      </c>
      <c r="C315" s="28" t="s">
        <v>1122</v>
      </c>
      <c r="D315" s="28" t="s">
        <v>1975</v>
      </c>
      <c r="E315" s="28" t="s">
        <v>1124</v>
      </c>
      <c r="F315" s="28" t="s">
        <v>1125</v>
      </c>
      <c r="G315" s="28">
        <v>28.99</v>
      </c>
      <c r="H315" s="28">
        <v>28.99</v>
      </c>
      <c r="I315" s="28">
        <v>0.84</v>
      </c>
      <c r="J315" s="28">
        <v>28.15</v>
      </c>
      <c r="K315" s="28">
        <v>0</v>
      </c>
      <c r="L315" s="28" t="s">
        <v>45</v>
      </c>
      <c r="M315" s="28"/>
      <c r="N315" s="28"/>
      <c r="O315" s="28" t="s">
        <v>1976</v>
      </c>
      <c r="P315" s="28">
        <v>91379</v>
      </c>
      <c r="Q315" s="28"/>
      <c r="R315" s="28" t="s">
        <v>1131</v>
      </c>
    </row>
    <row r="316" spans="1:18">
      <c r="A316" s="31">
        <v>45699.463194444441</v>
      </c>
      <c r="B316" s="28">
        <v>11</v>
      </c>
      <c r="C316" s="28" t="s">
        <v>1122</v>
      </c>
      <c r="D316" s="28" t="s">
        <v>1977</v>
      </c>
      <c r="E316" s="28" t="s">
        <v>1124</v>
      </c>
      <c r="F316" s="28" t="s">
        <v>1125</v>
      </c>
      <c r="G316" s="28">
        <v>55.34</v>
      </c>
      <c r="H316" s="28">
        <v>55.34</v>
      </c>
      <c r="I316" s="28">
        <v>1.61</v>
      </c>
      <c r="J316" s="28">
        <v>53.73</v>
      </c>
      <c r="K316" s="28">
        <v>0</v>
      </c>
      <c r="L316" s="28" t="s">
        <v>45</v>
      </c>
      <c r="M316" s="28"/>
      <c r="N316" s="28"/>
      <c r="O316" s="28" t="s">
        <v>1978</v>
      </c>
      <c r="P316" s="28">
        <v>89170</v>
      </c>
      <c r="Q316" s="28"/>
      <c r="R316" s="28" t="s">
        <v>1135</v>
      </c>
    </row>
    <row r="317" spans="1:18">
      <c r="A317" s="31">
        <v>45699.205555555556</v>
      </c>
      <c r="B317" s="28">
        <v>11</v>
      </c>
      <c r="C317" s="28" t="s">
        <v>1122</v>
      </c>
      <c r="D317" s="28" t="s">
        <v>1979</v>
      </c>
      <c r="E317" s="28" t="s">
        <v>1124</v>
      </c>
      <c r="F317" s="28" t="s">
        <v>1125</v>
      </c>
      <c r="G317" s="28">
        <v>6.39</v>
      </c>
      <c r="H317" s="28">
        <v>6.39</v>
      </c>
      <c r="I317" s="28">
        <v>0.19</v>
      </c>
      <c r="J317" s="28">
        <v>6.2</v>
      </c>
      <c r="K317" s="28">
        <v>0</v>
      </c>
      <c r="L317" s="28" t="s">
        <v>45</v>
      </c>
      <c r="M317" s="28"/>
      <c r="N317" s="28"/>
      <c r="O317" s="28" t="s">
        <v>1980</v>
      </c>
      <c r="P317" s="28">
        <v>91331</v>
      </c>
      <c r="Q317" s="28"/>
      <c r="R317" s="28" t="s">
        <v>1131</v>
      </c>
    </row>
    <row r="318" spans="1:18">
      <c r="A318" s="31">
        <v>45699.158333333333</v>
      </c>
      <c r="B318" s="28">
        <v>11</v>
      </c>
      <c r="C318" s="28" t="s">
        <v>1122</v>
      </c>
      <c r="D318" s="28" t="s">
        <v>1981</v>
      </c>
      <c r="E318" s="28" t="s">
        <v>1124</v>
      </c>
      <c r="F318" s="28" t="s">
        <v>1125</v>
      </c>
      <c r="G318" s="28">
        <v>46.79</v>
      </c>
      <c r="H318" s="28">
        <v>46.79</v>
      </c>
      <c r="I318" s="28">
        <v>1.36</v>
      </c>
      <c r="J318" s="28">
        <v>45.43</v>
      </c>
      <c r="K318" s="28">
        <v>0</v>
      </c>
      <c r="L318" s="28" t="s">
        <v>45</v>
      </c>
      <c r="M318" s="28"/>
      <c r="N318" s="28"/>
      <c r="O318" s="28" t="s">
        <v>1982</v>
      </c>
      <c r="P318" s="28">
        <v>91223</v>
      </c>
      <c r="Q318" s="28"/>
      <c r="R318" s="28" t="s">
        <v>1889</v>
      </c>
    </row>
    <row r="319" spans="1:18">
      <c r="A319" s="31">
        <v>45699.143750000003</v>
      </c>
      <c r="B319" s="28">
        <v>11</v>
      </c>
      <c r="C319" s="28" t="s">
        <v>1122</v>
      </c>
      <c r="D319" s="28" t="s">
        <v>1983</v>
      </c>
      <c r="E319" s="28" t="s">
        <v>1124</v>
      </c>
      <c r="F319" s="28" t="s">
        <v>1125</v>
      </c>
      <c r="G319" s="28">
        <v>56.79</v>
      </c>
      <c r="H319" s="28">
        <v>56.79</v>
      </c>
      <c r="I319" s="28">
        <v>1.65</v>
      </c>
      <c r="J319" s="28">
        <v>55.14</v>
      </c>
      <c r="K319" s="28">
        <v>0</v>
      </c>
      <c r="L319" s="28" t="s">
        <v>45</v>
      </c>
      <c r="M319" s="28"/>
      <c r="N319" s="28"/>
      <c r="O319" s="28" t="s">
        <v>1984</v>
      </c>
      <c r="P319" s="28">
        <v>91319</v>
      </c>
      <c r="Q319" s="28"/>
      <c r="R319" s="28" t="s">
        <v>1135</v>
      </c>
    </row>
    <row r="320" spans="1:18">
      <c r="A320" s="31">
        <v>45727.604861111111</v>
      </c>
      <c r="B320" s="28">
        <v>11</v>
      </c>
      <c r="C320" s="28" t="s">
        <v>1122</v>
      </c>
      <c r="D320" s="28" t="s">
        <v>1985</v>
      </c>
      <c r="E320" s="28" t="s">
        <v>1124</v>
      </c>
      <c r="F320" s="28" t="s">
        <v>1125</v>
      </c>
      <c r="G320" s="28">
        <v>3.99</v>
      </c>
      <c r="H320" s="28">
        <v>3.99</v>
      </c>
      <c r="I320" s="28">
        <v>0.12</v>
      </c>
      <c r="J320" s="28">
        <v>3.87</v>
      </c>
      <c r="K320" s="28">
        <v>0</v>
      </c>
      <c r="L320" s="28" t="s">
        <v>45</v>
      </c>
      <c r="M320" s="28"/>
      <c r="N320" s="28"/>
      <c r="O320" s="28" t="s">
        <v>1986</v>
      </c>
      <c r="P320" s="28">
        <v>91643</v>
      </c>
      <c r="Q320" s="28"/>
      <c r="R320" s="28" t="s">
        <v>1139</v>
      </c>
    </row>
    <row r="321" spans="1:18">
      <c r="A321" s="31">
        <v>45727.491666666669</v>
      </c>
      <c r="B321" s="28">
        <v>11</v>
      </c>
      <c r="C321" s="28" t="s">
        <v>1122</v>
      </c>
      <c r="D321" s="28" t="s">
        <v>1987</v>
      </c>
      <c r="E321" s="28" t="s">
        <v>1124</v>
      </c>
      <c r="F321" s="28" t="s">
        <v>1125</v>
      </c>
      <c r="G321" s="28">
        <v>11.69</v>
      </c>
      <c r="H321" s="28">
        <v>11.69</v>
      </c>
      <c r="I321" s="28">
        <v>0.34</v>
      </c>
      <c r="J321" s="28">
        <v>11.35</v>
      </c>
      <c r="K321" s="28">
        <v>0</v>
      </c>
      <c r="L321" s="28" t="s">
        <v>45</v>
      </c>
      <c r="M321" s="28"/>
      <c r="N321" s="28"/>
      <c r="O321" s="28" t="s">
        <v>1988</v>
      </c>
      <c r="P321" s="28">
        <v>90515</v>
      </c>
      <c r="Q321" s="28"/>
      <c r="R321" s="28" t="s">
        <v>1127</v>
      </c>
    </row>
    <row r="322" spans="1:18">
      <c r="A322" s="31">
        <v>45727.319444444445</v>
      </c>
      <c r="B322" s="28">
        <v>11</v>
      </c>
      <c r="C322" s="28" t="s">
        <v>1122</v>
      </c>
      <c r="D322" s="28" t="s">
        <v>1989</v>
      </c>
      <c r="E322" s="28" t="s">
        <v>1124</v>
      </c>
      <c r="F322" s="28" t="s">
        <v>1125</v>
      </c>
      <c r="G322" s="28">
        <v>30.21</v>
      </c>
      <c r="H322" s="28">
        <v>30.21</v>
      </c>
      <c r="I322" s="28">
        <v>0.88</v>
      </c>
      <c r="J322" s="28">
        <v>29.33</v>
      </c>
      <c r="K322" s="28">
        <v>0</v>
      </c>
      <c r="L322" s="28" t="s">
        <v>45</v>
      </c>
      <c r="M322" s="28"/>
      <c r="N322" s="28"/>
      <c r="O322" s="28" t="s">
        <v>1990</v>
      </c>
      <c r="P322" s="28">
        <v>91631</v>
      </c>
      <c r="Q322" s="28"/>
      <c r="R322" s="28" t="s">
        <v>1153</v>
      </c>
    </row>
    <row r="323" spans="1:18">
      <c r="A323" s="31">
        <v>45727.261111111111</v>
      </c>
      <c r="B323" s="28">
        <v>11</v>
      </c>
      <c r="C323" s="28" t="s">
        <v>1122</v>
      </c>
      <c r="D323" s="28" t="s">
        <v>1991</v>
      </c>
      <c r="E323" s="28" t="s">
        <v>1124</v>
      </c>
      <c r="F323" s="28" t="s">
        <v>1125</v>
      </c>
      <c r="G323" s="28">
        <v>120</v>
      </c>
      <c r="H323" s="28">
        <v>120</v>
      </c>
      <c r="I323" s="28">
        <v>3.48</v>
      </c>
      <c r="J323" s="28">
        <v>116.52</v>
      </c>
      <c r="K323" s="28">
        <v>0</v>
      </c>
      <c r="L323" s="28" t="s">
        <v>45</v>
      </c>
      <c r="M323" s="28"/>
      <c r="N323" s="28"/>
      <c r="O323" s="28" t="s">
        <v>1992</v>
      </c>
      <c r="P323" s="28">
        <v>91619</v>
      </c>
      <c r="Q323" s="28"/>
      <c r="R323" s="28" t="s">
        <v>1149</v>
      </c>
    </row>
    <row r="324" spans="1:18">
      <c r="A324" s="31">
        <v>45727.165277777778</v>
      </c>
      <c r="B324" s="28">
        <v>11</v>
      </c>
      <c r="C324" s="28" t="s">
        <v>1122</v>
      </c>
      <c r="D324" s="28" t="s">
        <v>1993</v>
      </c>
      <c r="E324" s="28" t="s">
        <v>1124</v>
      </c>
      <c r="F324" s="28" t="s">
        <v>1125</v>
      </c>
      <c r="G324" s="28">
        <v>60</v>
      </c>
      <c r="H324" s="28">
        <v>60</v>
      </c>
      <c r="I324" s="28">
        <v>1.74</v>
      </c>
      <c r="J324" s="28">
        <v>58.26</v>
      </c>
      <c r="K324" s="28">
        <v>0</v>
      </c>
      <c r="L324" s="28" t="s">
        <v>45</v>
      </c>
      <c r="M324" s="28"/>
      <c r="N324" s="28"/>
      <c r="O324" s="28" t="s">
        <v>1994</v>
      </c>
      <c r="P324" s="28">
        <v>91595</v>
      </c>
      <c r="Q324" s="28"/>
      <c r="R324" s="28" t="s">
        <v>1131</v>
      </c>
    </row>
    <row r="325" spans="1:18">
      <c r="A325" s="31">
        <v>45727.136805555558</v>
      </c>
      <c r="B325" s="28">
        <v>11</v>
      </c>
      <c r="C325" s="28" t="s">
        <v>1122</v>
      </c>
      <c r="D325" s="28" t="s">
        <v>1995</v>
      </c>
      <c r="E325" s="28" t="s">
        <v>1124</v>
      </c>
      <c r="F325" s="28" t="s">
        <v>1125</v>
      </c>
      <c r="G325" s="28">
        <v>120</v>
      </c>
      <c r="H325" s="28">
        <v>120</v>
      </c>
      <c r="I325" s="28">
        <v>3.48</v>
      </c>
      <c r="J325" s="28">
        <v>116.52</v>
      </c>
      <c r="K325" s="28">
        <v>0</v>
      </c>
      <c r="L325" s="28" t="s">
        <v>45</v>
      </c>
      <c r="M325" s="28"/>
      <c r="N325" s="28"/>
      <c r="O325" s="28" t="s">
        <v>1996</v>
      </c>
      <c r="P325" s="28">
        <v>91571</v>
      </c>
      <c r="Q325" s="28"/>
      <c r="R325" s="28" t="s">
        <v>1135</v>
      </c>
    </row>
    <row r="326" spans="1:18">
      <c r="A326" s="31">
        <v>45727.127083333333</v>
      </c>
      <c r="B326" s="28">
        <v>11</v>
      </c>
      <c r="C326" s="28" t="s">
        <v>1122</v>
      </c>
      <c r="D326" s="28" t="s">
        <v>1997</v>
      </c>
      <c r="E326" s="28" t="s">
        <v>1124</v>
      </c>
      <c r="F326" s="28" t="s">
        <v>1125</v>
      </c>
      <c r="G326" s="28">
        <v>3.55</v>
      </c>
      <c r="H326" s="28">
        <v>3.55</v>
      </c>
      <c r="I326" s="28">
        <v>0.11</v>
      </c>
      <c r="J326" s="28">
        <v>3.44</v>
      </c>
      <c r="K326" s="28">
        <v>0</v>
      </c>
      <c r="L326" s="28" t="s">
        <v>45</v>
      </c>
      <c r="M326" s="28"/>
      <c r="N326" s="28"/>
      <c r="O326" s="28" t="s">
        <v>1998</v>
      </c>
      <c r="P326" s="28">
        <v>91523</v>
      </c>
      <c r="Q326" s="28"/>
      <c r="R326" s="28" t="s">
        <v>1149</v>
      </c>
    </row>
    <row r="327" spans="1:18">
      <c r="A327" s="31">
        <v>45758.566666666666</v>
      </c>
      <c r="B327" s="28">
        <v>11</v>
      </c>
      <c r="C327" s="28" t="s">
        <v>1122</v>
      </c>
      <c r="D327" s="28" t="s">
        <v>1999</v>
      </c>
      <c r="E327" s="28" t="s">
        <v>1124</v>
      </c>
      <c r="F327" s="28" t="s">
        <v>1125</v>
      </c>
      <c r="G327" s="28">
        <v>7.99</v>
      </c>
      <c r="H327" s="28">
        <v>7.99</v>
      </c>
      <c r="I327" s="28">
        <v>0.24</v>
      </c>
      <c r="J327" s="28">
        <v>7.75</v>
      </c>
      <c r="K327" s="28">
        <v>0</v>
      </c>
      <c r="L327" s="28" t="s">
        <v>45</v>
      </c>
      <c r="M327" s="28"/>
      <c r="N327" s="28"/>
      <c r="O327" s="28" t="s">
        <v>2000</v>
      </c>
      <c r="P327" s="28">
        <v>89495</v>
      </c>
      <c r="Q327" s="28"/>
      <c r="R327" s="28" t="s">
        <v>1135</v>
      </c>
    </row>
    <row r="328" spans="1:18">
      <c r="A328" s="31">
        <v>45758.479166666664</v>
      </c>
      <c r="B328" s="28">
        <v>11</v>
      </c>
      <c r="C328" s="28" t="s">
        <v>1122</v>
      </c>
      <c r="D328" s="28" t="s">
        <v>2001</v>
      </c>
      <c r="E328" s="28" t="s">
        <v>1124</v>
      </c>
      <c r="F328" s="28" t="s">
        <v>1125</v>
      </c>
      <c r="G328" s="28">
        <v>2.4900000000000002</v>
      </c>
      <c r="H328" s="28">
        <v>2.4900000000000002</v>
      </c>
      <c r="I328" s="28">
        <v>0.08</v>
      </c>
      <c r="J328" s="28">
        <v>2.41</v>
      </c>
      <c r="K328" s="28">
        <v>0</v>
      </c>
      <c r="L328" s="28" t="s">
        <v>45</v>
      </c>
      <c r="M328" s="28"/>
      <c r="N328" s="28"/>
      <c r="O328" s="28" t="s">
        <v>2002</v>
      </c>
      <c r="P328" s="28">
        <v>91499</v>
      </c>
      <c r="Q328" s="28"/>
      <c r="R328" s="28" t="s">
        <v>1135</v>
      </c>
    </row>
    <row r="329" spans="1:18">
      <c r="A329" s="31">
        <v>45758.256944444445</v>
      </c>
      <c r="B329" s="28">
        <v>11</v>
      </c>
      <c r="C329" s="28" t="s">
        <v>1122</v>
      </c>
      <c r="D329" s="28" t="s">
        <v>2003</v>
      </c>
      <c r="E329" s="28" t="s">
        <v>1124</v>
      </c>
      <c r="F329" s="28" t="s">
        <v>1125</v>
      </c>
      <c r="G329" s="28">
        <v>60</v>
      </c>
      <c r="H329" s="28">
        <v>60</v>
      </c>
      <c r="I329" s="28">
        <v>1.74</v>
      </c>
      <c r="J329" s="28">
        <v>58.26</v>
      </c>
      <c r="K329" s="28">
        <v>0</v>
      </c>
      <c r="L329" s="28" t="s">
        <v>45</v>
      </c>
      <c r="M329" s="28"/>
      <c r="N329" s="28"/>
      <c r="O329" s="28" t="s">
        <v>2004</v>
      </c>
      <c r="P329" s="28">
        <v>91871</v>
      </c>
      <c r="Q329" s="28"/>
      <c r="R329" s="28" t="s">
        <v>1149</v>
      </c>
    </row>
    <row r="330" spans="1:18">
      <c r="A330" s="31">
        <v>45758.151388888888</v>
      </c>
      <c r="B330" s="28">
        <v>11</v>
      </c>
      <c r="C330" s="28" t="s">
        <v>1122</v>
      </c>
      <c r="D330" s="28" t="s">
        <v>2005</v>
      </c>
      <c r="E330" s="28" t="s">
        <v>1124</v>
      </c>
      <c r="F330" s="28" t="s">
        <v>1125</v>
      </c>
      <c r="G330" s="28">
        <v>12.6</v>
      </c>
      <c r="H330" s="28">
        <v>12.6</v>
      </c>
      <c r="I330" s="28">
        <v>0.37</v>
      </c>
      <c r="J330" s="28">
        <v>12.23</v>
      </c>
      <c r="K330" s="28">
        <v>0</v>
      </c>
      <c r="L330" s="28" t="s">
        <v>45</v>
      </c>
      <c r="M330" s="28"/>
      <c r="N330" s="28"/>
      <c r="O330" s="28" t="s">
        <v>2006</v>
      </c>
      <c r="P330" s="28">
        <v>91859</v>
      </c>
      <c r="Q330" s="28"/>
      <c r="R330" s="28" t="s">
        <v>1149</v>
      </c>
    </row>
    <row r="331" spans="1:18">
      <c r="A331" s="31">
        <v>45788.731249999997</v>
      </c>
      <c r="B331" s="28">
        <v>11</v>
      </c>
      <c r="C331" s="28" t="s">
        <v>1122</v>
      </c>
      <c r="D331" s="28" t="s">
        <v>2007</v>
      </c>
      <c r="E331" s="28" t="s">
        <v>1124</v>
      </c>
      <c r="F331" s="28" t="s">
        <v>1125</v>
      </c>
      <c r="G331" s="28">
        <v>3.99</v>
      </c>
      <c r="H331" s="28">
        <v>3.99</v>
      </c>
      <c r="I331" s="28">
        <v>0.12</v>
      </c>
      <c r="J331" s="28">
        <v>3.87</v>
      </c>
      <c r="K331" s="28">
        <v>0</v>
      </c>
      <c r="L331" s="28" t="s">
        <v>45</v>
      </c>
      <c r="M331" s="28"/>
      <c r="N331" s="28"/>
      <c r="O331" s="28" t="s">
        <v>2008</v>
      </c>
      <c r="P331" s="28">
        <v>92159</v>
      </c>
      <c r="Q331" s="28"/>
      <c r="R331" s="28" t="s">
        <v>1131</v>
      </c>
    </row>
    <row r="332" spans="1:18">
      <c r="A332" s="31">
        <v>45788.686111111114</v>
      </c>
      <c r="B332" s="28">
        <v>11</v>
      </c>
      <c r="C332" s="28" t="s">
        <v>1122</v>
      </c>
      <c r="D332" s="28" t="s">
        <v>2009</v>
      </c>
      <c r="E332" s="28" t="s">
        <v>1124</v>
      </c>
      <c r="F332" s="28" t="s">
        <v>1125</v>
      </c>
      <c r="G332" s="28">
        <v>3.99</v>
      </c>
      <c r="H332" s="28">
        <v>3.99</v>
      </c>
      <c r="I332" s="28">
        <v>0.12</v>
      </c>
      <c r="J332" s="28">
        <v>3.87</v>
      </c>
      <c r="K332" s="28">
        <v>0</v>
      </c>
      <c r="L332" s="28" t="s">
        <v>45</v>
      </c>
      <c r="M332" s="28"/>
      <c r="N332" s="28"/>
      <c r="O332" s="28" t="s">
        <v>2010</v>
      </c>
      <c r="P332" s="28">
        <v>92147</v>
      </c>
      <c r="Q332" s="28"/>
      <c r="R332" s="28" t="s">
        <v>1135</v>
      </c>
    </row>
    <row r="333" spans="1:18">
      <c r="A333" s="31">
        <v>45788.649305555555</v>
      </c>
      <c r="B333" s="28">
        <v>11</v>
      </c>
      <c r="C333" s="28" t="s">
        <v>1122</v>
      </c>
      <c r="D333" s="28" t="s">
        <v>2011</v>
      </c>
      <c r="E333" s="28" t="s">
        <v>1124</v>
      </c>
      <c r="F333" s="28" t="s">
        <v>1125</v>
      </c>
      <c r="G333" s="28">
        <v>5.19</v>
      </c>
      <c r="H333" s="28">
        <v>5.19</v>
      </c>
      <c r="I333" s="28">
        <v>0.15</v>
      </c>
      <c r="J333" s="28">
        <v>5.04</v>
      </c>
      <c r="K333" s="28">
        <v>0</v>
      </c>
      <c r="L333" s="28" t="s">
        <v>45</v>
      </c>
      <c r="M333" s="28"/>
      <c r="N333" s="28"/>
      <c r="O333" s="28" t="s">
        <v>2012</v>
      </c>
      <c r="P333" s="28">
        <v>92099</v>
      </c>
      <c r="Q333" s="28"/>
      <c r="R333" s="28" t="s">
        <v>1135</v>
      </c>
    </row>
    <row r="334" spans="1:18">
      <c r="A334" s="31">
        <v>45788.560416666667</v>
      </c>
      <c r="B334" s="28">
        <v>11</v>
      </c>
      <c r="C334" s="28" t="s">
        <v>1122</v>
      </c>
      <c r="D334" s="28" t="s">
        <v>2013</v>
      </c>
      <c r="E334" s="28" t="s">
        <v>1124</v>
      </c>
      <c r="F334" s="28" t="s">
        <v>1125</v>
      </c>
      <c r="G334" s="28">
        <v>81.99</v>
      </c>
      <c r="H334" s="28">
        <v>81.99</v>
      </c>
      <c r="I334" s="28">
        <v>2.38</v>
      </c>
      <c r="J334" s="28">
        <v>79.61</v>
      </c>
      <c r="K334" s="28">
        <v>0</v>
      </c>
      <c r="L334" s="28" t="s">
        <v>45</v>
      </c>
      <c r="M334" s="28"/>
      <c r="N334" s="28"/>
      <c r="O334" s="28" t="s">
        <v>2014</v>
      </c>
      <c r="P334" s="28">
        <v>92051</v>
      </c>
      <c r="Q334" s="28"/>
      <c r="R334" s="28" t="s">
        <v>1135</v>
      </c>
    </row>
    <row r="335" spans="1:18">
      <c r="A335" s="31">
        <v>45788.445138888892</v>
      </c>
      <c r="B335" s="28">
        <v>11</v>
      </c>
      <c r="C335" s="28" t="s">
        <v>1122</v>
      </c>
      <c r="D335" s="28" t="s">
        <v>2015</v>
      </c>
      <c r="E335" s="28" t="s">
        <v>1124</v>
      </c>
      <c r="F335" s="28" t="s">
        <v>1125</v>
      </c>
      <c r="G335" s="28">
        <v>1</v>
      </c>
      <c r="H335" s="28">
        <v>1</v>
      </c>
      <c r="I335" s="28">
        <v>0.03</v>
      </c>
      <c r="J335" s="28">
        <v>0.97</v>
      </c>
      <c r="K335" s="28">
        <v>0</v>
      </c>
      <c r="L335" s="28" t="s">
        <v>45</v>
      </c>
      <c r="M335" s="28"/>
      <c r="N335" s="28"/>
      <c r="O335" s="28" t="s">
        <v>2016</v>
      </c>
      <c r="P335" s="28">
        <v>92039</v>
      </c>
      <c r="Q335" s="28"/>
      <c r="R335" s="28" t="s">
        <v>1131</v>
      </c>
    </row>
    <row r="336" spans="1:18">
      <c r="A336" s="31">
        <v>45788.425694444442</v>
      </c>
      <c r="B336" s="28">
        <v>11</v>
      </c>
      <c r="C336" s="28" t="s">
        <v>1122</v>
      </c>
      <c r="D336" s="28" t="s">
        <v>2017</v>
      </c>
      <c r="E336" s="28" t="s">
        <v>1124</v>
      </c>
      <c r="F336" s="28" t="s">
        <v>1125</v>
      </c>
      <c r="G336" s="28">
        <v>38.4</v>
      </c>
      <c r="H336" s="28">
        <v>38.4</v>
      </c>
      <c r="I336" s="28">
        <v>1.1200000000000001</v>
      </c>
      <c r="J336" s="28">
        <v>37.28</v>
      </c>
      <c r="K336" s="28">
        <v>0</v>
      </c>
      <c r="L336" s="28" t="s">
        <v>45</v>
      </c>
      <c r="M336" s="28"/>
      <c r="N336" s="28"/>
      <c r="O336" s="28" t="s">
        <v>2018</v>
      </c>
      <c r="P336" s="28">
        <v>92027</v>
      </c>
      <c r="Q336" s="28"/>
      <c r="R336" s="28" t="s">
        <v>1139</v>
      </c>
    </row>
    <row r="337" spans="1:18">
      <c r="A337" s="31">
        <v>45788.415972222225</v>
      </c>
      <c r="B337" s="28">
        <v>11</v>
      </c>
      <c r="C337" s="28" t="s">
        <v>1122</v>
      </c>
      <c r="D337" s="28" t="s">
        <v>2019</v>
      </c>
      <c r="E337" s="28" t="s">
        <v>1124</v>
      </c>
      <c r="F337" s="28" t="s">
        <v>1125</v>
      </c>
      <c r="G337" s="28">
        <v>5.19</v>
      </c>
      <c r="H337" s="28">
        <v>5.19</v>
      </c>
      <c r="I337" s="28">
        <v>0.15</v>
      </c>
      <c r="J337" s="28">
        <v>5.04</v>
      </c>
      <c r="K337" s="28">
        <v>0</v>
      </c>
      <c r="L337" s="28" t="s">
        <v>45</v>
      </c>
      <c r="M337" s="28"/>
      <c r="N337" s="28"/>
      <c r="O337" s="28" t="s">
        <v>2020</v>
      </c>
      <c r="P337" s="28">
        <v>92015</v>
      </c>
      <c r="Q337" s="28"/>
      <c r="R337" s="28" t="s">
        <v>1135</v>
      </c>
    </row>
    <row r="338" spans="1:18">
      <c r="A338" s="31">
        <v>45788.354861111111</v>
      </c>
      <c r="B338" s="28">
        <v>11</v>
      </c>
      <c r="C338" s="28" t="s">
        <v>1122</v>
      </c>
      <c r="D338" s="28" t="s">
        <v>2021</v>
      </c>
      <c r="E338" s="28" t="s">
        <v>1124</v>
      </c>
      <c r="F338" s="28" t="s">
        <v>1125</v>
      </c>
      <c r="G338" s="28">
        <v>60</v>
      </c>
      <c r="H338" s="28">
        <v>60</v>
      </c>
      <c r="I338" s="28">
        <v>1.74</v>
      </c>
      <c r="J338" s="28">
        <v>58.26</v>
      </c>
      <c r="K338" s="28">
        <v>0</v>
      </c>
      <c r="L338" s="28" t="s">
        <v>45</v>
      </c>
      <c r="M338" s="28"/>
      <c r="N338" s="28"/>
      <c r="O338" s="28" t="s">
        <v>2022</v>
      </c>
      <c r="P338" s="28">
        <v>91991</v>
      </c>
      <c r="Q338" s="28"/>
      <c r="R338" s="28" t="s">
        <v>1131</v>
      </c>
    </row>
    <row r="339" spans="1:18">
      <c r="A339" s="31">
        <v>45788.276388888888</v>
      </c>
      <c r="B339" s="28">
        <v>11</v>
      </c>
      <c r="C339" s="28" t="s">
        <v>1122</v>
      </c>
      <c r="D339" s="28" t="s">
        <v>2023</v>
      </c>
      <c r="E339" s="28" t="s">
        <v>1124</v>
      </c>
      <c r="F339" s="28" t="s">
        <v>1125</v>
      </c>
      <c r="G339" s="28">
        <v>76.790000000000006</v>
      </c>
      <c r="H339" s="28">
        <v>76.790000000000006</v>
      </c>
      <c r="I339" s="28">
        <v>2.23</v>
      </c>
      <c r="J339" s="28">
        <v>74.56</v>
      </c>
      <c r="K339" s="28">
        <v>0</v>
      </c>
      <c r="L339" s="28" t="s">
        <v>45</v>
      </c>
      <c r="M339" s="28"/>
      <c r="N339" s="28"/>
      <c r="O339" s="28" t="s">
        <v>2024</v>
      </c>
      <c r="P339" s="28">
        <v>91979</v>
      </c>
      <c r="Q339" s="28"/>
      <c r="R339" s="28" t="s">
        <v>1131</v>
      </c>
    </row>
    <row r="340" spans="1:18">
      <c r="A340" s="31">
        <v>45788.263888888891</v>
      </c>
      <c r="B340" s="28">
        <v>11</v>
      </c>
      <c r="C340" s="28" t="s">
        <v>1122</v>
      </c>
      <c r="D340" s="28" t="s">
        <v>2025</v>
      </c>
      <c r="E340" s="28" t="s">
        <v>1124</v>
      </c>
      <c r="F340" s="28" t="s">
        <v>1125</v>
      </c>
      <c r="G340" s="28">
        <v>240</v>
      </c>
      <c r="H340" s="28">
        <v>240</v>
      </c>
      <c r="I340" s="28">
        <v>6.96</v>
      </c>
      <c r="J340" s="28">
        <v>233.04</v>
      </c>
      <c r="K340" s="28">
        <v>0</v>
      </c>
      <c r="L340" s="28" t="s">
        <v>45</v>
      </c>
      <c r="M340" s="28"/>
      <c r="N340" s="28"/>
      <c r="O340" s="28" t="s">
        <v>2026</v>
      </c>
      <c r="P340" s="28">
        <v>91967</v>
      </c>
      <c r="Q340" s="28"/>
      <c r="R340" s="28" t="s">
        <v>1131</v>
      </c>
    </row>
    <row r="341" spans="1:18">
      <c r="A341" s="31">
        <v>45788.23541666667</v>
      </c>
      <c r="B341" s="28">
        <v>11</v>
      </c>
      <c r="C341" s="28" t="s">
        <v>1122</v>
      </c>
      <c r="D341" s="28" t="s">
        <v>2027</v>
      </c>
      <c r="E341" s="28" t="s">
        <v>1124</v>
      </c>
      <c r="F341" s="28" t="s">
        <v>1125</v>
      </c>
      <c r="G341" s="28">
        <v>2.4900000000000002</v>
      </c>
      <c r="H341" s="28">
        <v>2.4900000000000002</v>
      </c>
      <c r="I341" s="28">
        <v>0.08</v>
      </c>
      <c r="J341" s="28">
        <v>2.41</v>
      </c>
      <c r="K341" s="28">
        <v>0</v>
      </c>
      <c r="L341" s="28" t="s">
        <v>45</v>
      </c>
      <c r="M341" s="28"/>
      <c r="N341" s="28"/>
      <c r="O341" s="28" t="s">
        <v>2028</v>
      </c>
      <c r="P341" s="28">
        <v>90227</v>
      </c>
      <c r="Q341" s="28"/>
      <c r="R341" s="28" t="s">
        <v>1139</v>
      </c>
    </row>
    <row r="342" spans="1:18">
      <c r="A342" s="31">
        <v>45788.13958333333</v>
      </c>
      <c r="B342" s="28">
        <v>11</v>
      </c>
      <c r="C342" s="28" t="s">
        <v>1122</v>
      </c>
      <c r="D342" s="28" t="s">
        <v>2029</v>
      </c>
      <c r="E342" s="28" t="s">
        <v>1194</v>
      </c>
      <c r="F342" s="28" t="s">
        <v>1125</v>
      </c>
      <c r="G342" s="28">
        <v>-5.54</v>
      </c>
      <c r="H342" s="28">
        <v>-5.54</v>
      </c>
      <c r="I342" s="28">
        <v>0.5</v>
      </c>
      <c r="J342" s="28">
        <v>-5.54</v>
      </c>
      <c r="K342" s="28">
        <v>5.04</v>
      </c>
      <c r="L342" s="28" t="s">
        <v>45</v>
      </c>
      <c r="M342" s="28"/>
      <c r="N342" s="28"/>
      <c r="O342" s="28" t="s">
        <v>2030</v>
      </c>
      <c r="P342" s="28">
        <v>91955</v>
      </c>
      <c r="Q342" s="28" t="s">
        <v>2031</v>
      </c>
      <c r="R342" s="28" t="s">
        <v>1139</v>
      </c>
    </row>
    <row r="343" spans="1:18">
      <c r="A343" s="31">
        <v>45788.12222222222</v>
      </c>
      <c r="B343" s="28">
        <v>11</v>
      </c>
      <c r="C343" s="28" t="s">
        <v>1122</v>
      </c>
      <c r="D343" s="28" t="s">
        <v>2031</v>
      </c>
      <c r="E343" s="28" t="s">
        <v>1124</v>
      </c>
      <c r="F343" s="28" t="s">
        <v>1125</v>
      </c>
      <c r="G343" s="28">
        <v>5.19</v>
      </c>
      <c r="H343" s="28">
        <v>5.19</v>
      </c>
      <c r="I343" s="28">
        <v>0.15</v>
      </c>
      <c r="J343" s="28">
        <v>5.04</v>
      </c>
      <c r="K343" s="28">
        <v>5.04</v>
      </c>
      <c r="L343" s="28" t="s">
        <v>45</v>
      </c>
      <c r="M343" s="28"/>
      <c r="N343" s="28"/>
      <c r="O343" s="28" t="s">
        <v>2032</v>
      </c>
      <c r="P343" s="28">
        <v>91955</v>
      </c>
      <c r="Q343" s="28"/>
      <c r="R343" s="28" t="s">
        <v>1139</v>
      </c>
    </row>
    <row r="344" spans="1:18">
      <c r="A344" s="31">
        <v>45788.100694444445</v>
      </c>
      <c r="B344" s="28">
        <v>11</v>
      </c>
      <c r="C344" s="28" t="s">
        <v>1122</v>
      </c>
      <c r="D344" s="28" t="s">
        <v>2033</v>
      </c>
      <c r="E344" s="28" t="s">
        <v>1124</v>
      </c>
      <c r="F344" s="28" t="s">
        <v>1125</v>
      </c>
      <c r="G344" s="28">
        <v>20.63</v>
      </c>
      <c r="H344" s="28">
        <v>20.63</v>
      </c>
      <c r="I344" s="28">
        <v>0.6</v>
      </c>
      <c r="J344" s="28">
        <v>20.03</v>
      </c>
      <c r="K344" s="28">
        <v>0</v>
      </c>
      <c r="L344" s="28" t="s">
        <v>45</v>
      </c>
      <c r="M344" s="28"/>
      <c r="N344" s="28"/>
      <c r="O344" s="28" t="s">
        <v>2034</v>
      </c>
      <c r="P344" s="28">
        <v>91823</v>
      </c>
      <c r="Q344" s="28"/>
      <c r="R344" s="28" t="s">
        <v>1149</v>
      </c>
    </row>
    <row r="345" spans="1:18">
      <c r="A345" s="31">
        <v>45788.095138888886</v>
      </c>
      <c r="B345" s="28">
        <v>11</v>
      </c>
      <c r="C345" s="28" t="s">
        <v>1122</v>
      </c>
      <c r="D345" s="28" t="s">
        <v>2035</v>
      </c>
      <c r="E345" s="28" t="s">
        <v>1124</v>
      </c>
      <c r="F345" s="28" t="s">
        <v>1125</v>
      </c>
      <c r="G345" s="28">
        <v>2.4900000000000002</v>
      </c>
      <c r="H345" s="28">
        <v>2.4900000000000002</v>
      </c>
      <c r="I345" s="28">
        <v>0.08</v>
      </c>
      <c r="J345" s="28">
        <v>2.41</v>
      </c>
      <c r="K345" s="28">
        <v>0</v>
      </c>
      <c r="L345" s="28" t="s">
        <v>45</v>
      </c>
      <c r="M345" s="28"/>
      <c r="N345" s="28"/>
      <c r="O345" s="28" t="s">
        <v>2036</v>
      </c>
      <c r="P345" s="28">
        <v>90107</v>
      </c>
      <c r="Q345" s="28"/>
      <c r="R345" s="28" t="s">
        <v>1149</v>
      </c>
    </row>
    <row r="346" spans="1:18">
      <c r="A346" s="31">
        <v>45788.043749999997</v>
      </c>
      <c r="B346" s="28">
        <v>11</v>
      </c>
      <c r="C346" s="28" t="s">
        <v>1122</v>
      </c>
      <c r="D346" s="28" t="s">
        <v>2037</v>
      </c>
      <c r="E346" s="28" t="s">
        <v>1124</v>
      </c>
      <c r="F346" s="28" t="s">
        <v>1125</v>
      </c>
      <c r="G346" s="28">
        <v>5.19</v>
      </c>
      <c r="H346" s="28">
        <v>5.19</v>
      </c>
      <c r="I346" s="28">
        <v>0.15</v>
      </c>
      <c r="J346" s="28">
        <v>5.04</v>
      </c>
      <c r="K346" s="28">
        <v>0</v>
      </c>
      <c r="L346" s="28" t="s">
        <v>45</v>
      </c>
      <c r="M346" s="28"/>
      <c r="N346" s="28"/>
      <c r="O346" s="28" t="s">
        <v>2038</v>
      </c>
      <c r="P346" s="28">
        <v>91943</v>
      </c>
      <c r="Q346" s="28"/>
      <c r="R346" s="28" t="s">
        <v>1531</v>
      </c>
    </row>
    <row r="347" spans="1:18">
      <c r="A347" s="31">
        <v>45819.745833333334</v>
      </c>
      <c r="B347" s="28">
        <v>11</v>
      </c>
      <c r="C347" s="28" t="s">
        <v>1122</v>
      </c>
      <c r="D347" s="28" t="s">
        <v>2039</v>
      </c>
      <c r="E347" s="28" t="s">
        <v>1124</v>
      </c>
      <c r="F347" s="28" t="s">
        <v>1125</v>
      </c>
      <c r="G347" s="28">
        <v>120</v>
      </c>
      <c r="H347" s="28">
        <v>120</v>
      </c>
      <c r="I347" s="28">
        <v>3.48</v>
      </c>
      <c r="J347" s="28">
        <v>116.52</v>
      </c>
      <c r="K347" s="28">
        <v>0</v>
      </c>
      <c r="L347" s="28" t="s">
        <v>45</v>
      </c>
      <c r="M347" s="28"/>
      <c r="N347" s="28"/>
      <c r="O347" s="28" t="s">
        <v>2040</v>
      </c>
      <c r="P347" s="28">
        <v>92447</v>
      </c>
      <c r="Q347" s="28"/>
      <c r="R347" s="28" t="s">
        <v>1131</v>
      </c>
    </row>
    <row r="348" spans="1:18">
      <c r="A348" s="31">
        <v>45819.737500000003</v>
      </c>
      <c r="B348" s="28">
        <v>11</v>
      </c>
      <c r="C348" s="28" t="s">
        <v>1122</v>
      </c>
      <c r="D348" s="28" t="s">
        <v>2041</v>
      </c>
      <c r="E348" s="28" t="s">
        <v>1124</v>
      </c>
      <c r="F348" s="28" t="s">
        <v>1125</v>
      </c>
      <c r="G348" s="28">
        <v>20.68</v>
      </c>
      <c r="H348" s="28">
        <v>20.68</v>
      </c>
      <c r="I348" s="28">
        <v>0.6</v>
      </c>
      <c r="J348" s="28">
        <v>20.079999999999998</v>
      </c>
      <c r="K348" s="28">
        <v>0</v>
      </c>
      <c r="L348" s="28" t="s">
        <v>45</v>
      </c>
      <c r="M348" s="28"/>
      <c r="N348" s="28"/>
      <c r="O348" s="28" t="s">
        <v>2042</v>
      </c>
      <c r="P348" s="28">
        <v>90311</v>
      </c>
      <c r="Q348" s="28"/>
      <c r="R348" s="28" t="s">
        <v>1562</v>
      </c>
    </row>
    <row r="349" spans="1:18">
      <c r="A349" s="31">
        <v>45819.649305555555</v>
      </c>
      <c r="B349" s="28">
        <v>11</v>
      </c>
      <c r="C349" s="28" t="s">
        <v>1122</v>
      </c>
      <c r="D349" s="28" t="s">
        <v>2043</v>
      </c>
      <c r="E349" s="28" t="s">
        <v>1124</v>
      </c>
      <c r="F349" s="28" t="s">
        <v>1125</v>
      </c>
      <c r="G349" s="28">
        <v>4.99</v>
      </c>
      <c r="H349" s="28">
        <v>4.99</v>
      </c>
      <c r="I349" s="28">
        <v>0.15</v>
      </c>
      <c r="J349" s="28">
        <v>4.84</v>
      </c>
      <c r="K349" s="28">
        <v>0</v>
      </c>
      <c r="L349" s="28" t="s">
        <v>45</v>
      </c>
      <c r="M349" s="28"/>
      <c r="N349" s="28"/>
      <c r="O349" s="28" t="s">
        <v>2044</v>
      </c>
      <c r="P349" s="28">
        <v>92411</v>
      </c>
      <c r="Q349" s="28"/>
      <c r="R349" s="28" t="s">
        <v>1135</v>
      </c>
    </row>
    <row r="350" spans="1:18">
      <c r="A350" s="31">
        <v>45819.597222222219</v>
      </c>
      <c r="B350" s="28">
        <v>11</v>
      </c>
      <c r="C350" s="28" t="s">
        <v>1122</v>
      </c>
      <c r="D350" s="28" t="s">
        <v>2045</v>
      </c>
      <c r="E350" s="28" t="s">
        <v>1124</v>
      </c>
      <c r="F350" s="28" t="s">
        <v>1125</v>
      </c>
      <c r="G350" s="28">
        <v>7.99</v>
      </c>
      <c r="H350" s="28">
        <v>7.99</v>
      </c>
      <c r="I350" s="28">
        <v>0.24</v>
      </c>
      <c r="J350" s="28">
        <v>7.75</v>
      </c>
      <c r="K350" s="28">
        <v>0</v>
      </c>
      <c r="L350" s="28" t="s">
        <v>45</v>
      </c>
      <c r="M350" s="28"/>
      <c r="N350" s="28"/>
      <c r="O350" s="28" t="s">
        <v>2046</v>
      </c>
      <c r="P350" s="28">
        <v>92399</v>
      </c>
      <c r="Q350" s="28"/>
      <c r="R350" s="28" t="s">
        <v>1135</v>
      </c>
    </row>
    <row r="351" spans="1:18">
      <c r="A351" s="31">
        <v>45819.449305555558</v>
      </c>
      <c r="B351" s="28">
        <v>11</v>
      </c>
      <c r="C351" s="28" t="s">
        <v>1122</v>
      </c>
      <c r="D351" s="28" t="s">
        <v>2047</v>
      </c>
      <c r="E351" s="28" t="s">
        <v>1124</v>
      </c>
      <c r="F351" s="28" t="s">
        <v>1125</v>
      </c>
      <c r="G351" s="28">
        <v>6.39</v>
      </c>
      <c r="H351" s="28">
        <v>6.39</v>
      </c>
      <c r="I351" s="28">
        <v>0.19</v>
      </c>
      <c r="J351" s="28">
        <v>6.2</v>
      </c>
      <c r="K351" s="28">
        <v>0</v>
      </c>
      <c r="L351" s="28" t="s">
        <v>45</v>
      </c>
      <c r="M351" s="28"/>
      <c r="N351" s="28"/>
      <c r="O351" s="28" t="s">
        <v>2048</v>
      </c>
      <c r="P351" s="28">
        <v>92387</v>
      </c>
      <c r="Q351" s="28"/>
      <c r="R351" s="28" t="s">
        <v>1135</v>
      </c>
    </row>
    <row r="352" spans="1:18">
      <c r="A352" s="31">
        <v>45849.830555555556</v>
      </c>
      <c r="B352" s="28">
        <v>11</v>
      </c>
      <c r="C352" s="28" t="s">
        <v>1122</v>
      </c>
      <c r="D352" s="28" t="s">
        <v>2049</v>
      </c>
      <c r="E352" s="28" t="s">
        <v>1124</v>
      </c>
      <c r="F352" s="28" t="s">
        <v>1125</v>
      </c>
      <c r="G352" s="28">
        <v>173.99</v>
      </c>
      <c r="H352" s="28">
        <v>173.99</v>
      </c>
      <c r="I352" s="28">
        <v>5.05</v>
      </c>
      <c r="J352" s="28">
        <v>168.94</v>
      </c>
      <c r="K352" s="28">
        <v>0</v>
      </c>
      <c r="L352" s="28" t="s">
        <v>45</v>
      </c>
      <c r="M352" s="28"/>
      <c r="N352" s="28"/>
      <c r="O352" s="28" t="s">
        <v>2050</v>
      </c>
      <c r="P352" s="28">
        <v>92795</v>
      </c>
      <c r="Q352" s="28"/>
      <c r="R352" s="28" t="s">
        <v>1149</v>
      </c>
    </row>
    <row r="353" spans="1:18">
      <c r="A353" s="31">
        <v>45849.731944444444</v>
      </c>
      <c r="B353" s="28">
        <v>11</v>
      </c>
      <c r="C353" s="28" t="s">
        <v>1122</v>
      </c>
      <c r="D353" s="28" t="s">
        <v>2051</v>
      </c>
      <c r="E353" s="28" t="s">
        <v>1124</v>
      </c>
      <c r="F353" s="28" t="s">
        <v>1125</v>
      </c>
      <c r="G353" s="28">
        <v>4.49</v>
      </c>
      <c r="H353" s="28">
        <v>4.49</v>
      </c>
      <c r="I353" s="28">
        <v>0.13</v>
      </c>
      <c r="J353" s="28">
        <v>4.3600000000000003</v>
      </c>
      <c r="K353" s="28">
        <v>0</v>
      </c>
      <c r="L353" s="28" t="s">
        <v>45</v>
      </c>
      <c r="M353" s="28"/>
      <c r="N353" s="28"/>
      <c r="O353" s="28" t="s">
        <v>2052</v>
      </c>
      <c r="P353" s="28">
        <v>92771</v>
      </c>
      <c r="Q353" s="28"/>
      <c r="R353" s="28" t="s">
        <v>1135</v>
      </c>
    </row>
    <row r="354" spans="1:18">
      <c r="A354" s="31">
        <v>45849.617361111108</v>
      </c>
      <c r="B354" s="28">
        <v>11</v>
      </c>
      <c r="C354" s="28" t="s">
        <v>1122</v>
      </c>
      <c r="D354" s="28" t="s">
        <v>2053</v>
      </c>
      <c r="E354" s="28" t="s">
        <v>1124</v>
      </c>
      <c r="F354" s="28" t="s">
        <v>1125</v>
      </c>
      <c r="G354" s="28">
        <v>120</v>
      </c>
      <c r="H354" s="28">
        <v>120</v>
      </c>
      <c r="I354" s="28">
        <v>3.48</v>
      </c>
      <c r="J354" s="28">
        <v>116.52</v>
      </c>
      <c r="K354" s="28">
        <v>0</v>
      </c>
      <c r="L354" s="28" t="s">
        <v>45</v>
      </c>
      <c r="M354" s="28"/>
      <c r="N354" s="28"/>
      <c r="O354" s="28" t="s">
        <v>2054</v>
      </c>
      <c r="P354" s="28">
        <v>92735</v>
      </c>
      <c r="Q354" s="28"/>
      <c r="R354" s="28" t="s">
        <v>2055</v>
      </c>
    </row>
    <row r="355" spans="1:18">
      <c r="A355" s="31">
        <v>45849.538194444445</v>
      </c>
      <c r="B355" s="28">
        <v>11</v>
      </c>
      <c r="C355" s="28" t="s">
        <v>1122</v>
      </c>
      <c r="D355" s="28" t="s">
        <v>2056</v>
      </c>
      <c r="E355" s="28" t="s">
        <v>1124</v>
      </c>
      <c r="F355" s="28" t="s">
        <v>1125</v>
      </c>
      <c r="G355" s="28">
        <v>6.49</v>
      </c>
      <c r="H355" s="28">
        <v>6.49</v>
      </c>
      <c r="I355" s="28">
        <v>0.19</v>
      </c>
      <c r="J355" s="28">
        <v>6.3</v>
      </c>
      <c r="K355" s="28">
        <v>6</v>
      </c>
      <c r="L355" s="28" t="s">
        <v>45</v>
      </c>
      <c r="M355" s="28"/>
      <c r="N355" s="28"/>
      <c r="O355" s="28" t="s">
        <v>2057</v>
      </c>
      <c r="P355" s="28">
        <v>92723</v>
      </c>
      <c r="Q355" s="28"/>
      <c r="R355" s="28" t="s">
        <v>1135</v>
      </c>
    </row>
    <row r="356" spans="1:18">
      <c r="A356" s="31">
        <v>45849.366666666669</v>
      </c>
      <c r="B356" s="28">
        <v>11</v>
      </c>
      <c r="C356" s="28" t="s">
        <v>1122</v>
      </c>
      <c r="D356" s="28" t="s">
        <v>2058</v>
      </c>
      <c r="E356" s="28" t="s">
        <v>1124</v>
      </c>
      <c r="F356" s="28" t="s">
        <v>1125</v>
      </c>
      <c r="G356" s="28">
        <v>4.49</v>
      </c>
      <c r="H356" s="28">
        <v>4.49</v>
      </c>
      <c r="I356" s="28">
        <v>0.13</v>
      </c>
      <c r="J356" s="28">
        <v>4.3600000000000003</v>
      </c>
      <c r="K356" s="28">
        <v>0</v>
      </c>
      <c r="L356" s="28" t="s">
        <v>45</v>
      </c>
      <c r="M356" s="28"/>
      <c r="N356" s="28"/>
      <c r="O356" s="28" t="s">
        <v>2059</v>
      </c>
      <c r="P356" s="28">
        <v>92711</v>
      </c>
      <c r="Q356" s="28"/>
      <c r="R356" s="28" t="s">
        <v>1889</v>
      </c>
    </row>
    <row r="357" spans="1:18">
      <c r="A357" s="31">
        <v>45849.279166666667</v>
      </c>
      <c r="B357" s="28">
        <v>11</v>
      </c>
      <c r="C357" s="28" t="s">
        <v>1122</v>
      </c>
      <c r="D357" s="28" t="s">
        <v>2060</v>
      </c>
      <c r="E357" s="28" t="s">
        <v>1124</v>
      </c>
      <c r="F357" s="28" t="s">
        <v>1125</v>
      </c>
      <c r="G357" s="28">
        <v>11.69</v>
      </c>
      <c r="H357" s="28">
        <v>11.69</v>
      </c>
      <c r="I357" s="28">
        <v>0.34</v>
      </c>
      <c r="J357" s="28">
        <v>11.35</v>
      </c>
      <c r="K357" s="28">
        <v>0</v>
      </c>
      <c r="L357" s="28" t="s">
        <v>45</v>
      </c>
      <c r="M357" s="28"/>
      <c r="N357" s="28"/>
      <c r="O357" s="28" t="s">
        <v>2061</v>
      </c>
      <c r="P357" s="28">
        <v>90083</v>
      </c>
      <c r="Q357" s="28"/>
      <c r="R357" s="28" t="s">
        <v>1135</v>
      </c>
    </row>
    <row r="358" spans="1:18">
      <c r="A358" s="31">
        <v>45849.118750000001</v>
      </c>
      <c r="B358" s="28">
        <v>11</v>
      </c>
      <c r="C358" s="28" t="s">
        <v>1122</v>
      </c>
      <c r="D358" s="28" t="s">
        <v>2062</v>
      </c>
      <c r="E358" s="28" t="s">
        <v>1124</v>
      </c>
      <c r="F358" s="28" t="s">
        <v>1125</v>
      </c>
      <c r="G358" s="28">
        <v>77.25</v>
      </c>
      <c r="H358" s="28">
        <v>77.25</v>
      </c>
      <c r="I358" s="28">
        <v>2.2400000000000002</v>
      </c>
      <c r="J358" s="28">
        <v>75.010000000000005</v>
      </c>
      <c r="K358" s="28">
        <v>0</v>
      </c>
      <c r="L358" s="28" t="s">
        <v>45</v>
      </c>
      <c r="M358" s="28"/>
      <c r="N358" s="28"/>
      <c r="O358" s="28" t="s">
        <v>2063</v>
      </c>
      <c r="P358" s="28">
        <v>92663</v>
      </c>
      <c r="Q358" s="28"/>
      <c r="R358" s="28" t="s">
        <v>1514</v>
      </c>
    </row>
    <row r="359" spans="1:18">
      <c r="A359" s="31">
        <v>45880.738194444442</v>
      </c>
      <c r="B359" s="28">
        <v>11</v>
      </c>
      <c r="C359" s="28" t="s">
        <v>1122</v>
      </c>
      <c r="D359" s="28" t="s">
        <v>2064</v>
      </c>
      <c r="E359" s="28" t="s">
        <v>1124</v>
      </c>
      <c r="F359" s="28" t="s">
        <v>1125</v>
      </c>
      <c r="G359" s="28">
        <v>26.09</v>
      </c>
      <c r="H359" s="28">
        <v>26.09</v>
      </c>
      <c r="I359" s="28">
        <v>0.76</v>
      </c>
      <c r="J359" s="28">
        <v>25.33</v>
      </c>
      <c r="K359" s="28">
        <v>0</v>
      </c>
      <c r="L359" s="28" t="s">
        <v>45</v>
      </c>
      <c r="M359" s="28"/>
      <c r="N359" s="28"/>
      <c r="O359" s="28" t="s">
        <v>2065</v>
      </c>
      <c r="P359" s="28">
        <v>90179</v>
      </c>
      <c r="Q359" s="28"/>
      <c r="R359" s="28" t="s">
        <v>1562</v>
      </c>
    </row>
    <row r="360" spans="1:18">
      <c r="A360" s="31">
        <v>45880.656944444447</v>
      </c>
      <c r="B360" s="28">
        <v>11</v>
      </c>
      <c r="C360" s="28" t="s">
        <v>1122</v>
      </c>
      <c r="D360" s="28" t="s">
        <v>2066</v>
      </c>
      <c r="E360" s="28" t="s">
        <v>1124</v>
      </c>
      <c r="F360" s="28" t="s">
        <v>1125</v>
      </c>
      <c r="G360" s="28">
        <v>120</v>
      </c>
      <c r="H360" s="28">
        <v>120</v>
      </c>
      <c r="I360" s="28">
        <v>3.48</v>
      </c>
      <c r="J360" s="28">
        <v>116.52</v>
      </c>
      <c r="K360" s="28">
        <v>0</v>
      </c>
      <c r="L360" s="28" t="s">
        <v>45</v>
      </c>
      <c r="M360" s="28"/>
      <c r="N360" s="28"/>
      <c r="O360" s="28" t="s">
        <v>2067</v>
      </c>
      <c r="P360" s="28">
        <v>93071</v>
      </c>
      <c r="Q360" s="28"/>
      <c r="R360" s="28" t="s">
        <v>1131</v>
      </c>
    </row>
    <row r="361" spans="1:18">
      <c r="A361" s="31">
        <v>45880.472916666666</v>
      </c>
      <c r="B361" s="28">
        <v>11</v>
      </c>
      <c r="C361" s="28" t="s">
        <v>1122</v>
      </c>
      <c r="D361" s="28" t="s">
        <v>2068</v>
      </c>
      <c r="E361" s="28" t="s">
        <v>1124</v>
      </c>
      <c r="F361" s="28" t="s">
        <v>1125</v>
      </c>
      <c r="G361" s="28">
        <v>60</v>
      </c>
      <c r="H361" s="28">
        <v>60</v>
      </c>
      <c r="I361" s="28">
        <v>1.74</v>
      </c>
      <c r="J361" s="28">
        <v>58.26</v>
      </c>
      <c r="K361" s="28">
        <v>0</v>
      </c>
      <c r="L361" s="28" t="s">
        <v>45</v>
      </c>
      <c r="M361" s="28"/>
      <c r="N361" s="28"/>
      <c r="O361" s="28" t="s">
        <v>2069</v>
      </c>
      <c r="P361" s="28">
        <v>93059</v>
      </c>
      <c r="Q361" s="28"/>
      <c r="R361" s="28" t="s">
        <v>1131</v>
      </c>
    </row>
    <row r="362" spans="1:18">
      <c r="A362" s="31">
        <v>45880.26666666667</v>
      </c>
      <c r="B362" s="28">
        <v>11</v>
      </c>
      <c r="C362" s="28" t="s">
        <v>1122</v>
      </c>
      <c r="D362" s="28" t="s">
        <v>2070</v>
      </c>
      <c r="E362" s="28" t="s">
        <v>1124</v>
      </c>
      <c r="F362" s="28" t="s">
        <v>1125</v>
      </c>
      <c r="G362" s="28">
        <v>3.99</v>
      </c>
      <c r="H362" s="28">
        <v>3.99</v>
      </c>
      <c r="I362" s="28">
        <v>0.12</v>
      </c>
      <c r="J362" s="28">
        <v>3.87</v>
      </c>
      <c r="K362" s="28">
        <v>0</v>
      </c>
      <c r="L362" s="28" t="s">
        <v>45</v>
      </c>
      <c r="M362" s="28"/>
      <c r="N362" s="28"/>
      <c r="O362" s="28" t="s">
        <v>2071</v>
      </c>
      <c r="P362" s="28">
        <v>93011</v>
      </c>
      <c r="Q362" s="28"/>
      <c r="R362" s="28" t="s">
        <v>1131</v>
      </c>
    </row>
    <row r="363" spans="1:18">
      <c r="A363" s="31">
        <v>45880.25</v>
      </c>
      <c r="B363" s="28">
        <v>11</v>
      </c>
      <c r="C363" s="28" t="s">
        <v>1122</v>
      </c>
      <c r="D363" s="28" t="s">
        <v>2072</v>
      </c>
      <c r="E363" s="28" t="s">
        <v>1124</v>
      </c>
      <c r="F363" s="28" t="s">
        <v>1125</v>
      </c>
      <c r="G363" s="28">
        <v>5.49</v>
      </c>
      <c r="H363" s="28">
        <v>5.49</v>
      </c>
      <c r="I363" s="28">
        <v>0.16</v>
      </c>
      <c r="J363" s="28">
        <v>5.33</v>
      </c>
      <c r="K363" s="28">
        <v>0</v>
      </c>
      <c r="L363" s="28" t="s">
        <v>45</v>
      </c>
      <c r="M363" s="28"/>
      <c r="N363" s="28"/>
      <c r="O363" s="28" t="s">
        <v>2073</v>
      </c>
      <c r="P363" s="28">
        <v>92999</v>
      </c>
      <c r="Q363" s="28"/>
      <c r="R363" s="28" t="s">
        <v>1149</v>
      </c>
    </row>
    <row r="364" spans="1:18">
      <c r="A364" s="31">
        <v>45911.893055555556</v>
      </c>
      <c r="B364" s="28">
        <v>11</v>
      </c>
      <c r="C364" s="28" t="s">
        <v>1122</v>
      </c>
      <c r="D364" s="28" t="s">
        <v>2074</v>
      </c>
      <c r="E364" s="28" t="s">
        <v>1124</v>
      </c>
      <c r="F364" s="28" t="s">
        <v>1125</v>
      </c>
      <c r="G364" s="28">
        <v>3.13</v>
      </c>
      <c r="H364" s="28">
        <v>3.13</v>
      </c>
      <c r="I364" s="28">
        <v>0.09</v>
      </c>
      <c r="J364" s="28">
        <v>3.04</v>
      </c>
      <c r="K364" s="28">
        <v>0</v>
      </c>
      <c r="L364" s="28" t="s">
        <v>45</v>
      </c>
      <c r="M364" s="28"/>
      <c r="N364" s="28"/>
      <c r="O364" s="28" t="s">
        <v>2075</v>
      </c>
      <c r="P364" s="28">
        <v>93323</v>
      </c>
      <c r="Q364" s="28"/>
      <c r="R364" s="28" t="s">
        <v>1127</v>
      </c>
    </row>
    <row r="365" spans="1:18">
      <c r="A365" s="31">
        <v>45911.673611111109</v>
      </c>
      <c r="B365" s="28">
        <v>11</v>
      </c>
      <c r="C365" s="28" t="s">
        <v>1122</v>
      </c>
      <c r="D365" s="28" t="s">
        <v>2076</v>
      </c>
      <c r="E365" s="28" t="s">
        <v>1124</v>
      </c>
      <c r="F365" s="28" t="s">
        <v>1125</v>
      </c>
      <c r="G365" s="28">
        <v>3.3</v>
      </c>
      <c r="H365" s="28">
        <v>3.3</v>
      </c>
      <c r="I365" s="28">
        <v>0.1</v>
      </c>
      <c r="J365" s="28">
        <v>3.2</v>
      </c>
      <c r="K365" s="28">
        <v>0</v>
      </c>
      <c r="L365" s="28" t="s">
        <v>45</v>
      </c>
      <c r="M365" s="28"/>
      <c r="N365" s="28"/>
      <c r="O365" s="28" t="s">
        <v>2077</v>
      </c>
      <c r="P365" s="28">
        <v>93287</v>
      </c>
      <c r="Q365" s="28"/>
      <c r="R365" s="28" t="s">
        <v>1531</v>
      </c>
    </row>
    <row r="366" spans="1:18">
      <c r="A366" s="31">
        <v>45911.647222222222</v>
      </c>
      <c r="B366" s="28">
        <v>11</v>
      </c>
      <c r="C366" s="28" t="s">
        <v>1122</v>
      </c>
      <c r="D366" s="28" t="s">
        <v>2078</v>
      </c>
      <c r="E366" s="28" t="s">
        <v>1124</v>
      </c>
      <c r="F366" s="28" t="s">
        <v>1125</v>
      </c>
      <c r="G366" s="28">
        <v>3.99</v>
      </c>
      <c r="H366" s="28">
        <v>3.99</v>
      </c>
      <c r="I366" s="28">
        <v>0.12</v>
      </c>
      <c r="J366" s="28">
        <v>3.87</v>
      </c>
      <c r="K366" s="28">
        <v>0</v>
      </c>
      <c r="L366" s="28" t="s">
        <v>45</v>
      </c>
      <c r="M366" s="28"/>
      <c r="N366" s="28"/>
      <c r="O366" s="28" t="s">
        <v>2079</v>
      </c>
      <c r="P366" s="28">
        <v>93275</v>
      </c>
      <c r="Q366" s="28"/>
      <c r="R366" s="28" t="s">
        <v>1149</v>
      </c>
    </row>
    <row r="367" spans="1:18">
      <c r="A367" s="31">
        <v>45911.557638888888</v>
      </c>
      <c r="B367" s="28">
        <v>11</v>
      </c>
      <c r="C367" s="28" t="s">
        <v>1122</v>
      </c>
      <c r="D367" s="28" t="s">
        <v>2080</v>
      </c>
      <c r="E367" s="28" t="s">
        <v>1124</v>
      </c>
      <c r="F367" s="28" t="s">
        <v>1125</v>
      </c>
      <c r="G367" s="28">
        <v>7.59</v>
      </c>
      <c r="H367" s="28">
        <v>7.59</v>
      </c>
      <c r="I367" s="28">
        <v>0.22</v>
      </c>
      <c r="J367" s="28">
        <v>7.37</v>
      </c>
      <c r="K367" s="28">
        <v>0</v>
      </c>
      <c r="L367" s="28" t="s">
        <v>45</v>
      </c>
      <c r="M367" s="28"/>
      <c r="N367" s="28"/>
      <c r="O367" s="28" t="s">
        <v>2081</v>
      </c>
      <c r="P367" s="28">
        <v>90983</v>
      </c>
      <c r="Q367" s="28"/>
      <c r="R367" s="28" t="s">
        <v>1131</v>
      </c>
    </row>
    <row r="368" spans="1:18">
      <c r="A368" s="31">
        <v>45941.469444444447</v>
      </c>
      <c r="B368" s="28">
        <v>11</v>
      </c>
      <c r="C368" s="28" t="s">
        <v>1122</v>
      </c>
      <c r="D368" s="28" t="s">
        <v>2082</v>
      </c>
      <c r="E368" s="28" t="s">
        <v>1124</v>
      </c>
      <c r="F368" s="28" t="s">
        <v>1125</v>
      </c>
      <c r="G368" s="28">
        <v>8.4</v>
      </c>
      <c r="H368" s="28">
        <v>8.4</v>
      </c>
      <c r="I368" s="28">
        <v>0.25</v>
      </c>
      <c r="J368" s="28">
        <v>8.15</v>
      </c>
      <c r="K368" s="28">
        <v>0</v>
      </c>
      <c r="L368" s="28" t="s">
        <v>45</v>
      </c>
      <c r="M368" s="28"/>
      <c r="N368" s="28"/>
      <c r="O368" s="28" t="s">
        <v>2083</v>
      </c>
      <c r="P368" s="28">
        <v>93623</v>
      </c>
      <c r="Q368" s="28"/>
      <c r="R368" s="28" t="s">
        <v>1135</v>
      </c>
    </row>
    <row r="369" spans="1:18">
      <c r="A369" s="31">
        <v>45941.175694444442</v>
      </c>
      <c r="B369" s="28">
        <v>11</v>
      </c>
      <c r="C369" s="28" t="s">
        <v>1122</v>
      </c>
      <c r="D369" s="28" t="s">
        <v>2084</v>
      </c>
      <c r="E369" s="28" t="s">
        <v>1124</v>
      </c>
      <c r="F369" s="28" t="s">
        <v>1125</v>
      </c>
      <c r="G369" s="28">
        <v>60.99</v>
      </c>
      <c r="H369" s="28">
        <v>60.99</v>
      </c>
      <c r="I369" s="28">
        <v>1.77</v>
      </c>
      <c r="J369" s="28">
        <v>59.22</v>
      </c>
      <c r="K369" s="28">
        <v>0</v>
      </c>
      <c r="L369" s="28" t="s">
        <v>45</v>
      </c>
      <c r="M369" s="28"/>
      <c r="N369" s="28"/>
      <c r="O369" s="28" t="s">
        <v>2085</v>
      </c>
      <c r="P369" s="28">
        <v>90347</v>
      </c>
      <c r="Q369" s="28"/>
      <c r="R369" s="28" t="s">
        <v>1531</v>
      </c>
    </row>
    <row r="370" spans="1:18">
      <c r="A370" s="31">
        <v>45941.138888888891</v>
      </c>
      <c r="B370" s="28">
        <v>11</v>
      </c>
      <c r="C370" s="28" t="s">
        <v>1122</v>
      </c>
      <c r="D370" s="28" t="s">
        <v>2086</v>
      </c>
      <c r="E370" s="28" t="s">
        <v>1124</v>
      </c>
      <c r="F370" s="28" t="s">
        <v>1125</v>
      </c>
      <c r="G370" s="28">
        <v>12.49</v>
      </c>
      <c r="H370" s="28">
        <v>12.49</v>
      </c>
      <c r="I370" s="28">
        <v>0.37</v>
      </c>
      <c r="J370" s="28">
        <v>12.12</v>
      </c>
      <c r="K370" s="28">
        <v>0</v>
      </c>
      <c r="L370" s="28" t="s">
        <v>45</v>
      </c>
      <c r="M370" s="28"/>
      <c r="N370" s="28"/>
      <c r="O370" s="28" t="s">
        <v>2087</v>
      </c>
      <c r="P370" s="28">
        <v>93563</v>
      </c>
      <c r="Q370" s="28"/>
      <c r="R370" s="28" t="s">
        <v>1135</v>
      </c>
    </row>
    <row r="371" spans="1:18">
      <c r="A371" s="31">
        <v>45972.823611111111</v>
      </c>
      <c r="B371" s="28">
        <v>11</v>
      </c>
      <c r="C371" s="28" t="s">
        <v>1122</v>
      </c>
      <c r="D371" s="28" t="s">
        <v>2088</v>
      </c>
      <c r="E371" s="28" t="s">
        <v>1124</v>
      </c>
      <c r="F371" s="28" t="s">
        <v>1125</v>
      </c>
      <c r="G371" s="28">
        <v>5.19</v>
      </c>
      <c r="H371" s="28">
        <v>5.19</v>
      </c>
      <c r="I371" s="28">
        <v>0.15</v>
      </c>
      <c r="J371" s="28">
        <v>5.04</v>
      </c>
      <c r="K371" s="28">
        <v>0</v>
      </c>
      <c r="L371" s="28" t="s">
        <v>45</v>
      </c>
      <c r="M371" s="28"/>
      <c r="N371" s="28"/>
      <c r="O371" s="28" t="s">
        <v>2089</v>
      </c>
      <c r="P371" s="28">
        <v>93863</v>
      </c>
      <c r="Q371" s="28"/>
      <c r="R371" s="28" t="s">
        <v>1149</v>
      </c>
    </row>
    <row r="372" spans="1:18">
      <c r="A372" s="31">
        <v>45972.62777777778</v>
      </c>
      <c r="B372" s="28">
        <v>11</v>
      </c>
      <c r="C372" s="28" t="s">
        <v>1122</v>
      </c>
      <c r="D372" s="28" t="s">
        <v>2090</v>
      </c>
      <c r="E372" s="28" t="s">
        <v>1124</v>
      </c>
      <c r="F372" s="28" t="s">
        <v>1125</v>
      </c>
      <c r="G372" s="28">
        <v>179.99</v>
      </c>
      <c r="H372" s="28">
        <v>179.99</v>
      </c>
      <c r="I372" s="28">
        <v>5.22</v>
      </c>
      <c r="J372" s="28">
        <v>174.77</v>
      </c>
      <c r="K372" s="28">
        <v>0</v>
      </c>
      <c r="L372" s="28" t="s">
        <v>45</v>
      </c>
      <c r="M372" s="28"/>
      <c r="N372" s="28"/>
      <c r="O372" s="28" t="s">
        <v>2091</v>
      </c>
      <c r="P372" s="28">
        <v>92375</v>
      </c>
      <c r="Q372" s="28"/>
      <c r="R372" s="28" t="s">
        <v>1149</v>
      </c>
    </row>
    <row r="373" spans="1:18">
      <c r="A373" s="31">
        <v>45972.614583333336</v>
      </c>
      <c r="B373" s="28">
        <v>11</v>
      </c>
      <c r="C373" s="28" t="s">
        <v>1122</v>
      </c>
      <c r="D373" s="28" t="s">
        <v>2092</v>
      </c>
      <c r="E373" s="28" t="s">
        <v>1124</v>
      </c>
      <c r="F373" s="28" t="s">
        <v>1125</v>
      </c>
      <c r="G373" s="28">
        <v>15.43</v>
      </c>
      <c r="H373" s="28">
        <v>15.43</v>
      </c>
      <c r="I373" s="28">
        <v>0.45</v>
      </c>
      <c r="J373" s="28">
        <v>14.98</v>
      </c>
      <c r="K373" s="28">
        <v>0</v>
      </c>
      <c r="L373" s="28" t="s">
        <v>45</v>
      </c>
      <c r="M373" s="28"/>
      <c r="N373" s="28"/>
      <c r="O373" s="28" t="s">
        <v>2093</v>
      </c>
      <c r="P373" s="28">
        <v>93851</v>
      </c>
      <c r="Q373" s="28"/>
      <c r="R373" s="28" t="s">
        <v>1139</v>
      </c>
    </row>
    <row r="374" spans="1:18">
      <c r="A374" s="31">
        <v>45972.500694444447</v>
      </c>
      <c r="B374" s="28">
        <v>11</v>
      </c>
      <c r="C374" s="28" t="s">
        <v>1122</v>
      </c>
      <c r="D374" s="28" t="s">
        <v>2094</v>
      </c>
      <c r="E374" s="28" t="s">
        <v>1124</v>
      </c>
      <c r="F374" s="28" t="s">
        <v>1125</v>
      </c>
      <c r="G374" s="28">
        <v>5.03</v>
      </c>
      <c r="H374" s="28">
        <v>5.03</v>
      </c>
      <c r="I374" s="28">
        <v>0.15</v>
      </c>
      <c r="J374" s="28">
        <v>4.88</v>
      </c>
      <c r="K374" s="28">
        <v>0</v>
      </c>
      <c r="L374" s="28" t="s">
        <v>45</v>
      </c>
      <c r="M374" s="28"/>
      <c r="N374" s="28"/>
      <c r="O374" s="28" t="s">
        <v>2095</v>
      </c>
      <c r="P374" s="28">
        <v>93839</v>
      </c>
      <c r="Q374" s="28"/>
      <c r="R374" s="28" t="s">
        <v>1135</v>
      </c>
    </row>
    <row r="375" spans="1:18">
      <c r="A375" s="31">
        <v>45972.186111111114</v>
      </c>
      <c r="B375" s="28">
        <v>11</v>
      </c>
      <c r="C375" s="28" t="s">
        <v>1122</v>
      </c>
      <c r="D375" s="28" t="s">
        <v>2096</v>
      </c>
      <c r="E375" s="28" t="s">
        <v>1124</v>
      </c>
      <c r="F375" s="28" t="s">
        <v>1125</v>
      </c>
      <c r="G375" s="28">
        <v>120</v>
      </c>
      <c r="H375" s="28">
        <v>120</v>
      </c>
      <c r="I375" s="28">
        <v>3.48</v>
      </c>
      <c r="J375" s="28">
        <v>116.52</v>
      </c>
      <c r="K375" s="28">
        <v>0</v>
      </c>
      <c r="L375" s="28" t="s">
        <v>45</v>
      </c>
      <c r="M375" s="28"/>
      <c r="N375" s="28"/>
      <c r="O375" s="28" t="s">
        <v>2097</v>
      </c>
      <c r="P375" s="28">
        <v>93767</v>
      </c>
      <c r="Q375" s="28"/>
      <c r="R375" s="28" t="s">
        <v>1149</v>
      </c>
    </row>
    <row r="376" spans="1:18">
      <c r="A376" s="31">
        <v>45972.14166666667</v>
      </c>
      <c r="B376" s="28">
        <v>11</v>
      </c>
      <c r="C376" s="28" t="s">
        <v>1122</v>
      </c>
      <c r="D376" s="28" t="s">
        <v>2098</v>
      </c>
      <c r="E376" s="28" t="s">
        <v>1124</v>
      </c>
      <c r="F376" s="28" t="s">
        <v>1125</v>
      </c>
      <c r="G376" s="28">
        <v>3.59</v>
      </c>
      <c r="H376" s="28">
        <v>3.59</v>
      </c>
      <c r="I376" s="28">
        <v>0.11</v>
      </c>
      <c r="J376" s="28">
        <v>3.48</v>
      </c>
      <c r="K376" s="28">
        <v>0</v>
      </c>
      <c r="L376" s="28" t="s">
        <v>45</v>
      </c>
      <c r="M376" s="28"/>
      <c r="N376" s="28"/>
      <c r="O376" s="28" t="s">
        <v>2099</v>
      </c>
      <c r="P376" s="28">
        <v>93755</v>
      </c>
      <c r="Q376" s="28"/>
      <c r="R376" s="28" t="s">
        <v>1131</v>
      </c>
    </row>
    <row r="377" spans="1:18">
      <c r="A377" s="31">
        <v>45972.079861111109</v>
      </c>
      <c r="B377" s="28">
        <v>11</v>
      </c>
      <c r="C377" s="28" t="s">
        <v>1122</v>
      </c>
      <c r="D377" s="28" t="s">
        <v>2100</v>
      </c>
      <c r="E377" s="28" t="s">
        <v>1124</v>
      </c>
      <c r="F377" s="28" t="s">
        <v>1125</v>
      </c>
      <c r="G377" s="28">
        <v>99.99</v>
      </c>
      <c r="H377" s="28">
        <v>99.99</v>
      </c>
      <c r="I377" s="28">
        <v>2.9</v>
      </c>
      <c r="J377" s="28">
        <v>97.09</v>
      </c>
      <c r="K377" s="28">
        <v>0</v>
      </c>
      <c r="L377" s="28" t="s">
        <v>45</v>
      </c>
      <c r="M377" s="28"/>
      <c r="N377" s="28"/>
      <c r="O377" s="28" t="s">
        <v>2101</v>
      </c>
      <c r="P377" s="28">
        <v>90491</v>
      </c>
      <c r="Q377" s="28"/>
      <c r="R377" s="28" t="s">
        <v>1531</v>
      </c>
    </row>
    <row r="378" spans="1:18">
      <c r="A378" s="31">
        <v>45972.0625</v>
      </c>
      <c r="B378" s="28">
        <v>11</v>
      </c>
      <c r="C378" s="28" t="s">
        <v>1122</v>
      </c>
      <c r="D378" s="28" t="s">
        <v>2102</v>
      </c>
      <c r="E378" s="28" t="s">
        <v>1124</v>
      </c>
      <c r="F378" s="28" t="s">
        <v>1125</v>
      </c>
      <c r="G378" s="28">
        <v>7.99</v>
      </c>
      <c r="H378" s="28">
        <v>7.99</v>
      </c>
      <c r="I378" s="28">
        <v>0.24</v>
      </c>
      <c r="J378" s="28">
        <v>7.75</v>
      </c>
      <c r="K378" s="28">
        <v>0</v>
      </c>
      <c r="L378" s="28" t="s">
        <v>45</v>
      </c>
      <c r="M378" s="28"/>
      <c r="N378" s="28"/>
      <c r="O378" s="28" t="s">
        <v>2103</v>
      </c>
      <c r="P378" s="28">
        <v>93743</v>
      </c>
      <c r="Q378" s="28"/>
      <c r="R378" s="28" t="s">
        <v>1139</v>
      </c>
    </row>
    <row r="379" spans="1:18">
      <c r="A379" s="31">
        <v>46002.435416666667</v>
      </c>
      <c r="B379" s="28">
        <v>11</v>
      </c>
      <c r="C379" s="28" t="s">
        <v>1122</v>
      </c>
      <c r="D379" s="28" t="s">
        <v>2104</v>
      </c>
      <c r="E379" s="28" t="s">
        <v>1124</v>
      </c>
      <c r="F379" s="28" t="s">
        <v>1125</v>
      </c>
      <c r="G379" s="28">
        <v>60</v>
      </c>
      <c r="H379" s="28">
        <v>60</v>
      </c>
      <c r="I379" s="28">
        <v>1.74</v>
      </c>
      <c r="J379" s="28">
        <v>58.26</v>
      </c>
      <c r="K379" s="28">
        <v>0</v>
      </c>
      <c r="L379" s="28" t="s">
        <v>45</v>
      </c>
      <c r="M379" s="28"/>
      <c r="N379" s="28"/>
      <c r="O379" s="28" t="s">
        <v>2105</v>
      </c>
      <c r="P379" s="28">
        <v>94139</v>
      </c>
      <c r="Q379" s="28"/>
      <c r="R379" s="28" t="s">
        <v>1531</v>
      </c>
    </row>
    <row r="380" spans="1:18">
      <c r="A380" s="31">
        <v>46002.193055555559</v>
      </c>
      <c r="B380" s="28">
        <v>11</v>
      </c>
      <c r="C380" s="28" t="s">
        <v>1122</v>
      </c>
      <c r="D380" s="28" t="s">
        <v>2106</v>
      </c>
      <c r="E380" s="28" t="s">
        <v>1124</v>
      </c>
      <c r="F380" s="28" t="s">
        <v>1125</v>
      </c>
      <c r="G380" s="28">
        <v>19.989999999999998</v>
      </c>
      <c r="H380" s="28">
        <v>19.989999999999998</v>
      </c>
      <c r="I380" s="28">
        <v>0.57999999999999996</v>
      </c>
      <c r="J380" s="28">
        <v>19.41</v>
      </c>
      <c r="K380" s="28">
        <v>0</v>
      </c>
      <c r="L380" s="28" t="s">
        <v>45</v>
      </c>
      <c r="M380" s="28"/>
      <c r="N380" s="28"/>
      <c r="O380" s="28" t="s">
        <v>2107</v>
      </c>
      <c r="P380" s="28">
        <v>94103</v>
      </c>
      <c r="Q380" s="28"/>
      <c r="R380" s="28" t="s">
        <v>1135</v>
      </c>
    </row>
    <row r="381" spans="1:18">
      <c r="A381" s="31">
        <v>46002.11041666667</v>
      </c>
      <c r="B381" s="28">
        <v>11</v>
      </c>
      <c r="C381" s="28" t="s">
        <v>1122</v>
      </c>
      <c r="D381" s="28" t="s">
        <v>2108</v>
      </c>
      <c r="E381" s="28" t="s">
        <v>1194</v>
      </c>
      <c r="F381" s="28" t="s">
        <v>1125</v>
      </c>
      <c r="G381" s="28">
        <v>-6.5</v>
      </c>
      <c r="H381" s="28">
        <v>-6.5</v>
      </c>
      <c r="I381" s="28">
        <v>0.5</v>
      </c>
      <c r="J381" s="28">
        <v>-6.5</v>
      </c>
      <c r="K381" s="28">
        <v>6</v>
      </c>
      <c r="L381" s="28" t="s">
        <v>45</v>
      </c>
      <c r="M381" s="28"/>
      <c r="N381" s="28"/>
      <c r="O381" s="28" t="s">
        <v>2109</v>
      </c>
      <c r="P381" s="28">
        <v>92723</v>
      </c>
      <c r="Q381" s="28" t="s">
        <v>2056</v>
      </c>
      <c r="R381" s="28" t="s">
        <v>1135</v>
      </c>
    </row>
    <row r="382" spans="1:18">
      <c r="A382" s="28" t="s">
        <v>2110</v>
      </c>
      <c r="B382" s="28">
        <v>11</v>
      </c>
      <c r="C382" s="28" t="s">
        <v>1122</v>
      </c>
      <c r="D382" s="28" t="s">
        <v>2111</v>
      </c>
      <c r="E382" s="28" t="s">
        <v>1124</v>
      </c>
      <c r="F382" s="28" t="s">
        <v>1125</v>
      </c>
      <c r="G382" s="28">
        <v>60</v>
      </c>
      <c r="H382" s="28">
        <v>60</v>
      </c>
      <c r="I382" s="28">
        <v>1.74</v>
      </c>
      <c r="J382" s="28">
        <v>58.26</v>
      </c>
      <c r="K382" s="28">
        <v>0</v>
      </c>
      <c r="L382" s="28" t="s">
        <v>45</v>
      </c>
      <c r="M382" s="28"/>
      <c r="N382" s="28"/>
      <c r="O382" s="28" t="s">
        <v>2112</v>
      </c>
      <c r="P382" s="28">
        <v>92459</v>
      </c>
      <c r="Q382" s="28"/>
      <c r="R382" s="28" t="s">
        <v>1135</v>
      </c>
    </row>
    <row r="383" spans="1:18">
      <c r="A383" s="28" t="s">
        <v>2113</v>
      </c>
      <c r="B383" s="28">
        <v>11</v>
      </c>
      <c r="C383" s="28" t="s">
        <v>1122</v>
      </c>
      <c r="D383" s="28" t="s">
        <v>2114</v>
      </c>
      <c r="E383" s="28" t="s">
        <v>1124</v>
      </c>
      <c r="F383" s="28" t="s">
        <v>1125</v>
      </c>
      <c r="G383" s="28">
        <v>12.6</v>
      </c>
      <c r="H383" s="28">
        <v>12.6</v>
      </c>
      <c r="I383" s="28">
        <v>0.37</v>
      </c>
      <c r="J383" s="28">
        <v>12.23</v>
      </c>
      <c r="K383" s="28">
        <v>0</v>
      </c>
      <c r="L383" s="28" t="s">
        <v>45</v>
      </c>
      <c r="M383" s="28"/>
      <c r="N383" s="28"/>
      <c r="O383" s="28" t="s">
        <v>2115</v>
      </c>
      <c r="P383" s="28">
        <v>94247</v>
      </c>
      <c r="Q383" s="28"/>
      <c r="R383" s="28" t="s">
        <v>1149</v>
      </c>
    </row>
    <row r="384" spans="1:18">
      <c r="A384" s="28" t="s">
        <v>2116</v>
      </c>
      <c r="B384" s="28">
        <v>11</v>
      </c>
      <c r="C384" s="28" t="s">
        <v>1122</v>
      </c>
      <c r="D384" s="28" t="s">
        <v>2117</v>
      </c>
      <c r="E384" s="28" t="s">
        <v>1124</v>
      </c>
      <c r="F384" s="28" t="s">
        <v>1125</v>
      </c>
      <c r="G384" s="28">
        <v>5.19</v>
      </c>
      <c r="H384" s="28">
        <v>5.19</v>
      </c>
      <c r="I384" s="28">
        <v>0.15</v>
      </c>
      <c r="J384" s="28">
        <v>5.04</v>
      </c>
      <c r="K384" s="28">
        <v>0</v>
      </c>
      <c r="L384" s="28" t="s">
        <v>45</v>
      </c>
      <c r="M384" s="28"/>
      <c r="N384" s="28"/>
      <c r="O384" s="28" t="s">
        <v>2118</v>
      </c>
      <c r="P384" s="28">
        <v>94559</v>
      </c>
      <c r="Q384" s="28"/>
      <c r="R384" s="28" t="s">
        <v>1135</v>
      </c>
    </row>
    <row r="385" spans="1:18">
      <c r="A385" s="28" t="s">
        <v>2119</v>
      </c>
      <c r="B385" s="28">
        <v>11</v>
      </c>
      <c r="C385" s="28" t="s">
        <v>1122</v>
      </c>
      <c r="D385" s="28" t="s">
        <v>2120</v>
      </c>
      <c r="E385" s="28" t="s">
        <v>1124</v>
      </c>
      <c r="F385" s="28" t="s">
        <v>1125</v>
      </c>
      <c r="G385" s="28">
        <v>28.99</v>
      </c>
      <c r="H385" s="28">
        <v>28.99</v>
      </c>
      <c r="I385" s="28">
        <v>0.84</v>
      </c>
      <c r="J385" s="28">
        <v>28.15</v>
      </c>
      <c r="K385" s="28">
        <v>0</v>
      </c>
      <c r="L385" s="28" t="s">
        <v>45</v>
      </c>
      <c r="M385" s="28"/>
      <c r="N385" s="28"/>
      <c r="O385" s="28" t="s">
        <v>2121</v>
      </c>
      <c r="P385" s="28">
        <v>94811</v>
      </c>
      <c r="Q385" s="28"/>
      <c r="R385" s="28" t="s">
        <v>1131</v>
      </c>
    </row>
    <row r="386" spans="1:18">
      <c r="A386" s="28" t="s">
        <v>2122</v>
      </c>
      <c r="B386" s="28">
        <v>11</v>
      </c>
      <c r="C386" s="28" t="s">
        <v>1122</v>
      </c>
      <c r="D386" s="28" t="s">
        <v>2123</v>
      </c>
      <c r="E386" s="28" t="s">
        <v>1124</v>
      </c>
      <c r="F386" s="28" t="s">
        <v>1125</v>
      </c>
      <c r="G386" s="28">
        <v>21.59</v>
      </c>
      <c r="H386" s="28">
        <v>21.59</v>
      </c>
      <c r="I386" s="28">
        <v>0.63</v>
      </c>
      <c r="J386" s="28">
        <v>20.96</v>
      </c>
      <c r="K386" s="28">
        <v>0</v>
      </c>
      <c r="L386" s="28" t="s">
        <v>45</v>
      </c>
      <c r="M386" s="28"/>
      <c r="N386" s="28"/>
      <c r="O386" s="28" t="s">
        <v>2124</v>
      </c>
      <c r="P386" s="28">
        <v>95268</v>
      </c>
      <c r="Q386" s="28"/>
      <c r="R386" s="28" t="s">
        <v>1131</v>
      </c>
    </row>
    <row r="387" spans="1:18">
      <c r="A387" s="28" t="s">
        <v>2125</v>
      </c>
      <c r="B387" s="28">
        <v>11</v>
      </c>
      <c r="C387" s="28" t="s">
        <v>1122</v>
      </c>
      <c r="D387" s="28" t="s">
        <v>2126</v>
      </c>
      <c r="E387" s="28" t="s">
        <v>1124</v>
      </c>
      <c r="F387" s="28" t="s">
        <v>1125</v>
      </c>
      <c r="G387" s="28">
        <v>23.19</v>
      </c>
      <c r="H387" s="28">
        <v>23.19</v>
      </c>
      <c r="I387" s="28">
        <v>0.68</v>
      </c>
      <c r="J387" s="28">
        <v>22.51</v>
      </c>
      <c r="K387" s="28">
        <v>0</v>
      </c>
      <c r="L387" s="28" t="s">
        <v>45</v>
      </c>
      <c r="M387" s="28"/>
      <c r="N387" s="28"/>
      <c r="O387" s="28" t="s">
        <v>2127</v>
      </c>
      <c r="P387" s="28">
        <v>95196</v>
      </c>
      <c r="Q387" s="28"/>
      <c r="R387" s="28" t="s">
        <v>1149</v>
      </c>
    </row>
    <row r="388" spans="1:18">
      <c r="A388" s="28" t="s">
        <v>2128</v>
      </c>
      <c r="B388" s="28">
        <v>11</v>
      </c>
      <c r="C388" s="28" t="s">
        <v>1122</v>
      </c>
      <c r="D388" s="28" t="s">
        <v>2129</v>
      </c>
      <c r="E388" s="28" t="s">
        <v>1124</v>
      </c>
      <c r="F388" s="28" t="s">
        <v>1125</v>
      </c>
      <c r="G388" s="28">
        <v>23.19</v>
      </c>
      <c r="H388" s="28">
        <v>23.19</v>
      </c>
      <c r="I388" s="28">
        <v>0.68</v>
      </c>
      <c r="J388" s="28">
        <v>22.51</v>
      </c>
      <c r="K388" s="28">
        <v>0</v>
      </c>
      <c r="L388" s="28" t="s">
        <v>45</v>
      </c>
      <c r="M388" s="28"/>
      <c r="N388" s="28"/>
      <c r="O388" s="28" t="s">
        <v>2127</v>
      </c>
      <c r="P388" s="28">
        <v>95196</v>
      </c>
      <c r="Q388" s="28"/>
      <c r="R388" s="28" t="s">
        <v>1149</v>
      </c>
    </row>
    <row r="389" spans="1:18">
      <c r="A389" s="28" t="s">
        <v>2130</v>
      </c>
      <c r="B389" s="28">
        <v>11</v>
      </c>
      <c r="C389" s="28" t="s">
        <v>1122</v>
      </c>
      <c r="D389" s="28" t="s">
        <v>2131</v>
      </c>
      <c r="E389" s="28" t="s">
        <v>1124</v>
      </c>
      <c r="F389" s="28" t="s">
        <v>1125</v>
      </c>
      <c r="G389" s="28">
        <v>15.59</v>
      </c>
      <c r="H389" s="28">
        <v>15.59</v>
      </c>
      <c r="I389" s="28">
        <v>0.46</v>
      </c>
      <c r="J389" s="28">
        <v>15.13</v>
      </c>
      <c r="K389" s="28">
        <v>0</v>
      </c>
      <c r="L389" s="28" t="s">
        <v>45</v>
      </c>
      <c r="M389" s="28"/>
      <c r="N389" s="28"/>
      <c r="O389" s="28" t="s">
        <v>2132</v>
      </c>
      <c r="P389" s="28">
        <v>92207</v>
      </c>
      <c r="Q389" s="28"/>
      <c r="R389" s="28" t="s">
        <v>1135</v>
      </c>
    </row>
    <row r="390" spans="1:18">
      <c r="A390" s="28" t="s">
        <v>2133</v>
      </c>
      <c r="B390" s="28">
        <v>11</v>
      </c>
      <c r="C390" s="28" t="s">
        <v>1122</v>
      </c>
      <c r="D390" s="28" t="s">
        <v>2134</v>
      </c>
      <c r="E390" s="28" t="s">
        <v>1124</v>
      </c>
      <c r="F390" s="28" t="s">
        <v>1125</v>
      </c>
      <c r="G390" s="28">
        <v>23.19</v>
      </c>
      <c r="H390" s="28">
        <v>23.19</v>
      </c>
      <c r="I390" s="28">
        <v>0.68</v>
      </c>
      <c r="J390" s="28">
        <v>22.51</v>
      </c>
      <c r="K390" s="28">
        <v>0</v>
      </c>
      <c r="L390" s="28" t="s">
        <v>45</v>
      </c>
      <c r="M390" s="28"/>
      <c r="N390" s="28"/>
      <c r="O390" s="28" t="s">
        <v>2135</v>
      </c>
      <c r="P390" s="28">
        <v>95388</v>
      </c>
      <c r="Q390" s="28"/>
      <c r="R390" s="28" t="s">
        <v>1131</v>
      </c>
    </row>
    <row r="391" spans="1:18">
      <c r="A391" s="28" t="s">
        <v>2136</v>
      </c>
      <c r="B391" s="28">
        <v>11</v>
      </c>
      <c r="C391" s="28" t="s">
        <v>1122</v>
      </c>
      <c r="D391" s="28" t="s">
        <v>2137</v>
      </c>
      <c r="E391" s="28" t="s">
        <v>1124</v>
      </c>
      <c r="F391" s="28" t="s">
        <v>1125</v>
      </c>
      <c r="G391" s="28">
        <v>46.74</v>
      </c>
      <c r="H391" s="28">
        <v>46.74</v>
      </c>
      <c r="I391" s="28">
        <v>1.36</v>
      </c>
      <c r="J391" s="28">
        <v>45.38</v>
      </c>
      <c r="K391" s="28">
        <v>0</v>
      </c>
      <c r="L391" s="28" t="s">
        <v>45</v>
      </c>
      <c r="M391" s="28"/>
      <c r="N391" s="28"/>
      <c r="O391" s="28" t="s">
        <v>2138</v>
      </c>
      <c r="P391" s="28">
        <v>95352</v>
      </c>
      <c r="Q391" s="28"/>
      <c r="R391" s="28" t="s">
        <v>1135</v>
      </c>
    </row>
    <row r="392" spans="1:18">
      <c r="A392" s="28" t="s">
        <v>2139</v>
      </c>
      <c r="B392" s="28">
        <v>11</v>
      </c>
      <c r="C392" s="28" t="s">
        <v>1122</v>
      </c>
      <c r="D392" s="28" t="s">
        <v>2140</v>
      </c>
      <c r="E392" s="28" t="s">
        <v>1124</v>
      </c>
      <c r="F392" s="28" t="s">
        <v>1125</v>
      </c>
      <c r="G392" s="28">
        <v>1.79</v>
      </c>
      <c r="H392" s="28">
        <v>1.79</v>
      </c>
      <c r="I392" s="28">
        <v>0.06</v>
      </c>
      <c r="J392" s="28">
        <v>1.73</v>
      </c>
      <c r="K392" s="28">
        <v>1.79</v>
      </c>
      <c r="L392" s="28" t="s">
        <v>45</v>
      </c>
      <c r="M392" s="28"/>
      <c r="N392" s="28"/>
      <c r="O392" s="28" t="s">
        <v>2141</v>
      </c>
      <c r="P392" s="28">
        <v>90683</v>
      </c>
      <c r="Q392" s="28"/>
      <c r="R392" s="28" t="s">
        <v>1135</v>
      </c>
    </row>
    <row r="393" spans="1:18">
      <c r="A393" s="28" t="s">
        <v>2142</v>
      </c>
      <c r="B393" s="28">
        <v>11</v>
      </c>
      <c r="C393" s="28" t="s">
        <v>1122</v>
      </c>
      <c r="D393" s="28" t="s">
        <v>2143</v>
      </c>
      <c r="E393" s="28" t="s">
        <v>1124</v>
      </c>
      <c r="F393" s="28" t="s">
        <v>1125</v>
      </c>
      <c r="G393" s="28">
        <v>3.99</v>
      </c>
      <c r="H393" s="28">
        <v>3.99</v>
      </c>
      <c r="I393" s="28">
        <v>0.12</v>
      </c>
      <c r="J393" s="28">
        <v>3.87</v>
      </c>
      <c r="K393" s="28">
        <v>0</v>
      </c>
      <c r="L393" s="28" t="s">
        <v>45</v>
      </c>
      <c r="M393" s="28"/>
      <c r="N393" s="28"/>
      <c r="O393" s="28" t="s">
        <v>2144</v>
      </c>
      <c r="P393" s="28">
        <v>95100</v>
      </c>
      <c r="Q393" s="28"/>
      <c r="R393" s="28" t="s">
        <v>1135</v>
      </c>
    </row>
    <row r="394" spans="1:18">
      <c r="A394" s="28" t="s">
        <v>2145</v>
      </c>
      <c r="B394" s="28">
        <v>11</v>
      </c>
      <c r="C394" s="28" t="s">
        <v>1122</v>
      </c>
      <c r="D394" s="28" t="s">
        <v>2146</v>
      </c>
      <c r="E394" s="28" t="s">
        <v>1124</v>
      </c>
      <c r="F394" s="28" t="s">
        <v>1125</v>
      </c>
      <c r="G394" s="28">
        <v>23.19</v>
      </c>
      <c r="H394" s="28">
        <v>23.19</v>
      </c>
      <c r="I394" s="28">
        <v>0.68</v>
      </c>
      <c r="J394" s="28">
        <v>22.51</v>
      </c>
      <c r="K394" s="28">
        <v>0</v>
      </c>
      <c r="L394" s="28" t="s">
        <v>45</v>
      </c>
      <c r="M394" s="28"/>
      <c r="N394" s="28"/>
      <c r="O394" s="28" t="s">
        <v>2147</v>
      </c>
      <c r="P394" s="28">
        <v>95340</v>
      </c>
      <c r="Q394" s="28"/>
      <c r="R394" s="28" t="s">
        <v>1135</v>
      </c>
    </row>
    <row r="395" spans="1:18">
      <c r="A395" s="28" t="s">
        <v>2148</v>
      </c>
      <c r="B395" s="28">
        <v>11</v>
      </c>
      <c r="C395" s="28" t="s">
        <v>1122</v>
      </c>
      <c r="D395" s="28" t="s">
        <v>2149</v>
      </c>
      <c r="E395" s="28" t="s">
        <v>1124</v>
      </c>
      <c r="F395" s="28" t="s">
        <v>1125</v>
      </c>
      <c r="G395" s="28">
        <v>1.99</v>
      </c>
      <c r="H395" s="28">
        <v>1.99</v>
      </c>
      <c r="I395" s="28">
        <v>0.06</v>
      </c>
      <c r="J395" s="28">
        <v>1.93</v>
      </c>
      <c r="K395" s="28">
        <v>0</v>
      </c>
      <c r="L395" s="28" t="s">
        <v>45</v>
      </c>
      <c r="M395" s="28"/>
      <c r="N395" s="28"/>
      <c r="O395" s="28" t="s">
        <v>2150</v>
      </c>
      <c r="P395" s="28">
        <v>95304</v>
      </c>
      <c r="Q395" s="28"/>
      <c r="R395" s="28" t="s">
        <v>1329</v>
      </c>
    </row>
    <row r="396" spans="1:18">
      <c r="A396" s="28" t="s">
        <v>2151</v>
      </c>
      <c r="B396" s="28">
        <v>11</v>
      </c>
      <c r="C396" s="28" t="s">
        <v>1122</v>
      </c>
      <c r="D396" s="28" t="s">
        <v>2152</v>
      </c>
      <c r="E396" s="28" t="s">
        <v>1124</v>
      </c>
      <c r="F396" s="28" t="s">
        <v>1125</v>
      </c>
      <c r="G396" s="28">
        <v>3.99</v>
      </c>
      <c r="H396" s="28">
        <v>3.99</v>
      </c>
      <c r="I396" s="28">
        <v>0.12</v>
      </c>
      <c r="J396" s="28">
        <v>3.87</v>
      </c>
      <c r="K396" s="28">
        <v>0</v>
      </c>
      <c r="L396" s="28" t="s">
        <v>45</v>
      </c>
      <c r="M396" s="28"/>
      <c r="N396" s="28"/>
      <c r="O396" s="28" t="s">
        <v>2153</v>
      </c>
      <c r="P396" s="28">
        <v>95604</v>
      </c>
      <c r="Q396" s="28"/>
      <c r="R396" s="28" t="s">
        <v>2154</v>
      </c>
    </row>
    <row r="397" spans="1:18">
      <c r="A397" s="28" t="s">
        <v>2155</v>
      </c>
      <c r="B397" s="28">
        <v>11</v>
      </c>
      <c r="C397" s="28" t="s">
        <v>1122</v>
      </c>
      <c r="D397" s="28" t="s">
        <v>2156</v>
      </c>
      <c r="E397" s="28" t="s">
        <v>1124</v>
      </c>
      <c r="F397" s="28" t="s">
        <v>1125</v>
      </c>
      <c r="G397" s="28">
        <v>3.99</v>
      </c>
      <c r="H397" s="28">
        <v>3.99</v>
      </c>
      <c r="I397" s="28">
        <v>0.12</v>
      </c>
      <c r="J397" s="28">
        <v>3.87</v>
      </c>
      <c r="K397" s="28">
        <v>0</v>
      </c>
      <c r="L397" s="28" t="s">
        <v>45</v>
      </c>
      <c r="M397" s="28"/>
      <c r="N397" s="28"/>
      <c r="O397" s="28" t="s">
        <v>2157</v>
      </c>
      <c r="P397" s="28">
        <v>95592</v>
      </c>
      <c r="Q397" s="28"/>
      <c r="R397" s="28" t="s">
        <v>1160</v>
      </c>
    </row>
    <row r="398" spans="1:18">
      <c r="A398" s="28" t="s">
        <v>2158</v>
      </c>
      <c r="B398" s="28">
        <v>11</v>
      </c>
      <c r="C398" s="28" t="s">
        <v>1122</v>
      </c>
      <c r="D398" s="28" t="s">
        <v>2159</v>
      </c>
      <c r="E398" s="28" t="s">
        <v>1124</v>
      </c>
      <c r="F398" s="28" t="s">
        <v>1125</v>
      </c>
      <c r="G398" s="28">
        <v>22.95</v>
      </c>
      <c r="H398" s="28">
        <v>22.95</v>
      </c>
      <c r="I398" s="28">
        <v>0.67</v>
      </c>
      <c r="J398" s="28">
        <v>22.28</v>
      </c>
      <c r="K398" s="28">
        <v>0</v>
      </c>
      <c r="L398" s="28" t="s">
        <v>45</v>
      </c>
      <c r="M398" s="28"/>
      <c r="N398" s="28"/>
      <c r="O398" s="28" t="s">
        <v>2160</v>
      </c>
      <c r="P398" s="28">
        <v>95580</v>
      </c>
      <c r="Q398" s="28"/>
      <c r="R398" s="28" t="s">
        <v>1127</v>
      </c>
    </row>
    <row r="399" spans="1:18">
      <c r="A399" s="28" t="s">
        <v>2161</v>
      </c>
      <c r="B399" s="28">
        <v>11</v>
      </c>
      <c r="C399" s="28" t="s">
        <v>1122</v>
      </c>
      <c r="D399" s="28" t="s">
        <v>2162</v>
      </c>
      <c r="E399" s="28" t="s">
        <v>1124</v>
      </c>
      <c r="F399" s="28" t="s">
        <v>1125</v>
      </c>
      <c r="G399" s="28">
        <v>60</v>
      </c>
      <c r="H399" s="28">
        <v>60</v>
      </c>
      <c r="I399" s="28">
        <v>1.74</v>
      </c>
      <c r="J399" s="28">
        <v>58.26</v>
      </c>
      <c r="K399" s="28">
        <v>0</v>
      </c>
      <c r="L399" s="28" t="s">
        <v>45</v>
      </c>
      <c r="M399" s="28"/>
      <c r="N399" s="28"/>
      <c r="O399" s="28" t="s">
        <v>2163</v>
      </c>
      <c r="P399" s="28">
        <v>95784</v>
      </c>
      <c r="Q399" s="28"/>
      <c r="R399" s="28" t="s">
        <v>1139</v>
      </c>
    </row>
    <row r="400" spans="1:18">
      <c r="A400" s="28" t="s">
        <v>2164</v>
      </c>
      <c r="B400" s="28">
        <v>11</v>
      </c>
      <c r="C400" s="28" t="s">
        <v>1122</v>
      </c>
      <c r="D400" s="28" t="s">
        <v>2165</v>
      </c>
      <c r="E400" s="28" t="s">
        <v>1124</v>
      </c>
      <c r="F400" s="28" t="s">
        <v>1125</v>
      </c>
      <c r="G400" s="28">
        <v>60</v>
      </c>
      <c r="H400" s="28">
        <v>60</v>
      </c>
      <c r="I400" s="28">
        <v>1.74</v>
      </c>
      <c r="J400" s="28">
        <v>58.26</v>
      </c>
      <c r="K400" s="28">
        <v>0</v>
      </c>
      <c r="L400" s="28" t="s">
        <v>45</v>
      </c>
      <c r="M400" s="28"/>
      <c r="N400" s="28"/>
      <c r="O400" s="28" t="s">
        <v>2166</v>
      </c>
      <c r="P400" s="28">
        <v>95772</v>
      </c>
      <c r="Q400" s="28"/>
      <c r="R400" s="28" t="s">
        <v>1127</v>
      </c>
    </row>
    <row r="401" spans="1:18">
      <c r="A401" s="28" t="s">
        <v>2167</v>
      </c>
      <c r="B401" s="28">
        <v>11</v>
      </c>
      <c r="C401" s="28" t="s">
        <v>1122</v>
      </c>
      <c r="D401" s="28" t="s">
        <v>2168</v>
      </c>
      <c r="E401" s="28" t="s">
        <v>1124</v>
      </c>
      <c r="F401" s="28" t="s">
        <v>1125</v>
      </c>
      <c r="G401" s="28">
        <v>20.71</v>
      </c>
      <c r="H401" s="28">
        <v>20.71</v>
      </c>
      <c r="I401" s="28">
        <v>0.6</v>
      </c>
      <c r="J401" s="28">
        <v>20.11</v>
      </c>
      <c r="K401" s="28">
        <v>0</v>
      </c>
      <c r="L401" s="28" t="s">
        <v>45</v>
      </c>
      <c r="M401" s="28"/>
      <c r="N401" s="28"/>
      <c r="O401" s="28" t="s">
        <v>2169</v>
      </c>
      <c r="P401" s="28">
        <v>92951</v>
      </c>
      <c r="Q401" s="28"/>
      <c r="R401" s="28" t="s">
        <v>1531</v>
      </c>
    </row>
    <row r="402" spans="1:18">
      <c r="A402" s="28" t="s">
        <v>2170</v>
      </c>
      <c r="B402" s="28">
        <v>11</v>
      </c>
      <c r="C402" s="28" t="s">
        <v>1122</v>
      </c>
      <c r="D402" s="28" t="s">
        <v>2171</v>
      </c>
      <c r="E402" s="28" t="s">
        <v>1124</v>
      </c>
      <c r="F402" s="28" t="s">
        <v>1125</v>
      </c>
      <c r="G402" s="28">
        <v>0.63</v>
      </c>
      <c r="H402" s="28">
        <v>0.63</v>
      </c>
      <c r="I402" s="28">
        <v>0.02</v>
      </c>
      <c r="J402" s="28">
        <v>0.61</v>
      </c>
      <c r="K402" s="28">
        <v>0</v>
      </c>
      <c r="L402" s="28" t="s">
        <v>45</v>
      </c>
      <c r="M402" s="28"/>
      <c r="N402" s="28"/>
      <c r="O402" s="28" t="s">
        <v>2172</v>
      </c>
      <c r="P402" s="28">
        <v>93491</v>
      </c>
      <c r="Q402" s="28"/>
      <c r="R402" s="28" t="s">
        <v>1135</v>
      </c>
    </row>
    <row r="403" spans="1:18">
      <c r="A403" s="28" t="s">
        <v>2173</v>
      </c>
      <c r="B403" s="28">
        <v>11</v>
      </c>
      <c r="C403" s="28" t="s">
        <v>1122</v>
      </c>
      <c r="D403" s="28" t="s">
        <v>2174</v>
      </c>
      <c r="E403" s="28" t="s">
        <v>1124</v>
      </c>
      <c r="F403" s="28" t="s">
        <v>1125</v>
      </c>
      <c r="G403" s="28">
        <v>5.99</v>
      </c>
      <c r="H403" s="28">
        <v>5.99</v>
      </c>
      <c r="I403" s="28">
        <v>0.18</v>
      </c>
      <c r="J403" s="28">
        <v>5.81</v>
      </c>
      <c r="K403" s="28">
        <v>0</v>
      </c>
      <c r="L403" s="28" t="s">
        <v>45</v>
      </c>
      <c r="M403" s="28"/>
      <c r="N403" s="28"/>
      <c r="O403" s="28" t="s">
        <v>2175</v>
      </c>
      <c r="P403" s="28">
        <v>95892</v>
      </c>
      <c r="Q403" s="28"/>
      <c r="R403" s="28" t="s">
        <v>1131</v>
      </c>
    </row>
    <row r="404" spans="1:18">
      <c r="A404" s="28" t="s">
        <v>2176</v>
      </c>
      <c r="B404" s="28">
        <v>11</v>
      </c>
      <c r="C404" s="28" t="s">
        <v>1122</v>
      </c>
      <c r="D404" s="28" t="s">
        <v>2177</v>
      </c>
      <c r="E404" s="28" t="s">
        <v>1124</v>
      </c>
      <c r="F404" s="28" t="s">
        <v>1125</v>
      </c>
      <c r="G404" s="28">
        <v>29.06</v>
      </c>
      <c r="H404" s="28">
        <v>29.06</v>
      </c>
      <c r="I404" s="28">
        <v>0.85</v>
      </c>
      <c r="J404" s="28">
        <v>28.21</v>
      </c>
      <c r="K404" s="28">
        <v>0</v>
      </c>
      <c r="L404" s="28" t="s">
        <v>45</v>
      </c>
      <c r="M404" s="28"/>
      <c r="N404" s="28"/>
      <c r="O404" s="28" t="s">
        <v>2178</v>
      </c>
      <c r="P404" s="28">
        <v>93215</v>
      </c>
      <c r="Q404" s="28"/>
      <c r="R404" s="28" t="s">
        <v>1135</v>
      </c>
    </row>
    <row r="405" spans="1:18">
      <c r="A405" s="28" t="s">
        <v>2179</v>
      </c>
      <c r="B405" s="28">
        <v>11</v>
      </c>
      <c r="C405" s="28" t="s">
        <v>1122</v>
      </c>
      <c r="D405" s="28" t="s">
        <v>2180</v>
      </c>
      <c r="E405" s="28" t="s">
        <v>1124</v>
      </c>
      <c r="F405" s="28" t="s">
        <v>1125</v>
      </c>
      <c r="G405" s="28">
        <v>16.989999999999998</v>
      </c>
      <c r="H405" s="28">
        <v>16.989999999999998</v>
      </c>
      <c r="I405" s="28">
        <v>0.5</v>
      </c>
      <c r="J405" s="28">
        <v>16.489999999999998</v>
      </c>
      <c r="K405" s="28">
        <v>0</v>
      </c>
      <c r="L405" s="28" t="s">
        <v>45</v>
      </c>
      <c r="M405" s="28"/>
      <c r="N405" s="28"/>
      <c r="O405" s="28" t="s">
        <v>2181</v>
      </c>
      <c r="P405" s="28">
        <v>94319</v>
      </c>
      <c r="Q405" s="28"/>
      <c r="R405" s="28" t="s">
        <v>1135</v>
      </c>
    </row>
    <row r="406" spans="1:18">
      <c r="A406" s="28" t="s">
        <v>2182</v>
      </c>
      <c r="B406" s="28">
        <v>11</v>
      </c>
      <c r="C406" s="28" t="s">
        <v>1122</v>
      </c>
      <c r="D406" s="28" t="s">
        <v>2183</v>
      </c>
      <c r="E406" s="28" t="s">
        <v>1124</v>
      </c>
      <c r="F406" s="28" t="s">
        <v>1125</v>
      </c>
      <c r="G406" s="28">
        <v>2.99</v>
      </c>
      <c r="H406" s="28">
        <v>2.99</v>
      </c>
      <c r="I406" s="28">
        <v>0.09</v>
      </c>
      <c r="J406" s="28">
        <v>2.9</v>
      </c>
      <c r="K406" s="28">
        <v>0</v>
      </c>
      <c r="L406" s="28" t="s">
        <v>45</v>
      </c>
      <c r="M406" s="28"/>
      <c r="N406" s="28"/>
      <c r="O406" s="28" t="s">
        <v>2184</v>
      </c>
      <c r="P406" s="28">
        <v>96000</v>
      </c>
      <c r="Q406" s="28"/>
      <c r="R406" s="28" t="s">
        <v>1131</v>
      </c>
    </row>
    <row r="407" spans="1:18">
      <c r="A407" s="28" t="s">
        <v>2185</v>
      </c>
      <c r="B407" s="28">
        <v>11</v>
      </c>
      <c r="C407" s="28" t="s">
        <v>1122</v>
      </c>
      <c r="D407" s="28" t="s">
        <v>2186</v>
      </c>
      <c r="E407" s="28" t="s">
        <v>1194</v>
      </c>
      <c r="F407" s="28" t="s">
        <v>1125</v>
      </c>
      <c r="G407" s="28">
        <v>-2.29</v>
      </c>
      <c r="H407" s="28">
        <v>-2.29</v>
      </c>
      <c r="I407" s="28">
        <v>0.5</v>
      </c>
      <c r="J407" s="28">
        <v>-2.29</v>
      </c>
      <c r="K407" s="28">
        <v>1.79</v>
      </c>
      <c r="L407" s="28" t="s">
        <v>45</v>
      </c>
      <c r="M407" s="28"/>
      <c r="N407" s="28"/>
      <c r="O407" s="28" t="s">
        <v>2187</v>
      </c>
      <c r="P407" s="28">
        <v>90683</v>
      </c>
      <c r="Q407" s="28" t="s">
        <v>2140</v>
      </c>
      <c r="R407" s="28" t="s">
        <v>1135</v>
      </c>
    </row>
    <row r="408" spans="1:18">
      <c r="A408" s="28" t="s">
        <v>2188</v>
      </c>
      <c r="B408" s="28">
        <v>11</v>
      </c>
      <c r="C408" s="28" t="s">
        <v>1122</v>
      </c>
      <c r="D408" s="28" t="s">
        <v>2189</v>
      </c>
      <c r="E408" s="28" t="s">
        <v>1124</v>
      </c>
      <c r="F408" s="28" t="s">
        <v>1125</v>
      </c>
      <c r="G408" s="28">
        <v>2.99</v>
      </c>
      <c r="H408" s="28">
        <v>2.99</v>
      </c>
      <c r="I408" s="28">
        <v>0.09</v>
      </c>
      <c r="J408" s="28">
        <v>2.9</v>
      </c>
      <c r="K408" s="28">
        <v>0</v>
      </c>
      <c r="L408" s="28" t="s">
        <v>45</v>
      </c>
      <c r="M408" s="28"/>
      <c r="N408" s="28"/>
      <c r="O408" s="28" t="s">
        <v>2190</v>
      </c>
      <c r="P408" s="28">
        <v>96228</v>
      </c>
      <c r="Q408" s="28"/>
      <c r="R408" s="28" t="s">
        <v>1131</v>
      </c>
    </row>
    <row r="409" spans="1:18">
      <c r="A409" s="28" t="s">
        <v>2191</v>
      </c>
      <c r="B409" s="28">
        <v>11</v>
      </c>
      <c r="C409" s="28" t="s">
        <v>1122</v>
      </c>
      <c r="D409" s="28" t="s">
        <v>2192</v>
      </c>
      <c r="E409" s="28" t="s">
        <v>1124</v>
      </c>
      <c r="F409" s="28" t="s">
        <v>1125</v>
      </c>
      <c r="G409" s="28">
        <v>6.49</v>
      </c>
      <c r="H409" s="28">
        <v>6.49</v>
      </c>
      <c r="I409" s="28">
        <v>0.19</v>
      </c>
      <c r="J409" s="28">
        <v>6.3</v>
      </c>
      <c r="K409" s="28">
        <v>0</v>
      </c>
      <c r="L409" s="28" t="s">
        <v>45</v>
      </c>
      <c r="M409" s="28"/>
      <c r="N409" s="28"/>
      <c r="O409" s="28" t="s">
        <v>2193</v>
      </c>
      <c r="P409" s="28">
        <v>96156</v>
      </c>
      <c r="Q409" s="28"/>
      <c r="R409" s="28" t="s">
        <v>1135</v>
      </c>
    </row>
    <row r="410" spans="1:18">
      <c r="A410" s="28" t="s">
        <v>2194</v>
      </c>
      <c r="B410" s="28">
        <v>11</v>
      </c>
      <c r="C410" s="28" t="s">
        <v>1122</v>
      </c>
      <c r="D410" s="28" t="s">
        <v>2195</v>
      </c>
      <c r="E410" s="28" t="s">
        <v>1124</v>
      </c>
      <c r="F410" s="28" t="s">
        <v>1125</v>
      </c>
      <c r="G410" s="28">
        <v>60</v>
      </c>
      <c r="H410" s="28">
        <v>60</v>
      </c>
      <c r="I410" s="28">
        <v>1.74</v>
      </c>
      <c r="J410" s="28">
        <v>58.26</v>
      </c>
      <c r="K410" s="28">
        <v>0</v>
      </c>
      <c r="L410" s="28" t="s">
        <v>45</v>
      </c>
      <c r="M410" s="28"/>
      <c r="N410" s="28"/>
      <c r="O410" s="28" t="s">
        <v>2196</v>
      </c>
      <c r="P410" s="28">
        <v>96468</v>
      </c>
      <c r="Q410" s="28"/>
      <c r="R410" s="28" t="s">
        <v>1149</v>
      </c>
    </row>
    <row r="411" spans="1:18">
      <c r="A411" s="28" t="s">
        <v>2197</v>
      </c>
      <c r="B411" s="28">
        <v>11</v>
      </c>
      <c r="C411" s="28" t="s">
        <v>1122</v>
      </c>
      <c r="D411" s="28" t="s">
        <v>2198</v>
      </c>
      <c r="E411" s="28" t="s">
        <v>1124</v>
      </c>
      <c r="F411" s="28" t="s">
        <v>1125</v>
      </c>
      <c r="G411" s="28">
        <v>29.14</v>
      </c>
      <c r="H411" s="28">
        <v>29.14</v>
      </c>
      <c r="I411" s="28">
        <v>0.85</v>
      </c>
      <c r="J411" s="28">
        <v>28.29</v>
      </c>
      <c r="K411" s="28">
        <v>0</v>
      </c>
      <c r="L411" s="28" t="s">
        <v>45</v>
      </c>
      <c r="M411" s="28"/>
      <c r="N411" s="28"/>
      <c r="O411" s="28" t="s">
        <v>2199</v>
      </c>
      <c r="P411" s="28">
        <v>94295</v>
      </c>
      <c r="Q411" s="28"/>
      <c r="R411" s="28" t="s">
        <v>1135</v>
      </c>
    </row>
    <row r="412" spans="1:18">
      <c r="A412" s="28" t="s">
        <v>2200</v>
      </c>
      <c r="B412" s="28">
        <v>11</v>
      </c>
      <c r="C412" s="28" t="s">
        <v>1122</v>
      </c>
      <c r="D412" s="28" t="s">
        <v>2201</v>
      </c>
      <c r="E412" s="28" t="s">
        <v>1124</v>
      </c>
      <c r="F412" s="28" t="s">
        <v>1125</v>
      </c>
      <c r="G412" s="28">
        <v>9.99</v>
      </c>
      <c r="H412" s="28">
        <v>9.99</v>
      </c>
      <c r="I412" s="28">
        <v>0.28999999999999998</v>
      </c>
      <c r="J412" s="28">
        <v>9.6999999999999993</v>
      </c>
      <c r="K412" s="28">
        <v>0</v>
      </c>
      <c r="L412" s="28" t="s">
        <v>45</v>
      </c>
      <c r="M412" s="28"/>
      <c r="N412" s="28"/>
      <c r="O412" s="28" t="s">
        <v>2202</v>
      </c>
      <c r="P412" s="28">
        <v>94763</v>
      </c>
      <c r="Q412" s="28"/>
      <c r="R412" s="28" t="s">
        <v>1308</v>
      </c>
    </row>
    <row r="413" spans="1:18">
      <c r="A413" s="28" t="s">
        <v>2203</v>
      </c>
      <c r="B413" s="28">
        <v>11</v>
      </c>
      <c r="C413" s="28" t="s">
        <v>1122</v>
      </c>
      <c r="D413" s="28" t="s">
        <v>2204</v>
      </c>
      <c r="E413" s="28" t="s">
        <v>1124</v>
      </c>
      <c r="F413" s="28" t="s">
        <v>1125</v>
      </c>
      <c r="G413" s="28">
        <v>2.5099999999999998</v>
      </c>
      <c r="H413" s="28">
        <v>2.5099999999999998</v>
      </c>
      <c r="I413" s="28">
        <v>0.08</v>
      </c>
      <c r="J413" s="28">
        <v>2.4300000000000002</v>
      </c>
      <c r="K413" s="28">
        <v>0</v>
      </c>
      <c r="L413" s="28" t="s">
        <v>45</v>
      </c>
      <c r="M413" s="28"/>
      <c r="N413" s="28"/>
      <c r="O413" s="28" t="s">
        <v>2205</v>
      </c>
      <c r="P413" s="28">
        <v>95952</v>
      </c>
      <c r="Q413" s="28"/>
      <c r="R413" s="28" t="s">
        <v>1149</v>
      </c>
    </row>
    <row r="414" spans="1:18">
      <c r="A414" s="28" t="s">
        <v>2206</v>
      </c>
      <c r="B414" s="28">
        <v>11</v>
      </c>
      <c r="C414" s="28" t="s">
        <v>1122</v>
      </c>
      <c r="D414" s="28" t="s">
        <v>2207</v>
      </c>
      <c r="E414" s="28" t="s">
        <v>1124</v>
      </c>
      <c r="F414" s="28" t="s">
        <v>1125</v>
      </c>
      <c r="G414" s="28">
        <v>10.39</v>
      </c>
      <c r="H414" s="28">
        <v>10.39</v>
      </c>
      <c r="I414" s="28">
        <v>0.31</v>
      </c>
      <c r="J414" s="28">
        <v>10.08</v>
      </c>
      <c r="K414" s="28">
        <v>0</v>
      </c>
      <c r="L414" s="28" t="s">
        <v>45</v>
      </c>
      <c r="M414" s="28"/>
      <c r="N414" s="28"/>
      <c r="O414" s="28" t="s">
        <v>2208</v>
      </c>
      <c r="P414" s="28">
        <v>96420</v>
      </c>
      <c r="Q414" s="28"/>
      <c r="R414" s="28" t="s">
        <v>1149</v>
      </c>
    </row>
    <row r="415" spans="1:18">
      <c r="A415" s="28" t="s">
        <v>2209</v>
      </c>
      <c r="B415" s="28">
        <v>11</v>
      </c>
      <c r="C415" s="28" t="s">
        <v>1122</v>
      </c>
      <c r="D415" s="28" t="s">
        <v>2210</v>
      </c>
      <c r="E415" s="28" t="s">
        <v>1124</v>
      </c>
      <c r="F415" s="28" t="s">
        <v>1125</v>
      </c>
      <c r="G415" s="28">
        <v>13.59</v>
      </c>
      <c r="H415" s="28">
        <v>13.59</v>
      </c>
      <c r="I415" s="28">
        <v>0.4</v>
      </c>
      <c r="J415" s="28">
        <v>13.19</v>
      </c>
      <c r="K415" s="28">
        <v>0</v>
      </c>
      <c r="L415" s="28" t="s">
        <v>45</v>
      </c>
      <c r="M415" s="28"/>
      <c r="N415" s="28"/>
      <c r="O415" s="28" t="s">
        <v>2211</v>
      </c>
      <c r="P415" s="28">
        <v>96600</v>
      </c>
      <c r="Q415" s="28"/>
      <c r="R415" s="28" t="s">
        <v>1514</v>
      </c>
    </row>
    <row r="416" spans="1:18">
      <c r="A416" s="28" t="s">
        <v>2212</v>
      </c>
      <c r="B416" s="28">
        <v>11</v>
      </c>
      <c r="C416" s="28" t="s">
        <v>1122</v>
      </c>
      <c r="D416" s="28" t="s">
        <v>2213</v>
      </c>
      <c r="E416" s="28" t="s">
        <v>1124</v>
      </c>
      <c r="F416" s="28" t="s">
        <v>1125</v>
      </c>
      <c r="G416" s="28">
        <v>48.99</v>
      </c>
      <c r="H416" s="28">
        <v>48.99</v>
      </c>
      <c r="I416" s="28">
        <v>1.42</v>
      </c>
      <c r="J416" s="28">
        <v>47.57</v>
      </c>
      <c r="K416" s="28">
        <v>0</v>
      </c>
      <c r="L416" s="28" t="s">
        <v>45</v>
      </c>
      <c r="M416" s="28"/>
      <c r="N416" s="28"/>
      <c r="O416" s="28" t="s">
        <v>2214</v>
      </c>
      <c r="P416" s="28">
        <v>96588</v>
      </c>
      <c r="Q416" s="28"/>
      <c r="R416" s="28" t="s">
        <v>1135</v>
      </c>
    </row>
    <row r="417" spans="1:18">
      <c r="A417" s="28" t="s">
        <v>2215</v>
      </c>
      <c r="B417" s="28">
        <v>11</v>
      </c>
      <c r="C417" s="28" t="s">
        <v>1122</v>
      </c>
      <c r="D417" s="28" t="s">
        <v>2216</v>
      </c>
      <c r="E417" s="28" t="s">
        <v>1124</v>
      </c>
      <c r="F417" s="28" t="s">
        <v>1125</v>
      </c>
      <c r="G417" s="28">
        <v>39.19</v>
      </c>
      <c r="H417" s="28">
        <v>39.19</v>
      </c>
      <c r="I417" s="28">
        <v>1.1399999999999999</v>
      </c>
      <c r="J417" s="28">
        <v>38.049999999999997</v>
      </c>
      <c r="K417" s="28">
        <v>0</v>
      </c>
      <c r="L417" s="28" t="s">
        <v>45</v>
      </c>
      <c r="M417" s="28"/>
      <c r="N417" s="28"/>
      <c r="O417" s="28" t="s">
        <v>2217</v>
      </c>
      <c r="P417" s="28">
        <v>96576</v>
      </c>
      <c r="Q417" s="28"/>
      <c r="R417" s="28" t="s">
        <v>1135</v>
      </c>
    </row>
    <row r="418" spans="1:18">
      <c r="A418" s="28" t="s">
        <v>2218</v>
      </c>
      <c r="B418" s="28">
        <v>11</v>
      </c>
      <c r="C418" s="28" t="s">
        <v>1122</v>
      </c>
      <c r="D418" s="28" t="s">
        <v>2219</v>
      </c>
      <c r="E418" s="28" t="s">
        <v>1124</v>
      </c>
      <c r="F418" s="28" t="s">
        <v>1125</v>
      </c>
      <c r="G418" s="28">
        <v>12.99</v>
      </c>
      <c r="H418" s="28">
        <v>12.99</v>
      </c>
      <c r="I418" s="28">
        <v>0.38</v>
      </c>
      <c r="J418" s="28">
        <v>12.61</v>
      </c>
      <c r="K418" s="28">
        <v>0</v>
      </c>
      <c r="L418" s="28" t="s">
        <v>45</v>
      </c>
      <c r="M418" s="28"/>
      <c r="N418" s="28"/>
      <c r="O418" s="28" t="s">
        <v>2220</v>
      </c>
      <c r="P418" s="28">
        <v>96732</v>
      </c>
      <c r="Q418" s="28"/>
      <c r="R418" s="28" t="s">
        <v>1135</v>
      </c>
    </row>
    <row r="419" spans="1:18">
      <c r="A419" s="28" t="s">
        <v>2221</v>
      </c>
      <c r="B419" s="28">
        <v>11</v>
      </c>
      <c r="C419" s="28" t="s">
        <v>1122</v>
      </c>
      <c r="D419" s="28" t="s">
        <v>2222</v>
      </c>
      <c r="E419" s="28" t="s">
        <v>1124</v>
      </c>
      <c r="F419" s="28" t="s">
        <v>1125</v>
      </c>
      <c r="G419" s="28">
        <v>19.12</v>
      </c>
      <c r="H419" s="28">
        <v>19.12</v>
      </c>
      <c r="I419" s="28">
        <v>0.56000000000000005</v>
      </c>
      <c r="J419" s="28">
        <v>18.559999999999999</v>
      </c>
      <c r="K419" s="28">
        <v>0</v>
      </c>
      <c r="L419" s="28" t="s">
        <v>45</v>
      </c>
      <c r="M419" s="28"/>
      <c r="N419" s="28"/>
      <c r="O419" s="28" t="s">
        <v>2223</v>
      </c>
      <c r="P419" s="28">
        <v>94895</v>
      </c>
      <c r="Q419" s="28"/>
      <c r="R419" s="28" t="s">
        <v>1131</v>
      </c>
    </row>
    <row r="420" spans="1:18">
      <c r="A420" s="28" t="s">
        <v>2224</v>
      </c>
      <c r="B420" s="28">
        <v>11</v>
      </c>
      <c r="C420" s="28" t="s">
        <v>1122</v>
      </c>
      <c r="D420" s="28" t="s">
        <v>2225</v>
      </c>
      <c r="E420" s="28" t="s">
        <v>1124</v>
      </c>
      <c r="F420" s="28" t="s">
        <v>1125</v>
      </c>
      <c r="G420" s="28">
        <v>16.989999999999998</v>
      </c>
      <c r="H420" s="28">
        <v>16.989999999999998</v>
      </c>
      <c r="I420" s="28">
        <v>0.5</v>
      </c>
      <c r="J420" s="28">
        <v>16.489999999999998</v>
      </c>
      <c r="K420" s="28">
        <v>0</v>
      </c>
      <c r="L420" s="28" t="s">
        <v>45</v>
      </c>
      <c r="M420" s="28"/>
      <c r="N420" s="28"/>
      <c r="O420" s="28" t="s">
        <v>2226</v>
      </c>
      <c r="P420" s="28">
        <v>96720</v>
      </c>
      <c r="Q420" s="28"/>
      <c r="R420" s="28" t="s">
        <v>1889</v>
      </c>
    </row>
    <row r="421" spans="1:18">
      <c r="A421" s="28" t="s">
        <v>2227</v>
      </c>
      <c r="B421" s="28">
        <v>11</v>
      </c>
      <c r="C421" s="28" t="s">
        <v>1122</v>
      </c>
      <c r="D421" s="28" t="s">
        <v>2228</v>
      </c>
      <c r="E421" s="28" t="s">
        <v>1124</v>
      </c>
      <c r="F421" s="28" t="s">
        <v>1125</v>
      </c>
      <c r="G421" s="28">
        <v>7.59</v>
      </c>
      <c r="H421" s="28">
        <v>7.59</v>
      </c>
      <c r="I421" s="28">
        <v>0.22</v>
      </c>
      <c r="J421" s="28">
        <v>7.37</v>
      </c>
      <c r="K421" s="28">
        <v>0</v>
      </c>
      <c r="L421" s="28" t="s">
        <v>45</v>
      </c>
      <c r="M421" s="28"/>
      <c r="N421" s="28"/>
      <c r="O421" s="28" t="s">
        <v>2229</v>
      </c>
      <c r="P421" s="28">
        <v>96708</v>
      </c>
      <c r="Q421" s="28"/>
      <c r="R421" s="28" t="s">
        <v>1531</v>
      </c>
    </row>
    <row r="422" spans="1:18">
      <c r="A422" s="28" t="s">
        <v>2230</v>
      </c>
      <c r="B422" s="28">
        <v>11</v>
      </c>
      <c r="C422" s="28" t="s">
        <v>1122</v>
      </c>
      <c r="D422" s="28" t="s">
        <v>2231</v>
      </c>
      <c r="E422" s="28" t="s">
        <v>1124</v>
      </c>
      <c r="F422" s="28" t="s">
        <v>1125</v>
      </c>
      <c r="G422" s="28">
        <v>3.99</v>
      </c>
      <c r="H422" s="28">
        <v>3.99</v>
      </c>
      <c r="I422" s="28">
        <v>0.12</v>
      </c>
      <c r="J422" s="28">
        <v>3.87</v>
      </c>
      <c r="K422" s="28">
        <v>0</v>
      </c>
      <c r="L422" s="28" t="s">
        <v>45</v>
      </c>
      <c r="M422" s="28"/>
      <c r="N422" s="28"/>
      <c r="O422" s="28" t="s">
        <v>2232</v>
      </c>
      <c r="P422" s="28">
        <v>96696</v>
      </c>
      <c r="Q422" s="28"/>
      <c r="R422" s="28" t="s">
        <v>1127</v>
      </c>
    </row>
    <row r="423" spans="1:18">
      <c r="A423" s="28" t="s">
        <v>2233</v>
      </c>
      <c r="B423" s="28">
        <v>11</v>
      </c>
      <c r="C423" s="28" t="s">
        <v>1122</v>
      </c>
      <c r="D423" s="28" t="s">
        <v>2234</v>
      </c>
      <c r="E423" s="28" t="s">
        <v>1124</v>
      </c>
      <c r="F423" s="28" t="s">
        <v>1125</v>
      </c>
      <c r="G423" s="28">
        <v>8.4</v>
      </c>
      <c r="H423" s="28">
        <v>8.4</v>
      </c>
      <c r="I423" s="28">
        <v>0.25</v>
      </c>
      <c r="J423" s="28">
        <v>8.15</v>
      </c>
      <c r="K423" s="28">
        <v>0</v>
      </c>
      <c r="L423" s="28" t="s">
        <v>45</v>
      </c>
      <c r="M423" s="28"/>
      <c r="N423" s="28"/>
      <c r="O423" s="28" t="s">
        <v>2235</v>
      </c>
      <c r="P423" s="28">
        <v>96780</v>
      </c>
      <c r="Q423" s="28"/>
      <c r="R423" s="28" t="s">
        <v>1131</v>
      </c>
    </row>
    <row r="424" spans="1:18">
      <c r="A424" s="28" t="s">
        <v>2236</v>
      </c>
      <c r="B424" s="28">
        <v>11</v>
      </c>
      <c r="C424" s="28" t="s">
        <v>1122</v>
      </c>
      <c r="D424" s="28" t="s">
        <v>2237</v>
      </c>
      <c r="E424" s="28" t="s">
        <v>1124</v>
      </c>
      <c r="F424" s="28" t="s">
        <v>1125</v>
      </c>
      <c r="G424" s="28">
        <v>12.6</v>
      </c>
      <c r="H424" s="28">
        <v>12.6</v>
      </c>
      <c r="I424" s="28">
        <v>0.37</v>
      </c>
      <c r="J424" s="28">
        <v>12.23</v>
      </c>
      <c r="K424" s="28">
        <v>0</v>
      </c>
      <c r="L424" s="28" t="s">
        <v>45</v>
      </c>
      <c r="M424" s="28"/>
      <c r="N424" s="28"/>
      <c r="O424" s="28" t="s">
        <v>2238</v>
      </c>
      <c r="P424" s="28">
        <v>94547</v>
      </c>
      <c r="Q424" s="28"/>
      <c r="R424" s="28" t="s">
        <v>1149</v>
      </c>
    </row>
    <row r="425" spans="1:18">
      <c r="A425" s="28" t="s">
        <v>2239</v>
      </c>
      <c r="B425" s="28">
        <v>11</v>
      </c>
      <c r="C425" s="28" t="s">
        <v>1122</v>
      </c>
      <c r="D425" s="28" t="s">
        <v>2240</v>
      </c>
      <c r="E425" s="28" t="s">
        <v>1124</v>
      </c>
      <c r="F425" s="28" t="s">
        <v>1125</v>
      </c>
      <c r="G425" s="28">
        <v>7.59</v>
      </c>
      <c r="H425" s="28">
        <v>7.59</v>
      </c>
      <c r="I425" s="28">
        <v>0.22</v>
      </c>
      <c r="J425" s="28">
        <v>7.37</v>
      </c>
      <c r="K425" s="28">
        <v>0</v>
      </c>
      <c r="L425" s="28" t="s">
        <v>45</v>
      </c>
      <c r="M425" s="28"/>
      <c r="N425" s="28"/>
      <c r="O425" s="28" t="s">
        <v>2241</v>
      </c>
      <c r="P425" s="28">
        <v>96756</v>
      </c>
      <c r="Q425" s="28"/>
      <c r="R425" s="28" t="s">
        <v>1131</v>
      </c>
    </row>
    <row r="426" spans="1:18">
      <c r="A426" s="28" t="s">
        <v>2242</v>
      </c>
      <c r="B426" s="28">
        <v>11</v>
      </c>
      <c r="C426" s="28" t="s">
        <v>1122</v>
      </c>
      <c r="D426" s="28" t="s">
        <v>2243</v>
      </c>
      <c r="E426" s="28" t="s">
        <v>1124</v>
      </c>
      <c r="F426" s="28" t="s">
        <v>1125</v>
      </c>
      <c r="G426" s="28">
        <v>119.98</v>
      </c>
      <c r="H426" s="28">
        <v>119.98</v>
      </c>
      <c r="I426" s="28">
        <v>3.48</v>
      </c>
      <c r="J426" s="28">
        <v>116.5</v>
      </c>
      <c r="K426" s="28">
        <v>0</v>
      </c>
      <c r="L426" s="28" t="s">
        <v>45</v>
      </c>
      <c r="M426" s="28"/>
      <c r="N426" s="28"/>
      <c r="O426" s="28" t="s">
        <v>2244</v>
      </c>
      <c r="P426" s="28">
        <v>96888</v>
      </c>
      <c r="Q426" s="28"/>
      <c r="R426" s="28" t="s">
        <v>1149</v>
      </c>
    </row>
    <row r="427" spans="1:18">
      <c r="A427" s="28" t="s">
        <v>2245</v>
      </c>
      <c r="B427" s="28">
        <v>11</v>
      </c>
      <c r="C427" s="28" t="s">
        <v>1122</v>
      </c>
      <c r="D427" s="28" t="s">
        <v>243</v>
      </c>
      <c r="E427" s="28" t="s">
        <v>1124</v>
      </c>
      <c r="F427" s="28" t="s">
        <v>1125</v>
      </c>
      <c r="G427" s="28">
        <v>1000</v>
      </c>
      <c r="H427" s="28">
        <v>0</v>
      </c>
      <c r="I427" s="28">
        <v>20</v>
      </c>
      <c r="J427" s="28">
        <v>-980</v>
      </c>
      <c r="K427" s="28">
        <v>0</v>
      </c>
      <c r="L427" s="28" t="s">
        <v>45</v>
      </c>
      <c r="M427" s="28"/>
      <c r="N427" s="28"/>
      <c r="O427" s="28" t="s">
        <v>1326</v>
      </c>
      <c r="P427" s="28"/>
      <c r="Q427" s="28"/>
      <c r="R427" s="28"/>
    </row>
    <row r="428" spans="1:18">
      <c r="A428" s="31">
        <v>45941.19027777778</v>
      </c>
      <c r="B428" s="28">
        <v>11</v>
      </c>
      <c r="C428" s="28" t="s">
        <v>1122</v>
      </c>
      <c r="D428" s="28" t="s">
        <v>222</v>
      </c>
      <c r="E428" s="28" t="s">
        <v>1124</v>
      </c>
      <c r="F428" s="28" t="s">
        <v>1125</v>
      </c>
      <c r="G428" s="28">
        <v>1500</v>
      </c>
      <c r="H428" s="28">
        <v>0</v>
      </c>
      <c r="I428" s="28">
        <v>20</v>
      </c>
      <c r="J428" s="28">
        <v>-1480</v>
      </c>
      <c r="K428" s="28">
        <v>0</v>
      </c>
      <c r="L428" s="28" t="s">
        <v>45</v>
      </c>
      <c r="M428" s="28"/>
      <c r="N428" s="28"/>
      <c r="O428" s="28" t="s">
        <v>1326</v>
      </c>
      <c r="P428" s="28"/>
      <c r="Q428" s="28"/>
      <c r="R428" s="28"/>
    </row>
    <row r="429" spans="1:18">
      <c r="A429" s="31">
        <v>45788.140972222223</v>
      </c>
      <c r="B429" s="28">
        <v>11</v>
      </c>
      <c r="C429" s="28" t="s">
        <v>1122</v>
      </c>
      <c r="D429" s="28" t="s">
        <v>228</v>
      </c>
      <c r="E429" s="28" t="s">
        <v>1124</v>
      </c>
      <c r="F429" s="28" t="s">
        <v>1125</v>
      </c>
      <c r="G429" s="28">
        <v>1000</v>
      </c>
      <c r="H429" s="28">
        <v>0</v>
      </c>
      <c r="I429" s="28">
        <v>20</v>
      </c>
      <c r="J429" s="28">
        <v>-980</v>
      </c>
      <c r="K429" s="28">
        <v>0</v>
      </c>
      <c r="L429" s="28" t="s">
        <v>45</v>
      </c>
      <c r="M429" s="28"/>
      <c r="N429" s="28"/>
      <c r="O429" s="28" t="s">
        <v>1326</v>
      </c>
      <c r="P429" s="28"/>
      <c r="Q429" s="28"/>
      <c r="R429" s="28"/>
    </row>
    <row r="430" spans="1:18">
      <c r="A430" s="43">
        <v>45973</v>
      </c>
      <c r="B430" s="28">
        <v>12</v>
      </c>
      <c r="C430" s="28" t="s">
        <v>1122</v>
      </c>
      <c r="D430" s="40" t="s">
        <v>238</v>
      </c>
      <c r="E430" s="28" t="s">
        <v>1124</v>
      </c>
      <c r="F430" s="28" t="s">
        <v>1125</v>
      </c>
      <c r="G430" s="28">
        <v>1000</v>
      </c>
      <c r="H430" s="28">
        <v>0</v>
      </c>
      <c r="I430" s="28">
        <v>20</v>
      </c>
      <c r="J430" s="28">
        <v>-980</v>
      </c>
      <c r="K430" s="28">
        <v>0</v>
      </c>
      <c r="L430" s="28" t="s">
        <v>45</v>
      </c>
      <c r="M430" s="28"/>
      <c r="N430" s="28"/>
      <c r="O430" s="28" t="s">
        <v>1326</v>
      </c>
      <c r="P430" s="28"/>
      <c r="Q430" s="28"/>
      <c r="R430" s="28"/>
    </row>
    <row r="431" spans="1:18">
      <c r="A431" s="31">
        <v>45669.649305555555</v>
      </c>
      <c r="B431" s="28">
        <v>12</v>
      </c>
      <c r="C431" s="28" t="s">
        <v>1122</v>
      </c>
      <c r="D431" s="28" t="s">
        <v>2246</v>
      </c>
      <c r="E431" s="28" t="s">
        <v>1124</v>
      </c>
      <c r="F431" s="28" t="s">
        <v>1125</v>
      </c>
      <c r="G431" s="28">
        <v>8.7899999999999991</v>
      </c>
      <c r="H431" s="28">
        <v>8.7899999999999991</v>
      </c>
      <c r="I431" s="28">
        <v>0.26</v>
      </c>
      <c r="J431" s="28">
        <v>8.5299999999999994</v>
      </c>
      <c r="K431" s="28">
        <v>0</v>
      </c>
      <c r="L431" s="28" t="s">
        <v>45</v>
      </c>
      <c r="M431" s="28"/>
      <c r="N431" s="28"/>
      <c r="O431" s="28" t="s">
        <v>2247</v>
      </c>
      <c r="P431" s="28">
        <v>97032</v>
      </c>
      <c r="Q431" s="28"/>
      <c r="R431" s="28" t="s">
        <v>1149</v>
      </c>
    </row>
    <row r="432" spans="1:18">
      <c r="A432" s="31">
        <v>45669.609027777777</v>
      </c>
      <c r="B432" s="28">
        <v>12</v>
      </c>
      <c r="C432" s="28" t="s">
        <v>1122</v>
      </c>
      <c r="D432" s="28" t="s">
        <v>2248</v>
      </c>
      <c r="E432" s="28" t="s">
        <v>1124</v>
      </c>
      <c r="F432" s="28" t="s">
        <v>1125</v>
      </c>
      <c r="G432" s="28">
        <v>6.39</v>
      </c>
      <c r="H432" s="28">
        <v>6.39</v>
      </c>
      <c r="I432" s="28">
        <v>0.19</v>
      </c>
      <c r="J432" s="28">
        <v>6.2</v>
      </c>
      <c r="K432" s="28">
        <v>0</v>
      </c>
      <c r="L432" s="28" t="s">
        <v>45</v>
      </c>
      <c r="M432" s="28"/>
      <c r="N432" s="28"/>
      <c r="O432" s="28" t="s">
        <v>2249</v>
      </c>
      <c r="P432" s="28">
        <v>97020</v>
      </c>
      <c r="Q432" s="28"/>
      <c r="R432" s="28" t="s">
        <v>1131</v>
      </c>
    </row>
    <row r="433" spans="1:18">
      <c r="A433" s="31">
        <v>45669.472222222219</v>
      </c>
      <c r="B433" s="28">
        <v>12</v>
      </c>
      <c r="C433" s="28" t="s">
        <v>1122</v>
      </c>
      <c r="D433" s="28" t="s">
        <v>2250</v>
      </c>
      <c r="E433" s="28" t="s">
        <v>1124</v>
      </c>
      <c r="F433" s="28" t="s">
        <v>1125</v>
      </c>
      <c r="G433" s="28">
        <v>22.99</v>
      </c>
      <c r="H433" s="28">
        <v>22.99</v>
      </c>
      <c r="I433" s="28">
        <v>0.67</v>
      </c>
      <c r="J433" s="28">
        <v>22.32</v>
      </c>
      <c r="K433" s="28">
        <v>0</v>
      </c>
      <c r="L433" s="28" t="s">
        <v>45</v>
      </c>
      <c r="M433" s="28"/>
      <c r="N433" s="28"/>
      <c r="O433" s="28" t="s">
        <v>2251</v>
      </c>
      <c r="P433" s="28">
        <v>96996</v>
      </c>
      <c r="Q433" s="28"/>
      <c r="R433" s="28" t="s">
        <v>1131</v>
      </c>
    </row>
    <row r="434" spans="1:18">
      <c r="A434" s="31">
        <v>45669.46875</v>
      </c>
      <c r="B434" s="28">
        <v>12</v>
      </c>
      <c r="C434" s="28" t="s">
        <v>1122</v>
      </c>
      <c r="D434" s="28" t="s">
        <v>2252</v>
      </c>
      <c r="E434" s="28" t="s">
        <v>1124</v>
      </c>
      <c r="F434" s="28" t="s">
        <v>1125</v>
      </c>
      <c r="G434" s="28">
        <v>68.84</v>
      </c>
      <c r="H434" s="28">
        <v>68.84</v>
      </c>
      <c r="I434" s="28">
        <v>2</v>
      </c>
      <c r="J434" s="28">
        <v>66.84</v>
      </c>
      <c r="K434" s="28">
        <v>0</v>
      </c>
      <c r="L434" s="28" t="s">
        <v>45</v>
      </c>
      <c r="M434" s="28"/>
      <c r="N434" s="28"/>
      <c r="O434" s="28" t="s">
        <v>2253</v>
      </c>
      <c r="P434" s="28">
        <v>96984</v>
      </c>
      <c r="Q434" s="28"/>
      <c r="R434" s="28" t="s">
        <v>1131</v>
      </c>
    </row>
    <row r="435" spans="1:18">
      <c r="A435" s="31">
        <v>45669.263194444444</v>
      </c>
      <c r="B435" s="28">
        <v>12</v>
      </c>
      <c r="C435" s="28" t="s">
        <v>1122</v>
      </c>
      <c r="D435" s="28" t="s">
        <v>2254</v>
      </c>
      <c r="E435" s="28" t="s">
        <v>1124</v>
      </c>
      <c r="F435" s="28" t="s">
        <v>1125</v>
      </c>
      <c r="G435" s="28">
        <v>2.4900000000000002</v>
      </c>
      <c r="H435" s="28">
        <v>2.4900000000000002</v>
      </c>
      <c r="I435" s="28">
        <v>0.08</v>
      </c>
      <c r="J435" s="28">
        <v>2.41</v>
      </c>
      <c r="K435" s="28">
        <v>0</v>
      </c>
      <c r="L435" s="28" t="s">
        <v>45</v>
      </c>
      <c r="M435" s="28"/>
      <c r="N435" s="28"/>
      <c r="O435" s="28" t="s">
        <v>2255</v>
      </c>
      <c r="P435" s="28">
        <v>96120</v>
      </c>
      <c r="Q435" s="28"/>
      <c r="R435" s="28" t="s">
        <v>1139</v>
      </c>
    </row>
    <row r="436" spans="1:18">
      <c r="A436" s="31">
        <v>45669.12777777778</v>
      </c>
      <c r="B436" s="28">
        <v>12</v>
      </c>
      <c r="C436" s="28" t="s">
        <v>1122</v>
      </c>
      <c r="D436" s="28" t="s">
        <v>2256</v>
      </c>
      <c r="E436" s="28" t="s">
        <v>1124</v>
      </c>
      <c r="F436" s="28" t="s">
        <v>1125</v>
      </c>
      <c r="G436" s="28">
        <v>11.69</v>
      </c>
      <c r="H436" s="28">
        <v>11.69</v>
      </c>
      <c r="I436" s="28">
        <v>0.34</v>
      </c>
      <c r="J436" s="28">
        <v>11.35</v>
      </c>
      <c r="K436" s="28">
        <v>0</v>
      </c>
      <c r="L436" s="28" t="s">
        <v>45</v>
      </c>
      <c r="M436" s="28"/>
      <c r="N436" s="28"/>
      <c r="O436" s="28" t="s">
        <v>2257</v>
      </c>
      <c r="P436" s="28">
        <v>96564</v>
      </c>
      <c r="Q436" s="28"/>
      <c r="R436" s="28" t="s">
        <v>1127</v>
      </c>
    </row>
    <row r="437" spans="1:18">
      <c r="A437" s="31">
        <v>45700.647916666669</v>
      </c>
      <c r="B437" s="28">
        <v>12</v>
      </c>
      <c r="C437" s="28" t="s">
        <v>1122</v>
      </c>
      <c r="D437" s="28" t="s">
        <v>2258</v>
      </c>
      <c r="E437" s="28" t="s">
        <v>1124</v>
      </c>
      <c r="F437" s="28" t="s">
        <v>1125</v>
      </c>
      <c r="G437" s="28">
        <v>4.99</v>
      </c>
      <c r="H437" s="28">
        <v>4.99</v>
      </c>
      <c r="I437" s="28">
        <v>0.15</v>
      </c>
      <c r="J437" s="28">
        <v>4.84</v>
      </c>
      <c r="K437" s="28">
        <v>0</v>
      </c>
      <c r="L437" s="28" t="s">
        <v>45</v>
      </c>
      <c r="M437" s="28"/>
      <c r="N437" s="28"/>
      <c r="O437" s="28" t="s">
        <v>2259</v>
      </c>
      <c r="P437" s="28">
        <v>97188</v>
      </c>
      <c r="Q437" s="28"/>
      <c r="R437" s="28" t="s">
        <v>1135</v>
      </c>
    </row>
    <row r="438" spans="1:18">
      <c r="A438" s="31">
        <v>45700.404861111114</v>
      </c>
      <c r="B438" s="28">
        <v>12</v>
      </c>
      <c r="C438" s="28" t="s">
        <v>1122</v>
      </c>
      <c r="D438" s="28" t="s">
        <v>2260</v>
      </c>
      <c r="E438" s="28" t="s">
        <v>1124</v>
      </c>
      <c r="F438" s="28" t="s">
        <v>1125</v>
      </c>
      <c r="G438" s="28">
        <v>1</v>
      </c>
      <c r="H438" s="28">
        <v>1</v>
      </c>
      <c r="I438" s="28">
        <v>0.03</v>
      </c>
      <c r="J438" s="28">
        <v>0.97</v>
      </c>
      <c r="K438" s="28">
        <v>0</v>
      </c>
      <c r="L438" s="28" t="s">
        <v>45</v>
      </c>
      <c r="M438" s="28"/>
      <c r="N438" s="28"/>
      <c r="O438" s="28" t="s">
        <v>2261</v>
      </c>
      <c r="P438" s="28">
        <v>97176</v>
      </c>
      <c r="Q438" s="28"/>
      <c r="R438" s="28" t="s">
        <v>1127</v>
      </c>
    </row>
    <row r="439" spans="1:18">
      <c r="A439" s="31">
        <v>45700.38958333333</v>
      </c>
      <c r="B439" s="28">
        <v>12</v>
      </c>
      <c r="C439" s="28" t="s">
        <v>1122</v>
      </c>
      <c r="D439" s="28" t="s">
        <v>2262</v>
      </c>
      <c r="E439" s="28" t="s">
        <v>1124</v>
      </c>
      <c r="F439" s="28" t="s">
        <v>1125</v>
      </c>
      <c r="G439" s="28">
        <v>56.79</v>
      </c>
      <c r="H439" s="28">
        <v>56.79</v>
      </c>
      <c r="I439" s="28">
        <v>1.65</v>
      </c>
      <c r="J439" s="28">
        <v>55.14</v>
      </c>
      <c r="K439" s="28">
        <v>0</v>
      </c>
      <c r="L439" s="28" t="s">
        <v>45</v>
      </c>
      <c r="M439" s="28"/>
      <c r="N439" s="28"/>
      <c r="O439" s="28" t="s">
        <v>2263</v>
      </c>
      <c r="P439" s="28">
        <v>97164</v>
      </c>
      <c r="Q439" s="28"/>
      <c r="R439" s="28" t="s">
        <v>1135</v>
      </c>
    </row>
    <row r="440" spans="1:18">
      <c r="A440" s="31">
        <v>45728.530555555553</v>
      </c>
      <c r="B440" s="28">
        <v>12</v>
      </c>
      <c r="C440" s="28" t="s">
        <v>1122</v>
      </c>
      <c r="D440" s="28" t="s">
        <v>2264</v>
      </c>
      <c r="E440" s="28" t="s">
        <v>1124</v>
      </c>
      <c r="F440" s="28" t="s">
        <v>1125</v>
      </c>
      <c r="G440" s="28">
        <v>120</v>
      </c>
      <c r="H440" s="28">
        <v>120</v>
      </c>
      <c r="I440" s="28">
        <v>3.48</v>
      </c>
      <c r="J440" s="28">
        <v>116.52</v>
      </c>
      <c r="K440" s="28">
        <v>0</v>
      </c>
      <c r="L440" s="28" t="s">
        <v>45</v>
      </c>
      <c r="M440" s="28"/>
      <c r="N440" s="28"/>
      <c r="O440" s="28" t="s">
        <v>2265</v>
      </c>
      <c r="P440" s="28">
        <v>97380</v>
      </c>
      <c r="Q440" s="28"/>
      <c r="R440" s="28" t="s">
        <v>1149</v>
      </c>
    </row>
    <row r="441" spans="1:18">
      <c r="A441" s="31">
        <v>45759.179166666669</v>
      </c>
      <c r="B441" s="28">
        <v>12</v>
      </c>
      <c r="C441" s="28" t="s">
        <v>1122</v>
      </c>
      <c r="D441" s="28" t="s">
        <v>2266</v>
      </c>
      <c r="E441" s="28" t="s">
        <v>1124</v>
      </c>
      <c r="F441" s="28" t="s">
        <v>1125</v>
      </c>
      <c r="G441" s="28">
        <v>2.5099999999999998</v>
      </c>
      <c r="H441" s="28">
        <v>2.5099999999999998</v>
      </c>
      <c r="I441" s="28">
        <v>0.08</v>
      </c>
      <c r="J441" s="28">
        <v>2.4300000000000002</v>
      </c>
      <c r="K441" s="28">
        <v>0</v>
      </c>
      <c r="L441" s="28" t="s">
        <v>45</v>
      </c>
      <c r="M441" s="28"/>
      <c r="N441" s="28"/>
      <c r="O441" s="28" t="s">
        <v>2267</v>
      </c>
      <c r="P441" s="28">
        <v>85366</v>
      </c>
      <c r="Q441" s="28"/>
      <c r="R441" s="28" t="s">
        <v>1135</v>
      </c>
    </row>
    <row r="442" spans="1:18">
      <c r="A442" s="31">
        <v>45789.967361111114</v>
      </c>
      <c r="B442" s="28">
        <v>12</v>
      </c>
      <c r="C442" s="28" t="s">
        <v>1122</v>
      </c>
      <c r="D442" s="28" t="s">
        <v>2268</v>
      </c>
      <c r="E442" s="28" t="s">
        <v>1124</v>
      </c>
      <c r="F442" s="28" t="s">
        <v>1125</v>
      </c>
      <c r="G442" s="28">
        <v>8.4</v>
      </c>
      <c r="H442" s="28">
        <v>8.4</v>
      </c>
      <c r="I442" s="28">
        <v>0.25</v>
      </c>
      <c r="J442" s="28">
        <v>8.15</v>
      </c>
      <c r="K442" s="28">
        <v>0</v>
      </c>
      <c r="L442" s="28" t="s">
        <v>45</v>
      </c>
      <c r="M442" s="28"/>
      <c r="N442" s="28"/>
      <c r="O442" s="28" t="s">
        <v>2269</v>
      </c>
      <c r="P442" s="28">
        <v>97572</v>
      </c>
      <c r="Q442" s="28"/>
      <c r="R442" s="28" t="s">
        <v>1135</v>
      </c>
    </row>
    <row r="443" spans="1:18">
      <c r="A443" s="31">
        <v>45789.589583333334</v>
      </c>
      <c r="B443" s="28">
        <v>12</v>
      </c>
      <c r="C443" s="28" t="s">
        <v>1122</v>
      </c>
      <c r="D443" s="28" t="s">
        <v>2270</v>
      </c>
      <c r="E443" s="28" t="s">
        <v>1124</v>
      </c>
      <c r="F443" s="28" t="s">
        <v>1125</v>
      </c>
      <c r="G443" s="28">
        <v>13.59</v>
      </c>
      <c r="H443" s="28">
        <v>13.59</v>
      </c>
      <c r="I443" s="28">
        <v>0.4</v>
      </c>
      <c r="J443" s="28">
        <v>13.19</v>
      </c>
      <c r="K443" s="28">
        <v>0</v>
      </c>
      <c r="L443" s="28" t="s">
        <v>45</v>
      </c>
      <c r="M443" s="28"/>
      <c r="N443" s="28"/>
      <c r="O443" s="28" t="s">
        <v>2271</v>
      </c>
      <c r="P443" s="28">
        <v>97560</v>
      </c>
      <c r="Q443" s="28"/>
      <c r="R443" s="28" t="s">
        <v>1131</v>
      </c>
    </row>
    <row r="444" spans="1:18">
      <c r="A444" s="31">
        <v>45789.431250000001</v>
      </c>
      <c r="B444" s="28">
        <v>12</v>
      </c>
      <c r="C444" s="28" t="s">
        <v>1122</v>
      </c>
      <c r="D444" s="28" t="s">
        <v>2272</v>
      </c>
      <c r="E444" s="28" t="s">
        <v>1124</v>
      </c>
      <c r="F444" s="28" t="s">
        <v>1125</v>
      </c>
      <c r="G444" s="28">
        <v>3.99</v>
      </c>
      <c r="H444" s="28">
        <v>3.99</v>
      </c>
      <c r="I444" s="28">
        <v>0.12</v>
      </c>
      <c r="J444" s="28">
        <v>3.87</v>
      </c>
      <c r="K444" s="28">
        <v>0</v>
      </c>
      <c r="L444" s="28" t="s">
        <v>45</v>
      </c>
      <c r="M444" s="28"/>
      <c r="N444" s="28"/>
      <c r="O444" s="28" t="s">
        <v>2273</v>
      </c>
      <c r="P444" s="28">
        <v>97548</v>
      </c>
      <c r="Q444" s="28"/>
      <c r="R444" s="28" t="s">
        <v>1135</v>
      </c>
    </row>
    <row r="445" spans="1:18">
      <c r="A445" s="31">
        <v>45789.095138888886</v>
      </c>
      <c r="B445" s="28">
        <v>12</v>
      </c>
      <c r="C445" s="28" t="s">
        <v>1122</v>
      </c>
      <c r="D445" s="28" t="s">
        <v>2274</v>
      </c>
      <c r="E445" s="28" t="s">
        <v>1124</v>
      </c>
      <c r="F445" s="28" t="s">
        <v>1125</v>
      </c>
      <c r="G445" s="28">
        <v>5.23</v>
      </c>
      <c r="H445" s="28">
        <v>5.23</v>
      </c>
      <c r="I445" s="28">
        <v>0.16</v>
      </c>
      <c r="J445" s="28">
        <v>5.07</v>
      </c>
      <c r="K445" s="28">
        <v>0</v>
      </c>
      <c r="L445" s="28" t="s">
        <v>45</v>
      </c>
      <c r="M445" s="28"/>
      <c r="N445" s="28"/>
      <c r="O445" s="28" t="s">
        <v>2275</v>
      </c>
      <c r="P445" s="28">
        <v>95568</v>
      </c>
      <c r="Q445" s="28"/>
      <c r="R445" s="28" t="s">
        <v>1135</v>
      </c>
    </row>
    <row r="446" spans="1:18">
      <c r="A446" s="31">
        <v>45820.68472222222</v>
      </c>
      <c r="B446" s="28">
        <v>12</v>
      </c>
      <c r="C446" s="28" t="s">
        <v>1122</v>
      </c>
      <c r="D446" s="28" t="s">
        <v>2276</v>
      </c>
      <c r="E446" s="28" t="s">
        <v>1124</v>
      </c>
      <c r="F446" s="28" t="s">
        <v>1125</v>
      </c>
      <c r="G446" s="28">
        <v>7.59</v>
      </c>
      <c r="H446" s="28">
        <v>7.59</v>
      </c>
      <c r="I446" s="28">
        <v>0.22</v>
      </c>
      <c r="J446" s="28">
        <v>7.37</v>
      </c>
      <c r="K446" s="28">
        <v>7.37</v>
      </c>
      <c r="L446" s="28" t="s">
        <v>45</v>
      </c>
      <c r="M446" s="28"/>
      <c r="N446" s="28"/>
      <c r="O446" s="28" t="s">
        <v>2277</v>
      </c>
      <c r="P446" s="28">
        <v>97752</v>
      </c>
      <c r="Q446" s="28"/>
      <c r="R446" s="28" t="s">
        <v>1135</v>
      </c>
    </row>
    <row r="447" spans="1:18">
      <c r="A447" s="31">
        <v>45820.600694444445</v>
      </c>
      <c r="B447" s="28">
        <v>12</v>
      </c>
      <c r="C447" s="28" t="s">
        <v>1122</v>
      </c>
      <c r="D447" s="28" t="s">
        <v>2278</v>
      </c>
      <c r="E447" s="28" t="s">
        <v>1124</v>
      </c>
      <c r="F447" s="28" t="s">
        <v>1125</v>
      </c>
      <c r="G447" s="28">
        <v>28.99</v>
      </c>
      <c r="H447" s="28">
        <v>28.99</v>
      </c>
      <c r="I447" s="28">
        <v>0.84</v>
      </c>
      <c r="J447" s="28">
        <v>28.15</v>
      </c>
      <c r="K447" s="28">
        <v>0</v>
      </c>
      <c r="L447" s="28" t="s">
        <v>45</v>
      </c>
      <c r="M447" s="28"/>
      <c r="N447" s="28"/>
      <c r="O447" s="28" t="s">
        <v>2279</v>
      </c>
      <c r="P447" s="28">
        <v>97728</v>
      </c>
      <c r="Q447" s="28"/>
      <c r="R447" s="28" t="s">
        <v>1149</v>
      </c>
    </row>
    <row r="448" spans="1:18">
      <c r="A448" s="31">
        <v>45820.565972222219</v>
      </c>
      <c r="B448" s="28">
        <v>12</v>
      </c>
      <c r="C448" s="28" t="s">
        <v>1122</v>
      </c>
      <c r="D448" s="28" t="s">
        <v>2280</v>
      </c>
      <c r="E448" s="28" t="s">
        <v>1124</v>
      </c>
      <c r="F448" s="28" t="s">
        <v>1125</v>
      </c>
      <c r="G448" s="28">
        <v>4.49</v>
      </c>
      <c r="H448" s="28">
        <v>4.49</v>
      </c>
      <c r="I448" s="28">
        <v>0.13</v>
      </c>
      <c r="J448" s="28">
        <v>4.3600000000000003</v>
      </c>
      <c r="K448" s="28">
        <v>4.3600000000000003</v>
      </c>
      <c r="L448" s="28" t="s">
        <v>45</v>
      </c>
      <c r="M448" s="28"/>
      <c r="N448" s="28"/>
      <c r="O448" s="28" t="s">
        <v>2281</v>
      </c>
      <c r="P448" s="28">
        <v>97704</v>
      </c>
      <c r="Q448" s="28"/>
      <c r="R448" s="28" t="s">
        <v>1135</v>
      </c>
    </row>
    <row r="449" spans="1:18">
      <c r="A449" s="31">
        <v>45820.527777777781</v>
      </c>
      <c r="B449" s="28">
        <v>12</v>
      </c>
      <c r="C449" s="28" t="s">
        <v>1122</v>
      </c>
      <c r="D449" s="28" t="s">
        <v>2282</v>
      </c>
      <c r="E449" s="28" t="s">
        <v>1124</v>
      </c>
      <c r="F449" s="28" t="s">
        <v>1125</v>
      </c>
      <c r="G449" s="28">
        <v>4.49</v>
      </c>
      <c r="H449" s="28">
        <v>4.49</v>
      </c>
      <c r="I449" s="28">
        <v>0.13</v>
      </c>
      <c r="J449" s="28">
        <v>4.3600000000000003</v>
      </c>
      <c r="K449" s="28">
        <v>4.3600000000000003</v>
      </c>
      <c r="L449" s="28" t="s">
        <v>45</v>
      </c>
      <c r="M449" s="28"/>
      <c r="N449" s="28"/>
      <c r="O449" s="28" t="s">
        <v>2283</v>
      </c>
      <c r="P449" s="28">
        <v>97692</v>
      </c>
      <c r="Q449" s="28"/>
      <c r="R449" s="28" t="s">
        <v>1131</v>
      </c>
    </row>
    <row r="450" spans="1:18">
      <c r="A450" s="31">
        <v>45820.509722222225</v>
      </c>
      <c r="B450" s="28">
        <v>12</v>
      </c>
      <c r="C450" s="28" t="s">
        <v>1122</v>
      </c>
      <c r="D450" s="28" t="s">
        <v>2284</v>
      </c>
      <c r="E450" s="28" t="s">
        <v>1124</v>
      </c>
      <c r="F450" s="28" t="s">
        <v>1125</v>
      </c>
      <c r="G450" s="28">
        <v>1.99</v>
      </c>
      <c r="H450" s="28">
        <v>1.99</v>
      </c>
      <c r="I450" s="28">
        <v>0.06</v>
      </c>
      <c r="J450" s="28">
        <v>1.93</v>
      </c>
      <c r="K450" s="28">
        <v>0</v>
      </c>
      <c r="L450" s="28" t="s">
        <v>45</v>
      </c>
      <c r="M450" s="28"/>
      <c r="N450" s="28"/>
      <c r="O450" s="28" t="s">
        <v>2285</v>
      </c>
      <c r="P450" s="28">
        <v>97680</v>
      </c>
      <c r="Q450" s="28"/>
      <c r="R450" s="28" t="s">
        <v>1131</v>
      </c>
    </row>
    <row r="451" spans="1:18">
      <c r="A451" s="31">
        <v>45820.45208333333</v>
      </c>
      <c r="B451" s="28">
        <v>12</v>
      </c>
      <c r="C451" s="28" t="s">
        <v>1122</v>
      </c>
      <c r="D451" s="28" t="s">
        <v>2286</v>
      </c>
      <c r="E451" s="28" t="s">
        <v>1124</v>
      </c>
      <c r="F451" s="28" t="s">
        <v>1125</v>
      </c>
      <c r="G451" s="28">
        <v>6.39</v>
      </c>
      <c r="H451" s="28">
        <v>6.39</v>
      </c>
      <c r="I451" s="28">
        <v>0.19</v>
      </c>
      <c r="J451" s="28">
        <v>6.2</v>
      </c>
      <c r="K451" s="28">
        <v>0</v>
      </c>
      <c r="L451" s="28" t="s">
        <v>45</v>
      </c>
      <c r="M451" s="28"/>
      <c r="N451" s="28"/>
      <c r="O451" s="28" t="s">
        <v>2287</v>
      </c>
      <c r="P451" s="28">
        <v>97668</v>
      </c>
      <c r="Q451" s="28"/>
      <c r="R451" s="28" t="s">
        <v>1135</v>
      </c>
    </row>
    <row r="452" spans="1:18">
      <c r="A452" s="31">
        <v>45850.549305555556</v>
      </c>
      <c r="B452" s="28">
        <v>12</v>
      </c>
      <c r="C452" s="28" t="s">
        <v>1122</v>
      </c>
      <c r="D452" s="28" t="s">
        <v>2288</v>
      </c>
      <c r="E452" s="28" t="s">
        <v>1124</v>
      </c>
      <c r="F452" s="28" t="s">
        <v>1125</v>
      </c>
      <c r="G452" s="28">
        <v>7.59</v>
      </c>
      <c r="H452" s="28">
        <v>7.59</v>
      </c>
      <c r="I452" s="28">
        <v>0.22</v>
      </c>
      <c r="J452" s="28">
        <v>7.37</v>
      </c>
      <c r="K452" s="28">
        <v>0</v>
      </c>
      <c r="L452" s="28" t="s">
        <v>45</v>
      </c>
      <c r="M452" s="28"/>
      <c r="N452" s="28"/>
      <c r="O452" s="28" t="s">
        <v>2289</v>
      </c>
      <c r="P452" s="28">
        <v>96816</v>
      </c>
      <c r="Q452" s="28"/>
      <c r="R452" s="28" t="s">
        <v>1131</v>
      </c>
    </row>
    <row r="453" spans="1:18">
      <c r="A453" s="31">
        <v>45850.537499999999</v>
      </c>
      <c r="B453" s="28">
        <v>12</v>
      </c>
      <c r="C453" s="28" t="s">
        <v>1122</v>
      </c>
      <c r="D453" s="28" t="s">
        <v>2290</v>
      </c>
      <c r="E453" s="28" t="s">
        <v>1124</v>
      </c>
      <c r="F453" s="28" t="s">
        <v>1125</v>
      </c>
      <c r="G453" s="28">
        <v>4.5199999999999996</v>
      </c>
      <c r="H453" s="28">
        <v>4.5199999999999996</v>
      </c>
      <c r="I453" s="28">
        <v>0.14000000000000001</v>
      </c>
      <c r="J453" s="28">
        <v>4.38</v>
      </c>
      <c r="K453" s="28">
        <v>0</v>
      </c>
      <c r="L453" s="28" t="s">
        <v>45</v>
      </c>
      <c r="M453" s="28"/>
      <c r="N453" s="28"/>
      <c r="O453" s="28" t="s">
        <v>2291</v>
      </c>
      <c r="P453" s="28">
        <v>95844</v>
      </c>
      <c r="Q453" s="28"/>
      <c r="R453" s="28" t="s">
        <v>1127</v>
      </c>
    </row>
    <row r="454" spans="1:18">
      <c r="A454" s="31">
        <v>45850.175694444442</v>
      </c>
      <c r="B454" s="28">
        <v>12</v>
      </c>
      <c r="C454" s="28" t="s">
        <v>1122</v>
      </c>
      <c r="D454" s="28" t="s">
        <v>2292</v>
      </c>
      <c r="E454" s="28" t="s">
        <v>1124</v>
      </c>
      <c r="F454" s="28" t="s">
        <v>1125</v>
      </c>
      <c r="G454" s="28">
        <v>3.99</v>
      </c>
      <c r="H454" s="28">
        <v>3.99</v>
      </c>
      <c r="I454" s="28">
        <v>0.12</v>
      </c>
      <c r="J454" s="28">
        <v>3.87</v>
      </c>
      <c r="K454" s="28">
        <v>0</v>
      </c>
      <c r="L454" s="28" t="s">
        <v>45</v>
      </c>
      <c r="M454" s="28"/>
      <c r="N454" s="28"/>
      <c r="O454" s="28" t="s">
        <v>2293</v>
      </c>
      <c r="P454" s="28">
        <v>97896</v>
      </c>
      <c r="Q454" s="28"/>
      <c r="R454" s="28"/>
    </row>
    <row r="455" spans="1:18">
      <c r="A455" s="31">
        <v>45850.115972222222</v>
      </c>
      <c r="B455" s="28">
        <v>12</v>
      </c>
      <c r="C455" s="28" t="s">
        <v>1122</v>
      </c>
      <c r="D455" s="28" t="s">
        <v>2294</v>
      </c>
      <c r="E455" s="28" t="s">
        <v>1124</v>
      </c>
      <c r="F455" s="28" t="s">
        <v>1125</v>
      </c>
      <c r="G455" s="28">
        <v>20.79</v>
      </c>
      <c r="H455" s="28">
        <v>20.79</v>
      </c>
      <c r="I455" s="28">
        <v>0.61</v>
      </c>
      <c r="J455" s="28">
        <v>20.18</v>
      </c>
      <c r="K455" s="28">
        <v>0</v>
      </c>
      <c r="L455" s="28" t="s">
        <v>45</v>
      </c>
      <c r="M455" s="28"/>
      <c r="N455" s="28"/>
      <c r="O455" s="28" t="s">
        <v>2295</v>
      </c>
      <c r="P455" s="28">
        <v>96864</v>
      </c>
      <c r="Q455" s="28"/>
      <c r="R455" s="28" t="s">
        <v>1149</v>
      </c>
    </row>
    <row r="456" spans="1:18">
      <c r="A456" s="31">
        <v>45881.43472222222</v>
      </c>
      <c r="B456" s="28">
        <v>12</v>
      </c>
      <c r="C456" s="28" t="s">
        <v>1122</v>
      </c>
      <c r="D456" s="28" t="s">
        <v>2296</v>
      </c>
      <c r="E456" s="28" t="s">
        <v>1124</v>
      </c>
      <c r="F456" s="28" t="s">
        <v>1125</v>
      </c>
      <c r="G456" s="28">
        <v>1.99</v>
      </c>
      <c r="H456" s="28">
        <v>1.99</v>
      </c>
      <c r="I456" s="28">
        <v>0.06</v>
      </c>
      <c r="J456" s="28">
        <v>1.93</v>
      </c>
      <c r="K456" s="28">
        <v>0</v>
      </c>
      <c r="L456" s="28" t="s">
        <v>45</v>
      </c>
      <c r="M456" s="28"/>
      <c r="N456" s="28"/>
      <c r="O456" s="28" t="s">
        <v>2297</v>
      </c>
      <c r="P456" s="28">
        <v>98028</v>
      </c>
      <c r="Q456" s="28"/>
      <c r="R456" s="28" t="s">
        <v>1135</v>
      </c>
    </row>
    <row r="457" spans="1:18">
      <c r="A457" s="31">
        <v>45881.248611111114</v>
      </c>
      <c r="B457" s="28">
        <v>12</v>
      </c>
      <c r="C457" s="28" t="s">
        <v>1122</v>
      </c>
      <c r="D457" s="28" t="s">
        <v>2298</v>
      </c>
      <c r="E457" s="28" t="s">
        <v>1124</v>
      </c>
      <c r="F457" s="28" t="s">
        <v>1125</v>
      </c>
      <c r="G457" s="28">
        <v>8.4</v>
      </c>
      <c r="H457" s="28">
        <v>8.4</v>
      </c>
      <c r="I457" s="28">
        <v>0.25</v>
      </c>
      <c r="J457" s="28">
        <v>8.15</v>
      </c>
      <c r="K457" s="28">
        <v>0</v>
      </c>
      <c r="L457" s="28" t="s">
        <v>45</v>
      </c>
      <c r="M457" s="28"/>
      <c r="N457" s="28"/>
      <c r="O457" s="28" t="s">
        <v>2299</v>
      </c>
      <c r="P457" s="28">
        <v>98016</v>
      </c>
      <c r="Q457" s="28"/>
      <c r="R457" s="28" t="s">
        <v>1131</v>
      </c>
    </row>
    <row r="458" spans="1:18">
      <c r="A458" s="31">
        <v>45881.124305555553</v>
      </c>
      <c r="B458" s="28">
        <v>12</v>
      </c>
      <c r="C458" s="28" t="s">
        <v>1122</v>
      </c>
      <c r="D458" s="28" t="s">
        <v>2300</v>
      </c>
      <c r="E458" s="28" t="s">
        <v>1124</v>
      </c>
      <c r="F458" s="28" t="s">
        <v>1125</v>
      </c>
      <c r="G458" s="28">
        <v>120</v>
      </c>
      <c r="H458" s="28">
        <v>120</v>
      </c>
      <c r="I458" s="28">
        <v>3.48</v>
      </c>
      <c r="J458" s="28">
        <v>116.52</v>
      </c>
      <c r="K458" s="28">
        <v>0</v>
      </c>
      <c r="L458" s="28" t="s">
        <v>45</v>
      </c>
      <c r="M458" s="28"/>
      <c r="N458" s="28"/>
      <c r="O458" s="28" t="s">
        <v>2301</v>
      </c>
      <c r="P458" s="28">
        <v>97992</v>
      </c>
      <c r="Q458" s="28"/>
      <c r="R458" s="28" t="s">
        <v>1149</v>
      </c>
    </row>
    <row r="459" spans="1:18">
      <c r="A459" s="31">
        <v>45912.477777777778</v>
      </c>
      <c r="B459" s="28">
        <v>12</v>
      </c>
      <c r="C459" s="28" t="s">
        <v>1122</v>
      </c>
      <c r="D459" s="28" t="s">
        <v>2302</v>
      </c>
      <c r="E459" s="28" t="s">
        <v>1124</v>
      </c>
      <c r="F459" s="28" t="s">
        <v>1125</v>
      </c>
      <c r="G459" s="28">
        <v>3.15</v>
      </c>
      <c r="H459" s="28">
        <v>3.15</v>
      </c>
      <c r="I459" s="28">
        <v>0.1</v>
      </c>
      <c r="J459" s="28">
        <v>3.05</v>
      </c>
      <c r="K459" s="28">
        <v>0</v>
      </c>
      <c r="L459" s="28" t="s">
        <v>45</v>
      </c>
      <c r="M459" s="28"/>
      <c r="N459" s="28"/>
      <c r="O459" s="28" t="s">
        <v>2303</v>
      </c>
      <c r="P459" s="28">
        <v>98100</v>
      </c>
      <c r="Q459" s="28"/>
      <c r="R459" s="28" t="s">
        <v>1139</v>
      </c>
    </row>
    <row r="460" spans="1:18">
      <c r="A460" s="31">
        <v>45912.197916666664</v>
      </c>
      <c r="B460" s="28">
        <v>12</v>
      </c>
      <c r="C460" s="28" t="s">
        <v>1122</v>
      </c>
      <c r="D460" s="28" t="s">
        <v>2304</v>
      </c>
      <c r="E460" s="28" t="s">
        <v>1124</v>
      </c>
      <c r="F460" s="28" t="s">
        <v>1125</v>
      </c>
      <c r="G460" s="28">
        <v>4.49</v>
      </c>
      <c r="H460" s="28">
        <v>4.49</v>
      </c>
      <c r="I460" s="28">
        <v>0.13</v>
      </c>
      <c r="J460" s="28">
        <v>4.3600000000000003</v>
      </c>
      <c r="K460" s="28">
        <v>0</v>
      </c>
      <c r="L460" s="28" t="s">
        <v>45</v>
      </c>
      <c r="M460" s="28"/>
      <c r="N460" s="28"/>
      <c r="O460" s="28" t="s">
        <v>2305</v>
      </c>
      <c r="P460" s="28">
        <v>98088</v>
      </c>
      <c r="Q460" s="28"/>
      <c r="R460" s="28" t="s">
        <v>1139</v>
      </c>
    </row>
    <row r="461" spans="1:18">
      <c r="A461" s="31">
        <v>45942.688194444447</v>
      </c>
      <c r="B461" s="28">
        <v>12</v>
      </c>
      <c r="C461" s="28" t="s">
        <v>1122</v>
      </c>
      <c r="D461" s="28" t="s">
        <v>2306</v>
      </c>
      <c r="E461" s="28" t="s">
        <v>1124</v>
      </c>
      <c r="F461" s="28" t="s">
        <v>1125</v>
      </c>
      <c r="G461" s="28">
        <v>13.59</v>
      </c>
      <c r="H461" s="28">
        <v>13.59</v>
      </c>
      <c r="I461" s="28">
        <v>0.4</v>
      </c>
      <c r="J461" s="28">
        <v>13.19</v>
      </c>
      <c r="K461" s="28">
        <v>0</v>
      </c>
      <c r="L461" s="28" t="s">
        <v>45</v>
      </c>
      <c r="M461" s="28"/>
      <c r="N461" s="28"/>
      <c r="O461" s="28" t="s">
        <v>2307</v>
      </c>
      <c r="P461" s="28">
        <v>98244</v>
      </c>
      <c r="Q461" s="28"/>
      <c r="R461" s="28" t="s">
        <v>1131</v>
      </c>
    </row>
    <row r="462" spans="1:18">
      <c r="A462" s="31">
        <v>45942.568055555559</v>
      </c>
      <c r="B462" s="28">
        <v>12</v>
      </c>
      <c r="C462" s="28" t="s">
        <v>1122</v>
      </c>
      <c r="D462" s="28" t="s">
        <v>2308</v>
      </c>
      <c r="E462" s="28" t="s">
        <v>1124</v>
      </c>
      <c r="F462" s="28" t="s">
        <v>1125</v>
      </c>
      <c r="G462" s="28">
        <v>16.12</v>
      </c>
      <c r="H462" s="28">
        <v>16.12</v>
      </c>
      <c r="I462" s="28">
        <v>0.47</v>
      </c>
      <c r="J462" s="28">
        <v>15.65</v>
      </c>
      <c r="K462" s="28">
        <v>0</v>
      </c>
      <c r="L462" s="28" t="s">
        <v>45</v>
      </c>
      <c r="M462" s="28"/>
      <c r="N462" s="28"/>
      <c r="O462" s="28" t="s">
        <v>2309</v>
      </c>
      <c r="P462" s="28">
        <v>96852</v>
      </c>
      <c r="Q462" s="28"/>
      <c r="R462" s="28" t="s">
        <v>1131</v>
      </c>
    </row>
    <row r="463" spans="1:18">
      <c r="A463" s="31">
        <v>45942.5625</v>
      </c>
      <c r="B463" s="28">
        <v>12</v>
      </c>
      <c r="C463" s="28" t="s">
        <v>1122</v>
      </c>
      <c r="D463" s="28" t="s">
        <v>2310</v>
      </c>
      <c r="E463" s="28" t="s">
        <v>1124</v>
      </c>
      <c r="F463" s="28" t="s">
        <v>1125</v>
      </c>
      <c r="G463" s="28">
        <v>3.99</v>
      </c>
      <c r="H463" s="28">
        <v>3.99</v>
      </c>
      <c r="I463" s="28">
        <v>0.12</v>
      </c>
      <c r="J463" s="28">
        <v>3.87</v>
      </c>
      <c r="K463" s="28">
        <v>0</v>
      </c>
      <c r="L463" s="28" t="s">
        <v>45</v>
      </c>
      <c r="M463" s="28"/>
      <c r="N463" s="28"/>
      <c r="O463" s="28" t="s">
        <v>2311</v>
      </c>
      <c r="P463" s="28">
        <v>98232</v>
      </c>
      <c r="Q463" s="28"/>
      <c r="R463" s="28" t="s">
        <v>1160</v>
      </c>
    </row>
    <row r="464" spans="1:18">
      <c r="A464" s="31">
        <v>45973.611111111109</v>
      </c>
      <c r="B464" s="28">
        <v>12</v>
      </c>
      <c r="C464" s="28" t="s">
        <v>1122</v>
      </c>
      <c r="D464" s="28" t="s">
        <v>2312</v>
      </c>
      <c r="E464" s="28" t="s">
        <v>1124</v>
      </c>
      <c r="F464" s="28" t="s">
        <v>1125</v>
      </c>
      <c r="G464" s="28">
        <v>5.19</v>
      </c>
      <c r="H464" s="28">
        <v>5.19</v>
      </c>
      <c r="I464" s="28">
        <v>0.15</v>
      </c>
      <c r="J464" s="28">
        <v>5.04</v>
      </c>
      <c r="K464" s="28">
        <v>0</v>
      </c>
      <c r="L464" s="28" t="s">
        <v>45</v>
      </c>
      <c r="M464" s="28"/>
      <c r="N464" s="28"/>
      <c r="O464" s="28" t="s">
        <v>2313</v>
      </c>
      <c r="P464" s="28">
        <v>96660</v>
      </c>
      <c r="Q464" s="28"/>
      <c r="R464" s="28" t="s">
        <v>1127</v>
      </c>
    </row>
    <row r="465" spans="1:18">
      <c r="A465" s="31">
        <v>45973.529166666667</v>
      </c>
      <c r="B465" s="28">
        <v>12</v>
      </c>
      <c r="C465" s="28" t="s">
        <v>1122</v>
      </c>
      <c r="D465" s="28" t="s">
        <v>2314</v>
      </c>
      <c r="E465" s="28" t="s">
        <v>1124</v>
      </c>
      <c r="F465" s="28" t="s">
        <v>1125</v>
      </c>
      <c r="G465" s="28">
        <v>1.99</v>
      </c>
      <c r="H465" s="28">
        <v>1.99</v>
      </c>
      <c r="I465" s="28">
        <v>0.06</v>
      </c>
      <c r="J465" s="28">
        <v>1.93</v>
      </c>
      <c r="K465" s="28">
        <v>0</v>
      </c>
      <c r="L465" s="28" t="s">
        <v>45</v>
      </c>
      <c r="M465" s="28"/>
      <c r="N465" s="28"/>
      <c r="O465" s="28" t="s">
        <v>2315</v>
      </c>
      <c r="P465" s="28">
        <v>98376</v>
      </c>
      <c r="Q465" s="28"/>
      <c r="R465" s="28" t="s">
        <v>1149</v>
      </c>
    </row>
    <row r="466" spans="1:18">
      <c r="A466" s="31">
        <v>45973.426388888889</v>
      </c>
      <c r="B466" s="28">
        <v>12</v>
      </c>
      <c r="C466" s="28" t="s">
        <v>1122</v>
      </c>
      <c r="D466" s="28" t="s">
        <v>2316</v>
      </c>
      <c r="E466" s="28" t="s">
        <v>1124</v>
      </c>
      <c r="F466" s="28" t="s">
        <v>1125</v>
      </c>
      <c r="G466" s="28">
        <v>3.99</v>
      </c>
      <c r="H466" s="28">
        <v>3.99</v>
      </c>
      <c r="I466" s="28">
        <v>0.12</v>
      </c>
      <c r="J466" s="28">
        <v>3.87</v>
      </c>
      <c r="K466" s="28">
        <v>0</v>
      </c>
      <c r="L466" s="28" t="s">
        <v>45</v>
      </c>
      <c r="M466" s="28"/>
      <c r="N466" s="28"/>
      <c r="O466" s="28" t="s">
        <v>2317</v>
      </c>
      <c r="P466" s="28">
        <v>98364</v>
      </c>
      <c r="Q466" s="28"/>
      <c r="R466" s="28" t="s">
        <v>1135</v>
      </c>
    </row>
    <row r="467" spans="1:18">
      <c r="A467" s="31">
        <v>45973.152777777781</v>
      </c>
      <c r="B467" s="28">
        <v>12</v>
      </c>
      <c r="C467" s="28" t="s">
        <v>1122</v>
      </c>
      <c r="D467" s="28" t="s">
        <v>2318</v>
      </c>
      <c r="E467" s="28" t="s">
        <v>1194</v>
      </c>
      <c r="F467" s="28" t="s">
        <v>1125</v>
      </c>
      <c r="G467" s="28">
        <v>-4.8600000000000003</v>
      </c>
      <c r="H467" s="28">
        <v>-4.8600000000000003</v>
      </c>
      <c r="I467" s="28">
        <v>0.5</v>
      </c>
      <c r="J467" s="28">
        <v>-4.8600000000000003</v>
      </c>
      <c r="K467" s="28">
        <v>4.3600000000000003</v>
      </c>
      <c r="L467" s="28" t="s">
        <v>45</v>
      </c>
      <c r="M467" s="28"/>
      <c r="N467" s="28"/>
      <c r="O467" s="28" t="s">
        <v>2319</v>
      </c>
      <c r="P467" s="28">
        <v>97692</v>
      </c>
      <c r="Q467" s="28" t="s">
        <v>2282</v>
      </c>
      <c r="R467" s="28" t="s">
        <v>1131</v>
      </c>
    </row>
    <row r="468" spans="1:18">
      <c r="A468" s="31">
        <v>45973.151388888888</v>
      </c>
      <c r="B468" s="28">
        <v>12</v>
      </c>
      <c r="C468" s="28" t="s">
        <v>1122</v>
      </c>
      <c r="D468" s="28" t="s">
        <v>2320</v>
      </c>
      <c r="E468" s="28" t="s">
        <v>1194</v>
      </c>
      <c r="F468" s="28" t="s">
        <v>1125</v>
      </c>
      <c r="G468" s="28">
        <v>-4.8600000000000003</v>
      </c>
      <c r="H468" s="28">
        <v>-4.8600000000000003</v>
      </c>
      <c r="I468" s="28">
        <v>0.5</v>
      </c>
      <c r="J468" s="28">
        <v>-4.8600000000000003</v>
      </c>
      <c r="K468" s="28">
        <v>4.3600000000000003</v>
      </c>
      <c r="L468" s="28" t="s">
        <v>45</v>
      </c>
      <c r="M468" s="28"/>
      <c r="N468" s="28"/>
      <c r="O468" s="28" t="s">
        <v>2321</v>
      </c>
      <c r="P468" s="28">
        <v>97704</v>
      </c>
      <c r="Q468" s="28" t="s">
        <v>2280</v>
      </c>
      <c r="R468" s="28" t="s">
        <v>1135</v>
      </c>
    </row>
    <row r="469" spans="1:18">
      <c r="A469" s="31">
        <v>45973.15</v>
      </c>
      <c r="B469" s="28">
        <v>12</v>
      </c>
      <c r="C469" s="28" t="s">
        <v>1122</v>
      </c>
      <c r="D469" s="28" t="s">
        <v>2322</v>
      </c>
      <c r="E469" s="28" t="s">
        <v>1194</v>
      </c>
      <c r="F469" s="28" t="s">
        <v>1125</v>
      </c>
      <c r="G469" s="28">
        <v>-7.87</v>
      </c>
      <c r="H469" s="28">
        <v>-7.87</v>
      </c>
      <c r="I469" s="28">
        <v>0.5</v>
      </c>
      <c r="J469" s="28">
        <v>-7.87</v>
      </c>
      <c r="K469" s="28">
        <v>7.37</v>
      </c>
      <c r="L469" s="28" t="s">
        <v>45</v>
      </c>
      <c r="M469" s="28"/>
      <c r="N469" s="28"/>
      <c r="O469" s="28" t="s">
        <v>2323</v>
      </c>
      <c r="P469" s="28">
        <v>97752</v>
      </c>
      <c r="Q469" s="28" t="s">
        <v>2276</v>
      </c>
      <c r="R469" s="28" t="s">
        <v>1135</v>
      </c>
    </row>
    <row r="470" spans="1:18">
      <c r="A470" s="31">
        <v>45973.140277777777</v>
      </c>
      <c r="B470" s="28">
        <v>12</v>
      </c>
      <c r="C470" s="28" t="s">
        <v>1122</v>
      </c>
      <c r="D470" s="28" t="s">
        <v>2324</v>
      </c>
      <c r="E470" s="28" t="s">
        <v>1124</v>
      </c>
      <c r="F470" s="28" t="s">
        <v>1125</v>
      </c>
      <c r="G470" s="28">
        <v>3.99</v>
      </c>
      <c r="H470" s="28">
        <v>3.99</v>
      </c>
      <c r="I470" s="28">
        <v>0.12</v>
      </c>
      <c r="J470" s="28">
        <v>3.87</v>
      </c>
      <c r="K470" s="28">
        <v>0</v>
      </c>
      <c r="L470" s="28" t="s">
        <v>45</v>
      </c>
      <c r="M470" s="28"/>
      <c r="N470" s="28"/>
      <c r="O470" s="28" t="s">
        <v>2325</v>
      </c>
      <c r="P470" s="28">
        <v>98352</v>
      </c>
      <c r="Q470" s="28"/>
      <c r="R470" s="28" t="s">
        <v>1131</v>
      </c>
    </row>
    <row r="471" spans="1:18">
      <c r="A471" s="31">
        <v>45973.075694444444</v>
      </c>
      <c r="B471" s="28">
        <v>12</v>
      </c>
      <c r="C471" s="28" t="s">
        <v>1122</v>
      </c>
      <c r="D471" s="28" t="s">
        <v>2326</v>
      </c>
      <c r="E471" s="28" t="s">
        <v>1124</v>
      </c>
      <c r="F471" s="28" t="s">
        <v>1125</v>
      </c>
      <c r="G471" s="28">
        <v>3.99</v>
      </c>
      <c r="H471" s="28">
        <v>3.99</v>
      </c>
      <c r="I471" s="28">
        <v>0.12</v>
      </c>
      <c r="J471" s="28">
        <v>3.87</v>
      </c>
      <c r="K471" s="28">
        <v>0</v>
      </c>
      <c r="L471" s="28" t="s">
        <v>45</v>
      </c>
      <c r="M471" s="28"/>
      <c r="N471" s="28"/>
      <c r="O471" s="28" t="s">
        <v>2327</v>
      </c>
      <c r="P471" s="28">
        <v>98340</v>
      </c>
      <c r="Q471" s="28"/>
      <c r="R471" s="28" t="s">
        <v>1131</v>
      </c>
    </row>
    <row r="472" spans="1:18">
      <c r="A472" s="31">
        <v>46003.553472222222</v>
      </c>
      <c r="B472" s="28">
        <v>12</v>
      </c>
      <c r="C472" s="28" t="s">
        <v>1122</v>
      </c>
      <c r="D472" s="28" t="s">
        <v>2328</v>
      </c>
      <c r="E472" s="28" t="s">
        <v>1124</v>
      </c>
      <c r="F472" s="28" t="s">
        <v>1125</v>
      </c>
      <c r="G472" s="28">
        <v>29.99</v>
      </c>
      <c r="H472" s="28">
        <v>29.99</v>
      </c>
      <c r="I472" s="28">
        <v>0.87</v>
      </c>
      <c r="J472" s="28">
        <v>29.12</v>
      </c>
      <c r="K472" s="28">
        <v>0</v>
      </c>
      <c r="L472" s="28" t="s">
        <v>45</v>
      </c>
      <c r="M472" s="28"/>
      <c r="N472" s="28"/>
      <c r="O472" s="28" t="s">
        <v>2329</v>
      </c>
      <c r="P472" s="28">
        <v>98556</v>
      </c>
      <c r="Q472" s="28"/>
      <c r="R472" s="28" t="s">
        <v>1135</v>
      </c>
    </row>
    <row r="473" spans="1:18">
      <c r="A473" s="31">
        <v>46003.509027777778</v>
      </c>
      <c r="B473" s="28">
        <v>12</v>
      </c>
      <c r="C473" s="28" t="s">
        <v>1122</v>
      </c>
      <c r="D473" s="28" t="s">
        <v>2330</v>
      </c>
      <c r="E473" s="28" t="s">
        <v>1124</v>
      </c>
      <c r="F473" s="28" t="s">
        <v>1125</v>
      </c>
      <c r="G473" s="28">
        <v>4.49</v>
      </c>
      <c r="H473" s="28">
        <v>4.49</v>
      </c>
      <c r="I473" s="28">
        <v>0.13</v>
      </c>
      <c r="J473" s="28">
        <v>4.3600000000000003</v>
      </c>
      <c r="K473" s="28">
        <v>0</v>
      </c>
      <c r="L473" s="28" t="s">
        <v>45</v>
      </c>
      <c r="M473" s="28"/>
      <c r="N473" s="28"/>
      <c r="O473" s="28" t="s">
        <v>2331</v>
      </c>
      <c r="P473" s="28">
        <v>98544</v>
      </c>
      <c r="Q473" s="28"/>
      <c r="R473" s="28" t="s">
        <v>1139</v>
      </c>
    </row>
    <row r="474" spans="1:18">
      <c r="A474" s="31">
        <v>46003.461111111108</v>
      </c>
      <c r="B474" s="28">
        <v>12</v>
      </c>
      <c r="C474" s="28" t="s">
        <v>1122</v>
      </c>
      <c r="D474" s="28" t="s">
        <v>2332</v>
      </c>
      <c r="E474" s="28" t="s">
        <v>1124</v>
      </c>
      <c r="F474" s="28" t="s">
        <v>1125</v>
      </c>
      <c r="G474" s="28">
        <v>15.56</v>
      </c>
      <c r="H474" s="28">
        <v>15.56</v>
      </c>
      <c r="I474" s="28">
        <v>0.46</v>
      </c>
      <c r="J474" s="28">
        <v>15.1</v>
      </c>
      <c r="K474" s="28">
        <v>0</v>
      </c>
      <c r="L474" s="28" t="s">
        <v>45</v>
      </c>
      <c r="M474" s="28"/>
      <c r="N474" s="28"/>
      <c r="O474" s="28" t="s">
        <v>2333</v>
      </c>
      <c r="P474" s="28">
        <v>98532</v>
      </c>
      <c r="Q474" s="28"/>
      <c r="R474" s="28" t="s">
        <v>1139</v>
      </c>
    </row>
    <row r="475" spans="1:18">
      <c r="A475" s="28" t="s">
        <v>2334</v>
      </c>
      <c r="B475" s="28">
        <v>12</v>
      </c>
      <c r="C475" s="28" t="s">
        <v>1122</v>
      </c>
      <c r="D475" s="28" t="s">
        <v>2335</v>
      </c>
      <c r="E475" s="28" t="s">
        <v>1124</v>
      </c>
      <c r="F475" s="28" t="s">
        <v>1125</v>
      </c>
      <c r="G475" s="28">
        <v>5.19</v>
      </c>
      <c r="H475" s="28">
        <v>5.19</v>
      </c>
      <c r="I475" s="28">
        <v>0.15</v>
      </c>
      <c r="J475" s="28">
        <v>5.04</v>
      </c>
      <c r="K475" s="28">
        <v>0</v>
      </c>
      <c r="L475" s="28" t="s">
        <v>45</v>
      </c>
      <c r="M475" s="28"/>
      <c r="N475" s="28"/>
      <c r="O475" s="28" t="s">
        <v>2336</v>
      </c>
      <c r="P475" s="28">
        <v>98916</v>
      </c>
      <c r="Q475" s="28"/>
      <c r="R475" s="28" t="s">
        <v>1531</v>
      </c>
    </row>
    <row r="476" spans="1:18">
      <c r="A476" s="28" t="s">
        <v>2337</v>
      </c>
      <c r="B476" s="28">
        <v>12</v>
      </c>
      <c r="C476" s="28" t="s">
        <v>1122</v>
      </c>
      <c r="D476" s="28" t="s">
        <v>2338</v>
      </c>
      <c r="E476" s="28" t="s">
        <v>1124</v>
      </c>
      <c r="F476" s="28" t="s">
        <v>1125</v>
      </c>
      <c r="G476" s="28">
        <v>101.42</v>
      </c>
      <c r="H476" s="28">
        <v>101.42</v>
      </c>
      <c r="I476" s="28">
        <v>2.95</v>
      </c>
      <c r="J476" s="28">
        <v>98.47</v>
      </c>
      <c r="K476" s="28">
        <v>0</v>
      </c>
      <c r="L476" s="28" t="s">
        <v>45</v>
      </c>
      <c r="M476" s="28"/>
      <c r="N476" s="28"/>
      <c r="O476" s="28" t="s">
        <v>2339</v>
      </c>
      <c r="P476" s="28">
        <v>98868</v>
      </c>
      <c r="Q476" s="28"/>
      <c r="R476" s="28" t="s">
        <v>1135</v>
      </c>
    </row>
    <row r="477" spans="1:18">
      <c r="A477" s="28" t="s">
        <v>2340</v>
      </c>
      <c r="B477" s="28">
        <v>12</v>
      </c>
      <c r="C477" s="28" t="s">
        <v>1122</v>
      </c>
      <c r="D477" s="28" t="s">
        <v>2341</v>
      </c>
      <c r="E477" s="28" t="s">
        <v>1194</v>
      </c>
      <c r="F477" s="28" t="s">
        <v>1125</v>
      </c>
      <c r="G477" s="28">
        <v>-22.2</v>
      </c>
      <c r="H477" s="28">
        <v>-22.2</v>
      </c>
      <c r="I477" s="28">
        <v>0.5</v>
      </c>
      <c r="J477" s="28">
        <v>-22.2</v>
      </c>
      <c r="K477" s="28">
        <v>21.7</v>
      </c>
      <c r="L477" s="28" t="s">
        <v>45</v>
      </c>
      <c r="M477" s="28"/>
      <c r="N477" s="28"/>
      <c r="O477" s="28" t="s">
        <v>2342</v>
      </c>
      <c r="P477" s="28">
        <v>95196</v>
      </c>
      <c r="Q477" s="28" t="s">
        <v>2129</v>
      </c>
      <c r="R477" s="28" t="s">
        <v>1149</v>
      </c>
    </row>
    <row r="478" spans="1:18">
      <c r="A478" s="28" t="s">
        <v>2343</v>
      </c>
      <c r="B478" s="28">
        <v>12</v>
      </c>
      <c r="C478" s="28" t="s">
        <v>1122</v>
      </c>
      <c r="D478" s="28" t="s">
        <v>2344</v>
      </c>
      <c r="E478" s="28" t="s">
        <v>1124</v>
      </c>
      <c r="F478" s="28" t="s">
        <v>1125</v>
      </c>
      <c r="G478" s="28">
        <v>27.36</v>
      </c>
      <c r="H478" s="28">
        <v>27.36</v>
      </c>
      <c r="I478" s="28">
        <v>0.8</v>
      </c>
      <c r="J478" s="28">
        <v>26.56</v>
      </c>
      <c r="K478" s="28">
        <v>0</v>
      </c>
      <c r="L478" s="28" t="s">
        <v>45</v>
      </c>
      <c r="M478" s="28"/>
      <c r="N478" s="28"/>
      <c r="O478" s="28" t="s">
        <v>2345</v>
      </c>
      <c r="P478" s="28">
        <v>99180</v>
      </c>
      <c r="Q478" s="28"/>
      <c r="R478" s="28" t="s">
        <v>1413</v>
      </c>
    </row>
    <row r="479" spans="1:18">
      <c r="A479" s="28" t="s">
        <v>2346</v>
      </c>
      <c r="B479" s="28">
        <v>12</v>
      </c>
      <c r="C479" s="28" t="s">
        <v>1122</v>
      </c>
      <c r="D479" s="28" t="s">
        <v>2347</v>
      </c>
      <c r="E479" s="28" t="s">
        <v>1124</v>
      </c>
      <c r="F479" s="28" t="s">
        <v>1125</v>
      </c>
      <c r="G479" s="28">
        <v>23.99</v>
      </c>
      <c r="H479" s="28">
        <v>23.99</v>
      </c>
      <c r="I479" s="28">
        <v>0.7</v>
      </c>
      <c r="J479" s="28">
        <v>23.29</v>
      </c>
      <c r="K479" s="28">
        <v>0</v>
      </c>
      <c r="L479" s="28" t="s">
        <v>45</v>
      </c>
      <c r="M479" s="28"/>
      <c r="N479" s="28"/>
      <c r="O479" s="28" t="s">
        <v>2348</v>
      </c>
      <c r="P479" s="28">
        <v>99744</v>
      </c>
      <c r="Q479" s="28"/>
      <c r="R479" s="28" t="s">
        <v>1135</v>
      </c>
    </row>
    <row r="480" spans="1:18">
      <c r="A480" s="28" t="s">
        <v>2349</v>
      </c>
      <c r="B480" s="28">
        <v>12</v>
      </c>
      <c r="C480" s="28" t="s">
        <v>1122</v>
      </c>
      <c r="D480" s="28" t="s">
        <v>2350</v>
      </c>
      <c r="E480" s="28" t="s">
        <v>1124</v>
      </c>
      <c r="F480" s="28" t="s">
        <v>1125</v>
      </c>
      <c r="G480" s="28">
        <v>4.54</v>
      </c>
      <c r="H480" s="28">
        <v>4.54</v>
      </c>
      <c r="I480" s="28">
        <v>0.14000000000000001</v>
      </c>
      <c r="J480" s="28">
        <v>4.4000000000000004</v>
      </c>
      <c r="K480" s="28">
        <v>0</v>
      </c>
      <c r="L480" s="28" t="s">
        <v>45</v>
      </c>
      <c r="M480" s="28"/>
      <c r="N480" s="28"/>
      <c r="O480" s="28" t="s">
        <v>2351</v>
      </c>
      <c r="P480" s="28">
        <v>97452</v>
      </c>
      <c r="Q480" s="28"/>
      <c r="R480" s="28" t="s">
        <v>1531</v>
      </c>
    </row>
    <row r="481" spans="1:18">
      <c r="A481" s="28" t="s">
        <v>2352</v>
      </c>
      <c r="B481" s="28">
        <v>12</v>
      </c>
      <c r="C481" s="28" t="s">
        <v>1122</v>
      </c>
      <c r="D481" s="28" t="s">
        <v>2353</v>
      </c>
      <c r="E481" s="28" t="s">
        <v>1124</v>
      </c>
      <c r="F481" s="28" t="s">
        <v>1125</v>
      </c>
      <c r="G481" s="28">
        <v>3.99</v>
      </c>
      <c r="H481" s="28">
        <v>3.99</v>
      </c>
      <c r="I481" s="28">
        <v>0.12</v>
      </c>
      <c r="J481" s="28">
        <v>3.87</v>
      </c>
      <c r="K481" s="28">
        <v>0</v>
      </c>
      <c r="L481" s="28" t="s">
        <v>45</v>
      </c>
      <c r="M481" s="28"/>
      <c r="N481" s="28"/>
      <c r="O481" s="28" t="s">
        <v>2354</v>
      </c>
      <c r="P481" s="28">
        <v>100644</v>
      </c>
      <c r="Q481" s="28"/>
      <c r="R481" s="28" t="s">
        <v>1127</v>
      </c>
    </row>
    <row r="482" spans="1:18">
      <c r="A482" s="28" t="s">
        <v>2355</v>
      </c>
      <c r="B482" s="28">
        <v>12</v>
      </c>
      <c r="C482" s="28" t="s">
        <v>1122</v>
      </c>
      <c r="D482" s="28" t="s">
        <v>2356</v>
      </c>
      <c r="E482" s="28" t="s">
        <v>1124</v>
      </c>
      <c r="F482" s="28" t="s">
        <v>1125</v>
      </c>
      <c r="G482" s="28">
        <v>26.09</v>
      </c>
      <c r="H482" s="28">
        <v>26.09</v>
      </c>
      <c r="I482" s="28">
        <v>0.76</v>
      </c>
      <c r="J482" s="28">
        <v>25.33</v>
      </c>
      <c r="K482" s="28">
        <v>0</v>
      </c>
      <c r="L482" s="28" t="s">
        <v>45</v>
      </c>
      <c r="M482" s="28"/>
      <c r="N482" s="28"/>
      <c r="O482" s="28" t="s">
        <v>2357</v>
      </c>
      <c r="P482" s="28">
        <v>97596</v>
      </c>
      <c r="Q482" s="28"/>
      <c r="R482" s="28" t="s">
        <v>1514</v>
      </c>
    </row>
    <row r="483" spans="1:18">
      <c r="A483" s="28" t="s">
        <v>2358</v>
      </c>
      <c r="B483" s="28">
        <v>12</v>
      </c>
      <c r="C483" s="28" t="s">
        <v>1122</v>
      </c>
      <c r="D483" s="28" t="s">
        <v>2359</v>
      </c>
      <c r="E483" s="28" t="s">
        <v>1124</v>
      </c>
      <c r="F483" s="28" t="s">
        <v>1125</v>
      </c>
      <c r="G483" s="28">
        <v>57.59</v>
      </c>
      <c r="H483" s="28">
        <v>57.59</v>
      </c>
      <c r="I483" s="28">
        <v>1.67</v>
      </c>
      <c r="J483" s="28">
        <v>55.92</v>
      </c>
      <c r="K483" s="28">
        <v>0</v>
      </c>
      <c r="L483" s="28" t="s">
        <v>45</v>
      </c>
      <c r="M483" s="28"/>
      <c r="N483" s="28"/>
      <c r="O483" s="28" t="s">
        <v>2360</v>
      </c>
      <c r="P483" s="28">
        <v>100896</v>
      </c>
      <c r="Q483" s="28"/>
      <c r="R483" s="28" t="s">
        <v>1131</v>
      </c>
    </row>
    <row r="484" spans="1:18">
      <c r="A484" s="28" t="s">
        <v>2361</v>
      </c>
      <c r="B484" s="28">
        <v>12</v>
      </c>
      <c r="C484" s="28" t="s">
        <v>1122</v>
      </c>
      <c r="D484" s="28" t="s">
        <v>2362</v>
      </c>
      <c r="E484" s="28" t="s">
        <v>1124</v>
      </c>
      <c r="F484" s="28" t="s">
        <v>1125</v>
      </c>
      <c r="G484" s="28">
        <v>12.5</v>
      </c>
      <c r="H484" s="28">
        <v>12.5</v>
      </c>
      <c r="I484" s="28">
        <v>0.37</v>
      </c>
      <c r="J484" s="28">
        <v>12.13</v>
      </c>
      <c r="K484" s="28">
        <v>0</v>
      </c>
      <c r="L484" s="28" t="s">
        <v>45</v>
      </c>
      <c r="M484" s="28"/>
      <c r="N484" s="28"/>
      <c r="O484" s="28" t="s">
        <v>2363</v>
      </c>
      <c r="P484" s="28">
        <v>101112</v>
      </c>
      <c r="Q484" s="28"/>
      <c r="R484" s="28" t="s">
        <v>1131</v>
      </c>
    </row>
    <row r="485" spans="1:18">
      <c r="A485" s="28" t="s">
        <v>2364</v>
      </c>
      <c r="B485" s="28">
        <v>12</v>
      </c>
      <c r="C485" s="28" t="s">
        <v>1122</v>
      </c>
      <c r="D485" s="28" t="s">
        <v>2365</v>
      </c>
      <c r="E485" s="28" t="s">
        <v>1124</v>
      </c>
      <c r="F485" s="28" t="s">
        <v>1125</v>
      </c>
      <c r="G485" s="28">
        <v>12.5</v>
      </c>
      <c r="H485" s="28">
        <v>12.5</v>
      </c>
      <c r="I485" s="28">
        <v>0.37</v>
      </c>
      <c r="J485" s="28">
        <v>12.13</v>
      </c>
      <c r="K485" s="28">
        <v>0</v>
      </c>
      <c r="L485" s="28" t="s">
        <v>45</v>
      </c>
      <c r="M485" s="28"/>
      <c r="N485" s="28"/>
      <c r="O485" s="28" t="s">
        <v>2366</v>
      </c>
      <c r="P485" s="28">
        <v>101100</v>
      </c>
      <c r="Q485" s="28"/>
      <c r="R485" s="28" t="s">
        <v>1149</v>
      </c>
    </row>
    <row r="486" spans="1:18">
      <c r="A486" s="28" t="s">
        <v>2367</v>
      </c>
      <c r="B486" s="28">
        <v>12</v>
      </c>
      <c r="C486" s="28" t="s">
        <v>1122</v>
      </c>
      <c r="D486" s="28" t="s">
        <v>2368</v>
      </c>
      <c r="E486" s="28" t="s">
        <v>1124</v>
      </c>
      <c r="F486" s="28" t="s">
        <v>1125</v>
      </c>
      <c r="G486" s="28">
        <v>16.989999999999998</v>
      </c>
      <c r="H486" s="28">
        <v>16.989999999999998</v>
      </c>
      <c r="I486" s="28">
        <v>0.5</v>
      </c>
      <c r="J486" s="28">
        <v>16.489999999999998</v>
      </c>
      <c r="K486" s="28">
        <v>0</v>
      </c>
      <c r="L486" s="28" t="s">
        <v>45</v>
      </c>
      <c r="M486" s="28"/>
      <c r="N486" s="28"/>
      <c r="O486" s="28" t="s">
        <v>2369</v>
      </c>
      <c r="P486" s="28">
        <v>98844</v>
      </c>
      <c r="Q486" s="28"/>
      <c r="R486" s="28" t="s">
        <v>1135</v>
      </c>
    </row>
    <row r="487" spans="1:18">
      <c r="A487" s="28" t="s">
        <v>2370</v>
      </c>
      <c r="B487" s="28">
        <v>12</v>
      </c>
      <c r="C487" s="28" t="s">
        <v>1122</v>
      </c>
      <c r="D487" s="28" t="s">
        <v>2371</v>
      </c>
      <c r="E487" s="28" t="s">
        <v>1124</v>
      </c>
      <c r="F487" s="28" t="s">
        <v>1125</v>
      </c>
      <c r="G487" s="28">
        <v>4.49</v>
      </c>
      <c r="H487" s="28">
        <v>4.49</v>
      </c>
      <c r="I487" s="28">
        <v>0.13</v>
      </c>
      <c r="J487" s="28">
        <v>4.3600000000000003</v>
      </c>
      <c r="K487" s="28">
        <v>0</v>
      </c>
      <c r="L487" s="28" t="s">
        <v>45</v>
      </c>
      <c r="M487" s="28"/>
      <c r="N487" s="28"/>
      <c r="O487" s="28" t="s">
        <v>2372</v>
      </c>
      <c r="P487" s="28">
        <v>101340</v>
      </c>
      <c r="Q487" s="28"/>
      <c r="R487" s="28" t="s">
        <v>1531</v>
      </c>
    </row>
    <row r="488" spans="1:18">
      <c r="A488" s="28" t="s">
        <v>2373</v>
      </c>
      <c r="B488" s="28">
        <v>12</v>
      </c>
      <c r="C488" s="28" t="s">
        <v>1122</v>
      </c>
      <c r="D488" s="28" t="s">
        <v>2374</v>
      </c>
      <c r="E488" s="28" t="s">
        <v>1124</v>
      </c>
      <c r="F488" s="28" t="s">
        <v>1125</v>
      </c>
      <c r="G488" s="28">
        <v>3.99</v>
      </c>
      <c r="H488" s="28">
        <v>3.99</v>
      </c>
      <c r="I488" s="28">
        <v>0.12</v>
      </c>
      <c r="J488" s="28">
        <v>3.87</v>
      </c>
      <c r="K488" s="28">
        <v>0</v>
      </c>
      <c r="L488" s="28" t="s">
        <v>45</v>
      </c>
      <c r="M488" s="28"/>
      <c r="N488" s="28"/>
      <c r="O488" s="28" t="s">
        <v>2375</v>
      </c>
      <c r="P488" s="28">
        <v>102036</v>
      </c>
      <c r="Q488" s="28"/>
      <c r="R488" s="28" t="s">
        <v>1139</v>
      </c>
    </row>
    <row r="489" spans="1:18">
      <c r="A489" s="28" t="s">
        <v>2376</v>
      </c>
      <c r="B489" s="28">
        <v>12</v>
      </c>
      <c r="C489" s="28" t="s">
        <v>1122</v>
      </c>
      <c r="D489" s="28" t="s">
        <v>2377</v>
      </c>
      <c r="E489" s="28" t="s">
        <v>1124</v>
      </c>
      <c r="F489" s="28" t="s">
        <v>1125</v>
      </c>
      <c r="G489" s="28">
        <v>69.52</v>
      </c>
      <c r="H489" s="28">
        <v>69.52</v>
      </c>
      <c r="I489" s="28">
        <v>2.02</v>
      </c>
      <c r="J489" s="28">
        <v>67.5</v>
      </c>
      <c r="K489" s="28">
        <v>0</v>
      </c>
      <c r="L489" s="28" t="s">
        <v>45</v>
      </c>
      <c r="M489" s="28"/>
      <c r="N489" s="28"/>
      <c r="O489" s="28" t="s">
        <v>2378</v>
      </c>
      <c r="P489" s="28">
        <v>100428</v>
      </c>
      <c r="Q489" s="28"/>
      <c r="R489" s="28" t="s">
        <v>1131</v>
      </c>
    </row>
    <row r="490" spans="1:18">
      <c r="A490" s="28" t="s">
        <v>2379</v>
      </c>
      <c r="B490" s="28">
        <v>12</v>
      </c>
      <c r="C490" s="28" t="s">
        <v>1122</v>
      </c>
      <c r="D490" s="28" t="s">
        <v>2380</v>
      </c>
      <c r="E490" s="28" t="s">
        <v>1124</v>
      </c>
      <c r="F490" s="28" t="s">
        <v>1125</v>
      </c>
      <c r="G490" s="28">
        <v>9.99</v>
      </c>
      <c r="H490" s="28">
        <v>9.99</v>
      </c>
      <c r="I490" s="28">
        <v>0.28999999999999998</v>
      </c>
      <c r="J490" s="28">
        <v>9.6999999999999993</v>
      </c>
      <c r="K490" s="28">
        <v>0</v>
      </c>
      <c r="L490" s="28" t="s">
        <v>45</v>
      </c>
      <c r="M490" s="28"/>
      <c r="N490" s="28"/>
      <c r="O490" s="28" t="s">
        <v>2381</v>
      </c>
      <c r="P490" s="28">
        <v>99624</v>
      </c>
      <c r="Q490" s="28"/>
      <c r="R490" s="28" t="s">
        <v>1308</v>
      </c>
    </row>
    <row r="491" spans="1:18">
      <c r="A491" s="28" t="s">
        <v>2382</v>
      </c>
      <c r="B491" s="28">
        <v>12</v>
      </c>
      <c r="C491" s="28" t="s">
        <v>1122</v>
      </c>
      <c r="D491" s="28" t="s">
        <v>2383</v>
      </c>
      <c r="E491" s="28" t="s">
        <v>1124</v>
      </c>
      <c r="F491" s="28" t="s">
        <v>1125</v>
      </c>
      <c r="G491" s="28">
        <v>10</v>
      </c>
      <c r="H491" s="28">
        <v>10</v>
      </c>
      <c r="I491" s="28">
        <v>0.28999999999999998</v>
      </c>
      <c r="J491" s="28">
        <v>9.7100000000000009</v>
      </c>
      <c r="K491" s="28">
        <v>0</v>
      </c>
      <c r="L491" s="28" t="s">
        <v>45</v>
      </c>
      <c r="M491" s="28"/>
      <c r="N491" s="28"/>
      <c r="O491" s="28" t="s">
        <v>2384</v>
      </c>
      <c r="P491" s="28">
        <v>102516</v>
      </c>
      <c r="Q491" s="28"/>
      <c r="R491" s="28" t="s">
        <v>1135</v>
      </c>
    </row>
    <row r="492" spans="1:18">
      <c r="A492" s="28" t="s">
        <v>2385</v>
      </c>
      <c r="B492" s="28">
        <v>12</v>
      </c>
      <c r="C492" s="28" t="s">
        <v>1122</v>
      </c>
      <c r="D492" s="28" t="s">
        <v>2386</v>
      </c>
      <c r="E492" s="28" t="s">
        <v>1124</v>
      </c>
      <c r="F492" s="28" t="s">
        <v>1125</v>
      </c>
      <c r="G492" s="28">
        <v>11.99</v>
      </c>
      <c r="H492" s="28">
        <v>11.99</v>
      </c>
      <c r="I492" s="28">
        <v>0.35</v>
      </c>
      <c r="J492" s="28">
        <v>11.64</v>
      </c>
      <c r="K492" s="28">
        <v>0</v>
      </c>
      <c r="L492" s="28" t="s">
        <v>45</v>
      </c>
      <c r="M492" s="28"/>
      <c r="N492" s="28"/>
      <c r="O492" s="28" t="s">
        <v>2387</v>
      </c>
      <c r="P492" s="28">
        <v>99156</v>
      </c>
      <c r="Q492" s="28"/>
      <c r="R492" s="28" t="s">
        <v>1139</v>
      </c>
    </row>
    <row r="493" spans="1:18">
      <c r="A493" s="28" t="s">
        <v>2388</v>
      </c>
      <c r="B493" s="28">
        <v>12</v>
      </c>
      <c r="C493" s="28" t="s">
        <v>1122</v>
      </c>
      <c r="D493" s="28" t="s">
        <v>2389</v>
      </c>
      <c r="E493" s="28" t="s">
        <v>1124</v>
      </c>
      <c r="F493" s="28" t="s">
        <v>1125</v>
      </c>
      <c r="G493" s="28">
        <v>6.79</v>
      </c>
      <c r="H493" s="28">
        <v>6.79</v>
      </c>
      <c r="I493" s="28">
        <v>0.2</v>
      </c>
      <c r="J493" s="28">
        <v>6.59</v>
      </c>
      <c r="K493" s="28">
        <v>0</v>
      </c>
      <c r="L493" s="28" t="s">
        <v>45</v>
      </c>
      <c r="M493" s="28"/>
      <c r="N493" s="28"/>
      <c r="O493" s="28" t="s">
        <v>2390</v>
      </c>
      <c r="P493" s="28">
        <v>102948</v>
      </c>
      <c r="Q493" s="28"/>
      <c r="R493" s="28" t="s">
        <v>1131</v>
      </c>
    </row>
    <row r="494" spans="1:18">
      <c r="A494" s="28" t="s">
        <v>2391</v>
      </c>
      <c r="B494" s="28">
        <v>12</v>
      </c>
      <c r="C494" s="28" t="s">
        <v>1122</v>
      </c>
      <c r="D494" s="28" t="s">
        <v>2392</v>
      </c>
      <c r="E494" s="28" t="s">
        <v>1124</v>
      </c>
      <c r="F494" s="28" t="s">
        <v>1125</v>
      </c>
      <c r="G494" s="28">
        <v>5.24</v>
      </c>
      <c r="H494" s="28">
        <v>5.24</v>
      </c>
      <c r="I494" s="28">
        <v>0.16</v>
      </c>
      <c r="J494" s="28">
        <v>5.08</v>
      </c>
      <c r="K494" s="28">
        <v>0</v>
      </c>
      <c r="L494" s="28" t="s">
        <v>45</v>
      </c>
      <c r="M494" s="28"/>
      <c r="N494" s="28"/>
      <c r="O494" s="28" t="s">
        <v>2393</v>
      </c>
      <c r="P494" s="28">
        <v>102480</v>
      </c>
      <c r="Q494" s="28"/>
      <c r="R494" s="28" t="s">
        <v>1135</v>
      </c>
    </row>
    <row r="495" spans="1:18">
      <c r="B495" s="28"/>
      <c r="C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</row>
    <row r="496" spans="1:18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</row>
    <row r="497" spans="1:18">
      <c r="A497" s="364"/>
      <c r="B497" s="352"/>
      <c r="C497" s="352"/>
      <c r="D497" s="352"/>
      <c r="E497" s="352"/>
      <c r="F497" s="352"/>
      <c r="G497" s="352"/>
      <c r="H497" s="352"/>
      <c r="I497" s="353"/>
      <c r="J497" s="178">
        <f>SUM(J2:J496)</f>
        <v>869.5</v>
      </c>
      <c r="K497" s="178"/>
      <c r="L497" s="178"/>
      <c r="M497" s="178"/>
      <c r="N497" s="178"/>
      <c r="O497" s="178"/>
      <c r="P497" s="178"/>
      <c r="Q497" s="178"/>
      <c r="R497" s="178"/>
    </row>
  </sheetData>
  <mergeCells count="1">
    <mergeCell ref="A497:I497"/>
  </mergeCells>
  <conditionalFormatting sqref="G2:G495">
    <cfRule type="cellIs" dxfId="32" priority="1" operator="greaterThan">
      <formula>500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9CB9C"/>
    <outlinePr summaryBelow="0" summaryRight="0"/>
  </sheetPr>
  <dimension ref="A1:K100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.42578125" customWidth="1"/>
    <col min="2" max="2" width="5.42578125" customWidth="1"/>
    <col min="3" max="3" width="19.7109375" customWidth="1"/>
    <col min="4" max="4" width="5.42578125" customWidth="1"/>
    <col min="5" max="5" width="8.42578125" customWidth="1"/>
    <col min="6" max="6" width="9.42578125" customWidth="1"/>
    <col min="7" max="7" width="8.42578125" customWidth="1"/>
    <col min="8" max="8" width="9.42578125" customWidth="1"/>
    <col min="9" max="10" width="6" customWidth="1"/>
    <col min="11" max="11" width="10" customWidth="1"/>
  </cols>
  <sheetData>
    <row r="1" spans="1:11" ht="21.75" customHeight="1">
      <c r="A1" s="179" t="s">
        <v>0</v>
      </c>
      <c r="B1" s="179" t="s">
        <v>857</v>
      </c>
      <c r="C1" s="179" t="s">
        <v>2394</v>
      </c>
      <c r="D1" s="179" t="s">
        <v>3</v>
      </c>
      <c r="E1" s="179" t="s">
        <v>4</v>
      </c>
      <c r="F1" s="179" t="s">
        <v>2395</v>
      </c>
      <c r="G1" s="179" t="s">
        <v>5</v>
      </c>
      <c r="H1" s="179" t="s">
        <v>2396</v>
      </c>
      <c r="I1" s="179" t="s">
        <v>2397</v>
      </c>
      <c r="J1" s="179" t="s">
        <v>2398</v>
      </c>
      <c r="K1" s="180" t="s">
        <v>7</v>
      </c>
    </row>
    <row r="2" spans="1:11" ht="12.75">
      <c r="A2" s="181">
        <v>1</v>
      </c>
      <c r="B2" s="181" t="s">
        <v>12</v>
      </c>
      <c r="C2" s="182" t="s">
        <v>2399</v>
      </c>
      <c r="D2" s="183" t="s">
        <v>2400</v>
      </c>
      <c r="E2" s="184">
        <v>364.68</v>
      </c>
      <c r="F2" s="185">
        <v>45468</v>
      </c>
      <c r="G2" s="184">
        <v>364.68</v>
      </c>
      <c r="H2" s="186">
        <v>45468</v>
      </c>
      <c r="I2" s="187" t="s">
        <v>2401</v>
      </c>
      <c r="J2" s="183" t="s">
        <v>2402</v>
      </c>
      <c r="K2" s="183"/>
    </row>
    <row r="3" spans="1:11" ht="12.75">
      <c r="A3" s="181">
        <v>2</v>
      </c>
      <c r="B3" s="181" t="s">
        <v>12</v>
      </c>
      <c r="C3" s="188" t="s">
        <v>2403</v>
      </c>
      <c r="D3" s="183" t="s">
        <v>2400</v>
      </c>
      <c r="E3" s="189">
        <v>414.58</v>
      </c>
      <c r="F3" s="190">
        <v>45474</v>
      </c>
      <c r="G3" s="189">
        <v>414.58</v>
      </c>
      <c r="H3" s="186">
        <v>45474</v>
      </c>
      <c r="I3" s="187" t="s">
        <v>2401</v>
      </c>
      <c r="J3" s="183" t="s">
        <v>2402</v>
      </c>
      <c r="K3" s="183"/>
    </row>
    <row r="4" spans="1:11" ht="12.75">
      <c r="A4" s="181">
        <v>3</v>
      </c>
      <c r="B4" s="181" t="s">
        <v>12</v>
      </c>
      <c r="C4" s="191" t="s">
        <v>2404</v>
      </c>
      <c r="D4" s="183" t="s">
        <v>2400</v>
      </c>
      <c r="E4" s="192">
        <v>346.28</v>
      </c>
      <c r="F4" s="193">
        <v>45504</v>
      </c>
      <c r="G4" s="192">
        <v>346.28</v>
      </c>
      <c r="H4" s="186">
        <v>45504</v>
      </c>
      <c r="I4" s="187" t="s">
        <v>2401</v>
      </c>
      <c r="J4" s="183" t="s">
        <v>2402</v>
      </c>
      <c r="K4" s="183"/>
    </row>
    <row r="5" spans="1:11" ht="12.75">
      <c r="A5" s="181">
        <v>4</v>
      </c>
      <c r="B5" s="181" t="s">
        <v>12</v>
      </c>
      <c r="C5" s="188" t="s">
        <v>2405</v>
      </c>
      <c r="D5" s="183" t="s">
        <v>2400</v>
      </c>
      <c r="E5" s="189">
        <v>441.28</v>
      </c>
      <c r="F5" s="190">
        <v>45535</v>
      </c>
      <c r="G5" s="189">
        <v>441.28</v>
      </c>
      <c r="H5" s="186">
        <v>45535</v>
      </c>
      <c r="I5" s="187" t="s">
        <v>2401</v>
      </c>
      <c r="J5" s="183" t="s">
        <v>2402</v>
      </c>
      <c r="K5" s="183"/>
    </row>
    <row r="6" spans="1:11" ht="12.75">
      <c r="A6" s="181">
        <v>5</v>
      </c>
      <c r="B6" s="181" t="s">
        <v>12</v>
      </c>
      <c r="C6" s="191" t="s">
        <v>2406</v>
      </c>
      <c r="D6" s="183" t="s">
        <v>2400</v>
      </c>
      <c r="E6" s="192">
        <v>364.68</v>
      </c>
      <c r="F6" s="193">
        <v>45536</v>
      </c>
      <c r="G6" s="192">
        <v>364.68</v>
      </c>
      <c r="H6" s="186">
        <v>45536</v>
      </c>
      <c r="I6" s="187" t="s">
        <v>2401</v>
      </c>
      <c r="J6" s="183" t="s">
        <v>2402</v>
      </c>
      <c r="K6" s="183"/>
    </row>
    <row r="7" spans="1:11" ht="12.75">
      <c r="A7" s="181">
        <v>6</v>
      </c>
      <c r="B7" s="181" t="s">
        <v>12</v>
      </c>
      <c r="C7" s="188" t="s">
        <v>2407</v>
      </c>
      <c r="D7" s="183" t="s">
        <v>2400</v>
      </c>
      <c r="E7" s="189">
        <v>404.58</v>
      </c>
      <c r="F7" s="190">
        <v>45596</v>
      </c>
      <c r="G7" s="189">
        <v>404.58</v>
      </c>
      <c r="H7" s="186">
        <v>45596</v>
      </c>
      <c r="I7" s="187" t="s">
        <v>2401</v>
      </c>
      <c r="J7" s="183" t="s">
        <v>2402</v>
      </c>
      <c r="K7" s="183"/>
    </row>
    <row r="8" spans="1:11" ht="12.75">
      <c r="A8" s="181">
        <v>7</v>
      </c>
      <c r="B8" s="181" t="s">
        <v>12</v>
      </c>
      <c r="C8" s="191" t="s">
        <v>2408</v>
      </c>
      <c r="D8" s="183" t="s">
        <v>2400</v>
      </c>
      <c r="E8" s="192"/>
      <c r="F8" s="194"/>
      <c r="G8" s="192">
        <v>402.68</v>
      </c>
      <c r="H8" s="186">
        <v>45626</v>
      </c>
      <c r="I8" s="187"/>
      <c r="J8" s="183"/>
      <c r="K8" s="183"/>
    </row>
    <row r="9" spans="1:11" ht="12.75">
      <c r="A9" s="181">
        <v>8</v>
      </c>
      <c r="B9" s="181" t="s">
        <v>12</v>
      </c>
      <c r="C9" s="188" t="s">
        <v>2409</v>
      </c>
      <c r="D9" s="183" t="s">
        <v>2400</v>
      </c>
      <c r="E9" s="189"/>
      <c r="F9" s="195"/>
      <c r="G9" s="189">
        <v>409.14</v>
      </c>
      <c r="H9" s="186">
        <v>45657</v>
      </c>
      <c r="I9" s="187"/>
      <c r="J9" s="183"/>
      <c r="K9" s="183"/>
    </row>
    <row r="10" spans="1:11" ht="12.75">
      <c r="A10" s="181">
        <v>9</v>
      </c>
      <c r="B10" s="181" t="s">
        <v>12</v>
      </c>
      <c r="C10" s="188" t="s">
        <v>2410</v>
      </c>
      <c r="D10" s="183" t="s">
        <v>2400</v>
      </c>
      <c r="E10" s="192"/>
      <c r="F10" s="194"/>
      <c r="G10" s="192">
        <v>411.79999999999995</v>
      </c>
      <c r="H10" s="186">
        <v>45682</v>
      </c>
      <c r="I10" s="187"/>
      <c r="J10" s="183"/>
      <c r="K10" s="183"/>
    </row>
    <row r="11" spans="1:11" ht="12.75">
      <c r="A11" s="181">
        <v>10</v>
      </c>
      <c r="B11" s="181" t="s">
        <v>12</v>
      </c>
      <c r="C11" s="188" t="s">
        <v>2411</v>
      </c>
      <c r="D11" s="183" t="s">
        <v>2400</v>
      </c>
      <c r="E11" s="192"/>
      <c r="F11" s="194"/>
      <c r="G11" s="192">
        <v>409.9</v>
      </c>
      <c r="H11" s="186">
        <v>45716</v>
      </c>
      <c r="I11" s="187"/>
      <c r="J11" s="196"/>
      <c r="K11" s="196"/>
    </row>
    <row r="12" spans="1:11" ht="12.75">
      <c r="A12" s="181">
        <v>11</v>
      </c>
      <c r="B12" s="181" t="s">
        <v>12</v>
      </c>
      <c r="C12" s="188" t="s">
        <v>2412</v>
      </c>
      <c r="D12" s="183" t="s">
        <v>2400</v>
      </c>
      <c r="E12" s="197"/>
      <c r="F12" s="198"/>
      <c r="G12" s="192">
        <v>401.4</v>
      </c>
      <c r="H12" s="186">
        <v>45747</v>
      </c>
      <c r="I12" s="187"/>
      <c r="J12" s="199"/>
      <c r="K12" s="199"/>
    </row>
    <row r="13" spans="1:11" ht="12.75">
      <c r="A13" s="181">
        <v>12</v>
      </c>
      <c r="B13" s="181" t="s">
        <v>12</v>
      </c>
      <c r="C13" s="188" t="s">
        <v>2413</v>
      </c>
      <c r="D13" s="183" t="s">
        <v>2400</v>
      </c>
      <c r="E13" s="197"/>
      <c r="F13" s="198"/>
      <c r="G13" s="192">
        <v>400.12</v>
      </c>
      <c r="H13" s="186">
        <v>45777</v>
      </c>
      <c r="I13" s="28"/>
      <c r="J13" s="28"/>
      <c r="K13" s="28"/>
    </row>
    <row r="14" spans="1:11" ht="12.75">
      <c r="A14" s="181">
        <v>13</v>
      </c>
      <c r="B14" s="181" t="s">
        <v>12</v>
      </c>
      <c r="C14" s="188" t="s">
        <v>2414</v>
      </c>
      <c r="D14" s="183" t="s">
        <v>2400</v>
      </c>
      <c r="E14" s="28"/>
      <c r="F14" s="27"/>
      <c r="G14" s="192" t="s">
        <v>2415</v>
      </c>
      <c r="H14" s="186">
        <v>45811</v>
      </c>
      <c r="I14" s="28"/>
      <c r="J14" s="28"/>
      <c r="K14" s="28"/>
    </row>
    <row r="15" spans="1:11" ht="12.75">
      <c r="A15" s="181">
        <v>14</v>
      </c>
      <c r="B15" s="181" t="s">
        <v>12</v>
      </c>
      <c r="C15" s="188" t="s">
        <v>2416</v>
      </c>
      <c r="D15" s="183" t="s">
        <v>2400</v>
      </c>
      <c r="E15" s="28"/>
      <c r="F15" s="27"/>
      <c r="G15" s="200">
        <v>374.69599999999997</v>
      </c>
      <c r="H15" s="186">
        <v>45843</v>
      </c>
      <c r="I15" s="28"/>
      <c r="J15" s="28"/>
      <c r="K15" s="28"/>
    </row>
    <row r="16" spans="1:11" ht="12.75">
      <c r="A16" s="181">
        <v>15</v>
      </c>
      <c r="B16" s="181" t="s">
        <v>12</v>
      </c>
      <c r="C16" s="188" t="s">
        <v>2417</v>
      </c>
      <c r="D16" s="183" t="s">
        <v>2400</v>
      </c>
      <c r="E16" s="28"/>
      <c r="F16" s="27"/>
      <c r="G16" s="200">
        <v>374.76</v>
      </c>
      <c r="H16" s="186">
        <v>45873</v>
      </c>
      <c r="I16" s="28"/>
      <c r="J16" s="28"/>
      <c r="K16" s="28"/>
    </row>
    <row r="17" spans="1:11" ht="12.75">
      <c r="A17" s="181">
        <v>16</v>
      </c>
      <c r="B17" s="181" t="s">
        <v>12</v>
      </c>
      <c r="C17" s="188" t="s">
        <v>2418</v>
      </c>
      <c r="D17" s="183" t="s">
        <v>2400</v>
      </c>
      <c r="E17" s="28"/>
      <c r="F17" s="27"/>
      <c r="G17" s="200">
        <v>374.75799999999992</v>
      </c>
      <c r="H17" s="186">
        <v>45907</v>
      </c>
      <c r="I17" s="28"/>
      <c r="J17" s="28"/>
      <c r="K17" s="28"/>
    </row>
    <row r="18" spans="1:11" ht="12.75">
      <c r="A18" s="181">
        <v>17</v>
      </c>
      <c r="B18" s="181" t="s">
        <v>12</v>
      </c>
      <c r="C18" s="188" t="s">
        <v>2419</v>
      </c>
      <c r="D18" s="183" t="s">
        <v>2400</v>
      </c>
      <c r="E18" s="28"/>
      <c r="F18" s="27"/>
      <c r="G18" s="200">
        <v>374.75799999999992</v>
      </c>
      <c r="H18" s="186">
        <v>45939</v>
      </c>
      <c r="I18" s="28"/>
      <c r="J18" s="28"/>
      <c r="K18" s="28"/>
    </row>
    <row r="19" spans="1:11" ht="12.75">
      <c r="A19" s="181">
        <v>18</v>
      </c>
      <c r="B19" s="181" t="s">
        <v>12</v>
      </c>
      <c r="C19" s="188" t="s">
        <v>2420</v>
      </c>
      <c r="D19" s="183" t="s">
        <v>2400</v>
      </c>
      <c r="E19" s="28"/>
      <c r="F19" s="27"/>
      <c r="G19" s="200">
        <v>374.78699999999992</v>
      </c>
      <c r="H19" s="186">
        <v>45964</v>
      </c>
      <c r="I19" s="28"/>
      <c r="J19" s="28"/>
      <c r="K19" s="28"/>
    </row>
    <row r="20" spans="1:11" ht="12.75">
      <c r="A20" s="181">
        <v>19</v>
      </c>
      <c r="B20" s="181" t="s">
        <v>12</v>
      </c>
      <c r="C20" s="188" t="s">
        <v>2421</v>
      </c>
      <c r="D20" s="183" t="s">
        <v>2400</v>
      </c>
      <c r="E20" s="28"/>
      <c r="F20" s="27"/>
      <c r="G20" s="200">
        <v>374.98799999999994</v>
      </c>
      <c r="H20" s="186">
        <v>45992</v>
      </c>
      <c r="I20" s="28"/>
      <c r="J20" s="28"/>
      <c r="K20" s="28"/>
    </row>
    <row r="21" spans="1:11" ht="12.75">
      <c r="A21" s="181">
        <v>20</v>
      </c>
      <c r="B21" s="181" t="s">
        <v>12</v>
      </c>
      <c r="C21" s="188" t="s">
        <v>2422</v>
      </c>
      <c r="D21" s="183" t="s">
        <v>2400</v>
      </c>
      <c r="E21" s="28"/>
      <c r="F21" s="27"/>
      <c r="G21" s="200">
        <v>280</v>
      </c>
      <c r="H21" s="186">
        <v>46003</v>
      </c>
      <c r="I21" s="28"/>
      <c r="J21" s="28"/>
      <c r="K21" s="28"/>
    </row>
    <row r="22" spans="1:11" ht="12.75">
      <c r="A22" s="181">
        <v>21</v>
      </c>
      <c r="B22" s="181" t="s">
        <v>12</v>
      </c>
      <c r="C22" s="188" t="s">
        <v>2423</v>
      </c>
      <c r="D22" s="183" t="s">
        <v>2400</v>
      </c>
      <c r="E22" s="28"/>
      <c r="F22" s="27"/>
      <c r="G22" s="200">
        <v>373.11699999999996</v>
      </c>
      <c r="H22" s="186">
        <v>46022</v>
      </c>
      <c r="I22" s="28"/>
      <c r="J22" s="28"/>
      <c r="K22" s="28"/>
    </row>
    <row r="23" spans="1:11" ht="12.75">
      <c r="A23" s="28"/>
      <c r="B23" s="28"/>
      <c r="C23" s="28"/>
      <c r="D23" s="28"/>
      <c r="E23" s="28"/>
      <c r="F23" s="27"/>
      <c r="G23" s="200"/>
      <c r="H23" s="201"/>
      <c r="I23" s="28"/>
      <c r="J23" s="28"/>
      <c r="K23" s="28"/>
    </row>
    <row r="24" spans="1:11" ht="12.75">
      <c r="A24" s="28"/>
      <c r="B24" s="28"/>
      <c r="C24" s="28"/>
      <c r="D24" s="28"/>
      <c r="E24" s="28"/>
      <c r="F24" s="27"/>
      <c r="G24" s="200"/>
      <c r="H24" s="201"/>
      <c r="I24" s="28"/>
      <c r="J24" s="28"/>
      <c r="K24" s="28"/>
    </row>
    <row r="25" spans="1:11" ht="12.75">
      <c r="A25" s="28"/>
      <c r="B25" s="28"/>
      <c r="C25" s="28"/>
      <c r="D25" s="28"/>
      <c r="E25" s="28"/>
      <c r="F25" s="27"/>
      <c r="G25" s="200"/>
      <c r="H25" s="201"/>
      <c r="I25" s="28"/>
      <c r="J25" s="28"/>
      <c r="K25" s="28"/>
    </row>
    <row r="26" spans="1:11" ht="12.75">
      <c r="A26" s="365" t="s">
        <v>2424</v>
      </c>
      <c r="B26" s="352"/>
      <c r="C26" s="352"/>
      <c r="D26" s="353"/>
      <c r="E26" s="200">
        <f>SUM(E2:E17)</f>
        <v>2336.08</v>
      </c>
      <c r="F26" s="27"/>
      <c r="G26" s="200">
        <f>SUM(G2:G25)</f>
        <v>7672.9840000000004</v>
      </c>
      <c r="H26" s="201"/>
      <c r="I26" s="28"/>
      <c r="J26" s="28"/>
      <c r="K26" s="28"/>
    </row>
    <row r="27" spans="1:11" ht="12.75">
      <c r="F27" s="12"/>
      <c r="H27" s="12"/>
    </row>
    <row r="28" spans="1:11" ht="12.75">
      <c r="F28" s="12"/>
      <c r="H28" s="12"/>
    </row>
    <row r="29" spans="1:11" ht="12.75">
      <c r="F29" s="12"/>
      <c r="H29" s="12"/>
    </row>
    <row r="30" spans="1:11" ht="12.75">
      <c r="F30" s="12"/>
      <c r="H30" s="12"/>
    </row>
    <row r="31" spans="1:11" ht="12.75">
      <c r="F31" s="12"/>
      <c r="H31" s="12"/>
    </row>
    <row r="32" spans="1:11" ht="12.75">
      <c r="F32" s="12"/>
      <c r="H32" s="12"/>
    </row>
    <row r="33" spans="6:8" ht="12.75">
      <c r="F33" s="12"/>
      <c r="H33" s="12"/>
    </row>
    <row r="34" spans="6:8" ht="12.75">
      <c r="F34" s="12"/>
      <c r="H34" s="12"/>
    </row>
    <row r="35" spans="6:8" ht="12.75">
      <c r="F35" s="12"/>
      <c r="H35" s="12"/>
    </row>
    <row r="36" spans="6:8" ht="12.75">
      <c r="F36" s="12"/>
      <c r="H36" s="12"/>
    </row>
    <row r="37" spans="6:8" ht="12.75">
      <c r="F37" s="12"/>
      <c r="H37" s="12"/>
    </row>
    <row r="38" spans="6:8" ht="12.75">
      <c r="F38" s="12"/>
      <c r="H38" s="12"/>
    </row>
    <row r="39" spans="6:8" ht="12.75">
      <c r="F39" s="12"/>
      <c r="H39" s="12"/>
    </row>
    <row r="40" spans="6:8" ht="12.75">
      <c r="F40" s="12"/>
      <c r="H40" s="12"/>
    </row>
    <row r="41" spans="6:8" ht="12.75">
      <c r="F41" s="12"/>
      <c r="H41" s="12"/>
    </row>
    <row r="42" spans="6:8" ht="12.75">
      <c r="F42" s="12"/>
      <c r="H42" s="12"/>
    </row>
    <row r="43" spans="6:8" ht="12.75">
      <c r="F43" s="12"/>
      <c r="H43" s="12"/>
    </row>
    <row r="44" spans="6:8" ht="12.75">
      <c r="F44" s="12"/>
      <c r="H44" s="12"/>
    </row>
    <row r="45" spans="6:8" ht="12.75">
      <c r="F45" s="12"/>
      <c r="H45" s="12"/>
    </row>
    <row r="46" spans="6:8" ht="12.75">
      <c r="F46" s="12"/>
      <c r="H46" s="12"/>
    </row>
    <row r="47" spans="6:8" ht="12.75">
      <c r="F47" s="12"/>
      <c r="H47" s="12"/>
    </row>
    <row r="48" spans="6:8" ht="12.75">
      <c r="F48" s="12"/>
      <c r="H48" s="12"/>
    </row>
    <row r="49" spans="6:8" ht="12.75">
      <c r="F49" s="12"/>
      <c r="H49" s="12"/>
    </row>
    <row r="50" spans="6:8" ht="12.75">
      <c r="F50" s="12"/>
      <c r="H50" s="12"/>
    </row>
    <row r="51" spans="6:8" ht="12.75">
      <c r="F51" s="12"/>
      <c r="H51" s="12"/>
    </row>
    <row r="52" spans="6:8" ht="12.75">
      <c r="F52" s="12"/>
      <c r="H52" s="12"/>
    </row>
    <row r="53" spans="6:8" ht="12.75">
      <c r="F53" s="12"/>
      <c r="H53" s="12"/>
    </row>
    <row r="54" spans="6:8" ht="12.75">
      <c r="F54" s="12"/>
      <c r="H54" s="12"/>
    </row>
    <row r="55" spans="6:8" ht="12.75">
      <c r="F55" s="12"/>
      <c r="H55" s="12"/>
    </row>
    <row r="56" spans="6:8" ht="12.75">
      <c r="F56" s="12"/>
      <c r="H56" s="12"/>
    </row>
    <row r="57" spans="6:8" ht="12.75">
      <c r="F57" s="12"/>
      <c r="H57" s="12"/>
    </row>
    <row r="58" spans="6:8" ht="12.75">
      <c r="F58" s="12"/>
      <c r="H58" s="12"/>
    </row>
    <row r="59" spans="6:8" ht="12.75">
      <c r="F59" s="12"/>
      <c r="H59" s="12"/>
    </row>
    <row r="60" spans="6:8" ht="12.75">
      <c r="F60" s="12"/>
      <c r="H60" s="12"/>
    </row>
    <row r="61" spans="6:8" ht="12.75">
      <c r="F61" s="12"/>
      <c r="H61" s="12"/>
    </row>
    <row r="62" spans="6:8" ht="12.75">
      <c r="F62" s="12"/>
      <c r="H62" s="12"/>
    </row>
    <row r="63" spans="6:8" ht="12.75">
      <c r="F63" s="12"/>
      <c r="H63" s="12"/>
    </row>
    <row r="64" spans="6:8" ht="12.75">
      <c r="F64" s="12"/>
      <c r="H64" s="12"/>
    </row>
    <row r="65" spans="6:8" ht="12.75">
      <c r="F65" s="12"/>
      <c r="H65" s="12"/>
    </row>
    <row r="66" spans="6:8" ht="12.75">
      <c r="F66" s="12"/>
      <c r="H66" s="12"/>
    </row>
    <row r="67" spans="6:8" ht="12.75">
      <c r="F67" s="12"/>
      <c r="H67" s="12"/>
    </row>
    <row r="68" spans="6:8" ht="12.75">
      <c r="F68" s="12"/>
      <c r="H68" s="12"/>
    </row>
    <row r="69" spans="6:8" ht="12.75">
      <c r="F69" s="12"/>
      <c r="H69" s="12"/>
    </row>
    <row r="70" spans="6:8" ht="12.75">
      <c r="F70" s="12"/>
      <c r="H70" s="12"/>
    </row>
    <row r="71" spans="6:8" ht="12.75">
      <c r="F71" s="12"/>
      <c r="H71" s="12"/>
    </row>
    <row r="72" spans="6:8" ht="12.75">
      <c r="F72" s="12"/>
      <c r="H72" s="12"/>
    </row>
    <row r="73" spans="6:8" ht="12.75">
      <c r="F73" s="12"/>
      <c r="H73" s="12"/>
    </row>
    <row r="74" spans="6:8" ht="12.75">
      <c r="F74" s="12"/>
      <c r="H74" s="12"/>
    </row>
    <row r="75" spans="6:8" ht="12.75">
      <c r="F75" s="12"/>
      <c r="H75" s="12"/>
    </row>
    <row r="76" spans="6:8" ht="12.75">
      <c r="F76" s="12"/>
      <c r="H76" s="12"/>
    </row>
    <row r="77" spans="6:8" ht="12.75">
      <c r="F77" s="12"/>
      <c r="H77" s="12"/>
    </row>
    <row r="78" spans="6:8" ht="12.75">
      <c r="F78" s="12"/>
      <c r="H78" s="12"/>
    </row>
    <row r="79" spans="6:8" ht="12.75">
      <c r="F79" s="12"/>
      <c r="H79" s="12"/>
    </row>
    <row r="80" spans="6:8" ht="12.75">
      <c r="F80" s="12"/>
      <c r="H80" s="12"/>
    </row>
    <row r="81" spans="6:8" ht="12.75">
      <c r="F81" s="12"/>
      <c r="H81" s="12"/>
    </row>
    <row r="82" spans="6:8" ht="12.75">
      <c r="F82" s="12"/>
      <c r="H82" s="12"/>
    </row>
    <row r="83" spans="6:8" ht="12.75">
      <c r="F83" s="12"/>
      <c r="H83" s="12"/>
    </row>
    <row r="84" spans="6:8" ht="12.75">
      <c r="F84" s="12"/>
      <c r="H84" s="12"/>
    </row>
    <row r="85" spans="6:8" ht="12.75">
      <c r="F85" s="12"/>
      <c r="H85" s="12"/>
    </row>
    <row r="86" spans="6:8" ht="12.75">
      <c r="F86" s="12"/>
      <c r="H86" s="12"/>
    </row>
    <row r="87" spans="6:8" ht="12.75">
      <c r="F87" s="12"/>
      <c r="H87" s="12"/>
    </row>
    <row r="88" spans="6:8" ht="12.75">
      <c r="F88" s="12"/>
      <c r="H88" s="12"/>
    </row>
    <row r="89" spans="6:8" ht="12.75">
      <c r="F89" s="12"/>
      <c r="H89" s="12"/>
    </row>
    <row r="90" spans="6:8" ht="12.75">
      <c r="F90" s="12"/>
      <c r="H90" s="12"/>
    </row>
    <row r="91" spans="6:8" ht="12.75">
      <c r="F91" s="12"/>
      <c r="H91" s="12"/>
    </row>
    <row r="92" spans="6:8" ht="12.75">
      <c r="F92" s="12"/>
      <c r="H92" s="12"/>
    </row>
    <row r="93" spans="6:8" ht="12.75">
      <c r="F93" s="12"/>
      <c r="H93" s="12"/>
    </row>
    <row r="94" spans="6:8" ht="12.75">
      <c r="F94" s="12"/>
      <c r="H94" s="12"/>
    </row>
    <row r="95" spans="6:8" ht="12.75">
      <c r="F95" s="12"/>
      <c r="H95" s="12"/>
    </row>
    <row r="96" spans="6:8" ht="12.75">
      <c r="F96" s="12"/>
      <c r="H96" s="12"/>
    </row>
    <row r="97" spans="6:8" ht="12.75">
      <c r="F97" s="12"/>
      <c r="H97" s="12"/>
    </row>
    <row r="98" spans="6:8" ht="12.75">
      <c r="F98" s="12"/>
      <c r="H98" s="12"/>
    </row>
    <row r="99" spans="6:8" ht="12.75">
      <c r="F99" s="12"/>
      <c r="H99" s="12"/>
    </row>
    <row r="100" spans="6:8" ht="12.75">
      <c r="F100" s="12"/>
      <c r="H100" s="12"/>
    </row>
    <row r="101" spans="6:8" ht="12.75">
      <c r="F101" s="12"/>
      <c r="H101" s="12"/>
    </row>
    <row r="102" spans="6:8" ht="12.75">
      <c r="F102" s="12"/>
      <c r="H102" s="12"/>
    </row>
    <row r="103" spans="6:8" ht="12.75">
      <c r="F103" s="12"/>
      <c r="H103" s="12"/>
    </row>
    <row r="104" spans="6:8" ht="12.75">
      <c r="F104" s="12"/>
      <c r="H104" s="12"/>
    </row>
    <row r="105" spans="6:8" ht="12.75">
      <c r="F105" s="12"/>
      <c r="H105" s="12"/>
    </row>
    <row r="106" spans="6:8" ht="12.75">
      <c r="F106" s="12"/>
      <c r="H106" s="12"/>
    </row>
    <row r="107" spans="6:8" ht="12.75">
      <c r="F107" s="12"/>
      <c r="H107" s="12"/>
    </row>
    <row r="108" spans="6:8" ht="12.75">
      <c r="F108" s="12"/>
      <c r="H108" s="12"/>
    </row>
    <row r="109" spans="6:8" ht="12.75">
      <c r="F109" s="12"/>
      <c r="H109" s="12"/>
    </row>
    <row r="110" spans="6:8" ht="12.75">
      <c r="F110" s="12"/>
      <c r="H110" s="12"/>
    </row>
    <row r="111" spans="6:8" ht="12.75">
      <c r="F111" s="12"/>
      <c r="H111" s="12"/>
    </row>
    <row r="112" spans="6:8" ht="12.75">
      <c r="F112" s="12"/>
      <c r="H112" s="12"/>
    </row>
    <row r="113" spans="6:8" ht="12.75">
      <c r="F113" s="12"/>
      <c r="H113" s="12"/>
    </row>
    <row r="114" spans="6:8" ht="12.75">
      <c r="F114" s="12"/>
      <c r="H114" s="12"/>
    </row>
    <row r="115" spans="6:8" ht="12.75">
      <c r="F115" s="12"/>
      <c r="H115" s="12"/>
    </row>
    <row r="116" spans="6:8" ht="12.75">
      <c r="F116" s="12"/>
      <c r="H116" s="12"/>
    </row>
    <row r="117" spans="6:8" ht="12.75">
      <c r="F117" s="12"/>
      <c r="H117" s="12"/>
    </row>
    <row r="118" spans="6:8" ht="12.75">
      <c r="F118" s="12"/>
      <c r="H118" s="12"/>
    </row>
    <row r="119" spans="6:8" ht="12.75">
      <c r="F119" s="12"/>
      <c r="H119" s="12"/>
    </row>
    <row r="120" spans="6:8" ht="12.75">
      <c r="F120" s="12"/>
      <c r="H120" s="12"/>
    </row>
    <row r="121" spans="6:8" ht="12.75">
      <c r="F121" s="12"/>
      <c r="H121" s="12"/>
    </row>
    <row r="122" spans="6:8" ht="12.75">
      <c r="F122" s="12"/>
      <c r="H122" s="12"/>
    </row>
    <row r="123" spans="6:8" ht="12.75">
      <c r="F123" s="12"/>
      <c r="H123" s="12"/>
    </row>
    <row r="124" spans="6:8" ht="12.75">
      <c r="F124" s="12"/>
      <c r="H124" s="12"/>
    </row>
    <row r="125" spans="6:8" ht="12.75">
      <c r="F125" s="12"/>
      <c r="H125" s="12"/>
    </row>
    <row r="126" spans="6:8" ht="12.75">
      <c r="F126" s="12"/>
      <c r="H126" s="12"/>
    </row>
    <row r="127" spans="6:8" ht="12.75">
      <c r="F127" s="12"/>
      <c r="H127" s="12"/>
    </row>
    <row r="128" spans="6:8" ht="12.75">
      <c r="F128" s="12"/>
      <c r="H128" s="12"/>
    </row>
    <row r="129" spans="6:8" ht="12.75">
      <c r="F129" s="12"/>
      <c r="H129" s="12"/>
    </row>
    <row r="130" spans="6:8" ht="12.75">
      <c r="F130" s="12"/>
      <c r="H130" s="12"/>
    </row>
    <row r="131" spans="6:8" ht="12.75">
      <c r="F131" s="12"/>
      <c r="H131" s="12"/>
    </row>
    <row r="132" spans="6:8" ht="12.75">
      <c r="F132" s="12"/>
      <c r="H132" s="12"/>
    </row>
    <row r="133" spans="6:8" ht="12.75">
      <c r="F133" s="12"/>
      <c r="H133" s="12"/>
    </row>
    <row r="134" spans="6:8" ht="12.75">
      <c r="F134" s="12"/>
      <c r="H134" s="12"/>
    </row>
    <row r="135" spans="6:8" ht="12.75">
      <c r="F135" s="12"/>
      <c r="H135" s="12"/>
    </row>
    <row r="136" spans="6:8" ht="12.75">
      <c r="F136" s="12"/>
      <c r="H136" s="12"/>
    </row>
    <row r="137" spans="6:8" ht="12.75">
      <c r="F137" s="12"/>
      <c r="H137" s="12"/>
    </row>
    <row r="138" spans="6:8" ht="12.75">
      <c r="F138" s="12"/>
      <c r="H138" s="12"/>
    </row>
    <row r="139" spans="6:8" ht="12.75">
      <c r="F139" s="12"/>
      <c r="H139" s="12"/>
    </row>
    <row r="140" spans="6:8" ht="12.75">
      <c r="F140" s="12"/>
      <c r="H140" s="12"/>
    </row>
    <row r="141" spans="6:8" ht="12.75">
      <c r="F141" s="12"/>
      <c r="H141" s="12"/>
    </row>
    <row r="142" spans="6:8" ht="12.75">
      <c r="F142" s="12"/>
      <c r="H142" s="12"/>
    </row>
    <row r="143" spans="6:8" ht="12.75">
      <c r="F143" s="12"/>
      <c r="H143" s="12"/>
    </row>
    <row r="144" spans="6:8" ht="12.75">
      <c r="F144" s="12"/>
      <c r="H144" s="12"/>
    </row>
    <row r="145" spans="6:8" ht="12.75">
      <c r="F145" s="12"/>
      <c r="H145" s="12"/>
    </row>
    <row r="146" spans="6:8" ht="12.75">
      <c r="F146" s="12"/>
      <c r="H146" s="12"/>
    </row>
    <row r="147" spans="6:8" ht="12.75">
      <c r="F147" s="12"/>
      <c r="H147" s="12"/>
    </row>
    <row r="148" spans="6:8" ht="12.75">
      <c r="F148" s="12"/>
      <c r="H148" s="12"/>
    </row>
    <row r="149" spans="6:8" ht="12.75">
      <c r="F149" s="12"/>
      <c r="H149" s="12"/>
    </row>
    <row r="150" spans="6:8" ht="12.75">
      <c r="F150" s="12"/>
      <c r="H150" s="12"/>
    </row>
    <row r="151" spans="6:8" ht="12.75">
      <c r="F151" s="12"/>
      <c r="H151" s="12"/>
    </row>
    <row r="152" spans="6:8" ht="12.75">
      <c r="F152" s="12"/>
      <c r="H152" s="12"/>
    </row>
    <row r="153" spans="6:8" ht="12.75">
      <c r="F153" s="12"/>
      <c r="H153" s="12"/>
    </row>
    <row r="154" spans="6:8" ht="12.75">
      <c r="F154" s="12"/>
      <c r="H154" s="12"/>
    </row>
    <row r="155" spans="6:8" ht="12.75">
      <c r="F155" s="12"/>
      <c r="H155" s="12"/>
    </row>
    <row r="156" spans="6:8" ht="12.75">
      <c r="F156" s="12"/>
      <c r="H156" s="12"/>
    </row>
    <row r="157" spans="6:8" ht="12.75">
      <c r="F157" s="12"/>
      <c r="H157" s="12"/>
    </row>
    <row r="158" spans="6:8" ht="12.75">
      <c r="F158" s="12"/>
      <c r="H158" s="12"/>
    </row>
    <row r="159" spans="6:8" ht="12.75">
      <c r="F159" s="12"/>
      <c r="H159" s="12"/>
    </row>
    <row r="160" spans="6:8" ht="12.75">
      <c r="F160" s="12"/>
      <c r="H160" s="12"/>
    </row>
    <row r="161" spans="6:8" ht="12.75">
      <c r="F161" s="12"/>
      <c r="H161" s="12"/>
    </row>
    <row r="162" spans="6:8" ht="12.75">
      <c r="F162" s="12"/>
      <c r="H162" s="12"/>
    </row>
    <row r="163" spans="6:8" ht="12.75">
      <c r="F163" s="12"/>
      <c r="H163" s="12"/>
    </row>
    <row r="164" spans="6:8" ht="12.75">
      <c r="F164" s="12"/>
      <c r="H164" s="12"/>
    </row>
    <row r="165" spans="6:8" ht="12.75">
      <c r="F165" s="12"/>
      <c r="H165" s="12"/>
    </row>
    <row r="166" spans="6:8" ht="12.75">
      <c r="F166" s="12"/>
      <c r="H166" s="12"/>
    </row>
    <row r="167" spans="6:8" ht="12.75">
      <c r="F167" s="12"/>
      <c r="H167" s="12"/>
    </row>
    <row r="168" spans="6:8" ht="12.75">
      <c r="F168" s="12"/>
      <c r="H168" s="12"/>
    </row>
    <row r="169" spans="6:8" ht="12.75">
      <c r="F169" s="12"/>
      <c r="H169" s="12"/>
    </row>
    <row r="170" spans="6:8" ht="12.75">
      <c r="F170" s="12"/>
      <c r="H170" s="12"/>
    </row>
    <row r="171" spans="6:8" ht="12.75">
      <c r="F171" s="12"/>
      <c r="H171" s="12"/>
    </row>
    <row r="172" spans="6:8" ht="12.75">
      <c r="F172" s="12"/>
      <c r="H172" s="12"/>
    </row>
    <row r="173" spans="6:8" ht="12.75">
      <c r="F173" s="12"/>
      <c r="H173" s="12"/>
    </row>
    <row r="174" spans="6:8" ht="12.75">
      <c r="F174" s="12"/>
      <c r="H174" s="12"/>
    </row>
    <row r="175" spans="6:8" ht="12.75">
      <c r="F175" s="12"/>
      <c r="H175" s="12"/>
    </row>
    <row r="176" spans="6:8" ht="12.75">
      <c r="F176" s="12"/>
      <c r="H176" s="12"/>
    </row>
    <row r="177" spans="6:8" ht="12.75">
      <c r="F177" s="12"/>
      <c r="H177" s="12"/>
    </row>
    <row r="178" spans="6:8" ht="12.75">
      <c r="F178" s="12"/>
      <c r="H178" s="12"/>
    </row>
    <row r="179" spans="6:8" ht="12.75">
      <c r="F179" s="12"/>
      <c r="H179" s="12"/>
    </row>
    <row r="180" spans="6:8" ht="12.75">
      <c r="F180" s="12"/>
      <c r="H180" s="12"/>
    </row>
    <row r="181" spans="6:8" ht="12.75">
      <c r="F181" s="12"/>
      <c r="H181" s="12"/>
    </row>
    <row r="182" spans="6:8" ht="12.75">
      <c r="F182" s="12"/>
      <c r="H182" s="12"/>
    </row>
    <row r="183" spans="6:8" ht="12.75">
      <c r="F183" s="12"/>
      <c r="H183" s="12"/>
    </row>
    <row r="184" spans="6:8" ht="12.75">
      <c r="F184" s="12"/>
      <c r="H184" s="12"/>
    </row>
    <row r="185" spans="6:8" ht="12.75">
      <c r="F185" s="12"/>
      <c r="H185" s="12"/>
    </row>
    <row r="186" spans="6:8" ht="12.75">
      <c r="F186" s="12"/>
      <c r="H186" s="12"/>
    </row>
    <row r="187" spans="6:8" ht="12.75">
      <c r="F187" s="12"/>
      <c r="H187" s="12"/>
    </row>
    <row r="188" spans="6:8" ht="12.75">
      <c r="F188" s="12"/>
      <c r="H188" s="12"/>
    </row>
    <row r="189" spans="6:8" ht="12.75">
      <c r="F189" s="12"/>
      <c r="H189" s="12"/>
    </row>
    <row r="190" spans="6:8" ht="12.75">
      <c r="F190" s="12"/>
      <c r="H190" s="12"/>
    </row>
    <row r="191" spans="6:8" ht="12.75">
      <c r="F191" s="12"/>
      <c r="H191" s="12"/>
    </row>
    <row r="192" spans="6:8" ht="12.75">
      <c r="F192" s="12"/>
      <c r="H192" s="12"/>
    </row>
    <row r="193" spans="6:8" ht="12.75">
      <c r="F193" s="12"/>
      <c r="H193" s="12"/>
    </row>
    <row r="194" spans="6:8" ht="12.75">
      <c r="F194" s="12"/>
      <c r="H194" s="12"/>
    </row>
    <row r="195" spans="6:8" ht="12.75">
      <c r="F195" s="12"/>
      <c r="H195" s="12"/>
    </row>
    <row r="196" spans="6:8" ht="12.75">
      <c r="F196" s="12"/>
      <c r="H196" s="12"/>
    </row>
    <row r="197" spans="6:8" ht="12.75">
      <c r="F197" s="12"/>
      <c r="H197" s="12"/>
    </row>
    <row r="198" spans="6:8" ht="12.75">
      <c r="F198" s="12"/>
      <c r="H198" s="12"/>
    </row>
    <row r="199" spans="6:8" ht="12.75">
      <c r="F199" s="12"/>
      <c r="H199" s="12"/>
    </row>
    <row r="200" spans="6:8" ht="12.75">
      <c r="F200" s="12"/>
      <c r="H200" s="12"/>
    </row>
    <row r="201" spans="6:8" ht="12.75">
      <c r="F201" s="12"/>
      <c r="H201" s="12"/>
    </row>
    <row r="202" spans="6:8" ht="12.75">
      <c r="F202" s="12"/>
      <c r="H202" s="12"/>
    </row>
    <row r="203" spans="6:8" ht="12.75">
      <c r="F203" s="12"/>
      <c r="H203" s="12"/>
    </row>
    <row r="204" spans="6:8" ht="12.75">
      <c r="F204" s="12"/>
      <c r="H204" s="12"/>
    </row>
    <row r="205" spans="6:8" ht="12.75">
      <c r="F205" s="12"/>
      <c r="H205" s="12"/>
    </row>
    <row r="206" spans="6:8" ht="12.75">
      <c r="F206" s="12"/>
      <c r="H206" s="12"/>
    </row>
    <row r="207" spans="6:8" ht="12.75">
      <c r="F207" s="12"/>
      <c r="H207" s="12"/>
    </row>
    <row r="208" spans="6:8" ht="12.75">
      <c r="F208" s="12"/>
      <c r="H208" s="12"/>
    </row>
    <row r="209" spans="6:8" ht="12.75">
      <c r="F209" s="12"/>
      <c r="H209" s="12"/>
    </row>
    <row r="210" spans="6:8" ht="12.75">
      <c r="F210" s="12"/>
      <c r="H210" s="12"/>
    </row>
    <row r="211" spans="6:8" ht="12.75">
      <c r="F211" s="12"/>
      <c r="H211" s="12"/>
    </row>
    <row r="212" spans="6:8" ht="12.75">
      <c r="F212" s="12"/>
      <c r="H212" s="12"/>
    </row>
    <row r="213" spans="6:8" ht="12.75">
      <c r="F213" s="12"/>
      <c r="H213" s="12"/>
    </row>
    <row r="214" spans="6:8" ht="12.75">
      <c r="F214" s="12"/>
      <c r="H214" s="12"/>
    </row>
    <row r="215" spans="6:8" ht="12.75">
      <c r="F215" s="12"/>
      <c r="H215" s="12"/>
    </row>
    <row r="216" spans="6:8" ht="12.75">
      <c r="F216" s="12"/>
      <c r="H216" s="12"/>
    </row>
    <row r="217" spans="6:8" ht="12.75">
      <c r="F217" s="12"/>
      <c r="H217" s="12"/>
    </row>
    <row r="218" spans="6:8" ht="12.75">
      <c r="F218" s="12"/>
      <c r="H218" s="12"/>
    </row>
    <row r="219" spans="6:8" ht="12.75">
      <c r="F219" s="12"/>
      <c r="H219" s="12"/>
    </row>
    <row r="220" spans="6:8" ht="12.75">
      <c r="F220" s="12"/>
      <c r="H220" s="12"/>
    </row>
    <row r="221" spans="6:8" ht="12.75">
      <c r="F221" s="12"/>
      <c r="H221" s="12"/>
    </row>
    <row r="222" spans="6:8" ht="12.75">
      <c r="F222" s="12"/>
      <c r="H222" s="12"/>
    </row>
    <row r="223" spans="6:8" ht="12.75">
      <c r="F223" s="12"/>
      <c r="H223" s="12"/>
    </row>
    <row r="224" spans="6:8" ht="12.75">
      <c r="F224" s="12"/>
      <c r="H224" s="12"/>
    </row>
    <row r="225" spans="6:8" ht="12.75">
      <c r="F225" s="12"/>
      <c r="H225" s="12"/>
    </row>
    <row r="226" spans="6:8" ht="12.75">
      <c r="F226" s="12"/>
      <c r="H226" s="12"/>
    </row>
    <row r="227" spans="6:8" ht="12.75">
      <c r="F227" s="12"/>
      <c r="H227" s="12"/>
    </row>
    <row r="228" spans="6:8" ht="12.75">
      <c r="F228" s="12"/>
      <c r="H228" s="12"/>
    </row>
    <row r="229" spans="6:8" ht="12.75">
      <c r="F229" s="12"/>
      <c r="H229" s="12"/>
    </row>
    <row r="230" spans="6:8" ht="12.75">
      <c r="F230" s="12"/>
      <c r="H230" s="12"/>
    </row>
    <row r="231" spans="6:8" ht="12.75">
      <c r="F231" s="12"/>
      <c r="H231" s="12"/>
    </row>
    <row r="232" spans="6:8" ht="12.75">
      <c r="F232" s="12"/>
      <c r="H232" s="12"/>
    </row>
    <row r="233" spans="6:8" ht="12.75">
      <c r="F233" s="12"/>
      <c r="H233" s="12"/>
    </row>
    <row r="234" spans="6:8" ht="12.75">
      <c r="F234" s="12"/>
      <c r="H234" s="12"/>
    </row>
    <row r="235" spans="6:8" ht="12.75">
      <c r="F235" s="12"/>
      <c r="H235" s="12"/>
    </row>
    <row r="236" spans="6:8" ht="12.75">
      <c r="F236" s="12"/>
      <c r="H236" s="12"/>
    </row>
    <row r="237" spans="6:8" ht="12.75">
      <c r="F237" s="12"/>
      <c r="H237" s="12"/>
    </row>
    <row r="238" spans="6:8" ht="12.75">
      <c r="F238" s="12"/>
      <c r="H238" s="12"/>
    </row>
    <row r="239" spans="6:8" ht="12.75">
      <c r="F239" s="12"/>
      <c r="H239" s="12"/>
    </row>
    <row r="240" spans="6:8" ht="12.75">
      <c r="F240" s="12"/>
      <c r="H240" s="12"/>
    </row>
    <row r="241" spans="6:8" ht="12.75">
      <c r="F241" s="12"/>
      <c r="H241" s="12"/>
    </row>
    <row r="242" spans="6:8" ht="12.75">
      <c r="F242" s="12"/>
      <c r="H242" s="12"/>
    </row>
    <row r="243" spans="6:8" ht="12.75">
      <c r="F243" s="12"/>
      <c r="H243" s="12"/>
    </row>
    <row r="244" spans="6:8" ht="12.75">
      <c r="F244" s="12"/>
      <c r="H244" s="12"/>
    </row>
    <row r="245" spans="6:8" ht="12.75">
      <c r="F245" s="12"/>
      <c r="H245" s="12"/>
    </row>
    <row r="246" spans="6:8" ht="12.75">
      <c r="F246" s="12"/>
      <c r="H246" s="12"/>
    </row>
    <row r="247" spans="6:8" ht="12.75">
      <c r="F247" s="12"/>
      <c r="H247" s="12"/>
    </row>
    <row r="248" spans="6:8" ht="12.75">
      <c r="F248" s="12"/>
      <c r="H248" s="12"/>
    </row>
    <row r="249" spans="6:8" ht="12.75">
      <c r="F249" s="12"/>
      <c r="H249" s="12"/>
    </row>
    <row r="250" spans="6:8" ht="12.75">
      <c r="F250" s="12"/>
      <c r="H250" s="12"/>
    </row>
    <row r="251" spans="6:8" ht="12.75">
      <c r="F251" s="12"/>
      <c r="H251" s="12"/>
    </row>
    <row r="252" spans="6:8" ht="12.75">
      <c r="F252" s="12"/>
      <c r="H252" s="12"/>
    </row>
    <row r="253" spans="6:8" ht="12.75">
      <c r="F253" s="12"/>
      <c r="H253" s="12"/>
    </row>
    <row r="254" spans="6:8" ht="12.75">
      <c r="F254" s="12"/>
      <c r="H254" s="12"/>
    </row>
    <row r="255" spans="6:8" ht="12.75">
      <c r="F255" s="12"/>
      <c r="H255" s="12"/>
    </row>
    <row r="256" spans="6:8" ht="12.75">
      <c r="F256" s="12"/>
      <c r="H256" s="12"/>
    </row>
    <row r="257" spans="6:8" ht="12.75">
      <c r="F257" s="12"/>
      <c r="H257" s="12"/>
    </row>
    <row r="258" spans="6:8" ht="12.75">
      <c r="F258" s="12"/>
      <c r="H258" s="12"/>
    </row>
    <row r="259" spans="6:8" ht="12.75">
      <c r="F259" s="12"/>
      <c r="H259" s="12"/>
    </row>
    <row r="260" spans="6:8" ht="12.75">
      <c r="F260" s="12"/>
      <c r="H260" s="12"/>
    </row>
    <row r="261" spans="6:8" ht="12.75">
      <c r="F261" s="12"/>
      <c r="H261" s="12"/>
    </row>
    <row r="262" spans="6:8" ht="12.75">
      <c r="F262" s="12"/>
      <c r="H262" s="12"/>
    </row>
    <row r="263" spans="6:8" ht="12.75">
      <c r="F263" s="12"/>
      <c r="H263" s="12"/>
    </row>
    <row r="264" spans="6:8" ht="12.75">
      <c r="F264" s="12"/>
      <c r="H264" s="12"/>
    </row>
    <row r="265" spans="6:8" ht="12.75">
      <c r="F265" s="12"/>
      <c r="H265" s="12"/>
    </row>
    <row r="266" spans="6:8" ht="12.75">
      <c r="F266" s="12"/>
      <c r="H266" s="12"/>
    </row>
    <row r="267" spans="6:8" ht="12.75">
      <c r="F267" s="12"/>
      <c r="H267" s="12"/>
    </row>
    <row r="268" spans="6:8" ht="12.75">
      <c r="F268" s="12"/>
      <c r="H268" s="12"/>
    </row>
    <row r="269" spans="6:8" ht="12.75">
      <c r="F269" s="12"/>
      <c r="H269" s="12"/>
    </row>
    <row r="270" spans="6:8" ht="12.75">
      <c r="F270" s="12"/>
      <c r="H270" s="12"/>
    </row>
    <row r="271" spans="6:8" ht="12.75">
      <c r="F271" s="12"/>
      <c r="H271" s="12"/>
    </row>
    <row r="272" spans="6:8" ht="12.75">
      <c r="F272" s="12"/>
      <c r="H272" s="12"/>
    </row>
    <row r="273" spans="6:8" ht="12.75">
      <c r="F273" s="12"/>
      <c r="H273" s="12"/>
    </row>
    <row r="274" spans="6:8" ht="12.75">
      <c r="F274" s="12"/>
      <c r="H274" s="12"/>
    </row>
    <row r="275" spans="6:8" ht="12.75">
      <c r="F275" s="12"/>
      <c r="H275" s="12"/>
    </row>
    <row r="276" spans="6:8" ht="12.75">
      <c r="F276" s="12"/>
      <c r="H276" s="12"/>
    </row>
    <row r="277" spans="6:8" ht="12.75">
      <c r="F277" s="12"/>
      <c r="H277" s="12"/>
    </row>
    <row r="278" spans="6:8" ht="12.75">
      <c r="F278" s="12"/>
      <c r="H278" s="12"/>
    </row>
    <row r="279" spans="6:8" ht="12.75">
      <c r="F279" s="12"/>
      <c r="H279" s="12"/>
    </row>
    <row r="280" spans="6:8" ht="12.75">
      <c r="F280" s="12"/>
      <c r="H280" s="12"/>
    </row>
    <row r="281" spans="6:8" ht="12.75">
      <c r="F281" s="12"/>
      <c r="H281" s="12"/>
    </row>
    <row r="282" spans="6:8" ht="12.75">
      <c r="F282" s="12"/>
      <c r="H282" s="12"/>
    </row>
    <row r="283" spans="6:8" ht="12.75">
      <c r="F283" s="12"/>
      <c r="H283" s="12"/>
    </row>
    <row r="284" spans="6:8" ht="12.75">
      <c r="F284" s="12"/>
      <c r="H284" s="12"/>
    </row>
    <row r="285" spans="6:8" ht="12.75">
      <c r="F285" s="12"/>
      <c r="H285" s="12"/>
    </row>
    <row r="286" spans="6:8" ht="12.75">
      <c r="F286" s="12"/>
      <c r="H286" s="12"/>
    </row>
    <row r="287" spans="6:8" ht="12.75">
      <c r="F287" s="12"/>
      <c r="H287" s="12"/>
    </row>
    <row r="288" spans="6:8" ht="12.75">
      <c r="F288" s="12"/>
      <c r="H288" s="12"/>
    </row>
    <row r="289" spans="6:8" ht="12.75">
      <c r="F289" s="12"/>
      <c r="H289" s="12"/>
    </row>
    <row r="290" spans="6:8" ht="12.75">
      <c r="F290" s="12"/>
      <c r="H290" s="12"/>
    </row>
    <row r="291" spans="6:8" ht="12.75">
      <c r="F291" s="12"/>
      <c r="H291" s="12"/>
    </row>
    <row r="292" spans="6:8" ht="12.75">
      <c r="F292" s="12"/>
      <c r="H292" s="12"/>
    </row>
    <row r="293" spans="6:8" ht="12.75">
      <c r="F293" s="12"/>
      <c r="H293" s="12"/>
    </row>
    <row r="294" spans="6:8" ht="12.75">
      <c r="F294" s="12"/>
      <c r="H294" s="12"/>
    </row>
    <row r="295" spans="6:8" ht="12.75">
      <c r="F295" s="12"/>
      <c r="H295" s="12"/>
    </row>
    <row r="296" spans="6:8" ht="12.75">
      <c r="F296" s="12"/>
      <c r="H296" s="12"/>
    </row>
    <row r="297" spans="6:8" ht="12.75">
      <c r="F297" s="12"/>
      <c r="H297" s="12"/>
    </row>
    <row r="298" spans="6:8" ht="12.75">
      <c r="F298" s="12"/>
      <c r="H298" s="12"/>
    </row>
    <row r="299" spans="6:8" ht="12.75">
      <c r="F299" s="12"/>
      <c r="H299" s="12"/>
    </row>
    <row r="300" spans="6:8" ht="12.75">
      <c r="F300" s="12"/>
      <c r="H300" s="12"/>
    </row>
    <row r="301" spans="6:8" ht="12.75">
      <c r="F301" s="12"/>
      <c r="H301" s="12"/>
    </row>
    <row r="302" spans="6:8" ht="12.75">
      <c r="F302" s="12"/>
      <c r="H302" s="12"/>
    </row>
    <row r="303" spans="6:8" ht="12.75">
      <c r="F303" s="12"/>
      <c r="H303" s="12"/>
    </row>
    <row r="304" spans="6:8" ht="12.75">
      <c r="F304" s="12"/>
      <c r="H304" s="12"/>
    </row>
    <row r="305" spans="6:8" ht="12.75">
      <c r="F305" s="12"/>
      <c r="H305" s="12"/>
    </row>
    <row r="306" spans="6:8" ht="12.75">
      <c r="F306" s="12"/>
      <c r="H306" s="12"/>
    </row>
    <row r="307" spans="6:8" ht="12.75">
      <c r="F307" s="12"/>
      <c r="H307" s="12"/>
    </row>
    <row r="308" spans="6:8" ht="12.75">
      <c r="F308" s="12"/>
      <c r="H308" s="12"/>
    </row>
    <row r="309" spans="6:8" ht="12.75">
      <c r="F309" s="12"/>
      <c r="H309" s="12"/>
    </row>
    <row r="310" spans="6:8" ht="12.75">
      <c r="F310" s="12"/>
      <c r="H310" s="12"/>
    </row>
    <row r="311" spans="6:8" ht="12.75">
      <c r="F311" s="12"/>
      <c r="H311" s="12"/>
    </row>
    <row r="312" spans="6:8" ht="12.75">
      <c r="F312" s="12"/>
      <c r="H312" s="12"/>
    </row>
    <row r="313" spans="6:8" ht="12.75">
      <c r="F313" s="12"/>
      <c r="H313" s="12"/>
    </row>
    <row r="314" spans="6:8" ht="12.75">
      <c r="F314" s="12"/>
      <c r="H314" s="12"/>
    </row>
    <row r="315" spans="6:8" ht="12.75">
      <c r="F315" s="12"/>
      <c r="H315" s="12"/>
    </row>
    <row r="316" spans="6:8" ht="12.75">
      <c r="F316" s="12"/>
      <c r="H316" s="12"/>
    </row>
    <row r="317" spans="6:8" ht="12.75">
      <c r="F317" s="12"/>
      <c r="H317" s="12"/>
    </row>
    <row r="318" spans="6:8" ht="12.75">
      <c r="F318" s="12"/>
      <c r="H318" s="12"/>
    </row>
    <row r="319" spans="6:8" ht="12.75">
      <c r="F319" s="12"/>
      <c r="H319" s="12"/>
    </row>
    <row r="320" spans="6:8" ht="12.75">
      <c r="F320" s="12"/>
      <c r="H320" s="12"/>
    </row>
    <row r="321" spans="6:8" ht="12.75">
      <c r="F321" s="12"/>
      <c r="H321" s="12"/>
    </row>
    <row r="322" spans="6:8" ht="12.75">
      <c r="F322" s="12"/>
      <c r="H322" s="12"/>
    </row>
    <row r="323" spans="6:8" ht="12.75">
      <c r="F323" s="12"/>
      <c r="H323" s="12"/>
    </row>
    <row r="324" spans="6:8" ht="12.75">
      <c r="F324" s="12"/>
      <c r="H324" s="12"/>
    </row>
    <row r="325" spans="6:8" ht="12.75">
      <c r="F325" s="12"/>
      <c r="H325" s="12"/>
    </row>
    <row r="326" spans="6:8" ht="12.75">
      <c r="F326" s="12"/>
      <c r="H326" s="12"/>
    </row>
    <row r="327" spans="6:8" ht="12.75">
      <c r="F327" s="12"/>
      <c r="H327" s="12"/>
    </row>
    <row r="328" spans="6:8" ht="12.75">
      <c r="F328" s="12"/>
      <c r="H328" s="12"/>
    </row>
    <row r="329" spans="6:8" ht="12.75">
      <c r="F329" s="12"/>
      <c r="H329" s="12"/>
    </row>
    <row r="330" spans="6:8" ht="12.75">
      <c r="F330" s="12"/>
      <c r="H330" s="12"/>
    </row>
    <row r="331" spans="6:8" ht="12.75">
      <c r="F331" s="12"/>
      <c r="H331" s="12"/>
    </row>
    <row r="332" spans="6:8" ht="12.75">
      <c r="F332" s="12"/>
      <c r="H332" s="12"/>
    </row>
    <row r="333" spans="6:8" ht="12.75">
      <c r="F333" s="12"/>
      <c r="H333" s="12"/>
    </row>
    <row r="334" spans="6:8" ht="12.75">
      <c r="F334" s="12"/>
      <c r="H334" s="12"/>
    </row>
    <row r="335" spans="6:8" ht="12.75">
      <c r="F335" s="12"/>
      <c r="H335" s="12"/>
    </row>
    <row r="336" spans="6:8" ht="12.75">
      <c r="F336" s="12"/>
      <c r="H336" s="12"/>
    </row>
    <row r="337" spans="6:8" ht="12.75">
      <c r="F337" s="12"/>
      <c r="H337" s="12"/>
    </row>
    <row r="338" spans="6:8" ht="12.75">
      <c r="F338" s="12"/>
      <c r="H338" s="12"/>
    </row>
    <row r="339" spans="6:8" ht="12.75">
      <c r="F339" s="12"/>
      <c r="H339" s="12"/>
    </row>
    <row r="340" spans="6:8" ht="12.75">
      <c r="F340" s="12"/>
      <c r="H340" s="12"/>
    </row>
    <row r="341" spans="6:8" ht="12.75">
      <c r="F341" s="12"/>
      <c r="H341" s="12"/>
    </row>
    <row r="342" spans="6:8" ht="12.75">
      <c r="F342" s="12"/>
      <c r="H342" s="12"/>
    </row>
    <row r="343" spans="6:8" ht="12.75">
      <c r="F343" s="12"/>
      <c r="H343" s="12"/>
    </row>
    <row r="344" spans="6:8" ht="12.75">
      <c r="F344" s="12"/>
      <c r="H344" s="12"/>
    </row>
    <row r="345" spans="6:8" ht="12.75">
      <c r="F345" s="12"/>
      <c r="H345" s="12"/>
    </row>
    <row r="346" spans="6:8" ht="12.75">
      <c r="F346" s="12"/>
      <c r="H346" s="12"/>
    </row>
    <row r="347" spans="6:8" ht="12.75">
      <c r="F347" s="12"/>
      <c r="H347" s="12"/>
    </row>
    <row r="348" spans="6:8" ht="12.75">
      <c r="F348" s="12"/>
      <c r="H348" s="12"/>
    </row>
    <row r="349" spans="6:8" ht="12.75">
      <c r="F349" s="12"/>
      <c r="H349" s="12"/>
    </row>
    <row r="350" spans="6:8" ht="12.75">
      <c r="F350" s="12"/>
      <c r="H350" s="12"/>
    </row>
    <row r="351" spans="6:8" ht="12.75">
      <c r="F351" s="12"/>
      <c r="H351" s="12"/>
    </row>
    <row r="352" spans="6:8" ht="12.75">
      <c r="F352" s="12"/>
      <c r="H352" s="12"/>
    </row>
    <row r="353" spans="6:8" ht="12.75">
      <c r="F353" s="12"/>
      <c r="H353" s="12"/>
    </row>
    <row r="354" spans="6:8" ht="12.75">
      <c r="F354" s="12"/>
      <c r="H354" s="12"/>
    </row>
    <row r="355" spans="6:8" ht="12.75">
      <c r="F355" s="12"/>
      <c r="H355" s="12"/>
    </row>
    <row r="356" spans="6:8" ht="12.75">
      <c r="F356" s="12"/>
      <c r="H356" s="12"/>
    </row>
    <row r="357" spans="6:8" ht="12.75">
      <c r="F357" s="12"/>
      <c r="H357" s="12"/>
    </row>
    <row r="358" spans="6:8" ht="12.75">
      <c r="F358" s="12"/>
      <c r="H358" s="12"/>
    </row>
    <row r="359" spans="6:8" ht="12.75">
      <c r="F359" s="12"/>
      <c r="H359" s="12"/>
    </row>
    <row r="360" spans="6:8" ht="12.75">
      <c r="F360" s="12"/>
      <c r="H360" s="12"/>
    </row>
    <row r="361" spans="6:8" ht="12.75">
      <c r="F361" s="12"/>
      <c r="H361" s="12"/>
    </row>
    <row r="362" spans="6:8" ht="12.75">
      <c r="F362" s="12"/>
      <c r="H362" s="12"/>
    </row>
    <row r="363" spans="6:8" ht="12.75">
      <c r="F363" s="12"/>
      <c r="H363" s="12"/>
    </row>
    <row r="364" spans="6:8" ht="12.75">
      <c r="F364" s="12"/>
      <c r="H364" s="12"/>
    </row>
    <row r="365" spans="6:8" ht="12.75">
      <c r="F365" s="12"/>
      <c r="H365" s="12"/>
    </row>
    <row r="366" spans="6:8" ht="12.75">
      <c r="F366" s="12"/>
      <c r="H366" s="12"/>
    </row>
    <row r="367" spans="6:8" ht="12.75">
      <c r="F367" s="12"/>
      <c r="H367" s="12"/>
    </row>
    <row r="368" spans="6:8" ht="12.75">
      <c r="F368" s="12"/>
      <c r="H368" s="12"/>
    </row>
    <row r="369" spans="6:8" ht="12.75">
      <c r="F369" s="12"/>
      <c r="H369" s="12"/>
    </row>
    <row r="370" spans="6:8" ht="12.75">
      <c r="F370" s="12"/>
      <c r="H370" s="12"/>
    </row>
    <row r="371" spans="6:8" ht="12.75">
      <c r="F371" s="12"/>
      <c r="H371" s="12"/>
    </row>
    <row r="372" spans="6:8" ht="12.75">
      <c r="F372" s="12"/>
      <c r="H372" s="12"/>
    </row>
    <row r="373" spans="6:8" ht="12.75">
      <c r="F373" s="12"/>
      <c r="H373" s="12"/>
    </row>
    <row r="374" spans="6:8" ht="12.75">
      <c r="F374" s="12"/>
      <c r="H374" s="12"/>
    </row>
    <row r="375" spans="6:8" ht="12.75">
      <c r="F375" s="12"/>
      <c r="H375" s="12"/>
    </row>
    <row r="376" spans="6:8" ht="12.75">
      <c r="F376" s="12"/>
      <c r="H376" s="12"/>
    </row>
    <row r="377" spans="6:8" ht="12.75">
      <c r="F377" s="12"/>
      <c r="H377" s="12"/>
    </row>
    <row r="378" spans="6:8" ht="12.75">
      <c r="F378" s="12"/>
      <c r="H378" s="12"/>
    </row>
    <row r="379" spans="6:8" ht="12.75">
      <c r="F379" s="12"/>
      <c r="H379" s="12"/>
    </row>
    <row r="380" spans="6:8" ht="12.75">
      <c r="F380" s="12"/>
      <c r="H380" s="12"/>
    </row>
    <row r="381" spans="6:8" ht="12.75">
      <c r="F381" s="12"/>
      <c r="H381" s="12"/>
    </row>
    <row r="382" spans="6:8" ht="12.75">
      <c r="F382" s="12"/>
      <c r="H382" s="12"/>
    </row>
    <row r="383" spans="6:8" ht="12.75">
      <c r="F383" s="12"/>
      <c r="H383" s="12"/>
    </row>
    <row r="384" spans="6:8" ht="12.75">
      <c r="F384" s="12"/>
      <c r="H384" s="12"/>
    </row>
    <row r="385" spans="6:8" ht="12.75">
      <c r="F385" s="12"/>
      <c r="H385" s="12"/>
    </row>
    <row r="386" spans="6:8" ht="12.75">
      <c r="F386" s="12"/>
      <c r="H386" s="12"/>
    </row>
    <row r="387" spans="6:8" ht="12.75">
      <c r="F387" s="12"/>
      <c r="H387" s="12"/>
    </row>
    <row r="388" spans="6:8" ht="12.75">
      <c r="F388" s="12"/>
      <c r="H388" s="12"/>
    </row>
    <row r="389" spans="6:8" ht="12.75">
      <c r="F389" s="12"/>
      <c r="H389" s="12"/>
    </row>
    <row r="390" spans="6:8" ht="12.75">
      <c r="F390" s="12"/>
      <c r="H390" s="12"/>
    </row>
    <row r="391" spans="6:8" ht="12.75">
      <c r="F391" s="12"/>
      <c r="H391" s="12"/>
    </row>
    <row r="392" spans="6:8" ht="12.75">
      <c r="F392" s="12"/>
      <c r="H392" s="12"/>
    </row>
    <row r="393" spans="6:8" ht="12.75">
      <c r="F393" s="12"/>
      <c r="H393" s="12"/>
    </row>
    <row r="394" spans="6:8" ht="12.75">
      <c r="F394" s="12"/>
      <c r="H394" s="12"/>
    </row>
    <row r="395" spans="6:8" ht="12.75">
      <c r="F395" s="12"/>
      <c r="H395" s="12"/>
    </row>
    <row r="396" spans="6:8" ht="12.75">
      <c r="F396" s="12"/>
      <c r="H396" s="12"/>
    </row>
    <row r="397" spans="6:8" ht="12.75">
      <c r="F397" s="12"/>
      <c r="H397" s="12"/>
    </row>
    <row r="398" spans="6:8" ht="12.75">
      <c r="F398" s="12"/>
      <c r="H398" s="12"/>
    </row>
    <row r="399" spans="6:8" ht="12.75">
      <c r="F399" s="12"/>
      <c r="H399" s="12"/>
    </row>
    <row r="400" spans="6:8" ht="12.75">
      <c r="F400" s="12"/>
      <c r="H400" s="12"/>
    </row>
    <row r="401" spans="6:8" ht="12.75">
      <c r="F401" s="12"/>
      <c r="H401" s="12"/>
    </row>
    <row r="402" spans="6:8" ht="12.75">
      <c r="F402" s="12"/>
      <c r="H402" s="12"/>
    </row>
    <row r="403" spans="6:8" ht="12.75">
      <c r="F403" s="12"/>
      <c r="H403" s="12"/>
    </row>
    <row r="404" spans="6:8" ht="12.75">
      <c r="F404" s="12"/>
      <c r="H404" s="12"/>
    </row>
    <row r="405" spans="6:8" ht="12.75">
      <c r="F405" s="12"/>
      <c r="H405" s="12"/>
    </row>
    <row r="406" spans="6:8" ht="12.75">
      <c r="F406" s="12"/>
      <c r="H406" s="12"/>
    </row>
    <row r="407" spans="6:8" ht="12.75">
      <c r="F407" s="12"/>
      <c r="H407" s="12"/>
    </row>
    <row r="408" spans="6:8" ht="12.75">
      <c r="F408" s="12"/>
      <c r="H408" s="12"/>
    </row>
    <row r="409" spans="6:8" ht="12.75">
      <c r="F409" s="12"/>
      <c r="H409" s="12"/>
    </row>
    <row r="410" spans="6:8" ht="12.75">
      <c r="F410" s="12"/>
      <c r="H410" s="12"/>
    </row>
    <row r="411" spans="6:8" ht="12.75">
      <c r="F411" s="12"/>
      <c r="H411" s="12"/>
    </row>
    <row r="412" spans="6:8" ht="12.75">
      <c r="F412" s="12"/>
      <c r="H412" s="12"/>
    </row>
    <row r="413" spans="6:8" ht="12.75">
      <c r="F413" s="12"/>
      <c r="H413" s="12"/>
    </row>
    <row r="414" spans="6:8" ht="12.75">
      <c r="F414" s="12"/>
      <c r="H414" s="12"/>
    </row>
    <row r="415" spans="6:8" ht="12.75">
      <c r="F415" s="12"/>
      <c r="H415" s="12"/>
    </row>
    <row r="416" spans="6:8" ht="12.75">
      <c r="F416" s="12"/>
      <c r="H416" s="12"/>
    </row>
    <row r="417" spans="6:8" ht="12.75">
      <c r="F417" s="12"/>
      <c r="H417" s="12"/>
    </row>
    <row r="418" spans="6:8" ht="12.75">
      <c r="F418" s="12"/>
      <c r="H418" s="12"/>
    </row>
    <row r="419" spans="6:8" ht="12.75">
      <c r="F419" s="12"/>
      <c r="H419" s="12"/>
    </row>
    <row r="420" spans="6:8" ht="12.75">
      <c r="F420" s="12"/>
      <c r="H420" s="12"/>
    </row>
    <row r="421" spans="6:8" ht="12.75">
      <c r="F421" s="12"/>
      <c r="H421" s="12"/>
    </row>
    <row r="422" spans="6:8" ht="12.75">
      <c r="F422" s="12"/>
      <c r="H422" s="12"/>
    </row>
    <row r="423" spans="6:8" ht="12.75">
      <c r="F423" s="12"/>
      <c r="H423" s="12"/>
    </row>
    <row r="424" spans="6:8" ht="12.75">
      <c r="F424" s="12"/>
      <c r="H424" s="12"/>
    </row>
    <row r="425" spans="6:8" ht="12.75">
      <c r="F425" s="12"/>
      <c r="H425" s="12"/>
    </row>
    <row r="426" spans="6:8" ht="12.75">
      <c r="F426" s="12"/>
      <c r="H426" s="12"/>
    </row>
    <row r="427" spans="6:8" ht="12.75">
      <c r="F427" s="12"/>
      <c r="H427" s="12"/>
    </row>
    <row r="428" spans="6:8" ht="12.75">
      <c r="F428" s="12"/>
      <c r="H428" s="12"/>
    </row>
    <row r="429" spans="6:8" ht="12.75">
      <c r="F429" s="12"/>
      <c r="H429" s="12"/>
    </row>
    <row r="430" spans="6:8" ht="12.75">
      <c r="F430" s="12"/>
      <c r="H430" s="12"/>
    </row>
    <row r="431" spans="6:8" ht="12.75">
      <c r="F431" s="12"/>
      <c r="H431" s="12"/>
    </row>
    <row r="432" spans="6:8" ht="12.75">
      <c r="F432" s="12"/>
      <c r="H432" s="12"/>
    </row>
    <row r="433" spans="6:8" ht="12.75">
      <c r="F433" s="12"/>
      <c r="H433" s="12"/>
    </row>
    <row r="434" spans="6:8" ht="12.75">
      <c r="F434" s="12"/>
      <c r="H434" s="12"/>
    </row>
    <row r="435" spans="6:8" ht="12.75">
      <c r="F435" s="12"/>
      <c r="H435" s="12"/>
    </row>
    <row r="436" spans="6:8" ht="12.75">
      <c r="F436" s="12"/>
      <c r="H436" s="12"/>
    </row>
    <row r="437" spans="6:8" ht="12.75">
      <c r="F437" s="12"/>
      <c r="H437" s="12"/>
    </row>
    <row r="438" spans="6:8" ht="12.75">
      <c r="F438" s="12"/>
      <c r="H438" s="12"/>
    </row>
    <row r="439" spans="6:8" ht="12.75">
      <c r="F439" s="12"/>
      <c r="H439" s="12"/>
    </row>
    <row r="440" spans="6:8" ht="12.75">
      <c r="F440" s="12"/>
      <c r="H440" s="12"/>
    </row>
    <row r="441" spans="6:8" ht="12.75">
      <c r="F441" s="12"/>
      <c r="H441" s="12"/>
    </row>
    <row r="442" spans="6:8" ht="12.75">
      <c r="F442" s="12"/>
      <c r="H442" s="12"/>
    </row>
    <row r="443" spans="6:8" ht="12.75">
      <c r="F443" s="12"/>
      <c r="H443" s="12"/>
    </row>
    <row r="444" spans="6:8" ht="12.75">
      <c r="F444" s="12"/>
      <c r="H444" s="12"/>
    </row>
    <row r="445" spans="6:8" ht="12.75">
      <c r="F445" s="12"/>
      <c r="H445" s="12"/>
    </row>
    <row r="446" spans="6:8" ht="12.75">
      <c r="F446" s="12"/>
      <c r="H446" s="12"/>
    </row>
    <row r="447" spans="6:8" ht="12.75">
      <c r="F447" s="12"/>
      <c r="H447" s="12"/>
    </row>
    <row r="448" spans="6:8" ht="12.75">
      <c r="F448" s="12"/>
      <c r="H448" s="12"/>
    </row>
    <row r="449" spans="6:8" ht="12.75">
      <c r="F449" s="12"/>
      <c r="H449" s="12"/>
    </row>
    <row r="450" spans="6:8" ht="12.75">
      <c r="F450" s="12"/>
      <c r="H450" s="12"/>
    </row>
    <row r="451" spans="6:8" ht="12.75">
      <c r="F451" s="12"/>
      <c r="H451" s="12"/>
    </row>
    <row r="452" spans="6:8" ht="12.75">
      <c r="F452" s="12"/>
      <c r="H452" s="12"/>
    </row>
    <row r="453" spans="6:8" ht="12.75">
      <c r="F453" s="12"/>
      <c r="H453" s="12"/>
    </row>
    <row r="454" spans="6:8" ht="12.75">
      <c r="F454" s="12"/>
      <c r="H454" s="12"/>
    </row>
    <row r="455" spans="6:8" ht="12.75">
      <c r="F455" s="12"/>
      <c r="H455" s="12"/>
    </row>
    <row r="456" spans="6:8" ht="12.75">
      <c r="F456" s="12"/>
      <c r="H456" s="12"/>
    </row>
    <row r="457" spans="6:8" ht="12.75">
      <c r="F457" s="12"/>
      <c r="H457" s="12"/>
    </row>
    <row r="458" spans="6:8" ht="12.75">
      <c r="F458" s="12"/>
      <c r="H458" s="12"/>
    </row>
    <row r="459" spans="6:8" ht="12.75">
      <c r="F459" s="12"/>
      <c r="H459" s="12"/>
    </row>
    <row r="460" spans="6:8" ht="12.75">
      <c r="F460" s="12"/>
      <c r="H460" s="12"/>
    </row>
    <row r="461" spans="6:8" ht="12.75">
      <c r="F461" s="12"/>
      <c r="H461" s="12"/>
    </row>
    <row r="462" spans="6:8" ht="12.75">
      <c r="F462" s="12"/>
      <c r="H462" s="12"/>
    </row>
    <row r="463" spans="6:8" ht="12.75">
      <c r="F463" s="12"/>
      <c r="H463" s="12"/>
    </row>
    <row r="464" spans="6:8" ht="12.75">
      <c r="F464" s="12"/>
      <c r="H464" s="12"/>
    </row>
    <row r="465" spans="6:8" ht="12.75">
      <c r="F465" s="12"/>
      <c r="H465" s="12"/>
    </row>
    <row r="466" spans="6:8" ht="12.75">
      <c r="F466" s="12"/>
      <c r="H466" s="12"/>
    </row>
    <row r="467" spans="6:8" ht="12.75">
      <c r="F467" s="12"/>
      <c r="H467" s="12"/>
    </row>
    <row r="468" spans="6:8" ht="12.75">
      <c r="F468" s="12"/>
      <c r="H468" s="12"/>
    </row>
    <row r="469" spans="6:8" ht="12.75">
      <c r="F469" s="12"/>
      <c r="H469" s="12"/>
    </row>
    <row r="470" spans="6:8" ht="12.75">
      <c r="F470" s="12"/>
      <c r="H470" s="12"/>
    </row>
    <row r="471" spans="6:8" ht="12.75">
      <c r="F471" s="12"/>
      <c r="H471" s="12"/>
    </row>
    <row r="472" spans="6:8" ht="12.75">
      <c r="F472" s="12"/>
      <c r="H472" s="12"/>
    </row>
    <row r="473" spans="6:8" ht="12.75">
      <c r="F473" s="12"/>
      <c r="H473" s="12"/>
    </row>
    <row r="474" spans="6:8" ht="12.75">
      <c r="F474" s="12"/>
      <c r="H474" s="12"/>
    </row>
    <row r="475" spans="6:8" ht="12.75">
      <c r="F475" s="12"/>
      <c r="H475" s="12"/>
    </row>
    <row r="476" spans="6:8" ht="12.75">
      <c r="F476" s="12"/>
      <c r="H476" s="12"/>
    </row>
    <row r="477" spans="6:8" ht="12.75">
      <c r="F477" s="12"/>
      <c r="H477" s="12"/>
    </row>
    <row r="478" spans="6:8" ht="12.75">
      <c r="F478" s="12"/>
      <c r="H478" s="12"/>
    </row>
    <row r="479" spans="6:8" ht="12.75">
      <c r="F479" s="12"/>
      <c r="H479" s="12"/>
    </row>
    <row r="480" spans="6:8" ht="12.75">
      <c r="F480" s="12"/>
      <c r="H480" s="12"/>
    </row>
    <row r="481" spans="6:8" ht="12.75">
      <c r="F481" s="12"/>
      <c r="H481" s="12"/>
    </row>
    <row r="482" spans="6:8" ht="12.75">
      <c r="F482" s="12"/>
      <c r="H482" s="12"/>
    </row>
    <row r="483" spans="6:8" ht="12.75">
      <c r="F483" s="12"/>
      <c r="H483" s="12"/>
    </row>
    <row r="484" spans="6:8" ht="12.75">
      <c r="F484" s="12"/>
      <c r="H484" s="12"/>
    </row>
    <row r="485" spans="6:8" ht="12.75">
      <c r="F485" s="12"/>
      <c r="H485" s="12"/>
    </row>
    <row r="486" spans="6:8" ht="12.75">
      <c r="F486" s="12"/>
      <c r="H486" s="12"/>
    </row>
    <row r="487" spans="6:8" ht="12.75">
      <c r="F487" s="12"/>
      <c r="H487" s="12"/>
    </row>
    <row r="488" spans="6:8" ht="12.75">
      <c r="F488" s="12"/>
      <c r="H488" s="12"/>
    </row>
    <row r="489" spans="6:8" ht="12.75">
      <c r="F489" s="12"/>
      <c r="H489" s="12"/>
    </row>
    <row r="490" spans="6:8" ht="12.75">
      <c r="F490" s="12"/>
      <c r="H490" s="12"/>
    </row>
    <row r="491" spans="6:8" ht="12.75">
      <c r="F491" s="12"/>
      <c r="H491" s="12"/>
    </row>
    <row r="492" spans="6:8" ht="12.75">
      <c r="F492" s="12"/>
      <c r="H492" s="12"/>
    </row>
    <row r="493" spans="6:8" ht="12.75">
      <c r="F493" s="12"/>
      <c r="H493" s="12"/>
    </row>
    <row r="494" spans="6:8" ht="12.75">
      <c r="F494" s="12"/>
      <c r="H494" s="12"/>
    </row>
    <row r="495" spans="6:8" ht="12.75">
      <c r="F495" s="12"/>
      <c r="H495" s="12"/>
    </row>
    <row r="496" spans="6:8" ht="12.75">
      <c r="F496" s="12"/>
      <c r="H496" s="12"/>
    </row>
    <row r="497" spans="6:8" ht="12.75">
      <c r="F497" s="12"/>
      <c r="H497" s="12"/>
    </row>
    <row r="498" spans="6:8" ht="12.75">
      <c r="F498" s="12"/>
      <c r="H498" s="12"/>
    </row>
    <row r="499" spans="6:8" ht="12.75">
      <c r="F499" s="12"/>
      <c r="H499" s="12"/>
    </row>
    <row r="500" spans="6:8" ht="12.75">
      <c r="F500" s="12"/>
      <c r="H500" s="12"/>
    </row>
    <row r="501" spans="6:8" ht="12.75">
      <c r="F501" s="12"/>
      <c r="H501" s="12"/>
    </row>
    <row r="502" spans="6:8" ht="12.75">
      <c r="F502" s="12"/>
      <c r="H502" s="12"/>
    </row>
    <row r="503" spans="6:8" ht="12.75">
      <c r="F503" s="12"/>
      <c r="H503" s="12"/>
    </row>
    <row r="504" spans="6:8" ht="12.75">
      <c r="F504" s="12"/>
      <c r="H504" s="12"/>
    </row>
    <row r="505" spans="6:8" ht="12.75">
      <c r="F505" s="12"/>
      <c r="H505" s="12"/>
    </row>
    <row r="506" spans="6:8" ht="12.75">
      <c r="F506" s="12"/>
      <c r="H506" s="12"/>
    </row>
    <row r="507" spans="6:8" ht="12.75">
      <c r="F507" s="12"/>
      <c r="H507" s="12"/>
    </row>
    <row r="508" spans="6:8" ht="12.75">
      <c r="F508" s="12"/>
      <c r="H508" s="12"/>
    </row>
    <row r="509" spans="6:8" ht="12.75">
      <c r="F509" s="12"/>
      <c r="H509" s="12"/>
    </row>
    <row r="510" spans="6:8" ht="12.75">
      <c r="F510" s="12"/>
      <c r="H510" s="12"/>
    </row>
    <row r="511" spans="6:8" ht="12.75">
      <c r="F511" s="12"/>
      <c r="H511" s="12"/>
    </row>
    <row r="512" spans="6:8" ht="12.75">
      <c r="F512" s="12"/>
      <c r="H512" s="12"/>
    </row>
    <row r="513" spans="6:8" ht="12.75">
      <c r="F513" s="12"/>
      <c r="H513" s="12"/>
    </row>
    <row r="514" spans="6:8" ht="12.75">
      <c r="F514" s="12"/>
      <c r="H514" s="12"/>
    </row>
    <row r="515" spans="6:8" ht="12.75">
      <c r="F515" s="12"/>
      <c r="H515" s="12"/>
    </row>
    <row r="516" spans="6:8" ht="12.75">
      <c r="F516" s="12"/>
      <c r="H516" s="12"/>
    </row>
    <row r="517" spans="6:8" ht="12.75">
      <c r="F517" s="12"/>
      <c r="H517" s="12"/>
    </row>
    <row r="518" spans="6:8" ht="12.75">
      <c r="F518" s="12"/>
      <c r="H518" s="12"/>
    </row>
    <row r="519" spans="6:8" ht="12.75">
      <c r="F519" s="12"/>
      <c r="H519" s="12"/>
    </row>
    <row r="520" spans="6:8" ht="12.75">
      <c r="F520" s="12"/>
      <c r="H520" s="12"/>
    </row>
    <row r="521" spans="6:8" ht="12.75">
      <c r="F521" s="12"/>
      <c r="H521" s="12"/>
    </row>
    <row r="522" spans="6:8" ht="12.75">
      <c r="F522" s="12"/>
      <c r="H522" s="12"/>
    </row>
    <row r="523" spans="6:8" ht="12.75">
      <c r="F523" s="12"/>
      <c r="H523" s="12"/>
    </row>
    <row r="524" spans="6:8" ht="12.75">
      <c r="F524" s="12"/>
      <c r="H524" s="12"/>
    </row>
    <row r="525" spans="6:8" ht="12.75">
      <c r="F525" s="12"/>
      <c r="H525" s="12"/>
    </row>
    <row r="526" spans="6:8" ht="12.75">
      <c r="F526" s="12"/>
      <c r="H526" s="12"/>
    </row>
    <row r="527" spans="6:8" ht="12.75">
      <c r="F527" s="12"/>
      <c r="H527" s="12"/>
    </row>
    <row r="528" spans="6:8" ht="12.75">
      <c r="F528" s="12"/>
      <c r="H528" s="12"/>
    </row>
    <row r="529" spans="6:8" ht="12.75">
      <c r="F529" s="12"/>
      <c r="H529" s="12"/>
    </row>
    <row r="530" spans="6:8" ht="12.75">
      <c r="F530" s="12"/>
      <c r="H530" s="12"/>
    </row>
    <row r="531" spans="6:8" ht="12.75">
      <c r="F531" s="12"/>
      <c r="H531" s="12"/>
    </row>
    <row r="532" spans="6:8" ht="12.75">
      <c r="F532" s="12"/>
      <c r="H532" s="12"/>
    </row>
    <row r="533" spans="6:8" ht="12.75">
      <c r="F533" s="12"/>
      <c r="H533" s="12"/>
    </row>
    <row r="534" spans="6:8" ht="12.75">
      <c r="F534" s="12"/>
      <c r="H534" s="12"/>
    </row>
    <row r="535" spans="6:8" ht="12.75">
      <c r="F535" s="12"/>
      <c r="H535" s="12"/>
    </row>
    <row r="536" spans="6:8" ht="12.75">
      <c r="F536" s="12"/>
      <c r="H536" s="12"/>
    </row>
    <row r="537" spans="6:8" ht="12.75">
      <c r="F537" s="12"/>
      <c r="H537" s="12"/>
    </row>
    <row r="538" spans="6:8" ht="12.75">
      <c r="F538" s="12"/>
      <c r="H538" s="12"/>
    </row>
    <row r="539" spans="6:8" ht="12.75">
      <c r="F539" s="12"/>
      <c r="H539" s="12"/>
    </row>
    <row r="540" spans="6:8" ht="12.75">
      <c r="F540" s="12"/>
      <c r="H540" s="12"/>
    </row>
    <row r="541" spans="6:8" ht="12.75">
      <c r="F541" s="12"/>
      <c r="H541" s="12"/>
    </row>
    <row r="542" spans="6:8" ht="12.75">
      <c r="F542" s="12"/>
      <c r="H542" s="12"/>
    </row>
    <row r="543" spans="6:8" ht="12.75">
      <c r="F543" s="12"/>
      <c r="H543" s="12"/>
    </row>
    <row r="544" spans="6:8" ht="12.75">
      <c r="F544" s="12"/>
      <c r="H544" s="12"/>
    </row>
    <row r="545" spans="6:8" ht="12.75">
      <c r="F545" s="12"/>
      <c r="H545" s="12"/>
    </row>
    <row r="546" spans="6:8" ht="12.75">
      <c r="F546" s="12"/>
      <c r="H546" s="12"/>
    </row>
    <row r="547" spans="6:8" ht="12.75">
      <c r="F547" s="12"/>
      <c r="H547" s="12"/>
    </row>
    <row r="548" spans="6:8" ht="12.75">
      <c r="F548" s="12"/>
      <c r="H548" s="12"/>
    </row>
    <row r="549" spans="6:8" ht="12.75">
      <c r="F549" s="12"/>
      <c r="H549" s="12"/>
    </row>
    <row r="550" spans="6:8" ht="12.75">
      <c r="F550" s="12"/>
      <c r="H550" s="12"/>
    </row>
    <row r="551" spans="6:8" ht="12.75">
      <c r="F551" s="12"/>
      <c r="H551" s="12"/>
    </row>
    <row r="552" spans="6:8" ht="12.75">
      <c r="F552" s="12"/>
      <c r="H552" s="12"/>
    </row>
    <row r="553" spans="6:8" ht="12.75">
      <c r="F553" s="12"/>
      <c r="H553" s="12"/>
    </row>
    <row r="554" spans="6:8" ht="12.75">
      <c r="F554" s="12"/>
      <c r="H554" s="12"/>
    </row>
    <row r="555" spans="6:8" ht="12.75">
      <c r="F555" s="12"/>
      <c r="H555" s="12"/>
    </row>
    <row r="556" spans="6:8" ht="12.75">
      <c r="F556" s="12"/>
      <c r="H556" s="12"/>
    </row>
    <row r="557" spans="6:8" ht="12.75">
      <c r="F557" s="12"/>
      <c r="H557" s="12"/>
    </row>
    <row r="558" spans="6:8" ht="12.75">
      <c r="F558" s="12"/>
      <c r="H558" s="12"/>
    </row>
    <row r="559" spans="6:8" ht="12.75">
      <c r="F559" s="12"/>
      <c r="H559" s="12"/>
    </row>
    <row r="560" spans="6:8" ht="12.75">
      <c r="F560" s="12"/>
      <c r="H560" s="12"/>
    </row>
    <row r="561" spans="6:8" ht="12.75">
      <c r="F561" s="12"/>
      <c r="H561" s="12"/>
    </row>
    <row r="562" spans="6:8" ht="12.75">
      <c r="F562" s="12"/>
      <c r="H562" s="12"/>
    </row>
    <row r="563" spans="6:8" ht="12.75">
      <c r="F563" s="12"/>
      <c r="H563" s="12"/>
    </row>
    <row r="564" spans="6:8" ht="12.75">
      <c r="F564" s="12"/>
      <c r="H564" s="12"/>
    </row>
    <row r="565" spans="6:8" ht="12.75">
      <c r="F565" s="12"/>
      <c r="H565" s="12"/>
    </row>
    <row r="566" spans="6:8" ht="12.75">
      <c r="F566" s="12"/>
      <c r="H566" s="12"/>
    </row>
    <row r="567" spans="6:8" ht="12.75">
      <c r="F567" s="12"/>
      <c r="H567" s="12"/>
    </row>
    <row r="568" spans="6:8" ht="12.75">
      <c r="F568" s="12"/>
      <c r="H568" s="12"/>
    </row>
    <row r="569" spans="6:8" ht="12.75">
      <c r="F569" s="12"/>
      <c r="H569" s="12"/>
    </row>
    <row r="570" spans="6:8" ht="12.75">
      <c r="F570" s="12"/>
      <c r="H570" s="12"/>
    </row>
    <row r="571" spans="6:8" ht="12.75">
      <c r="F571" s="12"/>
      <c r="H571" s="12"/>
    </row>
    <row r="572" spans="6:8" ht="12.75">
      <c r="F572" s="12"/>
      <c r="H572" s="12"/>
    </row>
    <row r="573" spans="6:8" ht="12.75">
      <c r="F573" s="12"/>
      <c r="H573" s="12"/>
    </row>
    <row r="574" spans="6:8" ht="12.75">
      <c r="F574" s="12"/>
      <c r="H574" s="12"/>
    </row>
    <row r="575" spans="6:8" ht="12.75">
      <c r="F575" s="12"/>
      <c r="H575" s="12"/>
    </row>
    <row r="576" spans="6:8" ht="12.75">
      <c r="F576" s="12"/>
      <c r="H576" s="12"/>
    </row>
    <row r="577" spans="6:8" ht="12.75">
      <c r="F577" s="12"/>
      <c r="H577" s="12"/>
    </row>
    <row r="578" spans="6:8" ht="12.75">
      <c r="F578" s="12"/>
      <c r="H578" s="12"/>
    </row>
    <row r="579" spans="6:8" ht="12.75">
      <c r="F579" s="12"/>
      <c r="H579" s="12"/>
    </row>
    <row r="580" spans="6:8" ht="12.75">
      <c r="F580" s="12"/>
      <c r="H580" s="12"/>
    </row>
    <row r="581" spans="6:8" ht="12.75">
      <c r="F581" s="12"/>
      <c r="H581" s="12"/>
    </row>
    <row r="582" spans="6:8" ht="12.75">
      <c r="F582" s="12"/>
      <c r="H582" s="12"/>
    </row>
    <row r="583" spans="6:8" ht="12.75">
      <c r="F583" s="12"/>
      <c r="H583" s="12"/>
    </row>
    <row r="584" spans="6:8" ht="12.75">
      <c r="F584" s="12"/>
      <c r="H584" s="12"/>
    </row>
    <row r="585" spans="6:8" ht="12.75">
      <c r="F585" s="12"/>
      <c r="H585" s="12"/>
    </row>
    <row r="586" spans="6:8" ht="12.75">
      <c r="F586" s="12"/>
      <c r="H586" s="12"/>
    </row>
    <row r="587" spans="6:8" ht="12.75">
      <c r="F587" s="12"/>
      <c r="H587" s="12"/>
    </row>
    <row r="588" spans="6:8" ht="12.75">
      <c r="F588" s="12"/>
      <c r="H588" s="12"/>
    </row>
    <row r="589" spans="6:8" ht="12.75">
      <c r="F589" s="12"/>
      <c r="H589" s="12"/>
    </row>
    <row r="590" spans="6:8" ht="12.75">
      <c r="F590" s="12"/>
      <c r="H590" s="12"/>
    </row>
    <row r="591" spans="6:8" ht="12.75">
      <c r="F591" s="12"/>
      <c r="H591" s="12"/>
    </row>
    <row r="592" spans="6:8" ht="12.75">
      <c r="F592" s="12"/>
      <c r="H592" s="12"/>
    </row>
    <row r="593" spans="6:8" ht="12.75">
      <c r="F593" s="12"/>
      <c r="H593" s="12"/>
    </row>
    <row r="594" spans="6:8" ht="12.75">
      <c r="F594" s="12"/>
      <c r="H594" s="12"/>
    </row>
    <row r="595" spans="6:8" ht="12.75">
      <c r="F595" s="12"/>
      <c r="H595" s="12"/>
    </row>
    <row r="596" spans="6:8" ht="12.75">
      <c r="F596" s="12"/>
      <c r="H596" s="12"/>
    </row>
    <row r="597" spans="6:8" ht="12.75">
      <c r="F597" s="12"/>
      <c r="H597" s="12"/>
    </row>
    <row r="598" spans="6:8" ht="12.75">
      <c r="F598" s="12"/>
      <c r="H598" s="12"/>
    </row>
    <row r="599" spans="6:8" ht="12.75">
      <c r="F599" s="12"/>
      <c r="H599" s="12"/>
    </row>
    <row r="600" spans="6:8" ht="12.75">
      <c r="F600" s="12"/>
      <c r="H600" s="12"/>
    </row>
    <row r="601" spans="6:8" ht="12.75">
      <c r="F601" s="12"/>
      <c r="H601" s="12"/>
    </row>
    <row r="602" spans="6:8" ht="12.75">
      <c r="F602" s="12"/>
      <c r="H602" s="12"/>
    </row>
    <row r="603" spans="6:8" ht="12.75">
      <c r="F603" s="12"/>
      <c r="H603" s="12"/>
    </row>
    <row r="604" spans="6:8" ht="12.75">
      <c r="F604" s="12"/>
      <c r="H604" s="12"/>
    </row>
    <row r="605" spans="6:8" ht="12.75">
      <c r="F605" s="12"/>
      <c r="H605" s="12"/>
    </row>
    <row r="606" spans="6:8" ht="12.75">
      <c r="F606" s="12"/>
      <c r="H606" s="12"/>
    </row>
    <row r="607" spans="6:8" ht="12.75">
      <c r="F607" s="12"/>
      <c r="H607" s="12"/>
    </row>
    <row r="608" spans="6:8" ht="12.75">
      <c r="F608" s="12"/>
      <c r="H608" s="12"/>
    </row>
    <row r="609" spans="6:8" ht="12.75">
      <c r="F609" s="12"/>
      <c r="H609" s="12"/>
    </row>
    <row r="610" spans="6:8" ht="12.75">
      <c r="F610" s="12"/>
      <c r="H610" s="12"/>
    </row>
    <row r="611" spans="6:8" ht="12.75">
      <c r="F611" s="12"/>
      <c r="H611" s="12"/>
    </row>
    <row r="612" spans="6:8" ht="12.75">
      <c r="F612" s="12"/>
      <c r="H612" s="12"/>
    </row>
    <row r="613" spans="6:8" ht="12.75">
      <c r="F613" s="12"/>
      <c r="H613" s="12"/>
    </row>
    <row r="614" spans="6:8" ht="12.75">
      <c r="F614" s="12"/>
      <c r="H614" s="12"/>
    </row>
    <row r="615" spans="6:8" ht="12.75">
      <c r="F615" s="12"/>
      <c r="H615" s="12"/>
    </row>
    <row r="616" spans="6:8" ht="12.75">
      <c r="F616" s="12"/>
      <c r="H616" s="12"/>
    </row>
    <row r="617" spans="6:8" ht="12.75">
      <c r="F617" s="12"/>
      <c r="H617" s="12"/>
    </row>
    <row r="618" spans="6:8" ht="12.75">
      <c r="F618" s="12"/>
      <c r="H618" s="12"/>
    </row>
    <row r="619" spans="6:8" ht="12.75">
      <c r="F619" s="12"/>
      <c r="H619" s="12"/>
    </row>
    <row r="620" spans="6:8" ht="12.75">
      <c r="F620" s="12"/>
      <c r="H620" s="12"/>
    </row>
    <row r="621" spans="6:8" ht="12.75">
      <c r="F621" s="12"/>
      <c r="H621" s="12"/>
    </row>
    <row r="622" spans="6:8" ht="12.75">
      <c r="F622" s="12"/>
      <c r="H622" s="12"/>
    </row>
    <row r="623" spans="6:8" ht="12.75">
      <c r="F623" s="12"/>
      <c r="H623" s="12"/>
    </row>
    <row r="624" spans="6:8" ht="12.75">
      <c r="F624" s="12"/>
      <c r="H624" s="12"/>
    </row>
    <row r="625" spans="6:8" ht="12.75">
      <c r="F625" s="12"/>
      <c r="H625" s="12"/>
    </row>
    <row r="626" spans="6:8" ht="12.75">
      <c r="F626" s="12"/>
      <c r="H626" s="12"/>
    </row>
    <row r="627" spans="6:8" ht="12.75">
      <c r="F627" s="12"/>
      <c r="H627" s="12"/>
    </row>
    <row r="628" spans="6:8" ht="12.75">
      <c r="F628" s="12"/>
      <c r="H628" s="12"/>
    </row>
    <row r="629" spans="6:8" ht="12.75">
      <c r="F629" s="12"/>
      <c r="H629" s="12"/>
    </row>
    <row r="630" spans="6:8" ht="12.75">
      <c r="F630" s="12"/>
      <c r="H630" s="12"/>
    </row>
    <row r="631" spans="6:8" ht="12.75">
      <c r="F631" s="12"/>
      <c r="H631" s="12"/>
    </row>
    <row r="632" spans="6:8" ht="12.75">
      <c r="F632" s="12"/>
      <c r="H632" s="12"/>
    </row>
    <row r="633" spans="6:8" ht="12.75">
      <c r="F633" s="12"/>
      <c r="H633" s="12"/>
    </row>
    <row r="634" spans="6:8" ht="12.75">
      <c r="F634" s="12"/>
      <c r="H634" s="12"/>
    </row>
    <row r="635" spans="6:8" ht="12.75">
      <c r="F635" s="12"/>
      <c r="H635" s="12"/>
    </row>
    <row r="636" spans="6:8" ht="12.75">
      <c r="F636" s="12"/>
      <c r="H636" s="12"/>
    </row>
    <row r="637" spans="6:8" ht="12.75">
      <c r="F637" s="12"/>
      <c r="H637" s="12"/>
    </row>
    <row r="638" spans="6:8" ht="12.75">
      <c r="F638" s="12"/>
      <c r="H638" s="12"/>
    </row>
    <row r="639" spans="6:8" ht="12.75">
      <c r="F639" s="12"/>
      <c r="H639" s="12"/>
    </row>
    <row r="640" spans="6:8" ht="12.75">
      <c r="F640" s="12"/>
      <c r="H640" s="12"/>
    </row>
    <row r="641" spans="6:8" ht="12.75">
      <c r="F641" s="12"/>
      <c r="H641" s="12"/>
    </row>
    <row r="642" spans="6:8" ht="12.75">
      <c r="F642" s="12"/>
      <c r="H642" s="12"/>
    </row>
    <row r="643" spans="6:8" ht="12.75">
      <c r="F643" s="12"/>
      <c r="H643" s="12"/>
    </row>
    <row r="644" spans="6:8" ht="12.75">
      <c r="F644" s="12"/>
      <c r="H644" s="12"/>
    </row>
    <row r="645" spans="6:8" ht="12.75">
      <c r="F645" s="12"/>
      <c r="H645" s="12"/>
    </row>
    <row r="646" spans="6:8" ht="12.75">
      <c r="F646" s="12"/>
      <c r="H646" s="12"/>
    </row>
    <row r="647" spans="6:8" ht="12.75">
      <c r="F647" s="12"/>
      <c r="H647" s="12"/>
    </row>
    <row r="648" spans="6:8" ht="12.75">
      <c r="F648" s="12"/>
      <c r="H648" s="12"/>
    </row>
    <row r="649" spans="6:8" ht="12.75">
      <c r="F649" s="12"/>
      <c r="H649" s="12"/>
    </row>
    <row r="650" spans="6:8" ht="12.75">
      <c r="F650" s="12"/>
      <c r="H650" s="12"/>
    </row>
    <row r="651" spans="6:8" ht="12.75">
      <c r="F651" s="12"/>
      <c r="H651" s="12"/>
    </row>
    <row r="652" spans="6:8" ht="12.75">
      <c r="F652" s="12"/>
      <c r="H652" s="12"/>
    </row>
    <row r="653" spans="6:8" ht="12.75">
      <c r="F653" s="12"/>
      <c r="H653" s="12"/>
    </row>
    <row r="654" spans="6:8" ht="12.75">
      <c r="F654" s="12"/>
      <c r="H654" s="12"/>
    </row>
    <row r="655" spans="6:8" ht="12.75">
      <c r="F655" s="12"/>
      <c r="H655" s="12"/>
    </row>
    <row r="656" spans="6:8" ht="12.75">
      <c r="F656" s="12"/>
      <c r="H656" s="12"/>
    </row>
    <row r="657" spans="6:8" ht="12.75">
      <c r="F657" s="12"/>
      <c r="H657" s="12"/>
    </row>
    <row r="658" spans="6:8" ht="12.75">
      <c r="F658" s="12"/>
      <c r="H658" s="12"/>
    </row>
    <row r="659" spans="6:8" ht="12.75">
      <c r="F659" s="12"/>
      <c r="H659" s="12"/>
    </row>
    <row r="660" spans="6:8" ht="12.75">
      <c r="F660" s="12"/>
      <c r="H660" s="12"/>
    </row>
    <row r="661" spans="6:8" ht="12.75">
      <c r="F661" s="12"/>
      <c r="H661" s="12"/>
    </row>
    <row r="662" spans="6:8" ht="12.75">
      <c r="F662" s="12"/>
      <c r="H662" s="12"/>
    </row>
    <row r="663" spans="6:8" ht="12.75">
      <c r="F663" s="12"/>
      <c r="H663" s="12"/>
    </row>
    <row r="664" spans="6:8" ht="12.75">
      <c r="F664" s="12"/>
      <c r="H664" s="12"/>
    </row>
    <row r="665" spans="6:8" ht="12.75">
      <c r="F665" s="12"/>
      <c r="H665" s="12"/>
    </row>
    <row r="666" spans="6:8" ht="12.75">
      <c r="F666" s="12"/>
      <c r="H666" s="12"/>
    </row>
    <row r="667" spans="6:8" ht="12.75">
      <c r="F667" s="12"/>
      <c r="H667" s="12"/>
    </row>
    <row r="668" spans="6:8" ht="12.75">
      <c r="F668" s="12"/>
      <c r="H668" s="12"/>
    </row>
    <row r="669" spans="6:8" ht="12.75">
      <c r="F669" s="12"/>
      <c r="H669" s="12"/>
    </row>
    <row r="670" spans="6:8" ht="12.75">
      <c r="F670" s="12"/>
      <c r="H670" s="12"/>
    </row>
    <row r="671" spans="6:8" ht="12.75">
      <c r="F671" s="12"/>
      <c r="H671" s="12"/>
    </row>
    <row r="672" spans="6:8" ht="12.75">
      <c r="F672" s="12"/>
      <c r="H672" s="12"/>
    </row>
    <row r="673" spans="6:8" ht="12.75">
      <c r="F673" s="12"/>
      <c r="H673" s="12"/>
    </row>
    <row r="674" spans="6:8" ht="12.75">
      <c r="F674" s="12"/>
      <c r="H674" s="12"/>
    </row>
    <row r="675" spans="6:8" ht="12.75">
      <c r="F675" s="12"/>
      <c r="H675" s="12"/>
    </row>
    <row r="676" spans="6:8" ht="12.75">
      <c r="F676" s="12"/>
      <c r="H676" s="12"/>
    </row>
    <row r="677" spans="6:8" ht="12.75">
      <c r="F677" s="12"/>
      <c r="H677" s="12"/>
    </row>
    <row r="678" spans="6:8" ht="12.75">
      <c r="F678" s="12"/>
      <c r="H678" s="12"/>
    </row>
    <row r="679" spans="6:8" ht="12.75">
      <c r="F679" s="12"/>
      <c r="H679" s="12"/>
    </row>
    <row r="680" spans="6:8" ht="12.75">
      <c r="F680" s="12"/>
      <c r="H680" s="12"/>
    </row>
    <row r="681" spans="6:8" ht="12.75">
      <c r="F681" s="12"/>
      <c r="H681" s="12"/>
    </row>
    <row r="682" spans="6:8" ht="12.75">
      <c r="F682" s="12"/>
      <c r="H682" s="12"/>
    </row>
    <row r="683" spans="6:8" ht="12.75">
      <c r="F683" s="12"/>
      <c r="H683" s="12"/>
    </row>
    <row r="684" spans="6:8" ht="12.75">
      <c r="F684" s="12"/>
      <c r="H684" s="12"/>
    </row>
    <row r="685" spans="6:8" ht="12.75">
      <c r="F685" s="12"/>
      <c r="H685" s="12"/>
    </row>
    <row r="686" spans="6:8" ht="12.75">
      <c r="F686" s="12"/>
      <c r="H686" s="12"/>
    </row>
    <row r="687" spans="6:8" ht="12.75">
      <c r="F687" s="12"/>
      <c r="H687" s="12"/>
    </row>
    <row r="688" spans="6:8" ht="12.75">
      <c r="F688" s="12"/>
      <c r="H688" s="12"/>
    </row>
    <row r="689" spans="6:8" ht="12.75">
      <c r="F689" s="12"/>
      <c r="H689" s="12"/>
    </row>
    <row r="690" spans="6:8" ht="12.75">
      <c r="F690" s="12"/>
      <c r="H690" s="12"/>
    </row>
    <row r="691" spans="6:8" ht="12.75">
      <c r="F691" s="12"/>
      <c r="H691" s="12"/>
    </row>
    <row r="692" spans="6:8" ht="12.75">
      <c r="F692" s="12"/>
      <c r="H692" s="12"/>
    </row>
    <row r="693" spans="6:8" ht="12.75">
      <c r="F693" s="12"/>
      <c r="H693" s="12"/>
    </row>
    <row r="694" spans="6:8" ht="12.75">
      <c r="F694" s="12"/>
      <c r="H694" s="12"/>
    </row>
    <row r="695" spans="6:8" ht="12.75">
      <c r="F695" s="12"/>
      <c r="H695" s="12"/>
    </row>
    <row r="696" spans="6:8" ht="12.75">
      <c r="F696" s="12"/>
      <c r="H696" s="12"/>
    </row>
    <row r="697" spans="6:8" ht="12.75">
      <c r="F697" s="12"/>
      <c r="H697" s="12"/>
    </row>
    <row r="698" spans="6:8" ht="12.75">
      <c r="F698" s="12"/>
      <c r="H698" s="12"/>
    </row>
    <row r="699" spans="6:8" ht="12.75">
      <c r="F699" s="12"/>
      <c r="H699" s="12"/>
    </row>
    <row r="700" spans="6:8" ht="12.75">
      <c r="F700" s="12"/>
      <c r="H700" s="12"/>
    </row>
    <row r="701" spans="6:8" ht="12.75">
      <c r="F701" s="12"/>
      <c r="H701" s="12"/>
    </row>
    <row r="702" spans="6:8" ht="12.75">
      <c r="F702" s="12"/>
      <c r="H702" s="12"/>
    </row>
    <row r="703" spans="6:8" ht="12.75">
      <c r="F703" s="12"/>
      <c r="H703" s="12"/>
    </row>
    <row r="704" spans="6:8" ht="12.75">
      <c r="F704" s="12"/>
      <c r="H704" s="12"/>
    </row>
    <row r="705" spans="6:8" ht="12.75">
      <c r="F705" s="12"/>
      <c r="H705" s="12"/>
    </row>
    <row r="706" spans="6:8" ht="12.75">
      <c r="F706" s="12"/>
      <c r="H706" s="12"/>
    </row>
    <row r="707" spans="6:8" ht="12.75">
      <c r="F707" s="12"/>
      <c r="H707" s="12"/>
    </row>
    <row r="708" spans="6:8" ht="12.75">
      <c r="F708" s="12"/>
      <c r="H708" s="12"/>
    </row>
    <row r="709" spans="6:8" ht="12.75">
      <c r="F709" s="12"/>
      <c r="H709" s="12"/>
    </row>
    <row r="710" spans="6:8" ht="12.75">
      <c r="F710" s="12"/>
      <c r="H710" s="12"/>
    </row>
    <row r="711" spans="6:8" ht="12.75">
      <c r="F711" s="12"/>
      <c r="H711" s="12"/>
    </row>
    <row r="712" spans="6:8" ht="12.75">
      <c r="F712" s="12"/>
      <c r="H712" s="12"/>
    </row>
    <row r="713" spans="6:8" ht="12.75">
      <c r="F713" s="12"/>
      <c r="H713" s="12"/>
    </row>
    <row r="714" spans="6:8" ht="12.75">
      <c r="F714" s="12"/>
      <c r="H714" s="12"/>
    </row>
    <row r="715" spans="6:8" ht="12.75">
      <c r="F715" s="12"/>
      <c r="H715" s="12"/>
    </row>
    <row r="716" spans="6:8" ht="12.75">
      <c r="F716" s="12"/>
      <c r="H716" s="12"/>
    </row>
    <row r="717" spans="6:8" ht="12.75">
      <c r="F717" s="12"/>
      <c r="H717" s="12"/>
    </row>
    <row r="718" spans="6:8" ht="12.75">
      <c r="F718" s="12"/>
      <c r="H718" s="12"/>
    </row>
    <row r="719" spans="6:8" ht="12.75">
      <c r="F719" s="12"/>
      <c r="H719" s="12"/>
    </row>
    <row r="720" spans="6:8" ht="12.75">
      <c r="F720" s="12"/>
      <c r="H720" s="12"/>
    </row>
    <row r="721" spans="6:8" ht="12.75">
      <c r="F721" s="12"/>
      <c r="H721" s="12"/>
    </row>
    <row r="722" spans="6:8" ht="12.75">
      <c r="F722" s="12"/>
      <c r="H722" s="12"/>
    </row>
    <row r="723" spans="6:8" ht="12.75">
      <c r="F723" s="12"/>
      <c r="H723" s="12"/>
    </row>
    <row r="724" spans="6:8" ht="12.75">
      <c r="F724" s="12"/>
      <c r="H724" s="12"/>
    </row>
    <row r="725" spans="6:8" ht="12.75">
      <c r="F725" s="12"/>
      <c r="H725" s="12"/>
    </row>
    <row r="726" spans="6:8" ht="12.75">
      <c r="F726" s="12"/>
      <c r="H726" s="12"/>
    </row>
    <row r="727" spans="6:8" ht="12.75">
      <c r="F727" s="12"/>
      <c r="H727" s="12"/>
    </row>
    <row r="728" spans="6:8" ht="12.75">
      <c r="F728" s="12"/>
      <c r="H728" s="12"/>
    </row>
    <row r="729" spans="6:8" ht="12.75">
      <c r="F729" s="12"/>
      <c r="H729" s="12"/>
    </row>
    <row r="730" spans="6:8" ht="12.75">
      <c r="F730" s="12"/>
      <c r="H730" s="12"/>
    </row>
    <row r="731" spans="6:8" ht="12.75">
      <c r="F731" s="12"/>
      <c r="H731" s="12"/>
    </row>
    <row r="732" spans="6:8" ht="12.75">
      <c r="F732" s="12"/>
      <c r="H732" s="12"/>
    </row>
    <row r="733" spans="6:8" ht="12.75">
      <c r="F733" s="12"/>
      <c r="H733" s="12"/>
    </row>
    <row r="734" spans="6:8" ht="12.75">
      <c r="F734" s="12"/>
      <c r="H734" s="12"/>
    </row>
    <row r="735" spans="6:8" ht="12.75">
      <c r="F735" s="12"/>
      <c r="H735" s="12"/>
    </row>
    <row r="736" spans="6:8" ht="12.75">
      <c r="F736" s="12"/>
      <c r="H736" s="12"/>
    </row>
    <row r="737" spans="6:8" ht="12.75">
      <c r="F737" s="12"/>
      <c r="H737" s="12"/>
    </row>
    <row r="738" spans="6:8" ht="12.75">
      <c r="F738" s="12"/>
      <c r="H738" s="12"/>
    </row>
    <row r="739" spans="6:8" ht="12.75">
      <c r="F739" s="12"/>
      <c r="H739" s="12"/>
    </row>
    <row r="740" spans="6:8" ht="12.75">
      <c r="F740" s="12"/>
      <c r="H740" s="12"/>
    </row>
    <row r="741" spans="6:8" ht="12.75">
      <c r="F741" s="12"/>
      <c r="H741" s="12"/>
    </row>
    <row r="742" spans="6:8" ht="12.75">
      <c r="F742" s="12"/>
      <c r="H742" s="12"/>
    </row>
    <row r="743" spans="6:8" ht="12.75">
      <c r="F743" s="12"/>
      <c r="H743" s="12"/>
    </row>
    <row r="744" spans="6:8" ht="12.75">
      <c r="F744" s="12"/>
      <c r="H744" s="12"/>
    </row>
    <row r="745" spans="6:8" ht="12.75">
      <c r="F745" s="12"/>
      <c r="H745" s="12"/>
    </row>
    <row r="746" spans="6:8" ht="12.75">
      <c r="F746" s="12"/>
      <c r="H746" s="12"/>
    </row>
    <row r="747" spans="6:8" ht="12.75">
      <c r="F747" s="12"/>
      <c r="H747" s="12"/>
    </row>
    <row r="748" spans="6:8" ht="12.75">
      <c r="F748" s="12"/>
      <c r="H748" s="12"/>
    </row>
    <row r="749" spans="6:8" ht="12.75">
      <c r="F749" s="12"/>
      <c r="H749" s="12"/>
    </row>
    <row r="750" spans="6:8" ht="12.75">
      <c r="F750" s="12"/>
      <c r="H750" s="12"/>
    </row>
    <row r="751" spans="6:8" ht="12.75">
      <c r="F751" s="12"/>
      <c r="H751" s="12"/>
    </row>
    <row r="752" spans="6:8" ht="12.75">
      <c r="F752" s="12"/>
      <c r="H752" s="12"/>
    </row>
    <row r="753" spans="6:8" ht="12.75">
      <c r="F753" s="12"/>
      <c r="H753" s="12"/>
    </row>
    <row r="754" spans="6:8" ht="12.75">
      <c r="F754" s="12"/>
      <c r="H754" s="12"/>
    </row>
    <row r="755" spans="6:8" ht="12.75">
      <c r="F755" s="12"/>
      <c r="H755" s="12"/>
    </row>
    <row r="756" spans="6:8" ht="12.75">
      <c r="F756" s="12"/>
      <c r="H756" s="12"/>
    </row>
    <row r="757" spans="6:8" ht="12.75">
      <c r="F757" s="12"/>
      <c r="H757" s="12"/>
    </row>
    <row r="758" spans="6:8" ht="12.75">
      <c r="F758" s="12"/>
      <c r="H758" s="12"/>
    </row>
    <row r="759" spans="6:8" ht="12.75">
      <c r="F759" s="12"/>
      <c r="H759" s="12"/>
    </row>
    <row r="760" spans="6:8" ht="12.75">
      <c r="F760" s="12"/>
      <c r="H760" s="12"/>
    </row>
    <row r="761" spans="6:8" ht="12.75">
      <c r="F761" s="12"/>
      <c r="H761" s="12"/>
    </row>
    <row r="762" spans="6:8" ht="12.75">
      <c r="F762" s="12"/>
      <c r="H762" s="12"/>
    </row>
    <row r="763" spans="6:8" ht="12.75">
      <c r="F763" s="12"/>
      <c r="H763" s="12"/>
    </row>
    <row r="764" spans="6:8" ht="12.75">
      <c r="F764" s="12"/>
      <c r="H764" s="12"/>
    </row>
    <row r="765" spans="6:8" ht="12.75">
      <c r="F765" s="12"/>
      <c r="H765" s="12"/>
    </row>
    <row r="766" spans="6:8" ht="12.75">
      <c r="F766" s="12"/>
      <c r="H766" s="12"/>
    </row>
    <row r="767" spans="6:8" ht="12.75">
      <c r="F767" s="12"/>
      <c r="H767" s="12"/>
    </row>
    <row r="768" spans="6:8" ht="12.75">
      <c r="F768" s="12"/>
      <c r="H768" s="12"/>
    </row>
    <row r="769" spans="6:8" ht="12.75">
      <c r="F769" s="12"/>
      <c r="H769" s="12"/>
    </row>
    <row r="770" spans="6:8" ht="12.75">
      <c r="F770" s="12"/>
      <c r="H770" s="12"/>
    </row>
    <row r="771" spans="6:8" ht="12.75">
      <c r="F771" s="12"/>
      <c r="H771" s="12"/>
    </row>
    <row r="772" spans="6:8" ht="12.75">
      <c r="F772" s="12"/>
      <c r="H772" s="12"/>
    </row>
    <row r="773" spans="6:8" ht="12.75">
      <c r="F773" s="12"/>
      <c r="H773" s="12"/>
    </row>
    <row r="774" spans="6:8" ht="12.75">
      <c r="F774" s="12"/>
      <c r="H774" s="12"/>
    </row>
    <row r="775" spans="6:8" ht="12.75">
      <c r="F775" s="12"/>
      <c r="H775" s="12"/>
    </row>
    <row r="776" spans="6:8" ht="12.75">
      <c r="F776" s="12"/>
      <c r="H776" s="12"/>
    </row>
    <row r="777" spans="6:8" ht="12.75">
      <c r="F777" s="12"/>
      <c r="H777" s="12"/>
    </row>
    <row r="778" spans="6:8" ht="12.75">
      <c r="F778" s="12"/>
      <c r="H778" s="12"/>
    </row>
    <row r="779" spans="6:8" ht="12.75">
      <c r="F779" s="12"/>
      <c r="H779" s="12"/>
    </row>
    <row r="780" spans="6:8" ht="12.75">
      <c r="F780" s="12"/>
      <c r="H780" s="12"/>
    </row>
    <row r="781" spans="6:8" ht="12.75">
      <c r="F781" s="12"/>
      <c r="H781" s="12"/>
    </row>
    <row r="782" spans="6:8" ht="12.75">
      <c r="F782" s="12"/>
      <c r="H782" s="12"/>
    </row>
    <row r="783" spans="6:8" ht="12.75">
      <c r="F783" s="12"/>
      <c r="H783" s="12"/>
    </row>
    <row r="784" spans="6:8" ht="12.75">
      <c r="F784" s="12"/>
      <c r="H784" s="12"/>
    </row>
    <row r="785" spans="6:8" ht="12.75">
      <c r="F785" s="12"/>
      <c r="H785" s="12"/>
    </row>
    <row r="786" spans="6:8" ht="12.75">
      <c r="F786" s="12"/>
      <c r="H786" s="12"/>
    </row>
    <row r="787" spans="6:8" ht="12.75">
      <c r="F787" s="12"/>
      <c r="H787" s="12"/>
    </row>
    <row r="788" spans="6:8" ht="12.75">
      <c r="F788" s="12"/>
      <c r="H788" s="12"/>
    </row>
    <row r="789" spans="6:8" ht="12.75">
      <c r="F789" s="12"/>
      <c r="H789" s="12"/>
    </row>
    <row r="790" spans="6:8" ht="12.75">
      <c r="F790" s="12"/>
      <c r="H790" s="12"/>
    </row>
    <row r="791" spans="6:8" ht="12.75">
      <c r="F791" s="12"/>
      <c r="H791" s="12"/>
    </row>
    <row r="792" spans="6:8" ht="12.75">
      <c r="F792" s="12"/>
      <c r="H792" s="12"/>
    </row>
    <row r="793" spans="6:8" ht="12.75">
      <c r="F793" s="12"/>
      <c r="H793" s="12"/>
    </row>
    <row r="794" spans="6:8" ht="12.75">
      <c r="F794" s="12"/>
      <c r="H794" s="12"/>
    </row>
    <row r="795" spans="6:8" ht="12.75">
      <c r="F795" s="12"/>
      <c r="H795" s="12"/>
    </row>
    <row r="796" spans="6:8" ht="12.75">
      <c r="F796" s="12"/>
      <c r="H796" s="12"/>
    </row>
    <row r="797" spans="6:8" ht="12.75">
      <c r="F797" s="12"/>
      <c r="H797" s="12"/>
    </row>
    <row r="798" spans="6:8" ht="12.75">
      <c r="F798" s="12"/>
      <c r="H798" s="12"/>
    </row>
    <row r="799" spans="6:8" ht="12.75">
      <c r="F799" s="12"/>
      <c r="H799" s="12"/>
    </row>
    <row r="800" spans="6:8" ht="12.75">
      <c r="F800" s="12"/>
      <c r="H800" s="12"/>
    </row>
    <row r="801" spans="6:8" ht="12.75">
      <c r="F801" s="12"/>
      <c r="H801" s="12"/>
    </row>
    <row r="802" spans="6:8" ht="12.75">
      <c r="F802" s="12"/>
      <c r="H802" s="12"/>
    </row>
    <row r="803" spans="6:8" ht="12.75">
      <c r="F803" s="12"/>
      <c r="H803" s="12"/>
    </row>
    <row r="804" spans="6:8" ht="12.75">
      <c r="F804" s="12"/>
      <c r="H804" s="12"/>
    </row>
    <row r="805" spans="6:8" ht="12.75">
      <c r="F805" s="12"/>
      <c r="H805" s="12"/>
    </row>
    <row r="806" spans="6:8" ht="12.75">
      <c r="F806" s="12"/>
      <c r="H806" s="12"/>
    </row>
    <row r="807" spans="6:8" ht="12.75">
      <c r="F807" s="12"/>
      <c r="H807" s="12"/>
    </row>
    <row r="808" spans="6:8" ht="12.75">
      <c r="F808" s="12"/>
      <c r="H808" s="12"/>
    </row>
    <row r="809" spans="6:8" ht="12.75">
      <c r="F809" s="12"/>
      <c r="H809" s="12"/>
    </row>
    <row r="810" spans="6:8" ht="12.75">
      <c r="F810" s="12"/>
      <c r="H810" s="12"/>
    </row>
    <row r="811" spans="6:8" ht="12.75">
      <c r="F811" s="12"/>
      <c r="H811" s="12"/>
    </row>
    <row r="812" spans="6:8" ht="12.75">
      <c r="F812" s="12"/>
      <c r="H812" s="12"/>
    </row>
    <row r="813" spans="6:8" ht="12.75">
      <c r="F813" s="12"/>
      <c r="H813" s="12"/>
    </row>
    <row r="814" spans="6:8" ht="12.75">
      <c r="F814" s="12"/>
      <c r="H814" s="12"/>
    </row>
    <row r="815" spans="6:8" ht="12.75">
      <c r="F815" s="12"/>
      <c r="H815" s="12"/>
    </row>
    <row r="816" spans="6:8" ht="12.75">
      <c r="F816" s="12"/>
      <c r="H816" s="12"/>
    </row>
    <row r="817" spans="6:8" ht="12.75">
      <c r="F817" s="12"/>
      <c r="H817" s="12"/>
    </row>
    <row r="818" spans="6:8" ht="12.75">
      <c r="F818" s="12"/>
      <c r="H818" s="12"/>
    </row>
    <row r="819" spans="6:8" ht="12.75">
      <c r="F819" s="12"/>
      <c r="H819" s="12"/>
    </row>
    <row r="820" spans="6:8" ht="12.75">
      <c r="F820" s="12"/>
      <c r="H820" s="12"/>
    </row>
    <row r="821" spans="6:8" ht="12.75">
      <c r="F821" s="12"/>
      <c r="H821" s="12"/>
    </row>
    <row r="822" spans="6:8" ht="12.75">
      <c r="F822" s="12"/>
      <c r="H822" s="12"/>
    </row>
    <row r="823" spans="6:8" ht="12.75">
      <c r="F823" s="12"/>
      <c r="H823" s="12"/>
    </row>
    <row r="824" spans="6:8" ht="12.75">
      <c r="F824" s="12"/>
      <c r="H824" s="12"/>
    </row>
    <row r="825" spans="6:8" ht="12.75">
      <c r="F825" s="12"/>
      <c r="H825" s="12"/>
    </row>
    <row r="826" spans="6:8" ht="12.75">
      <c r="F826" s="12"/>
      <c r="H826" s="12"/>
    </row>
    <row r="827" spans="6:8" ht="12.75">
      <c r="F827" s="12"/>
      <c r="H827" s="12"/>
    </row>
    <row r="828" spans="6:8" ht="12.75">
      <c r="F828" s="12"/>
      <c r="H828" s="12"/>
    </row>
    <row r="829" spans="6:8" ht="12.75">
      <c r="F829" s="12"/>
      <c r="H829" s="12"/>
    </row>
    <row r="830" spans="6:8" ht="12.75">
      <c r="F830" s="12"/>
      <c r="H830" s="12"/>
    </row>
    <row r="831" spans="6:8" ht="12.75">
      <c r="F831" s="12"/>
      <c r="H831" s="12"/>
    </row>
    <row r="832" spans="6:8" ht="12.75">
      <c r="F832" s="12"/>
      <c r="H832" s="12"/>
    </row>
    <row r="833" spans="6:8" ht="12.75">
      <c r="F833" s="12"/>
      <c r="H833" s="12"/>
    </row>
    <row r="834" spans="6:8" ht="12.75">
      <c r="F834" s="12"/>
      <c r="H834" s="12"/>
    </row>
    <row r="835" spans="6:8" ht="12.75">
      <c r="F835" s="12"/>
      <c r="H835" s="12"/>
    </row>
    <row r="836" spans="6:8" ht="12.75">
      <c r="F836" s="12"/>
      <c r="H836" s="12"/>
    </row>
    <row r="837" spans="6:8" ht="12.75">
      <c r="F837" s="12"/>
      <c r="H837" s="12"/>
    </row>
    <row r="838" spans="6:8" ht="12.75">
      <c r="F838" s="12"/>
      <c r="H838" s="12"/>
    </row>
    <row r="839" spans="6:8" ht="12.75">
      <c r="F839" s="12"/>
      <c r="H839" s="12"/>
    </row>
    <row r="840" spans="6:8" ht="12.75">
      <c r="F840" s="12"/>
      <c r="H840" s="12"/>
    </row>
    <row r="841" spans="6:8" ht="12.75">
      <c r="F841" s="12"/>
      <c r="H841" s="12"/>
    </row>
    <row r="842" spans="6:8" ht="12.75">
      <c r="F842" s="12"/>
      <c r="H842" s="12"/>
    </row>
    <row r="843" spans="6:8" ht="12.75">
      <c r="F843" s="12"/>
      <c r="H843" s="12"/>
    </row>
    <row r="844" spans="6:8" ht="12.75">
      <c r="F844" s="12"/>
      <c r="H844" s="12"/>
    </row>
    <row r="845" spans="6:8" ht="12.75">
      <c r="F845" s="12"/>
      <c r="H845" s="12"/>
    </row>
    <row r="846" spans="6:8" ht="12.75">
      <c r="F846" s="12"/>
      <c r="H846" s="12"/>
    </row>
    <row r="847" spans="6:8" ht="12.75">
      <c r="F847" s="12"/>
      <c r="H847" s="12"/>
    </row>
    <row r="848" spans="6:8" ht="12.75">
      <c r="F848" s="12"/>
      <c r="H848" s="12"/>
    </row>
    <row r="849" spans="6:8" ht="12.75">
      <c r="F849" s="12"/>
      <c r="H849" s="12"/>
    </row>
    <row r="850" spans="6:8" ht="12.75">
      <c r="F850" s="12"/>
      <c r="H850" s="12"/>
    </row>
    <row r="851" spans="6:8" ht="12.75">
      <c r="F851" s="12"/>
      <c r="H851" s="12"/>
    </row>
    <row r="852" spans="6:8" ht="12.75">
      <c r="F852" s="12"/>
      <c r="H852" s="12"/>
    </row>
    <row r="853" spans="6:8" ht="12.75">
      <c r="F853" s="12"/>
      <c r="H853" s="12"/>
    </row>
    <row r="854" spans="6:8" ht="12.75">
      <c r="F854" s="12"/>
      <c r="H854" s="12"/>
    </row>
    <row r="855" spans="6:8" ht="12.75">
      <c r="F855" s="12"/>
      <c r="H855" s="12"/>
    </row>
    <row r="856" spans="6:8" ht="12.75">
      <c r="F856" s="12"/>
      <c r="H856" s="12"/>
    </row>
    <row r="857" spans="6:8" ht="12.75">
      <c r="F857" s="12"/>
      <c r="H857" s="12"/>
    </row>
    <row r="858" spans="6:8" ht="12.75">
      <c r="F858" s="12"/>
      <c r="H858" s="12"/>
    </row>
    <row r="859" spans="6:8" ht="12.75">
      <c r="F859" s="12"/>
      <c r="H859" s="12"/>
    </row>
    <row r="860" spans="6:8" ht="12.75">
      <c r="F860" s="12"/>
      <c r="H860" s="12"/>
    </row>
    <row r="861" spans="6:8" ht="12.75">
      <c r="F861" s="12"/>
      <c r="H861" s="12"/>
    </row>
    <row r="862" spans="6:8" ht="12.75">
      <c r="F862" s="12"/>
      <c r="H862" s="12"/>
    </row>
    <row r="863" spans="6:8" ht="12.75">
      <c r="F863" s="12"/>
      <c r="H863" s="12"/>
    </row>
    <row r="864" spans="6:8" ht="12.75">
      <c r="F864" s="12"/>
      <c r="H864" s="12"/>
    </row>
    <row r="865" spans="6:8" ht="12.75">
      <c r="F865" s="12"/>
      <c r="H865" s="12"/>
    </row>
    <row r="866" spans="6:8" ht="12.75">
      <c r="F866" s="12"/>
      <c r="H866" s="12"/>
    </row>
    <row r="867" spans="6:8" ht="12.75">
      <c r="F867" s="12"/>
      <c r="H867" s="12"/>
    </row>
    <row r="868" spans="6:8" ht="12.75">
      <c r="F868" s="12"/>
      <c r="H868" s="12"/>
    </row>
    <row r="869" spans="6:8" ht="12.75">
      <c r="F869" s="12"/>
      <c r="H869" s="12"/>
    </row>
    <row r="870" spans="6:8" ht="12.75">
      <c r="F870" s="12"/>
      <c r="H870" s="12"/>
    </row>
    <row r="871" spans="6:8" ht="12.75">
      <c r="F871" s="12"/>
      <c r="H871" s="12"/>
    </row>
    <row r="872" spans="6:8" ht="12.75">
      <c r="F872" s="12"/>
      <c r="H872" s="12"/>
    </row>
    <row r="873" spans="6:8" ht="12.75">
      <c r="F873" s="12"/>
      <c r="H873" s="12"/>
    </row>
    <row r="874" spans="6:8" ht="12.75">
      <c r="F874" s="12"/>
      <c r="H874" s="12"/>
    </row>
    <row r="875" spans="6:8" ht="12.75">
      <c r="F875" s="12"/>
      <c r="H875" s="12"/>
    </row>
    <row r="876" spans="6:8" ht="12.75">
      <c r="F876" s="12"/>
      <c r="H876" s="12"/>
    </row>
    <row r="877" spans="6:8" ht="12.75">
      <c r="F877" s="12"/>
      <c r="H877" s="12"/>
    </row>
    <row r="878" spans="6:8" ht="12.75">
      <c r="F878" s="12"/>
      <c r="H878" s="12"/>
    </row>
    <row r="879" spans="6:8" ht="12.75">
      <c r="F879" s="12"/>
      <c r="H879" s="12"/>
    </row>
    <row r="880" spans="6:8" ht="12.75">
      <c r="F880" s="12"/>
      <c r="H880" s="12"/>
    </row>
    <row r="881" spans="6:8" ht="12.75">
      <c r="F881" s="12"/>
      <c r="H881" s="12"/>
    </row>
    <row r="882" spans="6:8" ht="12.75">
      <c r="F882" s="12"/>
      <c r="H882" s="12"/>
    </row>
    <row r="883" spans="6:8" ht="12.75">
      <c r="F883" s="12"/>
      <c r="H883" s="12"/>
    </row>
    <row r="884" spans="6:8" ht="12.75">
      <c r="F884" s="12"/>
      <c r="H884" s="12"/>
    </row>
    <row r="885" spans="6:8" ht="12.75">
      <c r="F885" s="12"/>
      <c r="H885" s="12"/>
    </row>
    <row r="886" spans="6:8" ht="12.75">
      <c r="F886" s="12"/>
      <c r="H886" s="12"/>
    </row>
    <row r="887" spans="6:8" ht="12.75">
      <c r="F887" s="12"/>
      <c r="H887" s="12"/>
    </row>
    <row r="888" spans="6:8" ht="12.75">
      <c r="F888" s="12"/>
      <c r="H888" s="12"/>
    </row>
    <row r="889" spans="6:8" ht="12.75">
      <c r="F889" s="12"/>
      <c r="H889" s="12"/>
    </row>
    <row r="890" spans="6:8" ht="12.75">
      <c r="F890" s="12"/>
      <c r="H890" s="12"/>
    </row>
    <row r="891" spans="6:8" ht="12.75">
      <c r="F891" s="12"/>
      <c r="H891" s="12"/>
    </row>
    <row r="892" spans="6:8" ht="12.75">
      <c r="F892" s="12"/>
      <c r="H892" s="12"/>
    </row>
    <row r="893" spans="6:8" ht="12.75">
      <c r="F893" s="12"/>
      <c r="H893" s="12"/>
    </row>
    <row r="894" spans="6:8" ht="12.75">
      <c r="F894" s="12"/>
      <c r="H894" s="12"/>
    </row>
    <row r="895" spans="6:8" ht="12.75">
      <c r="F895" s="12"/>
      <c r="H895" s="12"/>
    </row>
    <row r="896" spans="6:8" ht="12.75">
      <c r="F896" s="12"/>
      <c r="H896" s="12"/>
    </row>
    <row r="897" spans="6:8" ht="12.75">
      <c r="F897" s="12"/>
      <c r="H897" s="12"/>
    </row>
    <row r="898" spans="6:8" ht="12.75">
      <c r="F898" s="12"/>
      <c r="H898" s="12"/>
    </row>
    <row r="899" spans="6:8" ht="12.75">
      <c r="F899" s="12"/>
      <c r="H899" s="12"/>
    </row>
    <row r="900" spans="6:8" ht="12.75">
      <c r="F900" s="12"/>
      <c r="H900" s="12"/>
    </row>
    <row r="901" spans="6:8" ht="12.75">
      <c r="F901" s="12"/>
      <c r="H901" s="12"/>
    </row>
    <row r="902" spans="6:8" ht="12.75">
      <c r="F902" s="12"/>
      <c r="H902" s="12"/>
    </row>
    <row r="903" spans="6:8" ht="12.75">
      <c r="F903" s="12"/>
      <c r="H903" s="12"/>
    </row>
    <row r="904" spans="6:8" ht="12.75">
      <c r="F904" s="12"/>
      <c r="H904" s="12"/>
    </row>
    <row r="905" spans="6:8" ht="12.75">
      <c r="F905" s="12"/>
      <c r="H905" s="12"/>
    </row>
    <row r="906" spans="6:8" ht="12.75">
      <c r="F906" s="12"/>
      <c r="H906" s="12"/>
    </row>
    <row r="907" spans="6:8" ht="12.75">
      <c r="F907" s="12"/>
      <c r="H907" s="12"/>
    </row>
    <row r="908" spans="6:8" ht="12.75">
      <c r="F908" s="12"/>
      <c r="H908" s="12"/>
    </row>
    <row r="909" spans="6:8" ht="12.75">
      <c r="F909" s="12"/>
      <c r="H909" s="12"/>
    </row>
    <row r="910" spans="6:8" ht="12.75">
      <c r="F910" s="12"/>
      <c r="H910" s="12"/>
    </row>
    <row r="911" spans="6:8" ht="12.75">
      <c r="F911" s="12"/>
      <c r="H911" s="12"/>
    </row>
    <row r="912" spans="6:8" ht="12.75">
      <c r="F912" s="12"/>
      <c r="H912" s="12"/>
    </row>
    <row r="913" spans="6:8" ht="12.75">
      <c r="F913" s="12"/>
      <c r="H913" s="12"/>
    </row>
    <row r="914" spans="6:8" ht="12.75">
      <c r="F914" s="12"/>
      <c r="H914" s="12"/>
    </row>
    <row r="915" spans="6:8" ht="12.75">
      <c r="F915" s="12"/>
      <c r="H915" s="12"/>
    </row>
    <row r="916" spans="6:8" ht="12.75">
      <c r="F916" s="12"/>
      <c r="H916" s="12"/>
    </row>
    <row r="917" spans="6:8" ht="12.75">
      <c r="F917" s="12"/>
      <c r="H917" s="12"/>
    </row>
    <row r="918" spans="6:8" ht="12.75">
      <c r="F918" s="12"/>
      <c r="H918" s="12"/>
    </row>
    <row r="919" spans="6:8" ht="12.75">
      <c r="F919" s="12"/>
      <c r="H919" s="12"/>
    </row>
    <row r="920" spans="6:8" ht="12.75">
      <c r="F920" s="12"/>
      <c r="H920" s="12"/>
    </row>
    <row r="921" spans="6:8" ht="12.75">
      <c r="F921" s="12"/>
      <c r="H921" s="12"/>
    </row>
    <row r="922" spans="6:8" ht="12.75">
      <c r="F922" s="12"/>
      <c r="H922" s="12"/>
    </row>
    <row r="923" spans="6:8" ht="12.75">
      <c r="F923" s="12"/>
      <c r="H923" s="12"/>
    </row>
    <row r="924" spans="6:8" ht="12.75">
      <c r="F924" s="12"/>
      <c r="H924" s="12"/>
    </row>
    <row r="925" spans="6:8" ht="12.75">
      <c r="F925" s="12"/>
      <c r="H925" s="12"/>
    </row>
    <row r="926" spans="6:8" ht="12.75">
      <c r="F926" s="12"/>
      <c r="H926" s="12"/>
    </row>
    <row r="927" spans="6:8" ht="12.75">
      <c r="F927" s="12"/>
      <c r="H927" s="12"/>
    </row>
    <row r="928" spans="6:8" ht="12.75">
      <c r="F928" s="12"/>
      <c r="H928" s="12"/>
    </row>
    <row r="929" spans="6:8" ht="12.75">
      <c r="F929" s="12"/>
      <c r="H929" s="12"/>
    </row>
    <row r="930" spans="6:8" ht="12.75">
      <c r="F930" s="12"/>
      <c r="H930" s="12"/>
    </row>
    <row r="931" spans="6:8" ht="12.75">
      <c r="F931" s="12"/>
      <c r="H931" s="12"/>
    </row>
    <row r="932" spans="6:8" ht="12.75">
      <c r="F932" s="12"/>
      <c r="H932" s="12"/>
    </row>
    <row r="933" spans="6:8" ht="12.75">
      <c r="F933" s="12"/>
      <c r="H933" s="12"/>
    </row>
    <row r="934" spans="6:8" ht="12.75">
      <c r="F934" s="12"/>
      <c r="H934" s="12"/>
    </row>
    <row r="935" spans="6:8" ht="12.75">
      <c r="F935" s="12"/>
      <c r="H935" s="12"/>
    </row>
    <row r="936" spans="6:8" ht="12.75">
      <c r="F936" s="12"/>
      <c r="H936" s="12"/>
    </row>
    <row r="937" spans="6:8" ht="12.75">
      <c r="F937" s="12"/>
      <c r="H937" s="12"/>
    </row>
    <row r="938" spans="6:8" ht="12.75">
      <c r="F938" s="12"/>
      <c r="H938" s="12"/>
    </row>
    <row r="939" spans="6:8" ht="12.75">
      <c r="F939" s="12"/>
      <c r="H939" s="12"/>
    </row>
    <row r="940" spans="6:8" ht="12.75">
      <c r="F940" s="12"/>
      <c r="H940" s="12"/>
    </row>
    <row r="941" spans="6:8" ht="12.75">
      <c r="F941" s="12"/>
      <c r="H941" s="12"/>
    </row>
    <row r="942" spans="6:8" ht="12.75">
      <c r="F942" s="12"/>
      <c r="H942" s="12"/>
    </row>
    <row r="943" spans="6:8" ht="12.75">
      <c r="F943" s="12"/>
      <c r="H943" s="12"/>
    </row>
    <row r="944" spans="6:8" ht="12.75">
      <c r="F944" s="12"/>
      <c r="H944" s="12"/>
    </row>
    <row r="945" spans="6:8" ht="12.75">
      <c r="F945" s="12"/>
      <c r="H945" s="12"/>
    </row>
    <row r="946" spans="6:8" ht="12.75">
      <c r="F946" s="12"/>
      <c r="H946" s="12"/>
    </row>
    <row r="947" spans="6:8" ht="12.75">
      <c r="F947" s="12"/>
      <c r="H947" s="12"/>
    </row>
    <row r="948" spans="6:8" ht="12.75">
      <c r="F948" s="12"/>
      <c r="H948" s="12"/>
    </row>
    <row r="949" spans="6:8" ht="12.75">
      <c r="F949" s="12"/>
      <c r="H949" s="12"/>
    </row>
    <row r="950" spans="6:8" ht="12.75">
      <c r="F950" s="12"/>
      <c r="H950" s="12"/>
    </row>
    <row r="951" spans="6:8" ht="12.75">
      <c r="F951" s="12"/>
      <c r="H951" s="12"/>
    </row>
    <row r="952" spans="6:8" ht="12.75">
      <c r="F952" s="12"/>
      <c r="H952" s="12"/>
    </row>
    <row r="953" spans="6:8" ht="12.75">
      <c r="F953" s="12"/>
      <c r="H953" s="12"/>
    </row>
    <row r="954" spans="6:8" ht="12.75">
      <c r="F954" s="12"/>
      <c r="H954" s="12"/>
    </row>
    <row r="955" spans="6:8" ht="12.75">
      <c r="F955" s="12"/>
      <c r="H955" s="12"/>
    </row>
    <row r="956" spans="6:8" ht="12.75">
      <c r="F956" s="12"/>
      <c r="H956" s="12"/>
    </row>
    <row r="957" spans="6:8" ht="12.75">
      <c r="F957" s="12"/>
      <c r="H957" s="12"/>
    </row>
    <row r="958" spans="6:8" ht="12.75">
      <c r="F958" s="12"/>
      <c r="H958" s="12"/>
    </row>
    <row r="959" spans="6:8" ht="12.75">
      <c r="F959" s="12"/>
      <c r="H959" s="12"/>
    </row>
    <row r="960" spans="6:8" ht="12.75">
      <c r="F960" s="12"/>
      <c r="H960" s="12"/>
    </row>
    <row r="961" spans="6:8" ht="12.75">
      <c r="F961" s="12"/>
      <c r="H961" s="12"/>
    </row>
    <row r="962" spans="6:8" ht="12.75">
      <c r="F962" s="12"/>
      <c r="H962" s="12"/>
    </row>
    <row r="963" spans="6:8" ht="12.75">
      <c r="F963" s="12"/>
      <c r="H963" s="12"/>
    </row>
    <row r="964" spans="6:8" ht="12.75">
      <c r="F964" s="12"/>
      <c r="H964" s="12"/>
    </row>
    <row r="965" spans="6:8" ht="12.75">
      <c r="F965" s="12"/>
      <c r="H965" s="12"/>
    </row>
    <row r="966" spans="6:8" ht="12.75">
      <c r="F966" s="12"/>
      <c r="H966" s="12"/>
    </row>
    <row r="967" spans="6:8" ht="12.75">
      <c r="F967" s="12"/>
      <c r="H967" s="12"/>
    </row>
    <row r="968" spans="6:8" ht="12.75">
      <c r="F968" s="12"/>
      <c r="H968" s="12"/>
    </row>
    <row r="969" spans="6:8" ht="12.75">
      <c r="F969" s="12"/>
      <c r="H969" s="12"/>
    </row>
    <row r="970" spans="6:8" ht="12.75">
      <c r="F970" s="12"/>
      <c r="H970" s="12"/>
    </row>
    <row r="971" spans="6:8" ht="12.75">
      <c r="F971" s="12"/>
      <c r="H971" s="12"/>
    </row>
    <row r="972" spans="6:8" ht="12.75">
      <c r="F972" s="12"/>
      <c r="H972" s="12"/>
    </row>
    <row r="973" spans="6:8" ht="12.75">
      <c r="F973" s="12"/>
      <c r="H973" s="12"/>
    </row>
    <row r="974" spans="6:8" ht="12.75">
      <c r="F974" s="12"/>
      <c r="H974" s="12"/>
    </row>
    <row r="975" spans="6:8" ht="12.75">
      <c r="F975" s="12"/>
      <c r="H975" s="12"/>
    </row>
    <row r="976" spans="6:8" ht="12.75">
      <c r="F976" s="12"/>
      <c r="H976" s="12"/>
    </row>
    <row r="977" spans="6:8" ht="12.75">
      <c r="F977" s="12"/>
      <c r="H977" s="12"/>
    </row>
    <row r="978" spans="6:8" ht="12.75">
      <c r="F978" s="12"/>
      <c r="H978" s="12"/>
    </row>
    <row r="979" spans="6:8" ht="12.75">
      <c r="F979" s="12"/>
      <c r="H979" s="12"/>
    </row>
    <row r="980" spans="6:8" ht="12.75">
      <c r="F980" s="12"/>
      <c r="H980" s="12"/>
    </row>
    <row r="981" spans="6:8" ht="12.75">
      <c r="F981" s="12"/>
      <c r="H981" s="12"/>
    </row>
    <row r="982" spans="6:8" ht="12.75">
      <c r="F982" s="12"/>
      <c r="H982" s="12"/>
    </row>
    <row r="983" spans="6:8" ht="12.75">
      <c r="F983" s="12"/>
      <c r="H983" s="12"/>
    </row>
    <row r="984" spans="6:8" ht="12.75">
      <c r="F984" s="12"/>
      <c r="H984" s="12"/>
    </row>
    <row r="985" spans="6:8" ht="12.75">
      <c r="F985" s="12"/>
      <c r="H985" s="12"/>
    </row>
    <row r="986" spans="6:8" ht="12.75">
      <c r="F986" s="12"/>
      <c r="H986" s="12"/>
    </row>
    <row r="987" spans="6:8" ht="12.75">
      <c r="F987" s="12"/>
      <c r="H987" s="12"/>
    </row>
    <row r="988" spans="6:8" ht="12.75">
      <c r="F988" s="12"/>
      <c r="H988" s="12"/>
    </row>
    <row r="989" spans="6:8" ht="12.75">
      <c r="F989" s="12"/>
      <c r="H989" s="12"/>
    </row>
    <row r="990" spans="6:8" ht="12.75">
      <c r="F990" s="12"/>
      <c r="H990" s="12"/>
    </row>
    <row r="991" spans="6:8" ht="12.75">
      <c r="F991" s="12"/>
      <c r="H991" s="12"/>
    </row>
    <row r="992" spans="6:8" ht="12.75">
      <c r="F992" s="12"/>
      <c r="H992" s="12"/>
    </row>
    <row r="993" spans="6:8" ht="12.75">
      <c r="F993" s="12"/>
      <c r="H993" s="12"/>
    </row>
    <row r="994" spans="6:8" ht="12.75">
      <c r="F994" s="12"/>
      <c r="H994" s="12"/>
    </row>
    <row r="995" spans="6:8" ht="12.75">
      <c r="F995" s="12"/>
      <c r="H995" s="12"/>
    </row>
    <row r="996" spans="6:8" ht="12.75">
      <c r="F996" s="12"/>
      <c r="H996" s="12"/>
    </row>
    <row r="997" spans="6:8" ht="12.75">
      <c r="F997" s="12"/>
      <c r="H997" s="12"/>
    </row>
    <row r="998" spans="6:8" ht="12.75">
      <c r="F998" s="12"/>
      <c r="H998" s="12"/>
    </row>
    <row r="999" spans="6:8" ht="12.75">
      <c r="F999" s="12"/>
      <c r="H999" s="12"/>
    </row>
    <row r="1000" spans="6:8" ht="12.75">
      <c r="F1000" s="12"/>
      <c r="H1000" s="12"/>
    </row>
    <row r="1001" spans="6:8" ht="12.75">
      <c r="F1001" s="12"/>
      <c r="H1001" s="12"/>
    </row>
    <row r="1002" spans="6:8" ht="12.75">
      <c r="F1002" s="12"/>
      <c r="H1002" s="12"/>
    </row>
    <row r="1003" spans="6:8" ht="12.75">
      <c r="F1003" s="12"/>
      <c r="H1003" s="12"/>
    </row>
    <row r="1004" spans="6:8" ht="12.75">
      <c r="F1004" s="12"/>
      <c r="H1004" s="12"/>
    </row>
    <row r="1005" spans="6:8" ht="12.75">
      <c r="F1005" s="12"/>
      <c r="H1005" s="12"/>
    </row>
    <row r="1006" spans="6:8" ht="12.75">
      <c r="F1006" s="12"/>
      <c r="H1006" s="12"/>
    </row>
    <row r="1007" spans="6:8" ht="12.75">
      <c r="F1007" s="12"/>
      <c r="H1007" s="12"/>
    </row>
  </sheetData>
  <mergeCells count="1">
    <mergeCell ref="A26:D26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9CB9C"/>
    <outlinePr summaryBelow="0" summaryRight="0"/>
  </sheetPr>
  <dimension ref="A1:U107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4.42578125" customWidth="1"/>
    <col min="2" max="2" width="9.28515625" customWidth="1"/>
    <col min="3" max="3" width="13.28515625" customWidth="1"/>
    <col min="4" max="4" width="7.42578125" customWidth="1"/>
    <col min="5" max="5" width="4.85546875" customWidth="1"/>
    <col min="6" max="6" width="10.7109375" customWidth="1"/>
    <col min="7" max="7" width="11.7109375" customWidth="1"/>
    <col min="8" max="8" width="10" customWidth="1"/>
    <col min="9" max="9" width="10.140625" customWidth="1"/>
    <col min="10" max="10" width="8.5703125" customWidth="1"/>
    <col min="11" max="11" width="8.85546875" customWidth="1"/>
    <col min="12" max="12" width="9.5703125" customWidth="1"/>
    <col min="13" max="13" width="7.85546875" customWidth="1"/>
    <col min="14" max="14" width="9.42578125" customWidth="1"/>
    <col min="15" max="15" width="11.85546875" customWidth="1"/>
    <col min="16" max="16" width="10.28515625" customWidth="1"/>
    <col min="17" max="17" width="9.42578125" customWidth="1"/>
    <col min="18" max="18" width="10.28515625" customWidth="1"/>
    <col min="19" max="20" width="10.140625" customWidth="1"/>
    <col min="21" max="21" width="33.28515625" customWidth="1"/>
  </cols>
  <sheetData>
    <row r="1" spans="1:21" ht="21.75" customHeight="1">
      <c r="A1" s="202" t="s">
        <v>0</v>
      </c>
      <c r="B1" s="203" t="s">
        <v>2425</v>
      </c>
      <c r="C1" s="203" t="s">
        <v>2426</v>
      </c>
      <c r="D1" s="202" t="s">
        <v>2427</v>
      </c>
      <c r="E1" s="202" t="s">
        <v>19</v>
      </c>
      <c r="F1" s="202" t="s">
        <v>2428</v>
      </c>
      <c r="G1" s="204" t="s">
        <v>2429</v>
      </c>
      <c r="H1" s="202" t="s">
        <v>2430</v>
      </c>
      <c r="I1" s="202" t="s">
        <v>2431</v>
      </c>
      <c r="J1" s="202" t="s">
        <v>2432</v>
      </c>
      <c r="K1" s="202" t="s">
        <v>2433</v>
      </c>
      <c r="L1" s="202" t="s">
        <v>2434</v>
      </c>
      <c r="M1" s="202" t="s">
        <v>2435</v>
      </c>
      <c r="N1" s="202" t="s">
        <v>2436</v>
      </c>
      <c r="O1" s="202" t="s">
        <v>2437</v>
      </c>
      <c r="P1" s="202" t="s">
        <v>2438</v>
      </c>
      <c r="Q1" s="202" t="s">
        <v>2439</v>
      </c>
      <c r="R1" s="202" t="s">
        <v>865</v>
      </c>
      <c r="S1" s="202" t="s">
        <v>2440</v>
      </c>
      <c r="T1" s="202" t="s">
        <v>2441</v>
      </c>
      <c r="U1" s="202" t="s">
        <v>2442</v>
      </c>
    </row>
    <row r="2" spans="1:21" ht="12.75">
      <c r="A2" s="27">
        <v>1</v>
      </c>
      <c r="B2" s="68" t="s">
        <v>2443</v>
      </c>
      <c r="C2" s="68" t="s">
        <v>2444</v>
      </c>
      <c r="D2" s="160">
        <v>2024</v>
      </c>
      <c r="E2" s="27">
        <v>6</v>
      </c>
      <c r="F2" s="205">
        <v>45468</v>
      </c>
      <c r="G2" s="206">
        <v>631.98</v>
      </c>
      <c r="H2" s="200">
        <v>314.27999999999997</v>
      </c>
      <c r="I2" s="200">
        <v>164.9</v>
      </c>
      <c r="J2" s="200">
        <v>50.4</v>
      </c>
      <c r="K2" s="200">
        <v>102.4</v>
      </c>
      <c r="L2" s="200">
        <v>0</v>
      </c>
      <c r="M2" s="200">
        <v>0</v>
      </c>
      <c r="N2" s="200">
        <v>0</v>
      </c>
      <c r="O2" s="200">
        <v>0</v>
      </c>
      <c r="P2" s="200">
        <f t="shared" ref="P2:P44" si="0">SUM(H2:L2,O2)</f>
        <v>631.9799999999999</v>
      </c>
      <c r="Q2" s="200">
        <f t="shared" ref="Q2:Q73" si="1">SUM(H2,J2,M2)</f>
        <v>364.67999999999995</v>
      </c>
      <c r="R2" s="200">
        <f t="shared" ref="R2:R44" si="2">SUM(I2,K2,N2,O2)</f>
        <v>267.3</v>
      </c>
      <c r="S2" s="28" t="s">
        <v>2445</v>
      </c>
      <c r="T2" s="27"/>
      <c r="U2" s="28" t="s">
        <v>2446</v>
      </c>
    </row>
    <row r="3" spans="1:21" ht="12.75">
      <c r="A3" s="27">
        <v>2</v>
      </c>
      <c r="B3" s="68" t="s">
        <v>2443</v>
      </c>
      <c r="C3" s="68" t="s">
        <v>2447</v>
      </c>
      <c r="D3" s="160">
        <v>2024</v>
      </c>
      <c r="E3" s="27">
        <v>7</v>
      </c>
      <c r="F3" s="205">
        <v>45474</v>
      </c>
      <c r="G3" s="206">
        <v>948.86</v>
      </c>
      <c r="H3" s="200">
        <v>314.27999999999997</v>
      </c>
      <c r="I3" s="200">
        <v>329.8</v>
      </c>
      <c r="J3" s="200">
        <v>50.4</v>
      </c>
      <c r="K3" s="200">
        <v>192</v>
      </c>
      <c r="L3" s="200">
        <v>62.38</v>
      </c>
      <c r="M3" s="200">
        <v>49.9</v>
      </c>
      <c r="N3" s="200">
        <v>12.48</v>
      </c>
      <c r="O3" s="200">
        <v>0</v>
      </c>
      <c r="P3" s="200">
        <f t="shared" si="0"/>
        <v>948.8599999999999</v>
      </c>
      <c r="Q3" s="200">
        <f t="shared" si="1"/>
        <v>414.57999999999993</v>
      </c>
      <c r="R3" s="200">
        <f t="shared" si="2"/>
        <v>534.28</v>
      </c>
      <c r="S3" s="28" t="s">
        <v>2445</v>
      </c>
      <c r="T3" s="27"/>
      <c r="U3" s="28" t="s">
        <v>2446</v>
      </c>
    </row>
    <row r="4" spans="1:21" ht="12.75">
      <c r="A4" s="27">
        <v>3</v>
      </c>
      <c r="B4" s="68" t="s">
        <v>2443</v>
      </c>
      <c r="C4" s="68" t="s">
        <v>2448</v>
      </c>
      <c r="D4" s="160">
        <v>2024</v>
      </c>
      <c r="E4" s="27">
        <v>7</v>
      </c>
      <c r="F4" s="205">
        <v>45504</v>
      </c>
      <c r="G4" s="206">
        <v>868.08</v>
      </c>
      <c r="H4" s="200">
        <v>314.27999999999997</v>
      </c>
      <c r="I4" s="200">
        <v>329.8</v>
      </c>
      <c r="J4" s="200">
        <v>32</v>
      </c>
      <c r="K4" s="200">
        <v>192</v>
      </c>
      <c r="L4" s="200">
        <v>0</v>
      </c>
      <c r="M4" s="200">
        <v>0</v>
      </c>
      <c r="N4" s="200"/>
      <c r="O4" s="200">
        <v>0</v>
      </c>
      <c r="P4" s="200">
        <f t="shared" si="0"/>
        <v>868.07999999999993</v>
      </c>
      <c r="Q4" s="200">
        <f t="shared" si="1"/>
        <v>346.28</v>
      </c>
      <c r="R4" s="200">
        <f t="shared" si="2"/>
        <v>521.79999999999995</v>
      </c>
      <c r="S4" s="28" t="s">
        <v>2445</v>
      </c>
      <c r="T4" s="27"/>
      <c r="U4" s="28" t="s">
        <v>2446</v>
      </c>
    </row>
    <row r="5" spans="1:21" ht="12.75">
      <c r="A5" s="27">
        <v>4</v>
      </c>
      <c r="B5" s="68" t="s">
        <v>2443</v>
      </c>
      <c r="C5" s="68" t="s">
        <v>2449</v>
      </c>
      <c r="D5" s="160">
        <v>2024</v>
      </c>
      <c r="E5" s="27">
        <v>8</v>
      </c>
      <c r="F5" s="205">
        <v>45535</v>
      </c>
      <c r="G5" s="206">
        <v>1269.46</v>
      </c>
      <c r="H5" s="200">
        <v>314.27999999999997</v>
      </c>
      <c r="I5" s="200">
        <v>329.8</v>
      </c>
      <c r="J5" s="200">
        <v>50.4</v>
      </c>
      <c r="K5" s="200">
        <v>192</v>
      </c>
      <c r="L5" s="200">
        <v>382.98</v>
      </c>
      <c r="M5" s="200">
        <v>76.599999999999994</v>
      </c>
      <c r="N5" s="200">
        <v>306.38</v>
      </c>
      <c r="O5" s="200">
        <v>2</v>
      </c>
      <c r="P5" s="200">
        <f t="shared" si="0"/>
        <v>1271.46</v>
      </c>
      <c r="Q5" s="200">
        <f t="shared" si="1"/>
        <v>441.28</v>
      </c>
      <c r="R5" s="200">
        <f t="shared" si="2"/>
        <v>830.18</v>
      </c>
      <c r="S5" s="28" t="s">
        <v>2445</v>
      </c>
      <c r="T5" s="27"/>
      <c r="U5" s="28" t="s">
        <v>2446</v>
      </c>
    </row>
    <row r="6" spans="1:21" ht="12.75">
      <c r="A6" s="27">
        <v>5</v>
      </c>
      <c r="B6" s="68" t="s">
        <v>2443</v>
      </c>
      <c r="C6" s="68" t="s">
        <v>2450</v>
      </c>
      <c r="D6" s="160">
        <v>2024</v>
      </c>
      <c r="E6" s="27">
        <v>9</v>
      </c>
      <c r="F6" s="205">
        <v>45536</v>
      </c>
      <c r="G6" s="206">
        <v>886.48</v>
      </c>
      <c r="H6" s="200">
        <v>314.27999999999997</v>
      </c>
      <c r="I6" s="200">
        <v>329.8</v>
      </c>
      <c r="J6" s="200">
        <v>50.4</v>
      </c>
      <c r="K6" s="200">
        <v>192</v>
      </c>
      <c r="L6" s="200">
        <v>0</v>
      </c>
      <c r="M6" s="200">
        <v>0</v>
      </c>
      <c r="N6" s="200">
        <v>0</v>
      </c>
      <c r="O6" s="200">
        <v>0</v>
      </c>
      <c r="P6" s="200">
        <f t="shared" si="0"/>
        <v>886.4799999999999</v>
      </c>
      <c r="Q6" s="200">
        <f t="shared" si="1"/>
        <v>364.67999999999995</v>
      </c>
      <c r="R6" s="200">
        <f t="shared" si="2"/>
        <v>521.79999999999995</v>
      </c>
      <c r="S6" s="28" t="s">
        <v>2445</v>
      </c>
      <c r="T6" s="27"/>
      <c r="U6" s="28" t="s">
        <v>2446</v>
      </c>
    </row>
    <row r="7" spans="1:21" ht="12.75">
      <c r="A7" s="27">
        <v>6</v>
      </c>
      <c r="B7" s="68" t="s">
        <v>2451</v>
      </c>
      <c r="C7" s="68">
        <v>73341</v>
      </c>
      <c r="D7" s="160">
        <v>2024</v>
      </c>
      <c r="E7" s="27">
        <v>9</v>
      </c>
      <c r="F7" s="205">
        <v>45547</v>
      </c>
      <c r="G7" s="206">
        <v>210</v>
      </c>
      <c r="H7" s="200">
        <v>0</v>
      </c>
      <c r="I7" s="200">
        <v>210</v>
      </c>
      <c r="J7" s="200">
        <v>0</v>
      </c>
      <c r="K7" s="200">
        <v>0</v>
      </c>
      <c r="L7" s="200">
        <v>0</v>
      </c>
      <c r="M7" s="200">
        <v>0</v>
      </c>
      <c r="N7" s="200">
        <v>0</v>
      </c>
      <c r="O7" s="200">
        <v>0</v>
      </c>
      <c r="P7" s="200">
        <f t="shared" si="0"/>
        <v>210</v>
      </c>
      <c r="Q7" s="200">
        <f t="shared" si="1"/>
        <v>0</v>
      </c>
      <c r="R7" s="200">
        <f t="shared" si="2"/>
        <v>210</v>
      </c>
      <c r="S7" s="28" t="s">
        <v>2445</v>
      </c>
      <c r="T7" s="27"/>
      <c r="U7" s="28" t="s">
        <v>2446</v>
      </c>
    </row>
    <row r="8" spans="1:21" ht="12.75">
      <c r="A8" s="27">
        <v>7</v>
      </c>
      <c r="B8" s="68" t="s">
        <v>2443</v>
      </c>
      <c r="C8" s="68" t="s">
        <v>2452</v>
      </c>
      <c r="D8" s="160">
        <v>2024</v>
      </c>
      <c r="E8" s="27">
        <v>10</v>
      </c>
      <c r="F8" s="205">
        <v>45596</v>
      </c>
      <c r="G8" s="206">
        <v>1285.48</v>
      </c>
      <c r="H8" s="200">
        <v>314.27999999999997</v>
      </c>
      <c r="I8" s="200">
        <v>329.8</v>
      </c>
      <c r="J8" s="200">
        <v>50.4</v>
      </c>
      <c r="K8" s="200">
        <v>192</v>
      </c>
      <c r="L8" s="200">
        <v>399</v>
      </c>
      <c r="M8" s="200">
        <f t="shared" ref="M8:M32" si="3">IF(B8="KCD-HK",L8*0.1,0)</f>
        <v>39.900000000000006</v>
      </c>
      <c r="N8" s="200">
        <f t="shared" ref="N8:N32" si="4">IF(B8="KCD-HK",L8*0.9,L8)</f>
        <v>359.1</v>
      </c>
      <c r="O8" s="200">
        <v>0</v>
      </c>
      <c r="P8" s="200">
        <f t="shared" si="0"/>
        <v>1285.48</v>
      </c>
      <c r="Q8" s="200">
        <f t="shared" si="1"/>
        <v>404.57999999999993</v>
      </c>
      <c r="R8" s="200">
        <f t="shared" si="2"/>
        <v>880.9</v>
      </c>
      <c r="S8" s="28" t="s">
        <v>2445</v>
      </c>
      <c r="T8" s="27"/>
      <c r="U8" s="28" t="s">
        <v>2446</v>
      </c>
    </row>
    <row r="9" spans="1:21" ht="12.75">
      <c r="A9" s="27">
        <v>8</v>
      </c>
      <c r="B9" s="68" t="s">
        <v>2451</v>
      </c>
      <c r="C9" s="68">
        <v>75927</v>
      </c>
      <c r="D9" s="160">
        <v>2024</v>
      </c>
      <c r="E9" s="27">
        <v>10</v>
      </c>
      <c r="F9" s="205">
        <v>45596</v>
      </c>
      <c r="G9" s="206">
        <v>210</v>
      </c>
      <c r="H9" s="200">
        <v>0</v>
      </c>
      <c r="I9" s="200">
        <v>210</v>
      </c>
      <c r="J9" s="200">
        <v>0</v>
      </c>
      <c r="K9" s="200">
        <v>0</v>
      </c>
      <c r="L9" s="200">
        <v>0</v>
      </c>
      <c r="M9" s="200">
        <f t="shared" si="3"/>
        <v>0</v>
      </c>
      <c r="N9" s="200">
        <f t="shared" si="4"/>
        <v>0</v>
      </c>
      <c r="O9" s="200">
        <v>0</v>
      </c>
      <c r="P9" s="200">
        <f t="shared" si="0"/>
        <v>210</v>
      </c>
      <c r="Q9" s="200">
        <f t="shared" si="1"/>
        <v>0</v>
      </c>
      <c r="R9" s="200">
        <f t="shared" si="2"/>
        <v>210</v>
      </c>
      <c r="S9" s="28" t="s">
        <v>2445</v>
      </c>
      <c r="T9" s="27"/>
      <c r="U9" s="28" t="s">
        <v>2446</v>
      </c>
    </row>
    <row r="10" spans="1:21" ht="12.75">
      <c r="A10" s="27">
        <v>9</v>
      </c>
      <c r="B10" s="68" t="s">
        <v>2451</v>
      </c>
      <c r="C10" s="68">
        <v>75928</v>
      </c>
      <c r="D10" s="160">
        <v>2024</v>
      </c>
      <c r="E10" s="27">
        <v>11</v>
      </c>
      <c r="F10" s="205">
        <v>45621</v>
      </c>
      <c r="G10" s="206">
        <v>250</v>
      </c>
      <c r="H10" s="200">
        <v>0</v>
      </c>
      <c r="I10" s="200">
        <v>250</v>
      </c>
      <c r="J10" s="200">
        <v>0</v>
      </c>
      <c r="K10" s="200">
        <v>0</v>
      </c>
      <c r="L10" s="200">
        <v>0</v>
      </c>
      <c r="M10" s="200">
        <f t="shared" si="3"/>
        <v>0</v>
      </c>
      <c r="N10" s="200">
        <f t="shared" si="4"/>
        <v>0</v>
      </c>
      <c r="O10" s="200">
        <v>0</v>
      </c>
      <c r="P10" s="200">
        <f t="shared" si="0"/>
        <v>250</v>
      </c>
      <c r="Q10" s="200">
        <f t="shared" si="1"/>
        <v>0</v>
      </c>
      <c r="R10" s="200">
        <f t="shared" si="2"/>
        <v>250</v>
      </c>
      <c r="S10" s="28" t="s">
        <v>2445</v>
      </c>
      <c r="T10" s="27"/>
      <c r="U10" s="28" t="s">
        <v>2446</v>
      </c>
    </row>
    <row r="11" spans="1:21" ht="12.75">
      <c r="A11" s="27">
        <v>10</v>
      </c>
      <c r="B11" s="68" t="s">
        <v>2443</v>
      </c>
      <c r="C11" s="68" t="s">
        <v>2453</v>
      </c>
      <c r="D11" s="160">
        <v>2024</v>
      </c>
      <c r="E11" s="27">
        <v>11</v>
      </c>
      <c r="F11" s="205">
        <v>45626</v>
      </c>
      <c r="G11" s="206">
        <v>1266.48</v>
      </c>
      <c r="H11" s="200">
        <v>314.27999999999997</v>
      </c>
      <c r="I11" s="200">
        <v>329.8</v>
      </c>
      <c r="J11" s="200">
        <v>50.4</v>
      </c>
      <c r="K11" s="200">
        <v>192</v>
      </c>
      <c r="L11" s="200">
        <v>380</v>
      </c>
      <c r="M11" s="200">
        <f t="shared" si="3"/>
        <v>38</v>
      </c>
      <c r="N11" s="200">
        <f t="shared" si="4"/>
        <v>342</v>
      </c>
      <c r="O11" s="200">
        <v>20</v>
      </c>
      <c r="P11" s="200">
        <f t="shared" si="0"/>
        <v>1286.48</v>
      </c>
      <c r="Q11" s="200">
        <f t="shared" si="1"/>
        <v>402.67999999999995</v>
      </c>
      <c r="R11" s="200">
        <f t="shared" si="2"/>
        <v>883.8</v>
      </c>
      <c r="S11" s="28" t="s">
        <v>2445</v>
      </c>
      <c r="T11" s="27"/>
      <c r="U11" s="28" t="s">
        <v>2446</v>
      </c>
    </row>
    <row r="12" spans="1:21" ht="12.75">
      <c r="A12" s="27">
        <v>11</v>
      </c>
      <c r="B12" s="68" t="s">
        <v>2451</v>
      </c>
      <c r="C12" s="68">
        <v>77921</v>
      </c>
      <c r="D12" s="160">
        <v>2024</v>
      </c>
      <c r="E12" s="27">
        <v>11</v>
      </c>
      <c r="F12" s="205">
        <v>45624</v>
      </c>
      <c r="G12" s="206">
        <v>206.49</v>
      </c>
      <c r="H12" s="200">
        <v>0</v>
      </c>
      <c r="I12" s="200">
        <v>206.49</v>
      </c>
      <c r="J12" s="200">
        <v>0</v>
      </c>
      <c r="K12" s="200">
        <v>0</v>
      </c>
      <c r="L12" s="200">
        <v>0</v>
      </c>
      <c r="M12" s="200">
        <f t="shared" si="3"/>
        <v>0</v>
      </c>
      <c r="N12" s="200">
        <f t="shared" si="4"/>
        <v>0</v>
      </c>
      <c r="O12" s="200">
        <v>0</v>
      </c>
      <c r="P12" s="200">
        <f t="shared" si="0"/>
        <v>206.49</v>
      </c>
      <c r="Q12" s="200">
        <f t="shared" si="1"/>
        <v>0</v>
      </c>
      <c r="R12" s="200">
        <f t="shared" si="2"/>
        <v>206.49</v>
      </c>
      <c r="S12" s="28" t="s">
        <v>11</v>
      </c>
      <c r="T12" s="27"/>
      <c r="U12" s="28" t="s">
        <v>2454</v>
      </c>
    </row>
    <row r="13" spans="1:21" ht="12.75">
      <c r="A13" s="27">
        <v>12</v>
      </c>
      <c r="B13" s="68" t="s">
        <v>2443</v>
      </c>
      <c r="C13" s="68" t="s">
        <v>2455</v>
      </c>
      <c r="D13" s="160">
        <v>2024</v>
      </c>
      <c r="E13" s="27">
        <v>12</v>
      </c>
      <c r="F13" s="205">
        <v>45657</v>
      </c>
      <c r="G13" s="206">
        <v>1395.08</v>
      </c>
      <c r="H13" s="200">
        <v>314.27999999999997</v>
      </c>
      <c r="I13" s="200">
        <v>329.8</v>
      </c>
      <c r="J13" s="200">
        <v>50.4</v>
      </c>
      <c r="K13" s="200">
        <v>256</v>
      </c>
      <c r="L13" s="200">
        <v>444.6</v>
      </c>
      <c r="M13" s="200">
        <f t="shared" si="3"/>
        <v>44.460000000000008</v>
      </c>
      <c r="N13" s="200">
        <f t="shared" si="4"/>
        <v>400.14000000000004</v>
      </c>
      <c r="O13" s="200">
        <v>0</v>
      </c>
      <c r="P13" s="200">
        <f t="shared" si="0"/>
        <v>1395.08</v>
      </c>
      <c r="Q13" s="200">
        <f t="shared" si="1"/>
        <v>409.14</v>
      </c>
      <c r="R13" s="200">
        <f t="shared" si="2"/>
        <v>985.94</v>
      </c>
      <c r="S13" s="28" t="s">
        <v>11</v>
      </c>
      <c r="T13" s="27"/>
      <c r="U13" s="28" t="s">
        <v>2454</v>
      </c>
    </row>
    <row r="14" spans="1:21" ht="12.75">
      <c r="A14" s="27">
        <v>13</v>
      </c>
      <c r="B14" s="68" t="s">
        <v>2451</v>
      </c>
      <c r="C14" s="68">
        <v>77921</v>
      </c>
      <c r="D14" s="160">
        <v>2024</v>
      </c>
      <c r="E14" s="27">
        <v>12</v>
      </c>
      <c r="F14" s="205">
        <v>45635</v>
      </c>
      <c r="G14" s="206">
        <v>206.49</v>
      </c>
      <c r="H14" s="200">
        <v>0</v>
      </c>
      <c r="I14" s="200">
        <v>206.49</v>
      </c>
      <c r="J14" s="200">
        <v>0</v>
      </c>
      <c r="K14" s="200">
        <v>0</v>
      </c>
      <c r="L14" s="200">
        <v>0</v>
      </c>
      <c r="M14" s="200">
        <f t="shared" si="3"/>
        <v>0</v>
      </c>
      <c r="N14" s="200">
        <f t="shared" si="4"/>
        <v>0</v>
      </c>
      <c r="O14" s="200">
        <v>0</v>
      </c>
      <c r="P14" s="200">
        <f t="shared" si="0"/>
        <v>206.49</v>
      </c>
      <c r="Q14" s="200">
        <f t="shared" si="1"/>
        <v>0</v>
      </c>
      <c r="R14" s="200">
        <f t="shared" si="2"/>
        <v>206.49</v>
      </c>
      <c r="S14" s="28" t="s">
        <v>11</v>
      </c>
      <c r="T14" s="27"/>
      <c r="U14" s="28" t="s">
        <v>2454</v>
      </c>
    </row>
    <row r="15" spans="1:21" ht="12.75">
      <c r="A15" s="27">
        <v>14</v>
      </c>
      <c r="B15" s="68" t="s">
        <v>2451</v>
      </c>
      <c r="C15" s="68">
        <v>78591</v>
      </c>
      <c r="D15" s="160">
        <v>2024</v>
      </c>
      <c r="E15" s="27">
        <v>12</v>
      </c>
      <c r="F15" s="205">
        <v>45650</v>
      </c>
      <c r="G15" s="206">
        <v>246.62</v>
      </c>
      <c r="H15" s="200">
        <v>0</v>
      </c>
      <c r="I15" s="200">
        <v>246.62</v>
      </c>
      <c r="J15" s="200">
        <v>0</v>
      </c>
      <c r="K15" s="200">
        <v>0</v>
      </c>
      <c r="L15" s="200">
        <v>0</v>
      </c>
      <c r="M15" s="200">
        <f t="shared" si="3"/>
        <v>0</v>
      </c>
      <c r="N15" s="200">
        <f t="shared" si="4"/>
        <v>0</v>
      </c>
      <c r="O15" s="200">
        <v>0</v>
      </c>
      <c r="P15" s="200">
        <f t="shared" si="0"/>
        <v>246.62</v>
      </c>
      <c r="Q15" s="200">
        <f t="shared" si="1"/>
        <v>0</v>
      </c>
      <c r="R15" s="200">
        <f t="shared" si="2"/>
        <v>246.62</v>
      </c>
      <c r="S15" s="28" t="s">
        <v>11</v>
      </c>
      <c r="T15" s="27"/>
      <c r="U15" s="28" t="s">
        <v>2454</v>
      </c>
    </row>
    <row r="16" spans="1:21" ht="12.75">
      <c r="A16" s="27">
        <v>15</v>
      </c>
      <c r="B16" s="68" t="s">
        <v>2451</v>
      </c>
      <c r="C16" s="68">
        <v>79419</v>
      </c>
      <c r="D16" s="160">
        <v>2025</v>
      </c>
      <c r="E16" s="27">
        <v>1</v>
      </c>
      <c r="F16" s="205">
        <v>45669</v>
      </c>
      <c r="G16" s="206">
        <v>204.56</v>
      </c>
      <c r="H16" s="200">
        <v>0</v>
      </c>
      <c r="I16" s="200">
        <v>204.56</v>
      </c>
      <c r="J16" s="200">
        <v>0</v>
      </c>
      <c r="K16" s="200">
        <v>0</v>
      </c>
      <c r="L16" s="200">
        <v>0</v>
      </c>
      <c r="M16" s="200">
        <f t="shared" si="3"/>
        <v>0</v>
      </c>
      <c r="N16" s="200">
        <f t="shared" si="4"/>
        <v>0</v>
      </c>
      <c r="O16" s="200">
        <v>0</v>
      </c>
      <c r="P16" s="200">
        <f t="shared" si="0"/>
        <v>204.56</v>
      </c>
      <c r="Q16" s="200">
        <f t="shared" si="1"/>
        <v>0</v>
      </c>
      <c r="R16" s="200">
        <f t="shared" si="2"/>
        <v>204.56</v>
      </c>
      <c r="S16" s="28" t="s">
        <v>11</v>
      </c>
      <c r="T16" s="27"/>
      <c r="U16" s="28" t="s">
        <v>2454</v>
      </c>
    </row>
    <row r="17" spans="1:21" ht="12.75">
      <c r="A17" s="27">
        <v>16</v>
      </c>
      <c r="B17" s="68" t="s">
        <v>2443</v>
      </c>
      <c r="C17" s="68" t="s">
        <v>2456</v>
      </c>
      <c r="D17" s="160">
        <v>2025</v>
      </c>
      <c r="E17" s="27">
        <v>1</v>
      </c>
      <c r="F17" s="205">
        <v>45688</v>
      </c>
      <c r="G17" s="206">
        <v>1421.68</v>
      </c>
      <c r="H17" s="200">
        <v>314.27999999999997</v>
      </c>
      <c r="I17" s="200">
        <v>329.8</v>
      </c>
      <c r="J17" s="200">
        <v>50.4</v>
      </c>
      <c r="K17" s="200">
        <v>256</v>
      </c>
      <c r="L17" s="200">
        <v>471.2</v>
      </c>
      <c r="M17" s="200">
        <f t="shared" si="3"/>
        <v>47.120000000000005</v>
      </c>
      <c r="N17" s="200">
        <f t="shared" si="4"/>
        <v>424.08</v>
      </c>
      <c r="O17" s="200">
        <v>0</v>
      </c>
      <c r="P17" s="200">
        <f t="shared" si="0"/>
        <v>1421.6799999999998</v>
      </c>
      <c r="Q17" s="200">
        <f t="shared" si="1"/>
        <v>411.79999999999995</v>
      </c>
      <c r="R17" s="200">
        <f t="shared" si="2"/>
        <v>1009.8799999999999</v>
      </c>
      <c r="S17" s="28" t="s">
        <v>11</v>
      </c>
      <c r="T17" s="27"/>
      <c r="U17" s="28" t="s">
        <v>2454</v>
      </c>
    </row>
    <row r="18" spans="1:21" ht="12.75">
      <c r="A18" s="27">
        <v>17</v>
      </c>
      <c r="B18" s="68" t="s">
        <v>2443</v>
      </c>
      <c r="C18" s="68" t="s">
        <v>2457</v>
      </c>
      <c r="D18" s="160">
        <v>2025</v>
      </c>
      <c r="E18" s="27">
        <v>1</v>
      </c>
      <c r="F18" s="205">
        <v>45681</v>
      </c>
      <c r="G18" s="206">
        <v>2</v>
      </c>
      <c r="H18" s="200">
        <v>0</v>
      </c>
      <c r="I18" s="200">
        <v>0</v>
      </c>
      <c r="J18" s="200">
        <v>0</v>
      </c>
      <c r="K18" s="200">
        <v>0</v>
      </c>
      <c r="L18" s="200">
        <v>0</v>
      </c>
      <c r="M18" s="200">
        <f t="shared" si="3"/>
        <v>0</v>
      </c>
      <c r="N18" s="200">
        <f t="shared" si="4"/>
        <v>0</v>
      </c>
      <c r="O18" s="200">
        <v>2</v>
      </c>
      <c r="P18" s="200">
        <f t="shared" si="0"/>
        <v>2</v>
      </c>
      <c r="Q18" s="200">
        <f t="shared" si="1"/>
        <v>0</v>
      </c>
      <c r="R18" s="200">
        <f t="shared" si="2"/>
        <v>2</v>
      </c>
      <c r="S18" s="28" t="s">
        <v>11</v>
      </c>
      <c r="T18" s="27"/>
      <c r="U18" s="28" t="s">
        <v>2454</v>
      </c>
    </row>
    <row r="19" spans="1:21" ht="12.75">
      <c r="A19" s="27">
        <v>18</v>
      </c>
      <c r="B19" s="68" t="s">
        <v>2458</v>
      </c>
      <c r="C19" s="68" t="s">
        <v>2459</v>
      </c>
      <c r="D19" s="160">
        <v>2025</v>
      </c>
      <c r="E19" s="27">
        <v>1</v>
      </c>
      <c r="F19" s="205">
        <v>45679</v>
      </c>
      <c r="G19" s="206">
        <v>457.01</v>
      </c>
      <c r="H19" s="200">
        <v>0</v>
      </c>
      <c r="I19" s="200">
        <v>88.23</v>
      </c>
      <c r="J19" s="200">
        <v>0</v>
      </c>
      <c r="K19" s="200">
        <v>17.420000000000002</v>
      </c>
      <c r="L19" s="200">
        <v>36.76</v>
      </c>
      <c r="M19" s="200">
        <f t="shared" si="3"/>
        <v>0</v>
      </c>
      <c r="N19" s="200">
        <f t="shared" si="4"/>
        <v>36.76</v>
      </c>
      <c r="O19" s="200">
        <v>314.60000000000002</v>
      </c>
      <c r="P19" s="200">
        <f t="shared" si="0"/>
        <v>457.01</v>
      </c>
      <c r="Q19" s="200">
        <f t="shared" si="1"/>
        <v>0</v>
      </c>
      <c r="R19" s="200">
        <f t="shared" si="2"/>
        <v>457.01</v>
      </c>
      <c r="S19" s="28" t="s">
        <v>11</v>
      </c>
      <c r="T19" s="27"/>
      <c r="U19" s="28" t="s">
        <v>2454</v>
      </c>
    </row>
    <row r="20" spans="1:21" ht="12.75">
      <c r="A20" s="27">
        <v>19</v>
      </c>
      <c r="B20" s="68" t="s">
        <v>2460</v>
      </c>
      <c r="C20" s="68" t="s">
        <v>2461</v>
      </c>
      <c r="D20" s="160">
        <v>2025</v>
      </c>
      <c r="E20" s="27">
        <v>1</v>
      </c>
      <c r="F20" s="205">
        <v>45680</v>
      </c>
      <c r="G20" s="206">
        <v>1335.97</v>
      </c>
      <c r="H20" s="200">
        <v>0</v>
      </c>
      <c r="I20" s="200">
        <v>83.59</v>
      </c>
      <c r="J20" s="200">
        <v>0</v>
      </c>
      <c r="K20" s="200">
        <v>68.260000000000005</v>
      </c>
      <c r="L20" s="200">
        <v>1114.47</v>
      </c>
      <c r="M20" s="200">
        <f t="shared" si="3"/>
        <v>0</v>
      </c>
      <c r="N20" s="200">
        <f t="shared" si="4"/>
        <v>1114.47</v>
      </c>
      <c r="O20" s="200">
        <v>69.650000000000006</v>
      </c>
      <c r="P20" s="200">
        <f t="shared" si="0"/>
        <v>1335.9700000000003</v>
      </c>
      <c r="Q20" s="200">
        <f t="shared" si="1"/>
        <v>0</v>
      </c>
      <c r="R20" s="200">
        <f t="shared" si="2"/>
        <v>1335.9700000000003</v>
      </c>
      <c r="S20" s="28" t="s">
        <v>2445</v>
      </c>
      <c r="T20" s="27"/>
      <c r="U20" s="28" t="s">
        <v>2462</v>
      </c>
    </row>
    <row r="21" spans="1:21" ht="12.75">
      <c r="A21" s="27">
        <v>20</v>
      </c>
      <c r="B21" s="68" t="s">
        <v>2460</v>
      </c>
      <c r="C21" s="68" t="s">
        <v>2463</v>
      </c>
      <c r="D21" s="160">
        <v>2025</v>
      </c>
      <c r="E21" s="27">
        <v>1</v>
      </c>
      <c r="F21" s="205">
        <v>45680</v>
      </c>
      <c r="G21" s="206">
        <v>15.89</v>
      </c>
      <c r="H21" s="200">
        <v>0</v>
      </c>
      <c r="I21" s="200">
        <v>0</v>
      </c>
      <c r="J21" s="200">
        <v>0</v>
      </c>
      <c r="K21" s="200">
        <v>0</v>
      </c>
      <c r="L21" s="200">
        <v>15.89</v>
      </c>
      <c r="M21" s="200">
        <f t="shared" si="3"/>
        <v>0</v>
      </c>
      <c r="N21" s="200">
        <f t="shared" si="4"/>
        <v>15.89</v>
      </c>
      <c r="O21" s="200">
        <v>0</v>
      </c>
      <c r="P21" s="200">
        <f t="shared" si="0"/>
        <v>15.89</v>
      </c>
      <c r="Q21" s="200">
        <f t="shared" si="1"/>
        <v>0</v>
      </c>
      <c r="R21" s="200">
        <f t="shared" si="2"/>
        <v>15.89</v>
      </c>
      <c r="S21" s="28" t="s">
        <v>2464</v>
      </c>
      <c r="T21" s="27"/>
      <c r="U21" s="28" t="s">
        <v>2465</v>
      </c>
    </row>
    <row r="22" spans="1:21" ht="12.75">
      <c r="A22" s="27">
        <v>21</v>
      </c>
      <c r="B22" s="68" t="s">
        <v>2458</v>
      </c>
      <c r="C22" s="68" t="s">
        <v>2466</v>
      </c>
      <c r="D22" s="160">
        <v>2025</v>
      </c>
      <c r="E22" s="27">
        <v>1</v>
      </c>
      <c r="F22" s="205">
        <v>45688</v>
      </c>
      <c r="G22" s="206">
        <v>294.33999999999997</v>
      </c>
      <c r="H22" s="200">
        <v>0</v>
      </c>
      <c r="I22" s="200">
        <v>182.34</v>
      </c>
      <c r="J22" s="200">
        <v>0</v>
      </c>
      <c r="K22" s="200">
        <v>36</v>
      </c>
      <c r="L22" s="200">
        <v>76</v>
      </c>
      <c r="M22" s="200">
        <f t="shared" si="3"/>
        <v>0</v>
      </c>
      <c r="N22" s="200">
        <f t="shared" si="4"/>
        <v>76</v>
      </c>
      <c r="O22" s="200">
        <v>0</v>
      </c>
      <c r="P22" s="200">
        <f t="shared" si="0"/>
        <v>294.34000000000003</v>
      </c>
      <c r="Q22" s="200">
        <f t="shared" si="1"/>
        <v>0</v>
      </c>
      <c r="R22" s="200">
        <f t="shared" si="2"/>
        <v>294.34000000000003</v>
      </c>
      <c r="S22" s="28" t="s">
        <v>11</v>
      </c>
      <c r="T22" s="27"/>
      <c r="U22" s="28" t="s">
        <v>2454</v>
      </c>
    </row>
    <row r="23" spans="1:21" ht="12.75">
      <c r="A23" s="27">
        <v>22</v>
      </c>
      <c r="B23" s="68" t="s">
        <v>2451</v>
      </c>
      <c r="C23" s="68">
        <v>80033</v>
      </c>
      <c r="D23" s="160">
        <v>2025</v>
      </c>
      <c r="E23" s="27">
        <v>1</v>
      </c>
      <c r="F23" s="205">
        <v>45682</v>
      </c>
      <c r="G23" s="206">
        <v>248.48</v>
      </c>
      <c r="H23" s="200">
        <v>0</v>
      </c>
      <c r="I23" s="200">
        <v>248.48</v>
      </c>
      <c r="J23" s="200">
        <v>0</v>
      </c>
      <c r="K23" s="200">
        <v>0</v>
      </c>
      <c r="L23" s="200">
        <v>0</v>
      </c>
      <c r="M23" s="200">
        <f t="shared" si="3"/>
        <v>0</v>
      </c>
      <c r="N23" s="200">
        <f t="shared" si="4"/>
        <v>0</v>
      </c>
      <c r="O23" s="200">
        <v>0</v>
      </c>
      <c r="P23" s="200">
        <f t="shared" si="0"/>
        <v>248.48</v>
      </c>
      <c r="Q23" s="200">
        <f t="shared" si="1"/>
        <v>0</v>
      </c>
      <c r="R23" s="200">
        <f t="shared" si="2"/>
        <v>248.48</v>
      </c>
      <c r="S23" s="28" t="s">
        <v>2467</v>
      </c>
      <c r="T23" s="27"/>
      <c r="U23" s="28" t="s">
        <v>2468</v>
      </c>
    </row>
    <row r="24" spans="1:21" ht="12.75">
      <c r="A24" s="27">
        <v>23</v>
      </c>
      <c r="B24" s="68" t="s">
        <v>2451</v>
      </c>
      <c r="C24" s="68">
        <v>80913</v>
      </c>
      <c r="D24" s="27">
        <v>2025</v>
      </c>
      <c r="E24" s="27">
        <v>2</v>
      </c>
      <c r="F24" s="205">
        <v>45699</v>
      </c>
      <c r="G24" s="206">
        <v>205.33</v>
      </c>
      <c r="H24" s="200">
        <v>0</v>
      </c>
      <c r="I24" s="200">
        <v>205.33</v>
      </c>
      <c r="J24" s="200">
        <v>0</v>
      </c>
      <c r="K24" s="200">
        <v>0</v>
      </c>
      <c r="L24" s="200">
        <v>0</v>
      </c>
      <c r="M24" s="200">
        <f t="shared" si="3"/>
        <v>0</v>
      </c>
      <c r="N24" s="200">
        <f t="shared" si="4"/>
        <v>0</v>
      </c>
      <c r="O24" s="200">
        <v>0</v>
      </c>
      <c r="P24" s="200">
        <f t="shared" si="0"/>
        <v>205.33</v>
      </c>
      <c r="Q24" s="200">
        <f t="shared" si="1"/>
        <v>0</v>
      </c>
      <c r="R24" s="200">
        <f t="shared" si="2"/>
        <v>205.33</v>
      </c>
      <c r="S24" s="28" t="s">
        <v>2467</v>
      </c>
      <c r="T24" s="27"/>
      <c r="U24" s="28" t="s">
        <v>2468</v>
      </c>
    </row>
    <row r="25" spans="1:21" ht="12.75">
      <c r="A25" s="27">
        <v>24</v>
      </c>
      <c r="B25" s="68" t="s">
        <v>2451</v>
      </c>
      <c r="C25" s="68">
        <v>81559</v>
      </c>
      <c r="D25" s="27">
        <v>2025</v>
      </c>
      <c r="E25" s="27">
        <v>2</v>
      </c>
      <c r="F25" s="205">
        <v>45712</v>
      </c>
      <c r="G25" s="206">
        <v>248.69</v>
      </c>
      <c r="H25" s="200">
        <v>0</v>
      </c>
      <c r="I25" s="200">
        <v>248.69</v>
      </c>
      <c r="J25" s="200">
        <v>0</v>
      </c>
      <c r="K25" s="200">
        <v>0</v>
      </c>
      <c r="L25" s="200">
        <v>0</v>
      </c>
      <c r="M25" s="200">
        <f t="shared" si="3"/>
        <v>0</v>
      </c>
      <c r="N25" s="200">
        <f t="shared" si="4"/>
        <v>0</v>
      </c>
      <c r="O25" s="200">
        <v>0</v>
      </c>
      <c r="P25" s="200">
        <f t="shared" si="0"/>
        <v>248.69</v>
      </c>
      <c r="Q25" s="200">
        <f t="shared" si="1"/>
        <v>0</v>
      </c>
      <c r="R25" s="200">
        <f t="shared" si="2"/>
        <v>248.69</v>
      </c>
      <c r="S25" s="28" t="s">
        <v>2467</v>
      </c>
      <c r="T25" s="27"/>
      <c r="U25" s="28" t="s">
        <v>2468</v>
      </c>
    </row>
    <row r="26" spans="1:21" ht="12.75">
      <c r="A26" s="27">
        <v>25</v>
      </c>
      <c r="B26" s="68" t="s">
        <v>2460</v>
      </c>
      <c r="C26" s="68" t="s">
        <v>2469</v>
      </c>
      <c r="D26" s="27">
        <v>2025</v>
      </c>
      <c r="E26" s="27">
        <v>2</v>
      </c>
      <c r="F26" s="205">
        <v>45716</v>
      </c>
      <c r="G26" s="206">
        <v>2614.9899999999998</v>
      </c>
      <c r="H26" s="200">
        <v>0</v>
      </c>
      <c r="I26" s="200">
        <v>82.58</v>
      </c>
      <c r="J26" s="200">
        <v>0</v>
      </c>
      <c r="K26" s="200">
        <v>90.84</v>
      </c>
      <c r="L26" s="200">
        <v>2441.5700000000002</v>
      </c>
      <c r="M26" s="200">
        <f t="shared" si="3"/>
        <v>0</v>
      </c>
      <c r="N26" s="200">
        <f t="shared" si="4"/>
        <v>2441.5700000000002</v>
      </c>
      <c r="O26" s="200">
        <v>0</v>
      </c>
      <c r="P26" s="200">
        <f t="shared" si="0"/>
        <v>2614.9900000000002</v>
      </c>
      <c r="Q26" s="200">
        <f t="shared" si="1"/>
        <v>0</v>
      </c>
      <c r="R26" s="200">
        <f t="shared" si="2"/>
        <v>2614.9900000000002</v>
      </c>
      <c r="S26" s="28" t="s">
        <v>2464</v>
      </c>
      <c r="T26" s="27"/>
      <c r="U26" s="28" t="s">
        <v>2470</v>
      </c>
    </row>
    <row r="27" spans="1:21" ht="12.75">
      <c r="A27" s="27">
        <v>26</v>
      </c>
      <c r="B27" s="68" t="s">
        <v>2443</v>
      </c>
      <c r="C27" s="68" t="s">
        <v>2471</v>
      </c>
      <c r="D27" s="27">
        <v>2025</v>
      </c>
      <c r="E27" s="27">
        <v>2</v>
      </c>
      <c r="F27" s="205">
        <v>45716</v>
      </c>
      <c r="G27" s="206">
        <v>1402.68</v>
      </c>
      <c r="H27" s="200">
        <v>314.27999999999997</v>
      </c>
      <c r="I27" s="200">
        <v>329.8</v>
      </c>
      <c r="J27" s="200">
        <v>50.4</v>
      </c>
      <c r="K27" s="200">
        <v>256</v>
      </c>
      <c r="L27" s="200">
        <v>452.2</v>
      </c>
      <c r="M27" s="200">
        <f t="shared" si="3"/>
        <v>45.22</v>
      </c>
      <c r="N27" s="200">
        <f t="shared" si="4"/>
        <v>406.98</v>
      </c>
      <c r="O27" s="200">
        <v>0</v>
      </c>
      <c r="P27" s="200">
        <f t="shared" si="0"/>
        <v>1402.6799999999998</v>
      </c>
      <c r="Q27" s="200">
        <f t="shared" si="1"/>
        <v>409.9</v>
      </c>
      <c r="R27" s="200">
        <f t="shared" si="2"/>
        <v>992.78</v>
      </c>
      <c r="S27" s="28" t="s">
        <v>2464</v>
      </c>
      <c r="T27" s="27"/>
      <c r="U27" s="28" t="s">
        <v>2465</v>
      </c>
    </row>
    <row r="28" spans="1:21" ht="12.75">
      <c r="A28" s="27">
        <v>27</v>
      </c>
      <c r="B28" s="68" t="s">
        <v>2458</v>
      </c>
      <c r="C28" s="68" t="s">
        <v>2472</v>
      </c>
      <c r="D28" s="27">
        <v>2025</v>
      </c>
      <c r="E28" s="27">
        <v>2</v>
      </c>
      <c r="F28" s="205">
        <v>45716</v>
      </c>
      <c r="G28" s="206">
        <v>403.76</v>
      </c>
      <c r="H28" s="200">
        <v>0</v>
      </c>
      <c r="I28" s="200">
        <v>182.34</v>
      </c>
      <c r="J28" s="200">
        <v>0</v>
      </c>
      <c r="K28" s="200">
        <v>36</v>
      </c>
      <c r="L28" s="200">
        <v>76</v>
      </c>
      <c r="M28" s="200">
        <f t="shared" si="3"/>
        <v>0</v>
      </c>
      <c r="N28" s="200">
        <f t="shared" si="4"/>
        <v>76</v>
      </c>
      <c r="O28" s="200">
        <v>109.42</v>
      </c>
      <c r="P28" s="200">
        <f t="shared" si="0"/>
        <v>403.76000000000005</v>
      </c>
      <c r="Q28" s="200">
        <f t="shared" si="1"/>
        <v>0</v>
      </c>
      <c r="R28" s="200">
        <f t="shared" si="2"/>
        <v>403.76000000000005</v>
      </c>
      <c r="S28" s="28" t="s">
        <v>2445</v>
      </c>
      <c r="T28" s="27"/>
      <c r="U28" s="28" t="s">
        <v>2473</v>
      </c>
    </row>
    <row r="29" spans="1:21" ht="12.75">
      <c r="A29" s="27">
        <v>28</v>
      </c>
      <c r="B29" s="68" t="s">
        <v>2451</v>
      </c>
      <c r="C29" s="68">
        <v>82617</v>
      </c>
      <c r="D29" s="27">
        <v>2025</v>
      </c>
      <c r="E29" s="27">
        <v>3</v>
      </c>
      <c r="F29" s="205">
        <v>45720</v>
      </c>
      <c r="G29" s="206">
        <v>119.19</v>
      </c>
      <c r="H29" s="200">
        <v>0</v>
      </c>
      <c r="I29" s="200">
        <v>119.19</v>
      </c>
      <c r="J29" s="200">
        <v>0</v>
      </c>
      <c r="K29" s="200">
        <v>0</v>
      </c>
      <c r="L29" s="200">
        <v>0</v>
      </c>
      <c r="M29" s="200">
        <f t="shared" si="3"/>
        <v>0</v>
      </c>
      <c r="N29" s="200">
        <f t="shared" si="4"/>
        <v>0</v>
      </c>
      <c r="O29" s="200">
        <v>0</v>
      </c>
      <c r="P29" s="200">
        <f t="shared" si="0"/>
        <v>119.19</v>
      </c>
      <c r="Q29" s="200">
        <f t="shared" si="1"/>
        <v>0</v>
      </c>
      <c r="R29" s="200">
        <f t="shared" si="2"/>
        <v>119.19</v>
      </c>
      <c r="S29" s="28" t="s">
        <v>2467</v>
      </c>
      <c r="T29" s="27"/>
      <c r="U29" s="28" t="s">
        <v>2474</v>
      </c>
    </row>
    <row r="30" spans="1:21" ht="12.75">
      <c r="A30" s="27">
        <v>29</v>
      </c>
      <c r="B30" s="68" t="s">
        <v>2451</v>
      </c>
      <c r="C30" s="68">
        <v>82947</v>
      </c>
      <c r="D30" s="27">
        <v>2025</v>
      </c>
      <c r="E30" s="27">
        <v>3</v>
      </c>
      <c r="F30" s="205">
        <v>45741</v>
      </c>
      <c r="G30" s="206">
        <v>426.81</v>
      </c>
      <c r="H30" s="200">
        <v>0</v>
      </c>
      <c r="I30" s="200">
        <v>426.81</v>
      </c>
      <c r="J30" s="200">
        <v>0</v>
      </c>
      <c r="K30" s="200">
        <v>0</v>
      </c>
      <c r="L30" s="200">
        <v>0</v>
      </c>
      <c r="M30" s="200">
        <f t="shared" si="3"/>
        <v>0</v>
      </c>
      <c r="N30" s="200">
        <f t="shared" si="4"/>
        <v>0</v>
      </c>
      <c r="O30" s="200">
        <v>0</v>
      </c>
      <c r="P30" s="200">
        <f t="shared" si="0"/>
        <v>426.81</v>
      </c>
      <c r="Q30" s="200">
        <f t="shared" si="1"/>
        <v>0</v>
      </c>
      <c r="R30" s="200">
        <f t="shared" si="2"/>
        <v>426.81</v>
      </c>
      <c r="S30" s="28" t="s">
        <v>2467</v>
      </c>
      <c r="T30" s="27"/>
      <c r="U30" s="28" t="s">
        <v>2475</v>
      </c>
    </row>
    <row r="31" spans="1:21" ht="12.75">
      <c r="A31" s="27">
        <v>30</v>
      </c>
      <c r="B31" s="68" t="s">
        <v>2443</v>
      </c>
      <c r="C31" s="68" t="s">
        <v>2476</v>
      </c>
      <c r="D31" s="27">
        <v>2025</v>
      </c>
      <c r="E31" s="27">
        <v>3</v>
      </c>
      <c r="F31" s="205">
        <v>45747</v>
      </c>
      <c r="G31" s="206">
        <v>1317.67</v>
      </c>
      <c r="H31" s="200">
        <v>314.27999999999997</v>
      </c>
      <c r="I31" s="200">
        <v>329.8</v>
      </c>
      <c r="J31" s="200">
        <v>50.4</v>
      </c>
      <c r="K31" s="200">
        <v>256</v>
      </c>
      <c r="L31" s="207">
        <v>367.19</v>
      </c>
      <c r="M31" s="200">
        <f t="shared" si="3"/>
        <v>36.719000000000001</v>
      </c>
      <c r="N31" s="200">
        <f t="shared" si="4"/>
        <v>330.471</v>
      </c>
      <c r="O31" s="200">
        <v>-230.86</v>
      </c>
      <c r="P31" s="200">
        <f t="shared" si="0"/>
        <v>1086.81</v>
      </c>
      <c r="Q31" s="200">
        <f t="shared" si="1"/>
        <v>401.39899999999994</v>
      </c>
      <c r="R31" s="200">
        <f t="shared" si="2"/>
        <v>685.41099999999994</v>
      </c>
      <c r="S31" s="28" t="s">
        <v>2445</v>
      </c>
      <c r="T31" s="27"/>
      <c r="U31" s="28" t="s">
        <v>2473</v>
      </c>
    </row>
    <row r="32" spans="1:21" ht="12.75">
      <c r="A32" s="27">
        <v>31</v>
      </c>
      <c r="B32" s="68" t="s">
        <v>2458</v>
      </c>
      <c r="C32" s="68" t="s">
        <v>2477</v>
      </c>
      <c r="D32" s="27">
        <v>2025</v>
      </c>
      <c r="E32" s="27">
        <v>3</v>
      </c>
      <c r="F32" s="205">
        <v>45747</v>
      </c>
      <c r="G32" s="206">
        <v>324.42</v>
      </c>
      <c r="H32" s="200">
        <v>0</v>
      </c>
      <c r="I32" s="200">
        <v>182.34</v>
      </c>
      <c r="J32" s="200">
        <v>0</v>
      </c>
      <c r="K32" s="200">
        <v>36</v>
      </c>
      <c r="L32" s="200">
        <v>106.08</v>
      </c>
      <c r="M32" s="200">
        <f t="shared" si="3"/>
        <v>0</v>
      </c>
      <c r="N32" s="200">
        <f t="shared" si="4"/>
        <v>106.08</v>
      </c>
      <c r="O32" s="200">
        <v>0</v>
      </c>
      <c r="P32" s="200">
        <f t="shared" si="0"/>
        <v>324.42</v>
      </c>
      <c r="Q32" s="200">
        <f t="shared" si="1"/>
        <v>0</v>
      </c>
      <c r="R32" s="200">
        <f t="shared" si="2"/>
        <v>324.42</v>
      </c>
      <c r="S32" s="28" t="s">
        <v>2445</v>
      </c>
      <c r="T32" s="27"/>
      <c r="U32" s="28" t="s">
        <v>2473</v>
      </c>
    </row>
    <row r="33" spans="1:21" ht="12.75">
      <c r="A33" s="27">
        <v>32</v>
      </c>
      <c r="B33" s="68" t="s">
        <v>2460</v>
      </c>
      <c r="C33" s="68" t="s">
        <v>2478</v>
      </c>
      <c r="D33" s="27">
        <v>2025</v>
      </c>
      <c r="E33" s="27">
        <v>3</v>
      </c>
      <c r="F33" s="205">
        <v>45747</v>
      </c>
      <c r="G33" s="206">
        <v>631.65</v>
      </c>
      <c r="H33" s="200">
        <v>0</v>
      </c>
      <c r="I33" s="200">
        <v>101.49</v>
      </c>
      <c r="J33" s="200">
        <v>0</v>
      </c>
      <c r="K33" s="200">
        <v>137.76</v>
      </c>
      <c r="L33" s="200">
        <v>406.8</v>
      </c>
      <c r="M33" s="200">
        <v>0</v>
      </c>
      <c r="N33" s="200">
        <v>406.8</v>
      </c>
      <c r="O33" s="200">
        <v>-14.41</v>
      </c>
      <c r="P33" s="200">
        <f t="shared" si="0"/>
        <v>631.64</v>
      </c>
      <c r="Q33" s="200">
        <f t="shared" si="1"/>
        <v>0</v>
      </c>
      <c r="R33" s="200">
        <f t="shared" si="2"/>
        <v>631.64</v>
      </c>
      <c r="S33" s="28" t="s">
        <v>2445</v>
      </c>
      <c r="T33" s="27"/>
      <c r="U33" s="28" t="s">
        <v>2473</v>
      </c>
    </row>
    <row r="34" spans="1:21" ht="12.75">
      <c r="A34" s="27">
        <v>33</v>
      </c>
      <c r="B34" s="68" t="s">
        <v>2460</v>
      </c>
      <c r="C34" s="208" t="s">
        <v>2479</v>
      </c>
      <c r="D34" s="27">
        <v>2025</v>
      </c>
      <c r="E34" s="27">
        <v>4</v>
      </c>
      <c r="F34" s="205">
        <v>45749</v>
      </c>
      <c r="G34" s="206">
        <v>1012.54</v>
      </c>
      <c r="H34" s="200">
        <v>0</v>
      </c>
      <c r="I34" s="200">
        <v>0</v>
      </c>
      <c r="J34" s="200">
        <v>0</v>
      </c>
      <c r="K34" s="200">
        <v>0</v>
      </c>
      <c r="L34" s="200">
        <v>1012.54</v>
      </c>
      <c r="M34" s="200">
        <v>0</v>
      </c>
      <c r="N34" s="200">
        <v>1012.54</v>
      </c>
      <c r="O34" s="200"/>
      <c r="P34" s="200">
        <f t="shared" si="0"/>
        <v>1012.54</v>
      </c>
      <c r="Q34" s="200">
        <f t="shared" si="1"/>
        <v>0</v>
      </c>
      <c r="R34" s="200">
        <f t="shared" si="2"/>
        <v>1012.54</v>
      </c>
      <c r="S34" s="28" t="s">
        <v>2445</v>
      </c>
      <c r="T34" s="27"/>
      <c r="U34" s="28" t="s">
        <v>2473</v>
      </c>
    </row>
    <row r="35" spans="1:21" ht="12.75">
      <c r="A35" s="27">
        <v>34</v>
      </c>
      <c r="B35" s="68" t="s">
        <v>2451</v>
      </c>
      <c r="C35" s="68">
        <v>83731</v>
      </c>
      <c r="D35" s="27">
        <v>2025</v>
      </c>
      <c r="E35" s="27">
        <v>4</v>
      </c>
      <c r="F35" s="205">
        <v>45758</v>
      </c>
      <c r="G35" s="206">
        <v>206.64</v>
      </c>
      <c r="H35" s="200">
        <v>0</v>
      </c>
      <c r="I35" s="200">
        <v>206.64</v>
      </c>
      <c r="J35" s="200">
        <v>0</v>
      </c>
      <c r="K35" s="200">
        <v>0</v>
      </c>
      <c r="L35" s="200">
        <v>0</v>
      </c>
      <c r="M35" s="200">
        <f>IF(B35="KCD-HK",L35*0.1,0)</f>
        <v>0</v>
      </c>
      <c r="N35" s="200">
        <f>IF(B35="KCD-HK",L35*0.9,L35)</f>
        <v>0</v>
      </c>
      <c r="O35" s="200">
        <v>0</v>
      </c>
      <c r="P35" s="200">
        <f t="shared" si="0"/>
        <v>206.64</v>
      </c>
      <c r="Q35" s="200">
        <f t="shared" si="1"/>
        <v>0</v>
      </c>
      <c r="R35" s="200">
        <f t="shared" si="2"/>
        <v>206.64</v>
      </c>
      <c r="S35" s="28" t="s">
        <v>2467</v>
      </c>
      <c r="T35" s="27"/>
      <c r="U35" s="28" t="s">
        <v>2468</v>
      </c>
    </row>
    <row r="36" spans="1:21" ht="12.75">
      <c r="A36" s="27">
        <v>35</v>
      </c>
      <c r="B36" s="68" t="s">
        <v>2451</v>
      </c>
      <c r="C36" s="68">
        <v>84333</v>
      </c>
      <c r="D36" s="27">
        <v>2025</v>
      </c>
      <c r="E36" s="27">
        <v>4</v>
      </c>
      <c r="F36" s="205">
        <v>45772</v>
      </c>
      <c r="G36" s="206">
        <v>426.29</v>
      </c>
      <c r="H36" s="200">
        <v>0</v>
      </c>
      <c r="I36" s="200">
        <v>426.29</v>
      </c>
      <c r="J36" s="200">
        <v>0</v>
      </c>
      <c r="K36" s="200">
        <v>0</v>
      </c>
      <c r="L36" s="200">
        <v>0</v>
      </c>
      <c r="M36" s="200">
        <v>0</v>
      </c>
      <c r="N36" s="200">
        <v>0</v>
      </c>
      <c r="O36" s="200">
        <v>0</v>
      </c>
      <c r="P36" s="200">
        <f t="shared" si="0"/>
        <v>426.29</v>
      </c>
      <c r="Q36" s="200">
        <f t="shared" si="1"/>
        <v>0</v>
      </c>
      <c r="R36" s="200">
        <f t="shared" si="2"/>
        <v>426.29</v>
      </c>
      <c r="S36" s="28" t="s">
        <v>2467</v>
      </c>
      <c r="T36" s="27"/>
      <c r="U36" s="28" t="s">
        <v>2468</v>
      </c>
    </row>
    <row r="37" spans="1:21" ht="12.75">
      <c r="A37" s="27">
        <v>36</v>
      </c>
      <c r="B37" s="68" t="s">
        <v>2443</v>
      </c>
      <c r="C37" s="68" t="s">
        <v>2480</v>
      </c>
      <c r="D37" s="27">
        <v>2025</v>
      </c>
      <c r="E37" s="27">
        <v>4</v>
      </c>
      <c r="F37" s="205">
        <v>45777</v>
      </c>
      <c r="G37" s="206">
        <v>1387.43</v>
      </c>
      <c r="H37" s="200">
        <v>314.27999999999997</v>
      </c>
      <c r="I37" s="200">
        <v>344.34</v>
      </c>
      <c r="J37" s="200">
        <v>50.4</v>
      </c>
      <c r="K37" s="200">
        <v>256</v>
      </c>
      <c r="L37" s="209">
        <v>354.41</v>
      </c>
      <c r="M37" s="200">
        <f>IF(B37="KCD-HK",L37*0.1,0)</f>
        <v>35.441000000000003</v>
      </c>
      <c r="N37" s="200">
        <f>IF(B37="KCD-HK",L37*0.9,L37)</f>
        <v>318.96900000000005</v>
      </c>
      <c r="O37" s="200">
        <v>68</v>
      </c>
      <c r="P37" s="200">
        <f t="shared" si="0"/>
        <v>1387.4299999999998</v>
      </c>
      <c r="Q37" s="200">
        <f t="shared" si="1"/>
        <v>400.12099999999998</v>
      </c>
      <c r="R37" s="200">
        <f t="shared" si="2"/>
        <v>987.30899999999997</v>
      </c>
      <c r="S37" s="28" t="s">
        <v>2445</v>
      </c>
      <c r="T37" s="210">
        <v>45777</v>
      </c>
      <c r="U37" s="28" t="s">
        <v>2481</v>
      </c>
    </row>
    <row r="38" spans="1:21" ht="12.75">
      <c r="A38" s="27">
        <v>37</v>
      </c>
      <c r="B38" s="68" t="s">
        <v>2460</v>
      </c>
      <c r="C38" s="68" t="s">
        <v>2482</v>
      </c>
      <c r="D38" s="27">
        <v>2025</v>
      </c>
      <c r="E38" s="27">
        <v>4</v>
      </c>
      <c r="F38" s="205">
        <v>45777</v>
      </c>
      <c r="G38" s="206">
        <v>1388.23</v>
      </c>
      <c r="H38" s="200">
        <v>0</v>
      </c>
      <c r="I38" s="200">
        <v>101.47</v>
      </c>
      <c r="J38" s="200">
        <v>0</v>
      </c>
      <c r="K38" s="200">
        <v>249.28</v>
      </c>
      <c r="L38" s="200">
        <v>1037.48</v>
      </c>
      <c r="M38" s="200">
        <v>0</v>
      </c>
      <c r="N38" s="200">
        <v>1037.48</v>
      </c>
      <c r="O38" s="200">
        <v>-0.76</v>
      </c>
      <c r="P38" s="200">
        <f t="shared" si="0"/>
        <v>1387.47</v>
      </c>
      <c r="Q38" s="200">
        <f t="shared" si="1"/>
        <v>0</v>
      </c>
      <c r="R38" s="200">
        <f t="shared" si="2"/>
        <v>1387.47</v>
      </c>
      <c r="S38" s="28" t="s">
        <v>2445</v>
      </c>
      <c r="T38" s="210">
        <v>45782</v>
      </c>
      <c r="U38" s="28" t="s">
        <v>2483</v>
      </c>
    </row>
    <row r="39" spans="1:21" ht="12.75">
      <c r="A39" s="27">
        <v>38</v>
      </c>
      <c r="B39" s="68" t="s">
        <v>2460</v>
      </c>
      <c r="C39" s="68" t="s">
        <v>2484</v>
      </c>
      <c r="D39" s="27">
        <v>2025</v>
      </c>
      <c r="E39" s="27">
        <v>4</v>
      </c>
      <c r="F39" s="205">
        <v>45777</v>
      </c>
      <c r="G39" s="206">
        <v>111.55</v>
      </c>
      <c r="H39" s="200">
        <v>0</v>
      </c>
      <c r="I39" s="200">
        <v>0</v>
      </c>
      <c r="J39" s="200">
        <v>0</v>
      </c>
      <c r="K39" s="200">
        <v>111.55</v>
      </c>
      <c r="L39" s="200">
        <v>0</v>
      </c>
      <c r="M39" s="200">
        <v>0</v>
      </c>
      <c r="N39" s="200">
        <v>0</v>
      </c>
      <c r="O39" s="200">
        <v>0</v>
      </c>
      <c r="P39" s="200">
        <f t="shared" si="0"/>
        <v>111.55</v>
      </c>
      <c r="Q39" s="200">
        <f t="shared" si="1"/>
        <v>0</v>
      </c>
      <c r="R39" s="200">
        <f t="shared" si="2"/>
        <v>111.55</v>
      </c>
      <c r="S39" s="28" t="s">
        <v>2445</v>
      </c>
      <c r="T39" s="210">
        <v>45782</v>
      </c>
      <c r="U39" s="28" t="s">
        <v>2485</v>
      </c>
    </row>
    <row r="40" spans="1:21" ht="12.75">
      <c r="A40" s="27">
        <v>39</v>
      </c>
      <c r="B40" s="68" t="s">
        <v>2458</v>
      </c>
      <c r="C40" s="68" t="s">
        <v>2477</v>
      </c>
      <c r="D40" s="27">
        <v>2025</v>
      </c>
      <c r="E40" s="27">
        <v>4</v>
      </c>
      <c r="F40" s="205">
        <v>45777</v>
      </c>
      <c r="G40" s="206">
        <v>324.42</v>
      </c>
      <c r="H40" s="200">
        <v>0</v>
      </c>
      <c r="I40" s="200">
        <v>182.34</v>
      </c>
      <c r="J40" s="200">
        <v>0</v>
      </c>
      <c r="K40" s="200">
        <v>36</v>
      </c>
      <c r="L40" s="200">
        <v>106.08</v>
      </c>
      <c r="M40" s="200">
        <f t="shared" ref="M40:M42" si="5">IF(B40="KCD-HK",L40*0.1,0)</f>
        <v>0</v>
      </c>
      <c r="N40" s="200">
        <f t="shared" ref="N40:N42" si="6">IF(B40="KCD-HK",L40*0.9,L40)</f>
        <v>106.08</v>
      </c>
      <c r="O40" s="200">
        <v>0</v>
      </c>
      <c r="P40" s="200">
        <f t="shared" si="0"/>
        <v>324.42</v>
      </c>
      <c r="Q40" s="200">
        <f t="shared" si="1"/>
        <v>0</v>
      </c>
      <c r="R40" s="200">
        <f t="shared" si="2"/>
        <v>324.42</v>
      </c>
      <c r="S40" s="28" t="s">
        <v>2445</v>
      </c>
      <c r="T40" s="210">
        <v>45782</v>
      </c>
      <c r="U40" s="28" t="s">
        <v>2473</v>
      </c>
    </row>
    <row r="41" spans="1:21" ht="12.75">
      <c r="A41" s="27">
        <v>40</v>
      </c>
      <c r="B41" s="68" t="s">
        <v>2451</v>
      </c>
      <c r="C41" s="68">
        <v>83731</v>
      </c>
      <c r="D41" s="27">
        <v>2025</v>
      </c>
      <c r="E41" s="27">
        <v>5</v>
      </c>
      <c r="F41" s="205">
        <v>45790</v>
      </c>
      <c r="G41" s="206">
        <v>207.53</v>
      </c>
      <c r="H41" s="200">
        <v>0</v>
      </c>
      <c r="I41" s="200">
        <v>207.53</v>
      </c>
      <c r="J41" s="200">
        <v>0</v>
      </c>
      <c r="K41" s="200">
        <v>0</v>
      </c>
      <c r="L41" s="200">
        <v>0</v>
      </c>
      <c r="M41" s="200">
        <f t="shared" si="5"/>
        <v>0</v>
      </c>
      <c r="N41" s="200">
        <f t="shared" si="6"/>
        <v>0</v>
      </c>
      <c r="O41" s="200">
        <v>0</v>
      </c>
      <c r="P41" s="200">
        <f t="shared" si="0"/>
        <v>207.53</v>
      </c>
      <c r="Q41" s="200">
        <f t="shared" si="1"/>
        <v>0</v>
      </c>
      <c r="R41" s="200">
        <f t="shared" si="2"/>
        <v>207.53</v>
      </c>
      <c r="S41" s="28" t="s">
        <v>2467</v>
      </c>
      <c r="T41" s="205">
        <v>45790</v>
      </c>
      <c r="U41" s="28" t="s">
        <v>2468</v>
      </c>
    </row>
    <row r="42" spans="1:21" ht="12.75">
      <c r="A42" s="27">
        <v>41</v>
      </c>
      <c r="B42" s="68" t="s">
        <v>2458</v>
      </c>
      <c r="C42" s="208" t="s">
        <v>2486</v>
      </c>
      <c r="D42" s="27">
        <v>2025</v>
      </c>
      <c r="E42" s="27">
        <v>5</v>
      </c>
      <c r="F42" s="205">
        <v>45808</v>
      </c>
      <c r="G42" s="206">
        <v>537.26</v>
      </c>
      <c r="H42" s="200">
        <v>0</v>
      </c>
      <c r="I42" s="200">
        <v>182.34</v>
      </c>
      <c r="J42" s="200">
        <v>0</v>
      </c>
      <c r="K42" s="200">
        <v>36</v>
      </c>
      <c r="L42" s="200">
        <v>318.92</v>
      </c>
      <c r="M42" s="200">
        <f t="shared" si="5"/>
        <v>0</v>
      </c>
      <c r="N42" s="200">
        <f t="shared" si="6"/>
        <v>318.92</v>
      </c>
      <c r="O42" s="200">
        <v>0</v>
      </c>
      <c r="P42" s="200">
        <f t="shared" si="0"/>
        <v>537.26</v>
      </c>
      <c r="Q42" s="200">
        <f t="shared" si="1"/>
        <v>0</v>
      </c>
      <c r="R42" s="200">
        <f t="shared" si="2"/>
        <v>537.26</v>
      </c>
      <c r="S42" s="28" t="s">
        <v>11</v>
      </c>
      <c r="T42" s="205">
        <v>45812</v>
      </c>
      <c r="U42" s="211" t="s">
        <v>2487</v>
      </c>
    </row>
    <row r="43" spans="1:21" ht="12.75">
      <c r="A43" s="27">
        <v>42</v>
      </c>
      <c r="B43" s="68" t="s">
        <v>2451</v>
      </c>
      <c r="C43" s="68">
        <v>85819</v>
      </c>
      <c r="D43" s="27">
        <v>2025</v>
      </c>
      <c r="E43" s="27">
        <v>5</v>
      </c>
      <c r="F43" s="205">
        <v>45772</v>
      </c>
      <c r="G43" s="206">
        <v>432.36</v>
      </c>
      <c r="H43" s="200">
        <v>0</v>
      </c>
      <c r="I43" s="200">
        <v>432.36</v>
      </c>
      <c r="J43" s="200">
        <v>0</v>
      </c>
      <c r="K43" s="200">
        <v>0</v>
      </c>
      <c r="L43" s="200">
        <v>0</v>
      </c>
      <c r="M43" s="200">
        <v>0</v>
      </c>
      <c r="N43" s="200">
        <v>0</v>
      </c>
      <c r="O43" s="200">
        <v>0</v>
      </c>
      <c r="P43" s="200">
        <f t="shared" si="0"/>
        <v>432.36</v>
      </c>
      <c r="Q43" s="200">
        <f t="shared" si="1"/>
        <v>0</v>
      </c>
      <c r="R43" s="200">
        <f t="shared" si="2"/>
        <v>432.36</v>
      </c>
      <c r="S43" s="28" t="s">
        <v>2467</v>
      </c>
      <c r="T43" s="205">
        <v>45802</v>
      </c>
      <c r="U43" s="28" t="s">
        <v>2468</v>
      </c>
    </row>
    <row r="44" spans="1:21" ht="12.75">
      <c r="A44" s="27">
        <v>43</v>
      </c>
      <c r="B44" s="68" t="s">
        <v>2443</v>
      </c>
      <c r="C44" s="68" t="s">
        <v>2488</v>
      </c>
      <c r="D44" s="27">
        <v>2025</v>
      </c>
      <c r="E44" s="27">
        <v>6</v>
      </c>
      <c r="F44" s="205">
        <v>45811</v>
      </c>
      <c r="G44" s="206">
        <v>1123.5</v>
      </c>
      <c r="H44" s="200">
        <v>314.27999999999997</v>
      </c>
      <c r="I44" s="200">
        <v>198.66</v>
      </c>
      <c r="J44" s="200">
        <v>50.4</v>
      </c>
      <c r="K44" s="200">
        <v>256</v>
      </c>
      <c r="L44" s="209">
        <v>304.16000000000003</v>
      </c>
      <c r="M44" s="200">
        <f>IF(B44="KCD-HK",L44*0.1,0)</f>
        <v>30.416000000000004</v>
      </c>
      <c r="N44" s="200">
        <f>IF(B44="KCD-HK",L44*0.9,L44)</f>
        <v>273.74400000000003</v>
      </c>
      <c r="O44" s="200">
        <v>0</v>
      </c>
      <c r="P44" s="200">
        <f t="shared" si="0"/>
        <v>1123.5</v>
      </c>
      <c r="Q44" s="200">
        <f t="shared" si="1"/>
        <v>395.09599999999995</v>
      </c>
      <c r="R44" s="200">
        <f t="shared" si="2"/>
        <v>728.404</v>
      </c>
      <c r="S44" s="28" t="s">
        <v>11</v>
      </c>
      <c r="T44" s="205">
        <v>45812</v>
      </c>
      <c r="U44" s="28" t="s">
        <v>2489</v>
      </c>
    </row>
    <row r="45" spans="1:21" ht="12.75">
      <c r="A45" s="27">
        <v>44</v>
      </c>
      <c r="B45" s="68" t="s">
        <v>2460</v>
      </c>
      <c r="C45" s="68" t="s">
        <v>2490</v>
      </c>
      <c r="D45" s="27">
        <v>2025</v>
      </c>
      <c r="E45" s="27">
        <v>6</v>
      </c>
      <c r="F45" s="205">
        <v>45811</v>
      </c>
      <c r="G45" s="206">
        <v>1166.1600000000001</v>
      </c>
      <c r="H45" s="212">
        <v>0</v>
      </c>
      <c r="I45" s="212">
        <v>736.77</v>
      </c>
      <c r="J45" s="212">
        <v>0</v>
      </c>
      <c r="K45" s="212">
        <v>1000</v>
      </c>
      <c r="L45" s="212">
        <v>6664.59</v>
      </c>
      <c r="M45" s="212">
        <v>0</v>
      </c>
      <c r="N45" s="212">
        <v>6664.59</v>
      </c>
      <c r="O45" s="212">
        <v>0</v>
      </c>
      <c r="P45" s="212">
        <f>SUM(H45:K45,M45:O45)</f>
        <v>8401.36</v>
      </c>
      <c r="Q45" s="200">
        <f t="shared" si="1"/>
        <v>0</v>
      </c>
      <c r="R45" s="200">
        <v>1166.1600000000001</v>
      </c>
      <c r="S45" s="28" t="s">
        <v>11</v>
      </c>
      <c r="T45" s="205">
        <v>45812</v>
      </c>
      <c r="U45" s="28" t="s">
        <v>2491</v>
      </c>
    </row>
    <row r="46" spans="1:21" ht="12.75">
      <c r="A46" s="27">
        <v>45</v>
      </c>
      <c r="B46" s="68" t="s">
        <v>2451</v>
      </c>
      <c r="C46" s="68">
        <v>86579</v>
      </c>
      <c r="D46" s="27">
        <v>2025</v>
      </c>
      <c r="E46" s="27">
        <v>6</v>
      </c>
      <c r="F46" s="205">
        <v>45819</v>
      </c>
      <c r="G46" s="206">
        <v>208.04</v>
      </c>
      <c r="H46" s="200">
        <v>0</v>
      </c>
      <c r="I46" s="200">
        <v>208.04</v>
      </c>
      <c r="J46" s="200">
        <v>0</v>
      </c>
      <c r="K46" s="200">
        <v>0</v>
      </c>
      <c r="L46" s="200">
        <v>0</v>
      </c>
      <c r="M46" s="200">
        <f>IF(B46="KCD-HK",L46*0.1,0)</f>
        <v>0</v>
      </c>
      <c r="N46" s="200">
        <f>IF(B46="KCD-HK",L46*0.9,L46)</f>
        <v>0</v>
      </c>
      <c r="O46" s="200">
        <v>0</v>
      </c>
      <c r="P46" s="200">
        <f t="shared" ref="P46:P49" si="7">SUM(H46:L46,O46)</f>
        <v>208.04</v>
      </c>
      <c r="Q46" s="200">
        <f t="shared" si="1"/>
        <v>0</v>
      </c>
      <c r="R46" s="200">
        <f t="shared" ref="R46:R49" si="8">SUM(I46,K46,N46,O46)</f>
        <v>208.04</v>
      </c>
      <c r="S46" s="28" t="s">
        <v>2467</v>
      </c>
      <c r="T46" s="205">
        <v>45819</v>
      </c>
      <c r="U46" s="28" t="s">
        <v>2468</v>
      </c>
    </row>
    <row r="47" spans="1:21" ht="12.75">
      <c r="A47" s="27">
        <v>46</v>
      </c>
      <c r="B47" s="68" t="s">
        <v>2451</v>
      </c>
      <c r="C47" s="68">
        <v>87423</v>
      </c>
      <c r="D47" s="27">
        <v>2025</v>
      </c>
      <c r="E47" s="27">
        <v>6</v>
      </c>
      <c r="F47" s="205">
        <v>45832</v>
      </c>
      <c r="G47" s="206">
        <v>432.36</v>
      </c>
      <c r="H47" s="200">
        <v>0</v>
      </c>
      <c r="I47" s="200">
        <v>432.36</v>
      </c>
      <c r="J47" s="200">
        <v>0</v>
      </c>
      <c r="K47" s="200">
        <v>0</v>
      </c>
      <c r="L47" s="200">
        <v>0</v>
      </c>
      <c r="M47" s="200">
        <v>0</v>
      </c>
      <c r="N47" s="200">
        <v>0</v>
      </c>
      <c r="O47" s="200">
        <v>0</v>
      </c>
      <c r="P47" s="200">
        <f t="shared" si="7"/>
        <v>432.36</v>
      </c>
      <c r="Q47" s="200">
        <f t="shared" si="1"/>
        <v>0</v>
      </c>
      <c r="R47" s="200">
        <f t="shared" si="8"/>
        <v>432.36</v>
      </c>
      <c r="S47" s="28" t="s">
        <v>2467</v>
      </c>
      <c r="T47" s="205">
        <v>45832</v>
      </c>
      <c r="U47" s="28" t="s">
        <v>2468</v>
      </c>
    </row>
    <row r="48" spans="1:21" ht="12.75">
      <c r="A48" s="27">
        <v>47</v>
      </c>
      <c r="B48" s="68" t="s">
        <v>2443</v>
      </c>
      <c r="C48" s="68" t="s">
        <v>2492</v>
      </c>
      <c r="D48" s="27">
        <v>2025</v>
      </c>
      <c r="E48" s="27">
        <v>7</v>
      </c>
      <c r="F48" s="205">
        <v>45840</v>
      </c>
      <c r="G48" s="206">
        <v>919.5</v>
      </c>
      <c r="H48" s="200">
        <v>314.27999999999997</v>
      </c>
      <c r="I48" s="200">
        <v>198.66</v>
      </c>
      <c r="J48" s="200">
        <v>50.4</v>
      </c>
      <c r="K48" s="200">
        <v>256</v>
      </c>
      <c r="L48" s="209">
        <v>100.16</v>
      </c>
      <c r="M48" s="200">
        <f t="shared" ref="M48:M49" si="9">IF(B48="KCD-HK",L48*0.1,0)</f>
        <v>10.016</v>
      </c>
      <c r="N48" s="200">
        <f t="shared" ref="N48:N49" si="10">IF(B48="KCD-HK",L48*0.9,L48)</f>
        <v>90.144000000000005</v>
      </c>
      <c r="O48" s="200">
        <v>0</v>
      </c>
      <c r="P48" s="200">
        <f t="shared" si="7"/>
        <v>919.49999999999989</v>
      </c>
      <c r="Q48" s="200">
        <f t="shared" si="1"/>
        <v>374.69599999999997</v>
      </c>
      <c r="R48" s="200">
        <f t="shared" si="8"/>
        <v>544.80399999999997</v>
      </c>
      <c r="S48" s="28" t="s">
        <v>11</v>
      </c>
      <c r="T48" s="205">
        <v>45843</v>
      </c>
      <c r="U48" s="28" t="s">
        <v>2491</v>
      </c>
    </row>
    <row r="49" spans="1:21" ht="12.75">
      <c r="A49" s="27">
        <v>48</v>
      </c>
      <c r="B49" s="68" t="s">
        <v>2458</v>
      </c>
      <c r="C49" s="68" t="s">
        <v>2493</v>
      </c>
      <c r="D49" s="27">
        <v>2025</v>
      </c>
      <c r="E49" s="27">
        <v>7</v>
      </c>
      <c r="F49" s="205">
        <v>45840</v>
      </c>
      <c r="G49" s="206">
        <v>558.95000000000005</v>
      </c>
      <c r="H49" s="200">
        <v>0</v>
      </c>
      <c r="I49" s="200">
        <v>182.34</v>
      </c>
      <c r="J49" s="200">
        <v>0</v>
      </c>
      <c r="K49" s="200">
        <v>36</v>
      </c>
      <c r="L49" s="200">
        <v>340.62</v>
      </c>
      <c r="M49" s="200">
        <f t="shared" si="9"/>
        <v>0</v>
      </c>
      <c r="N49" s="200">
        <f t="shared" si="10"/>
        <v>340.62</v>
      </c>
      <c r="O49" s="200">
        <v>0</v>
      </c>
      <c r="P49" s="200">
        <f t="shared" si="7"/>
        <v>558.96</v>
      </c>
      <c r="Q49" s="200">
        <f t="shared" si="1"/>
        <v>0</v>
      </c>
      <c r="R49" s="200">
        <f t="shared" si="8"/>
        <v>558.96</v>
      </c>
      <c r="S49" s="28" t="s">
        <v>11</v>
      </c>
      <c r="T49" s="205">
        <v>45847</v>
      </c>
      <c r="U49" s="28" t="s">
        <v>2491</v>
      </c>
    </row>
    <row r="50" spans="1:21" ht="12.75">
      <c r="A50" s="27">
        <v>49</v>
      </c>
      <c r="B50" s="68" t="s">
        <v>2460</v>
      </c>
      <c r="C50" s="68" t="s">
        <v>2490</v>
      </c>
      <c r="D50" s="27">
        <v>2025</v>
      </c>
      <c r="E50" s="27">
        <v>7</v>
      </c>
      <c r="F50" s="205">
        <v>45840</v>
      </c>
      <c r="G50" s="206">
        <v>1137.1400000000001</v>
      </c>
      <c r="H50" s="212">
        <v>0</v>
      </c>
      <c r="I50" s="212">
        <v>736.77</v>
      </c>
      <c r="J50" s="212">
        <v>0</v>
      </c>
      <c r="K50" s="212">
        <v>1000</v>
      </c>
      <c r="L50" s="212">
        <v>3411.15</v>
      </c>
      <c r="M50" s="212">
        <v>0</v>
      </c>
      <c r="N50" s="212">
        <v>3411.15</v>
      </c>
      <c r="O50" s="212">
        <v>0</v>
      </c>
      <c r="P50" s="212">
        <f t="shared" ref="P50:P51" si="11">SUM(H50:K50,M50:O50)</f>
        <v>5147.92</v>
      </c>
      <c r="Q50" s="200">
        <f t="shared" si="1"/>
        <v>0</v>
      </c>
      <c r="R50" s="200">
        <v>1137.1400000000001</v>
      </c>
      <c r="S50" s="28" t="s">
        <v>11</v>
      </c>
      <c r="T50" s="205">
        <v>45843</v>
      </c>
      <c r="U50" s="28" t="s">
        <v>2491</v>
      </c>
    </row>
    <row r="51" spans="1:21" ht="12.75">
      <c r="A51" s="27">
        <v>50</v>
      </c>
      <c r="B51" s="68" t="s">
        <v>2494</v>
      </c>
      <c r="C51" s="68" t="s">
        <v>2495</v>
      </c>
      <c r="D51" s="27">
        <v>2025</v>
      </c>
      <c r="E51" s="27">
        <v>7</v>
      </c>
      <c r="F51" s="27" t="s">
        <v>2496</v>
      </c>
      <c r="G51" s="206"/>
      <c r="H51" s="212">
        <v>0</v>
      </c>
      <c r="I51" s="212">
        <v>1300</v>
      </c>
      <c r="J51" s="212">
        <v>0</v>
      </c>
      <c r="K51" s="212">
        <v>750</v>
      </c>
      <c r="L51" s="212">
        <v>6364</v>
      </c>
      <c r="M51" s="212">
        <v>0</v>
      </c>
      <c r="N51" s="212">
        <v>6363</v>
      </c>
      <c r="O51" s="212">
        <v>0</v>
      </c>
      <c r="P51" s="212">
        <f t="shared" si="11"/>
        <v>8413</v>
      </c>
      <c r="Q51" s="200">
        <f t="shared" si="1"/>
        <v>0</v>
      </c>
      <c r="R51" s="200">
        <v>1185.1400000000001</v>
      </c>
      <c r="S51" s="28" t="s">
        <v>2464</v>
      </c>
      <c r="T51" s="205">
        <v>45848</v>
      </c>
      <c r="U51" s="28" t="s">
        <v>2497</v>
      </c>
    </row>
    <row r="52" spans="1:21" ht="12.75">
      <c r="A52" s="27">
        <v>51</v>
      </c>
      <c r="B52" s="68" t="s">
        <v>2451</v>
      </c>
      <c r="C52" s="68">
        <v>89013</v>
      </c>
      <c r="D52" s="27">
        <v>2025</v>
      </c>
      <c r="E52" s="27">
        <v>7</v>
      </c>
      <c r="F52" s="205">
        <v>45863</v>
      </c>
      <c r="G52" s="206">
        <v>812.13</v>
      </c>
      <c r="H52" s="200">
        <v>0</v>
      </c>
      <c r="I52" s="200">
        <v>812.13</v>
      </c>
      <c r="J52" s="200">
        <v>0</v>
      </c>
      <c r="K52" s="200">
        <v>0</v>
      </c>
      <c r="L52" s="200">
        <v>0</v>
      </c>
      <c r="M52" s="200">
        <v>0</v>
      </c>
      <c r="N52" s="200">
        <v>0</v>
      </c>
      <c r="O52" s="200">
        <v>0</v>
      </c>
      <c r="P52" s="200">
        <f>SUM(H52:L52,O52)</f>
        <v>812.13</v>
      </c>
      <c r="Q52" s="200">
        <f t="shared" si="1"/>
        <v>0</v>
      </c>
      <c r="R52" s="200">
        <f>SUM(I52,K52,N52,O52)</f>
        <v>812.13</v>
      </c>
      <c r="S52" s="28" t="s">
        <v>2467</v>
      </c>
      <c r="T52" s="205">
        <v>45863</v>
      </c>
      <c r="U52" s="28" t="s">
        <v>2468</v>
      </c>
    </row>
    <row r="53" spans="1:21" ht="12.75">
      <c r="A53" s="27">
        <v>52</v>
      </c>
      <c r="B53" s="68" t="s">
        <v>2460</v>
      </c>
      <c r="C53" s="68" t="s">
        <v>2498</v>
      </c>
      <c r="D53" s="27">
        <v>2025</v>
      </c>
      <c r="E53" s="27">
        <v>8</v>
      </c>
      <c r="F53" s="205">
        <v>45873</v>
      </c>
      <c r="G53" s="206">
        <v>6635.93</v>
      </c>
      <c r="H53" s="212">
        <v>0</v>
      </c>
      <c r="I53" s="212">
        <v>775.48</v>
      </c>
      <c r="J53" s="212">
        <v>0</v>
      </c>
      <c r="K53" s="212">
        <v>8670</v>
      </c>
      <c r="L53" s="212">
        <v>16375.98</v>
      </c>
      <c r="M53" s="212">
        <v>0</v>
      </c>
      <c r="N53" s="212">
        <v>37375.980000000003</v>
      </c>
      <c r="O53" s="212">
        <v>360</v>
      </c>
      <c r="P53" s="212">
        <f>SUM(H53:K53,M53:O53)</f>
        <v>47181.460000000006</v>
      </c>
      <c r="Q53" s="200">
        <f t="shared" si="1"/>
        <v>0</v>
      </c>
      <c r="R53" s="200">
        <v>6635.93</v>
      </c>
      <c r="S53" s="28" t="s">
        <v>11</v>
      </c>
      <c r="T53" s="205">
        <v>45874</v>
      </c>
      <c r="U53" s="28" t="s">
        <v>2499</v>
      </c>
    </row>
    <row r="54" spans="1:21" ht="12.75">
      <c r="A54" s="27">
        <v>53</v>
      </c>
      <c r="B54" s="68" t="s">
        <v>2443</v>
      </c>
      <c r="C54" s="68" t="s">
        <v>2500</v>
      </c>
      <c r="D54" s="27">
        <v>2025</v>
      </c>
      <c r="E54" s="27">
        <v>8</v>
      </c>
      <c r="F54" s="205">
        <v>45873</v>
      </c>
      <c r="G54" s="206">
        <v>919.5</v>
      </c>
      <c r="H54" s="200">
        <v>314.27999999999997</v>
      </c>
      <c r="I54" s="200">
        <v>198.66</v>
      </c>
      <c r="J54" s="200">
        <v>50.4</v>
      </c>
      <c r="K54" s="200">
        <v>256</v>
      </c>
      <c r="L54" s="209">
        <v>100.81</v>
      </c>
      <c r="M54" s="200">
        <f t="shared" ref="M54:M55" si="12">IF(B54="KCD-HK",L54*0.1,0)</f>
        <v>10.081000000000001</v>
      </c>
      <c r="N54" s="200">
        <f t="shared" ref="N54:N55" si="13">IF(B54="KCD-HK",L54*0.9,L54)</f>
        <v>90.728999999999999</v>
      </c>
      <c r="O54" s="200">
        <v>0</v>
      </c>
      <c r="P54" s="200">
        <f t="shared" ref="P54:P55" si="14">SUM(H54:L54,O54)</f>
        <v>920.14999999999986</v>
      </c>
      <c r="Q54" s="200">
        <f t="shared" si="1"/>
        <v>374.76099999999997</v>
      </c>
      <c r="R54" s="200">
        <f t="shared" ref="R54:R55" si="15">SUM(I54,K54,N54,O54)</f>
        <v>545.38900000000001</v>
      </c>
      <c r="S54" s="28" t="s">
        <v>11</v>
      </c>
      <c r="T54" s="205">
        <v>45874</v>
      </c>
      <c r="U54" s="28"/>
    </row>
    <row r="55" spans="1:21" ht="12.75">
      <c r="A55" s="27">
        <v>54</v>
      </c>
      <c r="B55" s="68" t="s">
        <v>2458</v>
      </c>
      <c r="C55" s="68" t="s">
        <v>2501</v>
      </c>
      <c r="D55" s="27">
        <v>2025</v>
      </c>
      <c r="E55" s="27">
        <v>8</v>
      </c>
      <c r="F55" s="205">
        <v>45873</v>
      </c>
      <c r="G55" s="206">
        <v>558.95000000000005</v>
      </c>
      <c r="H55" s="200">
        <v>0</v>
      </c>
      <c r="I55" s="200">
        <v>182.34</v>
      </c>
      <c r="J55" s="200">
        <v>0</v>
      </c>
      <c r="K55" s="200">
        <v>36</v>
      </c>
      <c r="L55" s="200">
        <v>228.09</v>
      </c>
      <c r="M55" s="200">
        <f t="shared" si="12"/>
        <v>0</v>
      </c>
      <c r="N55" s="200">
        <f t="shared" si="13"/>
        <v>228.09</v>
      </c>
      <c r="O55" s="200">
        <v>0</v>
      </c>
      <c r="P55" s="200">
        <f t="shared" si="14"/>
        <v>446.43</v>
      </c>
      <c r="Q55" s="200">
        <f t="shared" si="1"/>
        <v>0</v>
      </c>
      <c r="R55" s="200">
        <f t="shared" si="15"/>
        <v>446.43</v>
      </c>
      <c r="S55" s="28" t="s">
        <v>11</v>
      </c>
      <c r="T55" s="205">
        <v>45874</v>
      </c>
      <c r="U55" s="28"/>
    </row>
    <row r="56" spans="1:21" ht="12.75">
      <c r="A56" s="27">
        <v>55</v>
      </c>
      <c r="B56" s="68" t="s">
        <v>2494</v>
      </c>
      <c r="C56" s="68" t="s">
        <v>2502</v>
      </c>
      <c r="D56" s="27">
        <v>2025</v>
      </c>
      <c r="E56" s="27">
        <v>8</v>
      </c>
      <c r="F56" s="205">
        <v>45873</v>
      </c>
      <c r="G56" s="206"/>
      <c r="H56" s="212">
        <v>0</v>
      </c>
      <c r="I56" s="212">
        <v>1300</v>
      </c>
      <c r="J56" s="212">
        <v>0</v>
      </c>
      <c r="K56" s="212">
        <v>750</v>
      </c>
      <c r="L56" s="212">
        <v>4636</v>
      </c>
      <c r="M56" s="212">
        <v>0</v>
      </c>
      <c r="N56" s="212">
        <v>4636</v>
      </c>
      <c r="O56" s="212">
        <v>-8413</v>
      </c>
      <c r="P56" s="212">
        <f>(I56+L56)/31*22+K56+O56</f>
        <v>-3450.354838709678</v>
      </c>
      <c r="Q56" s="200">
        <f t="shared" si="1"/>
        <v>0</v>
      </c>
      <c r="R56" s="200"/>
      <c r="S56" s="28" t="s">
        <v>2503</v>
      </c>
      <c r="T56" s="28"/>
      <c r="U56" s="28" t="s">
        <v>2504</v>
      </c>
    </row>
    <row r="57" spans="1:21" ht="12.75">
      <c r="A57" s="27">
        <v>56</v>
      </c>
      <c r="B57" s="68" t="s">
        <v>2494</v>
      </c>
      <c r="C57" s="68" t="s">
        <v>2505</v>
      </c>
      <c r="D57" s="27">
        <v>2025</v>
      </c>
      <c r="E57" s="27">
        <v>8</v>
      </c>
      <c r="F57" s="205">
        <v>45873</v>
      </c>
      <c r="G57" s="206">
        <v>1204.1753748296228</v>
      </c>
      <c r="H57" s="212">
        <v>0</v>
      </c>
      <c r="I57" s="212">
        <v>1300</v>
      </c>
      <c r="J57" s="212">
        <v>0</v>
      </c>
      <c r="K57" s="212">
        <v>1200</v>
      </c>
      <c r="L57" s="212">
        <v>9500</v>
      </c>
      <c r="M57" s="212">
        <v>0</v>
      </c>
      <c r="N57" s="212">
        <v>9500</v>
      </c>
      <c r="O57" s="212">
        <v>-3450.354838709678</v>
      </c>
      <c r="P57" s="212">
        <f t="shared" ref="P57:P58" si="16">(I57+L57)+K57+O57</f>
        <v>8549.645161290322</v>
      </c>
      <c r="Q57" s="200">
        <f t="shared" si="1"/>
        <v>0</v>
      </c>
      <c r="R57" s="200">
        <f>P57/7.1</f>
        <v>1204.1753748296228</v>
      </c>
      <c r="S57" s="28" t="s">
        <v>2464</v>
      </c>
      <c r="T57" s="205">
        <v>45873</v>
      </c>
      <c r="U57" s="28" t="s">
        <v>2506</v>
      </c>
    </row>
    <row r="58" spans="1:21" ht="12.75">
      <c r="A58" s="27">
        <v>57</v>
      </c>
      <c r="B58" s="68" t="s">
        <v>2451</v>
      </c>
      <c r="C58" s="68">
        <v>90469</v>
      </c>
      <c r="D58" s="27">
        <v>2025</v>
      </c>
      <c r="E58" s="27">
        <v>8</v>
      </c>
      <c r="F58" s="205">
        <v>45894</v>
      </c>
      <c r="G58" s="206">
        <v>671.19</v>
      </c>
      <c r="H58" s="212">
        <v>0</v>
      </c>
      <c r="I58" s="212">
        <v>900</v>
      </c>
      <c r="J58" s="212">
        <v>0</v>
      </c>
      <c r="K58" s="212">
        <v>0</v>
      </c>
      <c r="L58" s="212">
        <v>3900</v>
      </c>
      <c r="M58" s="212">
        <v>0</v>
      </c>
      <c r="N58" s="212">
        <v>3900</v>
      </c>
      <c r="O58" s="212">
        <v>0</v>
      </c>
      <c r="P58" s="212">
        <f t="shared" si="16"/>
        <v>4800</v>
      </c>
      <c r="Q58" s="200">
        <f t="shared" si="1"/>
        <v>0</v>
      </c>
      <c r="R58" s="200">
        <v>671.19</v>
      </c>
      <c r="S58" s="28" t="s">
        <v>2467</v>
      </c>
      <c r="T58" s="205">
        <v>45894</v>
      </c>
      <c r="U58" s="28" t="s">
        <v>2468</v>
      </c>
    </row>
    <row r="59" spans="1:21" ht="12.75">
      <c r="A59" s="27">
        <v>58</v>
      </c>
      <c r="B59" s="68" t="s">
        <v>2494</v>
      </c>
      <c r="C59" s="68" t="s">
        <v>2507</v>
      </c>
      <c r="D59" s="27">
        <v>2025</v>
      </c>
      <c r="E59" s="27">
        <v>8</v>
      </c>
      <c r="F59" s="205">
        <v>45902</v>
      </c>
      <c r="G59" s="206"/>
      <c r="H59" s="212">
        <v>0</v>
      </c>
      <c r="I59" s="212">
        <v>1300</v>
      </c>
      <c r="J59" s="212">
        <v>0</v>
      </c>
      <c r="K59" s="212">
        <v>1750</v>
      </c>
      <c r="L59" s="212">
        <v>8087.54</v>
      </c>
      <c r="M59" s="212">
        <v>0</v>
      </c>
      <c r="N59" s="212">
        <v>8087.54</v>
      </c>
      <c r="O59" s="212">
        <v>0</v>
      </c>
      <c r="P59" s="212">
        <f>I59+L59+K59+O59</f>
        <v>11137.54</v>
      </c>
      <c r="Q59" s="200">
        <f t="shared" si="1"/>
        <v>0</v>
      </c>
      <c r="R59" s="200"/>
      <c r="S59" s="28" t="s">
        <v>2503</v>
      </c>
      <c r="T59" s="28"/>
      <c r="U59" s="28" t="s">
        <v>2508</v>
      </c>
    </row>
    <row r="60" spans="1:21" ht="12.75">
      <c r="A60" s="27">
        <v>59</v>
      </c>
      <c r="B60" s="68" t="s">
        <v>2494</v>
      </c>
      <c r="C60" s="68" t="s">
        <v>2509</v>
      </c>
      <c r="D60" s="27">
        <v>2025</v>
      </c>
      <c r="E60" s="27">
        <v>9</v>
      </c>
      <c r="F60" s="205">
        <v>45902</v>
      </c>
      <c r="G60" s="206">
        <v>1491.2028169014086</v>
      </c>
      <c r="H60" s="212">
        <v>0</v>
      </c>
      <c r="I60" s="212">
        <v>1300</v>
      </c>
      <c r="J60" s="212">
        <v>0</v>
      </c>
      <c r="K60" s="212">
        <v>1200</v>
      </c>
      <c r="L60" s="212">
        <v>9500</v>
      </c>
      <c r="M60" s="212">
        <v>0</v>
      </c>
      <c r="N60" s="212">
        <v>9500</v>
      </c>
      <c r="O60" s="212">
        <v>-1412.46</v>
      </c>
      <c r="P60" s="212">
        <f>(I60+L60)+K60+O60</f>
        <v>10587.54</v>
      </c>
      <c r="Q60" s="200">
        <f t="shared" si="1"/>
        <v>0</v>
      </c>
      <c r="R60" s="200">
        <f>P60/7.1</f>
        <v>1491.2028169014086</v>
      </c>
      <c r="S60" s="28" t="s">
        <v>2464</v>
      </c>
      <c r="T60" s="205">
        <v>45903</v>
      </c>
      <c r="U60" s="28" t="s">
        <v>2510</v>
      </c>
    </row>
    <row r="61" spans="1:21" ht="12.75">
      <c r="A61" s="27">
        <v>60</v>
      </c>
      <c r="B61" s="68" t="s">
        <v>2458</v>
      </c>
      <c r="C61" s="68" t="s">
        <v>2511</v>
      </c>
      <c r="D61" s="27">
        <v>2025</v>
      </c>
      <c r="E61" s="27">
        <v>9</v>
      </c>
      <c r="F61" s="205">
        <v>45902</v>
      </c>
      <c r="G61" s="206">
        <v>444.75</v>
      </c>
      <c r="H61" s="200">
        <v>0</v>
      </c>
      <c r="I61" s="200">
        <v>182.34</v>
      </c>
      <c r="J61" s="200">
        <v>0</v>
      </c>
      <c r="K61" s="200">
        <v>36</v>
      </c>
      <c r="L61" s="200">
        <v>226.41</v>
      </c>
      <c r="M61" s="200">
        <f t="shared" ref="M61:M62" si="17">IF(B61="KCD-HK",L61*0.1,0)</f>
        <v>0</v>
      </c>
      <c r="N61" s="200">
        <f t="shared" ref="N61:N62" si="18">IF(B61="KCD-HK",L61*0.9,L61)</f>
        <v>226.41</v>
      </c>
      <c r="O61" s="200">
        <v>0</v>
      </c>
      <c r="P61" s="200">
        <f t="shared" ref="P61:P62" si="19">SUM(H61:L61,O61)</f>
        <v>444.75</v>
      </c>
      <c r="Q61" s="200">
        <f t="shared" si="1"/>
        <v>0</v>
      </c>
      <c r="R61" s="200">
        <f t="shared" ref="R61:R62" si="20">SUM(I61,K61,N61,O61)</f>
        <v>444.75</v>
      </c>
      <c r="S61" s="28" t="s">
        <v>11</v>
      </c>
      <c r="T61" s="205">
        <v>45907</v>
      </c>
      <c r="U61" s="28"/>
    </row>
    <row r="62" spans="1:21" ht="12.75">
      <c r="A62" s="27">
        <v>61</v>
      </c>
      <c r="B62" s="68" t="s">
        <v>2443</v>
      </c>
      <c r="C62" s="68" t="s">
        <v>2512</v>
      </c>
      <c r="D62" s="27">
        <v>2025</v>
      </c>
      <c r="E62" s="27">
        <v>9</v>
      </c>
      <c r="F62" s="205">
        <v>45873</v>
      </c>
      <c r="G62" s="206">
        <v>920.12</v>
      </c>
      <c r="H62" s="200">
        <v>314.27999999999997</v>
      </c>
      <c r="I62" s="200">
        <v>198.66</v>
      </c>
      <c r="J62" s="200">
        <v>50.4</v>
      </c>
      <c r="K62" s="200">
        <v>256</v>
      </c>
      <c r="L62" s="209">
        <v>100.78</v>
      </c>
      <c r="M62" s="200">
        <f t="shared" si="17"/>
        <v>10.078000000000001</v>
      </c>
      <c r="N62" s="200">
        <f t="shared" si="18"/>
        <v>90.701999999999998</v>
      </c>
      <c r="O62" s="200">
        <v>48</v>
      </c>
      <c r="P62" s="200">
        <f t="shared" si="19"/>
        <v>968.11999999999989</v>
      </c>
      <c r="Q62" s="200">
        <f t="shared" si="1"/>
        <v>374.75799999999992</v>
      </c>
      <c r="R62" s="200">
        <f t="shared" si="20"/>
        <v>593.36199999999997</v>
      </c>
      <c r="S62" s="28" t="s">
        <v>11</v>
      </c>
      <c r="T62" s="205">
        <v>45907</v>
      </c>
      <c r="U62" s="28" t="s">
        <v>2513</v>
      </c>
    </row>
    <row r="63" spans="1:21" ht="12.75">
      <c r="A63" s="27">
        <v>62</v>
      </c>
      <c r="B63" s="68" t="s">
        <v>2460</v>
      </c>
      <c r="C63" s="68" t="s">
        <v>2514</v>
      </c>
      <c r="D63" s="27">
        <v>2025</v>
      </c>
      <c r="E63" s="27">
        <v>9</v>
      </c>
      <c r="F63" s="205">
        <v>45873</v>
      </c>
      <c r="G63" s="206">
        <v>5028.8100000000004</v>
      </c>
      <c r="H63" s="212">
        <v>0</v>
      </c>
      <c r="I63" s="212">
        <v>775.48</v>
      </c>
      <c r="J63" s="212">
        <v>0</v>
      </c>
      <c r="K63" s="212">
        <v>4930</v>
      </c>
      <c r="L63" s="212">
        <v>30178.400000000001</v>
      </c>
      <c r="M63" s="212">
        <v>0</v>
      </c>
      <c r="N63" s="212">
        <v>30178.400000000001</v>
      </c>
      <c r="O63" s="212">
        <v>0</v>
      </c>
      <c r="P63" s="212">
        <f>SUM(H63:K63,M63:O63)</f>
        <v>35883.880000000005</v>
      </c>
      <c r="Q63" s="200">
        <f t="shared" si="1"/>
        <v>0</v>
      </c>
      <c r="R63" s="200">
        <v>5028.1099999999997</v>
      </c>
      <c r="S63" s="28" t="s">
        <v>11</v>
      </c>
      <c r="T63" s="205">
        <v>45907</v>
      </c>
      <c r="U63" s="28" t="s">
        <v>2515</v>
      </c>
    </row>
    <row r="64" spans="1:21" ht="12.75">
      <c r="A64" s="27">
        <v>63</v>
      </c>
      <c r="B64" s="68" t="s">
        <v>2451</v>
      </c>
      <c r="C64" s="68">
        <v>91939</v>
      </c>
      <c r="D64" s="27">
        <v>2025</v>
      </c>
      <c r="E64" s="27">
        <v>9</v>
      </c>
      <c r="F64" s="205">
        <v>45924</v>
      </c>
      <c r="G64" s="206">
        <v>673.01</v>
      </c>
      <c r="H64" s="212">
        <v>0</v>
      </c>
      <c r="I64" s="212">
        <v>900</v>
      </c>
      <c r="J64" s="212">
        <v>0</v>
      </c>
      <c r="K64" s="212">
        <v>0</v>
      </c>
      <c r="L64" s="212">
        <v>3900</v>
      </c>
      <c r="M64" s="212">
        <v>0</v>
      </c>
      <c r="N64" s="212">
        <v>3900</v>
      </c>
      <c r="O64" s="212">
        <v>0</v>
      </c>
      <c r="P64" s="212">
        <f>(I64+L64)+K64+O64</f>
        <v>4800</v>
      </c>
      <c r="Q64" s="200">
        <f t="shared" si="1"/>
        <v>0</v>
      </c>
      <c r="R64" s="200">
        <v>673.01</v>
      </c>
      <c r="S64" s="28" t="s">
        <v>2445</v>
      </c>
      <c r="T64" s="205">
        <v>45924</v>
      </c>
      <c r="U64" s="28" t="s">
        <v>2516</v>
      </c>
    </row>
    <row r="65" spans="1:21" ht="12.75">
      <c r="A65" s="27">
        <v>64</v>
      </c>
      <c r="B65" s="68" t="s">
        <v>2458</v>
      </c>
      <c r="C65" s="68" t="s">
        <v>2517</v>
      </c>
      <c r="D65" s="27">
        <v>2025</v>
      </c>
      <c r="E65" s="27">
        <v>10</v>
      </c>
      <c r="F65" s="205">
        <v>45930</v>
      </c>
      <c r="G65" s="207">
        <v>453.91</v>
      </c>
      <c r="H65" s="200">
        <v>0</v>
      </c>
      <c r="I65" s="200">
        <v>182.34</v>
      </c>
      <c r="J65" s="200">
        <v>0</v>
      </c>
      <c r="K65" s="200">
        <v>36</v>
      </c>
      <c r="L65" s="200">
        <v>235.57</v>
      </c>
      <c r="M65" s="200">
        <f t="shared" ref="M65:M66" si="21">IF(B65="KCD-HK",L65*0.1,0)</f>
        <v>0</v>
      </c>
      <c r="N65" s="200">
        <f t="shared" ref="N65:N66" si="22">IF(B65="KCD-HK",L65*0.9,L65)</f>
        <v>235.57</v>
      </c>
      <c r="O65" s="200">
        <v>0</v>
      </c>
      <c r="P65" s="200">
        <f t="shared" ref="P65:P66" si="23">SUM(H65:L65,O65)</f>
        <v>453.90999999999997</v>
      </c>
      <c r="Q65" s="200">
        <f t="shared" si="1"/>
        <v>0</v>
      </c>
      <c r="R65" s="200">
        <f t="shared" ref="R65:R66" si="24">SUM(I65,K65,N65,O65)</f>
        <v>453.90999999999997</v>
      </c>
      <c r="S65" s="28" t="s">
        <v>2445</v>
      </c>
      <c r="T65" s="205">
        <v>45930</v>
      </c>
      <c r="U65" s="28" t="s">
        <v>2473</v>
      </c>
    </row>
    <row r="66" spans="1:21" ht="12.75">
      <c r="A66" s="27">
        <v>65</v>
      </c>
      <c r="B66" s="68" t="s">
        <v>2443</v>
      </c>
      <c r="C66" s="68" t="s">
        <v>2518</v>
      </c>
      <c r="D66" s="27">
        <v>2025</v>
      </c>
      <c r="E66" s="27">
        <v>10</v>
      </c>
      <c r="F66" s="205">
        <v>45935</v>
      </c>
      <c r="G66" s="206">
        <v>922.25</v>
      </c>
      <c r="H66" s="200">
        <v>314.27999999999997</v>
      </c>
      <c r="I66" s="200">
        <v>198.66</v>
      </c>
      <c r="J66" s="200">
        <v>50.4</v>
      </c>
      <c r="K66" s="200">
        <v>256</v>
      </c>
      <c r="L66" s="209">
        <v>100.78</v>
      </c>
      <c r="M66" s="200">
        <f t="shared" si="21"/>
        <v>10.078000000000001</v>
      </c>
      <c r="N66" s="200">
        <f t="shared" si="22"/>
        <v>90.701999999999998</v>
      </c>
      <c r="O66" s="200">
        <v>48</v>
      </c>
      <c r="P66" s="200">
        <f t="shared" si="23"/>
        <v>968.11999999999989</v>
      </c>
      <c r="Q66" s="200">
        <f t="shared" si="1"/>
        <v>374.75799999999992</v>
      </c>
      <c r="R66" s="200">
        <f t="shared" si="24"/>
        <v>593.36199999999997</v>
      </c>
      <c r="S66" s="28" t="s">
        <v>2445</v>
      </c>
      <c r="T66" s="205">
        <v>45939</v>
      </c>
      <c r="U66" s="28" t="s">
        <v>2473</v>
      </c>
    </row>
    <row r="67" spans="1:21" ht="12.75">
      <c r="A67" s="27">
        <v>66</v>
      </c>
      <c r="B67" s="68" t="s">
        <v>2460</v>
      </c>
      <c r="C67" s="68" t="s">
        <v>2514</v>
      </c>
      <c r="D67" s="27">
        <v>2025</v>
      </c>
      <c r="E67" s="27">
        <v>10</v>
      </c>
      <c r="F67" s="205">
        <v>45937</v>
      </c>
      <c r="G67" s="206">
        <v>5460.29</v>
      </c>
      <c r="H67" s="212">
        <v>0</v>
      </c>
      <c r="I67" s="212">
        <v>775.48</v>
      </c>
      <c r="J67" s="212">
        <v>0</v>
      </c>
      <c r="K67" s="212">
        <v>5530</v>
      </c>
      <c r="L67" s="212">
        <v>32569.45</v>
      </c>
      <c r="M67" s="212">
        <v>0</v>
      </c>
      <c r="N67" s="212">
        <v>32569.45</v>
      </c>
      <c r="O67" s="212">
        <v>0</v>
      </c>
      <c r="P67" s="212">
        <f>SUM(H67:K67,M67:O67)</f>
        <v>38874.93</v>
      </c>
      <c r="Q67" s="200">
        <f t="shared" si="1"/>
        <v>0</v>
      </c>
      <c r="R67" s="200">
        <v>5460.29</v>
      </c>
      <c r="S67" s="28" t="s">
        <v>2464</v>
      </c>
      <c r="T67" s="205">
        <v>45937</v>
      </c>
      <c r="U67" s="28" t="s">
        <v>2519</v>
      </c>
    </row>
    <row r="68" spans="1:21" ht="12.75">
      <c r="A68" s="27">
        <v>67</v>
      </c>
      <c r="B68" s="68" t="s">
        <v>2494</v>
      </c>
      <c r="C68" s="68" t="s">
        <v>2520</v>
      </c>
      <c r="D68" s="27">
        <v>2025</v>
      </c>
      <c r="E68" s="27">
        <v>9</v>
      </c>
      <c r="F68" s="205">
        <v>45940</v>
      </c>
      <c r="G68" s="206"/>
      <c r="H68" s="212">
        <v>0</v>
      </c>
      <c r="I68" s="212">
        <v>1300</v>
      </c>
      <c r="J68" s="212">
        <v>0</v>
      </c>
      <c r="K68" s="212">
        <v>1020</v>
      </c>
      <c r="L68" s="212">
        <v>10285</v>
      </c>
      <c r="M68" s="212">
        <v>0</v>
      </c>
      <c r="N68" s="212">
        <v>10285</v>
      </c>
      <c r="O68" s="212">
        <v>0</v>
      </c>
      <c r="P68" s="212">
        <f t="shared" ref="P68:P69" si="25">I68+L68+K68+O68</f>
        <v>12605</v>
      </c>
      <c r="Q68" s="200">
        <f t="shared" si="1"/>
        <v>0</v>
      </c>
      <c r="R68" s="200"/>
      <c r="S68" s="28" t="s">
        <v>2503</v>
      </c>
      <c r="T68" s="28"/>
      <c r="U68" s="28"/>
    </row>
    <row r="69" spans="1:21" ht="12.75">
      <c r="A69" s="27">
        <v>68</v>
      </c>
      <c r="B69" s="68" t="s">
        <v>2494</v>
      </c>
      <c r="C69" s="68" t="s">
        <v>2521</v>
      </c>
      <c r="D69" s="27">
        <v>2025</v>
      </c>
      <c r="E69" s="27">
        <v>10</v>
      </c>
      <c r="F69" s="205">
        <v>45940</v>
      </c>
      <c r="G69" s="206">
        <v>1609.1</v>
      </c>
      <c r="H69" s="212">
        <v>0</v>
      </c>
      <c r="I69" s="212">
        <v>1300</v>
      </c>
      <c r="J69" s="212">
        <v>0</v>
      </c>
      <c r="K69" s="212">
        <v>1020</v>
      </c>
      <c r="L69" s="212">
        <v>8500</v>
      </c>
      <c r="M69" s="212">
        <v>0</v>
      </c>
      <c r="N69" s="212">
        <v>8500</v>
      </c>
      <c r="O69" s="212">
        <v>605</v>
      </c>
      <c r="P69" s="212">
        <f t="shared" si="25"/>
        <v>11425</v>
      </c>
      <c r="Q69" s="200">
        <f t="shared" si="1"/>
        <v>0</v>
      </c>
      <c r="R69" s="200">
        <f>P69/7.1</f>
        <v>1609.1549295774648</v>
      </c>
      <c r="S69" s="28" t="s">
        <v>2464</v>
      </c>
      <c r="T69" s="205">
        <v>45940</v>
      </c>
      <c r="U69" s="28" t="s">
        <v>2519</v>
      </c>
    </row>
    <row r="70" spans="1:21" ht="12.75">
      <c r="A70" s="27">
        <v>69</v>
      </c>
      <c r="B70" s="68" t="s">
        <v>2451</v>
      </c>
      <c r="C70" s="68">
        <v>93386</v>
      </c>
      <c r="D70" s="27">
        <v>2025</v>
      </c>
      <c r="E70" s="27">
        <v>10</v>
      </c>
      <c r="F70" s="205">
        <v>45950</v>
      </c>
      <c r="G70" s="206">
        <v>674.18</v>
      </c>
      <c r="H70" s="212">
        <v>0</v>
      </c>
      <c r="I70" s="212">
        <v>900</v>
      </c>
      <c r="J70" s="212">
        <v>0</v>
      </c>
      <c r="K70" s="212">
        <v>0</v>
      </c>
      <c r="L70" s="212">
        <v>3900</v>
      </c>
      <c r="M70" s="212">
        <v>0</v>
      </c>
      <c r="N70" s="212">
        <v>3900</v>
      </c>
      <c r="O70" s="212">
        <v>0</v>
      </c>
      <c r="P70" s="212">
        <f>(I70+L70)+K70+O70</f>
        <v>4800</v>
      </c>
      <c r="Q70" s="200">
        <f t="shared" si="1"/>
        <v>0</v>
      </c>
      <c r="R70" s="200">
        <v>674.18</v>
      </c>
      <c r="S70" s="28" t="s">
        <v>2445</v>
      </c>
      <c r="T70" s="205">
        <v>45950</v>
      </c>
      <c r="U70" s="28" t="s">
        <v>2516</v>
      </c>
    </row>
    <row r="71" spans="1:21" ht="12.75">
      <c r="A71" s="27">
        <v>70</v>
      </c>
      <c r="B71" s="68" t="s">
        <v>2458</v>
      </c>
      <c r="C71" s="68" t="s">
        <v>2522</v>
      </c>
      <c r="D71" s="27">
        <v>2025</v>
      </c>
      <c r="E71" s="27">
        <v>11</v>
      </c>
      <c r="F71" s="205">
        <v>45960</v>
      </c>
      <c r="G71" s="207">
        <v>453.91</v>
      </c>
      <c r="H71" s="200">
        <v>0</v>
      </c>
      <c r="I71" s="200">
        <v>182.34</v>
      </c>
      <c r="J71" s="200">
        <v>0</v>
      </c>
      <c r="K71" s="200">
        <v>36</v>
      </c>
      <c r="L71" s="200">
        <v>216.25</v>
      </c>
      <c r="M71" s="200">
        <f t="shared" ref="M71:M72" si="26">IF(B71="KCD-HK",L71*0.1,0)</f>
        <v>0</v>
      </c>
      <c r="N71" s="200">
        <f t="shared" ref="N71:N72" si="27">IF(B71="KCD-HK",L71*0.9,L71)</f>
        <v>216.25</v>
      </c>
      <c r="O71" s="200">
        <v>0</v>
      </c>
      <c r="P71" s="200">
        <f t="shared" ref="P71:P72" si="28">SUM(H71:L71,O71)</f>
        <v>434.59000000000003</v>
      </c>
      <c r="Q71" s="200">
        <f t="shared" si="1"/>
        <v>0</v>
      </c>
      <c r="R71" s="200">
        <f t="shared" ref="R71:R72" si="29">SUM(I71,K71,N71,O71)</f>
        <v>434.59000000000003</v>
      </c>
      <c r="S71" s="28" t="s">
        <v>2464</v>
      </c>
      <c r="T71" s="205">
        <v>45965</v>
      </c>
      <c r="U71" s="28"/>
    </row>
    <row r="72" spans="1:21" ht="12.75">
      <c r="A72" s="27">
        <v>71</v>
      </c>
      <c r="B72" s="68" t="s">
        <v>2443</v>
      </c>
      <c r="C72" s="68" t="s">
        <v>2523</v>
      </c>
      <c r="D72" s="27">
        <v>2025</v>
      </c>
      <c r="E72" s="27">
        <v>11</v>
      </c>
      <c r="F72" s="205">
        <v>45960</v>
      </c>
      <c r="G72" s="206">
        <v>922.25</v>
      </c>
      <c r="H72" s="200">
        <v>314.27999999999997</v>
      </c>
      <c r="I72" s="200">
        <v>198.66</v>
      </c>
      <c r="J72" s="200">
        <v>50.4</v>
      </c>
      <c r="K72" s="200">
        <v>256</v>
      </c>
      <c r="L72" s="209">
        <v>101.07</v>
      </c>
      <c r="M72" s="200">
        <f t="shared" si="26"/>
        <v>10.106999999999999</v>
      </c>
      <c r="N72" s="200">
        <f t="shared" si="27"/>
        <v>90.962999999999994</v>
      </c>
      <c r="O72" s="200">
        <v>0</v>
      </c>
      <c r="P72" s="200">
        <f t="shared" si="28"/>
        <v>920.40999999999985</v>
      </c>
      <c r="Q72" s="200">
        <f t="shared" si="1"/>
        <v>374.78699999999992</v>
      </c>
      <c r="R72" s="200">
        <f t="shared" si="29"/>
        <v>545.62299999999993</v>
      </c>
      <c r="S72" s="28" t="s">
        <v>2464</v>
      </c>
      <c r="T72" s="205">
        <v>45965</v>
      </c>
      <c r="U72" s="28"/>
    </row>
    <row r="73" spans="1:21" ht="12.75">
      <c r="A73" s="27">
        <v>72</v>
      </c>
      <c r="B73" s="68" t="s">
        <v>2460</v>
      </c>
      <c r="C73" s="68" t="s">
        <v>2524</v>
      </c>
      <c r="D73" s="27">
        <v>2025</v>
      </c>
      <c r="E73" s="27">
        <v>11</v>
      </c>
      <c r="F73" s="205">
        <v>45962</v>
      </c>
      <c r="G73" s="206">
        <v>7366.17</v>
      </c>
      <c r="H73" s="212">
        <v>0</v>
      </c>
      <c r="I73" s="212">
        <v>775.48</v>
      </c>
      <c r="J73" s="212">
        <v>0</v>
      </c>
      <c r="K73" s="212">
        <v>15730</v>
      </c>
      <c r="L73" s="212">
        <v>35922.550000000003</v>
      </c>
      <c r="M73" s="212">
        <v>0</v>
      </c>
      <c r="N73" s="212">
        <v>35922.550000000003</v>
      </c>
      <c r="O73" s="212">
        <v>0</v>
      </c>
      <c r="P73" s="212">
        <f>SUM(I73,K73,N73)</f>
        <v>52428.03</v>
      </c>
      <c r="Q73" s="200">
        <f t="shared" si="1"/>
        <v>0</v>
      </c>
      <c r="R73" s="200">
        <v>7366.17</v>
      </c>
      <c r="S73" s="28" t="s">
        <v>2464</v>
      </c>
      <c r="T73" s="205">
        <v>45965</v>
      </c>
      <c r="U73" s="28"/>
    </row>
    <row r="74" spans="1:21" ht="12.75">
      <c r="A74" s="27">
        <v>73</v>
      </c>
      <c r="B74" s="68" t="s">
        <v>2494</v>
      </c>
      <c r="C74" s="68" t="s">
        <v>2525</v>
      </c>
      <c r="D74" s="27">
        <v>2025</v>
      </c>
      <c r="E74" s="27">
        <v>10</v>
      </c>
      <c r="F74" s="205">
        <v>45940</v>
      </c>
      <c r="G74" s="206"/>
      <c r="H74" s="213">
        <v>0</v>
      </c>
      <c r="I74" s="213">
        <v>1300</v>
      </c>
      <c r="J74" s="213">
        <v>0</v>
      </c>
      <c r="K74" s="213">
        <v>1350</v>
      </c>
      <c r="L74" s="213">
        <v>3859</v>
      </c>
      <c r="M74" s="213">
        <v>0</v>
      </c>
      <c r="N74" s="213">
        <v>3859</v>
      </c>
      <c r="O74" s="213">
        <v>0</v>
      </c>
      <c r="P74" s="213">
        <f>SUM(H74:K74,N74)</f>
        <v>6509</v>
      </c>
      <c r="Q74" s="200">
        <v>0</v>
      </c>
      <c r="R74" s="200"/>
      <c r="S74" s="28" t="s">
        <v>2503</v>
      </c>
      <c r="T74" s="28"/>
      <c r="U74" s="28"/>
    </row>
    <row r="75" spans="1:21" ht="12.75">
      <c r="A75" s="27">
        <v>74</v>
      </c>
      <c r="B75" s="68" t="s">
        <v>2494</v>
      </c>
      <c r="C75" s="68" t="s">
        <v>2526</v>
      </c>
      <c r="D75" s="27">
        <v>2025</v>
      </c>
      <c r="E75" s="27">
        <v>11</v>
      </c>
      <c r="F75" s="205">
        <v>45940</v>
      </c>
      <c r="G75" s="206">
        <v>1609.1</v>
      </c>
      <c r="H75" s="213">
        <v>0</v>
      </c>
      <c r="I75" s="213">
        <v>1300</v>
      </c>
      <c r="J75" s="213">
        <v>0</v>
      </c>
      <c r="K75" s="213">
        <v>1350</v>
      </c>
      <c r="L75" s="213">
        <v>8500</v>
      </c>
      <c r="M75" s="213">
        <v>0</v>
      </c>
      <c r="N75" s="213">
        <v>8500</v>
      </c>
      <c r="O75" s="213">
        <v>-4311</v>
      </c>
      <c r="P75" s="213">
        <f>SUM(I75:K75,N75:O75)</f>
        <v>6839</v>
      </c>
      <c r="Q75" s="200">
        <v>0</v>
      </c>
      <c r="R75" s="200">
        <f>P75/7.1</f>
        <v>963.23943661971839</v>
      </c>
      <c r="S75" s="28" t="s">
        <v>2464</v>
      </c>
      <c r="T75" s="205">
        <v>45965</v>
      </c>
      <c r="U75" s="28"/>
    </row>
    <row r="76" spans="1:21" ht="12.75">
      <c r="A76" s="27">
        <v>75</v>
      </c>
      <c r="B76" s="68" t="s">
        <v>2451</v>
      </c>
      <c r="C76" s="68">
        <v>94977</v>
      </c>
      <c r="D76" s="27">
        <v>2025</v>
      </c>
      <c r="E76" s="27">
        <v>11</v>
      </c>
      <c r="F76" s="205">
        <v>45985</v>
      </c>
      <c r="G76" s="206">
        <v>676.49</v>
      </c>
      <c r="H76" s="212">
        <v>0</v>
      </c>
      <c r="I76" s="212">
        <v>900</v>
      </c>
      <c r="J76" s="212">
        <v>0</v>
      </c>
      <c r="K76" s="212">
        <v>0</v>
      </c>
      <c r="L76" s="212">
        <v>3900</v>
      </c>
      <c r="M76" s="212">
        <v>0</v>
      </c>
      <c r="N76" s="212">
        <v>3900</v>
      </c>
      <c r="O76" s="212">
        <v>0</v>
      </c>
      <c r="P76" s="212">
        <f t="shared" ref="P76:P77" si="30">(I76+L76)+K76+O76</f>
        <v>4800</v>
      </c>
      <c r="Q76" s="200">
        <f t="shared" ref="Q76:Q77" si="31">SUM(H76,J76,M76)</f>
        <v>0</v>
      </c>
      <c r="R76" s="200">
        <v>676.49</v>
      </c>
      <c r="S76" s="28" t="s">
        <v>2464</v>
      </c>
      <c r="T76" s="205">
        <v>45985</v>
      </c>
      <c r="U76" s="28" t="s">
        <v>2519</v>
      </c>
    </row>
    <row r="77" spans="1:21" ht="12.75">
      <c r="A77" s="27">
        <v>76</v>
      </c>
      <c r="B77" s="68" t="s">
        <v>2451</v>
      </c>
      <c r="C77" s="68">
        <v>95663</v>
      </c>
      <c r="D77" s="27">
        <v>2025</v>
      </c>
      <c r="E77" s="27">
        <v>11</v>
      </c>
      <c r="F77" s="205">
        <v>45987</v>
      </c>
      <c r="G77" s="206">
        <v>360.96</v>
      </c>
      <c r="H77" s="212">
        <v>0</v>
      </c>
      <c r="I77" s="212">
        <v>0</v>
      </c>
      <c r="J77" s="212">
        <v>0</v>
      </c>
      <c r="K77" s="212">
        <v>0</v>
      </c>
      <c r="L77" s="212">
        <v>2556.67</v>
      </c>
      <c r="M77" s="212">
        <v>0</v>
      </c>
      <c r="N77" s="212">
        <v>3900</v>
      </c>
      <c r="O77" s="212">
        <v>0</v>
      </c>
      <c r="P77" s="212">
        <f t="shared" si="30"/>
        <v>2556.67</v>
      </c>
      <c r="Q77" s="200">
        <f t="shared" si="31"/>
        <v>0</v>
      </c>
      <c r="R77" s="200">
        <v>360.96</v>
      </c>
      <c r="S77" s="28" t="s">
        <v>2464</v>
      </c>
      <c r="T77" s="205">
        <v>45987</v>
      </c>
      <c r="U77" s="28" t="s">
        <v>2527</v>
      </c>
    </row>
    <row r="78" spans="1:21" ht="12.75">
      <c r="A78" s="27">
        <v>77</v>
      </c>
      <c r="B78" s="68" t="s">
        <v>2494</v>
      </c>
      <c r="C78" s="68" t="s">
        <v>2528</v>
      </c>
      <c r="D78" s="27">
        <v>2025</v>
      </c>
      <c r="E78" s="27">
        <v>11</v>
      </c>
      <c r="F78" s="205">
        <v>45993</v>
      </c>
      <c r="G78" s="206"/>
      <c r="H78" s="213">
        <v>0</v>
      </c>
      <c r="I78" s="213">
        <v>1300</v>
      </c>
      <c r="J78" s="213">
        <v>0</v>
      </c>
      <c r="K78" s="213">
        <v>1350</v>
      </c>
      <c r="L78" s="213">
        <v>2475.37</v>
      </c>
      <c r="M78" s="213">
        <v>0</v>
      </c>
      <c r="N78" s="213">
        <v>2475.37</v>
      </c>
      <c r="O78" s="213">
        <v>0</v>
      </c>
      <c r="P78" s="213">
        <v>5125.37</v>
      </c>
      <c r="Q78" s="200">
        <v>0</v>
      </c>
      <c r="R78" s="200"/>
      <c r="S78" s="28" t="s">
        <v>2503</v>
      </c>
      <c r="T78" s="28"/>
      <c r="U78" s="28"/>
    </row>
    <row r="79" spans="1:21" ht="12.75">
      <c r="A79" s="27">
        <v>78</v>
      </c>
      <c r="B79" s="68" t="s">
        <v>2494</v>
      </c>
      <c r="C79" s="68" t="s">
        <v>2529</v>
      </c>
      <c r="D79" s="27">
        <v>2025</v>
      </c>
      <c r="E79" s="27">
        <v>12</v>
      </c>
      <c r="F79" s="205">
        <v>45999</v>
      </c>
      <c r="G79" s="206">
        <v>1327.3</v>
      </c>
      <c r="H79" s="213">
        <v>0</v>
      </c>
      <c r="I79" s="213">
        <v>2600</v>
      </c>
      <c r="J79" s="213">
        <v>0</v>
      </c>
      <c r="K79" s="213">
        <v>1850</v>
      </c>
      <c r="L79" s="213">
        <v>12100</v>
      </c>
      <c r="M79" s="213">
        <v>0</v>
      </c>
      <c r="N79" s="213">
        <v>12100</v>
      </c>
      <c r="O79" s="213">
        <v>-6024.63</v>
      </c>
      <c r="P79" s="213">
        <f>SUM(H79:M79,O79)</f>
        <v>10525.369999999999</v>
      </c>
      <c r="Q79" s="200">
        <v>0</v>
      </c>
      <c r="R79" s="200">
        <v>1327.3</v>
      </c>
      <c r="S79" s="28" t="s">
        <v>2464</v>
      </c>
      <c r="T79" s="214">
        <v>46002</v>
      </c>
      <c r="U79" s="28" t="s">
        <v>2519</v>
      </c>
    </row>
    <row r="80" spans="1:21" ht="12.75">
      <c r="A80" s="27">
        <v>79</v>
      </c>
      <c r="B80" s="68" t="s">
        <v>2458</v>
      </c>
      <c r="C80" s="68" t="s">
        <v>2530</v>
      </c>
      <c r="D80" s="27">
        <v>2025</v>
      </c>
      <c r="E80" s="27">
        <v>12</v>
      </c>
      <c r="F80" s="205">
        <v>45991</v>
      </c>
      <c r="G80" s="209">
        <v>433.48</v>
      </c>
      <c r="H80" s="200">
        <v>0</v>
      </c>
      <c r="I80" s="200">
        <v>182.34</v>
      </c>
      <c r="J80" s="200">
        <v>0</v>
      </c>
      <c r="K80" s="200">
        <v>36</v>
      </c>
      <c r="L80" s="200">
        <v>215.14</v>
      </c>
      <c r="M80" s="200">
        <f t="shared" ref="M80:M81" si="32">IF(B80="KCD-HK",L80*0.1,0)</f>
        <v>0</v>
      </c>
      <c r="N80" s="200">
        <f t="shared" ref="N80:N81" si="33">IF(B80="KCD-HK",L80*0.9,L80)</f>
        <v>215.14</v>
      </c>
      <c r="O80" s="200">
        <v>0</v>
      </c>
      <c r="P80" s="200">
        <f t="shared" ref="P80:P81" si="34">SUM(H80:L80,O80)</f>
        <v>433.48</v>
      </c>
      <c r="Q80" s="200">
        <f t="shared" ref="Q80:Q82" si="35">SUM(H80,J80,M80)</f>
        <v>0</v>
      </c>
      <c r="R80" s="200">
        <f t="shared" ref="R80:R81" si="36">SUM(I80,K80,N80,O80)</f>
        <v>433.48</v>
      </c>
      <c r="S80" s="28" t="s">
        <v>2445</v>
      </c>
      <c r="T80" s="205">
        <v>45994</v>
      </c>
      <c r="U80" s="28" t="s">
        <v>2473</v>
      </c>
    </row>
    <row r="81" spans="1:21" ht="12.75">
      <c r="A81" s="27">
        <v>80</v>
      </c>
      <c r="B81" s="68" t="s">
        <v>2443</v>
      </c>
      <c r="C81" s="68" t="s">
        <v>2531</v>
      </c>
      <c r="D81" s="27">
        <v>2025</v>
      </c>
      <c r="E81" s="27">
        <v>12</v>
      </c>
      <c r="F81" s="205">
        <v>45991</v>
      </c>
      <c r="G81" s="206">
        <v>922.42</v>
      </c>
      <c r="H81" s="200">
        <v>314.27999999999997</v>
      </c>
      <c r="I81" s="200">
        <v>198.66</v>
      </c>
      <c r="J81" s="200">
        <v>50.4</v>
      </c>
      <c r="K81" s="200">
        <v>256</v>
      </c>
      <c r="L81" s="209">
        <v>103.08</v>
      </c>
      <c r="M81" s="200">
        <f t="shared" si="32"/>
        <v>10.308</v>
      </c>
      <c r="N81" s="200">
        <f t="shared" si="33"/>
        <v>92.772000000000006</v>
      </c>
      <c r="O81" s="200">
        <v>0</v>
      </c>
      <c r="P81" s="200">
        <f t="shared" si="34"/>
        <v>922.42</v>
      </c>
      <c r="Q81" s="200">
        <f t="shared" si="35"/>
        <v>374.98799999999994</v>
      </c>
      <c r="R81" s="200">
        <f t="shared" si="36"/>
        <v>547.43200000000002</v>
      </c>
      <c r="S81" s="28" t="s">
        <v>2445</v>
      </c>
      <c r="T81" s="205">
        <v>45994</v>
      </c>
      <c r="U81" s="28" t="s">
        <v>2473</v>
      </c>
    </row>
    <row r="82" spans="1:21" ht="12.75">
      <c r="A82" s="27">
        <v>81</v>
      </c>
      <c r="B82" s="68" t="s">
        <v>2460</v>
      </c>
      <c r="C82" s="68" t="s">
        <v>2532</v>
      </c>
      <c r="D82" s="27">
        <v>2025</v>
      </c>
      <c r="E82" s="27">
        <v>12</v>
      </c>
      <c r="F82" s="205">
        <v>45992</v>
      </c>
      <c r="G82" s="206">
        <v>7494.29</v>
      </c>
      <c r="H82" s="212">
        <v>0</v>
      </c>
      <c r="I82" s="212">
        <v>775.48</v>
      </c>
      <c r="J82" s="212">
        <v>0</v>
      </c>
      <c r="K82" s="212">
        <v>35280</v>
      </c>
      <c r="L82" s="212">
        <v>16961.650000000001</v>
      </c>
      <c r="M82" s="212">
        <v>0</v>
      </c>
      <c r="N82" s="212">
        <v>16961.650000000001</v>
      </c>
      <c r="O82" s="212">
        <v>0</v>
      </c>
      <c r="P82" s="212">
        <f>SUM(I82,K82,N82)</f>
        <v>53017.130000000005</v>
      </c>
      <c r="Q82" s="200">
        <f t="shared" si="35"/>
        <v>0</v>
      </c>
      <c r="R82" s="200">
        <v>7494.29</v>
      </c>
      <c r="S82" s="28" t="s">
        <v>2464</v>
      </c>
      <c r="T82" s="205">
        <v>45995</v>
      </c>
      <c r="U82" s="28" t="s">
        <v>2519</v>
      </c>
    </row>
    <row r="83" spans="1:21" ht="12.75">
      <c r="A83" s="27">
        <v>82</v>
      </c>
      <c r="B83" s="68" t="s">
        <v>2533</v>
      </c>
      <c r="C83" s="215" t="s">
        <v>2534</v>
      </c>
      <c r="D83" s="27">
        <v>2025</v>
      </c>
      <c r="E83" s="27">
        <v>12</v>
      </c>
      <c r="F83" s="205">
        <v>46003</v>
      </c>
      <c r="G83" s="206">
        <v>1100</v>
      </c>
      <c r="H83" s="200">
        <v>280</v>
      </c>
      <c r="I83" s="200">
        <v>720</v>
      </c>
      <c r="J83" s="200">
        <v>0</v>
      </c>
      <c r="K83" s="200">
        <v>0</v>
      </c>
      <c r="L83" s="200">
        <v>0</v>
      </c>
      <c r="M83" s="200">
        <v>0</v>
      </c>
      <c r="N83" s="200">
        <v>0</v>
      </c>
      <c r="O83" s="200">
        <v>100</v>
      </c>
      <c r="P83" s="200">
        <f>SUM(H83:L83,O83)</f>
        <v>1100</v>
      </c>
      <c r="Q83" s="200">
        <v>280</v>
      </c>
      <c r="R83" s="200">
        <f>SUM(I83,K83,N83,O83)</f>
        <v>820</v>
      </c>
      <c r="S83" s="28" t="s">
        <v>2445</v>
      </c>
      <c r="T83" s="205">
        <v>46003</v>
      </c>
      <c r="U83" s="28" t="s">
        <v>2535</v>
      </c>
    </row>
    <row r="84" spans="1:21" ht="12.75">
      <c r="A84" s="27">
        <v>83</v>
      </c>
      <c r="B84" s="68" t="s">
        <v>2451</v>
      </c>
      <c r="C84" s="68">
        <v>96547</v>
      </c>
      <c r="D84" s="27">
        <v>2025</v>
      </c>
      <c r="E84" s="27">
        <v>12</v>
      </c>
      <c r="F84" s="205">
        <v>46014</v>
      </c>
      <c r="G84" s="206">
        <v>360.96</v>
      </c>
      <c r="H84" s="212">
        <v>0</v>
      </c>
      <c r="I84" s="212">
        <v>0</v>
      </c>
      <c r="J84" s="212">
        <v>0</v>
      </c>
      <c r="K84" s="212">
        <v>0</v>
      </c>
      <c r="L84" s="212">
        <v>6094.66</v>
      </c>
      <c r="M84" s="212">
        <v>0</v>
      </c>
      <c r="N84" s="212">
        <v>3900</v>
      </c>
      <c r="O84" s="212">
        <v>0</v>
      </c>
      <c r="P84" s="212">
        <v>6094.66</v>
      </c>
      <c r="Q84" s="200">
        <f t="shared" ref="Q84:Q86" si="37">SUM(H84,J84,M84)</f>
        <v>0</v>
      </c>
      <c r="R84" s="200">
        <v>867.09</v>
      </c>
      <c r="S84" s="28" t="s">
        <v>2464</v>
      </c>
      <c r="T84" s="205">
        <v>46014</v>
      </c>
      <c r="U84" s="28" t="s">
        <v>2536</v>
      </c>
    </row>
    <row r="85" spans="1:21" ht="12.75">
      <c r="A85" s="27">
        <v>84</v>
      </c>
      <c r="B85" s="68" t="s">
        <v>2458</v>
      </c>
      <c r="C85" s="68" t="s">
        <v>2537</v>
      </c>
      <c r="D85" s="27">
        <v>2025</v>
      </c>
      <c r="E85" s="27">
        <v>12</v>
      </c>
      <c r="F85" s="205">
        <v>46022</v>
      </c>
      <c r="G85" s="209">
        <v>401.82</v>
      </c>
      <c r="H85" s="200">
        <v>0</v>
      </c>
      <c r="I85" s="200">
        <v>182.34</v>
      </c>
      <c r="J85" s="200">
        <v>0</v>
      </c>
      <c r="K85" s="200">
        <v>36</v>
      </c>
      <c r="L85" s="200">
        <v>183.48</v>
      </c>
      <c r="M85" s="200">
        <f t="shared" ref="M85:M86" si="38">IF(B85="KCD-HK",L85*0.1,0)</f>
        <v>0</v>
      </c>
      <c r="N85" s="200">
        <f t="shared" ref="N85:N86" si="39">IF(B85="KCD-HK",L85*0.9,L85)</f>
        <v>183.48</v>
      </c>
      <c r="O85" s="200">
        <v>0</v>
      </c>
      <c r="P85" s="200">
        <f t="shared" ref="P85:P86" si="40">SUM(H85:L85,O85)</f>
        <v>401.82</v>
      </c>
      <c r="Q85" s="200">
        <f t="shared" si="37"/>
        <v>0</v>
      </c>
      <c r="R85" s="200">
        <f t="shared" ref="R85:R86" si="41">SUM(I85,K85,N85,O85)</f>
        <v>401.82</v>
      </c>
      <c r="S85" s="28" t="s">
        <v>2445</v>
      </c>
      <c r="T85" s="205">
        <v>46026</v>
      </c>
      <c r="U85" s="28" t="s">
        <v>2473</v>
      </c>
    </row>
    <row r="86" spans="1:21" ht="12.75">
      <c r="A86" s="27">
        <v>85</v>
      </c>
      <c r="B86" s="68" t="s">
        <v>2443</v>
      </c>
      <c r="C86" s="68" t="s">
        <v>2538</v>
      </c>
      <c r="D86" s="27">
        <v>2025</v>
      </c>
      <c r="E86" s="27">
        <v>12</v>
      </c>
      <c r="F86" s="205">
        <v>46022</v>
      </c>
      <c r="G86" s="206">
        <v>903.71</v>
      </c>
      <c r="H86" s="200">
        <v>314.27999999999997</v>
      </c>
      <c r="I86" s="200">
        <v>198.66</v>
      </c>
      <c r="J86" s="200">
        <v>50.4</v>
      </c>
      <c r="K86" s="200">
        <v>256</v>
      </c>
      <c r="L86" s="209">
        <v>84.37</v>
      </c>
      <c r="M86" s="200">
        <f t="shared" si="38"/>
        <v>8.4370000000000012</v>
      </c>
      <c r="N86" s="200">
        <f t="shared" si="39"/>
        <v>75.933000000000007</v>
      </c>
      <c r="O86" s="200">
        <v>0</v>
      </c>
      <c r="P86" s="200">
        <f t="shared" si="40"/>
        <v>903.70999999999992</v>
      </c>
      <c r="Q86" s="200">
        <f t="shared" si="37"/>
        <v>373.11699999999996</v>
      </c>
      <c r="R86" s="200">
        <f t="shared" si="41"/>
        <v>530.59299999999996</v>
      </c>
      <c r="S86" s="28" t="s">
        <v>2445</v>
      </c>
      <c r="T86" s="205">
        <v>46026</v>
      </c>
      <c r="U86" s="28" t="s">
        <v>2473</v>
      </c>
    </row>
    <row r="87" spans="1:21" ht="12.75">
      <c r="A87" s="27">
        <v>86</v>
      </c>
      <c r="B87" s="68" t="s">
        <v>2494</v>
      </c>
      <c r="C87" s="68" t="s">
        <v>2539</v>
      </c>
      <c r="D87" s="27">
        <v>2025</v>
      </c>
      <c r="E87" s="27">
        <v>12</v>
      </c>
      <c r="F87" s="205">
        <v>46022</v>
      </c>
      <c r="G87" s="206"/>
      <c r="H87" s="213">
        <v>0</v>
      </c>
      <c r="I87" s="213">
        <v>1600</v>
      </c>
      <c r="J87" s="213">
        <v>0</v>
      </c>
      <c r="K87" s="213">
        <v>1800</v>
      </c>
      <c r="L87" s="213">
        <v>8233.35</v>
      </c>
      <c r="M87" s="213">
        <v>0</v>
      </c>
      <c r="N87" s="213">
        <v>8233.35</v>
      </c>
      <c r="O87" s="213">
        <v>0</v>
      </c>
      <c r="P87" s="213">
        <v>8233.35</v>
      </c>
      <c r="Q87" s="200">
        <v>0</v>
      </c>
      <c r="R87" s="200"/>
      <c r="S87" s="28" t="s">
        <v>2503</v>
      </c>
      <c r="T87" s="28"/>
      <c r="U87" s="28"/>
    </row>
    <row r="88" spans="1:21" ht="12.75">
      <c r="A88" s="27">
        <v>87</v>
      </c>
      <c r="B88" s="68" t="s">
        <v>2494</v>
      </c>
      <c r="C88" s="68" t="s">
        <v>2540</v>
      </c>
      <c r="D88" s="27">
        <v>2026</v>
      </c>
      <c r="E88" s="27">
        <v>1</v>
      </c>
      <c r="F88" s="205">
        <v>46022</v>
      </c>
      <c r="G88" s="206">
        <v>1778.8</v>
      </c>
      <c r="H88" s="213">
        <v>0</v>
      </c>
      <c r="I88" s="213">
        <v>1600</v>
      </c>
      <c r="J88" s="213">
        <v>0</v>
      </c>
      <c r="K88" s="213">
        <v>1400</v>
      </c>
      <c r="L88" s="213">
        <v>13090</v>
      </c>
      <c r="M88" s="213">
        <v>0</v>
      </c>
      <c r="N88" s="213">
        <v>13090</v>
      </c>
      <c r="O88" s="213">
        <v>-3994.1770000000001</v>
      </c>
      <c r="P88" s="213">
        <f>SUM(H88:M88,O88)</f>
        <v>12095.823</v>
      </c>
      <c r="Q88" s="200">
        <v>0</v>
      </c>
      <c r="R88" s="200">
        <v>1778.8</v>
      </c>
      <c r="S88" s="28" t="s">
        <v>2464</v>
      </c>
      <c r="T88" s="205">
        <v>46026</v>
      </c>
      <c r="U88" s="28" t="s">
        <v>2519</v>
      </c>
    </row>
    <row r="89" spans="1:21" ht="12.75">
      <c r="A89" s="27">
        <v>88</v>
      </c>
      <c r="B89" s="68" t="s">
        <v>2460</v>
      </c>
      <c r="C89" s="68" t="s">
        <v>2541</v>
      </c>
      <c r="D89" s="27">
        <v>2025</v>
      </c>
      <c r="E89" s="27">
        <v>12</v>
      </c>
      <c r="F89" s="205">
        <v>46022</v>
      </c>
      <c r="G89" s="206">
        <v>913.55</v>
      </c>
      <c r="H89" s="212">
        <v>0</v>
      </c>
      <c r="I89" s="212">
        <v>775.48</v>
      </c>
      <c r="J89" s="212">
        <v>0</v>
      </c>
      <c r="K89" s="212">
        <v>2020</v>
      </c>
      <c r="L89" s="212">
        <v>3593.61</v>
      </c>
      <c r="M89" s="212">
        <v>0</v>
      </c>
      <c r="N89" s="212">
        <v>3646.89</v>
      </c>
      <c r="O89" s="212">
        <v>0</v>
      </c>
      <c r="P89" s="212">
        <v>3593.61</v>
      </c>
      <c r="Q89" s="200">
        <f>SUM(H89,J89,M89)</f>
        <v>0</v>
      </c>
      <c r="R89" s="200">
        <v>913.55</v>
      </c>
      <c r="S89" s="28" t="s">
        <v>2445</v>
      </c>
      <c r="T89" s="205">
        <v>46026</v>
      </c>
      <c r="U89" s="28" t="s">
        <v>2473</v>
      </c>
    </row>
    <row r="90" spans="1:21" ht="12.75">
      <c r="A90" s="28"/>
      <c r="B90" s="68"/>
      <c r="C90" s="68"/>
      <c r="D90" s="27"/>
      <c r="E90" s="216"/>
      <c r="F90" s="210"/>
      <c r="G90" s="206"/>
      <c r="H90" s="200"/>
      <c r="I90" s="200"/>
      <c r="J90" s="200"/>
      <c r="K90" s="200"/>
      <c r="L90" s="200"/>
      <c r="M90" s="200"/>
      <c r="N90" s="200"/>
      <c r="O90" s="200"/>
      <c r="P90" s="200"/>
      <c r="Q90" s="200"/>
      <c r="R90" s="200"/>
      <c r="S90" s="28"/>
      <c r="T90" s="28"/>
      <c r="U90" s="28"/>
    </row>
    <row r="91" spans="1:21" ht="12.75">
      <c r="A91" s="28"/>
      <c r="B91" s="68"/>
      <c r="C91" s="68"/>
      <c r="D91" s="27"/>
      <c r="E91" s="216"/>
      <c r="F91" s="210"/>
      <c r="G91" s="206"/>
      <c r="H91" s="200"/>
      <c r="I91" s="200"/>
      <c r="J91" s="200"/>
      <c r="K91" s="200"/>
      <c r="L91" s="200"/>
      <c r="M91" s="200"/>
      <c r="N91" s="200"/>
      <c r="O91" s="200"/>
      <c r="P91" s="200"/>
      <c r="Q91" s="200"/>
      <c r="R91" s="200"/>
      <c r="S91" s="28"/>
      <c r="T91" s="28"/>
      <c r="U91" s="28"/>
    </row>
    <row r="92" spans="1:21" ht="12.75">
      <c r="A92" s="28"/>
      <c r="B92" s="68"/>
      <c r="C92" s="68"/>
      <c r="D92" s="27"/>
      <c r="E92" s="216"/>
      <c r="F92" s="210"/>
      <c r="G92" s="206"/>
      <c r="H92" s="200"/>
      <c r="I92" s="200"/>
      <c r="J92" s="200"/>
      <c r="K92" s="200"/>
      <c r="L92" s="200"/>
      <c r="M92" s="200"/>
      <c r="N92" s="200"/>
      <c r="O92" s="200"/>
      <c r="P92" s="200"/>
      <c r="Q92" s="200"/>
      <c r="R92" s="200"/>
      <c r="S92" s="28"/>
      <c r="T92" s="28"/>
      <c r="U92" s="28"/>
    </row>
    <row r="93" spans="1:21" ht="12.75">
      <c r="A93" s="28"/>
      <c r="B93" s="68"/>
      <c r="C93" s="68"/>
      <c r="D93" s="27"/>
      <c r="E93" s="216"/>
      <c r="F93" s="210"/>
      <c r="G93" s="206"/>
      <c r="H93" s="200"/>
      <c r="I93" s="200"/>
      <c r="J93" s="200"/>
      <c r="K93" s="200"/>
      <c r="L93" s="200"/>
      <c r="M93" s="200"/>
      <c r="N93" s="200"/>
      <c r="O93" s="200"/>
      <c r="P93" s="200"/>
      <c r="Q93" s="200"/>
      <c r="R93" s="200"/>
      <c r="S93" s="28"/>
      <c r="T93" s="28"/>
      <c r="U93" s="28"/>
    </row>
    <row r="94" spans="1:21" ht="12.75">
      <c r="A94" s="366" t="s">
        <v>2542</v>
      </c>
      <c r="B94" s="352"/>
      <c r="C94" s="352"/>
      <c r="D94" s="352"/>
      <c r="E94" s="352"/>
      <c r="F94" s="353"/>
      <c r="G94" s="217">
        <f>SUM(G2:G93)</f>
        <v>88641.228191731076</v>
      </c>
      <c r="H94" s="367"/>
      <c r="I94" s="352"/>
      <c r="J94" s="352"/>
      <c r="K94" s="352"/>
      <c r="L94" s="352"/>
      <c r="M94" s="352"/>
      <c r="N94" s="353"/>
      <c r="O94" s="218"/>
      <c r="P94" s="217">
        <f t="shared" ref="P94:R94" si="42">SUM(P2:P93)</f>
        <v>421728.57332258049</v>
      </c>
      <c r="Q94" s="217">
        <f t="shared" si="42"/>
        <v>8068.0809999999992</v>
      </c>
      <c r="R94" s="217">
        <f t="shared" si="42"/>
        <v>81369.131557928224</v>
      </c>
      <c r="S94" s="219"/>
      <c r="T94" s="219"/>
      <c r="U94" s="368" t="s">
        <v>2543</v>
      </c>
    </row>
    <row r="95" spans="1:21" ht="12.75">
      <c r="A95" s="366" t="s">
        <v>2544</v>
      </c>
      <c r="B95" s="352"/>
      <c r="C95" s="352"/>
      <c r="D95" s="352"/>
      <c r="E95" s="352"/>
      <c r="F95" s="353"/>
      <c r="G95" s="220">
        <f>G94*7.21</f>
        <v>639103.25526238105</v>
      </c>
      <c r="H95" s="369"/>
      <c r="I95" s="352"/>
      <c r="J95" s="352"/>
      <c r="K95" s="352"/>
      <c r="L95" s="352"/>
      <c r="M95" s="352"/>
      <c r="N95" s="353"/>
      <c r="O95" s="221"/>
      <c r="P95" s="220">
        <f t="shared" ref="P95:R95" si="43">P94*7.21</f>
        <v>3040663.0136558055</v>
      </c>
      <c r="Q95" s="220">
        <f t="shared" si="43"/>
        <v>58170.864009999998</v>
      </c>
      <c r="R95" s="220">
        <f t="shared" si="43"/>
        <v>586671.43853266246</v>
      </c>
      <c r="S95" s="219"/>
      <c r="T95" s="219"/>
      <c r="U95" s="359"/>
    </row>
    <row r="96" spans="1:21" ht="12.75">
      <c r="B96" s="70"/>
      <c r="C96" s="70"/>
      <c r="D96" s="12"/>
      <c r="F96" s="12"/>
      <c r="G96" s="222"/>
    </row>
    <row r="97" spans="2:7" ht="12.75">
      <c r="B97" s="70"/>
      <c r="C97" s="70"/>
      <c r="D97" s="12"/>
      <c r="F97" s="12"/>
      <c r="G97" s="222"/>
    </row>
    <row r="98" spans="2:7" ht="12.75">
      <c r="B98" s="70"/>
      <c r="C98" s="70"/>
      <c r="D98" s="12"/>
      <c r="F98" s="12"/>
      <c r="G98" s="222"/>
    </row>
    <row r="99" spans="2:7" ht="12.75">
      <c r="B99" s="70"/>
      <c r="C99" s="70"/>
      <c r="D99" s="12"/>
      <c r="F99" s="12"/>
      <c r="G99" s="222"/>
    </row>
    <row r="100" spans="2:7" ht="12.75">
      <c r="B100" s="70"/>
      <c r="C100" s="70"/>
      <c r="D100" s="12"/>
      <c r="F100" s="12"/>
      <c r="G100" s="222"/>
    </row>
    <row r="101" spans="2:7" ht="12.75">
      <c r="B101" s="70"/>
      <c r="C101" s="70"/>
      <c r="D101" s="12"/>
      <c r="F101" s="12"/>
      <c r="G101" s="222"/>
    </row>
    <row r="102" spans="2:7" ht="12.75">
      <c r="B102" s="70"/>
      <c r="C102" s="70"/>
      <c r="D102" s="12"/>
      <c r="F102" s="12"/>
      <c r="G102" s="222"/>
    </row>
    <row r="103" spans="2:7" ht="12.75">
      <c r="B103" s="70"/>
      <c r="C103" s="70"/>
      <c r="D103" s="12"/>
      <c r="F103" s="12"/>
      <c r="G103" s="222"/>
    </row>
    <row r="104" spans="2:7" ht="12.75">
      <c r="B104" s="70"/>
      <c r="C104" s="70"/>
      <c r="D104" s="12"/>
      <c r="F104" s="12"/>
      <c r="G104" s="222"/>
    </row>
    <row r="105" spans="2:7" ht="12.75">
      <c r="B105" s="70"/>
      <c r="C105" s="70"/>
      <c r="D105" s="12"/>
      <c r="F105" s="12"/>
      <c r="G105" s="222"/>
    </row>
    <row r="106" spans="2:7" ht="12.75">
      <c r="B106" s="70"/>
      <c r="C106" s="70"/>
      <c r="D106" s="12"/>
      <c r="F106" s="12"/>
      <c r="G106" s="222"/>
    </row>
    <row r="107" spans="2:7" ht="12.75">
      <c r="B107" s="70"/>
      <c r="C107" s="70"/>
      <c r="D107" s="12"/>
      <c r="F107" s="12"/>
      <c r="G107" s="222"/>
    </row>
    <row r="108" spans="2:7" ht="12.75">
      <c r="B108" s="70"/>
      <c r="C108" s="70"/>
      <c r="D108" s="12"/>
      <c r="F108" s="12"/>
      <c r="G108" s="222"/>
    </row>
    <row r="109" spans="2:7" ht="12.75">
      <c r="B109" s="70"/>
      <c r="C109" s="70"/>
      <c r="D109" s="12"/>
      <c r="F109" s="12"/>
      <c r="G109" s="222"/>
    </row>
    <row r="110" spans="2:7" ht="12.75">
      <c r="B110" s="70"/>
      <c r="C110" s="70"/>
      <c r="D110" s="12"/>
      <c r="F110" s="12"/>
      <c r="G110" s="222"/>
    </row>
    <row r="111" spans="2:7" ht="12.75">
      <c r="B111" s="70"/>
      <c r="C111" s="70"/>
      <c r="D111" s="12"/>
      <c r="F111" s="12"/>
      <c r="G111" s="222"/>
    </row>
    <row r="112" spans="2:7" ht="12.75">
      <c r="B112" s="70"/>
      <c r="C112" s="70"/>
      <c r="D112" s="12"/>
      <c r="F112" s="12"/>
      <c r="G112" s="222"/>
    </row>
    <row r="113" spans="2:7" ht="12.75">
      <c r="B113" s="70"/>
      <c r="C113" s="70"/>
      <c r="D113" s="12"/>
      <c r="F113" s="12"/>
      <c r="G113" s="222"/>
    </row>
    <row r="114" spans="2:7" ht="12.75">
      <c r="B114" s="70"/>
      <c r="C114" s="70"/>
      <c r="D114" s="12"/>
      <c r="F114" s="12"/>
      <c r="G114" s="222"/>
    </row>
    <row r="115" spans="2:7" ht="12.75">
      <c r="B115" s="70"/>
      <c r="C115" s="70"/>
      <c r="D115" s="12"/>
      <c r="F115" s="12"/>
      <c r="G115" s="222"/>
    </row>
    <row r="116" spans="2:7" ht="12.75">
      <c r="B116" s="70"/>
      <c r="C116" s="70"/>
      <c r="D116" s="12"/>
      <c r="F116" s="12"/>
      <c r="G116" s="222"/>
    </row>
    <row r="117" spans="2:7" ht="12.75">
      <c r="B117" s="70"/>
      <c r="C117" s="70"/>
      <c r="D117" s="12"/>
      <c r="F117" s="12"/>
      <c r="G117" s="222"/>
    </row>
    <row r="118" spans="2:7" ht="12.75">
      <c r="B118" s="70"/>
      <c r="C118" s="70"/>
      <c r="D118" s="12"/>
      <c r="F118" s="12"/>
      <c r="G118" s="222"/>
    </row>
    <row r="119" spans="2:7" ht="12.75">
      <c r="B119" s="70"/>
      <c r="C119" s="70"/>
      <c r="D119" s="12"/>
      <c r="F119" s="12"/>
      <c r="G119" s="222"/>
    </row>
    <row r="120" spans="2:7" ht="12.75">
      <c r="B120" s="70"/>
      <c r="C120" s="70"/>
      <c r="D120" s="12"/>
      <c r="F120" s="12"/>
      <c r="G120" s="222"/>
    </row>
    <row r="121" spans="2:7" ht="12.75">
      <c r="B121" s="70"/>
      <c r="C121" s="70"/>
      <c r="D121" s="12"/>
      <c r="F121" s="12"/>
      <c r="G121" s="222"/>
    </row>
    <row r="122" spans="2:7" ht="12.75">
      <c r="B122" s="70"/>
      <c r="C122" s="70"/>
      <c r="D122" s="12"/>
      <c r="F122" s="12"/>
      <c r="G122" s="222"/>
    </row>
    <row r="123" spans="2:7" ht="12.75">
      <c r="B123" s="70"/>
      <c r="C123" s="70"/>
      <c r="D123" s="12"/>
      <c r="F123" s="12"/>
      <c r="G123" s="222"/>
    </row>
    <row r="124" spans="2:7" ht="12.75">
      <c r="B124" s="70"/>
      <c r="C124" s="70"/>
      <c r="D124" s="12"/>
      <c r="F124" s="12"/>
      <c r="G124" s="222"/>
    </row>
    <row r="125" spans="2:7" ht="12.75">
      <c r="B125" s="70"/>
      <c r="C125" s="70"/>
      <c r="D125" s="12"/>
      <c r="F125" s="12"/>
      <c r="G125" s="222"/>
    </row>
    <row r="126" spans="2:7" ht="12.75">
      <c r="B126" s="70"/>
      <c r="C126" s="70"/>
      <c r="D126" s="12"/>
      <c r="F126" s="12"/>
      <c r="G126" s="222"/>
    </row>
    <row r="127" spans="2:7" ht="12.75">
      <c r="B127" s="70"/>
      <c r="C127" s="70"/>
      <c r="D127" s="12"/>
      <c r="F127" s="12"/>
      <c r="G127" s="222"/>
    </row>
    <row r="128" spans="2:7" ht="12.75">
      <c r="B128" s="70"/>
      <c r="C128" s="70"/>
      <c r="D128" s="12"/>
      <c r="F128" s="12"/>
      <c r="G128" s="222"/>
    </row>
    <row r="129" spans="2:7" ht="12.75">
      <c r="B129" s="70"/>
      <c r="C129" s="70"/>
      <c r="D129" s="12"/>
      <c r="F129" s="12"/>
      <c r="G129" s="222"/>
    </row>
    <row r="130" spans="2:7" ht="12.75">
      <c r="B130" s="70"/>
      <c r="C130" s="70"/>
      <c r="D130" s="12"/>
      <c r="F130" s="12"/>
      <c r="G130" s="222"/>
    </row>
    <row r="131" spans="2:7" ht="12.75">
      <c r="B131" s="70"/>
      <c r="C131" s="70"/>
      <c r="D131" s="12"/>
      <c r="F131" s="12"/>
      <c r="G131" s="222"/>
    </row>
    <row r="132" spans="2:7" ht="12.75">
      <c r="B132" s="70"/>
      <c r="C132" s="70"/>
      <c r="D132" s="12"/>
      <c r="F132" s="12"/>
      <c r="G132" s="222"/>
    </row>
    <row r="133" spans="2:7" ht="12.75">
      <c r="B133" s="70"/>
      <c r="C133" s="70"/>
      <c r="D133" s="12"/>
      <c r="F133" s="12"/>
      <c r="G133" s="222"/>
    </row>
    <row r="134" spans="2:7" ht="12.75">
      <c r="B134" s="70"/>
      <c r="C134" s="70"/>
      <c r="D134" s="12"/>
      <c r="F134" s="12"/>
      <c r="G134" s="222"/>
    </row>
    <row r="135" spans="2:7" ht="12.75">
      <c r="B135" s="70"/>
      <c r="C135" s="70"/>
      <c r="D135" s="12"/>
      <c r="F135" s="12"/>
      <c r="G135" s="222"/>
    </row>
    <row r="136" spans="2:7" ht="12.75">
      <c r="B136" s="70"/>
      <c r="C136" s="70"/>
      <c r="D136" s="12"/>
      <c r="F136" s="12"/>
      <c r="G136" s="222"/>
    </row>
    <row r="137" spans="2:7" ht="12.75">
      <c r="B137" s="70"/>
      <c r="C137" s="70"/>
      <c r="D137" s="12"/>
      <c r="F137" s="12"/>
      <c r="G137" s="222"/>
    </row>
    <row r="138" spans="2:7" ht="12.75">
      <c r="B138" s="70"/>
      <c r="C138" s="70"/>
      <c r="D138" s="12"/>
      <c r="F138" s="12"/>
      <c r="G138" s="222"/>
    </row>
    <row r="139" spans="2:7" ht="12.75">
      <c r="B139" s="70"/>
      <c r="C139" s="70"/>
      <c r="D139" s="12"/>
      <c r="F139" s="12"/>
      <c r="G139" s="222"/>
    </row>
    <row r="140" spans="2:7" ht="12.75">
      <c r="B140" s="70"/>
      <c r="C140" s="70"/>
      <c r="D140" s="12"/>
      <c r="F140" s="12"/>
      <c r="G140" s="222"/>
    </row>
    <row r="141" spans="2:7" ht="12.75">
      <c r="B141" s="70"/>
      <c r="C141" s="70"/>
      <c r="D141" s="12"/>
      <c r="F141" s="12"/>
      <c r="G141" s="222"/>
    </row>
    <row r="142" spans="2:7" ht="12.75">
      <c r="B142" s="70"/>
      <c r="C142" s="70"/>
      <c r="D142" s="12"/>
      <c r="F142" s="12"/>
      <c r="G142" s="222"/>
    </row>
    <row r="143" spans="2:7" ht="12.75">
      <c r="B143" s="70"/>
      <c r="C143" s="70"/>
      <c r="D143" s="12"/>
      <c r="F143" s="12"/>
      <c r="G143" s="222"/>
    </row>
    <row r="144" spans="2:7" ht="12.75">
      <c r="B144" s="70"/>
      <c r="C144" s="70"/>
      <c r="D144" s="12"/>
      <c r="F144" s="12"/>
      <c r="G144" s="222"/>
    </row>
    <row r="145" spans="2:7" ht="12.75">
      <c r="B145" s="70"/>
      <c r="C145" s="70"/>
      <c r="D145" s="12"/>
      <c r="F145" s="12"/>
      <c r="G145" s="222"/>
    </row>
    <row r="146" spans="2:7" ht="12.75">
      <c r="B146" s="70"/>
      <c r="C146" s="70"/>
      <c r="D146" s="12"/>
      <c r="F146" s="12"/>
      <c r="G146" s="222"/>
    </row>
    <row r="147" spans="2:7" ht="12.75">
      <c r="B147" s="70"/>
      <c r="C147" s="70"/>
      <c r="D147" s="12"/>
      <c r="F147" s="12"/>
      <c r="G147" s="222"/>
    </row>
    <row r="148" spans="2:7" ht="12.75">
      <c r="B148" s="70"/>
      <c r="C148" s="70"/>
      <c r="D148" s="12"/>
      <c r="F148" s="12"/>
      <c r="G148" s="222"/>
    </row>
    <row r="149" spans="2:7" ht="12.75">
      <c r="B149" s="70"/>
      <c r="C149" s="70"/>
      <c r="D149" s="12"/>
      <c r="F149" s="12"/>
      <c r="G149" s="222"/>
    </row>
    <row r="150" spans="2:7" ht="12.75">
      <c r="B150" s="70"/>
      <c r="C150" s="70"/>
      <c r="D150" s="12"/>
      <c r="F150" s="12"/>
      <c r="G150" s="222"/>
    </row>
    <row r="151" spans="2:7" ht="12.75">
      <c r="B151" s="70"/>
      <c r="C151" s="70"/>
      <c r="D151" s="12"/>
      <c r="F151" s="12"/>
      <c r="G151" s="222"/>
    </row>
    <row r="152" spans="2:7" ht="12.75">
      <c r="B152" s="70"/>
      <c r="C152" s="70"/>
      <c r="D152" s="12"/>
      <c r="F152" s="12"/>
      <c r="G152" s="222"/>
    </row>
    <row r="153" spans="2:7" ht="12.75">
      <c r="B153" s="70"/>
      <c r="C153" s="70"/>
      <c r="D153" s="12"/>
      <c r="F153" s="12"/>
      <c r="G153" s="222"/>
    </row>
    <row r="154" spans="2:7" ht="12.75">
      <c r="B154" s="70"/>
      <c r="C154" s="70"/>
      <c r="D154" s="12"/>
      <c r="F154" s="12"/>
      <c r="G154" s="222"/>
    </row>
    <row r="155" spans="2:7" ht="12.75">
      <c r="B155" s="70"/>
      <c r="C155" s="70"/>
      <c r="D155" s="12"/>
      <c r="F155" s="12"/>
      <c r="G155" s="222"/>
    </row>
    <row r="156" spans="2:7" ht="12.75">
      <c r="B156" s="70"/>
      <c r="C156" s="70"/>
      <c r="D156" s="12"/>
      <c r="F156" s="12"/>
      <c r="G156" s="222"/>
    </row>
    <row r="157" spans="2:7" ht="12.75">
      <c r="B157" s="70"/>
      <c r="C157" s="70"/>
      <c r="D157" s="12"/>
      <c r="F157" s="12"/>
      <c r="G157" s="222"/>
    </row>
    <row r="158" spans="2:7" ht="12.75">
      <c r="B158" s="70"/>
      <c r="C158" s="70"/>
      <c r="D158" s="12"/>
      <c r="F158" s="12"/>
      <c r="G158" s="222"/>
    </row>
    <row r="159" spans="2:7" ht="12.75">
      <c r="B159" s="70"/>
      <c r="C159" s="70"/>
      <c r="D159" s="12"/>
      <c r="F159" s="12"/>
      <c r="G159" s="222"/>
    </row>
    <row r="160" spans="2:7" ht="12.75">
      <c r="B160" s="70"/>
      <c r="C160" s="70"/>
      <c r="D160" s="12"/>
      <c r="F160" s="12"/>
      <c r="G160" s="222"/>
    </row>
    <row r="161" spans="2:7" ht="12.75">
      <c r="B161" s="70"/>
      <c r="C161" s="70"/>
      <c r="D161" s="12"/>
      <c r="F161" s="12"/>
      <c r="G161" s="222"/>
    </row>
    <row r="162" spans="2:7" ht="12.75">
      <c r="B162" s="70"/>
      <c r="C162" s="70"/>
      <c r="D162" s="12"/>
      <c r="F162" s="12"/>
      <c r="G162" s="222"/>
    </row>
    <row r="163" spans="2:7" ht="12.75">
      <c r="B163" s="70"/>
      <c r="C163" s="70"/>
      <c r="D163" s="12"/>
      <c r="F163" s="12"/>
      <c r="G163" s="222"/>
    </row>
    <row r="164" spans="2:7" ht="12.75">
      <c r="B164" s="70"/>
      <c r="C164" s="70"/>
      <c r="D164" s="12"/>
      <c r="F164" s="12"/>
      <c r="G164" s="222"/>
    </row>
    <row r="165" spans="2:7" ht="12.75">
      <c r="B165" s="70"/>
      <c r="C165" s="70"/>
      <c r="D165" s="12"/>
      <c r="F165" s="12"/>
      <c r="G165" s="222"/>
    </row>
    <row r="166" spans="2:7" ht="12.75">
      <c r="B166" s="70"/>
      <c r="C166" s="70"/>
      <c r="D166" s="12"/>
      <c r="F166" s="12"/>
      <c r="G166" s="222"/>
    </row>
    <row r="167" spans="2:7" ht="12.75">
      <c r="B167" s="70"/>
      <c r="C167" s="70"/>
      <c r="D167" s="12"/>
      <c r="F167" s="12"/>
      <c r="G167" s="222"/>
    </row>
    <row r="168" spans="2:7" ht="12.75">
      <c r="B168" s="70"/>
      <c r="C168" s="70"/>
      <c r="D168" s="12"/>
      <c r="F168" s="12"/>
      <c r="G168" s="222"/>
    </row>
    <row r="169" spans="2:7" ht="12.75">
      <c r="B169" s="70"/>
      <c r="C169" s="70"/>
      <c r="D169" s="12"/>
      <c r="F169" s="12"/>
      <c r="G169" s="222"/>
    </row>
    <row r="170" spans="2:7" ht="12.75">
      <c r="B170" s="70"/>
      <c r="C170" s="70"/>
      <c r="D170" s="12"/>
      <c r="F170" s="12"/>
      <c r="G170" s="222"/>
    </row>
    <row r="171" spans="2:7" ht="12.75">
      <c r="B171" s="70"/>
      <c r="C171" s="70"/>
      <c r="D171" s="12"/>
      <c r="F171" s="12"/>
      <c r="G171" s="222"/>
    </row>
    <row r="172" spans="2:7" ht="12.75">
      <c r="B172" s="70"/>
      <c r="C172" s="70"/>
      <c r="D172" s="12"/>
      <c r="F172" s="12"/>
      <c r="G172" s="222"/>
    </row>
    <row r="173" spans="2:7" ht="12.75">
      <c r="B173" s="70"/>
      <c r="C173" s="70"/>
      <c r="D173" s="12"/>
      <c r="F173" s="12"/>
      <c r="G173" s="222"/>
    </row>
    <row r="174" spans="2:7" ht="12.75">
      <c r="B174" s="70"/>
      <c r="C174" s="70"/>
      <c r="D174" s="12"/>
      <c r="F174" s="12"/>
      <c r="G174" s="222"/>
    </row>
    <row r="175" spans="2:7" ht="12.75">
      <c r="B175" s="70"/>
      <c r="C175" s="70"/>
      <c r="D175" s="12"/>
      <c r="F175" s="12"/>
      <c r="G175" s="222"/>
    </row>
    <row r="176" spans="2:7" ht="12.75">
      <c r="B176" s="70"/>
      <c r="C176" s="70"/>
      <c r="D176" s="12"/>
      <c r="F176" s="12"/>
      <c r="G176" s="222"/>
    </row>
    <row r="177" spans="2:7" ht="12.75">
      <c r="B177" s="70"/>
      <c r="C177" s="70"/>
      <c r="D177" s="12"/>
      <c r="F177" s="12"/>
      <c r="G177" s="222"/>
    </row>
    <row r="178" spans="2:7" ht="12.75">
      <c r="B178" s="70"/>
      <c r="C178" s="70"/>
      <c r="D178" s="12"/>
      <c r="F178" s="12"/>
      <c r="G178" s="222"/>
    </row>
    <row r="179" spans="2:7" ht="12.75">
      <c r="B179" s="70"/>
      <c r="C179" s="70"/>
      <c r="D179" s="12"/>
      <c r="F179" s="12"/>
      <c r="G179" s="222"/>
    </row>
    <row r="180" spans="2:7" ht="12.75">
      <c r="B180" s="70"/>
      <c r="C180" s="70"/>
      <c r="D180" s="12"/>
      <c r="F180" s="12"/>
      <c r="G180" s="222"/>
    </row>
    <row r="181" spans="2:7" ht="12.75">
      <c r="B181" s="70"/>
      <c r="C181" s="70"/>
      <c r="D181" s="12"/>
      <c r="F181" s="12"/>
      <c r="G181" s="222"/>
    </row>
    <row r="182" spans="2:7" ht="12.75">
      <c r="B182" s="70"/>
      <c r="C182" s="70"/>
      <c r="D182" s="12"/>
      <c r="F182" s="12"/>
      <c r="G182" s="222"/>
    </row>
    <row r="183" spans="2:7" ht="12.75">
      <c r="B183" s="70"/>
      <c r="C183" s="70"/>
      <c r="D183" s="12"/>
      <c r="F183" s="12"/>
      <c r="G183" s="222"/>
    </row>
    <row r="184" spans="2:7" ht="12.75">
      <c r="B184" s="70"/>
      <c r="C184" s="70"/>
      <c r="D184" s="12"/>
      <c r="F184" s="12"/>
      <c r="G184" s="222"/>
    </row>
    <row r="185" spans="2:7" ht="12.75">
      <c r="B185" s="70"/>
      <c r="C185" s="70"/>
      <c r="D185" s="12"/>
      <c r="F185" s="12"/>
      <c r="G185" s="222"/>
    </row>
    <row r="186" spans="2:7" ht="12.75">
      <c r="B186" s="70"/>
      <c r="C186" s="70"/>
      <c r="D186" s="12"/>
      <c r="F186" s="12"/>
      <c r="G186" s="222"/>
    </row>
    <row r="187" spans="2:7" ht="12.75">
      <c r="B187" s="70"/>
      <c r="C187" s="70"/>
      <c r="D187" s="12"/>
      <c r="F187" s="12"/>
      <c r="G187" s="222"/>
    </row>
    <row r="188" spans="2:7" ht="12.75">
      <c r="B188" s="70"/>
      <c r="C188" s="70"/>
      <c r="D188" s="12"/>
      <c r="F188" s="12"/>
      <c r="G188" s="222"/>
    </row>
    <row r="189" spans="2:7" ht="12.75">
      <c r="B189" s="70"/>
      <c r="C189" s="70"/>
      <c r="D189" s="12"/>
      <c r="F189" s="12"/>
      <c r="G189" s="222"/>
    </row>
    <row r="190" spans="2:7" ht="12.75">
      <c r="B190" s="70"/>
      <c r="C190" s="70"/>
      <c r="D190" s="12"/>
      <c r="F190" s="12"/>
      <c r="G190" s="222"/>
    </row>
    <row r="191" spans="2:7" ht="12.75">
      <c r="B191" s="70"/>
      <c r="C191" s="70"/>
      <c r="D191" s="12"/>
      <c r="F191" s="12"/>
      <c r="G191" s="222"/>
    </row>
    <row r="192" spans="2:7" ht="12.75">
      <c r="B192" s="70"/>
      <c r="C192" s="70"/>
      <c r="D192" s="12"/>
      <c r="F192" s="12"/>
      <c r="G192" s="222"/>
    </row>
    <row r="193" spans="2:7" ht="12.75">
      <c r="B193" s="70"/>
      <c r="C193" s="70"/>
      <c r="D193" s="12"/>
      <c r="F193" s="12"/>
      <c r="G193" s="222"/>
    </row>
    <row r="194" spans="2:7" ht="12.75">
      <c r="B194" s="70"/>
      <c r="C194" s="70"/>
      <c r="D194" s="12"/>
      <c r="F194" s="12"/>
      <c r="G194" s="222"/>
    </row>
    <row r="195" spans="2:7" ht="12.75">
      <c r="B195" s="70"/>
      <c r="C195" s="70"/>
      <c r="D195" s="12"/>
      <c r="F195" s="12"/>
      <c r="G195" s="222"/>
    </row>
    <row r="196" spans="2:7" ht="12.75">
      <c r="B196" s="70"/>
      <c r="C196" s="70"/>
      <c r="D196" s="12"/>
      <c r="F196" s="12"/>
      <c r="G196" s="222"/>
    </row>
    <row r="197" spans="2:7" ht="12.75">
      <c r="B197" s="70"/>
      <c r="C197" s="70"/>
      <c r="D197" s="12"/>
      <c r="F197" s="12"/>
      <c r="G197" s="222"/>
    </row>
    <row r="198" spans="2:7" ht="12.75">
      <c r="B198" s="70"/>
      <c r="C198" s="70"/>
      <c r="D198" s="12"/>
      <c r="F198" s="12"/>
      <c r="G198" s="222"/>
    </row>
    <row r="199" spans="2:7" ht="12.75">
      <c r="B199" s="70"/>
      <c r="C199" s="70"/>
      <c r="D199" s="12"/>
      <c r="F199" s="12"/>
      <c r="G199" s="222"/>
    </row>
    <row r="200" spans="2:7" ht="12.75">
      <c r="B200" s="70"/>
      <c r="C200" s="70"/>
      <c r="D200" s="12"/>
      <c r="F200" s="12"/>
      <c r="G200" s="222"/>
    </row>
    <row r="201" spans="2:7" ht="12.75">
      <c r="B201" s="70"/>
      <c r="C201" s="70"/>
      <c r="D201" s="12"/>
      <c r="F201" s="12"/>
      <c r="G201" s="222"/>
    </row>
    <row r="202" spans="2:7" ht="12.75">
      <c r="B202" s="70"/>
      <c r="C202" s="70"/>
      <c r="D202" s="12"/>
      <c r="F202" s="12"/>
      <c r="G202" s="222"/>
    </row>
    <row r="203" spans="2:7" ht="12.75">
      <c r="B203" s="70"/>
      <c r="C203" s="70"/>
      <c r="D203" s="12"/>
      <c r="F203" s="12"/>
      <c r="G203" s="222"/>
    </row>
    <row r="204" spans="2:7" ht="12.75">
      <c r="B204" s="70"/>
      <c r="C204" s="70"/>
      <c r="D204" s="12"/>
      <c r="F204" s="12"/>
      <c r="G204" s="222"/>
    </row>
    <row r="205" spans="2:7" ht="12.75">
      <c r="B205" s="70"/>
      <c r="C205" s="70"/>
      <c r="D205" s="12"/>
      <c r="F205" s="12"/>
      <c r="G205" s="222"/>
    </row>
    <row r="206" spans="2:7" ht="12.75">
      <c r="B206" s="70"/>
      <c r="C206" s="70"/>
      <c r="D206" s="12"/>
      <c r="F206" s="12"/>
      <c r="G206" s="222"/>
    </row>
    <row r="207" spans="2:7" ht="12.75">
      <c r="B207" s="70"/>
      <c r="C207" s="70"/>
      <c r="D207" s="12"/>
      <c r="F207" s="12"/>
      <c r="G207" s="222"/>
    </row>
    <row r="208" spans="2:7" ht="12.75">
      <c r="B208" s="70"/>
      <c r="C208" s="70"/>
      <c r="D208" s="12"/>
      <c r="F208" s="12"/>
      <c r="G208" s="222"/>
    </row>
    <row r="209" spans="2:7" ht="12.75">
      <c r="B209" s="70"/>
      <c r="C209" s="70"/>
      <c r="D209" s="12"/>
      <c r="F209" s="12"/>
      <c r="G209" s="222"/>
    </row>
    <row r="210" spans="2:7" ht="12.75">
      <c r="B210" s="70"/>
      <c r="C210" s="70"/>
      <c r="D210" s="12"/>
      <c r="F210" s="12"/>
      <c r="G210" s="222"/>
    </row>
    <row r="211" spans="2:7" ht="12.75">
      <c r="B211" s="70"/>
      <c r="C211" s="70"/>
      <c r="D211" s="12"/>
      <c r="F211" s="12"/>
      <c r="G211" s="222"/>
    </row>
    <row r="212" spans="2:7" ht="12.75">
      <c r="B212" s="70"/>
      <c r="C212" s="70"/>
      <c r="D212" s="12"/>
      <c r="F212" s="12"/>
      <c r="G212" s="222"/>
    </row>
    <row r="213" spans="2:7" ht="12.75">
      <c r="B213" s="70"/>
      <c r="C213" s="70"/>
      <c r="D213" s="12"/>
      <c r="F213" s="12"/>
      <c r="G213" s="222"/>
    </row>
    <row r="214" spans="2:7" ht="12.75">
      <c r="B214" s="70"/>
      <c r="C214" s="70"/>
      <c r="D214" s="12"/>
      <c r="F214" s="12"/>
      <c r="G214" s="222"/>
    </row>
    <row r="215" spans="2:7" ht="12.75">
      <c r="B215" s="70"/>
      <c r="C215" s="70"/>
      <c r="D215" s="12"/>
      <c r="F215" s="12"/>
      <c r="G215" s="222"/>
    </row>
    <row r="216" spans="2:7" ht="12.75">
      <c r="B216" s="70"/>
      <c r="C216" s="70"/>
      <c r="D216" s="12"/>
      <c r="F216" s="12"/>
      <c r="G216" s="222"/>
    </row>
    <row r="217" spans="2:7" ht="12.75">
      <c r="B217" s="70"/>
      <c r="C217" s="70"/>
      <c r="D217" s="12"/>
      <c r="F217" s="12"/>
      <c r="G217" s="222"/>
    </row>
    <row r="218" spans="2:7" ht="12.75">
      <c r="B218" s="70"/>
      <c r="C218" s="70"/>
      <c r="D218" s="12"/>
      <c r="F218" s="12"/>
      <c r="G218" s="222"/>
    </row>
    <row r="219" spans="2:7" ht="12.75">
      <c r="B219" s="70"/>
      <c r="C219" s="70"/>
      <c r="D219" s="12"/>
      <c r="F219" s="12"/>
      <c r="G219" s="222"/>
    </row>
    <row r="220" spans="2:7" ht="12.75">
      <c r="B220" s="70"/>
      <c r="C220" s="70"/>
      <c r="D220" s="12"/>
      <c r="F220" s="12"/>
      <c r="G220" s="222"/>
    </row>
    <row r="221" spans="2:7" ht="12.75">
      <c r="B221" s="70"/>
      <c r="C221" s="70"/>
      <c r="D221" s="12"/>
      <c r="F221" s="12"/>
      <c r="G221" s="222"/>
    </row>
    <row r="222" spans="2:7" ht="12.75">
      <c r="B222" s="70"/>
      <c r="C222" s="70"/>
      <c r="D222" s="12"/>
      <c r="F222" s="12"/>
      <c r="G222" s="222"/>
    </row>
    <row r="223" spans="2:7" ht="12.75">
      <c r="B223" s="70"/>
      <c r="C223" s="70"/>
      <c r="D223" s="12"/>
      <c r="F223" s="12"/>
      <c r="G223" s="222"/>
    </row>
    <row r="224" spans="2:7" ht="12.75">
      <c r="B224" s="70"/>
      <c r="C224" s="70"/>
      <c r="D224" s="12"/>
      <c r="F224" s="12"/>
      <c r="G224" s="222"/>
    </row>
    <row r="225" spans="2:7" ht="12.75">
      <c r="B225" s="70"/>
      <c r="C225" s="70"/>
      <c r="D225" s="12"/>
      <c r="F225" s="12"/>
      <c r="G225" s="222"/>
    </row>
    <row r="226" spans="2:7" ht="12.75">
      <c r="B226" s="70"/>
      <c r="C226" s="70"/>
      <c r="D226" s="12"/>
      <c r="F226" s="12"/>
      <c r="G226" s="222"/>
    </row>
    <row r="227" spans="2:7" ht="12.75">
      <c r="B227" s="70"/>
      <c r="C227" s="70"/>
      <c r="D227" s="12"/>
      <c r="F227" s="12"/>
      <c r="G227" s="222"/>
    </row>
    <row r="228" spans="2:7" ht="12.75">
      <c r="B228" s="70"/>
      <c r="C228" s="70"/>
      <c r="D228" s="12"/>
      <c r="F228" s="12"/>
      <c r="G228" s="222"/>
    </row>
    <row r="229" spans="2:7" ht="12.75">
      <c r="B229" s="70"/>
      <c r="C229" s="70"/>
      <c r="D229" s="12"/>
      <c r="F229" s="12"/>
      <c r="G229" s="222"/>
    </row>
    <row r="230" spans="2:7" ht="12.75">
      <c r="B230" s="70"/>
      <c r="C230" s="70"/>
      <c r="D230" s="12"/>
      <c r="F230" s="12"/>
      <c r="G230" s="222"/>
    </row>
    <row r="231" spans="2:7" ht="12.75">
      <c r="B231" s="70"/>
      <c r="C231" s="70"/>
      <c r="D231" s="12"/>
      <c r="F231" s="12"/>
      <c r="G231" s="222"/>
    </row>
    <row r="232" spans="2:7" ht="12.75">
      <c r="B232" s="70"/>
      <c r="C232" s="70"/>
      <c r="D232" s="12"/>
      <c r="F232" s="12"/>
      <c r="G232" s="222"/>
    </row>
    <row r="233" spans="2:7" ht="12.75">
      <c r="B233" s="70"/>
      <c r="C233" s="70"/>
      <c r="D233" s="12"/>
      <c r="F233" s="12"/>
      <c r="G233" s="222"/>
    </row>
    <row r="234" spans="2:7" ht="12.75">
      <c r="B234" s="70"/>
      <c r="C234" s="70"/>
      <c r="D234" s="12"/>
      <c r="F234" s="12"/>
      <c r="G234" s="222"/>
    </row>
    <row r="235" spans="2:7" ht="12.75">
      <c r="B235" s="70"/>
      <c r="C235" s="70"/>
      <c r="D235" s="12"/>
      <c r="F235" s="12"/>
      <c r="G235" s="222"/>
    </row>
    <row r="236" spans="2:7" ht="12.75">
      <c r="B236" s="70"/>
      <c r="C236" s="70"/>
      <c r="D236" s="12"/>
      <c r="F236" s="12"/>
      <c r="G236" s="222"/>
    </row>
    <row r="237" spans="2:7" ht="12.75">
      <c r="B237" s="70"/>
      <c r="C237" s="70"/>
      <c r="D237" s="12"/>
      <c r="F237" s="12"/>
      <c r="G237" s="222"/>
    </row>
    <row r="238" spans="2:7" ht="12.75">
      <c r="B238" s="70"/>
      <c r="C238" s="70"/>
      <c r="D238" s="12"/>
      <c r="F238" s="12"/>
      <c r="G238" s="222"/>
    </row>
    <row r="239" spans="2:7" ht="12.75">
      <c r="B239" s="70"/>
      <c r="C239" s="70"/>
      <c r="D239" s="12"/>
      <c r="F239" s="12"/>
      <c r="G239" s="222"/>
    </row>
    <row r="240" spans="2:7" ht="12.75">
      <c r="B240" s="70"/>
      <c r="C240" s="70"/>
      <c r="D240" s="12"/>
      <c r="F240" s="12"/>
      <c r="G240" s="222"/>
    </row>
    <row r="241" spans="2:7" ht="12.75">
      <c r="B241" s="70"/>
      <c r="C241" s="70"/>
      <c r="D241" s="12"/>
      <c r="F241" s="12"/>
      <c r="G241" s="222"/>
    </row>
    <row r="242" spans="2:7" ht="12.75">
      <c r="B242" s="70"/>
      <c r="C242" s="70"/>
      <c r="D242" s="12"/>
      <c r="F242" s="12"/>
      <c r="G242" s="222"/>
    </row>
    <row r="243" spans="2:7" ht="12.75">
      <c r="B243" s="70"/>
      <c r="C243" s="70"/>
      <c r="D243" s="12"/>
      <c r="F243" s="12"/>
      <c r="G243" s="222"/>
    </row>
    <row r="244" spans="2:7" ht="12.75">
      <c r="B244" s="70"/>
      <c r="C244" s="70"/>
      <c r="D244" s="12"/>
      <c r="F244" s="12"/>
      <c r="G244" s="222"/>
    </row>
    <row r="245" spans="2:7" ht="12.75">
      <c r="B245" s="70"/>
      <c r="C245" s="70"/>
      <c r="D245" s="12"/>
      <c r="F245" s="12"/>
      <c r="G245" s="222"/>
    </row>
    <row r="246" spans="2:7" ht="12.75">
      <c r="B246" s="70"/>
      <c r="C246" s="70"/>
      <c r="D246" s="12"/>
      <c r="F246" s="12"/>
      <c r="G246" s="222"/>
    </row>
    <row r="247" spans="2:7" ht="12.75">
      <c r="B247" s="70"/>
      <c r="C247" s="70"/>
      <c r="D247" s="12"/>
      <c r="F247" s="12"/>
      <c r="G247" s="222"/>
    </row>
    <row r="248" spans="2:7" ht="12.75">
      <c r="B248" s="70"/>
      <c r="C248" s="70"/>
      <c r="D248" s="12"/>
      <c r="F248" s="12"/>
      <c r="G248" s="222"/>
    </row>
    <row r="249" spans="2:7" ht="12.75">
      <c r="B249" s="70"/>
      <c r="C249" s="70"/>
      <c r="D249" s="12"/>
      <c r="F249" s="12"/>
      <c r="G249" s="222"/>
    </row>
    <row r="250" spans="2:7" ht="12.75">
      <c r="B250" s="70"/>
      <c r="C250" s="70"/>
      <c r="D250" s="12"/>
      <c r="F250" s="12"/>
      <c r="G250" s="222"/>
    </row>
    <row r="251" spans="2:7" ht="12.75">
      <c r="B251" s="70"/>
      <c r="C251" s="70"/>
      <c r="D251" s="12"/>
      <c r="F251" s="12"/>
      <c r="G251" s="222"/>
    </row>
    <row r="252" spans="2:7" ht="12.75">
      <c r="B252" s="70"/>
      <c r="C252" s="70"/>
      <c r="D252" s="12"/>
      <c r="F252" s="12"/>
      <c r="G252" s="222"/>
    </row>
    <row r="253" spans="2:7" ht="12.75">
      <c r="B253" s="70"/>
      <c r="C253" s="70"/>
      <c r="D253" s="12"/>
      <c r="F253" s="12"/>
      <c r="G253" s="222"/>
    </row>
    <row r="254" spans="2:7" ht="12.75">
      <c r="B254" s="70"/>
      <c r="C254" s="70"/>
      <c r="D254" s="12"/>
      <c r="F254" s="12"/>
      <c r="G254" s="222"/>
    </row>
    <row r="255" spans="2:7" ht="12.75">
      <c r="B255" s="70"/>
      <c r="C255" s="70"/>
      <c r="D255" s="12"/>
      <c r="F255" s="12"/>
      <c r="G255" s="222"/>
    </row>
    <row r="256" spans="2:7" ht="12.75">
      <c r="B256" s="70"/>
      <c r="C256" s="70"/>
      <c r="D256" s="12"/>
      <c r="F256" s="12"/>
      <c r="G256" s="222"/>
    </row>
    <row r="257" spans="2:7" ht="12.75">
      <c r="B257" s="70"/>
      <c r="C257" s="70"/>
      <c r="D257" s="12"/>
      <c r="F257" s="12"/>
      <c r="G257" s="222"/>
    </row>
    <row r="258" spans="2:7" ht="12.75">
      <c r="B258" s="70"/>
      <c r="C258" s="70"/>
      <c r="D258" s="12"/>
      <c r="F258" s="12"/>
      <c r="G258" s="222"/>
    </row>
    <row r="259" spans="2:7" ht="12.75">
      <c r="B259" s="70"/>
      <c r="C259" s="70"/>
      <c r="D259" s="12"/>
      <c r="F259" s="12"/>
      <c r="G259" s="222"/>
    </row>
    <row r="260" spans="2:7" ht="12.75">
      <c r="B260" s="70"/>
      <c r="C260" s="70"/>
      <c r="D260" s="12"/>
      <c r="F260" s="12"/>
      <c r="G260" s="222"/>
    </row>
    <row r="261" spans="2:7" ht="12.75">
      <c r="B261" s="70"/>
      <c r="C261" s="70"/>
      <c r="D261" s="12"/>
      <c r="F261" s="12"/>
      <c r="G261" s="222"/>
    </row>
    <row r="262" spans="2:7" ht="12.75">
      <c r="B262" s="70"/>
      <c r="C262" s="70"/>
      <c r="D262" s="12"/>
      <c r="F262" s="12"/>
      <c r="G262" s="222"/>
    </row>
    <row r="263" spans="2:7" ht="12.75">
      <c r="B263" s="70"/>
      <c r="C263" s="70"/>
      <c r="D263" s="12"/>
      <c r="F263" s="12"/>
      <c r="G263" s="222"/>
    </row>
    <row r="264" spans="2:7" ht="12.75">
      <c r="B264" s="70"/>
      <c r="C264" s="70"/>
      <c r="D264" s="12"/>
      <c r="F264" s="12"/>
      <c r="G264" s="222"/>
    </row>
    <row r="265" spans="2:7" ht="12.75">
      <c r="B265" s="70"/>
      <c r="C265" s="70"/>
      <c r="D265" s="12"/>
      <c r="F265" s="12"/>
      <c r="G265" s="222"/>
    </row>
    <row r="266" spans="2:7" ht="12.75">
      <c r="B266" s="70"/>
      <c r="C266" s="70"/>
      <c r="D266" s="12"/>
      <c r="F266" s="12"/>
      <c r="G266" s="222"/>
    </row>
    <row r="267" spans="2:7" ht="12.75">
      <c r="B267" s="70"/>
      <c r="C267" s="70"/>
      <c r="D267" s="12"/>
      <c r="F267" s="12"/>
      <c r="G267" s="222"/>
    </row>
    <row r="268" spans="2:7" ht="12.75">
      <c r="B268" s="70"/>
      <c r="C268" s="70"/>
      <c r="D268" s="12"/>
      <c r="F268" s="12"/>
      <c r="G268" s="222"/>
    </row>
    <row r="269" spans="2:7" ht="12.75">
      <c r="B269" s="70"/>
      <c r="C269" s="70"/>
      <c r="D269" s="12"/>
      <c r="F269" s="12"/>
      <c r="G269" s="222"/>
    </row>
    <row r="270" spans="2:7" ht="12.75">
      <c r="B270" s="70"/>
      <c r="C270" s="70"/>
      <c r="D270" s="12"/>
      <c r="F270" s="12"/>
      <c r="G270" s="222"/>
    </row>
    <row r="271" spans="2:7" ht="12.75">
      <c r="B271" s="70"/>
      <c r="C271" s="70"/>
      <c r="D271" s="12"/>
      <c r="F271" s="12"/>
      <c r="G271" s="222"/>
    </row>
    <row r="272" spans="2:7" ht="12.75">
      <c r="B272" s="70"/>
      <c r="C272" s="70"/>
      <c r="D272" s="12"/>
      <c r="F272" s="12"/>
      <c r="G272" s="222"/>
    </row>
    <row r="273" spans="2:7" ht="12.75">
      <c r="B273" s="70"/>
      <c r="C273" s="70"/>
      <c r="D273" s="12"/>
      <c r="F273" s="12"/>
      <c r="G273" s="222"/>
    </row>
    <row r="274" spans="2:7" ht="12.75">
      <c r="B274" s="70"/>
      <c r="C274" s="70"/>
      <c r="D274" s="12"/>
      <c r="F274" s="12"/>
      <c r="G274" s="222"/>
    </row>
    <row r="275" spans="2:7" ht="12.75">
      <c r="B275" s="70"/>
      <c r="C275" s="70"/>
      <c r="D275" s="12"/>
      <c r="F275" s="12"/>
      <c r="G275" s="222"/>
    </row>
    <row r="276" spans="2:7" ht="12.75">
      <c r="B276" s="70"/>
      <c r="C276" s="70"/>
      <c r="D276" s="12"/>
      <c r="F276" s="12"/>
      <c r="G276" s="222"/>
    </row>
    <row r="277" spans="2:7" ht="12.75">
      <c r="B277" s="70"/>
      <c r="C277" s="70"/>
      <c r="D277" s="12"/>
      <c r="F277" s="12"/>
      <c r="G277" s="222"/>
    </row>
    <row r="278" spans="2:7" ht="12.75">
      <c r="B278" s="70"/>
      <c r="C278" s="70"/>
      <c r="D278" s="12"/>
      <c r="F278" s="12"/>
      <c r="G278" s="222"/>
    </row>
    <row r="279" spans="2:7" ht="12.75">
      <c r="B279" s="70"/>
      <c r="C279" s="70"/>
      <c r="D279" s="12"/>
      <c r="F279" s="12"/>
      <c r="G279" s="222"/>
    </row>
    <row r="280" spans="2:7" ht="12.75">
      <c r="B280" s="70"/>
      <c r="C280" s="70"/>
      <c r="D280" s="12"/>
      <c r="F280" s="12"/>
      <c r="G280" s="222"/>
    </row>
    <row r="281" spans="2:7" ht="12.75">
      <c r="B281" s="70"/>
      <c r="C281" s="70"/>
      <c r="D281" s="12"/>
      <c r="F281" s="12"/>
      <c r="G281" s="222"/>
    </row>
    <row r="282" spans="2:7" ht="12.75">
      <c r="B282" s="70"/>
      <c r="C282" s="70"/>
      <c r="D282" s="12"/>
      <c r="F282" s="12"/>
      <c r="G282" s="222"/>
    </row>
    <row r="283" spans="2:7" ht="12.75">
      <c r="B283" s="70"/>
      <c r="C283" s="70"/>
      <c r="D283" s="12"/>
      <c r="F283" s="12"/>
      <c r="G283" s="222"/>
    </row>
    <row r="284" spans="2:7" ht="12.75">
      <c r="B284" s="70"/>
      <c r="C284" s="70"/>
      <c r="D284" s="12"/>
      <c r="F284" s="12"/>
      <c r="G284" s="222"/>
    </row>
    <row r="285" spans="2:7" ht="12.75">
      <c r="B285" s="70"/>
      <c r="C285" s="70"/>
      <c r="D285" s="12"/>
      <c r="F285" s="12"/>
      <c r="G285" s="222"/>
    </row>
    <row r="286" spans="2:7" ht="12.75">
      <c r="B286" s="70"/>
      <c r="C286" s="70"/>
      <c r="D286" s="12"/>
      <c r="F286" s="12"/>
      <c r="G286" s="222"/>
    </row>
    <row r="287" spans="2:7" ht="12.75">
      <c r="B287" s="70"/>
      <c r="C287" s="70"/>
      <c r="D287" s="12"/>
      <c r="F287" s="12"/>
      <c r="G287" s="222"/>
    </row>
    <row r="288" spans="2:7" ht="12.75">
      <c r="B288" s="70"/>
      <c r="C288" s="70"/>
      <c r="D288" s="12"/>
      <c r="F288" s="12"/>
      <c r="G288" s="222"/>
    </row>
    <row r="289" spans="2:7" ht="12.75">
      <c r="B289" s="70"/>
      <c r="C289" s="70"/>
      <c r="D289" s="12"/>
      <c r="F289" s="12"/>
      <c r="G289" s="222"/>
    </row>
    <row r="290" spans="2:7" ht="12.75">
      <c r="B290" s="70"/>
      <c r="C290" s="70"/>
      <c r="D290" s="12"/>
      <c r="F290" s="12"/>
      <c r="G290" s="222"/>
    </row>
    <row r="291" spans="2:7" ht="12.75">
      <c r="B291" s="70"/>
      <c r="C291" s="70"/>
      <c r="D291" s="12"/>
      <c r="F291" s="12"/>
      <c r="G291" s="222"/>
    </row>
    <row r="292" spans="2:7" ht="12.75">
      <c r="B292" s="70"/>
      <c r="C292" s="70"/>
      <c r="D292" s="12"/>
      <c r="F292" s="12"/>
      <c r="G292" s="222"/>
    </row>
    <row r="293" spans="2:7" ht="12.75">
      <c r="B293" s="70"/>
      <c r="C293" s="70"/>
      <c r="D293" s="12"/>
      <c r="F293" s="12"/>
      <c r="G293" s="222"/>
    </row>
    <row r="294" spans="2:7" ht="12.75">
      <c r="B294" s="70"/>
      <c r="C294" s="70"/>
      <c r="D294" s="12"/>
      <c r="F294" s="12"/>
      <c r="G294" s="222"/>
    </row>
    <row r="295" spans="2:7" ht="12.75">
      <c r="B295" s="70"/>
      <c r="C295" s="70"/>
      <c r="D295" s="12"/>
      <c r="F295" s="12"/>
      <c r="G295" s="222"/>
    </row>
    <row r="296" spans="2:7" ht="12.75">
      <c r="B296" s="70"/>
      <c r="C296" s="70"/>
      <c r="D296" s="12"/>
      <c r="F296" s="12"/>
      <c r="G296" s="222"/>
    </row>
    <row r="297" spans="2:7" ht="12.75">
      <c r="B297" s="70"/>
      <c r="C297" s="70"/>
      <c r="D297" s="12"/>
      <c r="F297" s="12"/>
      <c r="G297" s="222"/>
    </row>
    <row r="298" spans="2:7" ht="12.75">
      <c r="B298" s="70"/>
      <c r="C298" s="70"/>
      <c r="D298" s="12"/>
      <c r="F298" s="12"/>
      <c r="G298" s="222"/>
    </row>
    <row r="299" spans="2:7" ht="12.75">
      <c r="B299" s="70"/>
      <c r="C299" s="70"/>
      <c r="D299" s="12"/>
      <c r="F299" s="12"/>
      <c r="G299" s="222"/>
    </row>
    <row r="300" spans="2:7" ht="12.75">
      <c r="B300" s="70"/>
      <c r="C300" s="70"/>
      <c r="D300" s="12"/>
      <c r="F300" s="12"/>
      <c r="G300" s="222"/>
    </row>
    <row r="301" spans="2:7" ht="12.75">
      <c r="B301" s="70"/>
      <c r="C301" s="70"/>
      <c r="D301" s="12"/>
      <c r="F301" s="12"/>
      <c r="G301" s="222"/>
    </row>
    <row r="302" spans="2:7" ht="12.75">
      <c r="B302" s="70"/>
      <c r="C302" s="70"/>
      <c r="D302" s="12"/>
      <c r="F302" s="12"/>
      <c r="G302" s="222"/>
    </row>
    <row r="303" spans="2:7" ht="12.75">
      <c r="B303" s="70"/>
      <c r="C303" s="70"/>
      <c r="D303" s="12"/>
      <c r="F303" s="12"/>
      <c r="G303" s="222"/>
    </row>
    <row r="304" spans="2:7" ht="12.75">
      <c r="B304" s="70"/>
      <c r="C304" s="70"/>
      <c r="D304" s="12"/>
      <c r="F304" s="12"/>
      <c r="G304" s="222"/>
    </row>
    <row r="305" spans="2:7" ht="12.75">
      <c r="B305" s="70"/>
      <c r="C305" s="70"/>
      <c r="D305" s="12"/>
      <c r="F305" s="12"/>
      <c r="G305" s="222"/>
    </row>
    <row r="306" spans="2:7" ht="12.75">
      <c r="B306" s="70"/>
      <c r="C306" s="70"/>
      <c r="D306" s="12"/>
      <c r="F306" s="12"/>
      <c r="G306" s="222"/>
    </row>
    <row r="307" spans="2:7" ht="12.75">
      <c r="B307" s="70"/>
      <c r="C307" s="70"/>
      <c r="D307" s="12"/>
      <c r="F307" s="12"/>
      <c r="G307" s="222"/>
    </row>
    <row r="308" spans="2:7" ht="12.75">
      <c r="B308" s="70"/>
      <c r="C308" s="70"/>
      <c r="D308" s="12"/>
      <c r="F308" s="12"/>
      <c r="G308" s="222"/>
    </row>
    <row r="309" spans="2:7" ht="12.75">
      <c r="B309" s="70"/>
      <c r="C309" s="70"/>
      <c r="D309" s="12"/>
      <c r="F309" s="12"/>
      <c r="G309" s="222"/>
    </row>
    <row r="310" spans="2:7" ht="12.75">
      <c r="B310" s="70"/>
      <c r="C310" s="70"/>
      <c r="D310" s="12"/>
      <c r="F310" s="12"/>
      <c r="G310" s="222"/>
    </row>
    <row r="311" spans="2:7" ht="12.75">
      <c r="B311" s="70"/>
      <c r="C311" s="70"/>
      <c r="D311" s="12"/>
      <c r="F311" s="12"/>
      <c r="G311" s="222"/>
    </row>
    <row r="312" spans="2:7" ht="12.75">
      <c r="B312" s="70"/>
      <c r="C312" s="70"/>
      <c r="D312" s="12"/>
      <c r="F312" s="12"/>
      <c r="G312" s="222"/>
    </row>
    <row r="313" spans="2:7" ht="12.75">
      <c r="B313" s="70"/>
      <c r="C313" s="70"/>
      <c r="D313" s="12"/>
      <c r="F313" s="12"/>
      <c r="G313" s="222"/>
    </row>
    <row r="314" spans="2:7" ht="12.75">
      <c r="B314" s="70"/>
      <c r="C314" s="70"/>
      <c r="D314" s="12"/>
      <c r="F314" s="12"/>
      <c r="G314" s="222"/>
    </row>
    <row r="315" spans="2:7" ht="12.75">
      <c r="B315" s="70"/>
      <c r="C315" s="70"/>
      <c r="D315" s="12"/>
      <c r="F315" s="12"/>
      <c r="G315" s="222"/>
    </row>
    <row r="316" spans="2:7" ht="12.75">
      <c r="B316" s="70"/>
      <c r="C316" s="70"/>
      <c r="D316" s="12"/>
      <c r="F316" s="12"/>
      <c r="G316" s="222"/>
    </row>
    <row r="317" spans="2:7" ht="12.75">
      <c r="B317" s="70"/>
      <c r="C317" s="70"/>
      <c r="D317" s="12"/>
      <c r="F317" s="12"/>
      <c r="G317" s="222"/>
    </row>
    <row r="318" spans="2:7" ht="12.75">
      <c r="B318" s="70"/>
      <c r="C318" s="70"/>
      <c r="D318" s="12"/>
      <c r="F318" s="12"/>
      <c r="G318" s="222"/>
    </row>
    <row r="319" spans="2:7" ht="12.75">
      <c r="B319" s="70"/>
      <c r="C319" s="70"/>
      <c r="D319" s="12"/>
      <c r="F319" s="12"/>
      <c r="G319" s="222"/>
    </row>
    <row r="320" spans="2:7" ht="12.75">
      <c r="B320" s="70"/>
      <c r="C320" s="70"/>
      <c r="D320" s="12"/>
      <c r="F320" s="12"/>
      <c r="G320" s="222"/>
    </row>
    <row r="321" spans="2:7" ht="12.75">
      <c r="B321" s="70"/>
      <c r="C321" s="70"/>
      <c r="D321" s="12"/>
      <c r="F321" s="12"/>
      <c r="G321" s="222"/>
    </row>
    <row r="322" spans="2:7" ht="12.75">
      <c r="B322" s="70"/>
      <c r="C322" s="70"/>
      <c r="D322" s="12"/>
      <c r="F322" s="12"/>
      <c r="G322" s="222"/>
    </row>
    <row r="323" spans="2:7" ht="12.75">
      <c r="B323" s="70"/>
      <c r="C323" s="70"/>
      <c r="D323" s="12"/>
      <c r="F323" s="12"/>
      <c r="G323" s="222"/>
    </row>
    <row r="324" spans="2:7" ht="12.75">
      <c r="B324" s="70"/>
      <c r="C324" s="70"/>
      <c r="D324" s="12"/>
      <c r="F324" s="12"/>
      <c r="G324" s="222"/>
    </row>
    <row r="325" spans="2:7" ht="12.75">
      <c r="B325" s="70"/>
      <c r="C325" s="70"/>
      <c r="D325" s="12"/>
      <c r="F325" s="12"/>
      <c r="G325" s="222"/>
    </row>
    <row r="326" spans="2:7" ht="12.75">
      <c r="B326" s="70"/>
      <c r="C326" s="70"/>
      <c r="D326" s="12"/>
      <c r="F326" s="12"/>
      <c r="G326" s="222"/>
    </row>
    <row r="327" spans="2:7" ht="12.75">
      <c r="B327" s="70"/>
      <c r="C327" s="70"/>
      <c r="D327" s="12"/>
      <c r="F327" s="12"/>
      <c r="G327" s="222"/>
    </row>
    <row r="328" spans="2:7" ht="12.75">
      <c r="B328" s="70"/>
      <c r="C328" s="70"/>
      <c r="D328" s="12"/>
      <c r="F328" s="12"/>
      <c r="G328" s="222"/>
    </row>
    <row r="329" spans="2:7" ht="12.75">
      <c r="B329" s="70"/>
      <c r="C329" s="70"/>
      <c r="D329" s="12"/>
      <c r="F329" s="12"/>
      <c r="G329" s="222"/>
    </row>
    <row r="330" spans="2:7" ht="12.75">
      <c r="B330" s="70"/>
      <c r="C330" s="70"/>
      <c r="D330" s="12"/>
      <c r="F330" s="12"/>
      <c r="G330" s="222"/>
    </row>
    <row r="331" spans="2:7" ht="12.75">
      <c r="B331" s="70"/>
      <c r="C331" s="70"/>
      <c r="D331" s="12"/>
      <c r="F331" s="12"/>
      <c r="G331" s="222"/>
    </row>
    <row r="332" spans="2:7" ht="12.75">
      <c r="B332" s="70"/>
      <c r="C332" s="70"/>
      <c r="D332" s="12"/>
      <c r="F332" s="12"/>
      <c r="G332" s="222"/>
    </row>
    <row r="333" spans="2:7" ht="12.75">
      <c r="B333" s="70"/>
      <c r="C333" s="70"/>
      <c r="D333" s="12"/>
      <c r="F333" s="12"/>
      <c r="G333" s="222"/>
    </row>
    <row r="334" spans="2:7" ht="12.75">
      <c r="B334" s="70"/>
      <c r="C334" s="70"/>
      <c r="D334" s="12"/>
      <c r="F334" s="12"/>
      <c r="G334" s="222"/>
    </row>
    <row r="335" spans="2:7" ht="12.75">
      <c r="B335" s="70"/>
      <c r="C335" s="70"/>
      <c r="D335" s="12"/>
      <c r="F335" s="12"/>
      <c r="G335" s="222"/>
    </row>
    <row r="336" spans="2:7" ht="12.75">
      <c r="B336" s="70"/>
      <c r="C336" s="70"/>
      <c r="D336" s="12"/>
      <c r="F336" s="12"/>
      <c r="G336" s="222"/>
    </row>
    <row r="337" spans="2:7" ht="12.75">
      <c r="B337" s="70"/>
      <c r="C337" s="70"/>
      <c r="D337" s="12"/>
      <c r="F337" s="12"/>
      <c r="G337" s="222"/>
    </row>
    <row r="338" spans="2:7" ht="12.75">
      <c r="B338" s="70"/>
      <c r="C338" s="70"/>
      <c r="D338" s="12"/>
      <c r="F338" s="12"/>
      <c r="G338" s="222"/>
    </row>
    <row r="339" spans="2:7" ht="12.75">
      <c r="B339" s="70"/>
      <c r="C339" s="70"/>
      <c r="D339" s="12"/>
      <c r="F339" s="12"/>
      <c r="G339" s="222"/>
    </row>
    <row r="340" spans="2:7" ht="12.75">
      <c r="B340" s="70"/>
      <c r="C340" s="70"/>
      <c r="D340" s="12"/>
      <c r="F340" s="12"/>
      <c r="G340" s="222"/>
    </row>
    <row r="341" spans="2:7" ht="12.75">
      <c r="B341" s="70"/>
      <c r="C341" s="70"/>
      <c r="D341" s="12"/>
      <c r="F341" s="12"/>
      <c r="G341" s="222"/>
    </row>
    <row r="342" spans="2:7" ht="12.75">
      <c r="B342" s="70"/>
      <c r="C342" s="70"/>
      <c r="D342" s="12"/>
      <c r="F342" s="12"/>
      <c r="G342" s="222"/>
    </row>
    <row r="343" spans="2:7" ht="12.75">
      <c r="B343" s="70"/>
      <c r="C343" s="70"/>
      <c r="D343" s="12"/>
      <c r="F343" s="12"/>
      <c r="G343" s="222"/>
    </row>
    <row r="344" spans="2:7" ht="12.75">
      <c r="B344" s="70"/>
      <c r="C344" s="70"/>
      <c r="D344" s="12"/>
      <c r="F344" s="12"/>
      <c r="G344" s="222"/>
    </row>
    <row r="345" spans="2:7" ht="12.75">
      <c r="B345" s="70"/>
      <c r="C345" s="70"/>
      <c r="D345" s="12"/>
      <c r="F345" s="12"/>
      <c r="G345" s="222"/>
    </row>
    <row r="346" spans="2:7" ht="12.75">
      <c r="B346" s="70"/>
      <c r="C346" s="70"/>
      <c r="D346" s="12"/>
      <c r="F346" s="12"/>
      <c r="G346" s="222"/>
    </row>
    <row r="347" spans="2:7" ht="12.75">
      <c r="B347" s="70"/>
      <c r="C347" s="70"/>
      <c r="D347" s="12"/>
      <c r="F347" s="12"/>
      <c r="G347" s="222"/>
    </row>
    <row r="348" spans="2:7" ht="12.75">
      <c r="B348" s="70"/>
      <c r="C348" s="70"/>
      <c r="D348" s="12"/>
      <c r="F348" s="12"/>
      <c r="G348" s="222"/>
    </row>
    <row r="349" spans="2:7" ht="12.75">
      <c r="B349" s="70"/>
      <c r="C349" s="70"/>
      <c r="D349" s="12"/>
      <c r="F349" s="12"/>
      <c r="G349" s="222"/>
    </row>
    <row r="350" spans="2:7" ht="12.75">
      <c r="B350" s="70"/>
      <c r="C350" s="70"/>
      <c r="D350" s="12"/>
      <c r="F350" s="12"/>
      <c r="G350" s="222"/>
    </row>
    <row r="351" spans="2:7" ht="12.75">
      <c r="B351" s="70"/>
      <c r="C351" s="70"/>
      <c r="D351" s="12"/>
      <c r="F351" s="12"/>
      <c r="G351" s="222"/>
    </row>
    <row r="352" spans="2:7" ht="12.75">
      <c r="B352" s="70"/>
      <c r="C352" s="70"/>
      <c r="D352" s="12"/>
      <c r="F352" s="12"/>
      <c r="G352" s="222"/>
    </row>
    <row r="353" spans="2:7" ht="12.75">
      <c r="B353" s="70"/>
      <c r="C353" s="70"/>
      <c r="D353" s="12"/>
      <c r="F353" s="12"/>
      <c r="G353" s="222"/>
    </row>
    <row r="354" spans="2:7" ht="12.75">
      <c r="B354" s="70"/>
      <c r="C354" s="70"/>
      <c r="D354" s="12"/>
      <c r="F354" s="12"/>
      <c r="G354" s="222"/>
    </row>
    <row r="355" spans="2:7" ht="12.75">
      <c r="B355" s="70"/>
      <c r="C355" s="70"/>
      <c r="D355" s="12"/>
      <c r="F355" s="12"/>
      <c r="G355" s="222"/>
    </row>
    <row r="356" spans="2:7" ht="12.75">
      <c r="B356" s="70"/>
      <c r="C356" s="70"/>
      <c r="D356" s="12"/>
      <c r="F356" s="12"/>
      <c r="G356" s="222"/>
    </row>
    <row r="357" spans="2:7" ht="12.75">
      <c r="B357" s="70"/>
      <c r="C357" s="70"/>
      <c r="D357" s="12"/>
      <c r="F357" s="12"/>
      <c r="G357" s="222"/>
    </row>
    <row r="358" spans="2:7" ht="12.75">
      <c r="B358" s="70"/>
      <c r="C358" s="70"/>
      <c r="D358" s="12"/>
      <c r="F358" s="12"/>
      <c r="G358" s="222"/>
    </row>
    <row r="359" spans="2:7" ht="12.75">
      <c r="B359" s="70"/>
      <c r="C359" s="70"/>
      <c r="D359" s="12"/>
      <c r="F359" s="12"/>
      <c r="G359" s="222"/>
    </row>
    <row r="360" spans="2:7" ht="12.75">
      <c r="B360" s="70"/>
      <c r="C360" s="70"/>
      <c r="D360" s="12"/>
      <c r="F360" s="12"/>
      <c r="G360" s="222"/>
    </row>
    <row r="361" spans="2:7" ht="12.75">
      <c r="B361" s="70"/>
      <c r="C361" s="70"/>
      <c r="D361" s="12"/>
      <c r="F361" s="12"/>
      <c r="G361" s="222"/>
    </row>
    <row r="362" spans="2:7" ht="12.75">
      <c r="B362" s="70"/>
      <c r="C362" s="70"/>
      <c r="D362" s="12"/>
      <c r="F362" s="12"/>
      <c r="G362" s="222"/>
    </row>
    <row r="363" spans="2:7" ht="12.75">
      <c r="B363" s="70"/>
      <c r="C363" s="70"/>
      <c r="D363" s="12"/>
      <c r="F363" s="12"/>
      <c r="G363" s="222"/>
    </row>
    <row r="364" spans="2:7" ht="12.75">
      <c r="B364" s="70"/>
      <c r="C364" s="70"/>
      <c r="D364" s="12"/>
      <c r="F364" s="12"/>
      <c r="G364" s="222"/>
    </row>
    <row r="365" spans="2:7" ht="12.75">
      <c r="B365" s="70"/>
      <c r="C365" s="70"/>
      <c r="D365" s="12"/>
      <c r="F365" s="12"/>
      <c r="G365" s="222"/>
    </row>
    <row r="366" spans="2:7" ht="12.75">
      <c r="B366" s="70"/>
      <c r="C366" s="70"/>
      <c r="D366" s="12"/>
      <c r="F366" s="12"/>
      <c r="G366" s="222"/>
    </row>
    <row r="367" spans="2:7" ht="12.75">
      <c r="B367" s="70"/>
      <c r="C367" s="70"/>
      <c r="D367" s="12"/>
      <c r="F367" s="12"/>
      <c r="G367" s="222"/>
    </row>
    <row r="368" spans="2:7" ht="12.75">
      <c r="B368" s="70"/>
      <c r="C368" s="70"/>
      <c r="D368" s="12"/>
      <c r="F368" s="12"/>
      <c r="G368" s="222"/>
    </row>
    <row r="369" spans="2:7" ht="12.75">
      <c r="B369" s="70"/>
      <c r="C369" s="70"/>
      <c r="D369" s="12"/>
      <c r="F369" s="12"/>
      <c r="G369" s="222"/>
    </row>
    <row r="370" spans="2:7" ht="12.75">
      <c r="B370" s="70"/>
      <c r="C370" s="70"/>
      <c r="D370" s="12"/>
      <c r="F370" s="12"/>
      <c r="G370" s="222"/>
    </row>
    <row r="371" spans="2:7" ht="12.75">
      <c r="B371" s="70"/>
      <c r="C371" s="70"/>
      <c r="D371" s="12"/>
      <c r="F371" s="12"/>
      <c r="G371" s="222"/>
    </row>
    <row r="372" spans="2:7" ht="12.75">
      <c r="B372" s="70"/>
      <c r="C372" s="70"/>
      <c r="D372" s="12"/>
      <c r="F372" s="12"/>
      <c r="G372" s="222"/>
    </row>
    <row r="373" spans="2:7" ht="12.75">
      <c r="B373" s="70"/>
      <c r="C373" s="70"/>
      <c r="D373" s="12"/>
      <c r="F373" s="12"/>
      <c r="G373" s="222"/>
    </row>
    <row r="374" spans="2:7" ht="12.75">
      <c r="B374" s="70"/>
      <c r="C374" s="70"/>
      <c r="D374" s="12"/>
      <c r="F374" s="12"/>
      <c r="G374" s="222"/>
    </row>
    <row r="375" spans="2:7" ht="12.75">
      <c r="B375" s="70"/>
      <c r="C375" s="70"/>
      <c r="D375" s="12"/>
      <c r="F375" s="12"/>
      <c r="G375" s="222"/>
    </row>
    <row r="376" spans="2:7" ht="12.75">
      <c r="B376" s="70"/>
      <c r="C376" s="70"/>
      <c r="D376" s="12"/>
      <c r="F376" s="12"/>
      <c r="G376" s="222"/>
    </row>
    <row r="377" spans="2:7" ht="12.75">
      <c r="B377" s="70"/>
      <c r="C377" s="70"/>
      <c r="D377" s="12"/>
      <c r="F377" s="12"/>
      <c r="G377" s="222"/>
    </row>
    <row r="378" spans="2:7" ht="12.75">
      <c r="B378" s="70"/>
      <c r="C378" s="70"/>
      <c r="D378" s="12"/>
      <c r="F378" s="12"/>
      <c r="G378" s="222"/>
    </row>
    <row r="379" spans="2:7" ht="12.75">
      <c r="B379" s="70"/>
      <c r="C379" s="70"/>
      <c r="D379" s="12"/>
      <c r="F379" s="12"/>
      <c r="G379" s="222"/>
    </row>
    <row r="380" spans="2:7" ht="12.75">
      <c r="B380" s="70"/>
      <c r="C380" s="70"/>
      <c r="D380" s="12"/>
      <c r="F380" s="12"/>
      <c r="G380" s="222"/>
    </row>
    <row r="381" spans="2:7" ht="12.75">
      <c r="B381" s="70"/>
      <c r="C381" s="70"/>
      <c r="D381" s="12"/>
      <c r="F381" s="12"/>
      <c r="G381" s="222"/>
    </row>
    <row r="382" spans="2:7" ht="12.75">
      <c r="B382" s="70"/>
      <c r="C382" s="70"/>
      <c r="D382" s="12"/>
      <c r="F382" s="12"/>
      <c r="G382" s="222"/>
    </row>
    <row r="383" spans="2:7" ht="12.75">
      <c r="B383" s="70"/>
      <c r="C383" s="70"/>
      <c r="D383" s="12"/>
      <c r="F383" s="12"/>
      <c r="G383" s="222"/>
    </row>
    <row r="384" spans="2:7" ht="12.75">
      <c r="B384" s="70"/>
      <c r="C384" s="70"/>
      <c r="D384" s="12"/>
      <c r="F384" s="12"/>
      <c r="G384" s="222"/>
    </row>
    <row r="385" spans="2:7" ht="12.75">
      <c r="B385" s="70"/>
      <c r="C385" s="70"/>
      <c r="D385" s="12"/>
      <c r="F385" s="12"/>
      <c r="G385" s="222"/>
    </row>
    <row r="386" spans="2:7" ht="12.75">
      <c r="B386" s="70"/>
      <c r="C386" s="70"/>
      <c r="D386" s="12"/>
      <c r="F386" s="12"/>
      <c r="G386" s="222"/>
    </row>
    <row r="387" spans="2:7" ht="12.75">
      <c r="B387" s="70"/>
      <c r="C387" s="70"/>
      <c r="D387" s="12"/>
      <c r="F387" s="12"/>
      <c r="G387" s="222"/>
    </row>
    <row r="388" spans="2:7" ht="12.75">
      <c r="B388" s="70"/>
      <c r="C388" s="70"/>
      <c r="D388" s="12"/>
      <c r="F388" s="12"/>
      <c r="G388" s="222"/>
    </row>
    <row r="389" spans="2:7" ht="12.75">
      <c r="B389" s="70"/>
      <c r="C389" s="70"/>
      <c r="D389" s="12"/>
      <c r="F389" s="12"/>
      <c r="G389" s="222"/>
    </row>
    <row r="390" spans="2:7" ht="12.75">
      <c r="B390" s="70"/>
      <c r="C390" s="70"/>
      <c r="D390" s="12"/>
      <c r="F390" s="12"/>
      <c r="G390" s="222"/>
    </row>
    <row r="391" spans="2:7" ht="12.75">
      <c r="B391" s="70"/>
      <c r="C391" s="70"/>
      <c r="D391" s="12"/>
      <c r="F391" s="12"/>
      <c r="G391" s="222"/>
    </row>
    <row r="392" spans="2:7" ht="12.75">
      <c r="B392" s="70"/>
      <c r="C392" s="70"/>
      <c r="D392" s="12"/>
      <c r="F392" s="12"/>
      <c r="G392" s="222"/>
    </row>
    <row r="393" spans="2:7" ht="12.75">
      <c r="B393" s="70"/>
      <c r="C393" s="70"/>
      <c r="D393" s="12"/>
      <c r="F393" s="12"/>
      <c r="G393" s="222"/>
    </row>
    <row r="394" spans="2:7" ht="12.75">
      <c r="B394" s="70"/>
      <c r="C394" s="70"/>
      <c r="D394" s="12"/>
      <c r="F394" s="12"/>
      <c r="G394" s="222"/>
    </row>
    <row r="395" spans="2:7" ht="12.75">
      <c r="B395" s="70"/>
      <c r="C395" s="70"/>
      <c r="D395" s="12"/>
      <c r="F395" s="12"/>
      <c r="G395" s="222"/>
    </row>
    <row r="396" spans="2:7" ht="12.75">
      <c r="B396" s="70"/>
      <c r="C396" s="70"/>
      <c r="D396" s="12"/>
      <c r="F396" s="12"/>
      <c r="G396" s="222"/>
    </row>
    <row r="397" spans="2:7" ht="12.75">
      <c r="B397" s="70"/>
      <c r="C397" s="70"/>
      <c r="D397" s="12"/>
      <c r="F397" s="12"/>
      <c r="G397" s="222"/>
    </row>
    <row r="398" spans="2:7" ht="12.75">
      <c r="B398" s="70"/>
      <c r="C398" s="70"/>
      <c r="D398" s="12"/>
      <c r="F398" s="12"/>
      <c r="G398" s="222"/>
    </row>
    <row r="399" spans="2:7" ht="12.75">
      <c r="B399" s="70"/>
      <c r="C399" s="70"/>
      <c r="D399" s="12"/>
      <c r="F399" s="12"/>
      <c r="G399" s="222"/>
    </row>
    <row r="400" spans="2:7" ht="12.75">
      <c r="B400" s="70"/>
      <c r="C400" s="70"/>
      <c r="D400" s="12"/>
      <c r="F400" s="12"/>
      <c r="G400" s="222"/>
    </row>
    <row r="401" spans="2:7" ht="12.75">
      <c r="B401" s="70"/>
      <c r="C401" s="70"/>
      <c r="D401" s="12"/>
      <c r="F401" s="12"/>
      <c r="G401" s="222"/>
    </row>
    <row r="402" spans="2:7" ht="12.75">
      <c r="B402" s="70"/>
      <c r="C402" s="70"/>
      <c r="D402" s="12"/>
      <c r="F402" s="12"/>
      <c r="G402" s="222"/>
    </row>
    <row r="403" spans="2:7" ht="12.75">
      <c r="B403" s="70"/>
      <c r="C403" s="70"/>
      <c r="D403" s="12"/>
      <c r="F403" s="12"/>
      <c r="G403" s="222"/>
    </row>
    <row r="404" spans="2:7" ht="12.75">
      <c r="B404" s="70"/>
      <c r="C404" s="70"/>
      <c r="D404" s="12"/>
      <c r="F404" s="12"/>
      <c r="G404" s="222"/>
    </row>
    <row r="405" spans="2:7" ht="12.75">
      <c r="B405" s="70"/>
      <c r="C405" s="70"/>
      <c r="D405" s="12"/>
      <c r="F405" s="12"/>
      <c r="G405" s="222"/>
    </row>
    <row r="406" spans="2:7" ht="12.75">
      <c r="B406" s="70"/>
      <c r="C406" s="70"/>
      <c r="D406" s="12"/>
      <c r="F406" s="12"/>
      <c r="G406" s="222"/>
    </row>
    <row r="407" spans="2:7" ht="12.75">
      <c r="B407" s="70"/>
      <c r="C407" s="70"/>
      <c r="D407" s="12"/>
      <c r="F407" s="12"/>
      <c r="G407" s="222"/>
    </row>
    <row r="408" spans="2:7" ht="12.75">
      <c r="B408" s="70"/>
      <c r="C408" s="70"/>
      <c r="D408" s="12"/>
      <c r="F408" s="12"/>
      <c r="G408" s="222"/>
    </row>
    <row r="409" spans="2:7" ht="12.75">
      <c r="B409" s="70"/>
      <c r="C409" s="70"/>
      <c r="D409" s="12"/>
      <c r="F409" s="12"/>
      <c r="G409" s="222"/>
    </row>
    <row r="410" spans="2:7" ht="12.75">
      <c r="B410" s="70"/>
      <c r="C410" s="70"/>
      <c r="D410" s="12"/>
      <c r="F410" s="12"/>
      <c r="G410" s="222"/>
    </row>
    <row r="411" spans="2:7" ht="12.75">
      <c r="B411" s="70"/>
      <c r="C411" s="70"/>
      <c r="D411" s="12"/>
      <c r="F411" s="12"/>
      <c r="G411" s="222"/>
    </row>
    <row r="412" spans="2:7" ht="12.75">
      <c r="B412" s="70"/>
      <c r="C412" s="70"/>
      <c r="D412" s="12"/>
      <c r="F412" s="12"/>
      <c r="G412" s="222"/>
    </row>
    <row r="413" spans="2:7" ht="12.75">
      <c r="B413" s="70"/>
      <c r="C413" s="70"/>
      <c r="D413" s="12"/>
      <c r="F413" s="12"/>
      <c r="G413" s="222"/>
    </row>
    <row r="414" spans="2:7" ht="12.75">
      <c r="B414" s="70"/>
      <c r="C414" s="70"/>
      <c r="D414" s="12"/>
      <c r="F414" s="12"/>
      <c r="G414" s="222"/>
    </row>
    <row r="415" spans="2:7" ht="12.75">
      <c r="B415" s="70"/>
      <c r="C415" s="70"/>
      <c r="D415" s="12"/>
      <c r="F415" s="12"/>
      <c r="G415" s="222"/>
    </row>
    <row r="416" spans="2:7" ht="12.75">
      <c r="B416" s="70"/>
      <c r="C416" s="70"/>
      <c r="D416" s="12"/>
      <c r="F416" s="12"/>
      <c r="G416" s="222"/>
    </row>
    <row r="417" spans="2:7" ht="12.75">
      <c r="B417" s="70"/>
      <c r="C417" s="70"/>
      <c r="D417" s="12"/>
      <c r="F417" s="12"/>
      <c r="G417" s="222"/>
    </row>
    <row r="418" spans="2:7" ht="12.75">
      <c r="B418" s="70"/>
      <c r="C418" s="70"/>
      <c r="D418" s="12"/>
      <c r="F418" s="12"/>
      <c r="G418" s="222"/>
    </row>
    <row r="419" spans="2:7" ht="12.75">
      <c r="B419" s="70"/>
      <c r="C419" s="70"/>
      <c r="D419" s="12"/>
      <c r="F419" s="12"/>
      <c r="G419" s="222"/>
    </row>
    <row r="420" spans="2:7" ht="12.75">
      <c r="B420" s="70"/>
      <c r="C420" s="70"/>
      <c r="D420" s="12"/>
      <c r="F420" s="12"/>
      <c r="G420" s="222"/>
    </row>
    <row r="421" spans="2:7" ht="12.75">
      <c r="B421" s="70"/>
      <c r="C421" s="70"/>
      <c r="D421" s="12"/>
      <c r="F421" s="12"/>
      <c r="G421" s="222"/>
    </row>
    <row r="422" spans="2:7" ht="12.75">
      <c r="B422" s="70"/>
      <c r="C422" s="70"/>
      <c r="D422" s="12"/>
      <c r="F422" s="12"/>
      <c r="G422" s="222"/>
    </row>
    <row r="423" spans="2:7" ht="12.75">
      <c r="B423" s="70"/>
      <c r="C423" s="70"/>
      <c r="D423" s="12"/>
      <c r="F423" s="12"/>
      <c r="G423" s="222"/>
    </row>
    <row r="424" spans="2:7" ht="12.75">
      <c r="B424" s="70"/>
      <c r="C424" s="70"/>
      <c r="D424" s="12"/>
      <c r="F424" s="12"/>
      <c r="G424" s="222"/>
    </row>
    <row r="425" spans="2:7" ht="12.75">
      <c r="B425" s="70"/>
      <c r="C425" s="70"/>
      <c r="D425" s="12"/>
      <c r="F425" s="12"/>
      <c r="G425" s="222"/>
    </row>
    <row r="426" spans="2:7" ht="12.75">
      <c r="B426" s="70"/>
      <c r="C426" s="70"/>
      <c r="D426" s="12"/>
      <c r="F426" s="12"/>
      <c r="G426" s="222"/>
    </row>
    <row r="427" spans="2:7" ht="12.75">
      <c r="B427" s="70"/>
      <c r="C427" s="70"/>
      <c r="D427" s="12"/>
      <c r="F427" s="12"/>
      <c r="G427" s="222"/>
    </row>
    <row r="428" spans="2:7" ht="12.75">
      <c r="B428" s="70"/>
      <c r="C428" s="70"/>
      <c r="D428" s="12"/>
      <c r="F428" s="12"/>
      <c r="G428" s="222"/>
    </row>
    <row r="429" spans="2:7" ht="12.75">
      <c r="B429" s="70"/>
      <c r="C429" s="70"/>
      <c r="D429" s="12"/>
      <c r="F429" s="12"/>
      <c r="G429" s="222"/>
    </row>
    <row r="430" spans="2:7" ht="12.75">
      <c r="B430" s="70"/>
      <c r="C430" s="70"/>
      <c r="D430" s="12"/>
      <c r="F430" s="12"/>
      <c r="G430" s="222"/>
    </row>
    <row r="431" spans="2:7" ht="12.75">
      <c r="B431" s="70"/>
      <c r="C431" s="70"/>
      <c r="D431" s="12"/>
      <c r="F431" s="12"/>
      <c r="G431" s="222"/>
    </row>
    <row r="432" spans="2:7" ht="12.75">
      <c r="B432" s="70"/>
      <c r="C432" s="70"/>
      <c r="D432" s="12"/>
      <c r="F432" s="12"/>
      <c r="G432" s="222"/>
    </row>
    <row r="433" spans="2:7" ht="12.75">
      <c r="B433" s="70"/>
      <c r="C433" s="70"/>
      <c r="D433" s="12"/>
      <c r="F433" s="12"/>
      <c r="G433" s="222"/>
    </row>
    <row r="434" spans="2:7" ht="12.75">
      <c r="B434" s="70"/>
      <c r="C434" s="70"/>
      <c r="D434" s="12"/>
      <c r="F434" s="12"/>
      <c r="G434" s="222"/>
    </row>
    <row r="435" spans="2:7" ht="12.75">
      <c r="B435" s="70"/>
      <c r="C435" s="70"/>
      <c r="D435" s="12"/>
      <c r="F435" s="12"/>
      <c r="G435" s="222"/>
    </row>
    <row r="436" spans="2:7" ht="12.75">
      <c r="B436" s="70"/>
      <c r="C436" s="70"/>
      <c r="D436" s="12"/>
      <c r="F436" s="12"/>
      <c r="G436" s="222"/>
    </row>
    <row r="437" spans="2:7" ht="12.75">
      <c r="B437" s="70"/>
      <c r="C437" s="70"/>
      <c r="D437" s="12"/>
      <c r="F437" s="12"/>
      <c r="G437" s="222"/>
    </row>
    <row r="438" spans="2:7" ht="12.75">
      <c r="B438" s="70"/>
      <c r="C438" s="70"/>
      <c r="D438" s="12"/>
      <c r="F438" s="12"/>
      <c r="G438" s="222"/>
    </row>
    <row r="439" spans="2:7" ht="12.75">
      <c r="B439" s="70"/>
      <c r="C439" s="70"/>
      <c r="D439" s="12"/>
      <c r="F439" s="12"/>
      <c r="G439" s="222"/>
    </row>
    <row r="440" spans="2:7" ht="12.75">
      <c r="B440" s="70"/>
      <c r="C440" s="70"/>
      <c r="D440" s="12"/>
      <c r="F440" s="12"/>
      <c r="G440" s="222"/>
    </row>
    <row r="441" spans="2:7" ht="12.75">
      <c r="B441" s="70"/>
      <c r="C441" s="70"/>
      <c r="D441" s="12"/>
      <c r="F441" s="12"/>
      <c r="G441" s="222"/>
    </row>
    <row r="442" spans="2:7" ht="12.75">
      <c r="B442" s="70"/>
      <c r="C442" s="70"/>
      <c r="D442" s="12"/>
      <c r="F442" s="12"/>
      <c r="G442" s="222"/>
    </row>
    <row r="443" spans="2:7" ht="12.75">
      <c r="B443" s="70"/>
      <c r="C443" s="70"/>
      <c r="D443" s="12"/>
      <c r="F443" s="12"/>
      <c r="G443" s="222"/>
    </row>
    <row r="444" spans="2:7" ht="12.75">
      <c r="B444" s="70"/>
      <c r="C444" s="70"/>
      <c r="D444" s="12"/>
      <c r="F444" s="12"/>
      <c r="G444" s="222"/>
    </row>
    <row r="445" spans="2:7" ht="12.75">
      <c r="B445" s="70"/>
      <c r="C445" s="70"/>
      <c r="D445" s="12"/>
      <c r="F445" s="12"/>
      <c r="G445" s="222"/>
    </row>
    <row r="446" spans="2:7" ht="12.75">
      <c r="B446" s="70"/>
      <c r="C446" s="70"/>
      <c r="D446" s="12"/>
      <c r="F446" s="12"/>
      <c r="G446" s="222"/>
    </row>
    <row r="447" spans="2:7" ht="12.75">
      <c r="B447" s="70"/>
      <c r="C447" s="70"/>
      <c r="D447" s="12"/>
      <c r="F447" s="12"/>
      <c r="G447" s="222"/>
    </row>
    <row r="448" spans="2:7" ht="12.75">
      <c r="B448" s="70"/>
      <c r="C448" s="70"/>
      <c r="D448" s="12"/>
      <c r="F448" s="12"/>
      <c r="G448" s="222"/>
    </row>
    <row r="449" spans="2:7" ht="12.75">
      <c r="B449" s="70"/>
      <c r="C449" s="70"/>
      <c r="D449" s="12"/>
      <c r="F449" s="12"/>
      <c r="G449" s="222"/>
    </row>
    <row r="450" spans="2:7" ht="12.75">
      <c r="B450" s="70"/>
      <c r="C450" s="70"/>
      <c r="D450" s="12"/>
      <c r="F450" s="12"/>
      <c r="G450" s="222"/>
    </row>
    <row r="451" spans="2:7" ht="12.75">
      <c r="B451" s="70"/>
      <c r="C451" s="70"/>
      <c r="D451" s="12"/>
      <c r="F451" s="12"/>
      <c r="G451" s="222"/>
    </row>
    <row r="452" spans="2:7" ht="12.75">
      <c r="B452" s="70"/>
      <c r="C452" s="70"/>
      <c r="D452" s="12"/>
      <c r="F452" s="12"/>
      <c r="G452" s="222"/>
    </row>
    <row r="453" spans="2:7" ht="12.75">
      <c r="B453" s="70"/>
      <c r="C453" s="70"/>
      <c r="D453" s="12"/>
      <c r="F453" s="12"/>
      <c r="G453" s="222"/>
    </row>
    <row r="454" spans="2:7" ht="12.75">
      <c r="B454" s="70"/>
      <c r="C454" s="70"/>
      <c r="D454" s="12"/>
      <c r="F454" s="12"/>
      <c r="G454" s="222"/>
    </row>
    <row r="455" spans="2:7" ht="12.75">
      <c r="B455" s="70"/>
      <c r="C455" s="70"/>
      <c r="D455" s="12"/>
      <c r="F455" s="12"/>
      <c r="G455" s="222"/>
    </row>
    <row r="456" spans="2:7" ht="12.75">
      <c r="B456" s="70"/>
      <c r="C456" s="70"/>
      <c r="D456" s="12"/>
      <c r="F456" s="12"/>
      <c r="G456" s="222"/>
    </row>
    <row r="457" spans="2:7" ht="12.75">
      <c r="B457" s="70"/>
      <c r="C457" s="70"/>
      <c r="D457" s="12"/>
      <c r="F457" s="12"/>
      <c r="G457" s="222"/>
    </row>
    <row r="458" spans="2:7" ht="12.75">
      <c r="B458" s="70"/>
      <c r="C458" s="70"/>
      <c r="D458" s="12"/>
      <c r="F458" s="12"/>
      <c r="G458" s="222"/>
    </row>
    <row r="459" spans="2:7" ht="12.75">
      <c r="B459" s="70"/>
      <c r="C459" s="70"/>
      <c r="D459" s="12"/>
      <c r="F459" s="12"/>
      <c r="G459" s="222"/>
    </row>
    <row r="460" spans="2:7" ht="12.75">
      <c r="B460" s="70"/>
      <c r="C460" s="70"/>
      <c r="D460" s="12"/>
      <c r="F460" s="12"/>
      <c r="G460" s="222"/>
    </row>
    <row r="461" spans="2:7" ht="12.75">
      <c r="B461" s="70"/>
      <c r="C461" s="70"/>
      <c r="D461" s="12"/>
      <c r="F461" s="12"/>
      <c r="G461" s="222"/>
    </row>
    <row r="462" spans="2:7" ht="12.75">
      <c r="B462" s="70"/>
      <c r="C462" s="70"/>
      <c r="D462" s="12"/>
      <c r="F462" s="12"/>
      <c r="G462" s="222"/>
    </row>
    <row r="463" spans="2:7" ht="12.75">
      <c r="B463" s="70"/>
      <c r="C463" s="70"/>
      <c r="D463" s="12"/>
      <c r="F463" s="12"/>
      <c r="G463" s="222"/>
    </row>
    <row r="464" spans="2:7" ht="12.75">
      <c r="B464" s="70"/>
      <c r="C464" s="70"/>
      <c r="D464" s="12"/>
      <c r="F464" s="12"/>
      <c r="G464" s="222"/>
    </row>
    <row r="465" spans="2:7" ht="12.75">
      <c r="B465" s="70"/>
      <c r="C465" s="70"/>
      <c r="D465" s="12"/>
      <c r="F465" s="12"/>
      <c r="G465" s="222"/>
    </row>
    <row r="466" spans="2:7" ht="12.75">
      <c r="B466" s="70"/>
      <c r="C466" s="70"/>
      <c r="D466" s="12"/>
      <c r="F466" s="12"/>
      <c r="G466" s="222"/>
    </row>
    <row r="467" spans="2:7" ht="12.75">
      <c r="B467" s="70"/>
      <c r="C467" s="70"/>
      <c r="D467" s="12"/>
      <c r="F467" s="12"/>
      <c r="G467" s="222"/>
    </row>
    <row r="468" spans="2:7" ht="12.75">
      <c r="B468" s="70"/>
      <c r="C468" s="70"/>
      <c r="D468" s="12"/>
      <c r="F468" s="12"/>
      <c r="G468" s="222"/>
    </row>
    <row r="469" spans="2:7" ht="12.75">
      <c r="B469" s="70"/>
      <c r="C469" s="70"/>
      <c r="D469" s="12"/>
      <c r="F469" s="12"/>
      <c r="G469" s="222"/>
    </row>
    <row r="470" spans="2:7" ht="12.75">
      <c r="B470" s="70"/>
      <c r="C470" s="70"/>
      <c r="D470" s="12"/>
      <c r="F470" s="12"/>
      <c r="G470" s="222"/>
    </row>
    <row r="471" spans="2:7" ht="12.75">
      <c r="B471" s="70"/>
      <c r="C471" s="70"/>
      <c r="D471" s="12"/>
      <c r="F471" s="12"/>
      <c r="G471" s="222"/>
    </row>
    <row r="472" spans="2:7" ht="12.75">
      <c r="B472" s="70"/>
      <c r="C472" s="70"/>
      <c r="D472" s="12"/>
      <c r="F472" s="12"/>
      <c r="G472" s="222"/>
    </row>
    <row r="473" spans="2:7" ht="12.75">
      <c r="B473" s="70"/>
      <c r="C473" s="70"/>
      <c r="D473" s="12"/>
      <c r="F473" s="12"/>
      <c r="G473" s="222"/>
    </row>
    <row r="474" spans="2:7" ht="12.75">
      <c r="B474" s="70"/>
      <c r="C474" s="70"/>
      <c r="D474" s="12"/>
      <c r="F474" s="12"/>
      <c r="G474" s="222"/>
    </row>
    <row r="475" spans="2:7" ht="12.75">
      <c r="B475" s="70"/>
      <c r="C475" s="70"/>
      <c r="D475" s="12"/>
      <c r="F475" s="12"/>
      <c r="G475" s="222"/>
    </row>
    <row r="476" spans="2:7" ht="12.75">
      <c r="B476" s="70"/>
      <c r="C476" s="70"/>
      <c r="D476" s="12"/>
      <c r="F476" s="12"/>
      <c r="G476" s="222"/>
    </row>
    <row r="477" spans="2:7" ht="12.75">
      <c r="B477" s="70"/>
      <c r="C477" s="70"/>
      <c r="D477" s="12"/>
      <c r="F477" s="12"/>
      <c r="G477" s="222"/>
    </row>
    <row r="478" spans="2:7" ht="12.75">
      <c r="B478" s="70"/>
      <c r="C478" s="70"/>
      <c r="D478" s="12"/>
      <c r="F478" s="12"/>
      <c r="G478" s="222"/>
    </row>
    <row r="479" spans="2:7" ht="12.75">
      <c r="B479" s="70"/>
      <c r="C479" s="70"/>
      <c r="D479" s="12"/>
      <c r="F479" s="12"/>
      <c r="G479" s="222"/>
    </row>
    <row r="480" spans="2:7" ht="12.75">
      <c r="B480" s="70"/>
      <c r="C480" s="70"/>
      <c r="D480" s="12"/>
      <c r="F480" s="12"/>
      <c r="G480" s="222"/>
    </row>
    <row r="481" spans="2:7" ht="12.75">
      <c r="B481" s="70"/>
      <c r="C481" s="70"/>
      <c r="D481" s="12"/>
      <c r="F481" s="12"/>
      <c r="G481" s="222"/>
    </row>
    <row r="482" spans="2:7" ht="12.75">
      <c r="B482" s="70"/>
      <c r="C482" s="70"/>
      <c r="D482" s="12"/>
      <c r="F482" s="12"/>
      <c r="G482" s="222"/>
    </row>
    <row r="483" spans="2:7" ht="12.75">
      <c r="B483" s="70"/>
      <c r="C483" s="70"/>
      <c r="D483" s="12"/>
      <c r="F483" s="12"/>
      <c r="G483" s="222"/>
    </row>
    <row r="484" spans="2:7" ht="12.75">
      <c r="B484" s="70"/>
      <c r="C484" s="70"/>
      <c r="D484" s="12"/>
      <c r="F484" s="12"/>
      <c r="G484" s="222"/>
    </row>
    <row r="485" spans="2:7" ht="12.75">
      <c r="B485" s="70"/>
      <c r="C485" s="70"/>
      <c r="D485" s="12"/>
      <c r="F485" s="12"/>
      <c r="G485" s="222"/>
    </row>
    <row r="486" spans="2:7" ht="12.75">
      <c r="B486" s="70"/>
      <c r="C486" s="70"/>
      <c r="D486" s="12"/>
      <c r="F486" s="12"/>
      <c r="G486" s="222"/>
    </row>
    <row r="487" spans="2:7" ht="12.75">
      <c r="B487" s="70"/>
      <c r="C487" s="70"/>
      <c r="D487" s="12"/>
      <c r="F487" s="12"/>
      <c r="G487" s="222"/>
    </row>
    <row r="488" spans="2:7" ht="12.75">
      <c r="B488" s="70"/>
      <c r="C488" s="70"/>
      <c r="D488" s="12"/>
      <c r="F488" s="12"/>
      <c r="G488" s="222"/>
    </row>
    <row r="489" spans="2:7" ht="12.75">
      <c r="B489" s="70"/>
      <c r="C489" s="70"/>
      <c r="D489" s="12"/>
      <c r="F489" s="12"/>
      <c r="G489" s="222"/>
    </row>
    <row r="490" spans="2:7" ht="12.75">
      <c r="B490" s="70"/>
      <c r="C490" s="70"/>
      <c r="D490" s="12"/>
      <c r="F490" s="12"/>
      <c r="G490" s="222"/>
    </row>
    <row r="491" spans="2:7" ht="12.75">
      <c r="B491" s="70"/>
      <c r="C491" s="70"/>
      <c r="D491" s="12"/>
      <c r="F491" s="12"/>
      <c r="G491" s="222"/>
    </row>
    <row r="492" spans="2:7" ht="12.75">
      <c r="B492" s="70"/>
      <c r="C492" s="70"/>
      <c r="D492" s="12"/>
      <c r="F492" s="12"/>
      <c r="G492" s="222"/>
    </row>
    <row r="493" spans="2:7" ht="12.75">
      <c r="B493" s="70"/>
      <c r="C493" s="70"/>
      <c r="D493" s="12"/>
      <c r="F493" s="12"/>
      <c r="G493" s="222"/>
    </row>
    <row r="494" spans="2:7" ht="12.75">
      <c r="B494" s="70"/>
      <c r="C494" s="70"/>
      <c r="D494" s="12"/>
      <c r="F494" s="12"/>
      <c r="G494" s="222"/>
    </row>
    <row r="495" spans="2:7" ht="12.75">
      <c r="B495" s="70"/>
      <c r="C495" s="70"/>
      <c r="D495" s="12"/>
      <c r="F495" s="12"/>
      <c r="G495" s="222"/>
    </row>
    <row r="496" spans="2:7" ht="12.75">
      <c r="B496" s="70"/>
      <c r="C496" s="70"/>
      <c r="D496" s="12"/>
      <c r="F496" s="12"/>
      <c r="G496" s="222"/>
    </row>
    <row r="497" spans="2:7" ht="12.75">
      <c r="B497" s="70"/>
      <c r="C497" s="70"/>
      <c r="D497" s="12"/>
      <c r="F497" s="12"/>
      <c r="G497" s="222"/>
    </row>
    <row r="498" spans="2:7" ht="12.75">
      <c r="B498" s="70"/>
      <c r="C498" s="70"/>
      <c r="D498" s="12"/>
      <c r="F498" s="12"/>
      <c r="G498" s="222"/>
    </row>
    <row r="499" spans="2:7" ht="12.75">
      <c r="B499" s="70"/>
      <c r="C499" s="70"/>
      <c r="D499" s="12"/>
      <c r="F499" s="12"/>
      <c r="G499" s="222"/>
    </row>
    <row r="500" spans="2:7" ht="12.75">
      <c r="B500" s="70"/>
      <c r="C500" s="70"/>
      <c r="D500" s="12"/>
      <c r="F500" s="12"/>
      <c r="G500" s="222"/>
    </row>
    <row r="501" spans="2:7" ht="12.75">
      <c r="B501" s="70"/>
      <c r="C501" s="70"/>
      <c r="D501" s="12"/>
      <c r="F501" s="12"/>
      <c r="G501" s="222"/>
    </row>
    <row r="502" spans="2:7" ht="12.75">
      <c r="B502" s="70"/>
      <c r="C502" s="70"/>
      <c r="D502" s="12"/>
      <c r="F502" s="12"/>
      <c r="G502" s="222"/>
    </row>
    <row r="503" spans="2:7" ht="12.75">
      <c r="B503" s="70"/>
      <c r="C503" s="70"/>
      <c r="D503" s="12"/>
      <c r="F503" s="12"/>
      <c r="G503" s="222"/>
    </row>
    <row r="504" spans="2:7" ht="12.75">
      <c r="B504" s="70"/>
      <c r="C504" s="70"/>
      <c r="D504" s="12"/>
      <c r="F504" s="12"/>
      <c r="G504" s="222"/>
    </row>
    <row r="505" spans="2:7" ht="12.75">
      <c r="B505" s="70"/>
      <c r="C505" s="70"/>
      <c r="D505" s="12"/>
      <c r="F505" s="12"/>
      <c r="G505" s="222"/>
    </row>
    <row r="506" spans="2:7" ht="12.75">
      <c r="B506" s="70"/>
      <c r="C506" s="70"/>
      <c r="D506" s="12"/>
      <c r="F506" s="12"/>
      <c r="G506" s="222"/>
    </row>
    <row r="507" spans="2:7" ht="12.75">
      <c r="B507" s="70"/>
      <c r="C507" s="70"/>
      <c r="D507" s="12"/>
      <c r="F507" s="12"/>
      <c r="G507" s="222"/>
    </row>
    <row r="508" spans="2:7" ht="12.75">
      <c r="B508" s="70"/>
      <c r="C508" s="70"/>
      <c r="D508" s="12"/>
      <c r="F508" s="12"/>
      <c r="G508" s="222"/>
    </row>
    <row r="509" spans="2:7" ht="12.75">
      <c r="B509" s="70"/>
      <c r="C509" s="70"/>
      <c r="D509" s="12"/>
      <c r="F509" s="12"/>
      <c r="G509" s="222"/>
    </row>
    <row r="510" spans="2:7" ht="12.75">
      <c r="B510" s="70"/>
      <c r="C510" s="70"/>
      <c r="D510" s="12"/>
      <c r="F510" s="12"/>
      <c r="G510" s="222"/>
    </row>
    <row r="511" spans="2:7" ht="12.75">
      <c r="B511" s="70"/>
      <c r="C511" s="70"/>
      <c r="D511" s="12"/>
      <c r="F511" s="12"/>
      <c r="G511" s="222"/>
    </row>
    <row r="512" spans="2:7" ht="12.75">
      <c r="B512" s="70"/>
      <c r="C512" s="70"/>
      <c r="D512" s="12"/>
      <c r="F512" s="12"/>
      <c r="G512" s="222"/>
    </row>
    <row r="513" spans="2:7" ht="12.75">
      <c r="B513" s="70"/>
      <c r="C513" s="70"/>
      <c r="D513" s="12"/>
      <c r="F513" s="12"/>
      <c r="G513" s="222"/>
    </row>
    <row r="514" spans="2:7" ht="12.75">
      <c r="B514" s="70"/>
      <c r="C514" s="70"/>
      <c r="D514" s="12"/>
      <c r="F514" s="12"/>
      <c r="G514" s="222"/>
    </row>
    <row r="515" spans="2:7" ht="12.75">
      <c r="B515" s="70"/>
      <c r="C515" s="70"/>
      <c r="D515" s="12"/>
      <c r="F515" s="12"/>
      <c r="G515" s="222"/>
    </row>
    <row r="516" spans="2:7" ht="12.75">
      <c r="B516" s="70"/>
      <c r="C516" s="70"/>
      <c r="D516" s="12"/>
      <c r="F516" s="12"/>
      <c r="G516" s="222"/>
    </row>
    <row r="517" spans="2:7" ht="12.75">
      <c r="B517" s="70"/>
      <c r="C517" s="70"/>
      <c r="D517" s="12"/>
      <c r="F517" s="12"/>
      <c r="G517" s="222"/>
    </row>
    <row r="518" spans="2:7" ht="12.75">
      <c r="B518" s="70"/>
      <c r="C518" s="70"/>
      <c r="D518" s="12"/>
      <c r="F518" s="12"/>
      <c r="G518" s="222"/>
    </row>
    <row r="519" spans="2:7" ht="12.75">
      <c r="B519" s="70"/>
      <c r="C519" s="70"/>
      <c r="D519" s="12"/>
      <c r="F519" s="12"/>
      <c r="G519" s="222"/>
    </row>
    <row r="520" spans="2:7" ht="12.75">
      <c r="B520" s="70"/>
      <c r="C520" s="70"/>
      <c r="D520" s="12"/>
      <c r="F520" s="12"/>
      <c r="G520" s="222"/>
    </row>
    <row r="521" spans="2:7" ht="12.75">
      <c r="B521" s="70"/>
      <c r="C521" s="70"/>
      <c r="D521" s="12"/>
      <c r="F521" s="12"/>
      <c r="G521" s="222"/>
    </row>
    <row r="522" spans="2:7" ht="12.75">
      <c r="B522" s="70"/>
      <c r="C522" s="70"/>
      <c r="D522" s="12"/>
      <c r="F522" s="12"/>
      <c r="G522" s="222"/>
    </row>
    <row r="523" spans="2:7" ht="12.75">
      <c r="B523" s="70"/>
      <c r="C523" s="70"/>
      <c r="D523" s="12"/>
      <c r="F523" s="12"/>
      <c r="G523" s="222"/>
    </row>
    <row r="524" spans="2:7" ht="12.75">
      <c r="B524" s="70"/>
      <c r="C524" s="70"/>
      <c r="D524" s="12"/>
      <c r="F524" s="12"/>
      <c r="G524" s="222"/>
    </row>
    <row r="525" spans="2:7" ht="12.75">
      <c r="B525" s="70"/>
      <c r="C525" s="70"/>
      <c r="D525" s="12"/>
      <c r="F525" s="12"/>
      <c r="G525" s="222"/>
    </row>
    <row r="526" spans="2:7" ht="12.75">
      <c r="B526" s="70"/>
      <c r="C526" s="70"/>
      <c r="D526" s="12"/>
      <c r="F526" s="12"/>
      <c r="G526" s="222"/>
    </row>
    <row r="527" spans="2:7" ht="12.75">
      <c r="B527" s="70"/>
      <c r="C527" s="70"/>
      <c r="D527" s="12"/>
      <c r="F527" s="12"/>
      <c r="G527" s="222"/>
    </row>
    <row r="528" spans="2:7" ht="12.75">
      <c r="B528" s="70"/>
      <c r="C528" s="70"/>
      <c r="D528" s="12"/>
      <c r="F528" s="12"/>
      <c r="G528" s="222"/>
    </row>
    <row r="529" spans="2:7" ht="12.75">
      <c r="B529" s="70"/>
      <c r="C529" s="70"/>
      <c r="D529" s="12"/>
      <c r="F529" s="12"/>
      <c r="G529" s="222"/>
    </row>
    <row r="530" spans="2:7" ht="12.75">
      <c r="B530" s="70"/>
      <c r="C530" s="70"/>
      <c r="D530" s="12"/>
      <c r="F530" s="12"/>
      <c r="G530" s="222"/>
    </row>
    <row r="531" spans="2:7" ht="12.75">
      <c r="B531" s="70"/>
      <c r="C531" s="70"/>
      <c r="D531" s="12"/>
      <c r="F531" s="12"/>
      <c r="G531" s="222"/>
    </row>
    <row r="532" spans="2:7" ht="12.75">
      <c r="B532" s="70"/>
      <c r="C532" s="70"/>
      <c r="D532" s="12"/>
      <c r="F532" s="12"/>
      <c r="G532" s="222"/>
    </row>
    <row r="533" spans="2:7" ht="12.75">
      <c r="B533" s="70"/>
      <c r="C533" s="70"/>
      <c r="D533" s="12"/>
      <c r="F533" s="12"/>
      <c r="G533" s="222"/>
    </row>
    <row r="534" spans="2:7" ht="12.75">
      <c r="B534" s="70"/>
      <c r="C534" s="70"/>
      <c r="D534" s="12"/>
      <c r="F534" s="12"/>
      <c r="G534" s="222"/>
    </row>
    <row r="535" spans="2:7" ht="12.75">
      <c r="B535" s="70"/>
      <c r="C535" s="70"/>
      <c r="D535" s="12"/>
      <c r="F535" s="12"/>
      <c r="G535" s="222"/>
    </row>
    <row r="536" spans="2:7" ht="12.75">
      <c r="B536" s="70"/>
      <c r="C536" s="70"/>
      <c r="D536" s="12"/>
      <c r="F536" s="12"/>
      <c r="G536" s="222"/>
    </row>
    <row r="537" spans="2:7" ht="12.75">
      <c r="B537" s="70"/>
      <c r="C537" s="70"/>
      <c r="D537" s="12"/>
      <c r="F537" s="12"/>
      <c r="G537" s="222"/>
    </row>
    <row r="538" spans="2:7" ht="12.75">
      <c r="B538" s="70"/>
      <c r="C538" s="70"/>
      <c r="D538" s="12"/>
      <c r="F538" s="12"/>
      <c r="G538" s="222"/>
    </row>
    <row r="539" spans="2:7" ht="12.75">
      <c r="B539" s="70"/>
      <c r="C539" s="70"/>
      <c r="D539" s="12"/>
      <c r="F539" s="12"/>
      <c r="G539" s="222"/>
    </row>
    <row r="540" spans="2:7" ht="12.75">
      <c r="B540" s="70"/>
      <c r="C540" s="70"/>
      <c r="D540" s="12"/>
      <c r="F540" s="12"/>
      <c r="G540" s="222"/>
    </row>
    <row r="541" spans="2:7" ht="12.75">
      <c r="B541" s="70"/>
      <c r="C541" s="70"/>
      <c r="D541" s="12"/>
      <c r="F541" s="12"/>
      <c r="G541" s="222"/>
    </row>
    <row r="542" spans="2:7" ht="12.75">
      <c r="B542" s="70"/>
      <c r="C542" s="70"/>
      <c r="D542" s="12"/>
      <c r="F542" s="12"/>
      <c r="G542" s="222"/>
    </row>
    <row r="543" spans="2:7" ht="12.75">
      <c r="B543" s="70"/>
      <c r="C543" s="70"/>
      <c r="D543" s="12"/>
      <c r="F543" s="12"/>
      <c r="G543" s="222"/>
    </row>
    <row r="544" spans="2:7" ht="12.75">
      <c r="B544" s="70"/>
      <c r="C544" s="70"/>
      <c r="D544" s="12"/>
      <c r="F544" s="12"/>
      <c r="G544" s="222"/>
    </row>
    <row r="545" spans="2:7" ht="12.75">
      <c r="B545" s="70"/>
      <c r="C545" s="70"/>
      <c r="D545" s="12"/>
      <c r="F545" s="12"/>
      <c r="G545" s="222"/>
    </row>
    <row r="546" spans="2:7" ht="12.75">
      <c r="B546" s="70"/>
      <c r="C546" s="70"/>
      <c r="D546" s="12"/>
      <c r="F546" s="12"/>
      <c r="G546" s="222"/>
    </row>
    <row r="547" spans="2:7" ht="12.75">
      <c r="B547" s="70"/>
      <c r="C547" s="70"/>
      <c r="D547" s="12"/>
      <c r="F547" s="12"/>
      <c r="G547" s="222"/>
    </row>
    <row r="548" spans="2:7" ht="12.75">
      <c r="B548" s="70"/>
      <c r="C548" s="70"/>
      <c r="D548" s="12"/>
      <c r="F548" s="12"/>
      <c r="G548" s="222"/>
    </row>
    <row r="549" spans="2:7" ht="12.75">
      <c r="B549" s="70"/>
      <c r="C549" s="70"/>
      <c r="D549" s="12"/>
      <c r="F549" s="12"/>
      <c r="G549" s="222"/>
    </row>
    <row r="550" spans="2:7" ht="12.75">
      <c r="B550" s="70"/>
      <c r="C550" s="70"/>
      <c r="D550" s="12"/>
      <c r="F550" s="12"/>
      <c r="G550" s="222"/>
    </row>
    <row r="551" spans="2:7" ht="12.75">
      <c r="B551" s="70"/>
      <c r="C551" s="70"/>
      <c r="D551" s="12"/>
      <c r="F551" s="12"/>
      <c r="G551" s="222"/>
    </row>
    <row r="552" spans="2:7" ht="12.75">
      <c r="B552" s="70"/>
      <c r="C552" s="70"/>
      <c r="D552" s="12"/>
      <c r="F552" s="12"/>
      <c r="G552" s="222"/>
    </row>
    <row r="553" spans="2:7" ht="12.75">
      <c r="B553" s="70"/>
      <c r="C553" s="70"/>
      <c r="D553" s="12"/>
      <c r="F553" s="12"/>
      <c r="G553" s="222"/>
    </row>
    <row r="554" spans="2:7" ht="12.75">
      <c r="B554" s="70"/>
      <c r="C554" s="70"/>
      <c r="D554" s="12"/>
      <c r="F554" s="12"/>
      <c r="G554" s="222"/>
    </row>
    <row r="555" spans="2:7" ht="12.75">
      <c r="B555" s="70"/>
      <c r="C555" s="70"/>
      <c r="D555" s="12"/>
      <c r="F555" s="12"/>
      <c r="G555" s="222"/>
    </row>
    <row r="556" spans="2:7" ht="12.75">
      <c r="B556" s="70"/>
      <c r="C556" s="70"/>
      <c r="D556" s="12"/>
      <c r="F556" s="12"/>
      <c r="G556" s="222"/>
    </row>
    <row r="557" spans="2:7" ht="12.75">
      <c r="B557" s="70"/>
      <c r="C557" s="70"/>
      <c r="D557" s="12"/>
      <c r="F557" s="12"/>
      <c r="G557" s="222"/>
    </row>
    <row r="558" spans="2:7" ht="12.75">
      <c r="B558" s="70"/>
      <c r="C558" s="70"/>
      <c r="D558" s="12"/>
      <c r="F558" s="12"/>
      <c r="G558" s="222"/>
    </row>
    <row r="559" spans="2:7" ht="12.75">
      <c r="B559" s="70"/>
      <c r="C559" s="70"/>
      <c r="D559" s="12"/>
      <c r="F559" s="12"/>
      <c r="G559" s="222"/>
    </row>
    <row r="560" spans="2:7" ht="12.75">
      <c r="B560" s="70"/>
      <c r="C560" s="70"/>
      <c r="D560" s="12"/>
      <c r="F560" s="12"/>
      <c r="G560" s="222"/>
    </row>
    <row r="561" spans="2:7" ht="12.75">
      <c r="B561" s="70"/>
      <c r="C561" s="70"/>
      <c r="D561" s="12"/>
      <c r="F561" s="12"/>
      <c r="G561" s="222"/>
    </row>
    <row r="562" spans="2:7" ht="12.75">
      <c r="B562" s="70"/>
      <c r="C562" s="70"/>
      <c r="D562" s="12"/>
      <c r="F562" s="12"/>
      <c r="G562" s="222"/>
    </row>
    <row r="563" spans="2:7" ht="12.75">
      <c r="B563" s="70"/>
      <c r="C563" s="70"/>
      <c r="D563" s="12"/>
      <c r="F563" s="12"/>
      <c r="G563" s="222"/>
    </row>
    <row r="564" spans="2:7" ht="12.75">
      <c r="B564" s="70"/>
      <c r="C564" s="70"/>
      <c r="D564" s="12"/>
      <c r="F564" s="12"/>
      <c r="G564" s="222"/>
    </row>
    <row r="565" spans="2:7" ht="12.75">
      <c r="B565" s="70"/>
      <c r="C565" s="70"/>
      <c r="D565" s="12"/>
      <c r="F565" s="12"/>
      <c r="G565" s="222"/>
    </row>
    <row r="566" spans="2:7" ht="12.75">
      <c r="B566" s="70"/>
      <c r="C566" s="70"/>
      <c r="D566" s="12"/>
      <c r="F566" s="12"/>
      <c r="G566" s="222"/>
    </row>
    <row r="567" spans="2:7" ht="12.75">
      <c r="B567" s="70"/>
      <c r="C567" s="70"/>
      <c r="D567" s="12"/>
      <c r="F567" s="12"/>
      <c r="G567" s="222"/>
    </row>
    <row r="568" spans="2:7" ht="12.75">
      <c r="B568" s="70"/>
      <c r="C568" s="70"/>
      <c r="D568" s="12"/>
      <c r="F568" s="12"/>
      <c r="G568" s="222"/>
    </row>
    <row r="569" spans="2:7" ht="12.75">
      <c r="B569" s="70"/>
      <c r="C569" s="70"/>
      <c r="D569" s="12"/>
      <c r="F569" s="12"/>
      <c r="G569" s="222"/>
    </row>
    <row r="570" spans="2:7" ht="12.75">
      <c r="B570" s="70"/>
      <c r="C570" s="70"/>
      <c r="D570" s="12"/>
      <c r="F570" s="12"/>
      <c r="G570" s="222"/>
    </row>
    <row r="571" spans="2:7" ht="12.75">
      <c r="B571" s="70"/>
      <c r="C571" s="70"/>
      <c r="D571" s="12"/>
      <c r="F571" s="12"/>
      <c r="G571" s="222"/>
    </row>
    <row r="572" spans="2:7" ht="12.75">
      <c r="B572" s="70"/>
      <c r="C572" s="70"/>
      <c r="D572" s="12"/>
      <c r="F572" s="12"/>
      <c r="G572" s="222"/>
    </row>
    <row r="573" spans="2:7" ht="12.75">
      <c r="B573" s="70"/>
      <c r="C573" s="70"/>
      <c r="D573" s="12"/>
      <c r="F573" s="12"/>
      <c r="G573" s="222"/>
    </row>
    <row r="574" spans="2:7" ht="12.75">
      <c r="B574" s="70"/>
      <c r="C574" s="70"/>
      <c r="D574" s="12"/>
      <c r="F574" s="12"/>
      <c r="G574" s="222"/>
    </row>
    <row r="575" spans="2:7" ht="12.75">
      <c r="B575" s="70"/>
      <c r="C575" s="70"/>
      <c r="D575" s="12"/>
      <c r="F575" s="12"/>
      <c r="G575" s="222"/>
    </row>
    <row r="576" spans="2:7" ht="12.75">
      <c r="B576" s="70"/>
      <c r="C576" s="70"/>
      <c r="D576" s="12"/>
      <c r="F576" s="12"/>
      <c r="G576" s="222"/>
    </row>
    <row r="577" spans="2:7" ht="12.75">
      <c r="B577" s="70"/>
      <c r="C577" s="70"/>
      <c r="D577" s="12"/>
      <c r="F577" s="12"/>
      <c r="G577" s="222"/>
    </row>
    <row r="578" spans="2:7" ht="12.75">
      <c r="B578" s="70"/>
      <c r="C578" s="70"/>
      <c r="D578" s="12"/>
      <c r="F578" s="12"/>
      <c r="G578" s="222"/>
    </row>
    <row r="579" spans="2:7" ht="12.75">
      <c r="B579" s="70"/>
      <c r="C579" s="70"/>
      <c r="D579" s="12"/>
      <c r="F579" s="12"/>
      <c r="G579" s="222"/>
    </row>
    <row r="580" spans="2:7" ht="12.75">
      <c r="B580" s="70"/>
      <c r="C580" s="70"/>
      <c r="D580" s="12"/>
      <c r="F580" s="12"/>
      <c r="G580" s="222"/>
    </row>
    <row r="581" spans="2:7" ht="12.75">
      <c r="B581" s="70"/>
      <c r="C581" s="70"/>
      <c r="D581" s="12"/>
      <c r="F581" s="12"/>
      <c r="G581" s="222"/>
    </row>
    <row r="582" spans="2:7" ht="12.75">
      <c r="B582" s="70"/>
      <c r="C582" s="70"/>
      <c r="D582" s="12"/>
      <c r="F582" s="12"/>
      <c r="G582" s="222"/>
    </row>
    <row r="583" spans="2:7" ht="12.75">
      <c r="B583" s="70"/>
      <c r="C583" s="70"/>
      <c r="D583" s="12"/>
      <c r="F583" s="12"/>
      <c r="G583" s="222"/>
    </row>
    <row r="584" spans="2:7" ht="12.75">
      <c r="B584" s="70"/>
      <c r="C584" s="70"/>
      <c r="D584" s="12"/>
      <c r="F584" s="12"/>
      <c r="G584" s="222"/>
    </row>
    <row r="585" spans="2:7" ht="12.75">
      <c r="B585" s="70"/>
      <c r="C585" s="70"/>
      <c r="D585" s="12"/>
      <c r="F585" s="12"/>
      <c r="G585" s="222"/>
    </row>
    <row r="586" spans="2:7" ht="12.75">
      <c r="B586" s="70"/>
      <c r="C586" s="70"/>
      <c r="D586" s="12"/>
      <c r="F586" s="12"/>
      <c r="G586" s="222"/>
    </row>
    <row r="587" spans="2:7" ht="12.75">
      <c r="B587" s="70"/>
      <c r="C587" s="70"/>
      <c r="D587" s="12"/>
      <c r="F587" s="12"/>
      <c r="G587" s="222"/>
    </row>
    <row r="588" spans="2:7" ht="12.75">
      <c r="B588" s="70"/>
      <c r="C588" s="70"/>
      <c r="D588" s="12"/>
      <c r="F588" s="12"/>
      <c r="G588" s="222"/>
    </row>
    <row r="589" spans="2:7" ht="12.75">
      <c r="B589" s="70"/>
      <c r="C589" s="70"/>
      <c r="D589" s="12"/>
      <c r="F589" s="12"/>
      <c r="G589" s="222"/>
    </row>
    <row r="590" spans="2:7" ht="12.75">
      <c r="B590" s="70"/>
      <c r="C590" s="70"/>
      <c r="D590" s="12"/>
      <c r="F590" s="12"/>
      <c r="G590" s="222"/>
    </row>
    <row r="591" spans="2:7" ht="12.75">
      <c r="B591" s="70"/>
      <c r="C591" s="70"/>
      <c r="D591" s="12"/>
      <c r="F591" s="12"/>
      <c r="G591" s="222"/>
    </row>
    <row r="592" spans="2:7" ht="12.75">
      <c r="B592" s="70"/>
      <c r="C592" s="70"/>
      <c r="D592" s="12"/>
      <c r="F592" s="12"/>
      <c r="G592" s="222"/>
    </row>
    <row r="593" spans="2:7" ht="12.75">
      <c r="B593" s="70"/>
      <c r="C593" s="70"/>
      <c r="D593" s="12"/>
      <c r="F593" s="12"/>
      <c r="G593" s="222"/>
    </row>
    <row r="594" spans="2:7" ht="12.75">
      <c r="B594" s="70"/>
      <c r="C594" s="70"/>
      <c r="D594" s="12"/>
      <c r="F594" s="12"/>
      <c r="G594" s="222"/>
    </row>
    <row r="595" spans="2:7" ht="12.75">
      <c r="B595" s="70"/>
      <c r="C595" s="70"/>
      <c r="D595" s="12"/>
      <c r="F595" s="12"/>
      <c r="G595" s="222"/>
    </row>
    <row r="596" spans="2:7" ht="12.75">
      <c r="B596" s="70"/>
      <c r="C596" s="70"/>
      <c r="D596" s="12"/>
      <c r="F596" s="12"/>
      <c r="G596" s="222"/>
    </row>
    <row r="597" spans="2:7" ht="12.75">
      <c r="B597" s="70"/>
      <c r="C597" s="70"/>
      <c r="D597" s="12"/>
      <c r="F597" s="12"/>
      <c r="G597" s="222"/>
    </row>
    <row r="598" spans="2:7" ht="12.75">
      <c r="B598" s="70"/>
      <c r="C598" s="70"/>
      <c r="D598" s="12"/>
      <c r="F598" s="12"/>
      <c r="G598" s="222"/>
    </row>
    <row r="599" spans="2:7" ht="12.75">
      <c r="B599" s="70"/>
      <c r="C599" s="70"/>
      <c r="D599" s="12"/>
      <c r="F599" s="12"/>
      <c r="G599" s="222"/>
    </row>
    <row r="600" spans="2:7" ht="12.75">
      <c r="B600" s="70"/>
      <c r="C600" s="70"/>
      <c r="D600" s="12"/>
      <c r="F600" s="12"/>
      <c r="G600" s="222"/>
    </row>
    <row r="601" spans="2:7" ht="12.75">
      <c r="B601" s="70"/>
      <c r="C601" s="70"/>
      <c r="D601" s="12"/>
      <c r="F601" s="12"/>
      <c r="G601" s="222"/>
    </row>
    <row r="602" spans="2:7" ht="12.75">
      <c r="B602" s="70"/>
      <c r="C602" s="70"/>
      <c r="D602" s="12"/>
      <c r="F602" s="12"/>
      <c r="G602" s="222"/>
    </row>
    <row r="603" spans="2:7" ht="12.75">
      <c r="B603" s="70"/>
      <c r="C603" s="70"/>
      <c r="D603" s="12"/>
      <c r="F603" s="12"/>
      <c r="G603" s="222"/>
    </row>
    <row r="604" spans="2:7" ht="12.75">
      <c r="B604" s="70"/>
      <c r="C604" s="70"/>
      <c r="D604" s="12"/>
      <c r="F604" s="12"/>
      <c r="G604" s="222"/>
    </row>
    <row r="605" spans="2:7" ht="12.75">
      <c r="B605" s="70"/>
      <c r="C605" s="70"/>
      <c r="D605" s="12"/>
      <c r="F605" s="12"/>
      <c r="G605" s="222"/>
    </row>
    <row r="606" spans="2:7" ht="12.75">
      <c r="B606" s="70"/>
      <c r="C606" s="70"/>
      <c r="D606" s="12"/>
      <c r="F606" s="12"/>
      <c r="G606" s="222"/>
    </row>
    <row r="607" spans="2:7" ht="12.75">
      <c r="B607" s="70"/>
      <c r="C607" s="70"/>
      <c r="D607" s="12"/>
      <c r="F607" s="12"/>
      <c r="G607" s="222"/>
    </row>
    <row r="608" spans="2:7" ht="12.75">
      <c r="B608" s="70"/>
      <c r="C608" s="70"/>
      <c r="D608" s="12"/>
      <c r="F608" s="12"/>
      <c r="G608" s="222"/>
    </row>
    <row r="609" spans="2:7" ht="12.75">
      <c r="B609" s="70"/>
      <c r="C609" s="70"/>
      <c r="D609" s="12"/>
      <c r="F609" s="12"/>
      <c r="G609" s="222"/>
    </row>
    <row r="610" spans="2:7" ht="12.75">
      <c r="B610" s="70"/>
      <c r="C610" s="70"/>
      <c r="D610" s="12"/>
      <c r="F610" s="12"/>
      <c r="G610" s="222"/>
    </row>
    <row r="611" spans="2:7" ht="12.75">
      <c r="B611" s="70"/>
      <c r="C611" s="70"/>
      <c r="D611" s="12"/>
      <c r="F611" s="12"/>
      <c r="G611" s="222"/>
    </row>
    <row r="612" spans="2:7" ht="12.75">
      <c r="B612" s="70"/>
      <c r="C612" s="70"/>
      <c r="D612" s="12"/>
      <c r="F612" s="12"/>
      <c r="G612" s="222"/>
    </row>
    <row r="613" spans="2:7" ht="12.75">
      <c r="B613" s="70"/>
      <c r="C613" s="70"/>
      <c r="D613" s="12"/>
      <c r="F613" s="12"/>
      <c r="G613" s="222"/>
    </row>
    <row r="614" spans="2:7" ht="12.75">
      <c r="B614" s="70"/>
      <c r="C614" s="70"/>
      <c r="D614" s="12"/>
      <c r="F614" s="12"/>
      <c r="G614" s="222"/>
    </row>
    <row r="615" spans="2:7" ht="12.75">
      <c r="B615" s="70"/>
      <c r="C615" s="70"/>
      <c r="D615" s="12"/>
      <c r="F615" s="12"/>
      <c r="G615" s="222"/>
    </row>
    <row r="616" spans="2:7" ht="12.75">
      <c r="B616" s="70"/>
      <c r="C616" s="70"/>
      <c r="D616" s="12"/>
      <c r="F616" s="12"/>
      <c r="G616" s="222"/>
    </row>
    <row r="617" spans="2:7" ht="12.75">
      <c r="B617" s="70"/>
      <c r="C617" s="70"/>
      <c r="D617" s="12"/>
      <c r="F617" s="12"/>
      <c r="G617" s="222"/>
    </row>
    <row r="618" spans="2:7" ht="12.75">
      <c r="B618" s="70"/>
      <c r="C618" s="70"/>
      <c r="D618" s="12"/>
      <c r="F618" s="12"/>
      <c r="G618" s="222"/>
    </row>
    <row r="619" spans="2:7" ht="12.75">
      <c r="B619" s="70"/>
      <c r="C619" s="70"/>
      <c r="D619" s="12"/>
      <c r="F619" s="12"/>
      <c r="G619" s="222"/>
    </row>
    <row r="620" spans="2:7" ht="12.75">
      <c r="B620" s="70"/>
      <c r="C620" s="70"/>
      <c r="D620" s="12"/>
      <c r="F620" s="12"/>
      <c r="G620" s="222"/>
    </row>
    <row r="621" spans="2:7" ht="12.75">
      <c r="B621" s="70"/>
      <c r="C621" s="70"/>
      <c r="D621" s="12"/>
      <c r="F621" s="12"/>
      <c r="G621" s="222"/>
    </row>
    <row r="622" spans="2:7" ht="12.75">
      <c r="B622" s="70"/>
      <c r="C622" s="70"/>
      <c r="D622" s="12"/>
      <c r="F622" s="12"/>
      <c r="G622" s="222"/>
    </row>
    <row r="623" spans="2:7" ht="12.75">
      <c r="B623" s="70"/>
      <c r="C623" s="70"/>
      <c r="D623" s="12"/>
      <c r="F623" s="12"/>
      <c r="G623" s="222"/>
    </row>
    <row r="624" spans="2:7" ht="12.75">
      <c r="B624" s="70"/>
      <c r="C624" s="70"/>
      <c r="D624" s="12"/>
      <c r="F624" s="12"/>
      <c r="G624" s="222"/>
    </row>
    <row r="625" spans="2:7" ht="12.75">
      <c r="B625" s="70"/>
      <c r="C625" s="70"/>
      <c r="D625" s="12"/>
      <c r="F625" s="12"/>
      <c r="G625" s="222"/>
    </row>
    <row r="626" spans="2:7" ht="12.75">
      <c r="B626" s="70"/>
      <c r="C626" s="70"/>
      <c r="D626" s="12"/>
      <c r="F626" s="12"/>
      <c r="G626" s="222"/>
    </row>
    <row r="627" spans="2:7" ht="12.75">
      <c r="B627" s="70"/>
      <c r="C627" s="70"/>
      <c r="D627" s="12"/>
      <c r="F627" s="12"/>
      <c r="G627" s="222"/>
    </row>
    <row r="628" spans="2:7" ht="12.75">
      <c r="B628" s="70"/>
      <c r="C628" s="70"/>
      <c r="D628" s="12"/>
      <c r="F628" s="12"/>
      <c r="G628" s="222"/>
    </row>
    <row r="629" spans="2:7" ht="12.75">
      <c r="B629" s="70"/>
      <c r="C629" s="70"/>
      <c r="D629" s="12"/>
      <c r="F629" s="12"/>
      <c r="G629" s="222"/>
    </row>
    <row r="630" spans="2:7" ht="12.75">
      <c r="B630" s="70"/>
      <c r="C630" s="70"/>
      <c r="D630" s="12"/>
      <c r="F630" s="12"/>
      <c r="G630" s="222"/>
    </row>
    <row r="631" spans="2:7" ht="12.75">
      <c r="B631" s="70"/>
      <c r="C631" s="70"/>
      <c r="D631" s="12"/>
      <c r="F631" s="12"/>
      <c r="G631" s="222"/>
    </row>
    <row r="632" spans="2:7" ht="12.75">
      <c r="B632" s="70"/>
      <c r="C632" s="70"/>
      <c r="D632" s="12"/>
      <c r="F632" s="12"/>
      <c r="G632" s="222"/>
    </row>
    <row r="633" spans="2:7" ht="12.75">
      <c r="B633" s="70"/>
      <c r="C633" s="70"/>
      <c r="D633" s="12"/>
      <c r="F633" s="12"/>
      <c r="G633" s="222"/>
    </row>
    <row r="634" spans="2:7" ht="12.75">
      <c r="B634" s="70"/>
      <c r="C634" s="70"/>
      <c r="D634" s="12"/>
      <c r="F634" s="12"/>
      <c r="G634" s="222"/>
    </row>
    <row r="635" spans="2:7" ht="12.75">
      <c r="B635" s="70"/>
      <c r="C635" s="70"/>
      <c r="D635" s="12"/>
      <c r="F635" s="12"/>
      <c r="G635" s="222"/>
    </row>
    <row r="636" spans="2:7" ht="12.75">
      <c r="B636" s="70"/>
      <c r="C636" s="70"/>
      <c r="D636" s="12"/>
      <c r="F636" s="12"/>
      <c r="G636" s="222"/>
    </row>
    <row r="637" spans="2:7" ht="12.75">
      <c r="B637" s="70"/>
      <c r="C637" s="70"/>
      <c r="D637" s="12"/>
      <c r="F637" s="12"/>
      <c r="G637" s="222"/>
    </row>
    <row r="638" spans="2:7" ht="12.75">
      <c r="B638" s="70"/>
      <c r="C638" s="70"/>
      <c r="D638" s="12"/>
      <c r="F638" s="12"/>
      <c r="G638" s="222"/>
    </row>
    <row r="639" spans="2:7" ht="12.75">
      <c r="B639" s="70"/>
      <c r="C639" s="70"/>
      <c r="D639" s="12"/>
      <c r="F639" s="12"/>
      <c r="G639" s="222"/>
    </row>
    <row r="640" spans="2:7" ht="12.75">
      <c r="B640" s="70"/>
      <c r="C640" s="70"/>
      <c r="D640" s="12"/>
      <c r="F640" s="12"/>
      <c r="G640" s="222"/>
    </row>
    <row r="641" spans="2:7" ht="12.75">
      <c r="B641" s="70"/>
      <c r="C641" s="70"/>
      <c r="D641" s="12"/>
      <c r="F641" s="12"/>
      <c r="G641" s="222"/>
    </row>
    <row r="642" spans="2:7" ht="12.75">
      <c r="B642" s="70"/>
      <c r="C642" s="70"/>
      <c r="D642" s="12"/>
      <c r="F642" s="12"/>
      <c r="G642" s="222"/>
    </row>
    <row r="643" spans="2:7" ht="12.75">
      <c r="B643" s="70"/>
      <c r="C643" s="70"/>
      <c r="D643" s="12"/>
      <c r="F643" s="12"/>
      <c r="G643" s="222"/>
    </row>
    <row r="644" spans="2:7" ht="12.75">
      <c r="B644" s="70"/>
      <c r="C644" s="70"/>
      <c r="D644" s="12"/>
      <c r="F644" s="12"/>
      <c r="G644" s="222"/>
    </row>
    <row r="645" spans="2:7" ht="12.75">
      <c r="B645" s="70"/>
      <c r="C645" s="70"/>
      <c r="D645" s="12"/>
      <c r="F645" s="12"/>
      <c r="G645" s="222"/>
    </row>
    <row r="646" spans="2:7" ht="12.75">
      <c r="B646" s="70"/>
      <c r="C646" s="70"/>
      <c r="D646" s="12"/>
      <c r="F646" s="12"/>
      <c r="G646" s="222"/>
    </row>
    <row r="647" spans="2:7" ht="12.75">
      <c r="B647" s="70"/>
      <c r="C647" s="70"/>
      <c r="D647" s="12"/>
      <c r="F647" s="12"/>
      <c r="G647" s="222"/>
    </row>
    <row r="648" spans="2:7" ht="12.75">
      <c r="B648" s="70"/>
      <c r="C648" s="70"/>
      <c r="D648" s="12"/>
      <c r="F648" s="12"/>
      <c r="G648" s="222"/>
    </row>
    <row r="649" spans="2:7" ht="12.75">
      <c r="B649" s="70"/>
      <c r="C649" s="70"/>
      <c r="D649" s="12"/>
      <c r="F649" s="12"/>
      <c r="G649" s="222"/>
    </row>
    <row r="650" spans="2:7" ht="12.75">
      <c r="B650" s="70"/>
      <c r="C650" s="70"/>
      <c r="D650" s="12"/>
      <c r="F650" s="12"/>
      <c r="G650" s="222"/>
    </row>
    <row r="651" spans="2:7" ht="12.75">
      <c r="B651" s="70"/>
      <c r="C651" s="70"/>
      <c r="D651" s="12"/>
      <c r="F651" s="12"/>
      <c r="G651" s="222"/>
    </row>
    <row r="652" spans="2:7" ht="12.75">
      <c r="B652" s="70"/>
      <c r="C652" s="70"/>
      <c r="D652" s="12"/>
      <c r="F652" s="12"/>
      <c r="G652" s="222"/>
    </row>
    <row r="653" spans="2:7" ht="12.75">
      <c r="B653" s="70"/>
      <c r="C653" s="70"/>
      <c r="D653" s="12"/>
      <c r="F653" s="12"/>
      <c r="G653" s="222"/>
    </row>
    <row r="654" spans="2:7" ht="12.75">
      <c r="B654" s="70"/>
      <c r="C654" s="70"/>
      <c r="D654" s="12"/>
      <c r="F654" s="12"/>
      <c r="G654" s="222"/>
    </row>
    <row r="655" spans="2:7" ht="12.75">
      <c r="B655" s="70"/>
      <c r="C655" s="70"/>
      <c r="D655" s="12"/>
      <c r="F655" s="12"/>
      <c r="G655" s="222"/>
    </row>
    <row r="656" spans="2:7" ht="12.75">
      <c r="B656" s="70"/>
      <c r="C656" s="70"/>
      <c r="D656" s="12"/>
      <c r="F656" s="12"/>
      <c r="G656" s="222"/>
    </row>
    <row r="657" spans="2:7" ht="12.75">
      <c r="B657" s="70"/>
      <c r="C657" s="70"/>
      <c r="D657" s="12"/>
      <c r="F657" s="12"/>
      <c r="G657" s="222"/>
    </row>
    <row r="658" spans="2:7" ht="12.75">
      <c r="B658" s="70"/>
      <c r="C658" s="70"/>
      <c r="D658" s="12"/>
      <c r="F658" s="12"/>
      <c r="G658" s="222"/>
    </row>
    <row r="659" spans="2:7" ht="12.75">
      <c r="B659" s="70"/>
      <c r="C659" s="70"/>
      <c r="D659" s="12"/>
      <c r="F659" s="12"/>
      <c r="G659" s="222"/>
    </row>
    <row r="660" spans="2:7" ht="12.75">
      <c r="B660" s="70"/>
      <c r="C660" s="70"/>
      <c r="D660" s="12"/>
      <c r="F660" s="12"/>
      <c r="G660" s="222"/>
    </row>
    <row r="661" spans="2:7" ht="12.75">
      <c r="B661" s="70"/>
      <c r="C661" s="70"/>
      <c r="D661" s="12"/>
      <c r="F661" s="12"/>
      <c r="G661" s="222"/>
    </row>
    <row r="662" spans="2:7" ht="12.75">
      <c r="B662" s="70"/>
      <c r="C662" s="70"/>
      <c r="D662" s="12"/>
      <c r="F662" s="12"/>
      <c r="G662" s="222"/>
    </row>
    <row r="663" spans="2:7" ht="12.75">
      <c r="B663" s="70"/>
      <c r="C663" s="70"/>
      <c r="D663" s="12"/>
      <c r="F663" s="12"/>
      <c r="G663" s="222"/>
    </row>
    <row r="664" spans="2:7" ht="12.75">
      <c r="B664" s="70"/>
      <c r="C664" s="70"/>
      <c r="D664" s="12"/>
      <c r="F664" s="12"/>
      <c r="G664" s="222"/>
    </row>
    <row r="665" spans="2:7" ht="12.75">
      <c r="B665" s="70"/>
      <c r="C665" s="70"/>
      <c r="D665" s="12"/>
      <c r="F665" s="12"/>
      <c r="G665" s="222"/>
    </row>
    <row r="666" spans="2:7" ht="12.75">
      <c r="B666" s="70"/>
      <c r="C666" s="70"/>
      <c r="D666" s="12"/>
      <c r="F666" s="12"/>
      <c r="G666" s="222"/>
    </row>
    <row r="667" spans="2:7" ht="12.75">
      <c r="B667" s="70"/>
      <c r="C667" s="70"/>
      <c r="D667" s="12"/>
      <c r="F667" s="12"/>
      <c r="G667" s="222"/>
    </row>
    <row r="668" spans="2:7" ht="12.75">
      <c r="B668" s="70"/>
      <c r="C668" s="70"/>
      <c r="D668" s="12"/>
      <c r="F668" s="12"/>
      <c r="G668" s="222"/>
    </row>
    <row r="669" spans="2:7" ht="12.75">
      <c r="B669" s="70"/>
      <c r="C669" s="70"/>
      <c r="D669" s="12"/>
      <c r="F669" s="12"/>
      <c r="G669" s="222"/>
    </row>
    <row r="670" spans="2:7" ht="12.75">
      <c r="B670" s="70"/>
      <c r="C670" s="70"/>
      <c r="D670" s="12"/>
      <c r="F670" s="12"/>
      <c r="G670" s="222"/>
    </row>
    <row r="671" spans="2:7" ht="12.75">
      <c r="B671" s="70"/>
      <c r="C671" s="70"/>
      <c r="D671" s="12"/>
      <c r="F671" s="12"/>
      <c r="G671" s="222"/>
    </row>
    <row r="672" spans="2:7" ht="12.75">
      <c r="B672" s="70"/>
      <c r="C672" s="70"/>
      <c r="D672" s="12"/>
      <c r="F672" s="12"/>
      <c r="G672" s="222"/>
    </row>
    <row r="673" spans="2:7" ht="12.75">
      <c r="B673" s="70"/>
      <c r="C673" s="70"/>
      <c r="D673" s="12"/>
      <c r="F673" s="12"/>
      <c r="G673" s="222"/>
    </row>
    <row r="674" spans="2:7" ht="12.75">
      <c r="B674" s="70"/>
      <c r="C674" s="70"/>
      <c r="D674" s="12"/>
      <c r="F674" s="12"/>
      <c r="G674" s="222"/>
    </row>
    <row r="675" spans="2:7" ht="12.75">
      <c r="B675" s="70"/>
      <c r="C675" s="70"/>
      <c r="D675" s="12"/>
      <c r="F675" s="12"/>
      <c r="G675" s="222"/>
    </row>
    <row r="676" spans="2:7" ht="12.75">
      <c r="B676" s="70"/>
      <c r="C676" s="70"/>
      <c r="D676" s="12"/>
      <c r="F676" s="12"/>
      <c r="G676" s="222"/>
    </row>
    <row r="677" spans="2:7" ht="12.75">
      <c r="B677" s="70"/>
      <c r="C677" s="70"/>
      <c r="D677" s="12"/>
      <c r="F677" s="12"/>
      <c r="G677" s="222"/>
    </row>
    <row r="678" spans="2:7" ht="12.75">
      <c r="B678" s="70"/>
      <c r="C678" s="70"/>
      <c r="D678" s="12"/>
      <c r="F678" s="12"/>
      <c r="G678" s="222"/>
    </row>
    <row r="679" spans="2:7" ht="12.75">
      <c r="B679" s="70"/>
      <c r="C679" s="70"/>
      <c r="D679" s="12"/>
      <c r="F679" s="12"/>
      <c r="G679" s="222"/>
    </row>
    <row r="680" spans="2:7" ht="12.75">
      <c r="B680" s="70"/>
      <c r="C680" s="70"/>
      <c r="D680" s="12"/>
      <c r="F680" s="12"/>
      <c r="G680" s="222"/>
    </row>
    <row r="681" spans="2:7" ht="12.75">
      <c r="B681" s="70"/>
      <c r="C681" s="70"/>
      <c r="D681" s="12"/>
      <c r="F681" s="12"/>
      <c r="G681" s="222"/>
    </row>
    <row r="682" spans="2:7" ht="12.75">
      <c r="B682" s="70"/>
      <c r="C682" s="70"/>
      <c r="D682" s="12"/>
      <c r="F682" s="12"/>
      <c r="G682" s="222"/>
    </row>
    <row r="683" spans="2:7" ht="12.75">
      <c r="B683" s="70"/>
      <c r="C683" s="70"/>
      <c r="D683" s="12"/>
      <c r="F683" s="12"/>
      <c r="G683" s="222"/>
    </row>
    <row r="684" spans="2:7" ht="12.75">
      <c r="B684" s="70"/>
      <c r="C684" s="70"/>
      <c r="D684" s="12"/>
      <c r="F684" s="12"/>
      <c r="G684" s="222"/>
    </row>
    <row r="685" spans="2:7" ht="12.75">
      <c r="B685" s="70"/>
      <c r="C685" s="70"/>
      <c r="D685" s="12"/>
      <c r="F685" s="12"/>
      <c r="G685" s="222"/>
    </row>
    <row r="686" spans="2:7" ht="12.75">
      <c r="B686" s="70"/>
      <c r="C686" s="70"/>
      <c r="D686" s="12"/>
      <c r="F686" s="12"/>
      <c r="G686" s="222"/>
    </row>
    <row r="687" spans="2:7" ht="12.75">
      <c r="B687" s="70"/>
      <c r="C687" s="70"/>
      <c r="D687" s="12"/>
      <c r="F687" s="12"/>
      <c r="G687" s="222"/>
    </row>
    <row r="688" spans="2:7" ht="12.75">
      <c r="B688" s="70"/>
      <c r="C688" s="70"/>
      <c r="D688" s="12"/>
      <c r="F688" s="12"/>
      <c r="G688" s="222"/>
    </row>
    <row r="689" spans="2:7" ht="12.75">
      <c r="B689" s="70"/>
      <c r="C689" s="70"/>
      <c r="D689" s="12"/>
      <c r="F689" s="12"/>
      <c r="G689" s="222"/>
    </row>
    <row r="690" spans="2:7" ht="12.75">
      <c r="B690" s="70"/>
      <c r="C690" s="70"/>
      <c r="D690" s="12"/>
      <c r="F690" s="12"/>
      <c r="G690" s="222"/>
    </row>
    <row r="691" spans="2:7" ht="12.75">
      <c r="B691" s="70"/>
      <c r="C691" s="70"/>
      <c r="D691" s="12"/>
      <c r="F691" s="12"/>
      <c r="G691" s="222"/>
    </row>
    <row r="692" spans="2:7" ht="12.75">
      <c r="B692" s="70"/>
      <c r="C692" s="70"/>
      <c r="D692" s="12"/>
      <c r="F692" s="12"/>
      <c r="G692" s="222"/>
    </row>
    <row r="693" spans="2:7" ht="12.75">
      <c r="B693" s="70"/>
      <c r="C693" s="70"/>
      <c r="D693" s="12"/>
      <c r="F693" s="12"/>
      <c r="G693" s="222"/>
    </row>
    <row r="694" spans="2:7" ht="12.75">
      <c r="B694" s="70"/>
      <c r="C694" s="70"/>
      <c r="D694" s="12"/>
      <c r="F694" s="12"/>
      <c r="G694" s="222"/>
    </row>
    <row r="695" spans="2:7" ht="12.75">
      <c r="B695" s="70"/>
      <c r="C695" s="70"/>
      <c r="D695" s="12"/>
      <c r="F695" s="12"/>
      <c r="G695" s="222"/>
    </row>
    <row r="696" spans="2:7" ht="12.75">
      <c r="B696" s="70"/>
      <c r="C696" s="70"/>
      <c r="D696" s="12"/>
      <c r="F696" s="12"/>
      <c r="G696" s="222"/>
    </row>
    <row r="697" spans="2:7" ht="12.75">
      <c r="B697" s="70"/>
      <c r="C697" s="70"/>
      <c r="D697" s="12"/>
      <c r="F697" s="12"/>
      <c r="G697" s="222"/>
    </row>
    <row r="698" spans="2:7" ht="12.75">
      <c r="B698" s="70"/>
      <c r="C698" s="70"/>
      <c r="D698" s="12"/>
      <c r="F698" s="12"/>
      <c r="G698" s="222"/>
    </row>
    <row r="699" spans="2:7" ht="12.75">
      <c r="B699" s="70"/>
      <c r="C699" s="70"/>
      <c r="D699" s="12"/>
      <c r="F699" s="12"/>
      <c r="G699" s="222"/>
    </row>
    <row r="700" spans="2:7" ht="12.75">
      <c r="B700" s="70"/>
      <c r="C700" s="70"/>
      <c r="D700" s="12"/>
      <c r="F700" s="12"/>
      <c r="G700" s="222"/>
    </row>
    <row r="701" spans="2:7" ht="12.75">
      <c r="B701" s="70"/>
      <c r="C701" s="70"/>
      <c r="D701" s="12"/>
      <c r="F701" s="12"/>
      <c r="G701" s="222"/>
    </row>
    <row r="702" spans="2:7" ht="12.75">
      <c r="B702" s="70"/>
      <c r="C702" s="70"/>
      <c r="D702" s="12"/>
      <c r="F702" s="12"/>
      <c r="G702" s="222"/>
    </row>
    <row r="703" spans="2:7" ht="12.75">
      <c r="B703" s="70"/>
      <c r="C703" s="70"/>
      <c r="D703" s="12"/>
      <c r="F703" s="12"/>
      <c r="G703" s="222"/>
    </row>
    <row r="704" spans="2:7" ht="12.75">
      <c r="B704" s="70"/>
      <c r="C704" s="70"/>
      <c r="D704" s="12"/>
      <c r="F704" s="12"/>
      <c r="G704" s="222"/>
    </row>
    <row r="705" spans="2:7" ht="12.75">
      <c r="B705" s="70"/>
      <c r="C705" s="70"/>
      <c r="D705" s="12"/>
      <c r="F705" s="12"/>
      <c r="G705" s="222"/>
    </row>
    <row r="706" spans="2:7" ht="12.75">
      <c r="B706" s="70"/>
      <c r="C706" s="70"/>
      <c r="D706" s="12"/>
      <c r="F706" s="12"/>
      <c r="G706" s="222"/>
    </row>
    <row r="707" spans="2:7" ht="12.75">
      <c r="B707" s="70"/>
      <c r="C707" s="70"/>
      <c r="D707" s="12"/>
      <c r="F707" s="12"/>
      <c r="G707" s="222"/>
    </row>
    <row r="708" spans="2:7" ht="12.75">
      <c r="B708" s="70"/>
      <c r="C708" s="70"/>
      <c r="D708" s="12"/>
      <c r="F708" s="12"/>
      <c r="G708" s="222"/>
    </row>
    <row r="709" spans="2:7" ht="12.75">
      <c r="B709" s="70"/>
      <c r="C709" s="70"/>
      <c r="D709" s="12"/>
      <c r="F709" s="12"/>
      <c r="G709" s="222"/>
    </row>
    <row r="710" spans="2:7" ht="12.75">
      <c r="B710" s="70"/>
      <c r="C710" s="70"/>
      <c r="D710" s="12"/>
      <c r="F710" s="12"/>
      <c r="G710" s="222"/>
    </row>
    <row r="711" spans="2:7" ht="12.75">
      <c r="B711" s="70"/>
      <c r="C711" s="70"/>
      <c r="D711" s="12"/>
      <c r="F711" s="12"/>
      <c r="G711" s="222"/>
    </row>
    <row r="712" spans="2:7" ht="12.75">
      <c r="B712" s="70"/>
      <c r="C712" s="70"/>
      <c r="D712" s="12"/>
      <c r="F712" s="12"/>
      <c r="G712" s="222"/>
    </row>
    <row r="713" spans="2:7" ht="12.75">
      <c r="B713" s="70"/>
      <c r="C713" s="70"/>
      <c r="D713" s="12"/>
      <c r="F713" s="12"/>
      <c r="G713" s="222"/>
    </row>
    <row r="714" spans="2:7" ht="12.75">
      <c r="B714" s="70"/>
      <c r="C714" s="70"/>
      <c r="D714" s="12"/>
      <c r="F714" s="12"/>
      <c r="G714" s="222"/>
    </row>
    <row r="715" spans="2:7" ht="12.75">
      <c r="B715" s="70"/>
      <c r="C715" s="70"/>
      <c r="D715" s="12"/>
      <c r="F715" s="12"/>
      <c r="G715" s="222"/>
    </row>
    <row r="716" spans="2:7" ht="12.75">
      <c r="B716" s="70"/>
      <c r="C716" s="70"/>
      <c r="D716" s="12"/>
      <c r="F716" s="12"/>
      <c r="G716" s="222"/>
    </row>
    <row r="717" spans="2:7" ht="12.75">
      <c r="B717" s="70"/>
      <c r="C717" s="70"/>
      <c r="D717" s="12"/>
      <c r="F717" s="12"/>
      <c r="G717" s="222"/>
    </row>
    <row r="718" spans="2:7" ht="12.75">
      <c r="B718" s="70"/>
      <c r="C718" s="70"/>
      <c r="D718" s="12"/>
      <c r="F718" s="12"/>
      <c r="G718" s="222"/>
    </row>
    <row r="719" spans="2:7" ht="12.75">
      <c r="B719" s="70"/>
      <c r="C719" s="70"/>
      <c r="D719" s="12"/>
      <c r="F719" s="12"/>
      <c r="G719" s="222"/>
    </row>
    <row r="720" spans="2:7" ht="12.75">
      <c r="B720" s="70"/>
      <c r="C720" s="70"/>
      <c r="D720" s="12"/>
      <c r="F720" s="12"/>
      <c r="G720" s="222"/>
    </row>
    <row r="721" spans="2:7" ht="12.75">
      <c r="B721" s="70"/>
      <c r="C721" s="70"/>
      <c r="D721" s="12"/>
      <c r="F721" s="12"/>
      <c r="G721" s="222"/>
    </row>
    <row r="722" spans="2:7" ht="12.75">
      <c r="B722" s="70"/>
      <c r="C722" s="70"/>
      <c r="D722" s="12"/>
      <c r="F722" s="12"/>
      <c r="G722" s="222"/>
    </row>
    <row r="723" spans="2:7" ht="12.75">
      <c r="B723" s="70"/>
      <c r="C723" s="70"/>
      <c r="D723" s="12"/>
      <c r="F723" s="12"/>
      <c r="G723" s="222"/>
    </row>
    <row r="724" spans="2:7" ht="12.75">
      <c r="B724" s="70"/>
      <c r="C724" s="70"/>
      <c r="D724" s="12"/>
      <c r="F724" s="12"/>
      <c r="G724" s="222"/>
    </row>
    <row r="725" spans="2:7" ht="12.75">
      <c r="B725" s="70"/>
      <c r="C725" s="70"/>
      <c r="D725" s="12"/>
      <c r="F725" s="12"/>
      <c r="G725" s="222"/>
    </row>
    <row r="726" spans="2:7" ht="12.75">
      <c r="B726" s="70"/>
      <c r="C726" s="70"/>
      <c r="D726" s="12"/>
      <c r="F726" s="12"/>
      <c r="G726" s="222"/>
    </row>
    <row r="727" spans="2:7" ht="12.75">
      <c r="B727" s="70"/>
      <c r="C727" s="70"/>
      <c r="D727" s="12"/>
      <c r="F727" s="12"/>
      <c r="G727" s="222"/>
    </row>
    <row r="728" spans="2:7" ht="12.75">
      <c r="B728" s="70"/>
      <c r="C728" s="70"/>
      <c r="D728" s="12"/>
      <c r="F728" s="12"/>
      <c r="G728" s="222"/>
    </row>
    <row r="729" spans="2:7" ht="12.75">
      <c r="B729" s="70"/>
      <c r="C729" s="70"/>
      <c r="D729" s="12"/>
      <c r="F729" s="12"/>
      <c r="G729" s="222"/>
    </row>
    <row r="730" spans="2:7" ht="12.75">
      <c r="B730" s="70"/>
      <c r="C730" s="70"/>
      <c r="D730" s="12"/>
      <c r="F730" s="12"/>
      <c r="G730" s="222"/>
    </row>
    <row r="731" spans="2:7" ht="12.75">
      <c r="B731" s="70"/>
      <c r="C731" s="70"/>
      <c r="D731" s="12"/>
      <c r="F731" s="12"/>
      <c r="G731" s="222"/>
    </row>
    <row r="732" spans="2:7" ht="12.75">
      <c r="B732" s="70"/>
      <c r="C732" s="70"/>
      <c r="D732" s="12"/>
      <c r="F732" s="12"/>
      <c r="G732" s="222"/>
    </row>
    <row r="733" spans="2:7" ht="12.75">
      <c r="B733" s="70"/>
      <c r="C733" s="70"/>
      <c r="D733" s="12"/>
      <c r="F733" s="12"/>
      <c r="G733" s="222"/>
    </row>
    <row r="734" spans="2:7" ht="12.75">
      <c r="B734" s="70"/>
      <c r="C734" s="70"/>
      <c r="D734" s="12"/>
      <c r="F734" s="12"/>
      <c r="G734" s="222"/>
    </row>
    <row r="735" spans="2:7" ht="12.75">
      <c r="B735" s="70"/>
      <c r="C735" s="70"/>
      <c r="D735" s="12"/>
      <c r="F735" s="12"/>
      <c r="G735" s="222"/>
    </row>
    <row r="736" spans="2:7" ht="12.75">
      <c r="B736" s="70"/>
      <c r="C736" s="70"/>
      <c r="D736" s="12"/>
      <c r="F736" s="12"/>
      <c r="G736" s="222"/>
    </row>
    <row r="737" spans="2:7" ht="12.75">
      <c r="B737" s="70"/>
      <c r="C737" s="70"/>
      <c r="D737" s="12"/>
      <c r="F737" s="12"/>
      <c r="G737" s="222"/>
    </row>
    <row r="738" spans="2:7" ht="12.75">
      <c r="B738" s="70"/>
      <c r="C738" s="70"/>
      <c r="D738" s="12"/>
      <c r="F738" s="12"/>
      <c r="G738" s="222"/>
    </row>
    <row r="739" spans="2:7" ht="12.75">
      <c r="B739" s="70"/>
      <c r="C739" s="70"/>
      <c r="D739" s="12"/>
      <c r="F739" s="12"/>
      <c r="G739" s="222"/>
    </row>
    <row r="740" spans="2:7" ht="12.75">
      <c r="B740" s="70"/>
      <c r="C740" s="70"/>
      <c r="D740" s="12"/>
      <c r="F740" s="12"/>
      <c r="G740" s="222"/>
    </row>
    <row r="741" spans="2:7" ht="12.75">
      <c r="B741" s="70"/>
      <c r="C741" s="70"/>
      <c r="D741" s="12"/>
      <c r="F741" s="12"/>
      <c r="G741" s="222"/>
    </row>
    <row r="742" spans="2:7" ht="12.75">
      <c r="B742" s="70"/>
      <c r="C742" s="70"/>
      <c r="D742" s="12"/>
      <c r="F742" s="12"/>
      <c r="G742" s="222"/>
    </row>
    <row r="743" spans="2:7" ht="12.75">
      <c r="B743" s="70"/>
      <c r="C743" s="70"/>
      <c r="D743" s="12"/>
      <c r="F743" s="12"/>
      <c r="G743" s="222"/>
    </row>
    <row r="744" spans="2:7" ht="12.75">
      <c r="B744" s="70"/>
      <c r="C744" s="70"/>
      <c r="D744" s="12"/>
      <c r="F744" s="12"/>
      <c r="G744" s="222"/>
    </row>
    <row r="745" spans="2:7" ht="12.75">
      <c r="B745" s="70"/>
      <c r="C745" s="70"/>
      <c r="D745" s="12"/>
      <c r="F745" s="12"/>
      <c r="G745" s="222"/>
    </row>
    <row r="746" spans="2:7" ht="12.75">
      <c r="B746" s="70"/>
      <c r="C746" s="70"/>
      <c r="D746" s="12"/>
      <c r="F746" s="12"/>
      <c r="G746" s="222"/>
    </row>
    <row r="747" spans="2:7" ht="12.75">
      <c r="B747" s="70"/>
      <c r="C747" s="70"/>
      <c r="D747" s="12"/>
      <c r="F747" s="12"/>
      <c r="G747" s="222"/>
    </row>
    <row r="748" spans="2:7" ht="12.75">
      <c r="B748" s="70"/>
      <c r="C748" s="70"/>
      <c r="D748" s="12"/>
      <c r="F748" s="12"/>
      <c r="G748" s="222"/>
    </row>
    <row r="749" spans="2:7" ht="12.75">
      <c r="B749" s="70"/>
      <c r="C749" s="70"/>
      <c r="D749" s="12"/>
      <c r="F749" s="12"/>
      <c r="G749" s="222"/>
    </row>
    <row r="750" spans="2:7" ht="12.75">
      <c r="B750" s="70"/>
      <c r="C750" s="70"/>
      <c r="D750" s="12"/>
      <c r="F750" s="12"/>
      <c r="G750" s="222"/>
    </row>
    <row r="751" spans="2:7" ht="12.75">
      <c r="B751" s="70"/>
      <c r="C751" s="70"/>
      <c r="D751" s="12"/>
      <c r="F751" s="12"/>
      <c r="G751" s="222"/>
    </row>
    <row r="752" spans="2:7" ht="12.75">
      <c r="B752" s="70"/>
      <c r="C752" s="70"/>
      <c r="D752" s="12"/>
      <c r="F752" s="12"/>
      <c r="G752" s="222"/>
    </row>
    <row r="753" spans="2:7" ht="12.75">
      <c r="B753" s="70"/>
      <c r="C753" s="70"/>
      <c r="D753" s="12"/>
      <c r="F753" s="12"/>
      <c r="G753" s="222"/>
    </row>
    <row r="754" spans="2:7" ht="12.75">
      <c r="B754" s="70"/>
      <c r="C754" s="70"/>
      <c r="D754" s="12"/>
      <c r="F754" s="12"/>
      <c r="G754" s="222"/>
    </row>
    <row r="755" spans="2:7" ht="12.75">
      <c r="B755" s="70"/>
      <c r="C755" s="70"/>
      <c r="D755" s="12"/>
      <c r="F755" s="12"/>
      <c r="G755" s="222"/>
    </row>
    <row r="756" spans="2:7" ht="12.75">
      <c r="B756" s="70"/>
      <c r="C756" s="70"/>
      <c r="D756" s="12"/>
      <c r="F756" s="12"/>
      <c r="G756" s="222"/>
    </row>
    <row r="757" spans="2:7" ht="12.75">
      <c r="B757" s="70"/>
      <c r="C757" s="70"/>
      <c r="D757" s="12"/>
      <c r="F757" s="12"/>
      <c r="G757" s="222"/>
    </row>
    <row r="758" spans="2:7" ht="12.75">
      <c r="B758" s="70"/>
      <c r="C758" s="70"/>
      <c r="D758" s="12"/>
      <c r="F758" s="12"/>
      <c r="G758" s="222"/>
    </row>
    <row r="759" spans="2:7" ht="12.75">
      <c r="B759" s="70"/>
      <c r="C759" s="70"/>
      <c r="D759" s="12"/>
      <c r="F759" s="12"/>
      <c r="G759" s="222"/>
    </row>
    <row r="760" spans="2:7" ht="12.75">
      <c r="B760" s="70"/>
      <c r="C760" s="70"/>
      <c r="D760" s="12"/>
      <c r="F760" s="12"/>
      <c r="G760" s="222"/>
    </row>
    <row r="761" spans="2:7" ht="12.75">
      <c r="B761" s="70"/>
      <c r="C761" s="70"/>
      <c r="D761" s="12"/>
      <c r="F761" s="12"/>
      <c r="G761" s="222"/>
    </row>
    <row r="762" spans="2:7" ht="12.75">
      <c r="B762" s="70"/>
      <c r="C762" s="70"/>
      <c r="D762" s="12"/>
      <c r="F762" s="12"/>
      <c r="G762" s="222"/>
    </row>
    <row r="763" spans="2:7" ht="12.75">
      <c r="B763" s="70"/>
      <c r="C763" s="70"/>
      <c r="D763" s="12"/>
      <c r="F763" s="12"/>
      <c r="G763" s="222"/>
    </row>
    <row r="764" spans="2:7" ht="12.75">
      <c r="B764" s="70"/>
      <c r="C764" s="70"/>
      <c r="D764" s="12"/>
      <c r="F764" s="12"/>
      <c r="G764" s="222"/>
    </row>
    <row r="765" spans="2:7" ht="12.75">
      <c r="B765" s="70"/>
      <c r="C765" s="70"/>
      <c r="D765" s="12"/>
      <c r="F765" s="12"/>
      <c r="G765" s="222"/>
    </row>
    <row r="766" spans="2:7" ht="12.75">
      <c r="B766" s="70"/>
      <c r="C766" s="70"/>
      <c r="D766" s="12"/>
      <c r="F766" s="12"/>
      <c r="G766" s="222"/>
    </row>
    <row r="767" spans="2:7" ht="12.75">
      <c r="B767" s="70"/>
      <c r="C767" s="70"/>
      <c r="D767" s="12"/>
      <c r="F767" s="12"/>
      <c r="G767" s="222"/>
    </row>
    <row r="768" spans="2:7" ht="12.75">
      <c r="B768" s="70"/>
      <c r="C768" s="70"/>
      <c r="D768" s="12"/>
      <c r="F768" s="12"/>
      <c r="G768" s="222"/>
    </row>
    <row r="769" spans="2:7" ht="12.75">
      <c r="B769" s="70"/>
      <c r="C769" s="70"/>
      <c r="D769" s="12"/>
      <c r="F769" s="12"/>
      <c r="G769" s="222"/>
    </row>
    <row r="770" spans="2:7" ht="12.75">
      <c r="B770" s="70"/>
      <c r="C770" s="70"/>
      <c r="D770" s="12"/>
      <c r="F770" s="12"/>
      <c r="G770" s="222"/>
    </row>
    <row r="771" spans="2:7" ht="12.75">
      <c r="B771" s="70"/>
      <c r="C771" s="70"/>
      <c r="D771" s="12"/>
      <c r="F771" s="12"/>
      <c r="G771" s="222"/>
    </row>
    <row r="772" spans="2:7" ht="12.75">
      <c r="B772" s="70"/>
      <c r="C772" s="70"/>
      <c r="D772" s="12"/>
      <c r="F772" s="12"/>
      <c r="G772" s="222"/>
    </row>
    <row r="773" spans="2:7" ht="12.75">
      <c r="B773" s="70"/>
      <c r="C773" s="70"/>
      <c r="D773" s="12"/>
      <c r="F773" s="12"/>
      <c r="G773" s="222"/>
    </row>
    <row r="774" spans="2:7" ht="12.75">
      <c r="B774" s="70"/>
      <c r="C774" s="70"/>
      <c r="D774" s="12"/>
      <c r="F774" s="12"/>
      <c r="G774" s="222"/>
    </row>
    <row r="775" spans="2:7" ht="12.75">
      <c r="B775" s="70"/>
      <c r="C775" s="70"/>
      <c r="D775" s="12"/>
      <c r="F775" s="12"/>
      <c r="G775" s="222"/>
    </row>
    <row r="776" spans="2:7" ht="12.75">
      <c r="B776" s="70"/>
      <c r="C776" s="70"/>
      <c r="D776" s="12"/>
      <c r="F776" s="12"/>
      <c r="G776" s="222"/>
    </row>
    <row r="777" spans="2:7" ht="12.75">
      <c r="B777" s="70"/>
      <c r="C777" s="70"/>
      <c r="D777" s="12"/>
      <c r="F777" s="12"/>
      <c r="G777" s="222"/>
    </row>
    <row r="778" spans="2:7" ht="12.75">
      <c r="B778" s="70"/>
      <c r="C778" s="70"/>
      <c r="D778" s="12"/>
      <c r="F778" s="12"/>
      <c r="G778" s="222"/>
    </row>
    <row r="779" spans="2:7" ht="12.75">
      <c r="B779" s="70"/>
      <c r="C779" s="70"/>
      <c r="D779" s="12"/>
      <c r="F779" s="12"/>
      <c r="G779" s="222"/>
    </row>
    <row r="780" spans="2:7" ht="12.75">
      <c r="B780" s="70"/>
      <c r="C780" s="70"/>
      <c r="D780" s="12"/>
      <c r="F780" s="12"/>
      <c r="G780" s="222"/>
    </row>
    <row r="781" spans="2:7" ht="12.75">
      <c r="B781" s="70"/>
      <c r="C781" s="70"/>
      <c r="D781" s="12"/>
      <c r="F781" s="12"/>
      <c r="G781" s="222"/>
    </row>
    <row r="782" spans="2:7" ht="12.75">
      <c r="B782" s="70"/>
      <c r="C782" s="70"/>
      <c r="D782" s="12"/>
      <c r="F782" s="12"/>
      <c r="G782" s="222"/>
    </row>
    <row r="783" spans="2:7" ht="12.75">
      <c r="B783" s="70"/>
      <c r="C783" s="70"/>
      <c r="D783" s="12"/>
      <c r="F783" s="12"/>
      <c r="G783" s="222"/>
    </row>
    <row r="784" spans="2:7" ht="12.75">
      <c r="B784" s="70"/>
      <c r="C784" s="70"/>
      <c r="D784" s="12"/>
      <c r="F784" s="12"/>
      <c r="G784" s="222"/>
    </row>
    <row r="785" spans="2:7" ht="12.75">
      <c r="B785" s="70"/>
      <c r="C785" s="70"/>
      <c r="D785" s="12"/>
      <c r="F785" s="12"/>
      <c r="G785" s="222"/>
    </row>
    <row r="786" spans="2:7" ht="12.75">
      <c r="B786" s="70"/>
      <c r="C786" s="70"/>
      <c r="D786" s="12"/>
      <c r="F786" s="12"/>
      <c r="G786" s="222"/>
    </row>
    <row r="787" spans="2:7" ht="12.75">
      <c r="B787" s="70"/>
      <c r="C787" s="70"/>
      <c r="D787" s="12"/>
      <c r="F787" s="12"/>
      <c r="G787" s="222"/>
    </row>
    <row r="788" spans="2:7" ht="12.75">
      <c r="B788" s="70"/>
      <c r="C788" s="70"/>
      <c r="D788" s="12"/>
      <c r="F788" s="12"/>
      <c r="G788" s="222"/>
    </row>
    <row r="789" spans="2:7" ht="12.75">
      <c r="B789" s="70"/>
      <c r="C789" s="70"/>
      <c r="D789" s="12"/>
      <c r="F789" s="12"/>
      <c r="G789" s="222"/>
    </row>
    <row r="790" spans="2:7" ht="12.75">
      <c r="B790" s="70"/>
      <c r="C790" s="70"/>
      <c r="D790" s="12"/>
      <c r="F790" s="12"/>
      <c r="G790" s="222"/>
    </row>
    <row r="791" spans="2:7" ht="12.75">
      <c r="B791" s="70"/>
      <c r="C791" s="70"/>
      <c r="D791" s="12"/>
      <c r="F791" s="12"/>
      <c r="G791" s="222"/>
    </row>
    <row r="792" spans="2:7" ht="12.75">
      <c r="B792" s="70"/>
      <c r="C792" s="70"/>
      <c r="D792" s="12"/>
      <c r="F792" s="12"/>
      <c r="G792" s="222"/>
    </row>
    <row r="793" spans="2:7" ht="12.75">
      <c r="B793" s="70"/>
      <c r="C793" s="70"/>
      <c r="D793" s="12"/>
      <c r="F793" s="12"/>
      <c r="G793" s="222"/>
    </row>
    <row r="794" spans="2:7" ht="12.75">
      <c r="B794" s="70"/>
      <c r="C794" s="70"/>
      <c r="D794" s="12"/>
      <c r="F794" s="12"/>
      <c r="G794" s="222"/>
    </row>
    <row r="795" spans="2:7" ht="12.75">
      <c r="B795" s="70"/>
      <c r="C795" s="70"/>
      <c r="D795" s="12"/>
      <c r="F795" s="12"/>
      <c r="G795" s="222"/>
    </row>
    <row r="796" spans="2:7" ht="12.75">
      <c r="B796" s="70"/>
      <c r="C796" s="70"/>
      <c r="D796" s="12"/>
      <c r="F796" s="12"/>
      <c r="G796" s="222"/>
    </row>
    <row r="797" spans="2:7" ht="12.75">
      <c r="B797" s="70"/>
      <c r="C797" s="70"/>
      <c r="D797" s="12"/>
      <c r="F797" s="12"/>
      <c r="G797" s="222"/>
    </row>
    <row r="798" spans="2:7" ht="12.75">
      <c r="B798" s="70"/>
      <c r="C798" s="70"/>
      <c r="D798" s="12"/>
      <c r="F798" s="12"/>
      <c r="G798" s="222"/>
    </row>
    <row r="799" spans="2:7" ht="12.75">
      <c r="B799" s="70"/>
      <c r="C799" s="70"/>
      <c r="D799" s="12"/>
      <c r="F799" s="12"/>
      <c r="G799" s="222"/>
    </row>
    <row r="800" spans="2:7" ht="12.75">
      <c r="B800" s="70"/>
      <c r="C800" s="70"/>
      <c r="D800" s="12"/>
      <c r="F800" s="12"/>
      <c r="G800" s="222"/>
    </row>
    <row r="801" spans="2:7" ht="12.75">
      <c r="B801" s="70"/>
      <c r="C801" s="70"/>
      <c r="D801" s="12"/>
      <c r="F801" s="12"/>
      <c r="G801" s="222"/>
    </row>
    <row r="802" spans="2:7" ht="12.75">
      <c r="B802" s="70"/>
      <c r="C802" s="70"/>
      <c r="D802" s="12"/>
      <c r="F802" s="12"/>
      <c r="G802" s="222"/>
    </row>
    <row r="803" spans="2:7" ht="12.75">
      <c r="B803" s="70"/>
      <c r="C803" s="70"/>
      <c r="D803" s="12"/>
      <c r="F803" s="12"/>
      <c r="G803" s="222"/>
    </row>
    <row r="804" spans="2:7" ht="12.75">
      <c r="B804" s="70"/>
      <c r="C804" s="70"/>
      <c r="D804" s="12"/>
      <c r="F804" s="12"/>
      <c r="G804" s="222"/>
    </row>
    <row r="805" spans="2:7" ht="12.75">
      <c r="B805" s="70"/>
      <c r="C805" s="70"/>
      <c r="D805" s="12"/>
      <c r="F805" s="12"/>
      <c r="G805" s="222"/>
    </row>
    <row r="806" spans="2:7" ht="12.75">
      <c r="B806" s="70"/>
      <c r="C806" s="70"/>
      <c r="D806" s="12"/>
      <c r="F806" s="12"/>
      <c r="G806" s="222"/>
    </row>
    <row r="807" spans="2:7" ht="12.75">
      <c r="B807" s="70"/>
      <c r="C807" s="70"/>
      <c r="D807" s="12"/>
      <c r="F807" s="12"/>
      <c r="G807" s="222"/>
    </row>
    <row r="808" spans="2:7" ht="12.75">
      <c r="B808" s="70"/>
      <c r="C808" s="70"/>
      <c r="D808" s="12"/>
      <c r="F808" s="12"/>
      <c r="G808" s="222"/>
    </row>
    <row r="809" spans="2:7" ht="12.75">
      <c r="B809" s="70"/>
      <c r="C809" s="70"/>
      <c r="D809" s="12"/>
      <c r="F809" s="12"/>
      <c r="G809" s="222"/>
    </row>
    <row r="810" spans="2:7" ht="12.75">
      <c r="B810" s="70"/>
      <c r="C810" s="70"/>
      <c r="D810" s="12"/>
      <c r="F810" s="12"/>
      <c r="G810" s="222"/>
    </row>
    <row r="811" spans="2:7" ht="12.75">
      <c r="B811" s="70"/>
      <c r="C811" s="70"/>
      <c r="D811" s="12"/>
      <c r="F811" s="12"/>
      <c r="G811" s="222"/>
    </row>
    <row r="812" spans="2:7" ht="12.75">
      <c r="B812" s="70"/>
      <c r="C812" s="70"/>
      <c r="D812" s="12"/>
      <c r="F812" s="12"/>
      <c r="G812" s="222"/>
    </row>
    <row r="813" spans="2:7" ht="12.75">
      <c r="B813" s="70"/>
      <c r="C813" s="70"/>
      <c r="D813" s="12"/>
      <c r="F813" s="12"/>
      <c r="G813" s="222"/>
    </row>
    <row r="814" spans="2:7" ht="12.75">
      <c r="B814" s="70"/>
      <c r="C814" s="70"/>
      <c r="D814" s="12"/>
      <c r="F814" s="12"/>
      <c r="G814" s="222"/>
    </row>
    <row r="815" spans="2:7" ht="12.75">
      <c r="B815" s="70"/>
      <c r="C815" s="70"/>
      <c r="D815" s="12"/>
      <c r="F815" s="12"/>
      <c r="G815" s="222"/>
    </row>
    <row r="816" spans="2:7" ht="12.75">
      <c r="B816" s="70"/>
      <c r="C816" s="70"/>
      <c r="D816" s="12"/>
      <c r="F816" s="12"/>
      <c r="G816" s="222"/>
    </row>
    <row r="817" spans="2:7" ht="12.75">
      <c r="B817" s="70"/>
      <c r="C817" s="70"/>
      <c r="D817" s="12"/>
      <c r="F817" s="12"/>
      <c r="G817" s="222"/>
    </row>
    <row r="818" spans="2:7" ht="12.75">
      <c r="B818" s="70"/>
      <c r="C818" s="70"/>
      <c r="D818" s="12"/>
      <c r="F818" s="12"/>
      <c r="G818" s="222"/>
    </row>
    <row r="819" spans="2:7" ht="12.75">
      <c r="B819" s="70"/>
      <c r="C819" s="70"/>
      <c r="D819" s="12"/>
      <c r="F819" s="12"/>
      <c r="G819" s="222"/>
    </row>
    <row r="820" spans="2:7" ht="12.75">
      <c r="B820" s="70"/>
      <c r="C820" s="70"/>
      <c r="D820" s="12"/>
      <c r="F820" s="12"/>
      <c r="G820" s="222"/>
    </row>
    <row r="821" spans="2:7" ht="12.75">
      <c r="B821" s="70"/>
      <c r="C821" s="70"/>
      <c r="D821" s="12"/>
      <c r="F821" s="12"/>
      <c r="G821" s="222"/>
    </row>
    <row r="822" spans="2:7" ht="12.75">
      <c r="B822" s="70"/>
      <c r="C822" s="70"/>
      <c r="D822" s="12"/>
      <c r="F822" s="12"/>
      <c r="G822" s="222"/>
    </row>
    <row r="823" spans="2:7" ht="12.75">
      <c r="B823" s="70"/>
      <c r="C823" s="70"/>
      <c r="D823" s="12"/>
      <c r="F823" s="12"/>
      <c r="G823" s="222"/>
    </row>
    <row r="824" spans="2:7" ht="12.75">
      <c r="B824" s="70"/>
      <c r="C824" s="70"/>
      <c r="D824" s="12"/>
      <c r="F824" s="12"/>
      <c r="G824" s="222"/>
    </row>
    <row r="825" spans="2:7" ht="12.75">
      <c r="B825" s="70"/>
      <c r="C825" s="70"/>
      <c r="D825" s="12"/>
      <c r="F825" s="12"/>
      <c r="G825" s="222"/>
    </row>
    <row r="826" spans="2:7" ht="12.75">
      <c r="B826" s="70"/>
      <c r="C826" s="70"/>
      <c r="D826" s="12"/>
      <c r="F826" s="12"/>
      <c r="G826" s="222"/>
    </row>
    <row r="827" spans="2:7" ht="12.75">
      <c r="B827" s="70"/>
      <c r="C827" s="70"/>
      <c r="D827" s="12"/>
      <c r="F827" s="12"/>
      <c r="G827" s="222"/>
    </row>
    <row r="828" spans="2:7" ht="12.75">
      <c r="B828" s="70"/>
      <c r="C828" s="70"/>
      <c r="D828" s="12"/>
      <c r="F828" s="12"/>
      <c r="G828" s="222"/>
    </row>
    <row r="829" spans="2:7" ht="12.75">
      <c r="B829" s="70"/>
      <c r="C829" s="70"/>
      <c r="D829" s="12"/>
      <c r="F829" s="12"/>
      <c r="G829" s="222"/>
    </row>
    <row r="830" spans="2:7" ht="12.75">
      <c r="B830" s="70"/>
      <c r="C830" s="70"/>
      <c r="D830" s="12"/>
      <c r="F830" s="12"/>
      <c r="G830" s="222"/>
    </row>
    <row r="831" spans="2:7" ht="12.75">
      <c r="B831" s="70"/>
      <c r="C831" s="70"/>
      <c r="D831" s="12"/>
      <c r="F831" s="12"/>
      <c r="G831" s="222"/>
    </row>
    <row r="832" spans="2:7" ht="12.75">
      <c r="B832" s="70"/>
      <c r="C832" s="70"/>
      <c r="D832" s="12"/>
      <c r="F832" s="12"/>
      <c r="G832" s="222"/>
    </row>
    <row r="833" spans="2:7" ht="12.75">
      <c r="B833" s="70"/>
      <c r="C833" s="70"/>
      <c r="D833" s="12"/>
      <c r="F833" s="12"/>
      <c r="G833" s="222"/>
    </row>
    <row r="834" spans="2:7" ht="12.75">
      <c r="B834" s="70"/>
      <c r="C834" s="70"/>
      <c r="D834" s="12"/>
      <c r="F834" s="12"/>
      <c r="G834" s="222"/>
    </row>
    <row r="835" spans="2:7" ht="12.75">
      <c r="B835" s="70"/>
      <c r="C835" s="70"/>
      <c r="D835" s="12"/>
      <c r="F835" s="12"/>
      <c r="G835" s="222"/>
    </row>
    <row r="836" spans="2:7" ht="12.75">
      <c r="B836" s="70"/>
      <c r="C836" s="70"/>
      <c r="D836" s="12"/>
      <c r="F836" s="12"/>
      <c r="G836" s="222"/>
    </row>
    <row r="837" spans="2:7" ht="12.75">
      <c r="B837" s="70"/>
      <c r="C837" s="70"/>
      <c r="D837" s="12"/>
      <c r="F837" s="12"/>
      <c r="G837" s="222"/>
    </row>
    <row r="838" spans="2:7" ht="12.75">
      <c r="B838" s="70"/>
      <c r="C838" s="70"/>
      <c r="D838" s="12"/>
      <c r="F838" s="12"/>
      <c r="G838" s="222"/>
    </row>
    <row r="839" spans="2:7" ht="12.75">
      <c r="B839" s="70"/>
      <c r="C839" s="70"/>
      <c r="D839" s="12"/>
      <c r="F839" s="12"/>
      <c r="G839" s="222"/>
    </row>
    <row r="840" spans="2:7" ht="12.75">
      <c r="B840" s="70"/>
      <c r="C840" s="70"/>
      <c r="D840" s="12"/>
      <c r="F840" s="12"/>
      <c r="G840" s="222"/>
    </row>
    <row r="841" spans="2:7" ht="12.75">
      <c r="B841" s="70"/>
      <c r="C841" s="70"/>
      <c r="D841" s="12"/>
      <c r="F841" s="12"/>
      <c r="G841" s="222"/>
    </row>
    <row r="842" spans="2:7" ht="12.75">
      <c r="B842" s="70"/>
      <c r="C842" s="70"/>
      <c r="D842" s="12"/>
      <c r="F842" s="12"/>
      <c r="G842" s="222"/>
    </row>
    <row r="843" spans="2:7" ht="12.75">
      <c r="B843" s="70"/>
      <c r="C843" s="70"/>
      <c r="D843" s="12"/>
      <c r="F843" s="12"/>
      <c r="G843" s="222"/>
    </row>
    <row r="844" spans="2:7" ht="12.75">
      <c r="B844" s="70"/>
      <c r="C844" s="70"/>
      <c r="D844" s="12"/>
      <c r="F844" s="12"/>
      <c r="G844" s="222"/>
    </row>
    <row r="845" spans="2:7" ht="12.75">
      <c r="B845" s="70"/>
      <c r="C845" s="70"/>
      <c r="D845" s="12"/>
      <c r="F845" s="12"/>
      <c r="G845" s="222"/>
    </row>
    <row r="846" spans="2:7" ht="12.75">
      <c r="B846" s="70"/>
      <c r="C846" s="70"/>
      <c r="D846" s="12"/>
      <c r="F846" s="12"/>
      <c r="G846" s="222"/>
    </row>
    <row r="847" spans="2:7" ht="12.75">
      <c r="B847" s="70"/>
      <c r="C847" s="70"/>
      <c r="D847" s="12"/>
      <c r="F847" s="12"/>
      <c r="G847" s="222"/>
    </row>
    <row r="848" spans="2:7" ht="12.75">
      <c r="B848" s="70"/>
      <c r="C848" s="70"/>
      <c r="D848" s="12"/>
      <c r="F848" s="12"/>
      <c r="G848" s="222"/>
    </row>
    <row r="849" spans="2:7" ht="12.75">
      <c r="B849" s="70"/>
      <c r="C849" s="70"/>
      <c r="D849" s="12"/>
      <c r="F849" s="12"/>
      <c r="G849" s="222"/>
    </row>
    <row r="850" spans="2:7" ht="12.75">
      <c r="B850" s="70"/>
      <c r="C850" s="70"/>
      <c r="D850" s="12"/>
      <c r="F850" s="12"/>
      <c r="G850" s="222"/>
    </row>
    <row r="851" spans="2:7" ht="12.75">
      <c r="B851" s="70"/>
      <c r="C851" s="70"/>
      <c r="D851" s="12"/>
      <c r="F851" s="12"/>
      <c r="G851" s="222"/>
    </row>
    <row r="852" spans="2:7" ht="12.75">
      <c r="B852" s="70"/>
      <c r="C852" s="70"/>
      <c r="D852" s="12"/>
      <c r="F852" s="12"/>
      <c r="G852" s="222"/>
    </row>
    <row r="853" spans="2:7" ht="12.75">
      <c r="B853" s="70"/>
      <c r="C853" s="70"/>
      <c r="D853" s="12"/>
      <c r="F853" s="12"/>
      <c r="G853" s="222"/>
    </row>
    <row r="854" spans="2:7" ht="12.75">
      <c r="B854" s="70"/>
      <c r="C854" s="70"/>
      <c r="D854" s="12"/>
      <c r="F854" s="12"/>
      <c r="G854" s="222"/>
    </row>
    <row r="855" spans="2:7" ht="12.75">
      <c r="B855" s="70"/>
      <c r="C855" s="70"/>
      <c r="D855" s="12"/>
      <c r="F855" s="12"/>
      <c r="G855" s="222"/>
    </row>
    <row r="856" spans="2:7" ht="12.75">
      <c r="B856" s="70"/>
      <c r="C856" s="70"/>
      <c r="D856" s="12"/>
      <c r="F856" s="12"/>
      <c r="G856" s="222"/>
    </row>
    <row r="857" spans="2:7" ht="12.75">
      <c r="B857" s="70"/>
      <c r="C857" s="70"/>
      <c r="D857" s="12"/>
      <c r="F857" s="12"/>
      <c r="G857" s="222"/>
    </row>
    <row r="858" spans="2:7" ht="12.75">
      <c r="B858" s="70"/>
      <c r="C858" s="70"/>
      <c r="D858" s="12"/>
      <c r="F858" s="12"/>
      <c r="G858" s="222"/>
    </row>
    <row r="859" spans="2:7" ht="12.75">
      <c r="B859" s="70"/>
      <c r="C859" s="70"/>
      <c r="D859" s="12"/>
      <c r="F859" s="12"/>
      <c r="G859" s="222"/>
    </row>
    <row r="860" spans="2:7" ht="12.75">
      <c r="B860" s="70"/>
      <c r="C860" s="70"/>
      <c r="D860" s="12"/>
      <c r="F860" s="12"/>
      <c r="G860" s="222"/>
    </row>
    <row r="861" spans="2:7" ht="12.75">
      <c r="B861" s="70"/>
      <c r="C861" s="70"/>
      <c r="D861" s="12"/>
      <c r="F861" s="12"/>
      <c r="G861" s="222"/>
    </row>
    <row r="862" spans="2:7" ht="12.75">
      <c r="B862" s="70"/>
      <c r="C862" s="70"/>
      <c r="D862" s="12"/>
      <c r="F862" s="12"/>
      <c r="G862" s="222"/>
    </row>
    <row r="863" spans="2:7" ht="12.75">
      <c r="B863" s="70"/>
      <c r="C863" s="70"/>
      <c r="D863" s="12"/>
      <c r="F863" s="12"/>
      <c r="G863" s="222"/>
    </row>
    <row r="864" spans="2:7" ht="12.75">
      <c r="B864" s="70"/>
      <c r="C864" s="70"/>
      <c r="D864" s="12"/>
      <c r="F864" s="12"/>
      <c r="G864" s="222"/>
    </row>
    <row r="865" spans="2:7" ht="12.75">
      <c r="B865" s="70"/>
      <c r="C865" s="70"/>
      <c r="D865" s="12"/>
      <c r="F865" s="12"/>
      <c r="G865" s="222"/>
    </row>
    <row r="866" spans="2:7" ht="12.75">
      <c r="B866" s="70"/>
      <c r="C866" s="70"/>
      <c r="D866" s="12"/>
      <c r="F866" s="12"/>
      <c r="G866" s="222"/>
    </row>
    <row r="867" spans="2:7" ht="12.75">
      <c r="B867" s="70"/>
      <c r="C867" s="70"/>
      <c r="D867" s="12"/>
      <c r="F867" s="12"/>
      <c r="G867" s="222"/>
    </row>
    <row r="868" spans="2:7" ht="12.75">
      <c r="B868" s="70"/>
      <c r="C868" s="70"/>
      <c r="D868" s="12"/>
      <c r="F868" s="12"/>
      <c r="G868" s="222"/>
    </row>
    <row r="869" spans="2:7" ht="12.75">
      <c r="B869" s="70"/>
      <c r="C869" s="70"/>
      <c r="D869" s="12"/>
      <c r="F869" s="12"/>
      <c r="G869" s="222"/>
    </row>
    <row r="870" spans="2:7" ht="12.75">
      <c r="B870" s="70"/>
      <c r="C870" s="70"/>
      <c r="D870" s="12"/>
      <c r="F870" s="12"/>
      <c r="G870" s="222"/>
    </row>
    <row r="871" spans="2:7" ht="12.75">
      <c r="B871" s="70"/>
      <c r="C871" s="70"/>
      <c r="D871" s="12"/>
      <c r="F871" s="12"/>
      <c r="G871" s="222"/>
    </row>
    <row r="872" spans="2:7" ht="12.75">
      <c r="B872" s="70"/>
      <c r="C872" s="70"/>
      <c r="D872" s="12"/>
      <c r="F872" s="12"/>
      <c r="G872" s="222"/>
    </row>
    <row r="873" spans="2:7" ht="12.75">
      <c r="B873" s="70"/>
      <c r="C873" s="70"/>
      <c r="D873" s="12"/>
      <c r="F873" s="12"/>
      <c r="G873" s="222"/>
    </row>
    <row r="874" spans="2:7" ht="12.75">
      <c r="B874" s="70"/>
      <c r="C874" s="70"/>
      <c r="D874" s="12"/>
      <c r="F874" s="12"/>
      <c r="G874" s="222"/>
    </row>
    <row r="875" spans="2:7" ht="12.75">
      <c r="B875" s="70"/>
      <c r="C875" s="70"/>
      <c r="D875" s="12"/>
      <c r="F875" s="12"/>
      <c r="G875" s="222"/>
    </row>
    <row r="876" spans="2:7" ht="12.75">
      <c r="B876" s="70"/>
      <c r="C876" s="70"/>
      <c r="D876" s="12"/>
      <c r="F876" s="12"/>
      <c r="G876" s="222"/>
    </row>
    <row r="877" spans="2:7" ht="12.75">
      <c r="B877" s="70"/>
      <c r="C877" s="70"/>
      <c r="D877" s="12"/>
      <c r="F877" s="12"/>
      <c r="G877" s="222"/>
    </row>
    <row r="878" spans="2:7" ht="12.75">
      <c r="B878" s="70"/>
      <c r="C878" s="70"/>
      <c r="D878" s="12"/>
      <c r="F878" s="12"/>
      <c r="G878" s="222"/>
    </row>
    <row r="879" spans="2:7" ht="12.75">
      <c r="B879" s="70"/>
      <c r="C879" s="70"/>
      <c r="D879" s="12"/>
      <c r="F879" s="12"/>
      <c r="G879" s="222"/>
    </row>
    <row r="880" spans="2:7" ht="12.75">
      <c r="B880" s="70"/>
      <c r="C880" s="70"/>
      <c r="D880" s="12"/>
      <c r="F880" s="12"/>
      <c r="G880" s="222"/>
    </row>
    <row r="881" spans="2:7" ht="12.75">
      <c r="B881" s="70"/>
      <c r="C881" s="70"/>
      <c r="D881" s="12"/>
      <c r="F881" s="12"/>
      <c r="G881" s="222"/>
    </row>
    <row r="882" spans="2:7" ht="12.75">
      <c r="B882" s="70"/>
      <c r="C882" s="70"/>
      <c r="D882" s="12"/>
      <c r="F882" s="12"/>
      <c r="G882" s="222"/>
    </row>
    <row r="883" spans="2:7" ht="12.75">
      <c r="B883" s="70"/>
      <c r="C883" s="70"/>
      <c r="D883" s="12"/>
      <c r="F883" s="12"/>
      <c r="G883" s="222"/>
    </row>
    <row r="884" spans="2:7" ht="12.75">
      <c r="B884" s="70"/>
      <c r="C884" s="70"/>
      <c r="D884" s="12"/>
      <c r="F884" s="12"/>
      <c r="G884" s="222"/>
    </row>
    <row r="885" spans="2:7" ht="12.75">
      <c r="B885" s="70"/>
      <c r="C885" s="70"/>
      <c r="D885" s="12"/>
      <c r="F885" s="12"/>
      <c r="G885" s="222"/>
    </row>
    <row r="886" spans="2:7" ht="12.75">
      <c r="B886" s="70"/>
      <c r="C886" s="70"/>
      <c r="D886" s="12"/>
      <c r="F886" s="12"/>
      <c r="G886" s="222"/>
    </row>
    <row r="887" spans="2:7" ht="12.75">
      <c r="B887" s="70"/>
      <c r="C887" s="70"/>
      <c r="D887" s="12"/>
      <c r="F887" s="12"/>
      <c r="G887" s="222"/>
    </row>
    <row r="888" spans="2:7" ht="12.75">
      <c r="B888" s="70"/>
      <c r="C888" s="70"/>
      <c r="D888" s="12"/>
      <c r="F888" s="12"/>
      <c r="G888" s="222"/>
    </row>
    <row r="889" spans="2:7" ht="12.75">
      <c r="B889" s="70"/>
      <c r="C889" s="70"/>
      <c r="D889" s="12"/>
      <c r="F889" s="12"/>
      <c r="G889" s="222"/>
    </row>
    <row r="890" spans="2:7" ht="12.75">
      <c r="B890" s="70"/>
      <c r="C890" s="70"/>
      <c r="D890" s="12"/>
      <c r="F890" s="12"/>
      <c r="G890" s="222"/>
    </row>
    <row r="891" spans="2:7" ht="12.75">
      <c r="B891" s="70"/>
      <c r="C891" s="70"/>
      <c r="D891" s="12"/>
      <c r="F891" s="12"/>
      <c r="G891" s="222"/>
    </row>
    <row r="892" spans="2:7" ht="12.75">
      <c r="B892" s="70"/>
      <c r="C892" s="70"/>
      <c r="D892" s="12"/>
      <c r="F892" s="12"/>
      <c r="G892" s="222"/>
    </row>
    <row r="893" spans="2:7" ht="12.75">
      <c r="B893" s="70"/>
      <c r="C893" s="70"/>
      <c r="D893" s="12"/>
      <c r="F893" s="12"/>
      <c r="G893" s="222"/>
    </row>
    <row r="894" spans="2:7" ht="12.75">
      <c r="B894" s="70"/>
      <c r="C894" s="70"/>
      <c r="D894" s="12"/>
      <c r="F894" s="12"/>
      <c r="G894" s="222"/>
    </row>
    <row r="895" spans="2:7" ht="12.75">
      <c r="B895" s="70"/>
      <c r="C895" s="70"/>
      <c r="D895" s="12"/>
      <c r="F895" s="12"/>
      <c r="G895" s="222"/>
    </row>
    <row r="896" spans="2:7" ht="12.75">
      <c r="B896" s="70"/>
      <c r="C896" s="70"/>
      <c r="D896" s="12"/>
      <c r="F896" s="12"/>
      <c r="G896" s="222"/>
    </row>
    <row r="897" spans="2:7" ht="12.75">
      <c r="B897" s="70"/>
      <c r="C897" s="70"/>
      <c r="D897" s="12"/>
      <c r="F897" s="12"/>
      <c r="G897" s="222"/>
    </row>
    <row r="898" spans="2:7" ht="12.75">
      <c r="B898" s="70"/>
      <c r="C898" s="70"/>
      <c r="D898" s="12"/>
      <c r="F898" s="12"/>
      <c r="G898" s="222"/>
    </row>
    <row r="899" spans="2:7" ht="12.75">
      <c r="B899" s="70"/>
      <c r="C899" s="70"/>
      <c r="D899" s="12"/>
      <c r="F899" s="12"/>
      <c r="G899" s="222"/>
    </row>
    <row r="900" spans="2:7" ht="12.75">
      <c r="B900" s="70"/>
      <c r="C900" s="70"/>
      <c r="D900" s="12"/>
      <c r="F900" s="12"/>
      <c r="G900" s="222"/>
    </row>
    <row r="901" spans="2:7" ht="12.75">
      <c r="B901" s="70"/>
      <c r="C901" s="70"/>
      <c r="D901" s="12"/>
      <c r="F901" s="12"/>
      <c r="G901" s="222"/>
    </row>
    <row r="902" spans="2:7" ht="12.75">
      <c r="B902" s="70"/>
      <c r="C902" s="70"/>
      <c r="D902" s="12"/>
      <c r="F902" s="12"/>
      <c r="G902" s="222"/>
    </row>
    <row r="903" spans="2:7" ht="12.75">
      <c r="B903" s="70"/>
      <c r="C903" s="70"/>
      <c r="D903" s="12"/>
      <c r="F903" s="12"/>
      <c r="G903" s="222"/>
    </row>
    <row r="904" spans="2:7" ht="12.75">
      <c r="B904" s="70"/>
      <c r="C904" s="70"/>
      <c r="D904" s="12"/>
      <c r="F904" s="12"/>
      <c r="G904" s="222"/>
    </row>
    <row r="905" spans="2:7" ht="12.75">
      <c r="B905" s="70"/>
      <c r="C905" s="70"/>
      <c r="D905" s="12"/>
      <c r="F905" s="12"/>
      <c r="G905" s="222"/>
    </row>
    <row r="906" spans="2:7" ht="12.75">
      <c r="B906" s="70"/>
      <c r="C906" s="70"/>
      <c r="D906" s="12"/>
      <c r="F906" s="12"/>
      <c r="G906" s="222"/>
    </row>
    <row r="907" spans="2:7" ht="12.75">
      <c r="B907" s="70"/>
      <c r="C907" s="70"/>
      <c r="D907" s="12"/>
      <c r="F907" s="12"/>
      <c r="G907" s="222"/>
    </row>
    <row r="908" spans="2:7" ht="12.75">
      <c r="B908" s="70"/>
      <c r="C908" s="70"/>
      <c r="D908" s="12"/>
      <c r="F908" s="12"/>
      <c r="G908" s="222"/>
    </row>
    <row r="909" spans="2:7" ht="12.75">
      <c r="B909" s="70"/>
      <c r="C909" s="70"/>
      <c r="D909" s="12"/>
      <c r="F909" s="12"/>
      <c r="G909" s="222"/>
    </row>
    <row r="910" spans="2:7" ht="12.75">
      <c r="B910" s="70"/>
      <c r="C910" s="70"/>
      <c r="D910" s="12"/>
      <c r="F910" s="12"/>
      <c r="G910" s="222"/>
    </row>
    <row r="911" spans="2:7" ht="12.75">
      <c r="B911" s="70"/>
      <c r="C911" s="70"/>
      <c r="D911" s="12"/>
      <c r="F911" s="12"/>
      <c r="G911" s="222"/>
    </row>
    <row r="912" spans="2:7" ht="12.75">
      <c r="B912" s="70"/>
      <c r="C912" s="70"/>
      <c r="D912" s="12"/>
      <c r="F912" s="12"/>
      <c r="G912" s="222"/>
    </row>
    <row r="913" spans="2:7" ht="12.75">
      <c r="B913" s="70"/>
      <c r="C913" s="70"/>
      <c r="D913" s="12"/>
      <c r="F913" s="12"/>
      <c r="G913" s="222"/>
    </row>
    <row r="914" spans="2:7" ht="12.75">
      <c r="B914" s="70"/>
      <c r="C914" s="70"/>
      <c r="D914" s="12"/>
      <c r="F914" s="12"/>
      <c r="G914" s="222"/>
    </row>
    <row r="915" spans="2:7" ht="12.75">
      <c r="B915" s="70"/>
      <c r="C915" s="70"/>
      <c r="D915" s="12"/>
      <c r="F915" s="12"/>
      <c r="G915" s="222"/>
    </row>
    <row r="916" spans="2:7" ht="12.75">
      <c r="B916" s="70"/>
      <c r="C916" s="70"/>
      <c r="D916" s="12"/>
      <c r="F916" s="12"/>
      <c r="G916" s="222"/>
    </row>
    <row r="917" spans="2:7" ht="12.75">
      <c r="B917" s="70"/>
      <c r="C917" s="70"/>
      <c r="D917" s="12"/>
      <c r="F917" s="12"/>
      <c r="G917" s="222"/>
    </row>
    <row r="918" spans="2:7" ht="12.75">
      <c r="B918" s="70"/>
      <c r="C918" s="70"/>
      <c r="D918" s="12"/>
      <c r="F918" s="12"/>
      <c r="G918" s="222"/>
    </row>
    <row r="919" spans="2:7" ht="12.75">
      <c r="B919" s="70"/>
      <c r="C919" s="70"/>
      <c r="D919" s="12"/>
      <c r="F919" s="12"/>
      <c r="G919" s="222"/>
    </row>
    <row r="920" spans="2:7" ht="12.75">
      <c r="B920" s="70"/>
      <c r="C920" s="70"/>
      <c r="D920" s="12"/>
      <c r="F920" s="12"/>
      <c r="G920" s="222"/>
    </row>
    <row r="921" spans="2:7" ht="12.75">
      <c r="B921" s="70"/>
      <c r="C921" s="70"/>
      <c r="D921" s="12"/>
      <c r="F921" s="12"/>
      <c r="G921" s="222"/>
    </row>
    <row r="922" spans="2:7" ht="12.75">
      <c r="B922" s="70"/>
      <c r="C922" s="70"/>
      <c r="D922" s="12"/>
      <c r="F922" s="12"/>
      <c r="G922" s="222"/>
    </row>
    <row r="923" spans="2:7" ht="12.75">
      <c r="B923" s="70"/>
      <c r="C923" s="70"/>
      <c r="D923" s="12"/>
      <c r="F923" s="12"/>
      <c r="G923" s="222"/>
    </row>
    <row r="924" spans="2:7" ht="12.75">
      <c r="B924" s="70"/>
      <c r="C924" s="70"/>
      <c r="D924" s="12"/>
      <c r="F924" s="12"/>
      <c r="G924" s="222"/>
    </row>
    <row r="925" spans="2:7" ht="12.75">
      <c r="B925" s="70"/>
      <c r="C925" s="70"/>
      <c r="D925" s="12"/>
      <c r="F925" s="12"/>
      <c r="G925" s="222"/>
    </row>
    <row r="926" spans="2:7" ht="12.75">
      <c r="B926" s="70"/>
      <c r="C926" s="70"/>
      <c r="D926" s="12"/>
      <c r="F926" s="12"/>
      <c r="G926" s="222"/>
    </row>
    <row r="927" spans="2:7" ht="12.75">
      <c r="B927" s="70"/>
      <c r="C927" s="70"/>
      <c r="D927" s="12"/>
      <c r="F927" s="12"/>
      <c r="G927" s="222"/>
    </row>
    <row r="928" spans="2:7" ht="12.75">
      <c r="B928" s="70"/>
      <c r="C928" s="70"/>
      <c r="D928" s="12"/>
      <c r="F928" s="12"/>
      <c r="G928" s="222"/>
    </row>
    <row r="929" spans="2:7" ht="12.75">
      <c r="B929" s="70"/>
      <c r="C929" s="70"/>
      <c r="D929" s="12"/>
      <c r="F929" s="12"/>
      <c r="G929" s="222"/>
    </row>
    <row r="930" spans="2:7" ht="12.75">
      <c r="B930" s="70"/>
      <c r="C930" s="70"/>
      <c r="D930" s="12"/>
      <c r="F930" s="12"/>
      <c r="G930" s="222"/>
    </row>
    <row r="931" spans="2:7" ht="12.75">
      <c r="B931" s="70"/>
      <c r="C931" s="70"/>
      <c r="D931" s="12"/>
      <c r="F931" s="12"/>
      <c r="G931" s="222"/>
    </row>
    <row r="932" spans="2:7" ht="12.75">
      <c r="B932" s="70"/>
      <c r="C932" s="70"/>
      <c r="D932" s="12"/>
      <c r="F932" s="12"/>
      <c r="G932" s="222"/>
    </row>
    <row r="933" spans="2:7" ht="12.75">
      <c r="B933" s="70"/>
      <c r="C933" s="70"/>
      <c r="D933" s="12"/>
      <c r="F933" s="12"/>
      <c r="G933" s="222"/>
    </row>
    <row r="934" spans="2:7" ht="12.75">
      <c r="B934" s="70"/>
      <c r="C934" s="70"/>
      <c r="D934" s="12"/>
      <c r="F934" s="12"/>
      <c r="G934" s="222"/>
    </row>
    <row r="935" spans="2:7" ht="12.75">
      <c r="B935" s="70"/>
      <c r="C935" s="70"/>
      <c r="D935" s="12"/>
      <c r="F935" s="12"/>
      <c r="G935" s="222"/>
    </row>
    <row r="936" spans="2:7" ht="12.75">
      <c r="B936" s="70"/>
      <c r="C936" s="70"/>
      <c r="D936" s="12"/>
      <c r="F936" s="12"/>
      <c r="G936" s="222"/>
    </row>
    <row r="937" spans="2:7" ht="12.75">
      <c r="B937" s="70"/>
      <c r="C937" s="70"/>
      <c r="D937" s="12"/>
      <c r="F937" s="12"/>
      <c r="G937" s="222"/>
    </row>
    <row r="938" spans="2:7" ht="12.75">
      <c r="B938" s="70"/>
      <c r="C938" s="70"/>
      <c r="D938" s="12"/>
      <c r="F938" s="12"/>
      <c r="G938" s="222"/>
    </row>
    <row r="939" spans="2:7" ht="12.75">
      <c r="B939" s="70"/>
      <c r="C939" s="70"/>
      <c r="D939" s="12"/>
      <c r="F939" s="12"/>
      <c r="G939" s="222"/>
    </row>
    <row r="940" spans="2:7" ht="12.75">
      <c r="B940" s="70"/>
      <c r="C940" s="70"/>
      <c r="D940" s="12"/>
      <c r="F940" s="12"/>
      <c r="G940" s="222"/>
    </row>
    <row r="941" spans="2:7" ht="12.75">
      <c r="B941" s="70"/>
      <c r="C941" s="70"/>
      <c r="D941" s="12"/>
      <c r="F941" s="12"/>
      <c r="G941" s="222"/>
    </row>
    <row r="942" spans="2:7" ht="12.75">
      <c r="B942" s="70"/>
      <c r="C942" s="70"/>
      <c r="D942" s="12"/>
      <c r="F942" s="12"/>
      <c r="G942" s="222"/>
    </row>
    <row r="943" spans="2:7" ht="12.75">
      <c r="B943" s="70"/>
      <c r="C943" s="70"/>
      <c r="D943" s="12"/>
      <c r="F943" s="12"/>
      <c r="G943" s="222"/>
    </row>
    <row r="944" spans="2:7" ht="12.75">
      <c r="B944" s="70"/>
      <c r="C944" s="70"/>
      <c r="D944" s="12"/>
      <c r="F944" s="12"/>
      <c r="G944" s="222"/>
    </row>
    <row r="945" spans="2:7" ht="12.75">
      <c r="B945" s="70"/>
      <c r="C945" s="70"/>
      <c r="D945" s="12"/>
      <c r="F945" s="12"/>
      <c r="G945" s="222"/>
    </row>
    <row r="946" spans="2:7" ht="12.75">
      <c r="B946" s="70"/>
      <c r="C946" s="70"/>
      <c r="D946" s="12"/>
      <c r="F946" s="12"/>
      <c r="G946" s="222"/>
    </row>
    <row r="947" spans="2:7" ht="12.75">
      <c r="B947" s="70"/>
      <c r="C947" s="70"/>
      <c r="D947" s="12"/>
      <c r="F947" s="12"/>
      <c r="G947" s="222"/>
    </row>
    <row r="948" spans="2:7" ht="12.75">
      <c r="B948" s="70"/>
      <c r="C948" s="70"/>
      <c r="D948" s="12"/>
      <c r="F948" s="12"/>
      <c r="G948" s="222"/>
    </row>
    <row r="949" spans="2:7" ht="12.75">
      <c r="B949" s="70"/>
      <c r="C949" s="70"/>
      <c r="D949" s="12"/>
      <c r="F949" s="12"/>
      <c r="G949" s="222"/>
    </row>
    <row r="950" spans="2:7" ht="12.75">
      <c r="B950" s="70"/>
      <c r="C950" s="70"/>
      <c r="D950" s="12"/>
      <c r="F950" s="12"/>
      <c r="G950" s="222"/>
    </row>
    <row r="951" spans="2:7" ht="12.75">
      <c r="B951" s="70"/>
      <c r="C951" s="70"/>
      <c r="D951" s="12"/>
      <c r="F951" s="12"/>
      <c r="G951" s="222"/>
    </row>
    <row r="952" spans="2:7" ht="12.75">
      <c r="B952" s="70"/>
      <c r="C952" s="70"/>
      <c r="D952" s="12"/>
      <c r="F952" s="12"/>
      <c r="G952" s="222"/>
    </row>
    <row r="953" spans="2:7" ht="12.75">
      <c r="B953" s="70"/>
      <c r="C953" s="70"/>
      <c r="D953" s="12"/>
      <c r="F953" s="12"/>
      <c r="G953" s="222"/>
    </row>
    <row r="954" spans="2:7" ht="12.75">
      <c r="B954" s="70"/>
      <c r="C954" s="70"/>
      <c r="D954" s="12"/>
      <c r="F954" s="12"/>
      <c r="G954" s="222"/>
    </row>
    <row r="955" spans="2:7" ht="12.75">
      <c r="B955" s="70"/>
      <c r="C955" s="70"/>
      <c r="D955" s="12"/>
      <c r="F955" s="12"/>
      <c r="G955" s="222"/>
    </row>
    <row r="956" spans="2:7" ht="12.75">
      <c r="B956" s="70"/>
      <c r="C956" s="70"/>
      <c r="D956" s="12"/>
      <c r="F956" s="12"/>
      <c r="G956" s="222"/>
    </row>
    <row r="957" spans="2:7" ht="12.75">
      <c r="B957" s="70"/>
      <c r="C957" s="70"/>
      <c r="D957" s="12"/>
      <c r="F957" s="12"/>
      <c r="G957" s="222"/>
    </row>
    <row r="958" spans="2:7" ht="12.75">
      <c r="B958" s="70"/>
      <c r="C958" s="70"/>
      <c r="D958" s="12"/>
      <c r="F958" s="12"/>
      <c r="G958" s="222"/>
    </row>
    <row r="959" spans="2:7" ht="12.75">
      <c r="B959" s="70"/>
      <c r="C959" s="70"/>
      <c r="D959" s="12"/>
      <c r="F959" s="12"/>
      <c r="G959" s="222"/>
    </row>
    <row r="960" spans="2:7" ht="12.75">
      <c r="B960" s="70"/>
      <c r="C960" s="70"/>
      <c r="D960" s="12"/>
      <c r="F960" s="12"/>
      <c r="G960" s="222"/>
    </row>
    <row r="961" spans="2:7" ht="12.75">
      <c r="B961" s="70"/>
      <c r="C961" s="70"/>
      <c r="D961" s="12"/>
      <c r="F961" s="12"/>
      <c r="G961" s="222"/>
    </row>
    <row r="962" spans="2:7" ht="12.75">
      <c r="B962" s="70"/>
      <c r="C962" s="70"/>
      <c r="D962" s="12"/>
      <c r="F962" s="12"/>
      <c r="G962" s="222"/>
    </row>
    <row r="963" spans="2:7" ht="12.75">
      <c r="B963" s="70"/>
      <c r="C963" s="70"/>
      <c r="D963" s="12"/>
      <c r="F963" s="12"/>
      <c r="G963" s="222"/>
    </row>
    <row r="964" spans="2:7" ht="12.75">
      <c r="B964" s="70"/>
      <c r="C964" s="70"/>
      <c r="D964" s="12"/>
      <c r="F964" s="12"/>
      <c r="G964" s="222"/>
    </row>
    <row r="965" spans="2:7" ht="12.75">
      <c r="B965" s="70"/>
      <c r="C965" s="70"/>
      <c r="D965" s="12"/>
      <c r="F965" s="12"/>
      <c r="G965" s="222"/>
    </row>
    <row r="966" spans="2:7" ht="12.75">
      <c r="B966" s="70"/>
      <c r="C966" s="70"/>
      <c r="D966" s="12"/>
      <c r="F966" s="12"/>
      <c r="G966" s="222"/>
    </row>
    <row r="967" spans="2:7" ht="12.75">
      <c r="B967" s="70"/>
      <c r="C967" s="70"/>
      <c r="D967" s="12"/>
      <c r="F967" s="12"/>
      <c r="G967" s="222"/>
    </row>
    <row r="968" spans="2:7" ht="12.75">
      <c r="B968" s="70"/>
      <c r="C968" s="70"/>
      <c r="D968" s="12"/>
      <c r="F968" s="12"/>
      <c r="G968" s="222"/>
    </row>
    <row r="969" spans="2:7" ht="12.75">
      <c r="B969" s="70"/>
      <c r="C969" s="70"/>
      <c r="D969" s="12"/>
      <c r="F969" s="12"/>
      <c r="G969" s="222"/>
    </row>
    <row r="970" spans="2:7" ht="12.75">
      <c r="B970" s="70"/>
      <c r="C970" s="70"/>
      <c r="D970" s="12"/>
      <c r="F970" s="12"/>
      <c r="G970" s="222"/>
    </row>
    <row r="971" spans="2:7" ht="12.75">
      <c r="B971" s="70"/>
      <c r="C971" s="70"/>
      <c r="D971" s="12"/>
      <c r="F971" s="12"/>
      <c r="G971" s="222"/>
    </row>
    <row r="972" spans="2:7" ht="12.75">
      <c r="B972" s="70"/>
      <c r="C972" s="70"/>
      <c r="D972" s="12"/>
      <c r="F972" s="12"/>
      <c r="G972" s="222"/>
    </row>
    <row r="973" spans="2:7" ht="12.75">
      <c r="B973" s="70"/>
      <c r="C973" s="70"/>
      <c r="D973" s="12"/>
      <c r="F973" s="12"/>
      <c r="G973" s="222"/>
    </row>
    <row r="974" spans="2:7" ht="12.75">
      <c r="B974" s="70"/>
      <c r="C974" s="70"/>
      <c r="D974" s="12"/>
      <c r="F974" s="12"/>
      <c r="G974" s="222"/>
    </row>
    <row r="975" spans="2:7" ht="12.75">
      <c r="B975" s="70"/>
      <c r="C975" s="70"/>
      <c r="D975" s="12"/>
      <c r="F975" s="12"/>
      <c r="G975" s="222"/>
    </row>
    <row r="976" spans="2:7" ht="12.75">
      <c r="B976" s="70"/>
      <c r="C976" s="70"/>
      <c r="D976" s="12"/>
      <c r="F976" s="12"/>
      <c r="G976" s="222"/>
    </row>
    <row r="977" spans="2:7" ht="12.75">
      <c r="B977" s="70"/>
      <c r="C977" s="70"/>
      <c r="D977" s="12"/>
      <c r="F977" s="12"/>
      <c r="G977" s="222"/>
    </row>
    <row r="978" spans="2:7" ht="12.75">
      <c r="B978" s="70"/>
      <c r="C978" s="70"/>
      <c r="D978" s="12"/>
      <c r="F978" s="12"/>
      <c r="G978" s="222"/>
    </row>
    <row r="979" spans="2:7" ht="12.75">
      <c r="B979" s="70"/>
      <c r="C979" s="70"/>
      <c r="D979" s="12"/>
      <c r="F979" s="12"/>
      <c r="G979" s="222"/>
    </row>
    <row r="980" spans="2:7" ht="12.75">
      <c r="B980" s="70"/>
      <c r="C980" s="70"/>
      <c r="D980" s="12"/>
      <c r="F980" s="12"/>
      <c r="G980" s="222"/>
    </row>
    <row r="981" spans="2:7" ht="12.75">
      <c r="B981" s="70"/>
      <c r="C981" s="70"/>
      <c r="D981" s="12"/>
      <c r="F981" s="12"/>
      <c r="G981" s="222"/>
    </row>
    <row r="982" spans="2:7" ht="12.75">
      <c r="B982" s="70"/>
      <c r="C982" s="70"/>
      <c r="D982" s="12"/>
      <c r="F982" s="12"/>
      <c r="G982" s="222"/>
    </row>
    <row r="983" spans="2:7" ht="12.75">
      <c r="B983" s="70"/>
      <c r="C983" s="70"/>
      <c r="D983" s="12"/>
      <c r="F983" s="12"/>
      <c r="G983" s="222"/>
    </row>
    <row r="984" spans="2:7" ht="12.75">
      <c r="B984" s="70"/>
      <c r="C984" s="70"/>
      <c r="D984" s="12"/>
      <c r="F984" s="12"/>
      <c r="G984" s="222"/>
    </row>
    <row r="985" spans="2:7" ht="12.75">
      <c r="B985" s="70"/>
      <c r="C985" s="70"/>
      <c r="D985" s="12"/>
      <c r="F985" s="12"/>
      <c r="G985" s="222"/>
    </row>
    <row r="986" spans="2:7" ht="12.75">
      <c r="B986" s="70"/>
      <c r="C986" s="70"/>
      <c r="D986" s="12"/>
      <c r="F986" s="12"/>
      <c r="G986" s="222"/>
    </row>
    <row r="987" spans="2:7" ht="12.75">
      <c r="B987" s="70"/>
      <c r="C987" s="70"/>
      <c r="D987" s="12"/>
      <c r="F987" s="12"/>
      <c r="G987" s="222"/>
    </row>
    <row r="988" spans="2:7" ht="12.75">
      <c r="B988" s="70"/>
      <c r="C988" s="70"/>
      <c r="D988" s="12"/>
      <c r="F988" s="12"/>
      <c r="G988" s="222"/>
    </row>
    <row r="989" spans="2:7" ht="12.75">
      <c r="B989" s="70"/>
      <c r="C989" s="70"/>
      <c r="D989" s="12"/>
      <c r="F989" s="12"/>
      <c r="G989" s="222"/>
    </row>
    <row r="990" spans="2:7" ht="12.75">
      <c r="B990" s="70"/>
      <c r="C990" s="70"/>
      <c r="D990" s="12"/>
      <c r="F990" s="12"/>
      <c r="G990" s="222"/>
    </row>
    <row r="991" spans="2:7" ht="12.75">
      <c r="B991" s="70"/>
      <c r="C991" s="70"/>
      <c r="D991" s="12"/>
      <c r="F991" s="12"/>
      <c r="G991" s="222"/>
    </row>
    <row r="992" spans="2:7" ht="12.75">
      <c r="B992" s="70"/>
      <c r="C992" s="70"/>
      <c r="D992" s="12"/>
      <c r="F992" s="12"/>
      <c r="G992" s="222"/>
    </row>
    <row r="993" spans="2:7" ht="12.75">
      <c r="B993" s="70"/>
      <c r="C993" s="70"/>
      <c r="D993" s="12"/>
      <c r="F993" s="12"/>
      <c r="G993" s="222"/>
    </row>
    <row r="994" spans="2:7" ht="12.75">
      <c r="B994" s="70"/>
      <c r="C994" s="70"/>
      <c r="D994" s="12"/>
      <c r="F994" s="12"/>
      <c r="G994" s="222"/>
    </row>
    <row r="995" spans="2:7" ht="12.75">
      <c r="B995" s="70"/>
      <c r="C995" s="70"/>
      <c r="D995" s="12"/>
      <c r="F995" s="12"/>
      <c r="G995" s="222"/>
    </row>
    <row r="996" spans="2:7" ht="12.75">
      <c r="B996" s="70"/>
      <c r="C996" s="70"/>
      <c r="D996" s="12"/>
      <c r="F996" s="12"/>
      <c r="G996" s="222"/>
    </row>
    <row r="997" spans="2:7" ht="12.75">
      <c r="B997" s="70"/>
      <c r="C997" s="70"/>
      <c r="D997" s="12"/>
      <c r="F997" s="12"/>
      <c r="G997" s="222"/>
    </row>
    <row r="998" spans="2:7" ht="12.75">
      <c r="B998" s="70"/>
      <c r="C998" s="70"/>
      <c r="D998" s="12"/>
      <c r="F998" s="12"/>
      <c r="G998" s="222"/>
    </row>
    <row r="999" spans="2:7" ht="12.75">
      <c r="B999" s="70"/>
      <c r="C999" s="70"/>
      <c r="D999" s="12"/>
      <c r="F999" s="12"/>
      <c r="G999" s="222"/>
    </row>
    <row r="1000" spans="2:7" ht="12.75">
      <c r="B1000" s="70"/>
      <c r="C1000" s="70"/>
      <c r="D1000" s="12"/>
      <c r="F1000" s="12"/>
      <c r="G1000" s="222"/>
    </row>
    <row r="1001" spans="2:7" ht="12.75">
      <c r="B1001" s="70"/>
      <c r="C1001" s="70"/>
      <c r="D1001" s="12"/>
      <c r="F1001" s="12"/>
      <c r="G1001" s="222"/>
    </row>
    <row r="1002" spans="2:7" ht="12.75">
      <c r="B1002" s="70"/>
      <c r="C1002" s="70"/>
      <c r="D1002" s="12"/>
      <c r="F1002" s="12"/>
      <c r="G1002" s="222"/>
    </row>
    <row r="1003" spans="2:7" ht="12.75">
      <c r="B1003" s="70"/>
      <c r="C1003" s="70"/>
      <c r="D1003" s="12"/>
      <c r="F1003" s="12"/>
      <c r="G1003" s="222"/>
    </row>
    <row r="1004" spans="2:7" ht="12.75">
      <c r="B1004" s="70"/>
      <c r="C1004" s="70"/>
      <c r="D1004" s="12"/>
      <c r="F1004" s="12"/>
      <c r="G1004" s="222"/>
    </row>
    <row r="1005" spans="2:7" ht="12.75">
      <c r="B1005" s="70"/>
      <c r="C1005" s="70"/>
      <c r="D1005" s="12"/>
      <c r="F1005" s="12"/>
      <c r="G1005" s="222"/>
    </row>
    <row r="1006" spans="2:7" ht="12.75">
      <c r="B1006" s="70"/>
      <c r="C1006" s="70"/>
      <c r="D1006" s="12"/>
      <c r="F1006" s="12"/>
      <c r="G1006" s="222"/>
    </row>
    <row r="1007" spans="2:7" ht="12.75">
      <c r="B1007" s="70"/>
      <c r="C1007" s="70"/>
      <c r="D1007" s="12"/>
      <c r="F1007" s="12"/>
      <c r="G1007" s="222"/>
    </row>
    <row r="1008" spans="2:7" ht="12.75">
      <c r="B1008" s="70"/>
      <c r="C1008" s="70"/>
      <c r="D1008" s="12"/>
      <c r="F1008" s="12"/>
      <c r="G1008" s="222"/>
    </row>
    <row r="1009" spans="2:7" ht="12.75">
      <c r="B1009" s="70"/>
      <c r="C1009" s="70"/>
      <c r="D1009" s="12"/>
      <c r="F1009" s="12"/>
      <c r="G1009" s="222"/>
    </row>
    <row r="1010" spans="2:7" ht="12.75">
      <c r="B1010" s="70"/>
      <c r="C1010" s="70"/>
      <c r="D1010" s="12"/>
      <c r="F1010" s="12"/>
      <c r="G1010" s="222"/>
    </row>
    <row r="1011" spans="2:7" ht="12.75">
      <c r="B1011" s="70"/>
      <c r="C1011" s="70"/>
      <c r="D1011" s="12"/>
      <c r="F1011" s="12"/>
      <c r="G1011" s="222"/>
    </row>
    <row r="1012" spans="2:7" ht="12.75">
      <c r="B1012" s="70"/>
      <c r="C1012" s="70"/>
      <c r="D1012" s="12"/>
      <c r="F1012" s="12"/>
      <c r="G1012" s="222"/>
    </row>
    <row r="1013" spans="2:7" ht="12.75">
      <c r="B1013" s="70"/>
      <c r="C1013" s="70"/>
      <c r="D1013" s="12"/>
      <c r="F1013" s="12"/>
      <c r="G1013" s="222"/>
    </row>
    <row r="1014" spans="2:7" ht="12.75">
      <c r="B1014" s="70"/>
      <c r="C1014" s="70"/>
      <c r="D1014" s="12"/>
      <c r="F1014" s="12"/>
      <c r="G1014" s="222"/>
    </row>
    <row r="1015" spans="2:7" ht="12.75">
      <c r="B1015" s="70"/>
      <c r="C1015" s="70"/>
      <c r="D1015" s="12"/>
      <c r="F1015" s="12"/>
      <c r="G1015" s="222"/>
    </row>
    <row r="1016" spans="2:7" ht="12.75">
      <c r="B1016" s="70"/>
      <c r="C1016" s="70"/>
      <c r="D1016" s="12"/>
      <c r="F1016" s="12"/>
      <c r="G1016" s="222"/>
    </row>
    <row r="1017" spans="2:7" ht="12.75">
      <c r="B1017" s="70"/>
      <c r="C1017" s="70"/>
      <c r="D1017" s="12"/>
      <c r="F1017" s="12"/>
      <c r="G1017" s="222"/>
    </row>
    <row r="1018" spans="2:7" ht="12.75">
      <c r="B1018" s="70"/>
      <c r="C1018" s="70"/>
      <c r="D1018" s="12"/>
      <c r="F1018" s="12"/>
      <c r="G1018" s="222"/>
    </row>
    <row r="1019" spans="2:7" ht="12.75">
      <c r="B1019" s="70"/>
      <c r="C1019" s="70"/>
      <c r="D1019" s="12"/>
      <c r="F1019" s="12"/>
      <c r="G1019" s="222"/>
    </row>
    <row r="1020" spans="2:7" ht="12.75">
      <c r="B1020" s="70"/>
      <c r="C1020" s="70"/>
      <c r="D1020" s="12"/>
      <c r="F1020" s="12"/>
      <c r="G1020" s="222"/>
    </row>
    <row r="1021" spans="2:7" ht="12.75">
      <c r="B1021" s="70"/>
      <c r="C1021" s="70"/>
      <c r="D1021" s="12"/>
      <c r="F1021" s="12"/>
      <c r="G1021" s="222"/>
    </row>
    <row r="1022" spans="2:7" ht="12.75">
      <c r="B1022" s="70"/>
      <c r="C1022" s="70"/>
      <c r="D1022" s="12"/>
      <c r="F1022" s="12"/>
      <c r="G1022" s="222"/>
    </row>
    <row r="1023" spans="2:7" ht="12.75">
      <c r="B1023" s="70"/>
      <c r="C1023" s="70"/>
      <c r="D1023" s="12"/>
      <c r="F1023" s="12"/>
      <c r="G1023" s="222"/>
    </row>
    <row r="1024" spans="2:7" ht="12.75">
      <c r="B1024" s="70"/>
      <c r="C1024" s="70"/>
      <c r="D1024" s="12"/>
      <c r="F1024" s="12"/>
      <c r="G1024" s="222"/>
    </row>
    <row r="1025" spans="2:7" ht="12.75">
      <c r="B1025" s="70"/>
      <c r="C1025" s="70"/>
      <c r="D1025" s="12"/>
      <c r="F1025" s="12"/>
      <c r="G1025" s="222"/>
    </row>
    <row r="1026" spans="2:7" ht="12.75">
      <c r="B1026" s="70"/>
      <c r="C1026" s="70"/>
      <c r="D1026" s="12"/>
      <c r="F1026" s="12"/>
      <c r="G1026" s="222"/>
    </row>
    <row r="1027" spans="2:7" ht="12.75">
      <c r="B1027" s="70"/>
      <c r="C1027" s="70"/>
      <c r="D1027" s="12"/>
      <c r="F1027" s="12"/>
      <c r="G1027" s="222"/>
    </row>
    <row r="1028" spans="2:7" ht="12.75">
      <c r="B1028" s="70"/>
      <c r="C1028" s="70"/>
      <c r="D1028" s="12"/>
      <c r="F1028" s="12"/>
      <c r="G1028" s="222"/>
    </row>
    <row r="1029" spans="2:7" ht="12.75">
      <c r="B1029" s="70"/>
      <c r="C1029" s="70"/>
      <c r="D1029" s="12"/>
      <c r="F1029" s="12"/>
      <c r="G1029" s="222"/>
    </row>
    <row r="1030" spans="2:7" ht="12.75">
      <c r="B1030" s="70"/>
      <c r="C1030" s="70"/>
      <c r="D1030" s="12"/>
      <c r="F1030" s="12"/>
      <c r="G1030" s="222"/>
    </row>
    <row r="1031" spans="2:7" ht="12.75">
      <c r="B1031" s="70"/>
      <c r="C1031" s="70"/>
      <c r="D1031" s="12"/>
      <c r="F1031" s="12"/>
      <c r="G1031" s="222"/>
    </row>
    <row r="1032" spans="2:7" ht="12.75">
      <c r="B1032" s="70"/>
      <c r="C1032" s="70"/>
      <c r="D1032" s="12"/>
      <c r="F1032" s="12"/>
      <c r="G1032" s="222"/>
    </row>
    <row r="1033" spans="2:7" ht="12.75">
      <c r="B1033" s="70"/>
      <c r="C1033" s="70"/>
      <c r="D1033" s="12"/>
      <c r="F1033" s="12"/>
      <c r="G1033" s="222"/>
    </row>
    <row r="1034" spans="2:7" ht="12.75">
      <c r="B1034" s="70"/>
      <c r="C1034" s="70"/>
      <c r="D1034" s="12"/>
      <c r="F1034" s="12"/>
      <c r="G1034" s="222"/>
    </row>
    <row r="1035" spans="2:7" ht="12.75">
      <c r="B1035" s="70"/>
      <c r="C1035" s="70"/>
      <c r="D1035" s="12"/>
      <c r="F1035" s="12"/>
      <c r="G1035" s="222"/>
    </row>
    <row r="1036" spans="2:7" ht="12.75">
      <c r="B1036" s="70"/>
      <c r="C1036" s="70"/>
      <c r="D1036" s="12"/>
      <c r="F1036" s="12"/>
      <c r="G1036" s="222"/>
    </row>
    <row r="1037" spans="2:7" ht="12.75">
      <c r="B1037" s="70"/>
      <c r="C1037" s="70"/>
      <c r="D1037" s="12"/>
      <c r="F1037" s="12"/>
      <c r="G1037" s="222"/>
    </row>
    <row r="1038" spans="2:7" ht="12.75">
      <c r="B1038" s="70"/>
      <c r="C1038" s="70"/>
      <c r="D1038" s="12"/>
      <c r="F1038" s="12"/>
      <c r="G1038" s="222"/>
    </row>
    <row r="1039" spans="2:7" ht="12.75">
      <c r="B1039" s="70"/>
      <c r="C1039" s="70"/>
      <c r="D1039" s="12"/>
      <c r="F1039" s="12"/>
      <c r="G1039" s="222"/>
    </row>
    <row r="1040" spans="2:7" ht="12.75">
      <c r="B1040" s="70"/>
      <c r="C1040" s="70"/>
      <c r="D1040" s="12"/>
      <c r="F1040" s="12"/>
      <c r="G1040" s="222"/>
    </row>
    <row r="1041" spans="2:7" ht="12.75">
      <c r="B1041" s="70"/>
      <c r="C1041" s="70"/>
      <c r="D1041" s="12"/>
      <c r="F1041" s="12"/>
      <c r="G1041" s="222"/>
    </row>
    <row r="1042" spans="2:7" ht="12.75">
      <c r="B1042" s="70"/>
      <c r="C1042" s="70"/>
      <c r="D1042" s="12"/>
      <c r="F1042" s="12"/>
      <c r="G1042" s="222"/>
    </row>
    <row r="1043" spans="2:7" ht="12.75">
      <c r="B1043" s="70"/>
      <c r="C1043" s="70"/>
      <c r="D1043" s="12"/>
      <c r="F1043" s="12"/>
      <c r="G1043" s="222"/>
    </row>
    <row r="1044" spans="2:7" ht="12.75">
      <c r="B1044" s="70"/>
      <c r="C1044" s="70"/>
      <c r="D1044" s="12"/>
      <c r="F1044" s="12"/>
      <c r="G1044" s="222"/>
    </row>
    <row r="1045" spans="2:7" ht="12.75">
      <c r="B1045" s="70"/>
      <c r="C1045" s="70"/>
      <c r="D1045" s="12"/>
      <c r="F1045" s="12"/>
      <c r="G1045" s="222"/>
    </row>
    <row r="1046" spans="2:7" ht="12.75">
      <c r="B1046" s="70"/>
      <c r="C1046" s="70"/>
      <c r="D1046" s="12"/>
      <c r="F1046" s="12"/>
      <c r="G1046" s="222"/>
    </row>
    <row r="1047" spans="2:7" ht="12.75">
      <c r="B1047" s="70"/>
      <c r="C1047" s="70"/>
      <c r="D1047" s="12"/>
      <c r="F1047" s="12"/>
      <c r="G1047" s="222"/>
    </row>
    <row r="1048" spans="2:7" ht="12.75">
      <c r="B1048" s="70"/>
      <c r="C1048" s="70"/>
      <c r="D1048" s="12"/>
      <c r="F1048" s="12"/>
      <c r="G1048" s="222"/>
    </row>
    <row r="1049" spans="2:7" ht="12.75">
      <c r="B1049" s="70"/>
      <c r="C1049" s="70"/>
      <c r="D1049" s="12"/>
      <c r="F1049" s="12"/>
      <c r="G1049" s="222"/>
    </row>
    <row r="1050" spans="2:7" ht="12.75">
      <c r="B1050" s="70"/>
      <c r="C1050" s="70"/>
      <c r="D1050" s="12"/>
      <c r="F1050" s="12"/>
      <c r="G1050" s="222"/>
    </row>
    <row r="1051" spans="2:7" ht="12.75">
      <c r="B1051" s="70"/>
      <c r="C1051" s="70"/>
      <c r="D1051" s="12"/>
      <c r="F1051" s="12"/>
      <c r="G1051" s="222"/>
    </row>
    <row r="1052" spans="2:7" ht="12.75">
      <c r="B1052" s="70"/>
      <c r="C1052" s="70"/>
      <c r="D1052" s="12"/>
      <c r="F1052" s="12"/>
      <c r="G1052" s="222"/>
    </row>
    <row r="1053" spans="2:7" ht="12.75">
      <c r="B1053" s="70"/>
      <c r="C1053" s="70"/>
      <c r="D1053" s="12"/>
      <c r="F1053" s="12"/>
      <c r="G1053" s="222"/>
    </row>
    <row r="1054" spans="2:7" ht="12.75">
      <c r="B1054" s="70"/>
      <c r="C1054" s="70"/>
      <c r="D1054" s="12"/>
      <c r="F1054" s="12"/>
      <c r="G1054" s="222"/>
    </row>
    <row r="1055" spans="2:7" ht="12.75">
      <c r="B1055" s="70"/>
      <c r="C1055" s="70"/>
      <c r="D1055" s="12"/>
      <c r="F1055" s="12"/>
      <c r="G1055" s="222"/>
    </row>
    <row r="1056" spans="2:7" ht="12.75">
      <c r="B1056" s="70"/>
      <c r="C1056" s="70"/>
      <c r="D1056" s="12"/>
      <c r="F1056" s="12"/>
      <c r="G1056" s="222"/>
    </row>
    <row r="1057" spans="2:7" ht="12.75">
      <c r="B1057" s="70"/>
      <c r="C1057" s="70"/>
      <c r="D1057" s="12"/>
      <c r="F1057" s="12"/>
      <c r="G1057" s="222"/>
    </row>
    <row r="1058" spans="2:7" ht="12.75">
      <c r="B1058" s="70"/>
      <c r="C1058" s="70"/>
      <c r="D1058" s="12"/>
      <c r="F1058" s="12"/>
      <c r="G1058" s="222"/>
    </row>
    <row r="1059" spans="2:7" ht="12.75">
      <c r="B1059" s="70"/>
      <c r="C1059" s="70"/>
      <c r="D1059" s="12"/>
      <c r="F1059" s="12"/>
      <c r="G1059" s="222"/>
    </row>
    <row r="1060" spans="2:7" ht="12.75">
      <c r="B1060" s="70"/>
      <c r="C1060" s="70"/>
      <c r="D1060" s="12"/>
      <c r="F1060" s="12"/>
      <c r="G1060" s="222"/>
    </row>
    <row r="1061" spans="2:7" ht="12.75">
      <c r="B1061" s="70"/>
      <c r="C1061" s="70"/>
      <c r="D1061" s="12"/>
      <c r="F1061" s="12"/>
      <c r="G1061" s="222"/>
    </row>
    <row r="1062" spans="2:7" ht="12.75">
      <c r="B1062" s="70"/>
      <c r="C1062" s="70"/>
      <c r="D1062" s="12"/>
      <c r="F1062" s="12"/>
      <c r="G1062" s="222"/>
    </row>
    <row r="1063" spans="2:7" ht="12.75">
      <c r="B1063" s="70"/>
      <c r="C1063" s="70"/>
      <c r="D1063" s="12"/>
      <c r="F1063" s="12"/>
      <c r="G1063" s="222"/>
    </row>
    <row r="1064" spans="2:7" ht="12.75">
      <c r="B1064" s="70"/>
      <c r="C1064" s="70"/>
      <c r="D1064" s="12"/>
      <c r="F1064" s="12"/>
      <c r="G1064" s="222"/>
    </row>
    <row r="1065" spans="2:7" ht="12.75">
      <c r="B1065" s="70"/>
      <c r="C1065" s="70"/>
      <c r="D1065" s="12"/>
      <c r="F1065" s="12"/>
      <c r="G1065" s="222"/>
    </row>
    <row r="1066" spans="2:7" ht="12.75">
      <c r="B1066" s="70"/>
      <c r="C1066" s="70"/>
      <c r="D1066" s="12"/>
      <c r="F1066" s="12"/>
      <c r="G1066" s="222"/>
    </row>
    <row r="1067" spans="2:7" ht="12.75">
      <c r="B1067" s="70"/>
      <c r="C1067" s="70"/>
      <c r="D1067" s="12"/>
      <c r="F1067" s="12"/>
      <c r="G1067" s="222"/>
    </row>
    <row r="1068" spans="2:7" ht="12.75">
      <c r="B1068" s="70"/>
      <c r="C1068" s="70"/>
      <c r="D1068" s="12"/>
      <c r="F1068" s="12"/>
      <c r="G1068" s="222"/>
    </row>
    <row r="1069" spans="2:7" ht="12.75">
      <c r="B1069" s="70"/>
      <c r="C1069" s="70"/>
      <c r="D1069" s="12"/>
      <c r="F1069" s="12"/>
      <c r="G1069" s="222"/>
    </row>
    <row r="1070" spans="2:7" ht="12.75">
      <c r="B1070" s="70"/>
      <c r="C1070" s="70"/>
      <c r="D1070" s="12"/>
      <c r="F1070" s="12"/>
      <c r="G1070" s="222"/>
    </row>
    <row r="1071" spans="2:7" ht="12.75">
      <c r="B1071" s="70"/>
      <c r="C1071" s="70"/>
      <c r="D1071" s="12"/>
      <c r="F1071" s="12"/>
      <c r="G1071" s="222"/>
    </row>
    <row r="1072" spans="2:7" ht="12.75">
      <c r="B1072" s="70"/>
      <c r="C1072" s="70"/>
      <c r="D1072" s="12"/>
      <c r="F1072" s="12"/>
      <c r="G1072" s="222"/>
    </row>
    <row r="1073" spans="2:7" ht="12.75">
      <c r="B1073" s="70"/>
      <c r="C1073" s="70"/>
      <c r="D1073" s="12"/>
      <c r="F1073" s="12"/>
      <c r="G1073" s="222"/>
    </row>
    <row r="1074" spans="2:7" ht="12.75">
      <c r="B1074" s="70"/>
      <c r="C1074" s="70"/>
      <c r="D1074" s="12"/>
      <c r="F1074" s="12"/>
      <c r="G1074" s="222"/>
    </row>
    <row r="1075" spans="2:7" ht="12.75">
      <c r="B1075" s="70"/>
      <c r="C1075" s="70"/>
      <c r="D1075" s="12"/>
      <c r="F1075" s="12"/>
      <c r="G1075" s="222"/>
    </row>
    <row r="1076" spans="2:7" ht="12.75">
      <c r="B1076" s="70"/>
      <c r="C1076" s="70"/>
      <c r="D1076" s="12"/>
      <c r="F1076" s="12"/>
      <c r="G1076" s="222"/>
    </row>
    <row r="1077" spans="2:7" ht="12.75">
      <c r="B1077" s="70"/>
      <c r="C1077" s="70"/>
      <c r="D1077" s="12"/>
      <c r="F1077" s="12"/>
      <c r="G1077" s="222"/>
    </row>
  </sheetData>
  <autoFilter ref="A1:AD47" xr:uid="{00000000-0009-0000-0000-000008000000}"/>
  <mergeCells count="5">
    <mergeCell ref="A94:F94"/>
    <mergeCell ref="H94:N94"/>
    <mergeCell ref="U94:U95"/>
    <mergeCell ref="A95:F95"/>
    <mergeCell ref="H95:N95"/>
  </mergeCells>
  <conditionalFormatting sqref="B2:B50 B52:B55 B58 B61:B67 B70:B73 B76:B82 B84:B86 B89">
    <cfRule type="containsText" dxfId="31" priority="1" operator="containsText" text="KCD-HK">
      <formula>NOT(ISERROR(SEARCH(("KCD-HK"),(B2))))</formula>
    </cfRule>
    <cfRule type="containsText" dxfId="30" priority="2" operator="containsText" text="PQ">
      <formula>NOT(ISERROR(SEARCH(("PQ"),(B2))))</formula>
    </cfRule>
  </conditionalFormatting>
  <conditionalFormatting sqref="B2:B86 B89">
    <cfRule type="containsText" dxfId="29" priority="6" operator="containsText" text="KURUN">
      <formula>NOT(ISERROR(SEARCH(("KURUN"),(B2))))</formula>
    </cfRule>
  </conditionalFormatting>
  <conditionalFormatting sqref="B2:B93">
    <cfRule type="containsText" dxfId="28" priority="4" operator="containsText" text="KCD-IEPL">
      <formula>NOT(ISERROR(SEARCH(("KCD-IEPL"),(B2))))</formula>
    </cfRule>
  </conditionalFormatting>
  <conditionalFormatting sqref="B19 B21:B22 B28 B32 B40 B42 B49 B55 B61 B65 B71 B78:B80 B85">
    <cfRule type="containsText" dxfId="27" priority="3" operator="containsText" text="KCD-JP">
      <formula>NOT(ISERROR(SEARCH(("KCD-JP"),(B19))))</formula>
    </cfRule>
  </conditionalFormatting>
  <conditionalFormatting sqref="B50:B93">
    <cfRule type="cellIs" dxfId="26" priority="5" operator="equal">
      <formula>"QZ-IEPL"</formula>
    </cfRule>
  </conditionalFormatting>
  <dataValidations count="1">
    <dataValidation type="list" allowBlank="1" showErrorMessage="1" sqref="S2:S89" xr:uid="{00000000-0002-0000-0800-000000000000}">
      <formula1>"水星,WISE,USTD,ALIPAY,冲抵"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3618"/>
  <sheetViews>
    <sheetView workbookViewId="0">
      <pane ySplit="1" topLeftCell="A2788" activePane="bottomLeft" state="frozen"/>
      <selection pane="bottomLeft" activeCell="S2824" sqref="S2824"/>
    </sheetView>
  </sheetViews>
  <sheetFormatPr defaultColWidth="12.5703125" defaultRowHeight="15.75" customHeight="1"/>
  <cols>
    <col min="1" max="1" width="7.28515625" bestFit="1" customWidth="1"/>
    <col min="2" max="2" width="9.42578125" customWidth="1"/>
    <col min="3" max="3" width="17" customWidth="1"/>
    <col min="4" max="4" width="10.85546875" customWidth="1"/>
    <col min="5" max="5" width="18.85546875" customWidth="1"/>
    <col min="6" max="6" width="19.5703125" bestFit="1" customWidth="1"/>
    <col min="7" max="7" width="4.85546875" customWidth="1"/>
    <col min="8" max="8" width="21.28515625" customWidth="1"/>
    <col min="9" max="9" width="11.42578125" customWidth="1"/>
    <col min="10" max="10" width="40" customWidth="1"/>
    <col min="12" max="12" width="7.28515625" customWidth="1"/>
    <col min="13" max="13" width="13.140625" customWidth="1"/>
    <col min="15" max="15" width="9.42578125" customWidth="1"/>
  </cols>
  <sheetData>
    <row r="1" spans="1:16" ht="12.75">
      <c r="A1" s="164" t="s">
        <v>947</v>
      </c>
      <c r="B1" s="164" t="s">
        <v>2545</v>
      </c>
      <c r="C1" s="164" t="s">
        <v>2546</v>
      </c>
      <c r="D1" s="164" t="s">
        <v>250</v>
      </c>
      <c r="E1" s="164" t="s">
        <v>2547</v>
      </c>
      <c r="F1" s="164" t="s">
        <v>245</v>
      </c>
      <c r="G1" s="164" t="s">
        <v>19</v>
      </c>
      <c r="H1" s="164" t="s">
        <v>20</v>
      </c>
      <c r="I1" s="164" t="s">
        <v>2548</v>
      </c>
      <c r="J1" s="164" t="s">
        <v>254</v>
      </c>
      <c r="K1" s="164" t="s">
        <v>2549</v>
      </c>
      <c r="L1" s="164" t="s">
        <v>2550</v>
      </c>
      <c r="M1" s="164" t="s">
        <v>2551</v>
      </c>
      <c r="N1" s="164" t="s">
        <v>2552</v>
      </c>
      <c r="O1" s="164" t="s">
        <v>2553</v>
      </c>
      <c r="P1" s="223" t="s">
        <v>2554</v>
      </c>
    </row>
    <row r="2" spans="1:16" ht="12.75">
      <c r="A2" s="224">
        <v>1</v>
      </c>
      <c r="B2" s="224">
        <v>6463</v>
      </c>
      <c r="C2" s="191" t="s">
        <v>2555</v>
      </c>
      <c r="D2" s="191" t="s">
        <v>45</v>
      </c>
      <c r="E2" s="191" t="s">
        <v>2556</v>
      </c>
      <c r="F2" s="225">
        <v>45658.033333333333</v>
      </c>
      <c r="G2" s="191">
        <v>1</v>
      </c>
      <c r="H2" s="191" t="s">
        <v>2557</v>
      </c>
      <c r="I2" s="224">
        <v>40939</v>
      </c>
      <c r="J2" s="226" t="s">
        <v>2558</v>
      </c>
      <c r="K2" s="224">
        <v>3.45</v>
      </c>
      <c r="L2" s="224">
        <v>0</v>
      </c>
      <c r="M2" s="224">
        <v>0</v>
      </c>
      <c r="N2" s="224">
        <v>1</v>
      </c>
      <c r="O2" s="224">
        <f t="shared" ref="O2:O256" si="0">K2-L2-M2</f>
        <v>3.45</v>
      </c>
      <c r="P2" s="227">
        <f t="shared" ref="P2:P256" si="1">IF(D2="USD",O2,O2/N2)</f>
        <v>3.45</v>
      </c>
    </row>
    <row r="3" spans="1:16" ht="12.75">
      <c r="A3" s="224">
        <v>2</v>
      </c>
      <c r="B3" s="224">
        <v>6495</v>
      </c>
      <c r="C3" s="191" t="s">
        <v>2559</v>
      </c>
      <c r="D3" s="191" t="s">
        <v>45</v>
      </c>
      <c r="E3" s="191" t="s">
        <v>2556</v>
      </c>
      <c r="F3" s="225">
        <v>45658.104166666664</v>
      </c>
      <c r="G3" s="191">
        <v>1</v>
      </c>
      <c r="H3" s="191" t="s">
        <v>2557</v>
      </c>
      <c r="I3" s="224">
        <v>40975</v>
      </c>
      <c r="J3" s="226" t="s">
        <v>2560</v>
      </c>
      <c r="K3" s="224">
        <v>20.25</v>
      </c>
      <c r="L3" s="224">
        <v>0</v>
      </c>
      <c r="M3" s="224">
        <v>0</v>
      </c>
      <c r="N3" s="224">
        <v>1</v>
      </c>
      <c r="O3" s="224">
        <f t="shared" si="0"/>
        <v>20.25</v>
      </c>
      <c r="P3" s="227">
        <f t="shared" si="1"/>
        <v>20.25</v>
      </c>
    </row>
    <row r="4" spans="1:16" ht="12.75">
      <c r="A4" s="224">
        <v>3</v>
      </c>
      <c r="B4" s="224">
        <v>6514</v>
      </c>
      <c r="C4" s="191" t="s">
        <v>2561</v>
      </c>
      <c r="D4" s="191" t="s">
        <v>45</v>
      </c>
      <c r="E4" s="191" t="s">
        <v>2556</v>
      </c>
      <c r="F4" s="225">
        <v>45658.541666666664</v>
      </c>
      <c r="G4" s="191">
        <v>1</v>
      </c>
      <c r="H4" s="191" t="s">
        <v>2557</v>
      </c>
      <c r="I4" s="224">
        <v>41059</v>
      </c>
      <c r="J4" s="226" t="s">
        <v>2562</v>
      </c>
      <c r="K4" s="224">
        <v>2.4900000000000002</v>
      </c>
      <c r="L4" s="224">
        <v>0</v>
      </c>
      <c r="M4" s="224">
        <v>0</v>
      </c>
      <c r="N4" s="224">
        <v>1</v>
      </c>
      <c r="O4" s="224">
        <f t="shared" si="0"/>
        <v>2.4900000000000002</v>
      </c>
      <c r="P4" s="227">
        <f t="shared" si="1"/>
        <v>2.4900000000000002</v>
      </c>
    </row>
    <row r="5" spans="1:16" ht="12.75">
      <c r="A5" s="224">
        <v>4</v>
      </c>
      <c r="B5" s="224">
        <v>6522</v>
      </c>
      <c r="C5" s="191" t="s">
        <v>2563</v>
      </c>
      <c r="D5" s="191" t="s">
        <v>45</v>
      </c>
      <c r="E5" s="191" t="s">
        <v>2556</v>
      </c>
      <c r="F5" s="225">
        <v>45658.79583333333</v>
      </c>
      <c r="G5" s="191">
        <v>1</v>
      </c>
      <c r="H5" s="191" t="s">
        <v>2557</v>
      </c>
      <c r="I5" s="224">
        <v>41107</v>
      </c>
      <c r="J5" s="226" t="s">
        <v>2564</v>
      </c>
      <c r="K5" s="224">
        <v>20.25</v>
      </c>
      <c r="L5" s="224">
        <v>0</v>
      </c>
      <c r="M5" s="224">
        <v>0</v>
      </c>
      <c r="N5" s="224">
        <v>1</v>
      </c>
      <c r="O5" s="224">
        <f t="shared" si="0"/>
        <v>20.25</v>
      </c>
      <c r="P5" s="227">
        <f t="shared" si="1"/>
        <v>20.25</v>
      </c>
    </row>
    <row r="6" spans="1:16" ht="12.75">
      <c r="A6" s="224">
        <v>5</v>
      </c>
      <c r="B6" s="224">
        <v>6525</v>
      </c>
      <c r="C6" s="191" t="s">
        <v>2565</v>
      </c>
      <c r="D6" s="191" t="s">
        <v>45</v>
      </c>
      <c r="E6" s="191" t="s">
        <v>9</v>
      </c>
      <c r="F6" s="225">
        <v>45658.806944444441</v>
      </c>
      <c r="G6" s="191">
        <v>1</v>
      </c>
      <c r="H6" s="191" t="s">
        <v>2557</v>
      </c>
      <c r="I6" s="224">
        <v>41119</v>
      </c>
      <c r="J6" s="226" t="s">
        <v>260</v>
      </c>
      <c r="K6" s="224">
        <v>20.25</v>
      </c>
      <c r="L6" s="224">
        <v>1.5</v>
      </c>
      <c r="M6" s="224">
        <v>0</v>
      </c>
      <c r="N6" s="224">
        <v>1</v>
      </c>
      <c r="O6" s="224">
        <f t="shared" si="0"/>
        <v>18.75</v>
      </c>
      <c r="P6" s="227">
        <f t="shared" si="1"/>
        <v>18.75</v>
      </c>
    </row>
    <row r="7" spans="1:16" ht="12.75">
      <c r="A7" s="224">
        <v>6</v>
      </c>
      <c r="B7" s="224">
        <v>6529</v>
      </c>
      <c r="C7" s="191" t="s">
        <v>2566</v>
      </c>
      <c r="D7" s="191" t="s">
        <v>45</v>
      </c>
      <c r="E7" s="191" t="s">
        <v>2556</v>
      </c>
      <c r="F7" s="225">
        <v>45658.915277777778</v>
      </c>
      <c r="G7" s="191">
        <v>1</v>
      </c>
      <c r="H7" s="191" t="s">
        <v>2557</v>
      </c>
      <c r="I7" s="224">
        <v>41155</v>
      </c>
      <c r="J7" s="226" t="s">
        <v>2567</v>
      </c>
      <c r="K7" s="224">
        <v>20.25</v>
      </c>
      <c r="L7" s="224">
        <v>0</v>
      </c>
      <c r="M7" s="224">
        <v>0</v>
      </c>
      <c r="N7" s="224">
        <v>1</v>
      </c>
      <c r="O7" s="224">
        <f t="shared" si="0"/>
        <v>20.25</v>
      </c>
      <c r="P7" s="227">
        <f t="shared" si="1"/>
        <v>20.25</v>
      </c>
    </row>
    <row r="8" spans="1:16" ht="12.75">
      <c r="A8" s="224">
        <v>7</v>
      </c>
      <c r="B8" s="224">
        <v>6528</v>
      </c>
      <c r="C8" s="191" t="s">
        <v>2568</v>
      </c>
      <c r="D8" s="191" t="s">
        <v>45</v>
      </c>
      <c r="E8" s="191" t="s">
        <v>9</v>
      </c>
      <c r="F8" s="225">
        <v>45658.915972222225</v>
      </c>
      <c r="G8" s="191">
        <v>1</v>
      </c>
      <c r="H8" s="191" t="s">
        <v>2557</v>
      </c>
      <c r="I8" s="224">
        <v>41167</v>
      </c>
      <c r="J8" s="226" t="s">
        <v>263</v>
      </c>
      <c r="K8" s="224">
        <v>20.25</v>
      </c>
      <c r="L8" s="224">
        <v>1.5</v>
      </c>
      <c r="M8" s="224">
        <v>0</v>
      </c>
      <c r="N8" s="224">
        <v>1</v>
      </c>
      <c r="O8" s="224">
        <f t="shared" si="0"/>
        <v>18.75</v>
      </c>
      <c r="P8" s="227">
        <f t="shared" si="1"/>
        <v>18.75</v>
      </c>
    </row>
    <row r="9" spans="1:16" ht="12.75">
      <c r="A9" s="224">
        <v>8</v>
      </c>
      <c r="B9" s="224">
        <v>6533</v>
      </c>
      <c r="C9" s="191" t="s">
        <v>2569</v>
      </c>
      <c r="D9" s="191" t="s">
        <v>45</v>
      </c>
      <c r="E9" s="191" t="s">
        <v>2556</v>
      </c>
      <c r="F9" s="225">
        <v>45658.98541666667</v>
      </c>
      <c r="G9" s="191">
        <v>1</v>
      </c>
      <c r="H9" s="191" t="s">
        <v>2557</v>
      </c>
      <c r="I9" s="224">
        <v>41191</v>
      </c>
      <c r="J9" s="226" t="s">
        <v>2570</v>
      </c>
      <c r="K9" s="224">
        <v>20.25</v>
      </c>
      <c r="L9" s="224">
        <v>0</v>
      </c>
      <c r="M9" s="224">
        <v>0</v>
      </c>
      <c r="N9" s="224">
        <v>1</v>
      </c>
      <c r="O9" s="224">
        <f t="shared" si="0"/>
        <v>20.25</v>
      </c>
      <c r="P9" s="227">
        <f t="shared" si="1"/>
        <v>20.25</v>
      </c>
    </row>
    <row r="10" spans="1:16" ht="12.75">
      <c r="A10" s="224">
        <v>9</v>
      </c>
      <c r="B10" s="170">
        <v>6535</v>
      </c>
      <c r="C10" s="172" t="s">
        <v>2571</v>
      </c>
      <c r="D10" s="172" t="s">
        <v>45</v>
      </c>
      <c r="E10" s="172" t="s">
        <v>2572</v>
      </c>
      <c r="F10" s="228">
        <v>45659.030555555553</v>
      </c>
      <c r="G10" s="172">
        <v>1</v>
      </c>
      <c r="H10" s="172" t="s">
        <v>2557</v>
      </c>
      <c r="I10" s="170">
        <v>41203</v>
      </c>
      <c r="J10" s="229" t="s">
        <v>2573</v>
      </c>
      <c r="K10" s="170">
        <v>7.99</v>
      </c>
      <c r="L10" s="170">
        <v>0</v>
      </c>
      <c r="M10" s="170">
        <v>0</v>
      </c>
      <c r="N10" s="170">
        <v>1</v>
      </c>
      <c r="O10" s="170">
        <f t="shared" si="0"/>
        <v>7.99</v>
      </c>
      <c r="P10" s="230">
        <f t="shared" si="1"/>
        <v>7.99</v>
      </c>
    </row>
    <row r="11" spans="1:16" ht="12.75">
      <c r="A11" s="224">
        <v>10</v>
      </c>
      <c r="B11" s="224">
        <v>6537</v>
      </c>
      <c r="C11" s="191" t="s">
        <v>2574</v>
      </c>
      <c r="D11" s="191" t="s">
        <v>45</v>
      </c>
      <c r="E11" s="191" t="s">
        <v>9</v>
      </c>
      <c r="F11" s="225">
        <v>45659.09652777778</v>
      </c>
      <c r="G11" s="191">
        <v>1</v>
      </c>
      <c r="H11" s="191" t="s">
        <v>2557</v>
      </c>
      <c r="I11" s="224">
        <v>41215</v>
      </c>
      <c r="J11" s="226" t="s">
        <v>265</v>
      </c>
      <c r="K11" s="224">
        <v>20.25</v>
      </c>
      <c r="L11" s="224">
        <v>1.2</v>
      </c>
      <c r="M11" s="224">
        <v>0</v>
      </c>
      <c r="N11" s="224">
        <v>1</v>
      </c>
      <c r="O11" s="224">
        <f t="shared" si="0"/>
        <v>19.05</v>
      </c>
      <c r="P11" s="227">
        <f t="shared" si="1"/>
        <v>19.05</v>
      </c>
    </row>
    <row r="12" spans="1:16" ht="12.75">
      <c r="A12" s="224">
        <v>11</v>
      </c>
      <c r="B12" s="224">
        <v>6553</v>
      </c>
      <c r="C12" s="191" t="s">
        <v>2575</v>
      </c>
      <c r="D12" s="191" t="s">
        <v>45</v>
      </c>
      <c r="E12" s="191" t="s">
        <v>9</v>
      </c>
      <c r="F12" s="225">
        <v>45659.28402777778</v>
      </c>
      <c r="G12" s="191">
        <v>1</v>
      </c>
      <c r="H12" s="191" t="s">
        <v>2557</v>
      </c>
      <c r="I12" s="224">
        <v>41227</v>
      </c>
      <c r="J12" s="226" t="s">
        <v>267</v>
      </c>
      <c r="K12" s="224">
        <v>20.25</v>
      </c>
      <c r="L12" s="224">
        <v>1.5</v>
      </c>
      <c r="M12" s="224">
        <v>0</v>
      </c>
      <c r="N12" s="224">
        <v>1</v>
      </c>
      <c r="O12" s="224">
        <f t="shared" si="0"/>
        <v>18.75</v>
      </c>
      <c r="P12" s="227">
        <f t="shared" si="1"/>
        <v>18.75</v>
      </c>
    </row>
    <row r="13" spans="1:16" ht="12.75">
      <c r="A13" s="224">
        <v>12</v>
      </c>
      <c r="B13" s="224">
        <v>6461</v>
      </c>
      <c r="C13" s="191" t="s">
        <v>2576</v>
      </c>
      <c r="D13" s="191" t="s">
        <v>45</v>
      </c>
      <c r="E13" s="191" t="s">
        <v>2556</v>
      </c>
      <c r="F13" s="225">
        <v>45659.457638888889</v>
      </c>
      <c r="G13" s="191">
        <v>1</v>
      </c>
      <c r="H13" s="191" t="s">
        <v>2557</v>
      </c>
      <c r="I13" s="224">
        <v>41263</v>
      </c>
      <c r="J13" s="226" t="s">
        <v>2577</v>
      </c>
      <c r="K13" s="224">
        <v>20.25</v>
      </c>
      <c r="L13" s="224">
        <v>0</v>
      </c>
      <c r="M13" s="224">
        <v>0</v>
      </c>
      <c r="N13" s="224">
        <v>1</v>
      </c>
      <c r="O13" s="224">
        <f t="shared" si="0"/>
        <v>20.25</v>
      </c>
      <c r="P13" s="227">
        <f t="shared" si="1"/>
        <v>20.25</v>
      </c>
    </row>
    <row r="14" spans="1:16" ht="12.75">
      <c r="A14" s="224">
        <v>13</v>
      </c>
      <c r="B14" s="224">
        <v>6584</v>
      </c>
      <c r="C14" s="191" t="s">
        <v>2578</v>
      </c>
      <c r="D14" s="191" t="s">
        <v>45</v>
      </c>
      <c r="E14" s="191" t="s">
        <v>2556</v>
      </c>
      <c r="F14" s="225">
        <v>45659.679166666669</v>
      </c>
      <c r="G14" s="191">
        <v>1</v>
      </c>
      <c r="H14" s="191" t="s">
        <v>2557</v>
      </c>
      <c r="I14" s="224">
        <v>41287</v>
      </c>
      <c r="J14" s="226" t="s">
        <v>2579</v>
      </c>
      <c r="K14" s="224">
        <v>20.25</v>
      </c>
      <c r="L14" s="224">
        <v>0</v>
      </c>
      <c r="M14" s="224">
        <v>0</v>
      </c>
      <c r="N14" s="224">
        <v>1</v>
      </c>
      <c r="O14" s="224">
        <f t="shared" si="0"/>
        <v>20.25</v>
      </c>
      <c r="P14" s="227">
        <f t="shared" si="1"/>
        <v>20.25</v>
      </c>
    </row>
    <row r="15" spans="1:16" ht="12.75">
      <c r="A15" s="224">
        <v>14</v>
      </c>
      <c r="B15" s="224">
        <v>318</v>
      </c>
      <c r="C15" s="191" t="s">
        <v>2580</v>
      </c>
      <c r="D15" s="191" t="s">
        <v>45</v>
      </c>
      <c r="E15" s="191" t="s">
        <v>2556</v>
      </c>
      <c r="F15" s="225">
        <v>45659.79791666667</v>
      </c>
      <c r="G15" s="191">
        <v>1</v>
      </c>
      <c r="H15" s="191" t="s">
        <v>2557</v>
      </c>
      <c r="I15" s="224">
        <v>37903</v>
      </c>
      <c r="J15" s="226" t="s">
        <v>2581</v>
      </c>
      <c r="K15" s="224">
        <v>1.0900000000000001</v>
      </c>
      <c r="L15" s="224">
        <v>0</v>
      </c>
      <c r="M15" s="224">
        <v>0</v>
      </c>
      <c r="N15" s="224">
        <v>1</v>
      </c>
      <c r="O15" s="224">
        <f t="shared" si="0"/>
        <v>1.0900000000000001</v>
      </c>
      <c r="P15" s="227">
        <f t="shared" si="1"/>
        <v>1.0900000000000001</v>
      </c>
    </row>
    <row r="16" spans="1:16" ht="12.75">
      <c r="A16" s="224">
        <v>15</v>
      </c>
      <c r="B16" s="224">
        <v>4945</v>
      </c>
      <c r="C16" s="191" t="s">
        <v>2575</v>
      </c>
      <c r="D16" s="191" t="s">
        <v>2582</v>
      </c>
      <c r="E16" s="191" t="s">
        <v>2556</v>
      </c>
      <c r="F16" s="225">
        <v>45659.967361111114</v>
      </c>
      <c r="G16" s="191">
        <v>1</v>
      </c>
      <c r="H16" s="191" t="s">
        <v>2557</v>
      </c>
      <c r="I16" s="224">
        <v>41323</v>
      </c>
      <c r="J16" s="226" t="s">
        <v>2583</v>
      </c>
      <c r="K16" s="224">
        <v>147.81</v>
      </c>
      <c r="L16" s="224">
        <v>0</v>
      </c>
      <c r="M16" s="224">
        <v>0</v>
      </c>
      <c r="N16" s="224">
        <v>7.2993600000000001</v>
      </c>
      <c r="O16" s="224">
        <f t="shared" si="0"/>
        <v>147.81</v>
      </c>
      <c r="P16" s="227">
        <f t="shared" si="1"/>
        <v>20.249720523443152</v>
      </c>
    </row>
    <row r="17" spans="1:16" ht="12.75">
      <c r="A17" s="224">
        <v>16</v>
      </c>
      <c r="B17" s="224">
        <v>6633</v>
      </c>
      <c r="C17" s="191" t="s">
        <v>2584</v>
      </c>
      <c r="D17" s="191" t="s">
        <v>45</v>
      </c>
      <c r="E17" s="191" t="s">
        <v>2556</v>
      </c>
      <c r="F17" s="225">
        <v>45660.697222222225</v>
      </c>
      <c r="G17" s="191">
        <v>1</v>
      </c>
      <c r="H17" s="191" t="s">
        <v>2557</v>
      </c>
      <c r="I17" s="224">
        <v>41371</v>
      </c>
      <c r="J17" s="226" t="s">
        <v>2585</v>
      </c>
      <c r="K17" s="224">
        <v>59.99</v>
      </c>
      <c r="L17" s="224">
        <v>0</v>
      </c>
      <c r="M17" s="224">
        <v>0</v>
      </c>
      <c r="N17" s="224">
        <v>1</v>
      </c>
      <c r="O17" s="224">
        <f t="shared" si="0"/>
        <v>59.99</v>
      </c>
      <c r="P17" s="227">
        <f t="shared" si="1"/>
        <v>59.99</v>
      </c>
    </row>
    <row r="18" spans="1:16" ht="12.75">
      <c r="A18" s="224">
        <v>17</v>
      </c>
      <c r="B18" s="224">
        <v>6633</v>
      </c>
      <c r="C18" s="191" t="s">
        <v>2584</v>
      </c>
      <c r="D18" s="191" t="s">
        <v>45</v>
      </c>
      <c r="E18" s="191" t="s">
        <v>2556</v>
      </c>
      <c r="F18" s="225">
        <v>45660.723611111112</v>
      </c>
      <c r="G18" s="191">
        <v>1</v>
      </c>
      <c r="H18" s="191" t="s">
        <v>2557</v>
      </c>
      <c r="I18" s="224">
        <v>41395</v>
      </c>
      <c r="J18" s="226" t="s">
        <v>2586</v>
      </c>
      <c r="K18" s="224">
        <v>23.99</v>
      </c>
      <c r="L18" s="224">
        <v>0</v>
      </c>
      <c r="M18" s="224">
        <v>0</v>
      </c>
      <c r="N18" s="224">
        <v>1</v>
      </c>
      <c r="O18" s="224">
        <f t="shared" si="0"/>
        <v>23.99</v>
      </c>
      <c r="P18" s="227">
        <f t="shared" si="1"/>
        <v>23.99</v>
      </c>
    </row>
    <row r="19" spans="1:16" ht="12.75">
      <c r="A19" s="224">
        <v>18</v>
      </c>
      <c r="B19" s="224">
        <v>318</v>
      </c>
      <c r="C19" s="191" t="s">
        <v>2580</v>
      </c>
      <c r="D19" s="191" t="s">
        <v>45</v>
      </c>
      <c r="E19" s="191" t="s">
        <v>2556</v>
      </c>
      <c r="F19" s="225">
        <v>45660.750694444447</v>
      </c>
      <c r="G19" s="191">
        <v>1</v>
      </c>
      <c r="H19" s="191" t="s">
        <v>2557</v>
      </c>
      <c r="I19" s="224">
        <v>41407</v>
      </c>
      <c r="J19" s="226" t="s">
        <v>2587</v>
      </c>
      <c r="K19" s="224">
        <v>20.25</v>
      </c>
      <c r="L19" s="224">
        <v>0</v>
      </c>
      <c r="M19" s="224">
        <v>0</v>
      </c>
      <c r="N19" s="224">
        <v>1</v>
      </c>
      <c r="O19" s="224">
        <f t="shared" si="0"/>
        <v>20.25</v>
      </c>
      <c r="P19" s="227">
        <f t="shared" si="1"/>
        <v>20.25</v>
      </c>
    </row>
    <row r="20" spans="1:16" ht="12.75">
      <c r="A20" s="224">
        <v>19</v>
      </c>
      <c r="B20" s="224">
        <v>6641</v>
      </c>
      <c r="C20" s="191" t="s">
        <v>2588</v>
      </c>
      <c r="D20" s="191" t="s">
        <v>45</v>
      </c>
      <c r="E20" s="191" t="s">
        <v>2556</v>
      </c>
      <c r="F20" s="225">
        <v>45660.947222222225</v>
      </c>
      <c r="G20" s="191">
        <v>1</v>
      </c>
      <c r="H20" s="191" t="s">
        <v>2557</v>
      </c>
      <c r="I20" s="224">
        <v>41431</v>
      </c>
      <c r="J20" s="226" t="s">
        <v>2589</v>
      </c>
      <c r="K20" s="224">
        <v>20.25</v>
      </c>
      <c r="L20" s="224">
        <v>0</v>
      </c>
      <c r="M20" s="224">
        <v>0</v>
      </c>
      <c r="N20" s="224">
        <v>1</v>
      </c>
      <c r="O20" s="224">
        <f t="shared" si="0"/>
        <v>20.25</v>
      </c>
      <c r="P20" s="227">
        <f t="shared" si="1"/>
        <v>20.25</v>
      </c>
    </row>
    <row r="21" spans="1:16" ht="12.75">
      <c r="A21" s="224">
        <v>20</v>
      </c>
      <c r="B21" s="224">
        <v>6644</v>
      </c>
      <c r="C21" s="191" t="s">
        <v>2590</v>
      </c>
      <c r="D21" s="191" t="s">
        <v>2582</v>
      </c>
      <c r="E21" s="191" t="s">
        <v>2556</v>
      </c>
      <c r="F21" s="225">
        <v>45660.963194444441</v>
      </c>
      <c r="G21" s="191">
        <v>1</v>
      </c>
      <c r="H21" s="191" t="s">
        <v>2557</v>
      </c>
      <c r="I21" s="224">
        <v>41443</v>
      </c>
      <c r="J21" s="226" t="s">
        <v>2591</v>
      </c>
      <c r="K21" s="224">
        <v>91.97</v>
      </c>
      <c r="L21" s="224">
        <v>0</v>
      </c>
      <c r="M21" s="224">
        <v>0</v>
      </c>
      <c r="N21" s="224">
        <v>7.2994899999999996</v>
      </c>
      <c r="O21" s="224">
        <f t="shared" si="0"/>
        <v>91.97</v>
      </c>
      <c r="P21" s="227">
        <f t="shared" si="1"/>
        <v>12.599510376752349</v>
      </c>
    </row>
    <row r="22" spans="1:16" ht="12.75">
      <c r="A22" s="224">
        <v>21</v>
      </c>
      <c r="B22" s="224">
        <v>6463</v>
      </c>
      <c r="C22" s="191" t="s">
        <v>2555</v>
      </c>
      <c r="D22" s="191" t="s">
        <v>45</v>
      </c>
      <c r="E22" s="191" t="s">
        <v>2556</v>
      </c>
      <c r="F22" s="225">
        <v>45661.088194444441</v>
      </c>
      <c r="G22" s="191">
        <v>1</v>
      </c>
      <c r="H22" s="191" t="s">
        <v>2557</v>
      </c>
      <c r="I22" s="224">
        <v>41383</v>
      </c>
      <c r="J22" s="226" t="s">
        <v>2592</v>
      </c>
      <c r="K22" s="224">
        <v>8.39</v>
      </c>
      <c r="L22" s="224">
        <v>0</v>
      </c>
      <c r="M22" s="224">
        <v>0</v>
      </c>
      <c r="N22" s="224">
        <v>1</v>
      </c>
      <c r="O22" s="224">
        <f t="shared" si="0"/>
        <v>8.39</v>
      </c>
      <c r="P22" s="227">
        <f t="shared" si="1"/>
        <v>8.39</v>
      </c>
    </row>
    <row r="23" spans="1:16" ht="12.75">
      <c r="A23" s="224">
        <v>22</v>
      </c>
      <c r="B23" s="224">
        <v>6463</v>
      </c>
      <c r="C23" s="191" t="s">
        <v>2555</v>
      </c>
      <c r="D23" s="191" t="s">
        <v>45</v>
      </c>
      <c r="E23" s="191" t="s">
        <v>2556</v>
      </c>
      <c r="F23" s="225">
        <v>45661.40625</v>
      </c>
      <c r="G23" s="191">
        <v>1</v>
      </c>
      <c r="H23" s="191" t="s">
        <v>2557</v>
      </c>
      <c r="I23" s="224">
        <v>41539</v>
      </c>
      <c r="J23" s="226" t="s">
        <v>2593</v>
      </c>
      <c r="K23" s="224">
        <v>5.49</v>
      </c>
      <c r="L23" s="224">
        <v>0</v>
      </c>
      <c r="M23" s="224">
        <v>0</v>
      </c>
      <c r="N23" s="224">
        <v>1</v>
      </c>
      <c r="O23" s="224">
        <f t="shared" si="0"/>
        <v>5.49</v>
      </c>
      <c r="P23" s="227">
        <f t="shared" si="1"/>
        <v>5.49</v>
      </c>
    </row>
    <row r="24" spans="1:16" ht="12.75">
      <c r="A24" s="224">
        <v>23</v>
      </c>
      <c r="B24" s="224">
        <v>1588</v>
      </c>
      <c r="C24" s="191" t="s">
        <v>2594</v>
      </c>
      <c r="D24" s="191" t="s">
        <v>45</v>
      </c>
      <c r="E24" s="191" t="s">
        <v>2556</v>
      </c>
      <c r="F24" s="225">
        <v>45661.413194444445</v>
      </c>
      <c r="G24" s="191">
        <v>1</v>
      </c>
      <c r="H24" s="191" t="s">
        <v>2557</v>
      </c>
      <c r="I24" s="224">
        <v>41551</v>
      </c>
      <c r="J24" s="226" t="s">
        <v>2595</v>
      </c>
      <c r="K24" s="224">
        <v>20.25</v>
      </c>
      <c r="L24" s="224">
        <v>0</v>
      </c>
      <c r="M24" s="224">
        <v>0</v>
      </c>
      <c r="N24" s="224">
        <v>1</v>
      </c>
      <c r="O24" s="224">
        <f t="shared" si="0"/>
        <v>20.25</v>
      </c>
      <c r="P24" s="227">
        <f t="shared" si="1"/>
        <v>20.25</v>
      </c>
    </row>
    <row r="25" spans="1:16" ht="12.75">
      <c r="A25" s="224">
        <v>24</v>
      </c>
      <c r="B25" s="224">
        <v>6684</v>
      </c>
      <c r="C25" s="191" t="s">
        <v>2596</v>
      </c>
      <c r="D25" s="191" t="s">
        <v>45</v>
      </c>
      <c r="E25" s="191" t="s">
        <v>2556</v>
      </c>
      <c r="F25" s="225">
        <v>45661.461805555555</v>
      </c>
      <c r="G25" s="191">
        <v>1</v>
      </c>
      <c r="H25" s="191" t="s">
        <v>2557</v>
      </c>
      <c r="I25" s="224">
        <v>41563</v>
      </c>
      <c r="J25" s="226" t="s">
        <v>2597</v>
      </c>
      <c r="K25" s="224">
        <v>20.25</v>
      </c>
      <c r="L25" s="224">
        <v>0</v>
      </c>
      <c r="M25" s="224">
        <v>0</v>
      </c>
      <c r="N25" s="224">
        <v>1</v>
      </c>
      <c r="O25" s="224">
        <f t="shared" si="0"/>
        <v>20.25</v>
      </c>
      <c r="P25" s="227">
        <f t="shared" si="1"/>
        <v>20.25</v>
      </c>
    </row>
    <row r="26" spans="1:16" ht="12.75">
      <c r="A26" s="224">
        <v>25</v>
      </c>
      <c r="B26" s="224">
        <v>1836</v>
      </c>
      <c r="C26" s="191" t="s">
        <v>2598</v>
      </c>
      <c r="D26" s="191" t="s">
        <v>2582</v>
      </c>
      <c r="E26" s="191" t="s">
        <v>2556</v>
      </c>
      <c r="F26" s="225">
        <v>45661.525000000001</v>
      </c>
      <c r="G26" s="191">
        <v>1</v>
      </c>
      <c r="H26" s="191" t="s">
        <v>2557</v>
      </c>
      <c r="I26" s="224">
        <v>41575</v>
      </c>
      <c r="J26" s="226" t="s">
        <v>2599</v>
      </c>
      <c r="K26" s="224">
        <v>87.75</v>
      </c>
      <c r="L26" s="224">
        <v>0</v>
      </c>
      <c r="M26" s="224">
        <v>0</v>
      </c>
      <c r="N26" s="224">
        <v>7.3182799999999997</v>
      </c>
      <c r="O26" s="224">
        <f t="shared" si="0"/>
        <v>87.75</v>
      </c>
      <c r="P26" s="227">
        <f t="shared" si="1"/>
        <v>11.990522363178234</v>
      </c>
    </row>
    <row r="27" spans="1:16" ht="12.75">
      <c r="A27" s="224">
        <v>26</v>
      </c>
      <c r="B27" s="224">
        <v>6644</v>
      </c>
      <c r="C27" s="191" t="s">
        <v>2590</v>
      </c>
      <c r="D27" s="191" t="s">
        <v>2582</v>
      </c>
      <c r="E27" s="191" t="s">
        <v>2556</v>
      </c>
      <c r="F27" s="225">
        <v>45661.527777777781</v>
      </c>
      <c r="G27" s="191">
        <v>1</v>
      </c>
      <c r="H27" s="191" t="s">
        <v>2557</v>
      </c>
      <c r="I27" s="224">
        <v>41587</v>
      </c>
      <c r="J27" s="226" t="s">
        <v>2600</v>
      </c>
      <c r="K27" s="224">
        <v>148.19999999999999</v>
      </c>
      <c r="L27" s="224">
        <v>0</v>
      </c>
      <c r="M27" s="224">
        <v>0</v>
      </c>
      <c r="N27" s="224">
        <v>7.3182799999999997</v>
      </c>
      <c r="O27" s="224">
        <f t="shared" si="0"/>
        <v>148.19999999999999</v>
      </c>
      <c r="P27" s="227">
        <f t="shared" si="1"/>
        <v>20.250659991145461</v>
      </c>
    </row>
    <row r="28" spans="1:16" ht="12.75">
      <c r="A28" s="224">
        <v>27</v>
      </c>
      <c r="B28" s="224">
        <v>1836</v>
      </c>
      <c r="C28" s="191" t="s">
        <v>2598</v>
      </c>
      <c r="D28" s="191" t="s">
        <v>2582</v>
      </c>
      <c r="E28" s="191" t="s">
        <v>2556</v>
      </c>
      <c r="F28" s="225">
        <v>45661.52847222222</v>
      </c>
      <c r="G28" s="191">
        <v>1</v>
      </c>
      <c r="H28" s="191" t="s">
        <v>2557</v>
      </c>
      <c r="I28" s="224">
        <v>41491</v>
      </c>
      <c r="J28" s="226" t="s">
        <v>2601</v>
      </c>
      <c r="K28" s="224">
        <v>87.31</v>
      </c>
      <c r="L28" s="224">
        <v>0</v>
      </c>
      <c r="M28" s="224">
        <v>0</v>
      </c>
      <c r="N28" s="224">
        <v>7.3182799999999997</v>
      </c>
      <c r="O28" s="224">
        <f t="shared" si="0"/>
        <v>87.31</v>
      </c>
      <c r="P28" s="227">
        <f t="shared" si="1"/>
        <v>11.930398946200475</v>
      </c>
    </row>
    <row r="29" spans="1:16" ht="12.75">
      <c r="A29" s="224">
        <v>28</v>
      </c>
      <c r="B29" s="224">
        <v>1836</v>
      </c>
      <c r="C29" s="191" t="s">
        <v>2598</v>
      </c>
      <c r="D29" s="191" t="s">
        <v>2582</v>
      </c>
      <c r="E29" s="191" t="s">
        <v>2556</v>
      </c>
      <c r="F29" s="225">
        <v>45661.549305555556</v>
      </c>
      <c r="G29" s="191">
        <v>1</v>
      </c>
      <c r="H29" s="191" t="s">
        <v>2557</v>
      </c>
      <c r="I29" s="224">
        <v>41491</v>
      </c>
      <c r="J29" s="226"/>
      <c r="K29" s="224">
        <v>0.03</v>
      </c>
      <c r="L29" s="224">
        <v>0</v>
      </c>
      <c r="M29" s="224">
        <v>0</v>
      </c>
      <c r="N29" s="224">
        <v>7.3182799999999997</v>
      </c>
      <c r="O29" s="224">
        <f t="shared" si="0"/>
        <v>0.03</v>
      </c>
      <c r="P29" s="227">
        <f t="shared" si="1"/>
        <v>4.099323884847259E-3</v>
      </c>
    </row>
    <row r="30" spans="1:16" ht="12.75">
      <c r="A30" s="224">
        <v>29</v>
      </c>
      <c r="B30" s="224">
        <v>4096</v>
      </c>
      <c r="C30" s="191" t="s">
        <v>2602</v>
      </c>
      <c r="D30" s="191" t="s">
        <v>45</v>
      </c>
      <c r="E30" s="191" t="s">
        <v>9</v>
      </c>
      <c r="F30" s="225">
        <v>45661.820833333331</v>
      </c>
      <c r="G30" s="191">
        <v>1</v>
      </c>
      <c r="H30" s="191" t="s">
        <v>2557</v>
      </c>
      <c r="I30" s="224">
        <v>38131</v>
      </c>
      <c r="J30" s="226" t="s">
        <v>269</v>
      </c>
      <c r="K30" s="224">
        <v>11.99</v>
      </c>
      <c r="L30" s="224">
        <v>0.91</v>
      </c>
      <c r="M30" s="224">
        <v>0</v>
      </c>
      <c r="N30" s="224">
        <v>1</v>
      </c>
      <c r="O30" s="224">
        <f t="shared" si="0"/>
        <v>11.08</v>
      </c>
      <c r="P30" s="227">
        <f t="shared" si="1"/>
        <v>11.08</v>
      </c>
    </row>
    <row r="31" spans="1:16" ht="12.75">
      <c r="A31" s="224">
        <v>30</v>
      </c>
      <c r="B31" s="224">
        <v>6392</v>
      </c>
      <c r="C31" s="191" t="s">
        <v>2603</v>
      </c>
      <c r="D31" s="191" t="s">
        <v>45</v>
      </c>
      <c r="E31" s="191" t="s">
        <v>9</v>
      </c>
      <c r="F31" s="225">
        <v>45661.873611111114</v>
      </c>
      <c r="G31" s="191">
        <v>1</v>
      </c>
      <c r="H31" s="191" t="s">
        <v>2557</v>
      </c>
      <c r="I31" s="224">
        <v>41611</v>
      </c>
      <c r="J31" s="226" t="s">
        <v>271</v>
      </c>
      <c r="K31" s="224">
        <v>23.99</v>
      </c>
      <c r="L31" s="224">
        <v>1.33</v>
      </c>
      <c r="M31" s="224">
        <v>0</v>
      </c>
      <c r="N31" s="224">
        <v>1</v>
      </c>
      <c r="O31" s="224">
        <f t="shared" si="0"/>
        <v>22.659999999999997</v>
      </c>
      <c r="P31" s="227">
        <f t="shared" si="1"/>
        <v>22.659999999999997</v>
      </c>
    </row>
    <row r="32" spans="1:16" ht="12.75">
      <c r="A32" s="224">
        <v>31</v>
      </c>
      <c r="B32" s="224">
        <v>6705</v>
      </c>
      <c r="C32" s="191" t="s">
        <v>2604</v>
      </c>
      <c r="D32" s="191" t="s">
        <v>45</v>
      </c>
      <c r="E32" s="191" t="s">
        <v>2556</v>
      </c>
      <c r="F32" s="225">
        <v>45662.011805555558</v>
      </c>
      <c r="G32" s="191">
        <v>1</v>
      </c>
      <c r="H32" s="191" t="s">
        <v>2557</v>
      </c>
      <c r="I32" s="224">
        <v>41623</v>
      </c>
      <c r="J32" s="226" t="s">
        <v>2605</v>
      </c>
      <c r="K32" s="224">
        <v>20.25</v>
      </c>
      <c r="L32" s="224">
        <v>0</v>
      </c>
      <c r="M32" s="224">
        <v>0</v>
      </c>
      <c r="N32" s="224">
        <v>1</v>
      </c>
      <c r="O32" s="224">
        <f t="shared" si="0"/>
        <v>20.25</v>
      </c>
      <c r="P32" s="227">
        <f t="shared" si="1"/>
        <v>20.25</v>
      </c>
    </row>
    <row r="33" spans="1:16" ht="12.75">
      <c r="A33" s="224">
        <v>32</v>
      </c>
      <c r="B33" s="224">
        <v>3607</v>
      </c>
      <c r="C33" s="191" t="s">
        <v>2606</v>
      </c>
      <c r="D33" s="191" t="s">
        <v>45</v>
      </c>
      <c r="E33" s="191" t="s">
        <v>2556</v>
      </c>
      <c r="F33" s="225">
        <v>45662.427083333336</v>
      </c>
      <c r="G33" s="191">
        <v>1</v>
      </c>
      <c r="H33" s="191" t="s">
        <v>2557</v>
      </c>
      <c r="I33" s="224">
        <v>41695</v>
      </c>
      <c r="J33" s="226" t="s">
        <v>2607</v>
      </c>
      <c r="K33" s="224">
        <v>1.0900000000000001</v>
      </c>
      <c r="L33" s="224">
        <v>0</v>
      </c>
      <c r="M33" s="224">
        <v>0</v>
      </c>
      <c r="N33" s="224">
        <v>1</v>
      </c>
      <c r="O33" s="224">
        <f t="shared" si="0"/>
        <v>1.0900000000000001</v>
      </c>
      <c r="P33" s="227">
        <f t="shared" si="1"/>
        <v>1.0900000000000001</v>
      </c>
    </row>
    <row r="34" spans="1:16" ht="12.75">
      <c r="A34" s="224">
        <v>33</v>
      </c>
      <c r="B34" s="224">
        <v>6732</v>
      </c>
      <c r="C34" s="191" t="s">
        <v>2608</v>
      </c>
      <c r="D34" s="191" t="s">
        <v>45</v>
      </c>
      <c r="E34" s="191" t="s">
        <v>2556</v>
      </c>
      <c r="F34" s="225">
        <v>45662.495833333334</v>
      </c>
      <c r="G34" s="191">
        <v>1</v>
      </c>
      <c r="H34" s="191" t="s">
        <v>2557</v>
      </c>
      <c r="I34" s="224">
        <v>41707</v>
      </c>
      <c r="J34" s="226" t="s">
        <v>2609</v>
      </c>
      <c r="K34" s="224">
        <v>5.99</v>
      </c>
      <c r="L34" s="224">
        <v>0</v>
      </c>
      <c r="M34" s="224">
        <v>0</v>
      </c>
      <c r="N34" s="224">
        <v>1</v>
      </c>
      <c r="O34" s="224">
        <f t="shared" si="0"/>
        <v>5.99</v>
      </c>
      <c r="P34" s="227">
        <f t="shared" si="1"/>
        <v>5.99</v>
      </c>
    </row>
    <row r="35" spans="1:16" ht="12.75">
      <c r="A35" s="224">
        <v>34</v>
      </c>
      <c r="B35" s="224">
        <v>6732</v>
      </c>
      <c r="C35" s="191" t="s">
        <v>2608</v>
      </c>
      <c r="D35" s="191" t="s">
        <v>45</v>
      </c>
      <c r="E35" s="191" t="s">
        <v>2556</v>
      </c>
      <c r="F35" s="225">
        <v>45662.530555555553</v>
      </c>
      <c r="G35" s="191">
        <v>1</v>
      </c>
      <c r="H35" s="191" t="s">
        <v>2557</v>
      </c>
      <c r="I35" s="224">
        <v>41719</v>
      </c>
      <c r="J35" s="226" t="s">
        <v>2610</v>
      </c>
      <c r="K35" s="224">
        <v>23.99</v>
      </c>
      <c r="L35" s="224">
        <v>0</v>
      </c>
      <c r="M35" s="224">
        <v>0</v>
      </c>
      <c r="N35" s="224">
        <v>1</v>
      </c>
      <c r="O35" s="224">
        <f t="shared" si="0"/>
        <v>23.99</v>
      </c>
      <c r="P35" s="227">
        <f t="shared" si="1"/>
        <v>23.99</v>
      </c>
    </row>
    <row r="36" spans="1:16" ht="12.75">
      <c r="A36" s="224">
        <v>35</v>
      </c>
      <c r="B36" s="224">
        <v>2115</v>
      </c>
      <c r="C36" s="191" t="s">
        <v>272</v>
      </c>
      <c r="D36" s="191" t="s">
        <v>45</v>
      </c>
      <c r="E36" s="191" t="s">
        <v>9</v>
      </c>
      <c r="F36" s="225">
        <v>45662.813888888886</v>
      </c>
      <c r="G36" s="191">
        <v>1</v>
      </c>
      <c r="H36" s="191" t="s">
        <v>2557</v>
      </c>
      <c r="I36" s="224">
        <v>31219</v>
      </c>
      <c r="J36" s="226" t="s">
        <v>273</v>
      </c>
      <c r="K36" s="224">
        <v>4.99</v>
      </c>
      <c r="L36" s="224">
        <v>0.66</v>
      </c>
      <c r="M36" s="224">
        <v>0</v>
      </c>
      <c r="N36" s="224">
        <v>1</v>
      </c>
      <c r="O36" s="224">
        <f t="shared" si="0"/>
        <v>4.33</v>
      </c>
      <c r="P36" s="227">
        <f t="shared" si="1"/>
        <v>4.33</v>
      </c>
    </row>
    <row r="37" spans="1:16" ht="12.75">
      <c r="A37" s="224">
        <v>36</v>
      </c>
      <c r="B37" s="224">
        <v>6633</v>
      </c>
      <c r="C37" s="191" t="s">
        <v>2584</v>
      </c>
      <c r="D37" s="191" t="s">
        <v>45</v>
      </c>
      <c r="E37" s="191" t="s">
        <v>2556</v>
      </c>
      <c r="F37" s="225">
        <v>45663.040277777778</v>
      </c>
      <c r="G37" s="191">
        <v>1</v>
      </c>
      <c r="H37" s="191" t="s">
        <v>2611</v>
      </c>
      <c r="I37" s="224">
        <v>41371</v>
      </c>
      <c r="J37" s="226"/>
      <c r="K37" s="224">
        <v>0</v>
      </c>
      <c r="L37" s="224">
        <v>0</v>
      </c>
      <c r="M37" s="224">
        <v>59.99</v>
      </c>
      <c r="N37" s="224">
        <v>1</v>
      </c>
      <c r="O37" s="224">
        <f t="shared" si="0"/>
        <v>-59.99</v>
      </c>
      <c r="P37" s="227">
        <f t="shared" si="1"/>
        <v>-59.99</v>
      </c>
    </row>
    <row r="38" spans="1:16" ht="12.75">
      <c r="A38" s="224">
        <v>37</v>
      </c>
      <c r="B38" s="170">
        <v>6754</v>
      </c>
      <c r="C38" s="172" t="s">
        <v>2612</v>
      </c>
      <c r="D38" s="172" t="s">
        <v>45</v>
      </c>
      <c r="E38" s="172" t="s">
        <v>2572</v>
      </c>
      <c r="F38" s="228">
        <v>45663.068055555559</v>
      </c>
      <c r="G38" s="172">
        <v>1</v>
      </c>
      <c r="H38" s="172" t="s">
        <v>2557</v>
      </c>
      <c r="I38" s="170">
        <v>41767</v>
      </c>
      <c r="J38" s="229" t="s">
        <v>2613</v>
      </c>
      <c r="K38" s="170">
        <v>20.25</v>
      </c>
      <c r="L38" s="170">
        <v>0</v>
      </c>
      <c r="M38" s="170">
        <v>0</v>
      </c>
      <c r="N38" s="170">
        <v>1</v>
      </c>
      <c r="O38" s="170">
        <f t="shared" si="0"/>
        <v>20.25</v>
      </c>
      <c r="P38" s="230">
        <f t="shared" si="1"/>
        <v>20.25</v>
      </c>
    </row>
    <row r="39" spans="1:16" ht="12.75">
      <c r="A39" s="224">
        <v>38</v>
      </c>
      <c r="B39" s="224">
        <v>6774</v>
      </c>
      <c r="C39" s="191" t="s">
        <v>2614</v>
      </c>
      <c r="D39" s="191" t="s">
        <v>45</v>
      </c>
      <c r="E39" s="191" t="s">
        <v>2556</v>
      </c>
      <c r="F39" s="225">
        <v>45663.347222222219</v>
      </c>
      <c r="G39" s="191">
        <v>1</v>
      </c>
      <c r="H39" s="191" t="s">
        <v>2557</v>
      </c>
      <c r="I39" s="224">
        <v>41815</v>
      </c>
      <c r="J39" s="226" t="s">
        <v>2615</v>
      </c>
      <c r="K39" s="224">
        <v>11.99</v>
      </c>
      <c r="L39" s="224">
        <v>0</v>
      </c>
      <c r="M39" s="224">
        <v>0</v>
      </c>
      <c r="N39" s="224">
        <v>1</v>
      </c>
      <c r="O39" s="224">
        <f t="shared" si="0"/>
        <v>11.99</v>
      </c>
      <c r="P39" s="227">
        <f t="shared" si="1"/>
        <v>11.99</v>
      </c>
    </row>
    <row r="40" spans="1:16" ht="12.75">
      <c r="A40" s="224">
        <v>39</v>
      </c>
      <c r="B40" s="224">
        <v>6776</v>
      </c>
      <c r="C40" s="191" t="s">
        <v>2616</v>
      </c>
      <c r="D40" s="191" t="s">
        <v>45</v>
      </c>
      <c r="E40" s="191" t="s">
        <v>2556</v>
      </c>
      <c r="F40" s="225">
        <v>45663.370833333334</v>
      </c>
      <c r="G40" s="191">
        <v>1</v>
      </c>
      <c r="H40" s="191" t="s">
        <v>2557</v>
      </c>
      <c r="I40" s="224">
        <v>41827</v>
      </c>
      <c r="J40" s="226" t="s">
        <v>2617</v>
      </c>
      <c r="K40" s="224">
        <v>11.99</v>
      </c>
      <c r="L40" s="224">
        <v>0</v>
      </c>
      <c r="M40" s="224">
        <v>0</v>
      </c>
      <c r="N40" s="224">
        <v>1</v>
      </c>
      <c r="O40" s="224">
        <f t="shared" si="0"/>
        <v>11.99</v>
      </c>
      <c r="P40" s="227">
        <f t="shared" si="1"/>
        <v>11.99</v>
      </c>
    </row>
    <row r="41" spans="1:16" ht="12.75">
      <c r="A41" s="224">
        <v>40</v>
      </c>
      <c r="B41" s="224">
        <v>6294</v>
      </c>
      <c r="C41" s="191" t="s">
        <v>2618</v>
      </c>
      <c r="D41" s="191" t="s">
        <v>45</v>
      </c>
      <c r="E41" s="191" t="s">
        <v>2556</v>
      </c>
      <c r="F41" s="225">
        <v>45663.379861111112</v>
      </c>
      <c r="G41" s="191">
        <v>1</v>
      </c>
      <c r="H41" s="191" t="s">
        <v>2557</v>
      </c>
      <c r="I41" s="224">
        <v>41875</v>
      </c>
      <c r="J41" s="226" t="s">
        <v>2619</v>
      </c>
      <c r="K41" s="224">
        <v>8.26</v>
      </c>
      <c r="L41" s="224">
        <v>0</v>
      </c>
      <c r="M41" s="224">
        <v>0</v>
      </c>
      <c r="N41" s="224">
        <v>1</v>
      </c>
      <c r="O41" s="224">
        <f t="shared" si="0"/>
        <v>8.26</v>
      </c>
      <c r="P41" s="227">
        <f t="shared" si="1"/>
        <v>8.26</v>
      </c>
    </row>
    <row r="42" spans="1:16" ht="12.75">
      <c r="A42" s="224">
        <v>41</v>
      </c>
      <c r="B42" s="224">
        <v>479</v>
      </c>
      <c r="C42" s="191" t="s">
        <v>2620</v>
      </c>
      <c r="D42" s="191" t="s">
        <v>45</v>
      </c>
      <c r="E42" s="191" t="s">
        <v>2556</v>
      </c>
      <c r="F42" s="225">
        <v>45663.386805555558</v>
      </c>
      <c r="G42" s="191">
        <v>1</v>
      </c>
      <c r="H42" s="191" t="s">
        <v>2557</v>
      </c>
      <c r="I42" s="224">
        <v>41659</v>
      </c>
      <c r="J42" s="226" t="s">
        <v>2621</v>
      </c>
      <c r="K42" s="224">
        <v>1.0900000000000001</v>
      </c>
      <c r="L42" s="224">
        <v>0</v>
      </c>
      <c r="M42" s="224">
        <v>0</v>
      </c>
      <c r="N42" s="224">
        <v>1</v>
      </c>
      <c r="O42" s="224">
        <f t="shared" si="0"/>
        <v>1.0900000000000001</v>
      </c>
      <c r="P42" s="227">
        <f t="shared" si="1"/>
        <v>1.0900000000000001</v>
      </c>
    </row>
    <row r="43" spans="1:16" ht="12.75">
      <c r="A43" s="224">
        <v>42</v>
      </c>
      <c r="B43" s="224">
        <v>1052</v>
      </c>
      <c r="C43" s="191"/>
      <c r="D43" s="191" t="s">
        <v>45</v>
      </c>
      <c r="E43" s="191" t="s">
        <v>2556</v>
      </c>
      <c r="F43" s="225">
        <v>45663.484722222223</v>
      </c>
      <c r="G43" s="191">
        <v>1</v>
      </c>
      <c r="H43" s="191" t="s">
        <v>2557</v>
      </c>
      <c r="I43" s="224">
        <v>38647</v>
      </c>
      <c r="J43" s="226" t="s">
        <v>2622</v>
      </c>
      <c r="K43" s="224">
        <v>1.0900000000000001</v>
      </c>
      <c r="L43" s="224">
        <v>0</v>
      </c>
      <c r="M43" s="224">
        <v>0</v>
      </c>
      <c r="N43" s="224">
        <v>1</v>
      </c>
      <c r="O43" s="224">
        <f t="shared" si="0"/>
        <v>1.0900000000000001</v>
      </c>
      <c r="P43" s="227">
        <f t="shared" si="1"/>
        <v>1.0900000000000001</v>
      </c>
    </row>
    <row r="44" spans="1:16" ht="12.75">
      <c r="A44" s="224">
        <v>43</v>
      </c>
      <c r="B44" s="170">
        <v>6794</v>
      </c>
      <c r="C44" s="172" t="s">
        <v>2623</v>
      </c>
      <c r="D44" s="172" t="s">
        <v>45</v>
      </c>
      <c r="E44" s="172" t="s">
        <v>2572</v>
      </c>
      <c r="F44" s="228">
        <v>45663.691666666666</v>
      </c>
      <c r="G44" s="172">
        <v>1</v>
      </c>
      <c r="H44" s="172" t="s">
        <v>2557</v>
      </c>
      <c r="I44" s="170">
        <v>41899</v>
      </c>
      <c r="J44" s="229"/>
      <c r="K44" s="170">
        <v>2.4900000000000002</v>
      </c>
      <c r="L44" s="170">
        <v>0</v>
      </c>
      <c r="M44" s="170">
        <v>0</v>
      </c>
      <c r="N44" s="170">
        <v>1</v>
      </c>
      <c r="O44" s="170">
        <f t="shared" si="0"/>
        <v>2.4900000000000002</v>
      </c>
      <c r="P44" s="230">
        <f t="shared" si="1"/>
        <v>2.4900000000000002</v>
      </c>
    </row>
    <row r="45" spans="1:16" ht="12.75">
      <c r="A45" s="224">
        <v>44</v>
      </c>
      <c r="B45" s="224">
        <v>6797</v>
      </c>
      <c r="C45" s="191" t="s">
        <v>2598</v>
      </c>
      <c r="D45" s="191" t="s">
        <v>2582</v>
      </c>
      <c r="E45" s="191" t="s">
        <v>2556</v>
      </c>
      <c r="F45" s="225">
        <v>45663.717361111114</v>
      </c>
      <c r="G45" s="191">
        <v>1</v>
      </c>
      <c r="H45" s="191" t="s">
        <v>2557</v>
      </c>
      <c r="I45" s="224">
        <v>41947</v>
      </c>
      <c r="J45" s="226" t="s">
        <v>2624</v>
      </c>
      <c r="K45" s="224">
        <v>1383.15</v>
      </c>
      <c r="L45" s="224">
        <v>0</v>
      </c>
      <c r="M45" s="224">
        <v>0</v>
      </c>
      <c r="N45" s="224">
        <v>7.3182799999999997</v>
      </c>
      <c r="O45" s="224">
        <f t="shared" si="0"/>
        <v>1383.15</v>
      </c>
      <c r="P45" s="227">
        <f t="shared" si="1"/>
        <v>188.99932771088291</v>
      </c>
    </row>
    <row r="46" spans="1:16" ht="12.75">
      <c r="A46" s="224">
        <v>45</v>
      </c>
      <c r="B46" s="224">
        <v>3371</v>
      </c>
      <c r="C46" s="191" t="s">
        <v>2625</v>
      </c>
      <c r="D46" s="191" t="s">
        <v>45</v>
      </c>
      <c r="E46" s="191" t="s">
        <v>2556</v>
      </c>
      <c r="F46" s="225">
        <v>45663.720833333333</v>
      </c>
      <c r="G46" s="191">
        <v>1</v>
      </c>
      <c r="H46" s="191" t="s">
        <v>2557</v>
      </c>
      <c r="I46" s="224">
        <v>36223</v>
      </c>
      <c r="J46" s="226" t="s">
        <v>2626</v>
      </c>
      <c r="K46" s="224">
        <v>1.0900000000000001</v>
      </c>
      <c r="L46" s="224">
        <v>0</v>
      </c>
      <c r="M46" s="224">
        <v>0</v>
      </c>
      <c r="N46" s="224">
        <v>1</v>
      </c>
      <c r="O46" s="224">
        <f t="shared" si="0"/>
        <v>1.0900000000000001</v>
      </c>
      <c r="P46" s="227">
        <f t="shared" si="1"/>
        <v>1.0900000000000001</v>
      </c>
    </row>
    <row r="47" spans="1:16" ht="12.75">
      <c r="A47" s="224">
        <v>46</v>
      </c>
      <c r="B47" s="224">
        <v>4030</v>
      </c>
      <c r="C47" s="191" t="s">
        <v>2627</v>
      </c>
      <c r="D47" s="191" t="s">
        <v>2582</v>
      </c>
      <c r="E47" s="191" t="s">
        <v>9</v>
      </c>
      <c r="F47" s="225">
        <v>45663.796527777777</v>
      </c>
      <c r="G47" s="191">
        <v>1</v>
      </c>
      <c r="H47" s="191" t="s">
        <v>2557</v>
      </c>
      <c r="I47" s="224">
        <v>38335</v>
      </c>
      <c r="J47" s="226" t="s">
        <v>277</v>
      </c>
      <c r="K47" s="224">
        <v>36.24</v>
      </c>
      <c r="L47" s="224">
        <v>5.42</v>
      </c>
      <c r="M47" s="224">
        <v>0</v>
      </c>
      <c r="N47" s="224">
        <v>7.3182799999999997</v>
      </c>
      <c r="O47" s="224">
        <f t="shared" si="0"/>
        <v>30.82</v>
      </c>
      <c r="P47" s="227">
        <f t="shared" si="1"/>
        <v>4.2113720710330842</v>
      </c>
    </row>
    <row r="48" spans="1:16" ht="12.75">
      <c r="A48" s="224">
        <v>47</v>
      </c>
      <c r="B48" s="224">
        <v>4030</v>
      </c>
      <c r="C48" s="191" t="s">
        <v>2627</v>
      </c>
      <c r="D48" s="191" t="s">
        <v>2582</v>
      </c>
      <c r="E48" s="191" t="s">
        <v>9</v>
      </c>
      <c r="F48" s="225">
        <v>45664.381944444445</v>
      </c>
      <c r="G48" s="191">
        <v>1</v>
      </c>
      <c r="H48" s="191" t="s">
        <v>2628</v>
      </c>
      <c r="I48" s="231">
        <v>38335</v>
      </c>
      <c r="J48" s="226" t="s">
        <v>2629</v>
      </c>
      <c r="K48" s="224">
        <v>0</v>
      </c>
      <c r="L48" s="224">
        <v>-5.42</v>
      </c>
      <c r="M48" s="224">
        <v>36.24</v>
      </c>
      <c r="N48" s="224">
        <v>7.3182799999999997</v>
      </c>
      <c r="O48" s="224">
        <f t="shared" si="0"/>
        <v>-30.82</v>
      </c>
      <c r="P48" s="227">
        <f t="shared" si="1"/>
        <v>-4.2113720710330842</v>
      </c>
    </row>
    <row r="49" spans="1:16" ht="12.75">
      <c r="A49" s="224">
        <v>48</v>
      </c>
      <c r="B49" s="224">
        <v>3265</v>
      </c>
      <c r="C49" s="191" t="s">
        <v>288</v>
      </c>
      <c r="D49" s="191" t="s">
        <v>45</v>
      </c>
      <c r="E49" s="191" t="s">
        <v>9</v>
      </c>
      <c r="F49" s="225">
        <v>45664.525000000001</v>
      </c>
      <c r="G49" s="191">
        <v>1</v>
      </c>
      <c r="H49" s="191" t="s">
        <v>2557</v>
      </c>
      <c r="I49" s="224">
        <v>41995</v>
      </c>
      <c r="J49" s="226" t="s">
        <v>289</v>
      </c>
      <c r="K49" s="224">
        <v>1.0900000000000001</v>
      </c>
      <c r="L49" s="224">
        <v>0.53</v>
      </c>
      <c r="M49" s="224">
        <v>0</v>
      </c>
      <c r="N49" s="224">
        <v>1</v>
      </c>
      <c r="O49" s="224">
        <f t="shared" si="0"/>
        <v>0.56000000000000005</v>
      </c>
      <c r="P49" s="227">
        <f t="shared" si="1"/>
        <v>0.56000000000000005</v>
      </c>
    </row>
    <row r="50" spans="1:16" ht="12.75">
      <c r="A50" s="224">
        <v>49</v>
      </c>
      <c r="B50" s="224">
        <v>1560</v>
      </c>
      <c r="C50" s="191" t="s">
        <v>2630</v>
      </c>
      <c r="D50" s="191" t="s">
        <v>45</v>
      </c>
      <c r="E50" s="191" t="s">
        <v>2556</v>
      </c>
      <c r="F50" s="225">
        <v>45664.634027777778</v>
      </c>
      <c r="G50" s="191">
        <v>1</v>
      </c>
      <c r="H50" s="191" t="s">
        <v>2557</v>
      </c>
      <c r="I50" s="224">
        <v>41863</v>
      </c>
      <c r="J50" s="226" t="s">
        <v>2631</v>
      </c>
      <c r="K50" s="224">
        <v>2.99</v>
      </c>
      <c r="L50" s="224">
        <v>0</v>
      </c>
      <c r="M50" s="224">
        <v>0</v>
      </c>
      <c r="N50" s="224">
        <v>1</v>
      </c>
      <c r="O50" s="224">
        <f t="shared" si="0"/>
        <v>2.99</v>
      </c>
      <c r="P50" s="227">
        <f t="shared" si="1"/>
        <v>2.99</v>
      </c>
    </row>
    <row r="51" spans="1:16" ht="12.75">
      <c r="A51" s="224">
        <v>50</v>
      </c>
      <c r="B51" s="224">
        <v>1560</v>
      </c>
      <c r="C51" s="191" t="s">
        <v>2630</v>
      </c>
      <c r="D51" s="191" t="s">
        <v>45</v>
      </c>
      <c r="E51" s="191" t="s">
        <v>2556</v>
      </c>
      <c r="F51" s="225">
        <v>45664.634722222225</v>
      </c>
      <c r="G51" s="191">
        <v>1</v>
      </c>
      <c r="H51" s="191" t="s">
        <v>2557</v>
      </c>
      <c r="I51" s="224">
        <v>40699</v>
      </c>
      <c r="J51" s="226" t="s">
        <v>2632</v>
      </c>
      <c r="K51" s="224">
        <v>5.98</v>
      </c>
      <c r="L51" s="224">
        <v>0</v>
      </c>
      <c r="M51" s="224">
        <v>0</v>
      </c>
      <c r="N51" s="224">
        <v>1</v>
      </c>
      <c r="O51" s="224">
        <f t="shared" si="0"/>
        <v>5.98</v>
      </c>
      <c r="P51" s="227">
        <f t="shared" si="1"/>
        <v>5.98</v>
      </c>
    </row>
    <row r="52" spans="1:16" ht="12.75">
      <c r="A52" s="224">
        <v>51</v>
      </c>
      <c r="B52" s="170">
        <v>6794</v>
      </c>
      <c r="C52" s="172" t="s">
        <v>2623</v>
      </c>
      <c r="D52" s="172" t="s">
        <v>45</v>
      </c>
      <c r="E52" s="172" t="s">
        <v>2572</v>
      </c>
      <c r="F52" s="228">
        <v>45664.659722222219</v>
      </c>
      <c r="G52" s="172">
        <v>1</v>
      </c>
      <c r="H52" s="172" t="s">
        <v>2557</v>
      </c>
      <c r="I52" s="170">
        <v>42031</v>
      </c>
      <c r="J52" s="229" t="s">
        <v>2633</v>
      </c>
      <c r="K52" s="170">
        <v>17.760000000000002</v>
      </c>
      <c r="L52" s="170">
        <v>0</v>
      </c>
      <c r="M52" s="170">
        <v>0</v>
      </c>
      <c r="N52" s="170">
        <v>1</v>
      </c>
      <c r="O52" s="170">
        <f t="shared" si="0"/>
        <v>17.760000000000002</v>
      </c>
      <c r="P52" s="230">
        <f t="shared" si="1"/>
        <v>17.760000000000002</v>
      </c>
    </row>
    <row r="53" spans="1:16" ht="12.75">
      <c r="A53" s="224">
        <v>52</v>
      </c>
      <c r="B53" s="224">
        <v>6898</v>
      </c>
      <c r="C53" s="191" t="s">
        <v>2634</v>
      </c>
      <c r="D53" s="191" t="s">
        <v>2582</v>
      </c>
      <c r="E53" s="191" t="s">
        <v>2556</v>
      </c>
      <c r="F53" s="225">
        <v>45664.835416666669</v>
      </c>
      <c r="G53" s="191">
        <v>1</v>
      </c>
      <c r="H53" s="191" t="s">
        <v>2557</v>
      </c>
      <c r="I53" s="224">
        <v>42043</v>
      </c>
      <c r="J53" s="226" t="s">
        <v>2635</v>
      </c>
      <c r="K53" s="224">
        <v>184.75</v>
      </c>
      <c r="L53" s="224">
        <v>0</v>
      </c>
      <c r="M53" s="224">
        <v>0</v>
      </c>
      <c r="N53" s="224">
        <v>7.3167099999999996</v>
      </c>
      <c r="O53" s="224">
        <f t="shared" si="0"/>
        <v>184.75</v>
      </c>
      <c r="P53" s="227">
        <f t="shared" si="1"/>
        <v>25.25041992917582</v>
      </c>
    </row>
    <row r="54" spans="1:16" ht="12.75">
      <c r="A54" s="224">
        <v>53</v>
      </c>
      <c r="B54" s="224">
        <v>5974</v>
      </c>
      <c r="C54" s="191" t="s">
        <v>2636</v>
      </c>
      <c r="D54" s="191" t="s">
        <v>45</v>
      </c>
      <c r="E54" s="191" t="s">
        <v>2556</v>
      </c>
      <c r="F54" s="225">
        <v>45665.42291666667</v>
      </c>
      <c r="G54" s="191">
        <v>1</v>
      </c>
      <c r="H54" s="191" t="s">
        <v>2557</v>
      </c>
      <c r="I54" s="224">
        <v>42079</v>
      </c>
      <c r="J54" s="226" t="s">
        <v>2637</v>
      </c>
      <c r="K54" s="224">
        <v>11.99</v>
      </c>
      <c r="L54" s="224">
        <v>0</v>
      </c>
      <c r="M54" s="224">
        <v>0</v>
      </c>
      <c r="N54" s="224">
        <v>1</v>
      </c>
      <c r="O54" s="224">
        <f t="shared" si="0"/>
        <v>11.99</v>
      </c>
      <c r="P54" s="227">
        <f t="shared" si="1"/>
        <v>11.99</v>
      </c>
    </row>
    <row r="55" spans="1:16" ht="12.75">
      <c r="A55" s="224">
        <v>54</v>
      </c>
      <c r="B55" s="224">
        <v>1836</v>
      </c>
      <c r="C55" s="191" t="s">
        <v>2598</v>
      </c>
      <c r="D55" s="191" t="s">
        <v>2582</v>
      </c>
      <c r="E55" s="191" t="s">
        <v>2556</v>
      </c>
      <c r="F55" s="225">
        <v>45665.563194444447</v>
      </c>
      <c r="G55" s="191">
        <v>1</v>
      </c>
      <c r="H55" s="191" t="s">
        <v>2557</v>
      </c>
      <c r="I55" s="224">
        <v>42091</v>
      </c>
      <c r="J55" s="226" t="s">
        <v>2638</v>
      </c>
      <c r="K55" s="224">
        <v>148.36000000000001</v>
      </c>
      <c r="L55" s="224">
        <v>0</v>
      </c>
      <c r="M55" s="224">
        <v>0</v>
      </c>
      <c r="N55" s="224">
        <v>7.3262799999999997</v>
      </c>
      <c r="O55" s="224">
        <f t="shared" si="0"/>
        <v>148.36000000000001</v>
      </c>
      <c r="P55" s="227">
        <f t="shared" si="1"/>
        <v>20.250386280622639</v>
      </c>
    </row>
    <row r="56" spans="1:16" ht="12.75">
      <c r="A56" s="224">
        <v>55</v>
      </c>
      <c r="B56" s="224">
        <v>6992</v>
      </c>
      <c r="C56" s="191" t="s">
        <v>2639</v>
      </c>
      <c r="D56" s="191" t="s">
        <v>45</v>
      </c>
      <c r="E56" s="191" t="s">
        <v>2556</v>
      </c>
      <c r="F56" s="225">
        <v>45665.743055555555</v>
      </c>
      <c r="G56" s="191">
        <v>1</v>
      </c>
      <c r="H56" s="191" t="s">
        <v>2557</v>
      </c>
      <c r="I56" s="224">
        <v>42103</v>
      </c>
      <c r="J56" s="226" t="s">
        <v>2640</v>
      </c>
      <c r="K56" s="224">
        <v>32.99</v>
      </c>
      <c r="L56" s="224">
        <v>0</v>
      </c>
      <c r="M56" s="224">
        <v>0</v>
      </c>
      <c r="N56" s="224">
        <v>1</v>
      </c>
      <c r="O56" s="224">
        <f t="shared" si="0"/>
        <v>32.99</v>
      </c>
      <c r="P56" s="227">
        <f t="shared" si="1"/>
        <v>32.99</v>
      </c>
    </row>
    <row r="57" spans="1:16" ht="12.75">
      <c r="A57" s="224">
        <v>56</v>
      </c>
      <c r="B57" s="224">
        <v>3499</v>
      </c>
      <c r="C57" s="191" t="s">
        <v>2641</v>
      </c>
      <c r="D57" s="191" t="s">
        <v>45</v>
      </c>
      <c r="E57" s="191" t="s">
        <v>2556</v>
      </c>
      <c r="F57" s="225">
        <v>45666.629861111112</v>
      </c>
      <c r="G57" s="191">
        <v>1</v>
      </c>
      <c r="H57" s="191" t="s">
        <v>2557</v>
      </c>
      <c r="I57" s="224">
        <v>42163</v>
      </c>
      <c r="J57" s="226" t="s">
        <v>2642</v>
      </c>
      <c r="K57" s="224">
        <v>1.0900000000000001</v>
      </c>
      <c r="L57" s="224">
        <v>0</v>
      </c>
      <c r="M57" s="224">
        <v>0</v>
      </c>
      <c r="N57" s="224">
        <v>1</v>
      </c>
      <c r="O57" s="224">
        <f t="shared" si="0"/>
        <v>1.0900000000000001</v>
      </c>
      <c r="P57" s="227">
        <f t="shared" si="1"/>
        <v>1.0900000000000001</v>
      </c>
    </row>
    <row r="58" spans="1:16" ht="12.75">
      <c r="A58" s="224">
        <v>57</v>
      </c>
      <c r="B58" s="224">
        <v>7093</v>
      </c>
      <c r="C58" s="191" t="s">
        <v>2643</v>
      </c>
      <c r="D58" s="191" t="s">
        <v>45</v>
      </c>
      <c r="E58" s="191" t="s">
        <v>9</v>
      </c>
      <c r="F58" s="225">
        <v>45666.631249999999</v>
      </c>
      <c r="G58" s="191">
        <v>1</v>
      </c>
      <c r="H58" s="191" t="s">
        <v>2557</v>
      </c>
      <c r="I58" s="224">
        <v>42151</v>
      </c>
      <c r="J58" s="226" t="s">
        <v>294</v>
      </c>
      <c r="K58" s="224">
        <v>2.4900000000000002</v>
      </c>
      <c r="L58" s="224">
        <v>0.61</v>
      </c>
      <c r="M58" s="224">
        <v>0</v>
      </c>
      <c r="N58" s="224">
        <v>1</v>
      </c>
      <c r="O58" s="224">
        <f t="shared" si="0"/>
        <v>1.8800000000000003</v>
      </c>
      <c r="P58" s="227">
        <f t="shared" si="1"/>
        <v>1.8800000000000003</v>
      </c>
    </row>
    <row r="59" spans="1:16" ht="12.75">
      <c r="A59" s="224">
        <v>58</v>
      </c>
      <c r="B59" s="224">
        <v>6991</v>
      </c>
      <c r="C59" s="191" t="s">
        <v>2644</v>
      </c>
      <c r="D59" s="191" t="s">
        <v>2582</v>
      </c>
      <c r="E59" s="191" t="s">
        <v>2556</v>
      </c>
      <c r="F59" s="225">
        <v>45667.498611111114</v>
      </c>
      <c r="G59" s="191">
        <v>1</v>
      </c>
      <c r="H59" s="191" t="s">
        <v>2557</v>
      </c>
      <c r="I59" s="224">
        <v>42247</v>
      </c>
      <c r="J59" s="226" t="s">
        <v>2645</v>
      </c>
      <c r="K59" s="224">
        <v>175.9</v>
      </c>
      <c r="L59" s="224">
        <v>0</v>
      </c>
      <c r="M59" s="224">
        <v>0</v>
      </c>
      <c r="N59" s="224">
        <v>7.3321699999999996</v>
      </c>
      <c r="O59" s="224">
        <f t="shared" si="0"/>
        <v>175.9</v>
      </c>
      <c r="P59" s="227">
        <f t="shared" si="1"/>
        <v>23.990169349592279</v>
      </c>
    </row>
    <row r="60" spans="1:16" ht="12.75">
      <c r="A60" s="224">
        <v>59</v>
      </c>
      <c r="B60" s="224">
        <v>6991</v>
      </c>
      <c r="C60" s="191" t="s">
        <v>2644</v>
      </c>
      <c r="D60" s="191" t="s">
        <v>2582</v>
      </c>
      <c r="E60" s="191" t="s">
        <v>2556</v>
      </c>
      <c r="F60" s="225">
        <v>45667.556944444441</v>
      </c>
      <c r="G60" s="191">
        <v>1</v>
      </c>
      <c r="H60" s="191" t="s">
        <v>2557</v>
      </c>
      <c r="I60" s="224">
        <v>42247</v>
      </c>
      <c r="J60" s="226"/>
      <c r="K60" s="224">
        <v>0.03</v>
      </c>
      <c r="L60" s="224">
        <v>0</v>
      </c>
      <c r="M60" s="224">
        <v>0</v>
      </c>
      <c r="N60" s="224">
        <v>7.3321699999999996</v>
      </c>
      <c r="O60" s="224">
        <f t="shared" si="0"/>
        <v>0.03</v>
      </c>
      <c r="P60" s="227">
        <f t="shared" si="1"/>
        <v>4.0915581608173294E-3</v>
      </c>
    </row>
    <row r="61" spans="1:16" ht="12.75">
      <c r="A61" s="224">
        <v>60</v>
      </c>
      <c r="B61" s="170">
        <v>36</v>
      </c>
      <c r="C61" s="172" t="s">
        <v>2646</v>
      </c>
      <c r="D61" s="172" t="s">
        <v>45</v>
      </c>
      <c r="E61" s="172" t="s">
        <v>2572</v>
      </c>
      <c r="F61" s="228">
        <v>45667.585416666669</v>
      </c>
      <c r="G61" s="172">
        <v>1</v>
      </c>
      <c r="H61" s="172" t="s">
        <v>2557</v>
      </c>
      <c r="I61" s="170">
        <v>39799</v>
      </c>
      <c r="J61" s="229"/>
      <c r="K61" s="170">
        <v>600</v>
      </c>
      <c r="L61" s="170">
        <v>0</v>
      </c>
      <c r="M61" s="170">
        <v>0</v>
      </c>
      <c r="N61" s="170">
        <v>1</v>
      </c>
      <c r="O61" s="170">
        <f t="shared" si="0"/>
        <v>600</v>
      </c>
      <c r="P61" s="230">
        <f t="shared" si="1"/>
        <v>600</v>
      </c>
    </row>
    <row r="62" spans="1:16" ht="12.75">
      <c r="A62" s="224">
        <v>61</v>
      </c>
      <c r="B62" s="224">
        <v>7189</v>
      </c>
      <c r="C62" s="191" t="s">
        <v>2647</v>
      </c>
      <c r="D62" s="191" t="s">
        <v>45</v>
      </c>
      <c r="E62" s="191" t="s">
        <v>2556</v>
      </c>
      <c r="F62" s="225">
        <v>45667.611111111109</v>
      </c>
      <c r="G62" s="191">
        <v>1</v>
      </c>
      <c r="H62" s="191" t="s">
        <v>2557</v>
      </c>
      <c r="I62" s="224">
        <v>42307</v>
      </c>
      <c r="J62" s="226" t="s">
        <v>2648</v>
      </c>
      <c r="K62" s="224">
        <v>16.79</v>
      </c>
      <c r="L62" s="224">
        <v>0</v>
      </c>
      <c r="M62" s="224">
        <v>0</v>
      </c>
      <c r="N62" s="224">
        <v>1</v>
      </c>
      <c r="O62" s="224">
        <f t="shared" si="0"/>
        <v>16.79</v>
      </c>
      <c r="P62" s="227">
        <f t="shared" si="1"/>
        <v>16.79</v>
      </c>
    </row>
    <row r="63" spans="1:16" ht="12.75">
      <c r="A63" s="224">
        <v>62</v>
      </c>
      <c r="B63" s="170">
        <v>6794</v>
      </c>
      <c r="C63" s="172" t="s">
        <v>2623</v>
      </c>
      <c r="D63" s="172" t="s">
        <v>45</v>
      </c>
      <c r="E63" s="172" t="s">
        <v>2572</v>
      </c>
      <c r="F63" s="228">
        <v>45667.617361111108</v>
      </c>
      <c r="G63" s="172">
        <v>1</v>
      </c>
      <c r="H63" s="172" t="s">
        <v>2557</v>
      </c>
      <c r="I63" s="170">
        <v>42295</v>
      </c>
      <c r="J63" s="229" t="s">
        <v>2649</v>
      </c>
      <c r="K63" s="170">
        <v>71.989999999999995</v>
      </c>
      <c r="L63" s="170">
        <v>0</v>
      </c>
      <c r="M63" s="170">
        <v>0</v>
      </c>
      <c r="N63" s="170">
        <v>1</v>
      </c>
      <c r="O63" s="170">
        <f t="shared" si="0"/>
        <v>71.989999999999995</v>
      </c>
      <c r="P63" s="230">
        <f t="shared" si="1"/>
        <v>71.989999999999995</v>
      </c>
    </row>
    <row r="64" spans="1:16" ht="12.75">
      <c r="A64" s="224">
        <v>63</v>
      </c>
      <c r="B64" s="224">
        <v>7191</v>
      </c>
      <c r="C64" s="191" t="s">
        <v>2650</v>
      </c>
      <c r="D64" s="191" t="s">
        <v>45</v>
      </c>
      <c r="E64" s="191" t="s">
        <v>2556</v>
      </c>
      <c r="F64" s="225">
        <v>45667.64166666667</v>
      </c>
      <c r="G64" s="191">
        <v>1</v>
      </c>
      <c r="H64" s="191" t="s">
        <v>2557</v>
      </c>
      <c r="I64" s="224">
        <v>42331</v>
      </c>
      <c r="J64" s="226" t="s">
        <v>2651</v>
      </c>
      <c r="K64" s="224">
        <v>8.39</v>
      </c>
      <c r="L64" s="224">
        <v>0</v>
      </c>
      <c r="M64" s="224">
        <v>0</v>
      </c>
      <c r="N64" s="224">
        <v>1</v>
      </c>
      <c r="O64" s="224">
        <f t="shared" si="0"/>
        <v>8.39</v>
      </c>
      <c r="P64" s="227">
        <f t="shared" si="1"/>
        <v>8.39</v>
      </c>
    </row>
    <row r="65" spans="1:16" ht="12.75">
      <c r="A65" s="224">
        <v>64</v>
      </c>
      <c r="B65" s="224">
        <v>6421</v>
      </c>
      <c r="C65" s="191" t="s">
        <v>2652</v>
      </c>
      <c r="D65" s="191" t="s">
        <v>45</v>
      </c>
      <c r="E65" s="191" t="s">
        <v>2556</v>
      </c>
      <c r="F65" s="225">
        <v>45667.644444444442</v>
      </c>
      <c r="G65" s="191">
        <v>1</v>
      </c>
      <c r="H65" s="191" t="s">
        <v>2557</v>
      </c>
      <c r="I65" s="224">
        <v>42343</v>
      </c>
      <c r="J65" s="226" t="s">
        <v>2653</v>
      </c>
      <c r="K65" s="224">
        <v>20.99</v>
      </c>
      <c r="L65" s="224">
        <v>0</v>
      </c>
      <c r="M65" s="224">
        <v>0</v>
      </c>
      <c r="N65" s="224">
        <v>1</v>
      </c>
      <c r="O65" s="224">
        <f t="shared" si="0"/>
        <v>20.99</v>
      </c>
      <c r="P65" s="227">
        <f t="shared" si="1"/>
        <v>20.99</v>
      </c>
    </row>
    <row r="66" spans="1:16" ht="12.75">
      <c r="A66" s="224">
        <v>65</v>
      </c>
      <c r="B66" s="224">
        <v>7204</v>
      </c>
      <c r="C66" s="191" t="s">
        <v>2654</v>
      </c>
      <c r="D66" s="191" t="s">
        <v>45</v>
      </c>
      <c r="E66" s="191" t="s">
        <v>2556</v>
      </c>
      <c r="F66" s="225">
        <v>45667.868750000001</v>
      </c>
      <c r="G66" s="191">
        <v>1</v>
      </c>
      <c r="H66" s="191" t="s">
        <v>2557</v>
      </c>
      <c r="I66" s="224">
        <v>42403</v>
      </c>
      <c r="J66" s="226" t="s">
        <v>2655</v>
      </c>
      <c r="K66" s="224">
        <v>8.39</v>
      </c>
      <c r="L66" s="224">
        <v>0</v>
      </c>
      <c r="M66" s="224">
        <v>0</v>
      </c>
      <c r="N66" s="224">
        <v>1</v>
      </c>
      <c r="O66" s="224">
        <f t="shared" si="0"/>
        <v>8.39</v>
      </c>
      <c r="P66" s="227">
        <f t="shared" si="1"/>
        <v>8.39</v>
      </c>
    </row>
    <row r="67" spans="1:16" ht="12.75">
      <c r="A67" s="224">
        <v>66</v>
      </c>
      <c r="B67" s="224">
        <v>7212</v>
      </c>
      <c r="C67" s="191" t="s">
        <v>2656</v>
      </c>
      <c r="D67" s="191" t="s">
        <v>2582</v>
      </c>
      <c r="E67" s="191" t="s">
        <v>2556</v>
      </c>
      <c r="F67" s="225">
        <v>45667.92083333333</v>
      </c>
      <c r="G67" s="191">
        <v>1</v>
      </c>
      <c r="H67" s="191" t="s">
        <v>2557</v>
      </c>
      <c r="I67" s="224">
        <v>42439</v>
      </c>
      <c r="J67" s="226" t="s">
        <v>2657</v>
      </c>
      <c r="K67" s="224">
        <v>92.39</v>
      </c>
      <c r="L67" s="224">
        <v>0</v>
      </c>
      <c r="M67" s="224">
        <v>0</v>
      </c>
      <c r="N67" s="224">
        <v>7.3321699999999996</v>
      </c>
      <c r="O67" s="224">
        <f t="shared" si="0"/>
        <v>92.39</v>
      </c>
      <c r="P67" s="227">
        <f t="shared" si="1"/>
        <v>12.600635282597104</v>
      </c>
    </row>
    <row r="68" spans="1:16" ht="12.75">
      <c r="A68" s="224">
        <v>67</v>
      </c>
      <c r="B68" s="224">
        <v>7243</v>
      </c>
      <c r="C68" s="191" t="s">
        <v>2575</v>
      </c>
      <c r="D68" s="191" t="s">
        <v>2582</v>
      </c>
      <c r="E68" s="191" t="s">
        <v>9</v>
      </c>
      <c r="F68" s="225">
        <v>45668.638194444444</v>
      </c>
      <c r="G68" s="191">
        <v>1</v>
      </c>
      <c r="H68" s="191" t="s">
        <v>2557</v>
      </c>
      <c r="I68" s="224">
        <v>42511</v>
      </c>
      <c r="J68" s="226" t="s">
        <v>297</v>
      </c>
      <c r="K68" s="224">
        <v>61.55</v>
      </c>
      <c r="L68" s="224">
        <v>6.67</v>
      </c>
      <c r="M68" s="224">
        <v>0</v>
      </c>
      <c r="N68" s="224">
        <v>7.3313300000000003</v>
      </c>
      <c r="O68" s="224">
        <f t="shared" si="0"/>
        <v>54.879999999999995</v>
      </c>
      <c r="P68" s="227">
        <f t="shared" si="1"/>
        <v>7.4856813156685069</v>
      </c>
    </row>
    <row r="69" spans="1:16" ht="12.75">
      <c r="A69" s="224">
        <v>68</v>
      </c>
      <c r="B69" s="224">
        <v>7245</v>
      </c>
      <c r="C69" s="191" t="s">
        <v>2658</v>
      </c>
      <c r="D69" s="191" t="s">
        <v>45</v>
      </c>
      <c r="E69" s="191" t="s">
        <v>2556</v>
      </c>
      <c r="F69" s="225">
        <v>45668.65625</v>
      </c>
      <c r="G69" s="191">
        <v>1</v>
      </c>
      <c r="H69" s="191" t="s">
        <v>2557</v>
      </c>
      <c r="I69" s="224">
        <v>42523</v>
      </c>
      <c r="J69" s="226" t="s">
        <v>2659</v>
      </c>
      <c r="K69" s="224">
        <v>8.39</v>
      </c>
      <c r="L69" s="224">
        <v>0</v>
      </c>
      <c r="M69" s="224">
        <v>0</v>
      </c>
      <c r="N69" s="224">
        <v>1</v>
      </c>
      <c r="O69" s="224">
        <f t="shared" si="0"/>
        <v>8.39</v>
      </c>
      <c r="P69" s="227">
        <f t="shared" si="1"/>
        <v>8.39</v>
      </c>
    </row>
    <row r="70" spans="1:16" ht="12.75">
      <c r="A70" s="224">
        <v>69</v>
      </c>
      <c r="B70" s="224">
        <v>7254</v>
      </c>
      <c r="C70" s="191" t="s">
        <v>2660</v>
      </c>
      <c r="D70" s="191" t="s">
        <v>45</v>
      </c>
      <c r="E70" s="191" t="s">
        <v>2556</v>
      </c>
      <c r="F70" s="225">
        <v>45668.756944444445</v>
      </c>
      <c r="G70" s="191">
        <v>1</v>
      </c>
      <c r="H70" s="191" t="s">
        <v>2557</v>
      </c>
      <c r="I70" s="224">
        <v>42547</v>
      </c>
      <c r="J70" s="226" t="s">
        <v>2661</v>
      </c>
      <c r="K70" s="224">
        <v>4.99</v>
      </c>
      <c r="L70" s="224">
        <v>0</v>
      </c>
      <c r="M70" s="224">
        <v>0</v>
      </c>
      <c r="N70" s="224">
        <v>1</v>
      </c>
      <c r="O70" s="224">
        <f t="shared" si="0"/>
        <v>4.99</v>
      </c>
      <c r="P70" s="227">
        <f t="shared" si="1"/>
        <v>4.99</v>
      </c>
    </row>
    <row r="71" spans="1:16" ht="12.75">
      <c r="A71" s="224">
        <v>70</v>
      </c>
      <c r="B71" s="224">
        <v>1157</v>
      </c>
      <c r="C71" s="191" t="s">
        <v>2598</v>
      </c>
      <c r="D71" s="191" t="s">
        <v>45</v>
      </c>
      <c r="E71" s="191" t="s">
        <v>2556</v>
      </c>
      <c r="F71" s="225">
        <v>45668.790972222225</v>
      </c>
      <c r="G71" s="191">
        <v>1</v>
      </c>
      <c r="H71" s="191" t="s">
        <v>2557</v>
      </c>
      <c r="I71" s="224">
        <v>42559</v>
      </c>
      <c r="J71" s="226" t="s">
        <v>2662</v>
      </c>
      <c r="K71" s="224">
        <v>12.59</v>
      </c>
      <c r="L71" s="224">
        <v>0</v>
      </c>
      <c r="M71" s="224">
        <v>0</v>
      </c>
      <c r="N71" s="224">
        <v>1</v>
      </c>
      <c r="O71" s="224">
        <f t="shared" si="0"/>
        <v>12.59</v>
      </c>
      <c r="P71" s="227">
        <f t="shared" si="1"/>
        <v>12.59</v>
      </c>
    </row>
    <row r="72" spans="1:16" ht="12.75">
      <c r="A72" s="224">
        <v>71</v>
      </c>
      <c r="B72" s="224">
        <v>7261</v>
      </c>
      <c r="C72" s="191" t="s">
        <v>2663</v>
      </c>
      <c r="D72" s="191" t="s">
        <v>45</v>
      </c>
      <c r="E72" s="191" t="s">
        <v>2556</v>
      </c>
      <c r="F72" s="225">
        <v>45668.879861111112</v>
      </c>
      <c r="G72" s="191">
        <v>1</v>
      </c>
      <c r="H72" s="191" t="s">
        <v>2557</v>
      </c>
      <c r="I72" s="224">
        <v>42583</v>
      </c>
      <c r="J72" s="226" t="s">
        <v>2664</v>
      </c>
      <c r="K72" s="224">
        <v>20.25</v>
      </c>
      <c r="L72" s="224">
        <v>0</v>
      </c>
      <c r="M72" s="224">
        <v>0</v>
      </c>
      <c r="N72" s="224">
        <v>1</v>
      </c>
      <c r="O72" s="224">
        <f t="shared" si="0"/>
        <v>20.25</v>
      </c>
      <c r="P72" s="227">
        <f t="shared" si="1"/>
        <v>20.25</v>
      </c>
    </row>
    <row r="73" spans="1:16" ht="12.75">
      <c r="A73" s="224">
        <v>72</v>
      </c>
      <c r="B73" s="170">
        <v>7252</v>
      </c>
      <c r="C73" s="172" t="s">
        <v>2665</v>
      </c>
      <c r="D73" s="172" t="s">
        <v>45</v>
      </c>
      <c r="E73" s="172" t="s">
        <v>2572</v>
      </c>
      <c r="F73" s="228">
        <v>45668.956250000003</v>
      </c>
      <c r="G73" s="172">
        <v>1</v>
      </c>
      <c r="H73" s="172" t="s">
        <v>2557</v>
      </c>
      <c r="I73" s="170">
        <v>42535</v>
      </c>
      <c r="J73" s="229" t="s">
        <v>2666</v>
      </c>
      <c r="K73" s="170">
        <v>2</v>
      </c>
      <c r="L73" s="170">
        <v>0</v>
      </c>
      <c r="M73" s="170">
        <v>0</v>
      </c>
      <c r="N73" s="170">
        <v>1</v>
      </c>
      <c r="O73" s="170">
        <f t="shared" si="0"/>
        <v>2</v>
      </c>
      <c r="P73" s="230">
        <f t="shared" si="1"/>
        <v>2</v>
      </c>
    </row>
    <row r="74" spans="1:16" ht="12.75">
      <c r="A74" s="224">
        <v>73</v>
      </c>
      <c r="B74" s="224">
        <v>7270</v>
      </c>
      <c r="C74" s="191" t="s">
        <v>2667</v>
      </c>
      <c r="D74" s="191" t="s">
        <v>45</v>
      </c>
      <c r="E74" s="191" t="s">
        <v>9</v>
      </c>
      <c r="F74" s="225">
        <v>45669.048611111109</v>
      </c>
      <c r="G74" s="191">
        <v>1</v>
      </c>
      <c r="H74" s="191" t="s">
        <v>2557</v>
      </c>
      <c r="I74" s="224">
        <v>42619</v>
      </c>
      <c r="J74" s="226" t="s">
        <v>299</v>
      </c>
      <c r="K74" s="224">
        <v>20.25</v>
      </c>
      <c r="L74" s="224">
        <v>1.5</v>
      </c>
      <c r="M74" s="224">
        <v>0</v>
      </c>
      <c r="N74" s="224">
        <v>1</v>
      </c>
      <c r="O74" s="224">
        <f t="shared" si="0"/>
        <v>18.75</v>
      </c>
      <c r="P74" s="227">
        <f t="shared" si="1"/>
        <v>18.75</v>
      </c>
    </row>
    <row r="75" spans="1:16" ht="12.75">
      <c r="A75" s="224">
        <v>74</v>
      </c>
      <c r="B75" s="224">
        <v>1560</v>
      </c>
      <c r="C75" s="191" t="s">
        <v>2630</v>
      </c>
      <c r="D75" s="191" t="s">
        <v>45</v>
      </c>
      <c r="E75" s="191" t="s">
        <v>2556</v>
      </c>
      <c r="F75" s="225">
        <v>45669.399305555555</v>
      </c>
      <c r="G75" s="191">
        <v>1</v>
      </c>
      <c r="H75" s="191" t="s">
        <v>2557</v>
      </c>
      <c r="I75" s="224">
        <v>40135</v>
      </c>
      <c r="J75" s="226" t="s">
        <v>2668</v>
      </c>
      <c r="K75" s="224">
        <v>8.9700000000000006</v>
      </c>
      <c r="L75" s="224">
        <v>0</v>
      </c>
      <c r="M75" s="224">
        <v>0</v>
      </c>
      <c r="N75" s="224">
        <v>1</v>
      </c>
      <c r="O75" s="224">
        <f t="shared" si="0"/>
        <v>8.9700000000000006</v>
      </c>
      <c r="P75" s="227">
        <f t="shared" si="1"/>
        <v>8.9700000000000006</v>
      </c>
    </row>
    <row r="76" spans="1:16" ht="12.75">
      <c r="A76" s="224">
        <v>75</v>
      </c>
      <c r="B76" s="224">
        <v>1560</v>
      </c>
      <c r="C76" s="191" t="s">
        <v>2630</v>
      </c>
      <c r="D76" s="191" t="s">
        <v>45</v>
      </c>
      <c r="E76" s="191" t="s">
        <v>2556</v>
      </c>
      <c r="F76" s="225">
        <v>45669.4</v>
      </c>
      <c r="G76" s="191">
        <v>1</v>
      </c>
      <c r="H76" s="191" t="s">
        <v>2557</v>
      </c>
      <c r="I76" s="224">
        <v>40135</v>
      </c>
      <c r="J76" s="226" t="s">
        <v>2668</v>
      </c>
      <c r="K76" s="224">
        <v>8.9700000000000006</v>
      </c>
      <c r="L76" s="224">
        <v>0</v>
      </c>
      <c r="M76" s="224">
        <v>0</v>
      </c>
      <c r="N76" s="224">
        <v>1</v>
      </c>
      <c r="O76" s="224">
        <f t="shared" si="0"/>
        <v>8.9700000000000006</v>
      </c>
      <c r="P76" s="227">
        <f t="shared" si="1"/>
        <v>8.9700000000000006</v>
      </c>
    </row>
    <row r="77" spans="1:16" ht="12.75">
      <c r="A77" s="224">
        <v>76</v>
      </c>
      <c r="B77" s="224">
        <v>7294</v>
      </c>
      <c r="C77" s="191" t="s">
        <v>2669</v>
      </c>
      <c r="D77" s="191" t="s">
        <v>2582</v>
      </c>
      <c r="E77" s="191" t="s">
        <v>2556</v>
      </c>
      <c r="F77" s="225">
        <v>45669.463194444441</v>
      </c>
      <c r="G77" s="191">
        <v>1</v>
      </c>
      <c r="H77" s="191" t="s">
        <v>2557</v>
      </c>
      <c r="I77" s="224">
        <v>42727</v>
      </c>
      <c r="J77" s="226" t="s">
        <v>2670</v>
      </c>
      <c r="K77" s="224">
        <v>40.25</v>
      </c>
      <c r="L77" s="224">
        <v>0</v>
      </c>
      <c r="M77" s="224">
        <v>0</v>
      </c>
      <c r="N77" s="224">
        <v>7.3313300000000003</v>
      </c>
      <c r="O77" s="224">
        <f t="shared" si="0"/>
        <v>40.25</v>
      </c>
      <c r="P77" s="227">
        <f t="shared" si="1"/>
        <v>5.4901361690170809</v>
      </c>
    </row>
    <row r="78" spans="1:16" ht="12.75">
      <c r="A78" s="224">
        <v>77</v>
      </c>
      <c r="B78" s="224">
        <v>6732</v>
      </c>
      <c r="C78" s="191" t="s">
        <v>2608</v>
      </c>
      <c r="D78" s="191" t="s">
        <v>45</v>
      </c>
      <c r="E78" s="191" t="s">
        <v>2556</v>
      </c>
      <c r="F78" s="225">
        <v>45669.502083333333</v>
      </c>
      <c r="G78" s="191">
        <v>1</v>
      </c>
      <c r="H78" s="191" t="s">
        <v>2557</v>
      </c>
      <c r="I78" s="224">
        <v>42739</v>
      </c>
      <c r="J78" s="226" t="s">
        <v>2671</v>
      </c>
      <c r="K78" s="224">
        <v>8.39</v>
      </c>
      <c r="L78" s="224">
        <v>0</v>
      </c>
      <c r="M78" s="224">
        <v>0</v>
      </c>
      <c r="N78" s="224">
        <v>1</v>
      </c>
      <c r="O78" s="224">
        <f t="shared" si="0"/>
        <v>8.39</v>
      </c>
      <c r="P78" s="227">
        <f t="shared" si="1"/>
        <v>8.39</v>
      </c>
    </row>
    <row r="79" spans="1:16" ht="12.75">
      <c r="A79" s="224">
        <v>78</v>
      </c>
      <c r="B79" s="224">
        <v>7306</v>
      </c>
      <c r="C79" s="191" t="s">
        <v>2672</v>
      </c>
      <c r="D79" s="191" t="s">
        <v>45</v>
      </c>
      <c r="E79" s="191" t="s">
        <v>2556</v>
      </c>
      <c r="F79" s="225">
        <v>45669.62222222222</v>
      </c>
      <c r="G79" s="191">
        <v>1</v>
      </c>
      <c r="H79" s="191" t="s">
        <v>2557</v>
      </c>
      <c r="I79" s="224">
        <v>42775</v>
      </c>
      <c r="J79" s="226" t="s">
        <v>2673</v>
      </c>
      <c r="K79" s="224">
        <v>20.25</v>
      </c>
      <c r="L79" s="224">
        <v>0</v>
      </c>
      <c r="M79" s="224">
        <v>0</v>
      </c>
      <c r="N79" s="224">
        <v>1</v>
      </c>
      <c r="O79" s="224">
        <f t="shared" si="0"/>
        <v>20.25</v>
      </c>
      <c r="P79" s="227">
        <f t="shared" si="1"/>
        <v>20.25</v>
      </c>
    </row>
    <row r="80" spans="1:16" ht="12.75">
      <c r="A80" s="224">
        <v>79</v>
      </c>
      <c r="B80" s="224">
        <v>396</v>
      </c>
      <c r="C80" s="191" t="s">
        <v>2674</v>
      </c>
      <c r="D80" s="191" t="s">
        <v>45</v>
      </c>
      <c r="E80" s="191" t="s">
        <v>9</v>
      </c>
      <c r="F80" s="225">
        <v>45669.647916666669</v>
      </c>
      <c r="G80" s="191">
        <v>1</v>
      </c>
      <c r="H80" s="191" t="s">
        <v>2557</v>
      </c>
      <c r="I80" s="224">
        <v>41683</v>
      </c>
      <c r="J80" s="226" t="s">
        <v>301</v>
      </c>
      <c r="K80" s="224">
        <v>1.0900000000000001</v>
      </c>
      <c r="L80" s="224">
        <v>0.54</v>
      </c>
      <c r="M80" s="224">
        <v>0</v>
      </c>
      <c r="N80" s="224">
        <v>1</v>
      </c>
      <c r="O80" s="224">
        <f t="shared" si="0"/>
        <v>0.55000000000000004</v>
      </c>
      <c r="P80" s="227">
        <f t="shared" si="1"/>
        <v>0.55000000000000004</v>
      </c>
    </row>
    <row r="81" spans="1:16" ht="12.75">
      <c r="A81" s="224">
        <v>80</v>
      </c>
      <c r="B81" s="224">
        <v>7315</v>
      </c>
      <c r="C81" s="191" t="s">
        <v>2675</v>
      </c>
      <c r="D81" s="191" t="s">
        <v>45</v>
      </c>
      <c r="E81" s="191" t="s">
        <v>2556</v>
      </c>
      <c r="F81" s="225">
        <v>45669.740277777775</v>
      </c>
      <c r="G81" s="191">
        <v>1</v>
      </c>
      <c r="H81" s="191" t="s">
        <v>2557</v>
      </c>
      <c r="I81" s="224">
        <v>42811</v>
      </c>
      <c r="J81" s="226" t="s">
        <v>2676</v>
      </c>
      <c r="K81" s="224">
        <v>12.59</v>
      </c>
      <c r="L81" s="224">
        <v>0</v>
      </c>
      <c r="M81" s="224">
        <v>0</v>
      </c>
      <c r="N81" s="224">
        <v>1</v>
      </c>
      <c r="O81" s="224">
        <f t="shared" si="0"/>
        <v>12.59</v>
      </c>
      <c r="P81" s="227">
        <f t="shared" si="1"/>
        <v>12.59</v>
      </c>
    </row>
    <row r="82" spans="1:16" ht="12.75">
      <c r="A82" s="224">
        <v>81</v>
      </c>
      <c r="B82" s="224">
        <v>3364</v>
      </c>
      <c r="C82" s="191" t="s">
        <v>2677</v>
      </c>
      <c r="D82" s="191" t="s">
        <v>45</v>
      </c>
      <c r="E82" s="191" t="s">
        <v>2556</v>
      </c>
      <c r="F82" s="225">
        <v>45669.805555555555</v>
      </c>
      <c r="G82" s="191">
        <v>1</v>
      </c>
      <c r="H82" s="191" t="s">
        <v>2557</v>
      </c>
      <c r="I82" s="224">
        <v>42187</v>
      </c>
      <c r="J82" s="226" t="s">
        <v>2678</v>
      </c>
      <c r="K82" s="224">
        <v>1.0900000000000001</v>
      </c>
      <c r="L82" s="224">
        <v>0</v>
      </c>
      <c r="M82" s="224">
        <v>0</v>
      </c>
      <c r="N82" s="224">
        <v>1</v>
      </c>
      <c r="O82" s="224">
        <f t="shared" si="0"/>
        <v>1.0900000000000001</v>
      </c>
      <c r="P82" s="227">
        <f t="shared" si="1"/>
        <v>1.0900000000000001</v>
      </c>
    </row>
    <row r="83" spans="1:16" ht="12.75">
      <c r="A83" s="224">
        <v>82</v>
      </c>
      <c r="B83" s="224">
        <v>6641</v>
      </c>
      <c r="C83" s="191" t="s">
        <v>2588</v>
      </c>
      <c r="D83" s="191" t="s">
        <v>45</v>
      </c>
      <c r="E83" s="191" t="s">
        <v>2556</v>
      </c>
      <c r="F83" s="225">
        <v>45669.866666666669</v>
      </c>
      <c r="G83" s="191">
        <v>1</v>
      </c>
      <c r="H83" s="191" t="s">
        <v>2557</v>
      </c>
      <c r="I83" s="224">
        <v>42847</v>
      </c>
      <c r="J83" s="226" t="s">
        <v>2679</v>
      </c>
      <c r="K83" s="224">
        <v>20.25</v>
      </c>
      <c r="L83" s="224">
        <v>0</v>
      </c>
      <c r="M83" s="224">
        <v>0</v>
      </c>
      <c r="N83" s="224">
        <v>1</v>
      </c>
      <c r="O83" s="224">
        <f t="shared" si="0"/>
        <v>20.25</v>
      </c>
      <c r="P83" s="227">
        <f t="shared" si="1"/>
        <v>20.25</v>
      </c>
    </row>
    <row r="84" spans="1:16" ht="12.75">
      <c r="A84" s="224">
        <v>83</v>
      </c>
      <c r="B84" s="224">
        <v>7319</v>
      </c>
      <c r="C84" s="191" t="s">
        <v>2680</v>
      </c>
      <c r="D84" s="191" t="s">
        <v>45</v>
      </c>
      <c r="E84" s="191" t="s">
        <v>2556</v>
      </c>
      <c r="F84" s="225">
        <v>45669.866666666669</v>
      </c>
      <c r="G84" s="191">
        <v>1</v>
      </c>
      <c r="H84" s="191" t="s">
        <v>2557</v>
      </c>
      <c r="I84" s="224">
        <v>42859</v>
      </c>
      <c r="J84" s="226" t="s">
        <v>2681</v>
      </c>
      <c r="K84" s="224">
        <v>8.39</v>
      </c>
      <c r="L84" s="224">
        <v>0</v>
      </c>
      <c r="M84" s="224">
        <v>0</v>
      </c>
      <c r="N84" s="224">
        <v>1</v>
      </c>
      <c r="O84" s="224">
        <f t="shared" si="0"/>
        <v>8.39</v>
      </c>
      <c r="P84" s="227">
        <f t="shared" si="1"/>
        <v>8.39</v>
      </c>
    </row>
    <row r="85" spans="1:16" ht="12.75">
      <c r="A85" s="224">
        <v>84</v>
      </c>
      <c r="B85" s="224">
        <v>417</v>
      </c>
      <c r="C85" s="191" t="s">
        <v>2682</v>
      </c>
      <c r="D85" s="191" t="s">
        <v>2582</v>
      </c>
      <c r="E85" s="191" t="s">
        <v>2556</v>
      </c>
      <c r="F85" s="225">
        <v>45669.913194444445</v>
      </c>
      <c r="G85" s="191">
        <v>1</v>
      </c>
      <c r="H85" s="191" t="s">
        <v>2557</v>
      </c>
      <c r="I85" s="224">
        <v>41347</v>
      </c>
      <c r="J85" s="226" t="s">
        <v>2683</v>
      </c>
      <c r="K85" s="224">
        <v>7.7</v>
      </c>
      <c r="L85" s="224">
        <v>0</v>
      </c>
      <c r="M85" s="224">
        <v>0</v>
      </c>
      <c r="N85" s="224">
        <v>7.3313300000000003</v>
      </c>
      <c r="O85" s="224">
        <f t="shared" si="0"/>
        <v>7.7</v>
      </c>
      <c r="P85" s="227">
        <f t="shared" si="1"/>
        <v>1.0502869192902242</v>
      </c>
    </row>
    <row r="86" spans="1:16" ht="12.75">
      <c r="A86" s="224">
        <v>85</v>
      </c>
      <c r="B86" s="224">
        <v>7331</v>
      </c>
      <c r="C86" s="191" t="s">
        <v>2684</v>
      </c>
      <c r="D86" s="191" t="s">
        <v>45</v>
      </c>
      <c r="E86" s="191" t="s">
        <v>9</v>
      </c>
      <c r="F86" s="225">
        <v>45669.989583333336</v>
      </c>
      <c r="G86" s="191">
        <v>1</v>
      </c>
      <c r="H86" s="191" t="s">
        <v>2557</v>
      </c>
      <c r="I86" s="224">
        <v>42895</v>
      </c>
      <c r="J86" s="226" t="s">
        <v>303</v>
      </c>
      <c r="K86" s="224">
        <v>20.25</v>
      </c>
      <c r="L86" s="224">
        <v>1.2</v>
      </c>
      <c r="M86" s="224">
        <v>0</v>
      </c>
      <c r="N86" s="224">
        <v>1</v>
      </c>
      <c r="O86" s="224">
        <f t="shared" si="0"/>
        <v>19.05</v>
      </c>
      <c r="P86" s="227">
        <f t="shared" si="1"/>
        <v>19.05</v>
      </c>
    </row>
    <row r="87" spans="1:16" ht="12.75">
      <c r="A87" s="224">
        <v>86</v>
      </c>
      <c r="B87" s="224">
        <v>2161</v>
      </c>
      <c r="C87" s="191" t="s">
        <v>2685</v>
      </c>
      <c r="D87" s="191" t="s">
        <v>45</v>
      </c>
      <c r="E87" s="191" t="s">
        <v>2556</v>
      </c>
      <c r="F87" s="225">
        <v>45670.056250000001</v>
      </c>
      <c r="G87" s="191">
        <v>1</v>
      </c>
      <c r="H87" s="191" t="s">
        <v>2557</v>
      </c>
      <c r="I87" s="224">
        <v>42907</v>
      </c>
      <c r="J87" s="226" t="s">
        <v>2686</v>
      </c>
      <c r="K87" s="224">
        <v>8.39</v>
      </c>
      <c r="L87" s="224">
        <v>0</v>
      </c>
      <c r="M87" s="224">
        <v>0</v>
      </c>
      <c r="N87" s="224">
        <v>1</v>
      </c>
      <c r="O87" s="224">
        <f t="shared" si="0"/>
        <v>8.39</v>
      </c>
      <c r="P87" s="227">
        <f t="shared" si="1"/>
        <v>8.39</v>
      </c>
    </row>
    <row r="88" spans="1:16" ht="12.75">
      <c r="A88" s="224">
        <v>87</v>
      </c>
      <c r="B88" s="224">
        <v>7344</v>
      </c>
      <c r="C88" s="191" t="s">
        <v>2687</v>
      </c>
      <c r="D88" s="191" t="s">
        <v>45</v>
      </c>
      <c r="E88" s="191" t="s">
        <v>2556</v>
      </c>
      <c r="F88" s="225">
        <v>45670.551388888889</v>
      </c>
      <c r="G88" s="191">
        <v>1</v>
      </c>
      <c r="H88" s="191" t="s">
        <v>2557</v>
      </c>
      <c r="I88" s="224">
        <v>42979</v>
      </c>
      <c r="J88" s="226" t="s">
        <v>2688</v>
      </c>
      <c r="K88" s="224">
        <v>2</v>
      </c>
      <c r="L88" s="224">
        <v>0</v>
      </c>
      <c r="M88" s="224">
        <v>0</v>
      </c>
      <c r="N88" s="224">
        <v>1</v>
      </c>
      <c r="O88" s="224">
        <f t="shared" si="0"/>
        <v>2</v>
      </c>
      <c r="P88" s="227">
        <f t="shared" si="1"/>
        <v>2</v>
      </c>
    </row>
    <row r="89" spans="1:16" ht="12.75">
      <c r="A89" s="224">
        <v>88</v>
      </c>
      <c r="B89" s="224">
        <v>7341</v>
      </c>
      <c r="C89" s="191" t="s">
        <v>2689</v>
      </c>
      <c r="D89" s="191" t="s">
        <v>45</v>
      </c>
      <c r="E89" s="191" t="s">
        <v>2556</v>
      </c>
      <c r="F89" s="225">
        <v>45670.62222222222</v>
      </c>
      <c r="G89" s="191">
        <v>1</v>
      </c>
      <c r="H89" s="191" t="s">
        <v>2557</v>
      </c>
      <c r="I89" s="224">
        <v>42967</v>
      </c>
      <c r="J89" s="226" t="s">
        <v>2690</v>
      </c>
      <c r="K89" s="224">
        <v>2</v>
      </c>
      <c r="L89" s="224">
        <v>0</v>
      </c>
      <c r="M89" s="224">
        <v>0</v>
      </c>
      <c r="N89" s="224">
        <v>1</v>
      </c>
      <c r="O89" s="224">
        <f t="shared" si="0"/>
        <v>2</v>
      </c>
      <c r="P89" s="227">
        <f t="shared" si="1"/>
        <v>2</v>
      </c>
    </row>
    <row r="90" spans="1:16" ht="12.75">
      <c r="A90" s="224">
        <v>89</v>
      </c>
      <c r="B90" s="224">
        <v>4212</v>
      </c>
      <c r="C90" s="191" t="s">
        <v>2691</v>
      </c>
      <c r="D90" s="191" t="s">
        <v>45</v>
      </c>
      <c r="E90" s="191" t="s">
        <v>9</v>
      </c>
      <c r="F90" s="225">
        <v>45670.74722222222</v>
      </c>
      <c r="G90" s="191">
        <v>1</v>
      </c>
      <c r="H90" s="191" t="s">
        <v>2557</v>
      </c>
      <c r="I90" s="224">
        <v>38203</v>
      </c>
      <c r="J90" s="226" t="s">
        <v>305</v>
      </c>
      <c r="K90" s="224">
        <v>3.99</v>
      </c>
      <c r="L90" s="224">
        <v>0.63</v>
      </c>
      <c r="M90" s="224">
        <v>0</v>
      </c>
      <c r="N90" s="224">
        <v>1</v>
      </c>
      <c r="O90" s="224">
        <f t="shared" si="0"/>
        <v>3.3600000000000003</v>
      </c>
      <c r="P90" s="227">
        <f t="shared" si="1"/>
        <v>3.3600000000000003</v>
      </c>
    </row>
    <row r="91" spans="1:16" ht="12.75">
      <c r="A91" s="224">
        <v>90</v>
      </c>
      <c r="B91" s="224">
        <v>7389</v>
      </c>
      <c r="C91" s="191" t="s">
        <v>2575</v>
      </c>
      <c r="D91" s="191" t="s">
        <v>45</v>
      </c>
      <c r="E91" s="191" t="s">
        <v>2556</v>
      </c>
      <c r="F91" s="225">
        <v>45670.790277777778</v>
      </c>
      <c r="G91" s="191">
        <v>1</v>
      </c>
      <c r="H91" s="191" t="s">
        <v>2557</v>
      </c>
      <c r="I91" s="224">
        <v>43015</v>
      </c>
      <c r="J91" s="226" t="s">
        <v>2692</v>
      </c>
      <c r="K91" s="224">
        <v>20.25</v>
      </c>
      <c r="L91" s="224">
        <v>0</v>
      </c>
      <c r="M91" s="224">
        <v>0</v>
      </c>
      <c r="N91" s="224">
        <v>1</v>
      </c>
      <c r="O91" s="224">
        <f t="shared" si="0"/>
        <v>20.25</v>
      </c>
      <c r="P91" s="227">
        <f t="shared" si="1"/>
        <v>20.25</v>
      </c>
    </row>
    <row r="92" spans="1:16" ht="12.75">
      <c r="A92" s="224">
        <v>91</v>
      </c>
      <c r="B92" s="224">
        <v>7397</v>
      </c>
      <c r="C92" s="191" t="s">
        <v>2693</v>
      </c>
      <c r="D92" s="191" t="s">
        <v>45</v>
      </c>
      <c r="E92" s="191" t="s">
        <v>2556</v>
      </c>
      <c r="F92" s="225">
        <v>45670.977777777778</v>
      </c>
      <c r="G92" s="191">
        <v>1</v>
      </c>
      <c r="H92" s="191" t="s">
        <v>2557</v>
      </c>
      <c r="I92" s="224">
        <v>43039</v>
      </c>
      <c r="J92" s="226" t="s">
        <v>2694</v>
      </c>
      <c r="K92" s="224">
        <v>2</v>
      </c>
      <c r="L92" s="224">
        <v>0</v>
      </c>
      <c r="M92" s="224">
        <v>0</v>
      </c>
      <c r="N92" s="224">
        <v>1</v>
      </c>
      <c r="O92" s="224">
        <f t="shared" si="0"/>
        <v>2</v>
      </c>
      <c r="P92" s="227">
        <f t="shared" si="1"/>
        <v>2</v>
      </c>
    </row>
    <row r="93" spans="1:16" ht="12.75">
      <c r="A93" s="224">
        <v>92</v>
      </c>
      <c r="B93" s="224">
        <v>90</v>
      </c>
      <c r="C93" s="191" t="s">
        <v>2575</v>
      </c>
      <c r="D93" s="191" t="s">
        <v>2582</v>
      </c>
      <c r="E93" s="191" t="s">
        <v>2556</v>
      </c>
      <c r="F93" s="225">
        <v>45671.849305555559</v>
      </c>
      <c r="G93" s="191">
        <v>1</v>
      </c>
      <c r="H93" s="191" t="s">
        <v>2557</v>
      </c>
      <c r="I93" s="224">
        <v>43111</v>
      </c>
      <c r="J93" s="226" t="s">
        <v>2695</v>
      </c>
      <c r="K93" s="224">
        <v>14.66</v>
      </c>
      <c r="L93" s="224">
        <v>0</v>
      </c>
      <c r="M93" s="224">
        <v>0</v>
      </c>
      <c r="N93" s="224">
        <v>7.3319299999999998</v>
      </c>
      <c r="O93" s="224">
        <f t="shared" si="0"/>
        <v>14.66</v>
      </c>
      <c r="P93" s="227">
        <f t="shared" si="1"/>
        <v>1.9994735356174977</v>
      </c>
    </row>
    <row r="94" spans="1:16" ht="12.75">
      <c r="A94" s="224">
        <v>93</v>
      </c>
      <c r="B94" s="224">
        <v>7682</v>
      </c>
      <c r="C94" s="191" t="s">
        <v>2575</v>
      </c>
      <c r="D94" s="191" t="s">
        <v>45</v>
      </c>
      <c r="E94" s="191" t="s">
        <v>2556</v>
      </c>
      <c r="F94" s="225">
        <v>45672</v>
      </c>
      <c r="G94" s="191">
        <v>1</v>
      </c>
      <c r="H94" s="191" t="s">
        <v>2557</v>
      </c>
      <c r="I94" s="224">
        <v>43339</v>
      </c>
      <c r="J94" s="226"/>
      <c r="K94" s="224">
        <v>0</v>
      </c>
      <c r="L94" s="224">
        <v>0</v>
      </c>
      <c r="M94" s="224">
        <v>0</v>
      </c>
      <c r="N94" s="224">
        <v>1</v>
      </c>
      <c r="O94" s="224">
        <f t="shared" si="0"/>
        <v>0</v>
      </c>
      <c r="P94" s="227">
        <f t="shared" si="1"/>
        <v>0</v>
      </c>
    </row>
    <row r="95" spans="1:16" ht="12.75">
      <c r="A95" s="224">
        <v>94</v>
      </c>
      <c r="B95" s="224">
        <v>1560</v>
      </c>
      <c r="C95" s="191" t="s">
        <v>2630</v>
      </c>
      <c r="D95" s="191" t="s">
        <v>45</v>
      </c>
      <c r="E95" s="191" t="s">
        <v>2556</v>
      </c>
      <c r="F95" s="225">
        <v>45672.6</v>
      </c>
      <c r="G95" s="191">
        <v>1</v>
      </c>
      <c r="H95" s="191" t="s">
        <v>2557</v>
      </c>
      <c r="I95" s="224">
        <v>43171</v>
      </c>
      <c r="J95" s="226" t="s">
        <v>2696</v>
      </c>
      <c r="K95" s="224">
        <v>8.9700000000000006</v>
      </c>
      <c r="L95" s="224">
        <v>0</v>
      </c>
      <c r="M95" s="224">
        <v>0</v>
      </c>
      <c r="N95" s="224">
        <v>1</v>
      </c>
      <c r="O95" s="224">
        <f t="shared" si="0"/>
        <v>8.9700000000000006</v>
      </c>
      <c r="P95" s="227">
        <f t="shared" si="1"/>
        <v>8.9700000000000006</v>
      </c>
    </row>
    <row r="96" spans="1:16" ht="12.75">
      <c r="A96" s="224">
        <v>95</v>
      </c>
      <c r="B96" s="224">
        <v>1560</v>
      </c>
      <c r="C96" s="191" t="s">
        <v>2630</v>
      </c>
      <c r="D96" s="191" t="s">
        <v>45</v>
      </c>
      <c r="E96" s="191" t="s">
        <v>2556</v>
      </c>
      <c r="F96" s="225">
        <v>45672.602083333331</v>
      </c>
      <c r="G96" s="191">
        <v>1</v>
      </c>
      <c r="H96" s="191" t="s">
        <v>2557</v>
      </c>
      <c r="I96" s="224">
        <v>43231</v>
      </c>
      <c r="J96" s="226" t="s">
        <v>2697</v>
      </c>
      <c r="K96" s="224">
        <v>2.99</v>
      </c>
      <c r="L96" s="224">
        <v>0</v>
      </c>
      <c r="M96" s="224">
        <v>0</v>
      </c>
      <c r="N96" s="224">
        <v>1</v>
      </c>
      <c r="O96" s="224">
        <f t="shared" si="0"/>
        <v>2.99</v>
      </c>
      <c r="P96" s="227">
        <f t="shared" si="1"/>
        <v>2.99</v>
      </c>
    </row>
    <row r="97" spans="1:16" ht="12.75">
      <c r="A97" s="224">
        <v>96</v>
      </c>
      <c r="B97" s="224">
        <v>7664</v>
      </c>
      <c r="C97" s="191" t="s">
        <v>2698</v>
      </c>
      <c r="D97" s="191" t="s">
        <v>45</v>
      </c>
      <c r="E97" s="191" t="s">
        <v>2556</v>
      </c>
      <c r="F97" s="225">
        <v>45672.820138888892</v>
      </c>
      <c r="G97" s="191">
        <v>1</v>
      </c>
      <c r="H97" s="191" t="s">
        <v>2557</v>
      </c>
      <c r="I97" s="224">
        <v>43255</v>
      </c>
      <c r="J97" s="226" t="s">
        <v>2699</v>
      </c>
      <c r="K97" s="224">
        <v>23.99</v>
      </c>
      <c r="L97" s="224">
        <v>0</v>
      </c>
      <c r="M97" s="224">
        <v>0</v>
      </c>
      <c r="N97" s="224">
        <v>1</v>
      </c>
      <c r="O97" s="224">
        <f t="shared" si="0"/>
        <v>23.99</v>
      </c>
      <c r="P97" s="227">
        <f t="shared" si="1"/>
        <v>23.99</v>
      </c>
    </row>
    <row r="98" spans="1:16" ht="12.75">
      <c r="A98" s="224">
        <v>97</v>
      </c>
      <c r="B98" s="224">
        <v>3307</v>
      </c>
      <c r="C98" s="191" t="s">
        <v>2700</v>
      </c>
      <c r="D98" s="191" t="s">
        <v>45</v>
      </c>
      <c r="E98" s="191" t="s">
        <v>2556</v>
      </c>
      <c r="F98" s="225">
        <v>45672.865972222222</v>
      </c>
      <c r="G98" s="191">
        <v>1</v>
      </c>
      <c r="H98" s="191" t="s">
        <v>2557</v>
      </c>
      <c r="I98" s="224">
        <v>43279</v>
      </c>
      <c r="J98" s="226" t="s">
        <v>2701</v>
      </c>
      <c r="K98" s="224">
        <v>1</v>
      </c>
      <c r="L98" s="224">
        <v>0</v>
      </c>
      <c r="M98" s="224">
        <v>0</v>
      </c>
      <c r="N98" s="224">
        <v>1</v>
      </c>
      <c r="O98" s="224">
        <f t="shared" si="0"/>
        <v>1</v>
      </c>
      <c r="P98" s="227">
        <f t="shared" si="1"/>
        <v>1</v>
      </c>
    </row>
    <row r="99" spans="1:16" ht="12.75">
      <c r="A99" s="224">
        <v>98</v>
      </c>
      <c r="B99" s="224">
        <v>7681</v>
      </c>
      <c r="C99" s="191" t="s">
        <v>2702</v>
      </c>
      <c r="D99" s="191" t="s">
        <v>45</v>
      </c>
      <c r="E99" s="191" t="s">
        <v>2556</v>
      </c>
      <c r="F99" s="225">
        <v>45672.9</v>
      </c>
      <c r="G99" s="191">
        <v>1</v>
      </c>
      <c r="H99" s="191" t="s">
        <v>2557</v>
      </c>
      <c r="I99" s="224">
        <v>43327</v>
      </c>
      <c r="J99" s="226" t="s">
        <v>2703</v>
      </c>
      <c r="K99" s="224">
        <v>20.25</v>
      </c>
      <c r="L99" s="224">
        <v>0</v>
      </c>
      <c r="M99" s="224">
        <v>0</v>
      </c>
      <c r="N99" s="224">
        <v>1</v>
      </c>
      <c r="O99" s="224">
        <f t="shared" si="0"/>
        <v>20.25</v>
      </c>
      <c r="P99" s="227">
        <f t="shared" si="1"/>
        <v>20.25</v>
      </c>
    </row>
    <row r="100" spans="1:16" ht="12.75">
      <c r="A100" s="224">
        <v>99</v>
      </c>
      <c r="B100" s="224">
        <v>1652</v>
      </c>
      <c r="C100" s="191" t="s">
        <v>2704</v>
      </c>
      <c r="D100" s="191" t="s">
        <v>45</v>
      </c>
      <c r="E100" s="191" t="s">
        <v>9</v>
      </c>
      <c r="F100" s="225">
        <v>45673</v>
      </c>
      <c r="G100" s="191">
        <v>1</v>
      </c>
      <c r="H100" s="191" t="s">
        <v>2557</v>
      </c>
      <c r="I100" s="224">
        <v>43291</v>
      </c>
      <c r="J100" s="226"/>
      <c r="K100" s="224">
        <v>0</v>
      </c>
      <c r="L100" s="224">
        <v>0</v>
      </c>
      <c r="M100" s="224">
        <v>0</v>
      </c>
      <c r="N100" s="224">
        <v>1</v>
      </c>
      <c r="O100" s="224">
        <f t="shared" si="0"/>
        <v>0</v>
      </c>
      <c r="P100" s="227">
        <f t="shared" si="1"/>
        <v>0</v>
      </c>
    </row>
    <row r="101" spans="1:16" ht="12.75">
      <c r="A101" s="224">
        <v>100</v>
      </c>
      <c r="B101" s="224">
        <v>7677</v>
      </c>
      <c r="C101" s="191" t="s">
        <v>2705</v>
      </c>
      <c r="D101" s="191" t="s">
        <v>45</v>
      </c>
      <c r="E101" s="191" t="s">
        <v>2556</v>
      </c>
      <c r="F101" s="225">
        <v>45673.015277777777</v>
      </c>
      <c r="G101" s="191">
        <v>1</v>
      </c>
      <c r="H101" s="191" t="s">
        <v>2557</v>
      </c>
      <c r="I101" s="224">
        <v>43351</v>
      </c>
      <c r="J101" s="226" t="s">
        <v>2706</v>
      </c>
      <c r="K101" s="224">
        <v>3.99</v>
      </c>
      <c r="L101" s="224">
        <v>0</v>
      </c>
      <c r="M101" s="224">
        <v>0</v>
      </c>
      <c r="N101" s="224">
        <v>1</v>
      </c>
      <c r="O101" s="224">
        <f t="shared" si="0"/>
        <v>3.99</v>
      </c>
      <c r="P101" s="227">
        <f t="shared" si="1"/>
        <v>3.99</v>
      </c>
    </row>
    <row r="102" spans="1:16" ht="12.75">
      <c r="A102" s="224">
        <v>101</v>
      </c>
      <c r="B102" s="224">
        <v>351</v>
      </c>
      <c r="C102" s="191" t="s">
        <v>2707</v>
      </c>
      <c r="D102" s="191" t="s">
        <v>45</v>
      </c>
      <c r="E102" s="191" t="s">
        <v>9</v>
      </c>
      <c r="F102" s="225">
        <v>45673.79583333333</v>
      </c>
      <c r="G102" s="191">
        <v>1</v>
      </c>
      <c r="H102" s="191" t="s">
        <v>2557</v>
      </c>
      <c r="I102" s="224">
        <v>38179</v>
      </c>
      <c r="J102" s="226" t="s">
        <v>307</v>
      </c>
      <c r="K102" s="224">
        <v>1.0900000000000001</v>
      </c>
      <c r="L102" s="224">
        <v>0.54</v>
      </c>
      <c r="M102" s="224">
        <v>0</v>
      </c>
      <c r="N102" s="224">
        <v>1</v>
      </c>
      <c r="O102" s="224">
        <f t="shared" si="0"/>
        <v>0.55000000000000004</v>
      </c>
      <c r="P102" s="227">
        <f t="shared" si="1"/>
        <v>0.55000000000000004</v>
      </c>
    </row>
    <row r="103" spans="1:16" ht="12.75">
      <c r="A103" s="224">
        <v>102</v>
      </c>
      <c r="B103" s="224">
        <v>6093</v>
      </c>
      <c r="C103" s="191" t="s">
        <v>2708</v>
      </c>
      <c r="D103" s="191" t="s">
        <v>45</v>
      </c>
      <c r="E103" s="191" t="s">
        <v>2556</v>
      </c>
      <c r="F103" s="225">
        <v>45673.819444444445</v>
      </c>
      <c r="G103" s="191">
        <v>1</v>
      </c>
      <c r="H103" s="191" t="s">
        <v>2557</v>
      </c>
      <c r="I103" s="224">
        <v>43459</v>
      </c>
      <c r="J103" s="226" t="s">
        <v>2709</v>
      </c>
      <c r="K103" s="224">
        <v>17.989999999999998</v>
      </c>
      <c r="L103" s="224">
        <v>0</v>
      </c>
      <c r="M103" s="224">
        <v>0</v>
      </c>
      <c r="N103" s="224">
        <v>1</v>
      </c>
      <c r="O103" s="224">
        <f t="shared" si="0"/>
        <v>17.989999999999998</v>
      </c>
      <c r="P103" s="227">
        <f t="shared" si="1"/>
        <v>17.989999999999998</v>
      </c>
    </row>
    <row r="104" spans="1:16" ht="12.75">
      <c r="A104" s="224">
        <v>103</v>
      </c>
      <c r="B104" s="170">
        <v>7698</v>
      </c>
      <c r="C104" s="172" t="s">
        <v>2710</v>
      </c>
      <c r="D104" s="172" t="s">
        <v>45</v>
      </c>
      <c r="E104" s="172" t="s">
        <v>2572</v>
      </c>
      <c r="F104" s="228">
        <v>45673.823611111111</v>
      </c>
      <c r="G104" s="172">
        <v>1</v>
      </c>
      <c r="H104" s="172" t="s">
        <v>2557</v>
      </c>
      <c r="I104" s="170">
        <v>43435</v>
      </c>
      <c r="J104" s="229" t="s">
        <v>2711</v>
      </c>
      <c r="K104" s="170">
        <v>17.989999999999998</v>
      </c>
      <c r="L104" s="170">
        <v>0</v>
      </c>
      <c r="M104" s="170">
        <v>0</v>
      </c>
      <c r="N104" s="170">
        <v>1</v>
      </c>
      <c r="O104" s="170">
        <f t="shared" si="0"/>
        <v>17.989999999999998</v>
      </c>
      <c r="P104" s="230">
        <f t="shared" si="1"/>
        <v>17.989999999999998</v>
      </c>
    </row>
    <row r="105" spans="1:16" ht="12.75">
      <c r="A105" s="224">
        <v>104</v>
      </c>
      <c r="B105" s="224">
        <v>7266</v>
      </c>
      <c r="C105" s="191" t="s">
        <v>2712</v>
      </c>
      <c r="D105" s="191" t="s">
        <v>45</v>
      </c>
      <c r="E105" s="191" t="s">
        <v>2556</v>
      </c>
      <c r="F105" s="225">
        <v>45673.854861111111</v>
      </c>
      <c r="G105" s="191">
        <v>1</v>
      </c>
      <c r="H105" s="191" t="s">
        <v>2557</v>
      </c>
      <c r="I105" s="224">
        <v>43471</v>
      </c>
      <c r="J105" s="226" t="s">
        <v>2713</v>
      </c>
      <c r="K105" s="224">
        <v>1</v>
      </c>
      <c r="L105" s="224">
        <v>0</v>
      </c>
      <c r="M105" s="224">
        <v>0</v>
      </c>
      <c r="N105" s="224">
        <v>1</v>
      </c>
      <c r="O105" s="224">
        <f t="shared" si="0"/>
        <v>1</v>
      </c>
      <c r="P105" s="227">
        <f t="shared" si="1"/>
        <v>1</v>
      </c>
    </row>
    <row r="106" spans="1:16" ht="12.75">
      <c r="A106" s="224">
        <v>105</v>
      </c>
      <c r="B106" s="170">
        <v>7899</v>
      </c>
      <c r="C106" s="172" t="s">
        <v>2714</v>
      </c>
      <c r="D106" s="172" t="s">
        <v>45</v>
      </c>
      <c r="E106" s="172" t="s">
        <v>2572</v>
      </c>
      <c r="F106" s="228">
        <v>45673.865972222222</v>
      </c>
      <c r="G106" s="172">
        <v>1</v>
      </c>
      <c r="H106" s="172" t="s">
        <v>2557</v>
      </c>
      <c r="I106" s="170">
        <v>43495</v>
      </c>
      <c r="J106" s="229" t="s">
        <v>2715</v>
      </c>
      <c r="K106" s="170">
        <v>69.989999999999995</v>
      </c>
      <c r="L106" s="170">
        <v>0</v>
      </c>
      <c r="M106" s="170">
        <v>0</v>
      </c>
      <c r="N106" s="170">
        <v>1</v>
      </c>
      <c r="O106" s="170">
        <f t="shared" si="0"/>
        <v>69.989999999999995</v>
      </c>
      <c r="P106" s="230">
        <f t="shared" si="1"/>
        <v>69.989999999999995</v>
      </c>
    </row>
    <row r="107" spans="1:16" ht="12.75">
      <c r="A107" s="224">
        <v>106</v>
      </c>
      <c r="B107" s="224">
        <v>326</v>
      </c>
      <c r="C107" s="191" t="s">
        <v>2716</v>
      </c>
      <c r="D107" s="191" t="s">
        <v>45</v>
      </c>
      <c r="E107" s="191" t="s">
        <v>2556</v>
      </c>
      <c r="F107" s="225">
        <v>45673.883333333331</v>
      </c>
      <c r="G107" s="191">
        <v>1</v>
      </c>
      <c r="H107" s="191" t="s">
        <v>2557</v>
      </c>
      <c r="I107" s="224">
        <v>43483</v>
      </c>
      <c r="J107" s="226" t="s">
        <v>2717</v>
      </c>
      <c r="K107" s="224">
        <v>17.989999999999998</v>
      </c>
      <c r="L107" s="224">
        <v>0</v>
      </c>
      <c r="M107" s="224">
        <v>0</v>
      </c>
      <c r="N107" s="224">
        <v>1</v>
      </c>
      <c r="O107" s="224">
        <f t="shared" si="0"/>
        <v>17.989999999999998</v>
      </c>
      <c r="P107" s="227">
        <f t="shared" si="1"/>
        <v>17.989999999999998</v>
      </c>
    </row>
    <row r="108" spans="1:16" ht="12.75">
      <c r="A108" s="224">
        <v>107</v>
      </c>
      <c r="B108" s="224">
        <v>7901</v>
      </c>
      <c r="C108" s="191" t="s">
        <v>2718</v>
      </c>
      <c r="D108" s="191" t="s">
        <v>2582</v>
      </c>
      <c r="E108" s="191" t="s">
        <v>2556</v>
      </c>
      <c r="F108" s="225">
        <v>45673.931250000001</v>
      </c>
      <c r="G108" s="191">
        <v>1</v>
      </c>
      <c r="H108" s="191" t="s">
        <v>2557</v>
      </c>
      <c r="I108" s="224">
        <v>43507</v>
      </c>
      <c r="J108" s="226" t="s">
        <v>2719</v>
      </c>
      <c r="K108" s="224">
        <v>7.33</v>
      </c>
      <c r="L108" s="224">
        <v>0</v>
      </c>
      <c r="M108" s="224">
        <v>0</v>
      </c>
      <c r="N108" s="224">
        <v>7.33155</v>
      </c>
      <c r="O108" s="224">
        <f t="shared" si="0"/>
        <v>7.33</v>
      </c>
      <c r="P108" s="227">
        <f t="shared" si="1"/>
        <v>0.99978858495134049</v>
      </c>
    </row>
    <row r="109" spans="1:16" ht="12.75">
      <c r="A109" s="224">
        <v>108</v>
      </c>
      <c r="B109" s="224">
        <v>7729</v>
      </c>
      <c r="C109" s="191" t="s">
        <v>2720</v>
      </c>
      <c r="D109" s="191" t="s">
        <v>45</v>
      </c>
      <c r="E109" s="191" t="s">
        <v>2556</v>
      </c>
      <c r="F109" s="225">
        <v>45673.941666666666</v>
      </c>
      <c r="G109" s="191">
        <v>1</v>
      </c>
      <c r="H109" s="191" t="s">
        <v>2557</v>
      </c>
      <c r="I109" s="224">
        <v>43519</v>
      </c>
      <c r="J109" s="226" t="s">
        <v>2721</v>
      </c>
      <c r="K109" s="224">
        <v>20.25</v>
      </c>
      <c r="L109" s="224">
        <v>0</v>
      </c>
      <c r="M109" s="224">
        <v>0</v>
      </c>
      <c r="N109" s="224">
        <v>1</v>
      </c>
      <c r="O109" s="224">
        <f t="shared" si="0"/>
        <v>20.25</v>
      </c>
      <c r="P109" s="227">
        <f t="shared" si="1"/>
        <v>20.25</v>
      </c>
    </row>
    <row r="110" spans="1:16" ht="12.75">
      <c r="A110" s="224">
        <v>109</v>
      </c>
      <c r="B110" s="224">
        <v>3309</v>
      </c>
      <c r="C110" s="191" t="s">
        <v>2722</v>
      </c>
      <c r="D110" s="191" t="s">
        <v>45</v>
      </c>
      <c r="E110" s="191" t="s">
        <v>2556</v>
      </c>
      <c r="F110" s="225">
        <v>45673.959722222222</v>
      </c>
      <c r="G110" s="191">
        <v>1</v>
      </c>
      <c r="H110" s="191" t="s">
        <v>2557</v>
      </c>
      <c r="I110" s="224">
        <v>43531</v>
      </c>
      <c r="J110" s="226" t="s">
        <v>2723</v>
      </c>
      <c r="K110" s="224">
        <v>59.99</v>
      </c>
      <c r="L110" s="224">
        <v>0</v>
      </c>
      <c r="M110" s="224">
        <v>0</v>
      </c>
      <c r="N110" s="224">
        <v>1</v>
      </c>
      <c r="O110" s="224">
        <f t="shared" si="0"/>
        <v>59.99</v>
      </c>
      <c r="P110" s="227">
        <f t="shared" si="1"/>
        <v>59.99</v>
      </c>
    </row>
    <row r="111" spans="1:16" ht="12.75">
      <c r="A111" s="224">
        <v>110</v>
      </c>
      <c r="B111" s="224">
        <v>8127</v>
      </c>
      <c r="C111" s="191" t="s">
        <v>2724</v>
      </c>
      <c r="D111" s="191" t="s">
        <v>45</v>
      </c>
      <c r="E111" s="191" t="s">
        <v>2556</v>
      </c>
      <c r="F111" s="225">
        <v>45674</v>
      </c>
      <c r="G111" s="191">
        <v>1</v>
      </c>
      <c r="H111" s="191" t="s">
        <v>2557</v>
      </c>
      <c r="I111" s="224">
        <v>43735</v>
      </c>
      <c r="J111" s="226"/>
      <c r="K111" s="224">
        <v>0</v>
      </c>
      <c r="L111" s="224">
        <v>0</v>
      </c>
      <c r="M111" s="224">
        <v>0</v>
      </c>
      <c r="N111" s="224">
        <v>1</v>
      </c>
      <c r="O111" s="224">
        <f t="shared" si="0"/>
        <v>0</v>
      </c>
      <c r="P111" s="227">
        <f t="shared" si="1"/>
        <v>0</v>
      </c>
    </row>
    <row r="112" spans="1:16" ht="12.75">
      <c r="A112" s="224">
        <v>111</v>
      </c>
      <c r="B112" s="224">
        <v>7974</v>
      </c>
      <c r="C112" s="191" t="s">
        <v>2725</v>
      </c>
      <c r="D112" s="191" t="s">
        <v>45</v>
      </c>
      <c r="E112" s="191" t="s">
        <v>2556</v>
      </c>
      <c r="F112" s="225">
        <v>45674.161805555559</v>
      </c>
      <c r="G112" s="191">
        <v>1</v>
      </c>
      <c r="H112" s="191" t="s">
        <v>2557</v>
      </c>
      <c r="I112" s="224">
        <v>43567</v>
      </c>
      <c r="J112" s="226" t="s">
        <v>2726</v>
      </c>
      <c r="K112" s="224">
        <v>20.25</v>
      </c>
      <c r="L112" s="224">
        <v>0</v>
      </c>
      <c r="M112" s="224">
        <v>0</v>
      </c>
      <c r="N112" s="224">
        <v>1</v>
      </c>
      <c r="O112" s="224">
        <f t="shared" si="0"/>
        <v>20.25</v>
      </c>
      <c r="P112" s="227">
        <f t="shared" si="1"/>
        <v>20.25</v>
      </c>
    </row>
    <row r="113" spans="1:16" ht="12.75">
      <c r="A113" s="224">
        <v>112</v>
      </c>
      <c r="B113" s="224">
        <v>8063</v>
      </c>
      <c r="C113" s="191" t="s">
        <v>2727</v>
      </c>
      <c r="D113" s="191" t="s">
        <v>45</v>
      </c>
      <c r="E113" s="191" t="s">
        <v>2556</v>
      </c>
      <c r="F113" s="225">
        <v>45674.459027777775</v>
      </c>
      <c r="G113" s="191">
        <v>1</v>
      </c>
      <c r="H113" s="191" t="s">
        <v>2557</v>
      </c>
      <c r="I113" s="224">
        <v>43639</v>
      </c>
      <c r="J113" s="226" t="s">
        <v>2728</v>
      </c>
      <c r="K113" s="224">
        <v>47.99</v>
      </c>
      <c r="L113" s="224">
        <v>0</v>
      </c>
      <c r="M113" s="224">
        <v>0</v>
      </c>
      <c r="N113" s="224">
        <v>1</v>
      </c>
      <c r="O113" s="224">
        <f t="shared" si="0"/>
        <v>47.99</v>
      </c>
      <c r="P113" s="227">
        <f t="shared" si="1"/>
        <v>47.99</v>
      </c>
    </row>
    <row r="114" spans="1:16" ht="12.75">
      <c r="A114" s="224">
        <v>113</v>
      </c>
      <c r="B114" s="224">
        <v>8073</v>
      </c>
      <c r="C114" s="191" t="s">
        <v>2729</v>
      </c>
      <c r="D114" s="191" t="s">
        <v>45</v>
      </c>
      <c r="E114" s="191" t="s">
        <v>9</v>
      </c>
      <c r="F114" s="225">
        <v>45674.558333333334</v>
      </c>
      <c r="G114" s="191">
        <v>1</v>
      </c>
      <c r="H114" s="191" t="s">
        <v>2557</v>
      </c>
      <c r="I114" s="224">
        <v>43651</v>
      </c>
      <c r="J114" s="226" t="s">
        <v>309</v>
      </c>
      <c r="K114" s="224">
        <v>8.39</v>
      </c>
      <c r="L114" s="224">
        <v>0.91</v>
      </c>
      <c r="M114" s="224">
        <v>0</v>
      </c>
      <c r="N114" s="224">
        <v>1</v>
      </c>
      <c r="O114" s="224">
        <f t="shared" si="0"/>
        <v>7.48</v>
      </c>
      <c r="P114" s="227">
        <f t="shared" si="1"/>
        <v>7.48</v>
      </c>
    </row>
    <row r="115" spans="1:16" ht="12.75">
      <c r="A115" s="224">
        <v>114</v>
      </c>
      <c r="B115" s="224">
        <v>8052</v>
      </c>
      <c r="C115" s="191" t="s">
        <v>2730</v>
      </c>
      <c r="D115" s="191" t="s">
        <v>2582</v>
      </c>
      <c r="E115" s="191" t="s">
        <v>2556</v>
      </c>
      <c r="F115" s="225">
        <v>45674.59375</v>
      </c>
      <c r="G115" s="191">
        <v>1</v>
      </c>
      <c r="H115" s="191" t="s">
        <v>2557</v>
      </c>
      <c r="I115" s="224">
        <v>43663</v>
      </c>
      <c r="J115" s="226" t="s">
        <v>2731</v>
      </c>
      <c r="K115" s="224">
        <v>14.59</v>
      </c>
      <c r="L115" s="224">
        <v>0</v>
      </c>
      <c r="M115" s="224">
        <v>0</v>
      </c>
      <c r="N115" s="224">
        <v>7.3316800000000004</v>
      </c>
      <c r="O115" s="224">
        <f t="shared" si="0"/>
        <v>14.59</v>
      </c>
      <c r="P115" s="227">
        <f t="shared" si="1"/>
        <v>1.9899941077624772</v>
      </c>
    </row>
    <row r="116" spans="1:16" ht="12.75">
      <c r="A116" s="224">
        <v>115</v>
      </c>
      <c r="B116" s="224">
        <v>8052</v>
      </c>
      <c r="C116" s="191" t="s">
        <v>2730</v>
      </c>
      <c r="D116" s="191" t="s">
        <v>2582</v>
      </c>
      <c r="E116" s="191" t="s">
        <v>2556</v>
      </c>
      <c r="F116" s="225">
        <v>45674.595833333333</v>
      </c>
      <c r="G116" s="191">
        <v>1</v>
      </c>
      <c r="H116" s="191" t="s">
        <v>2557</v>
      </c>
      <c r="I116" s="224">
        <v>43663</v>
      </c>
      <c r="J116" s="226"/>
      <c r="K116" s="224">
        <v>0.01</v>
      </c>
      <c r="L116" s="224">
        <v>0</v>
      </c>
      <c r="M116" s="224">
        <v>0</v>
      </c>
      <c r="N116" s="224">
        <v>7.3316800000000004</v>
      </c>
      <c r="O116" s="224">
        <f t="shared" si="0"/>
        <v>0.01</v>
      </c>
      <c r="P116" s="227">
        <f t="shared" si="1"/>
        <v>1.3639438709818212E-3</v>
      </c>
    </row>
    <row r="117" spans="1:16" ht="12.75">
      <c r="A117" s="224">
        <v>116</v>
      </c>
      <c r="B117" s="224">
        <v>326</v>
      </c>
      <c r="C117" s="191" t="s">
        <v>2716</v>
      </c>
      <c r="D117" s="191" t="s">
        <v>45</v>
      </c>
      <c r="E117" s="191" t="s">
        <v>2556</v>
      </c>
      <c r="F117" s="225">
        <v>45674.896527777775</v>
      </c>
      <c r="G117" s="191">
        <v>1</v>
      </c>
      <c r="H117" s="191" t="s">
        <v>2732</v>
      </c>
      <c r="I117" s="224">
        <v>43483</v>
      </c>
      <c r="J117" s="226"/>
      <c r="K117" s="224">
        <v>0</v>
      </c>
      <c r="L117" s="224">
        <v>0</v>
      </c>
      <c r="M117" s="224">
        <v>17.989999999999998</v>
      </c>
      <c r="N117" s="224">
        <v>1</v>
      </c>
      <c r="O117" s="224">
        <f t="shared" si="0"/>
        <v>-17.989999999999998</v>
      </c>
      <c r="P117" s="227">
        <f t="shared" si="1"/>
        <v>-17.989999999999998</v>
      </c>
    </row>
    <row r="118" spans="1:16" ht="12.75">
      <c r="A118" s="224">
        <v>117</v>
      </c>
      <c r="B118" s="224">
        <v>7274</v>
      </c>
      <c r="C118" s="191" t="s">
        <v>2733</v>
      </c>
      <c r="D118" s="191" t="s">
        <v>45</v>
      </c>
      <c r="E118" s="191" t="s">
        <v>2556</v>
      </c>
      <c r="F118" s="225">
        <v>45674.977083333331</v>
      </c>
      <c r="G118" s="191">
        <v>1</v>
      </c>
      <c r="H118" s="191" t="s">
        <v>2557</v>
      </c>
      <c r="I118" s="224">
        <v>43747</v>
      </c>
      <c r="J118" s="226" t="s">
        <v>2734</v>
      </c>
      <c r="K118" s="224">
        <v>20.25</v>
      </c>
      <c r="L118" s="224">
        <v>0</v>
      </c>
      <c r="M118" s="224">
        <v>0</v>
      </c>
      <c r="N118" s="224">
        <v>1</v>
      </c>
      <c r="O118" s="224">
        <f t="shared" si="0"/>
        <v>20.25</v>
      </c>
      <c r="P118" s="227">
        <f t="shared" si="1"/>
        <v>20.25</v>
      </c>
    </row>
    <row r="119" spans="1:16" ht="12.75">
      <c r="A119" s="224">
        <v>118</v>
      </c>
      <c r="B119" s="224">
        <v>7664</v>
      </c>
      <c r="C119" s="191" t="s">
        <v>2698</v>
      </c>
      <c r="D119" s="191" t="s">
        <v>45</v>
      </c>
      <c r="E119" s="191" t="s">
        <v>2556</v>
      </c>
      <c r="F119" s="225">
        <v>45674.993055555555</v>
      </c>
      <c r="G119" s="191">
        <v>1</v>
      </c>
      <c r="H119" s="191" t="s">
        <v>2557</v>
      </c>
      <c r="I119" s="224">
        <v>43771</v>
      </c>
      <c r="J119" s="226" t="s">
        <v>2735</v>
      </c>
      <c r="K119" s="224">
        <v>20.25</v>
      </c>
      <c r="L119" s="224">
        <v>0</v>
      </c>
      <c r="M119" s="224">
        <v>0</v>
      </c>
      <c r="N119" s="224">
        <v>1</v>
      </c>
      <c r="O119" s="224">
        <f t="shared" si="0"/>
        <v>20.25</v>
      </c>
      <c r="P119" s="227">
        <f t="shared" si="1"/>
        <v>20.25</v>
      </c>
    </row>
    <row r="120" spans="1:16" ht="12.75">
      <c r="A120" s="224">
        <v>119</v>
      </c>
      <c r="B120" s="224">
        <v>8145</v>
      </c>
      <c r="C120" s="191" t="s">
        <v>2736</v>
      </c>
      <c r="D120" s="191" t="s">
        <v>45</v>
      </c>
      <c r="E120" s="191" t="s">
        <v>2556</v>
      </c>
      <c r="F120" s="225">
        <v>45675.006944444445</v>
      </c>
      <c r="G120" s="191">
        <v>1</v>
      </c>
      <c r="H120" s="191" t="s">
        <v>2557</v>
      </c>
      <c r="I120" s="224">
        <v>43783</v>
      </c>
      <c r="J120" s="226" t="s">
        <v>2737</v>
      </c>
      <c r="K120" s="224">
        <v>20.25</v>
      </c>
      <c r="L120" s="224">
        <v>0</v>
      </c>
      <c r="M120" s="224">
        <v>0</v>
      </c>
      <c r="N120" s="224">
        <v>1</v>
      </c>
      <c r="O120" s="224">
        <f t="shared" si="0"/>
        <v>20.25</v>
      </c>
      <c r="P120" s="227">
        <f t="shared" si="1"/>
        <v>20.25</v>
      </c>
    </row>
    <row r="121" spans="1:16" ht="12.75">
      <c r="A121" s="224">
        <v>120</v>
      </c>
      <c r="B121" s="224">
        <v>8174</v>
      </c>
      <c r="C121" s="191" t="s">
        <v>2738</v>
      </c>
      <c r="D121" s="191" t="s">
        <v>45</v>
      </c>
      <c r="E121" s="191" t="s">
        <v>9</v>
      </c>
      <c r="F121" s="225">
        <v>45675.079861111109</v>
      </c>
      <c r="G121" s="191">
        <v>1</v>
      </c>
      <c r="H121" s="191" t="s">
        <v>2557</v>
      </c>
      <c r="I121" s="224">
        <v>43807</v>
      </c>
      <c r="J121" s="226" t="s">
        <v>311</v>
      </c>
      <c r="K121" s="224">
        <v>20.25</v>
      </c>
      <c r="L121" s="224">
        <v>1.5</v>
      </c>
      <c r="M121" s="224">
        <v>0</v>
      </c>
      <c r="N121" s="224">
        <v>1</v>
      </c>
      <c r="O121" s="224">
        <f t="shared" si="0"/>
        <v>18.75</v>
      </c>
      <c r="P121" s="227">
        <f t="shared" si="1"/>
        <v>18.75</v>
      </c>
    </row>
    <row r="122" spans="1:16" ht="12.75">
      <c r="A122" s="224">
        <v>121</v>
      </c>
      <c r="B122" s="224">
        <v>8202</v>
      </c>
      <c r="C122" s="191" t="s">
        <v>2739</v>
      </c>
      <c r="D122" s="191" t="s">
        <v>45</v>
      </c>
      <c r="E122" s="191" t="s">
        <v>9</v>
      </c>
      <c r="F122" s="225">
        <v>45675.158333333333</v>
      </c>
      <c r="G122" s="191">
        <v>1</v>
      </c>
      <c r="H122" s="191" t="s">
        <v>2557</v>
      </c>
      <c r="I122" s="224">
        <v>43855</v>
      </c>
      <c r="J122" s="226" t="s">
        <v>313</v>
      </c>
      <c r="K122" s="224">
        <v>8.39</v>
      </c>
      <c r="L122" s="224">
        <v>0.91</v>
      </c>
      <c r="M122" s="224">
        <v>0</v>
      </c>
      <c r="N122" s="224">
        <v>1</v>
      </c>
      <c r="O122" s="224">
        <f t="shared" si="0"/>
        <v>7.48</v>
      </c>
      <c r="P122" s="227">
        <f t="shared" si="1"/>
        <v>7.48</v>
      </c>
    </row>
    <row r="123" spans="1:16" ht="12.75">
      <c r="A123" s="224">
        <v>122</v>
      </c>
      <c r="B123" s="224">
        <v>8106</v>
      </c>
      <c r="C123" s="191" t="s">
        <v>2740</v>
      </c>
      <c r="D123" s="191" t="s">
        <v>45</v>
      </c>
      <c r="E123" s="191" t="s">
        <v>2556</v>
      </c>
      <c r="F123" s="225">
        <v>45675.397222222222</v>
      </c>
      <c r="G123" s="191">
        <v>1</v>
      </c>
      <c r="H123" s="191" t="s">
        <v>2557</v>
      </c>
      <c r="I123" s="224">
        <v>43723</v>
      </c>
      <c r="J123" s="226" t="s">
        <v>2741</v>
      </c>
      <c r="K123" s="224">
        <v>20.25</v>
      </c>
      <c r="L123" s="224">
        <v>0</v>
      </c>
      <c r="M123" s="224">
        <v>0</v>
      </c>
      <c r="N123" s="224">
        <v>1</v>
      </c>
      <c r="O123" s="224">
        <f t="shared" si="0"/>
        <v>20.25</v>
      </c>
      <c r="P123" s="227">
        <f t="shared" si="1"/>
        <v>20.25</v>
      </c>
    </row>
    <row r="124" spans="1:16" ht="12.75">
      <c r="A124" s="224">
        <v>123</v>
      </c>
      <c r="B124" s="224">
        <v>8276</v>
      </c>
      <c r="C124" s="191" t="s">
        <v>2742</v>
      </c>
      <c r="D124" s="191" t="s">
        <v>45</v>
      </c>
      <c r="E124" s="191" t="s">
        <v>2556</v>
      </c>
      <c r="F124" s="225">
        <v>45675.606944444444</v>
      </c>
      <c r="G124" s="191">
        <v>1</v>
      </c>
      <c r="H124" s="191" t="s">
        <v>2557</v>
      </c>
      <c r="I124" s="224">
        <v>43999</v>
      </c>
      <c r="J124" s="226" t="s">
        <v>2743</v>
      </c>
      <c r="K124" s="224">
        <v>20.25</v>
      </c>
      <c r="L124" s="224">
        <v>0</v>
      </c>
      <c r="M124" s="224">
        <v>0</v>
      </c>
      <c r="N124" s="224">
        <v>1</v>
      </c>
      <c r="O124" s="224">
        <f t="shared" si="0"/>
        <v>20.25</v>
      </c>
      <c r="P124" s="227">
        <f t="shared" si="1"/>
        <v>20.25</v>
      </c>
    </row>
    <row r="125" spans="1:16" ht="12.75">
      <c r="A125" s="224">
        <v>124</v>
      </c>
      <c r="B125" s="224">
        <v>8276</v>
      </c>
      <c r="C125" s="191" t="s">
        <v>2742</v>
      </c>
      <c r="D125" s="191" t="s">
        <v>45</v>
      </c>
      <c r="E125" s="191" t="s">
        <v>2556</v>
      </c>
      <c r="F125" s="225">
        <v>45675.690972222219</v>
      </c>
      <c r="G125" s="191">
        <v>1</v>
      </c>
      <c r="H125" s="191" t="s">
        <v>2557</v>
      </c>
      <c r="I125" s="224">
        <v>44047</v>
      </c>
      <c r="J125" s="226" t="s">
        <v>2744</v>
      </c>
      <c r="K125" s="224">
        <v>20.25</v>
      </c>
      <c r="L125" s="224">
        <v>0</v>
      </c>
      <c r="M125" s="224">
        <v>0</v>
      </c>
      <c r="N125" s="224">
        <v>1</v>
      </c>
      <c r="O125" s="224">
        <f t="shared" si="0"/>
        <v>20.25</v>
      </c>
      <c r="P125" s="227">
        <f t="shared" si="1"/>
        <v>20.25</v>
      </c>
    </row>
    <row r="126" spans="1:16" ht="12.75">
      <c r="A126" s="224">
        <v>125</v>
      </c>
      <c r="B126" s="224">
        <v>8285</v>
      </c>
      <c r="C126" s="191" t="s">
        <v>2745</v>
      </c>
      <c r="D126" s="191" t="s">
        <v>45</v>
      </c>
      <c r="E126" s="191" t="s">
        <v>2556</v>
      </c>
      <c r="F126" s="225">
        <v>45675.704861111109</v>
      </c>
      <c r="G126" s="191">
        <v>1</v>
      </c>
      <c r="H126" s="191" t="s">
        <v>2557</v>
      </c>
      <c r="I126" s="224">
        <v>44095</v>
      </c>
      <c r="J126" s="226" t="s">
        <v>2746</v>
      </c>
      <c r="K126" s="224">
        <v>20.25</v>
      </c>
      <c r="L126" s="224">
        <v>0</v>
      </c>
      <c r="M126" s="224">
        <v>0</v>
      </c>
      <c r="N126" s="224">
        <v>1</v>
      </c>
      <c r="O126" s="224">
        <f t="shared" si="0"/>
        <v>20.25</v>
      </c>
      <c r="P126" s="227">
        <f t="shared" si="1"/>
        <v>20.25</v>
      </c>
    </row>
    <row r="127" spans="1:16" ht="12.75">
      <c r="A127" s="224">
        <v>126</v>
      </c>
      <c r="B127" s="224">
        <v>90</v>
      </c>
      <c r="C127" s="191" t="s">
        <v>2575</v>
      </c>
      <c r="D127" s="191" t="s">
        <v>2582</v>
      </c>
      <c r="E127" s="191" t="s">
        <v>2556</v>
      </c>
      <c r="F127" s="225">
        <v>45675.763888888891</v>
      </c>
      <c r="G127" s="191">
        <v>1</v>
      </c>
      <c r="H127" s="191" t="s">
        <v>2557</v>
      </c>
      <c r="I127" s="224">
        <v>44131</v>
      </c>
      <c r="J127" s="226" t="s">
        <v>2747</v>
      </c>
      <c r="K127" s="224">
        <v>14.66</v>
      </c>
      <c r="L127" s="224">
        <v>0</v>
      </c>
      <c r="M127" s="224">
        <v>0</v>
      </c>
      <c r="N127" s="224">
        <v>7.3289999999999997</v>
      </c>
      <c r="O127" s="224">
        <f t="shared" si="0"/>
        <v>14.66</v>
      </c>
      <c r="P127" s="227">
        <f t="shared" si="1"/>
        <v>2.0002728885250378</v>
      </c>
    </row>
    <row r="128" spans="1:16" ht="12.75">
      <c r="A128" s="224">
        <v>127</v>
      </c>
      <c r="B128" s="224">
        <v>8174</v>
      </c>
      <c r="C128" s="191" t="s">
        <v>2738</v>
      </c>
      <c r="D128" s="191" t="s">
        <v>45</v>
      </c>
      <c r="E128" s="191" t="s">
        <v>9</v>
      </c>
      <c r="F128" s="225">
        <v>45675.805555555555</v>
      </c>
      <c r="G128" s="191">
        <v>1</v>
      </c>
      <c r="H128" s="191" t="s">
        <v>2748</v>
      </c>
      <c r="I128" s="224">
        <v>43807</v>
      </c>
      <c r="J128" s="226" t="s">
        <v>314</v>
      </c>
      <c r="K128" s="224">
        <v>0</v>
      </c>
      <c r="L128" s="224">
        <v>-1.5</v>
      </c>
      <c r="M128" s="224">
        <v>20.25</v>
      </c>
      <c r="N128" s="224">
        <v>1</v>
      </c>
      <c r="O128" s="224">
        <f t="shared" si="0"/>
        <v>-18.75</v>
      </c>
      <c r="P128" s="227">
        <f t="shared" si="1"/>
        <v>-18.75</v>
      </c>
    </row>
    <row r="129" spans="1:16" ht="12.75">
      <c r="A129" s="224">
        <v>128</v>
      </c>
      <c r="B129" s="224">
        <v>347</v>
      </c>
      <c r="C129" s="191" t="s">
        <v>2749</v>
      </c>
      <c r="D129" s="191" t="s">
        <v>2582</v>
      </c>
      <c r="E129" s="191" t="s">
        <v>2556</v>
      </c>
      <c r="F129" s="225">
        <v>45675.830555555556</v>
      </c>
      <c r="G129" s="191">
        <v>1</v>
      </c>
      <c r="H129" s="191" t="s">
        <v>2557</v>
      </c>
      <c r="I129" s="224">
        <v>44143</v>
      </c>
      <c r="J129" s="226" t="s">
        <v>2750</v>
      </c>
      <c r="K129" s="224">
        <v>14.58</v>
      </c>
      <c r="L129" s="224">
        <v>0</v>
      </c>
      <c r="M129" s="224">
        <v>0</v>
      </c>
      <c r="N129" s="224">
        <v>7.3289999999999997</v>
      </c>
      <c r="O129" s="224">
        <f t="shared" si="0"/>
        <v>14.58</v>
      </c>
      <c r="P129" s="227">
        <f t="shared" si="1"/>
        <v>1.9893573475235367</v>
      </c>
    </row>
    <row r="130" spans="1:16" ht="12.75">
      <c r="A130" s="224">
        <v>129</v>
      </c>
      <c r="B130" s="224">
        <v>254</v>
      </c>
      <c r="C130" s="191" t="s">
        <v>2751</v>
      </c>
      <c r="D130" s="191" t="s">
        <v>2582</v>
      </c>
      <c r="E130" s="191" t="s">
        <v>2556</v>
      </c>
      <c r="F130" s="225">
        <v>45676.569444444445</v>
      </c>
      <c r="G130" s="191">
        <v>1</v>
      </c>
      <c r="H130" s="191" t="s">
        <v>2557</v>
      </c>
      <c r="I130" s="224">
        <v>41515</v>
      </c>
      <c r="J130" s="226" t="s">
        <v>2752</v>
      </c>
      <c r="K130" s="224">
        <v>7.7</v>
      </c>
      <c r="L130" s="224">
        <v>0</v>
      </c>
      <c r="M130" s="224">
        <v>0</v>
      </c>
      <c r="N130" s="224">
        <v>7.3289999999999997</v>
      </c>
      <c r="O130" s="224">
        <f t="shared" si="0"/>
        <v>7.7</v>
      </c>
      <c r="P130" s="227">
        <f t="shared" si="1"/>
        <v>1.0506208213944603</v>
      </c>
    </row>
    <row r="131" spans="1:16" ht="12.75">
      <c r="A131" s="224">
        <v>130</v>
      </c>
      <c r="B131" s="224">
        <v>1630</v>
      </c>
      <c r="C131" s="191" t="s">
        <v>2753</v>
      </c>
      <c r="D131" s="191" t="s">
        <v>45</v>
      </c>
      <c r="E131" s="191" t="s">
        <v>2556</v>
      </c>
      <c r="F131" s="225">
        <v>45676.754166666666</v>
      </c>
      <c r="G131" s="191">
        <v>1</v>
      </c>
      <c r="H131" s="191" t="s">
        <v>2557</v>
      </c>
      <c r="I131" s="224">
        <v>44347</v>
      </c>
      <c r="J131" s="226" t="s">
        <v>2754</v>
      </c>
      <c r="K131" s="224">
        <v>5.99</v>
      </c>
      <c r="L131" s="224">
        <v>0</v>
      </c>
      <c r="M131" s="224">
        <v>0</v>
      </c>
      <c r="N131" s="224">
        <v>1</v>
      </c>
      <c r="O131" s="224">
        <f t="shared" si="0"/>
        <v>5.99</v>
      </c>
      <c r="P131" s="227">
        <f t="shared" si="1"/>
        <v>5.99</v>
      </c>
    </row>
    <row r="132" spans="1:16" ht="12.75">
      <c r="A132" s="224">
        <v>131</v>
      </c>
      <c r="B132" s="224">
        <v>8408</v>
      </c>
      <c r="C132" s="191" t="s">
        <v>2755</v>
      </c>
      <c r="D132" s="191" t="s">
        <v>45</v>
      </c>
      <c r="E132" s="191" t="s">
        <v>2556</v>
      </c>
      <c r="F132" s="225">
        <v>45677.043749999997</v>
      </c>
      <c r="G132" s="191">
        <v>1</v>
      </c>
      <c r="H132" s="191" t="s">
        <v>2557</v>
      </c>
      <c r="I132" s="224">
        <v>44383</v>
      </c>
      <c r="J132" s="226" t="s">
        <v>2756</v>
      </c>
      <c r="K132" s="224">
        <v>20.25</v>
      </c>
      <c r="L132" s="224">
        <v>0</v>
      </c>
      <c r="M132" s="224">
        <v>0</v>
      </c>
      <c r="N132" s="224">
        <v>1</v>
      </c>
      <c r="O132" s="224">
        <f t="shared" si="0"/>
        <v>20.25</v>
      </c>
      <c r="P132" s="227">
        <f t="shared" si="1"/>
        <v>20.25</v>
      </c>
    </row>
    <row r="133" spans="1:16" ht="12.75">
      <c r="A133" s="224">
        <v>132</v>
      </c>
      <c r="B133" s="224">
        <v>1836</v>
      </c>
      <c r="C133" s="191" t="s">
        <v>2598</v>
      </c>
      <c r="D133" s="191" t="s">
        <v>2582</v>
      </c>
      <c r="E133" s="191" t="s">
        <v>2556</v>
      </c>
      <c r="F133" s="225">
        <v>45677.813888888886</v>
      </c>
      <c r="G133" s="191">
        <v>1</v>
      </c>
      <c r="H133" s="191" t="s">
        <v>2557</v>
      </c>
      <c r="I133" s="224">
        <v>42691</v>
      </c>
      <c r="J133" s="226" t="s">
        <v>2757</v>
      </c>
      <c r="K133" s="224">
        <v>87.51</v>
      </c>
      <c r="L133" s="224">
        <v>0</v>
      </c>
      <c r="M133" s="224">
        <v>0</v>
      </c>
      <c r="N133" s="224">
        <v>7.3289999999999997</v>
      </c>
      <c r="O133" s="224">
        <f t="shared" si="0"/>
        <v>87.51</v>
      </c>
      <c r="P133" s="227">
        <f t="shared" si="1"/>
        <v>11.940237413016783</v>
      </c>
    </row>
    <row r="134" spans="1:16" ht="12.75">
      <c r="A134" s="224">
        <v>133</v>
      </c>
      <c r="B134" s="224">
        <v>1836</v>
      </c>
      <c r="C134" s="191" t="s">
        <v>2598</v>
      </c>
      <c r="D134" s="191" t="s">
        <v>2582</v>
      </c>
      <c r="E134" s="191" t="s">
        <v>2556</v>
      </c>
      <c r="F134" s="225">
        <v>45677.814583333333</v>
      </c>
      <c r="G134" s="191">
        <v>1</v>
      </c>
      <c r="H134" s="191" t="s">
        <v>2557</v>
      </c>
      <c r="I134" s="224">
        <v>43591</v>
      </c>
      <c r="J134" s="226" t="s">
        <v>2758</v>
      </c>
      <c r="K134" s="224">
        <v>87.51</v>
      </c>
      <c r="L134" s="224">
        <v>0</v>
      </c>
      <c r="M134" s="224">
        <v>0</v>
      </c>
      <c r="N134" s="224">
        <v>7.3289999999999997</v>
      </c>
      <c r="O134" s="224">
        <f t="shared" si="0"/>
        <v>87.51</v>
      </c>
      <c r="P134" s="227">
        <f t="shared" si="1"/>
        <v>11.940237413016783</v>
      </c>
    </row>
    <row r="135" spans="1:16" ht="12.75">
      <c r="A135" s="224">
        <v>134</v>
      </c>
      <c r="B135" s="224">
        <v>1836</v>
      </c>
      <c r="C135" s="191" t="s">
        <v>2598</v>
      </c>
      <c r="D135" s="191" t="s">
        <v>2582</v>
      </c>
      <c r="E135" s="191" t="s">
        <v>2556</v>
      </c>
      <c r="F135" s="225">
        <v>45677.824305555558</v>
      </c>
      <c r="G135" s="191">
        <v>1</v>
      </c>
      <c r="H135" s="191" t="s">
        <v>2557</v>
      </c>
      <c r="I135" s="224">
        <v>43591</v>
      </c>
      <c r="J135" s="226"/>
      <c r="K135" s="224">
        <v>0.01</v>
      </c>
      <c r="L135" s="224">
        <v>0</v>
      </c>
      <c r="M135" s="224">
        <v>0</v>
      </c>
      <c r="N135" s="224">
        <v>7.3289999999999997</v>
      </c>
      <c r="O135" s="224">
        <f t="shared" si="0"/>
        <v>0.01</v>
      </c>
      <c r="P135" s="227">
        <f t="shared" si="1"/>
        <v>1.3644426251876109E-3</v>
      </c>
    </row>
    <row r="136" spans="1:16" ht="12.75">
      <c r="A136" s="224">
        <v>135</v>
      </c>
      <c r="B136" s="224">
        <v>8541</v>
      </c>
      <c r="C136" s="191" t="s">
        <v>2759</v>
      </c>
      <c r="D136" s="191" t="s">
        <v>45</v>
      </c>
      <c r="E136" s="191" t="s">
        <v>9</v>
      </c>
      <c r="F136" s="225">
        <v>45678.03125</v>
      </c>
      <c r="G136" s="191">
        <v>1</v>
      </c>
      <c r="H136" s="191" t="s">
        <v>2557</v>
      </c>
      <c r="I136" s="224">
        <v>44503</v>
      </c>
      <c r="J136" s="226" t="s">
        <v>316</v>
      </c>
      <c r="K136" s="224">
        <v>20.25</v>
      </c>
      <c r="L136" s="224">
        <v>1.5</v>
      </c>
      <c r="M136" s="224">
        <v>0</v>
      </c>
      <c r="N136" s="224">
        <v>1</v>
      </c>
      <c r="O136" s="224">
        <f t="shared" si="0"/>
        <v>18.75</v>
      </c>
      <c r="P136" s="227">
        <f t="shared" si="1"/>
        <v>18.75</v>
      </c>
    </row>
    <row r="137" spans="1:16" ht="12.75">
      <c r="A137" s="224">
        <v>136</v>
      </c>
      <c r="B137" s="224">
        <v>8646</v>
      </c>
      <c r="C137" s="191" t="s">
        <v>2760</v>
      </c>
      <c r="D137" s="191" t="s">
        <v>45</v>
      </c>
      <c r="E137" s="191" t="s">
        <v>2556</v>
      </c>
      <c r="F137" s="225">
        <v>45678.376388888886</v>
      </c>
      <c r="G137" s="191">
        <v>1</v>
      </c>
      <c r="H137" s="191" t="s">
        <v>2557</v>
      </c>
      <c r="I137" s="224">
        <v>44563</v>
      </c>
      <c r="J137" s="226" t="s">
        <v>2761</v>
      </c>
      <c r="K137" s="224">
        <v>8.39</v>
      </c>
      <c r="L137" s="224">
        <v>0</v>
      </c>
      <c r="M137" s="224">
        <v>0</v>
      </c>
      <c r="N137" s="224">
        <v>1</v>
      </c>
      <c r="O137" s="224">
        <f t="shared" si="0"/>
        <v>8.39</v>
      </c>
      <c r="P137" s="227">
        <f t="shared" si="1"/>
        <v>8.39</v>
      </c>
    </row>
    <row r="138" spans="1:16" ht="12.75">
      <c r="A138" s="224">
        <v>137</v>
      </c>
      <c r="B138" s="224">
        <v>3229</v>
      </c>
      <c r="C138" s="191" t="s">
        <v>2762</v>
      </c>
      <c r="D138" s="191" t="s">
        <v>45</v>
      </c>
      <c r="E138" s="191" t="s">
        <v>2556</v>
      </c>
      <c r="F138" s="225">
        <v>45678.462500000001</v>
      </c>
      <c r="G138" s="191">
        <v>1</v>
      </c>
      <c r="H138" s="191" t="s">
        <v>2557</v>
      </c>
      <c r="I138" s="224">
        <v>41851</v>
      </c>
      <c r="J138" s="226" t="s">
        <v>2763</v>
      </c>
      <c r="K138" s="224">
        <v>1.99</v>
      </c>
      <c r="L138" s="224">
        <v>0</v>
      </c>
      <c r="M138" s="224">
        <v>0</v>
      </c>
      <c r="N138" s="224">
        <v>1</v>
      </c>
      <c r="O138" s="224">
        <f t="shared" si="0"/>
        <v>1.99</v>
      </c>
      <c r="P138" s="227">
        <f t="shared" si="1"/>
        <v>1.99</v>
      </c>
    </row>
    <row r="139" spans="1:16" ht="12.75">
      <c r="A139" s="224">
        <v>138</v>
      </c>
      <c r="B139" s="224">
        <v>1836</v>
      </c>
      <c r="C139" s="191" t="s">
        <v>2598</v>
      </c>
      <c r="D139" s="191" t="s">
        <v>2582</v>
      </c>
      <c r="E139" s="191" t="s">
        <v>2556</v>
      </c>
      <c r="F139" s="225">
        <v>45678.512499999997</v>
      </c>
      <c r="G139" s="191">
        <v>1</v>
      </c>
      <c r="H139" s="191" t="s">
        <v>2557</v>
      </c>
      <c r="I139" s="224">
        <v>44539</v>
      </c>
      <c r="J139" s="226" t="s">
        <v>2764</v>
      </c>
      <c r="K139" s="224">
        <v>87.74</v>
      </c>
      <c r="L139" s="224">
        <v>0</v>
      </c>
      <c r="M139" s="224">
        <v>0</v>
      </c>
      <c r="N139" s="224">
        <v>7.3120399999999997</v>
      </c>
      <c r="O139" s="224">
        <f t="shared" si="0"/>
        <v>87.74</v>
      </c>
      <c r="P139" s="227">
        <f t="shared" si="1"/>
        <v>11.999387311885602</v>
      </c>
    </row>
    <row r="140" spans="1:16" ht="12.75">
      <c r="A140" s="224">
        <v>139</v>
      </c>
      <c r="B140" s="224">
        <v>6732</v>
      </c>
      <c r="C140" s="191" t="s">
        <v>2608</v>
      </c>
      <c r="D140" s="191" t="s">
        <v>45</v>
      </c>
      <c r="E140" s="191" t="s">
        <v>2556</v>
      </c>
      <c r="F140" s="225">
        <v>45678.581944444442</v>
      </c>
      <c r="G140" s="191">
        <v>1</v>
      </c>
      <c r="H140" s="191" t="s">
        <v>2557</v>
      </c>
      <c r="I140" s="224">
        <v>44611</v>
      </c>
      <c r="J140" s="226" t="s">
        <v>2765</v>
      </c>
      <c r="K140" s="224">
        <v>1.99</v>
      </c>
      <c r="L140" s="224">
        <v>0</v>
      </c>
      <c r="M140" s="224">
        <v>0</v>
      </c>
      <c r="N140" s="224">
        <v>1</v>
      </c>
      <c r="O140" s="224">
        <f t="shared" si="0"/>
        <v>1.99</v>
      </c>
      <c r="P140" s="227">
        <f t="shared" si="1"/>
        <v>1.99</v>
      </c>
    </row>
    <row r="141" spans="1:16" ht="12.75">
      <c r="A141" s="224">
        <v>140</v>
      </c>
      <c r="B141" s="224">
        <v>8689</v>
      </c>
      <c r="C141" s="191" t="s">
        <v>2598</v>
      </c>
      <c r="D141" s="191" t="s">
        <v>2582</v>
      </c>
      <c r="E141" s="191" t="s">
        <v>2556</v>
      </c>
      <c r="F141" s="225">
        <v>45678.65347222222</v>
      </c>
      <c r="G141" s="191">
        <v>1</v>
      </c>
      <c r="H141" s="191" t="s">
        <v>2557</v>
      </c>
      <c r="I141" s="224">
        <v>44623</v>
      </c>
      <c r="J141" s="226" t="s">
        <v>2766</v>
      </c>
      <c r="K141" s="224">
        <v>122.84</v>
      </c>
      <c r="L141" s="224">
        <v>0</v>
      </c>
      <c r="M141" s="224">
        <v>0</v>
      </c>
      <c r="N141" s="224">
        <v>7.3120399999999997</v>
      </c>
      <c r="O141" s="224">
        <f t="shared" si="0"/>
        <v>122.84</v>
      </c>
      <c r="P141" s="227">
        <f t="shared" si="1"/>
        <v>16.799689279599129</v>
      </c>
    </row>
    <row r="142" spans="1:16" ht="12.75">
      <c r="A142" s="224">
        <v>141</v>
      </c>
      <c r="B142" s="224">
        <v>8646</v>
      </c>
      <c r="C142" s="191" t="s">
        <v>2760</v>
      </c>
      <c r="D142" s="191" t="s">
        <v>45</v>
      </c>
      <c r="E142" s="191" t="s">
        <v>2556</v>
      </c>
      <c r="F142" s="225">
        <v>45678.71597222222</v>
      </c>
      <c r="G142" s="191">
        <v>1</v>
      </c>
      <c r="H142" s="191" t="s">
        <v>2557</v>
      </c>
      <c r="I142" s="224">
        <v>44647</v>
      </c>
      <c r="J142" s="226" t="s">
        <v>2767</v>
      </c>
      <c r="K142" s="224">
        <v>23.09</v>
      </c>
      <c r="L142" s="224">
        <v>0</v>
      </c>
      <c r="M142" s="224">
        <v>0</v>
      </c>
      <c r="N142" s="224">
        <v>1</v>
      </c>
      <c r="O142" s="224">
        <f t="shared" si="0"/>
        <v>23.09</v>
      </c>
      <c r="P142" s="227">
        <f t="shared" si="1"/>
        <v>23.09</v>
      </c>
    </row>
    <row r="143" spans="1:16" ht="12.75">
      <c r="A143" s="224">
        <v>142</v>
      </c>
      <c r="B143" s="224">
        <v>5906</v>
      </c>
      <c r="C143" s="191" t="s">
        <v>2768</v>
      </c>
      <c r="D143" s="191" t="s">
        <v>45</v>
      </c>
      <c r="E143" s="191" t="s">
        <v>9</v>
      </c>
      <c r="F143" s="225">
        <v>45678.760416666664</v>
      </c>
      <c r="G143" s="191">
        <v>1</v>
      </c>
      <c r="H143" s="191" t="s">
        <v>2557</v>
      </c>
      <c r="I143" s="224">
        <v>38011</v>
      </c>
      <c r="J143" s="226" t="s">
        <v>318</v>
      </c>
      <c r="K143" s="224">
        <v>4.99</v>
      </c>
      <c r="L143" s="224">
        <v>0.74</v>
      </c>
      <c r="M143" s="224">
        <v>0</v>
      </c>
      <c r="N143" s="224">
        <v>1</v>
      </c>
      <c r="O143" s="224">
        <f t="shared" si="0"/>
        <v>4.25</v>
      </c>
      <c r="P143" s="227">
        <f t="shared" si="1"/>
        <v>4.25</v>
      </c>
    </row>
    <row r="144" spans="1:16" ht="12.75">
      <c r="A144" s="224">
        <v>143</v>
      </c>
      <c r="B144" s="224">
        <v>8741</v>
      </c>
      <c r="C144" s="191" t="s">
        <v>2769</v>
      </c>
      <c r="D144" s="191" t="s">
        <v>45</v>
      </c>
      <c r="E144" s="191" t="s">
        <v>2556</v>
      </c>
      <c r="F144" s="225">
        <v>45678.909722222219</v>
      </c>
      <c r="G144" s="191">
        <v>1</v>
      </c>
      <c r="H144" s="191" t="s">
        <v>2557</v>
      </c>
      <c r="I144" s="224">
        <v>44659</v>
      </c>
      <c r="J144" s="226" t="s">
        <v>2770</v>
      </c>
      <c r="K144" s="224">
        <v>20.25</v>
      </c>
      <c r="L144" s="224">
        <v>0</v>
      </c>
      <c r="M144" s="224">
        <v>0</v>
      </c>
      <c r="N144" s="224">
        <v>1</v>
      </c>
      <c r="O144" s="224">
        <f t="shared" si="0"/>
        <v>20.25</v>
      </c>
      <c r="P144" s="227">
        <f t="shared" si="1"/>
        <v>20.25</v>
      </c>
    </row>
    <row r="145" spans="1:16" ht="12.75">
      <c r="A145" s="224">
        <v>144</v>
      </c>
      <c r="B145" s="224">
        <v>8747</v>
      </c>
      <c r="C145" s="191" t="s">
        <v>2771</v>
      </c>
      <c r="D145" s="191" t="s">
        <v>45</v>
      </c>
      <c r="E145" s="191" t="s">
        <v>2556</v>
      </c>
      <c r="F145" s="225">
        <v>45678.931944444441</v>
      </c>
      <c r="G145" s="191">
        <v>1</v>
      </c>
      <c r="H145" s="191" t="s">
        <v>2557</v>
      </c>
      <c r="I145" s="224">
        <v>44731</v>
      </c>
      <c r="J145" s="226" t="s">
        <v>2772</v>
      </c>
      <c r="K145" s="224">
        <v>20.25</v>
      </c>
      <c r="L145" s="224">
        <v>0</v>
      </c>
      <c r="M145" s="224">
        <v>0</v>
      </c>
      <c r="N145" s="224">
        <v>1</v>
      </c>
      <c r="O145" s="224">
        <f t="shared" si="0"/>
        <v>20.25</v>
      </c>
      <c r="P145" s="227">
        <f t="shared" si="1"/>
        <v>20.25</v>
      </c>
    </row>
    <row r="146" spans="1:16" ht="12.75">
      <c r="A146" s="224">
        <v>145</v>
      </c>
      <c r="B146" s="224">
        <v>8770</v>
      </c>
      <c r="C146" s="191" t="s">
        <v>2773</v>
      </c>
      <c r="D146" s="191" t="s">
        <v>45</v>
      </c>
      <c r="E146" s="191" t="s">
        <v>2556</v>
      </c>
      <c r="F146" s="225">
        <v>45678.979166666664</v>
      </c>
      <c r="G146" s="191">
        <v>1</v>
      </c>
      <c r="H146" s="191" t="s">
        <v>2557</v>
      </c>
      <c r="I146" s="224">
        <v>44755</v>
      </c>
      <c r="J146" s="226" t="s">
        <v>2774</v>
      </c>
      <c r="K146" s="224">
        <v>1.99</v>
      </c>
      <c r="L146" s="224">
        <v>0</v>
      </c>
      <c r="M146" s="224">
        <v>0</v>
      </c>
      <c r="N146" s="224">
        <v>1</v>
      </c>
      <c r="O146" s="224">
        <f t="shared" si="0"/>
        <v>1.99</v>
      </c>
      <c r="P146" s="227">
        <f t="shared" si="1"/>
        <v>1.99</v>
      </c>
    </row>
    <row r="147" spans="1:16" ht="12.75">
      <c r="A147" s="224">
        <v>146</v>
      </c>
      <c r="B147" s="224">
        <v>8817</v>
      </c>
      <c r="C147" s="191" t="s">
        <v>2775</v>
      </c>
      <c r="D147" s="191" t="s">
        <v>45</v>
      </c>
      <c r="E147" s="191" t="s">
        <v>2556</v>
      </c>
      <c r="F147" s="225">
        <v>45679.092361111114</v>
      </c>
      <c r="G147" s="191">
        <v>1</v>
      </c>
      <c r="H147" s="191" t="s">
        <v>2557</v>
      </c>
      <c r="I147" s="224">
        <v>44767</v>
      </c>
      <c r="J147" s="226" t="s">
        <v>2776</v>
      </c>
      <c r="K147" s="224">
        <v>20.25</v>
      </c>
      <c r="L147" s="224">
        <v>0</v>
      </c>
      <c r="M147" s="224">
        <v>0</v>
      </c>
      <c r="N147" s="224">
        <v>1</v>
      </c>
      <c r="O147" s="224">
        <f t="shared" si="0"/>
        <v>20.25</v>
      </c>
      <c r="P147" s="227">
        <f t="shared" si="1"/>
        <v>20.25</v>
      </c>
    </row>
    <row r="148" spans="1:16" ht="12.75">
      <c r="A148" s="224">
        <v>147</v>
      </c>
      <c r="B148" s="224">
        <v>1836</v>
      </c>
      <c r="C148" s="191" t="s">
        <v>2598</v>
      </c>
      <c r="D148" s="191" t="s">
        <v>2582</v>
      </c>
      <c r="E148" s="191" t="s">
        <v>2556</v>
      </c>
      <c r="F148" s="225">
        <v>45679.694444444445</v>
      </c>
      <c r="G148" s="191">
        <v>1</v>
      </c>
      <c r="H148" s="191" t="s">
        <v>2557</v>
      </c>
      <c r="I148" s="224">
        <v>44791</v>
      </c>
      <c r="J148" s="226" t="s">
        <v>2777</v>
      </c>
      <c r="K148" s="224">
        <v>86.83</v>
      </c>
      <c r="L148" s="224">
        <v>0</v>
      </c>
      <c r="M148" s="224">
        <v>0</v>
      </c>
      <c r="N148" s="224">
        <v>7.2842500000000001</v>
      </c>
      <c r="O148" s="224">
        <f t="shared" si="0"/>
        <v>86.83</v>
      </c>
      <c r="P148" s="227">
        <f t="shared" si="1"/>
        <v>11.920238871537906</v>
      </c>
    </row>
    <row r="149" spans="1:16" ht="12.75">
      <c r="A149" s="224">
        <v>148</v>
      </c>
      <c r="B149" s="224">
        <v>8961</v>
      </c>
      <c r="C149" s="191" t="s">
        <v>2778</v>
      </c>
      <c r="D149" s="191" t="s">
        <v>45</v>
      </c>
      <c r="E149" s="191" t="s">
        <v>2556</v>
      </c>
      <c r="F149" s="225">
        <v>45679.761111111111</v>
      </c>
      <c r="G149" s="191">
        <v>1</v>
      </c>
      <c r="H149" s="191" t="s">
        <v>2557</v>
      </c>
      <c r="I149" s="224">
        <v>44827</v>
      </c>
      <c r="J149" s="226" t="s">
        <v>2779</v>
      </c>
      <c r="K149" s="224">
        <v>20.25</v>
      </c>
      <c r="L149" s="224">
        <v>0</v>
      </c>
      <c r="M149" s="224">
        <v>0</v>
      </c>
      <c r="N149" s="224">
        <v>1</v>
      </c>
      <c r="O149" s="224">
        <f t="shared" si="0"/>
        <v>20.25</v>
      </c>
      <c r="P149" s="227">
        <f t="shared" si="1"/>
        <v>20.25</v>
      </c>
    </row>
    <row r="150" spans="1:16" ht="12.75">
      <c r="A150" s="224">
        <v>149</v>
      </c>
      <c r="B150" s="224">
        <v>8073</v>
      </c>
      <c r="C150" s="191" t="s">
        <v>2729</v>
      </c>
      <c r="D150" s="191" t="s">
        <v>45</v>
      </c>
      <c r="E150" s="191" t="s">
        <v>2556</v>
      </c>
      <c r="F150" s="225">
        <v>45679.995138888888</v>
      </c>
      <c r="G150" s="191">
        <v>1</v>
      </c>
      <c r="H150" s="191" t="s">
        <v>2557</v>
      </c>
      <c r="I150" s="224">
        <v>44851</v>
      </c>
      <c r="J150" s="226" t="s">
        <v>2780</v>
      </c>
      <c r="K150" s="224">
        <v>2.99</v>
      </c>
      <c r="L150" s="224">
        <v>0</v>
      </c>
      <c r="M150" s="224">
        <v>0</v>
      </c>
      <c r="N150" s="224">
        <v>1</v>
      </c>
      <c r="O150" s="224">
        <f t="shared" si="0"/>
        <v>2.99</v>
      </c>
      <c r="P150" s="227">
        <f t="shared" si="1"/>
        <v>2.99</v>
      </c>
    </row>
    <row r="151" spans="1:16" ht="12.75">
      <c r="A151" s="224">
        <v>150</v>
      </c>
      <c r="B151" s="224">
        <v>6294</v>
      </c>
      <c r="C151" s="191" t="s">
        <v>2618</v>
      </c>
      <c r="D151" s="191" t="s">
        <v>45</v>
      </c>
      <c r="E151" s="191" t="s">
        <v>9</v>
      </c>
      <c r="F151" s="225">
        <v>45680.056944444441</v>
      </c>
      <c r="G151" s="191">
        <v>1</v>
      </c>
      <c r="H151" s="191" t="s">
        <v>2557</v>
      </c>
      <c r="I151" s="224">
        <v>44863</v>
      </c>
      <c r="J151" s="226" t="s">
        <v>323</v>
      </c>
      <c r="K151" s="224">
        <v>20.25</v>
      </c>
      <c r="L151" s="224">
        <v>1.5</v>
      </c>
      <c r="M151" s="224">
        <v>0</v>
      </c>
      <c r="N151" s="224">
        <v>1</v>
      </c>
      <c r="O151" s="224">
        <f t="shared" si="0"/>
        <v>18.75</v>
      </c>
      <c r="P151" s="227">
        <f t="shared" si="1"/>
        <v>18.75</v>
      </c>
    </row>
    <row r="152" spans="1:16" ht="12.75">
      <c r="A152" s="224">
        <v>151</v>
      </c>
      <c r="B152" s="224">
        <v>9053</v>
      </c>
      <c r="C152" s="191" t="s">
        <v>2781</v>
      </c>
      <c r="D152" s="191" t="s">
        <v>2582</v>
      </c>
      <c r="E152" s="191" t="s">
        <v>2556</v>
      </c>
      <c r="F152" s="225">
        <v>45680.104861111111</v>
      </c>
      <c r="G152" s="191">
        <v>1</v>
      </c>
      <c r="H152" s="191" t="s">
        <v>2557</v>
      </c>
      <c r="I152" s="224">
        <v>44875</v>
      </c>
      <c r="J152" s="226" t="s">
        <v>2782</v>
      </c>
      <c r="K152" s="224">
        <v>147.51</v>
      </c>
      <c r="L152" s="224">
        <v>0</v>
      </c>
      <c r="M152" s="224">
        <v>0</v>
      </c>
      <c r="N152" s="224">
        <v>7.2842500000000001</v>
      </c>
      <c r="O152" s="224">
        <f t="shared" si="0"/>
        <v>147.51</v>
      </c>
      <c r="P152" s="227">
        <f t="shared" si="1"/>
        <v>20.250540549816382</v>
      </c>
    </row>
    <row r="153" spans="1:16" ht="12.75">
      <c r="A153" s="224">
        <v>152</v>
      </c>
      <c r="B153" s="224">
        <v>1759</v>
      </c>
      <c r="C153" s="191" t="s">
        <v>2783</v>
      </c>
      <c r="D153" s="191" t="s">
        <v>45</v>
      </c>
      <c r="E153" s="191" t="s">
        <v>9</v>
      </c>
      <c r="F153" s="225">
        <v>45680.114583333336</v>
      </c>
      <c r="G153" s="191">
        <v>1</v>
      </c>
      <c r="H153" s="191" t="s">
        <v>2557</v>
      </c>
      <c r="I153" s="224">
        <v>44887</v>
      </c>
      <c r="J153" s="226" t="s">
        <v>325</v>
      </c>
      <c r="K153" s="224">
        <v>20.25</v>
      </c>
      <c r="L153" s="224">
        <v>1.5</v>
      </c>
      <c r="M153" s="224">
        <v>0</v>
      </c>
      <c r="N153" s="224">
        <v>1</v>
      </c>
      <c r="O153" s="224">
        <f t="shared" si="0"/>
        <v>18.75</v>
      </c>
      <c r="P153" s="227">
        <f t="shared" si="1"/>
        <v>18.75</v>
      </c>
    </row>
    <row r="154" spans="1:16" ht="12.75">
      <c r="A154" s="224">
        <v>153</v>
      </c>
      <c r="B154" s="224">
        <v>3324</v>
      </c>
      <c r="C154" s="191" t="s">
        <v>2784</v>
      </c>
      <c r="D154" s="191" t="s">
        <v>45</v>
      </c>
      <c r="E154" s="191" t="s">
        <v>2556</v>
      </c>
      <c r="F154" s="225">
        <v>45680.393750000003</v>
      </c>
      <c r="G154" s="191">
        <v>1</v>
      </c>
      <c r="H154" s="191" t="s">
        <v>2557</v>
      </c>
      <c r="I154" s="224">
        <v>42139</v>
      </c>
      <c r="J154" s="226" t="s">
        <v>2785</v>
      </c>
      <c r="K154" s="224">
        <v>2.99</v>
      </c>
      <c r="L154" s="224">
        <v>0</v>
      </c>
      <c r="M154" s="224">
        <v>0</v>
      </c>
      <c r="N154" s="224">
        <v>1</v>
      </c>
      <c r="O154" s="224">
        <f t="shared" si="0"/>
        <v>2.99</v>
      </c>
      <c r="P154" s="227">
        <f t="shared" si="1"/>
        <v>2.99</v>
      </c>
    </row>
    <row r="155" spans="1:16" ht="12.75">
      <c r="A155" s="224">
        <v>154</v>
      </c>
      <c r="B155" s="224">
        <v>6347</v>
      </c>
      <c r="C155" s="191" t="s">
        <v>2786</v>
      </c>
      <c r="D155" s="191" t="s">
        <v>45</v>
      </c>
      <c r="E155" s="191" t="s">
        <v>2556</v>
      </c>
      <c r="F155" s="225">
        <v>45680.462500000001</v>
      </c>
      <c r="G155" s="191">
        <v>1</v>
      </c>
      <c r="H155" s="191" t="s">
        <v>2557</v>
      </c>
      <c r="I155" s="224">
        <v>44971</v>
      </c>
      <c r="J155" s="226" t="s">
        <v>2787</v>
      </c>
      <c r="K155" s="224">
        <v>20.25</v>
      </c>
      <c r="L155" s="224">
        <v>0</v>
      </c>
      <c r="M155" s="224">
        <v>0</v>
      </c>
      <c r="N155" s="224">
        <v>1</v>
      </c>
      <c r="O155" s="224">
        <f t="shared" si="0"/>
        <v>20.25</v>
      </c>
      <c r="P155" s="227">
        <f t="shared" si="1"/>
        <v>20.25</v>
      </c>
    </row>
    <row r="156" spans="1:16" ht="12.75">
      <c r="A156" s="224">
        <v>155</v>
      </c>
      <c r="B156" s="224">
        <v>9244</v>
      </c>
      <c r="C156" s="191" t="s">
        <v>2788</v>
      </c>
      <c r="D156" s="191" t="s">
        <v>2582</v>
      </c>
      <c r="E156" s="191" t="s">
        <v>2556</v>
      </c>
      <c r="F156" s="225">
        <v>45680.472222222219</v>
      </c>
      <c r="G156" s="191">
        <v>1</v>
      </c>
      <c r="H156" s="191" t="s">
        <v>2557</v>
      </c>
      <c r="I156" s="224">
        <v>44983</v>
      </c>
      <c r="J156" s="226" t="s">
        <v>2789</v>
      </c>
      <c r="K156" s="224">
        <v>29</v>
      </c>
      <c r="L156" s="224">
        <v>0</v>
      </c>
      <c r="M156" s="224">
        <v>0</v>
      </c>
      <c r="N156" s="224">
        <v>7.2672600000000003</v>
      </c>
      <c r="O156" s="224">
        <f t="shared" si="0"/>
        <v>29</v>
      </c>
      <c r="P156" s="227">
        <f t="shared" si="1"/>
        <v>3.990499858268453</v>
      </c>
    </row>
    <row r="157" spans="1:16" ht="12.75">
      <c r="A157" s="224">
        <v>156</v>
      </c>
      <c r="B157" s="224">
        <v>9262</v>
      </c>
      <c r="C157" s="191" t="s">
        <v>2790</v>
      </c>
      <c r="D157" s="191" t="s">
        <v>45</v>
      </c>
      <c r="E157" s="191" t="s">
        <v>2556</v>
      </c>
      <c r="F157" s="225">
        <v>45680.549305555556</v>
      </c>
      <c r="G157" s="191">
        <v>1</v>
      </c>
      <c r="H157" s="191" t="s">
        <v>2557</v>
      </c>
      <c r="I157" s="224">
        <v>44995</v>
      </c>
      <c r="J157" s="226" t="s">
        <v>2791</v>
      </c>
      <c r="K157" s="224">
        <v>3.99</v>
      </c>
      <c r="L157" s="224">
        <v>0</v>
      </c>
      <c r="M157" s="224">
        <v>0</v>
      </c>
      <c r="N157" s="224">
        <v>1</v>
      </c>
      <c r="O157" s="224">
        <f t="shared" si="0"/>
        <v>3.99</v>
      </c>
      <c r="P157" s="227">
        <f t="shared" si="1"/>
        <v>3.99</v>
      </c>
    </row>
    <row r="158" spans="1:16" ht="12.75">
      <c r="A158" s="224">
        <v>157</v>
      </c>
      <c r="B158" s="224">
        <v>1630</v>
      </c>
      <c r="C158" s="191" t="s">
        <v>2753</v>
      </c>
      <c r="D158" s="191" t="s">
        <v>45</v>
      </c>
      <c r="E158" s="191" t="s">
        <v>2556</v>
      </c>
      <c r="F158" s="225">
        <v>45680.73333333333</v>
      </c>
      <c r="G158" s="191">
        <v>1</v>
      </c>
      <c r="H158" s="191" t="s">
        <v>2557</v>
      </c>
      <c r="I158" s="224">
        <v>45019</v>
      </c>
      <c r="J158" s="226" t="s">
        <v>2792</v>
      </c>
      <c r="K158" s="224">
        <v>3.99</v>
      </c>
      <c r="L158" s="224">
        <v>0</v>
      </c>
      <c r="M158" s="224">
        <v>0</v>
      </c>
      <c r="N158" s="224">
        <v>1</v>
      </c>
      <c r="O158" s="224">
        <f t="shared" si="0"/>
        <v>3.99</v>
      </c>
      <c r="P158" s="227">
        <f t="shared" si="1"/>
        <v>3.99</v>
      </c>
    </row>
    <row r="159" spans="1:16" ht="12.75">
      <c r="A159" s="224">
        <v>158</v>
      </c>
      <c r="B159" s="224">
        <v>8961</v>
      </c>
      <c r="C159" s="191" t="s">
        <v>2778</v>
      </c>
      <c r="D159" s="191" t="s">
        <v>45</v>
      </c>
      <c r="E159" s="191" t="s">
        <v>2556</v>
      </c>
      <c r="F159" s="225">
        <v>45680.885416666664</v>
      </c>
      <c r="G159" s="191">
        <v>1</v>
      </c>
      <c r="H159" s="191" t="s">
        <v>2557</v>
      </c>
      <c r="I159" s="224">
        <v>44815</v>
      </c>
      <c r="J159" s="226" t="s">
        <v>2793</v>
      </c>
      <c r="K159" s="224">
        <v>20.25</v>
      </c>
      <c r="L159" s="224">
        <v>0</v>
      </c>
      <c r="M159" s="224">
        <v>0</v>
      </c>
      <c r="N159" s="224">
        <v>1</v>
      </c>
      <c r="O159" s="224">
        <f t="shared" si="0"/>
        <v>20.25</v>
      </c>
      <c r="P159" s="227">
        <f t="shared" si="1"/>
        <v>20.25</v>
      </c>
    </row>
    <row r="160" spans="1:16" ht="12.75">
      <c r="A160" s="224">
        <v>159</v>
      </c>
      <c r="B160" s="224">
        <v>417</v>
      </c>
      <c r="C160" s="191" t="s">
        <v>2682</v>
      </c>
      <c r="D160" s="191" t="s">
        <v>2582</v>
      </c>
      <c r="E160" s="191" t="s">
        <v>2556</v>
      </c>
      <c r="F160" s="225">
        <v>45680.910416666666</v>
      </c>
      <c r="G160" s="191">
        <v>1</v>
      </c>
      <c r="H160" s="191" t="s">
        <v>2557</v>
      </c>
      <c r="I160" s="224">
        <v>41347</v>
      </c>
      <c r="J160" s="226"/>
      <c r="K160" s="224">
        <v>0.03</v>
      </c>
      <c r="L160" s="224">
        <v>0</v>
      </c>
      <c r="M160" s="224">
        <v>0</v>
      </c>
      <c r="N160" s="224">
        <v>7.2672600000000003</v>
      </c>
      <c r="O160" s="224">
        <f t="shared" si="0"/>
        <v>0.03</v>
      </c>
      <c r="P160" s="227">
        <f t="shared" si="1"/>
        <v>4.1281033016570207E-3</v>
      </c>
    </row>
    <row r="161" spans="1:16" ht="12.75">
      <c r="A161" s="224">
        <v>160</v>
      </c>
      <c r="B161" s="224">
        <v>387</v>
      </c>
      <c r="C161" s="191" t="s">
        <v>2794</v>
      </c>
      <c r="D161" s="191" t="s">
        <v>45</v>
      </c>
      <c r="E161" s="191" t="s">
        <v>9</v>
      </c>
      <c r="F161" s="225">
        <v>45680.940972222219</v>
      </c>
      <c r="G161" s="191">
        <v>1</v>
      </c>
      <c r="H161" s="191" t="s">
        <v>2557</v>
      </c>
      <c r="I161" s="224">
        <v>45031</v>
      </c>
      <c r="J161" s="226" t="s">
        <v>327</v>
      </c>
      <c r="K161" s="224">
        <v>20.25</v>
      </c>
      <c r="L161" s="224">
        <v>1.2</v>
      </c>
      <c r="M161" s="224">
        <v>0</v>
      </c>
      <c r="N161" s="224">
        <v>1</v>
      </c>
      <c r="O161" s="224">
        <f t="shared" si="0"/>
        <v>19.05</v>
      </c>
      <c r="P161" s="227">
        <f t="shared" si="1"/>
        <v>19.05</v>
      </c>
    </row>
    <row r="162" spans="1:16" ht="12.75">
      <c r="A162" s="224">
        <v>161</v>
      </c>
      <c r="B162" s="170">
        <v>8964</v>
      </c>
      <c r="C162" s="172" t="s">
        <v>2795</v>
      </c>
      <c r="D162" s="172" t="s">
        <v>45</v>
      </c>
      <c r="E162" s="172" t="s">
        <v>2572</v>
      </c>
      <c r="F162" s="228">
        <v>45681.07916666667</v>
      </c>
      <c r="G162" s="172">
        <v>1</v>
      </c>
      <c r="H162" s="172" t="s">
        <v>2557</v>
      </c>
      <c r="I162" s="170">
        <v>45055</v>
      </c>
      <c r="J162" s="229" t="s">
        <v>2796</v>
      </c>
      <c r="K162" s="170">
        <v>5.99</v>
      </c>
      <c r="L162" s="170">
        <v>0</v>
      </c>
      <c r="M162" s="170">
        <v>0</v>
      </c>
      <c r="N162" s="170">
        <v>1</v>
      </c>
      <c r="O162" s="170">
        <f t="shared" si="0"/>
        <v>5.99</v>
      </c>
      <c r="P162" s="230">
        <f t="shared" si="1"/>
        <v>5.99</v>
      </c>
    </row>
    <row r="163" spans="1:16" ht="12.75">
      <c r="A163" s="224">
        <v>162</v>
      </c>
      <c r="B163" s="224">
        <v>9402</v>
      </c>
      <c r="C163" s="191" t="s">
        <v>2797</v>
      </c>
      <c r="D163" s="191" t="s">
        <v>2582</v>
      </c>
      <c r="E163" s="191" t="s">
        <v>2556</v>
      </c>
      <c r="F163" s="225">
        <v>45681.147916666669</v>
      </c>
      <c r="G163" s="191">
        <v>1</v>
      </c>
      <c r="H163" s="191" t="s">
        <v>2557</v>
      </c>
      <c r="I163" s="224">
        <v>45067</v>
      </c>
      <c r="J163" s="226" t="s">
        <v>2798</v>
      </c>
      <c r="K163" s="224">
        <v>147.16</v>
      </c>
      <c r="L163" s="224">
        <v>0</v>
      </c>
      <c r="M163" s="224">
        <v>0</v>
      </c>
      <c r="N163" s="224">
        <v>7.2672600000000003</v>
      </c>
      <c r="O163" s="224">
        <f t="shared" si="0"/>
        <v>147.16</v>
      </c>
      <c r="P163" s="227">
        <f t="shared" si="1"/>
        <v>20.24972272906157</v>
      </c>
    </row>
    <row r="164" spans="1:16" ht="12.75">
      <c r="A164" s="224">
        <v>163</v>
      </c>
      <c r="B164" s="224">
        <v>9530</v>
      </c>
      <c r="C164" s="191" t="s">
        <v>2799</v>
      </c>
      <c r="D164" s="191" t="s">
        <v>45</v>
      </c>
      <c r="E164" s="191" t="s">
        <v>9</v>
      </c>
      <c r="F164" s="225">
        <v>45681.549305555556</v>
      </c>
      <c r="G164" s="191">
        <v>1</v>
      </c>
      <c r="H164" s="191" t="s">
        <v>2557</v>
      </c>
      <c r="I164" s="224">
        <v>45115</v>
      </c>
      <c r="J164" s="226" t="s">
        <v>329</v>
      </c>
      <c r="K164" s="224">
        <v>5.99</v>
      </c>
      <c r="L164" s="224">
        <v>0.79</v>
      </c>
      <c r="M164" s="224">
        <v>0</v>
      </c>
      <c r="N164" s="224">
        <v>1</v>
      </c>
      <c r="O164" s="224">
        <f t="shared" si="0"/>
        <v>5.2</v>
      </c>
      <c r="P164" s="227">
        <f t="shared" si="1"/>
        <v>5.2</v>
      </c>
    </row>
    <row r="165" spans="1:16" ht="12.75">
      <c r="A165" s="224">
        <v>164</v>
      </c>
      <c r="B165" s="224">
        <v>9573</v>
      </c>
      <c r="C165" s="191" t="s">
        <v>2800</v>
      </c>
      <c r="D165" s="191" t="s">
        <v>2582</v>
      </c>
      <c r="E165" s="191" t="s">
        <v>2556</v>
      </c>
      <c r="F165" s="225">
        <v>45681.93472222222</v>
      </c>
      <c r="G165" s="191">
        <v>1</v>
      </c>
      <c r="H165" s="191" t="s">
        <v>2557</v>
      </c>
      <c r="I165" s="224">
        <v>45139</v>
      </c>
      <c r="J165" s="226" t="s">
        <v>2801</v>
      </c>
      <c r="K165" s="224">
        <v>14.58</v>
      </c>
      <c r="L165" s="224">
        <v>0</v>
      </c>
      <c r="M165" s="224">
        <v>0</v>
      </c>
      <c r="N165" s="224">
        <v>7.2884500000000001</v>
      </c>
      <c r="O165" s="224">
        <f t="shared" si="0"/>
        <v>14.58</v>
      </c>
      <c r="P165" s="227">
        <f t="shared" si="1"/>
        <v>2.0004253304886497</v>
      </c>
    </row>
    <row r="166" spans="1:16" ht="12.75">
      <c r="A166" s="224">
        <v>165</v>
      </c>
      <c r="B166" s="224">
        <v>9573</v>
      </c>
      <c r="C166" s="191" t="s">
        <v>2800</v>
      </c>
      <c r="D166" s="191" t="s">
        <v>2582</v>
      </c>
      <c r="E166" s="191" t="s">
        <v>2556</v>
      </c>
      <c r="F166" s="225">
        <v>45681.952777777777</v>
      </c>
      <c r="G166" s="191">
        <v>1</v>
      </c>
      <c r="H166" s="191" t="s">
        <v>2557</v>
      </c>
      <c r="I166" s="224">
        <v>45139</v>
      </c>
      <c r="J166" s="226"/>
      <c r="K166" s="224">
        <v>0.02</v>
      </c>
      <c r="L166" s="224">
        <v>0</v>
      </c>
      <c r="M166" s="224">
        <v>0</v>
      </c>
      <c r="N166" s="224">
        <v>7.2884500000000001</v>
      </c>
      <c r="O166" s="224">
        <f t="shared" si="0"/>
        <v>0.02</v>
      </c>
      <c r="P166" s="227">
        <f t="shared" si="1"/>
        <v>2.7440676687087106E-3</v>
      </c>
    </row>
    <row r="167" spans="1:16" ht="12.75">
      <c r="A167" s="224">
        <v>166</v>
      </c>
      <c r="B167" s="224">
        <v>9244</v>
      </c>
      <c r="C167" s="191" t="s">
        <v>2788</v>
      </c>
      <c r="D167" s="191" t="s">
        <v>2582</v>
      </c>
      <c r="E167" s="191" t="s">
        <v>2556</v>
      </c>
      <c r="F167" s="225">
        <v>45682.027083333334</v>
      </c>
      <c r="G167" s="191">
        <v>1</v>
      </c>
      <c r="H167" s="191" t="s">
        <v>2557</v>
      </c>
      <c r="I167" s="224">
        <v>45163</v>
      </c>
      <c r="J167" s="226" t="s">
        <v>2802</v>
      </c>
      <c r="K167" s="224">
        <v>58.23</v>
      </c>
      <c r="L167" s="224">
        <v>0</v>
      </c>
      <c r="M167" s="224">
        <v>0</v>
      </c>
      <c r="N167" s="224">
        <v>7.2884500000000001</v>
      </c>
      <c r="O167" s="224">
        <f t="shared" si="0"/>
        <v>58.23</v>
      </c>
      <c r="P167" s="227">
        <f t="shared" si="1"/>
        <v>7.9893530174454099</v>
      </c>
    </row>
    <row r="168" spans="1:16" ht="12.75">
      <c r="A168" s="224">
        <v>167</v>
      </c>
      <c r="B168" s="224">
        <v>9754</v>
      </c>
      <c r="C168" s="232">
        <v>45658</v>
      </c>
      <c r="D168" s="191" t="s">
        <v>45</v>
      </c>
      <c r="E168" s="191" t="s">
        <v>2556</v>
      </c>
      <c r="F168" s="225">
        <v>45682.567361111112</v>
      </c>
      <c r="G168" s="191">
        <v>1</v>
      </c>
      <c r="H168" s="191" t="s">
        <v>2557</v>
      </c>
      <c r="I168" s="224">
        <v>45199</v>
      </c>
      <c r="J168" s="226" t="s">
        <v>2803</v>
      </c>
      <c r="K168" s="224">
        <v>2</v>
      </c>
      <c r="L168" s="224">
        <v>0</v>
      </c>
      <c r="M168" s="224">
        <v>0</v>
      </c>
      <c r="N168" s="224">
        <v>1</v>
      </c>
      <c r="O168" s="224">
        <f t="shared" si="0"/>
        <v>2</v>
      </c>
      <c r="P168" s="227">
        <f t="shared" si="1"/>
        <v>2</v>
      </c>
    </row>
    <row r="169" spans="1:16" ht="12.75">
      <c r="A169" s="224">
        <v>168</v>
      </c>
      <c r="B169" s="224">
        <v>9262</v>
      </c>
      <c r="C169" s="191" t="s">
        <v>2790</v>
      </c>
      <c r="D169" s="191" t="s">
        <v>45</v>
      </c>
      <c r="E169" s="191" t="s">
        <v>2556</v>
      </c>
      <c r="F169" s="225">
        <v>45682.695138888892</v>
      </c>
      <c r="G169" s="191">
        <v>1</v>
      </c>
      <c r="H169" s="191" t="s">
        <v>2804</v>
      </c>
      <c r="I169" s="224">
        <v>44995</v>
      </c>
      <c r="J169" s="226"/>
      <c r="K169" s="224">
        <v>0</v>
      </c>
      <c r="L169" s="224">
        <v>0</v>
      </c>
      <c r="M169" s="224">
        <v>3.86</v>
      </c>
      <c r="N169" s="224">
        <v>1</v>
      </c>
      <c r="O169" s="224">
        <f t="shared" si="0"/>
        <v>-3.86</v>
      </c>
      <c r="P169" s="227">
        <f t="shared" si="1"/>
        <v>-3.86</v>
      </c>
    </row>
    <row r="170" spans="1:16" ht="12.75">
      <c r="A170" s="224">
        <v>169</v>
      </c>
      <c r="B170" s="224">
        <v>6145</v>
      </c>
      <c r="C170" s="191" t="s">
        <v>2805</v>
      </c>
      <c r="D170" s="191" t="s">
        <v>45</v>
      </c>
      <c r="E170" s="191" t="s">
        <v>2556</v>
      </c>
      <c r="F170" s="225">
        <v>45682.929861111108</v>
      </c>
      <c r="G170" s="191">
        <v>1</v>
      </c>
      <c r="H170" s="191" t="s">
        <v>2557</v>
      </c>
      <c r="I170" s="224">
        <v>42703</v>
      </c>
      <c r="J170" s="226" t="s">
        <v>2806</v>
      </c>
      <c r="K170" s="224">
        <v>3.99</v>
      </c>
      <c r="L170" s="224">
        <v>0</v>
      </c>
      <c r="M170" s="224">
        <v>0</v>
      </c>
      <c r="N170" s="224">
        <v>1</v>
      </c>
      <c r="O170" s="224">
        <f t="shared" si="0"/>
        <v>3.99</v>
      </c>
      <c r="P170" s="227">
        <f t="shared" si="1"/>
        <v>3.99</v>
      </c>
    </row>
    <row r="171" spans="1:16" ht="12.75">
      <c r="A171" s="224">
        <v>170</v>
      </c>
      <c r="B171" s="224">
        <v>975</v>
      </c>
      <c r="C171" s="191" t="s">
        <v>2807</v>
      </c>
      <c r="D171" s="191" t="s">
        <v>45</v>
      </c>
      <c r="E171" s="191" t="s">
        <v>2556</v>
      </c>
      <c r="F171" s="225">
        <v>45682.973611111112</v>
      </c>
      <c r="G171" s="191">
        <v>1</v>
      </c>
      <c r="H171" s="191" t="s">
        <v>2557</v>
      </c>
      <c r="I171" s="224">
        <v>28903</v>
      </c>
      <c r="J171" s="226" t="s">
        <v>2808</v>
      </c>
      <c r="K171" s="224">
        <v>3.99</v>
      </c>
      <c r="L171" s="224">
        <v>0</v>
      </c>
      <c r="M171" s="224">
        <v>0</v>
      </c>
      <c r="N171" s="224">
        <v>1</v>
      </c>
      <c r="O171" s="224">
        <f t="shared" si="0"/>
        <v>3.99</v>
      </c>
      <c r="P171" s="227">
        <f t="shared" si="1"/>
        <v>3.99</v>
      </c>
    </row>
    <row r="172" spans="1:16" ht="12.75">
      <c r="A172" s="224">
        <v>171</v>
      </c>
      <c r="B172" s="224">
        <v>975</v>
      </c>
      <c r="C172" s="191" t="s">
        <v>2807</v>
      </c>
      <c r="D172" s="191" t="s">
        <v>45</v>
      </c>
      <c r="E172" s="191" t="s">
        <v>2556</v>
      </c>
      <c r="F172" s="225">
        <v>45682.977083333331</v>
      </c>
      <c r="G172" s="191">
        <v>1</v>
      </c>
      <c r="H172" s="191" t="s">
        <v>2557</v>
      </c>
      <c r="I172" s="224">
        <v>45223</v>
      </c>
      <c r="J172" s="226" t="s">
        <v>2809</v>
      </c>
      <c r="K172" s="224">
        <v>1</v>
      </c>
      <c r="L172" s="224">
        <v>0</v>
      </c>
      <c r="M172" s="224">
        <v>0</v>
      </c>
      <c r="N172" s="224">
        <v>1</v>
      </c>
      <c r="O172" s="224">
        <f t="shared" si="0"/>
        <v>1</v>
      </c>
      <c r="P172" s="227">
        <f t="shared" si="1"/>
        <v>1</v>
      </c>
    </row>
    <row r="173" spans="1:16" ht="12.75">
      <c r="A173" s="224">
        <v>172</v>
      </c>
      <c r="B173" s="224">
        <v>975</v>
      </c>
      <c r="C173" s="191" t="s">
        <v>2807</v>
      </c>
      <c r="D173" s="191" t="s">
        <v>45</v>
      </c>
      <c r="E173" s="191" t="s">
        <v>2556</v>
      </c>
      <c r="F173" s="225">
        <v>45682.990972222222</v>
      </c>
      <c r="G173" s="191">
        <v>1</v>
      </c>
      <c r="H173" s="191" t="s">
        <v>2557</v>
      </c>
      <c r="I173" s="224">
        <v>28915</v>
      </c>
      <c r="J173" s="226" t="s">
        <v>2810</v>
      </c>
      <c r="K173" s="224">
        <v>2.99</v>
      </c>
      <c r="L173" s="224">
        <v>0</v>
      </c>
      <c r="M173" s="224">
        <v>0</v>
      </c>
      <c r="N173" s="224">
        <v>1</v>
      </c>
      <c r="O173" s="224">
        <f t="shared" si="0"/>
        <v>2.99</v>
      </c>
      <c r="P173" s="227">
        <f t="shared" si="1"/>
        <v>2.99</v>
      </c>
    </row>
    <row r="174" spans="1:16" ht="12.75">
      <c r="A174" s="224">
        <v>173</v>
      </c>
      <c r="B174" s="224">
        <v>9771</v>
      </c>
      <c r="C174" s="191" t="s">
        <v>2598</v>
      </c>
      <c r="D174" s="191" t="s">
        <v>2582</v>
      </c>
      <c r="E174" s="191" t="s">
        <v>2556</v>
      </c>
      <c r="F174" s="225">
        <v>45683.009722222225</v>
      </c>
      <c r="G174" s="191">
        <v>1</v>
      </c>
      <c r="H174" s="191" t="s">
        <v>2557</v>
      </c>
      <c r="I174" s="224">
        <v>45235</v>
      </c>
      <c r="J174" s="226" t="s">
        <v>2811</v>
      </c>
      <c r="K174" s="224">
        <v>3.99</v>
      </c>
      <c r="L174" s="224">
        <v>0</v>
      </c>
      <c r="M174" s="224">
        <v>0</v>
      </c>
      <c r="N174" s="224">
        <v>7.2470400000000001</v>
      </c>
      <c r="O174" s="224">
        <f t="shared" si="0"/>
        <v>3.99</v>
      </c>
      <c r="P174" s="227">
        <f t="shared" si="1"/>
        <v>0.55056961186912179</v>
      </c>
    </row>
    <row r="175" spans="1:16" ht="12.75">
      <c r="A175" s="224">
        <v>174</v>
      </c>
      <c r="B175" s="224">
        <v>9244</v>
      </c>
      <c r="C175" s="191" t="s">
        <v>2788</v>
      </c>
      <c r="D175" s="191" t="s">
        <v>2582</v>
      </c>
      <c r="E175" s="191" t="s">
        <v>2556</v>
      </c>
      <c r="F175" s="225">
        <v>45683.01458333333</v>
      </c>
      <c r="G175" s="191">
        <v>1</v>
      </c>
      <c r="H175" s="191" t="s">
        <v>2557</v>
      </c>
      <c r="I175" s="224">
        <v>45247</v>
      </c>
      <c r="J175" s="226" t="s">
        <v>2812</v>
      </c>
      <c r="K175" s="224">
        <v>14.42</v>
      </c>
      <c r="L175" s="224">
        <v>0</v>
      </c>
      <c r="M175" s="224">
        <v>0</v>
      </c>
      <c r="N175" s="224">
        <v>7.2470400000000001</v>
      </c>
      <c r="O175" s="224">
        <f t="shared" si="0"/>
        <v>14.42</v>
      </c>
      <c r="P175" s="227">
        <f t="shared" si="1"/>
        <v>1.9897778955270014</v>
      </c>
    </row>
    <row r="176" spans="1:16" ht="12.75">
      <c r="A176" s="224">
        <v>175</v>
      </c>
      <c r="B176" s="224">
        <v>9772</v>
      </c>
      <c r="C176" s="191" t="s">
        <v>2813</v>
      </c>
      <c r="D176" s="191" t="s">
        <v>2582</v>
      </c>
      <c r="E176" s="191" t="s">
        <v>2556</v>
      </c>
      <c r="F176" s="225">
        <v>45683.020138888889</v>
      </c>
      <c r="G176" s="191">
        <v>1</v>
      </c>
      <c r="H176" s="191" t="s">
        <v>2557</v>
      </c>
      <c r="I176" s="224">
        <v>45259</v>
      </c>
      <c r="J176" s="226" t="s">
        <v>2814</v>
      </c>
      <c r="K176" s="224">
        <v>60.88</v>
      </c>
      <c r="L176" s="224">
        <v>0</v>
      </c>
      <c r="M176" s="224">
        <v>0</v>
      </c>
      <c r="N176" s="224">
        <v>7.2470400000000001</v>
      </c>
      <c r="O176" s="224">
        <f t="shared" si="0"/>
        <v>60.88</v>
      </c>
      <c r="P176" s="227">
        <f t="shared" si="1"/>
        <v>8.4006711705744692</v>
      </c>
    </row>
    <row r="177" spans="1:16" ht="12.75">
      <c r="A177" s="224">
        <v>176</v>
      </c>
      <c r="B177" s="224">
        <v>9778</v>
      </c>
      <c r="C177" s="191" t="s">
        <v>2815</v>
      </c>
      <c r="D177" s="191" t="s">
        <v>45</v>
      </c>
      <c r="E177" s="191" t="s">
        <v>2556</v>
      </c>
      <c r="F177" s="225">
        <v>45683.182638888888</v>
      </c>
      <c r="G177" s="191">
        <v>1</v>
      </c>
      <c r="H177" s="191" t="s">
        <v>2557</v>
      </c>
      <c r="I177" s="224">
        <v>45271</v>
      </c>
      <c r="J177" s="226" t="s">
        <v>2816</v>
      </c>
      <c r="K177" s="224">
        <v>20.25</v>
      </c>
      <c r="L177" s="224">
        <v>0</v>
      </c>
      <c r="M177" s="224">
        <v>0</v>
      </c>
      <c r="N177" s="224">
        <v>1</v>
      </c>
      <c r="O177" s="224">
        <f t="shared" si="0"/>
        <v>20.25</v>
      </c>
      <c r="P177" s="227">
        <f t="shared" si="1"/>
        <v>20.25</v>
      </c>
    </row>
    <row r="178" spans="1:16" ht="12.75">
      <c r="A178" s="224">
        <v>177</v>
      </c>
      <c r="B178" s="224">
        <v>3299</v>
      </c>
      <c r="C178" s="191" t="s">
        <v>2598</v>
      </c>
      <c r="D178" s="191" t="s">
        <v>45</v>
      </c>
      <c r="E178" s="191" t="s">
        <v>2556</v>
      </c>
      <c r="F178" s="225">
        <v>45684.476388888892</v>
      </c>
      <c r="G178" s="191">
        <v>1</v>
      </c>
      <c r="H178" s="191" t="s">
        <v>2557</v>
      </c>
      <c r="I178" s="224">
        <v>43183</v>
      </c>
      <c r="J178" s="226" t="s">
        <v>2817</v>
      </c>
      <c r="K178" s="224">
        <v>42.99</v>
      </c>
      <c r="L178" s="224">
        <v>0</v>
      </c>
      <c r="M178" s="224">
        <v>0</v>
      </c>
      <c r="N178" s="224">
        <v>1</v>
      </c>
      <c r="O178" s="224">
        <f t="shared" si="0"/>
        <v>42.99</v>
      </c>
      <c r="P178" s="227">
        <f t="shared" si="1"/>
        <v>42.99</v>
      </c>
    </row>
    <row r="179" spans="1:16" ht="12.75">
      <c r="A179" s="224">
        <v>178</v>
      </c>
      <c r="B179" s="224">
        <v>1560</v>
      </c>
      <c r="C179" s="191" t="s">
        <v>2630</v>
      </c>
      <c r="D179" s="191" t="s">
        <v>45</v>
      </c>
      <c r="E179" s="191" t="s">
        <v>2556</v>
      </c>
      <c r="F179" s="225">
        <v>45684.765277777777</v>
      </c>
      <c r="G179" s="191">
        <v>1</v>
      </c>
      <c r="H179" s="191" t="s">
        <v>2557</v>
      </c>
      <c r="I179" s="224">
        <v>43927</v>
      </c>
      <c r="J179" s="226" t="s">
        <v>2818</v>
      </c>
      <c r="K179" s="224">
        <v>9.9700000000000006</v>
      </c>
      <c r="L179" s="224">
        <v>0</v>
      </c>
      <c r="M179" s="224">
        <v>0</v>
      </c>
      <c r="N179" s="224">
        <v>1</v>
      </c>
      <c r="O179" s="224">
        <f t="shared" si="0"/>
        <v>9.9700000000000006</v>
      </c>
      <c r="P179" s="227">
        <f t="shared" si="1"/>
        <v>9.9700000000000006</v>
      </c>
    </row>
    <row r="180" spans="1:16" ht="12.75">
      <c r="A180" s="224">
        <v>179</v>
      </c>
      <c r="B180" s="224">
        <v>1560</v>
      </c>
      <c r="C180" s="191" t="s">
        <v>2630</v>
      </c>
      <c r="D180" s="191" t="s">
        <v>45</v>
      </c>
      <c r="E180" s="191" t="s">
        <v>2556</v>
      </c>
      <c r="F180" s="225">
        <v>45684.765972222223</v>
      </c>
      <c r="G180" s="191">
        <v>1</v>
      </c>
      <c r="H180" s="191" t="s">
        <v>2557</v>
      </c>
      <c r="I180" s="224">
        <v>43399</v>
      </c>
      <c r="J180" s="226" t="s">
        <v>2819</v>
      </c>
      <c r="K180" s="224">
        <v>3.99</v>
      </c>
      <c r="L180" s="224">
        <v>0</v>
      </c>
      <c r="M180" s="224">
        <v>0</v>
      </c>
      <c r="N180" s="224">
        <v>1</v>
      </c>
      <c r="O180" s="224">
        <f t="shared" si="0"/>
        <v>3.99</v>
      </c>
      <c r="P180" s="227">
        <f t="shared" si="1"/>
        <v>3.99</v>
      </c>
    </row>
    <row r="181" spans="1:16" ht="12.75">
      <c r="A181" s="224">
        <v>180</v>
      </c>
      <c r="B181" s="224">
        <v>99</v>
      </c>
      <c r="C181" s="191" t="s">
        <v>2820</v>
      </c>
      <c r="D181" s="191" t="s">
        <v>45</v>
      </c>
      <c r="E181" s="191" t="s">
        <v>2556</v>
      </c>
      <c r="F181" s="225">
        <v>45684.777083333334</v>
      </c>
      <c r="G181" s="191">
        <v>1</v>
      </c>
      <c r="H181" s="191" t="s">
        <v>2557</v>
      </c>
      <c r="I181" s="224">
        <v>45367</v>
      </c>
      <c r="J181" s="226" t="s">
        <v>2821</v>
      </c>
      <c r="K181" s="224">
        <v>1</v>
      </c>
      <c r="L181" s="224">
        <v>0</v>
      </c>
      <c r="M181" s="224">
        <v>0</v>
      </c>
      <c r="N181" s="224">
        <v>1</v>
      </c>
      <c r="O181" s="224">
        <f t="shared" si="0"/>
        <v>1</v>
      </c>
      <c r="P181" s="227">
        <f t="shared" si="1"/>
        <v>1</v>
      </c>
    </row>
    <row r="182" spans="1:16" ht="12.75">
      <c r="A182" s="224">
        <v>181</v>
      </c>
      <c r="B182" s="224">
        <v>9974</v>
      </c>
      <c r="C182" s="191" t="s">
        <v>2822</v>
      </c>
      <c r="D182" s="191" t="s">
        <v>2582</v>
      </c>
      <c r="E182" s="191" t="s">
        <v>2556</v>
      </c>
      <c r="F182" s="225">
        <v>45685.052777777775</v>
      </c>
      <c r="G182" s="191">
        <v>1</v>
      </c>
      <c r="H182" s="191" t="s">
        <v>2557</v>
      </c>
      <c r="I182" s="224">
        <v>45403</v>
      </c>
      <c r="J182" s="226" t="s">
        <v>2823</v>
      </c>
      <c r="K182" s="224">
        <v>146.75</v>
      </c>
      <c r="L182" s="224">
        <v>0</v>
      </c>
      <c r="M182" s="224">
        <v>0</v>
      </c>
      <c r="N182" s="224">
        <v>7.2470400000000001</v>
      </c>
      <c r="O182" s="224">
        <f t="shared" si="0"/>
        <v>146.75</v>
      </c>
      <c r="P182" s="227">
        <f t="shared" si="1"/>
        <v>20.249646752329227</v>
      </c>
    </row>
    <row r="183" spans="1:16" ht="12.75">
      <c r="A183" s="224">
        <v>182</v>
      </c>
      <c r="B183" s="224">
        <v>9974</v>
      </c>
      <c r="C183" s="191" t="s">
        <v>2822</v>
      </c>
      <c r="D183" s="191" t="s">
        <v>2582</v>
      </c>
      <c r="E183" s="191" t="s">
        <v>2556</v>
      </c>
      <c r="F183" s="225">
        <v>45685.140277777777</v>
      </c>
      <c r="G183" s="191">
        <v>1</v>
      </c>
      <c r="H183" s="191" t="s">
        <v>2557</v>
      </c>
      <c r="I183" s="224">
        <v>45415</v>
      </c>
      <c r="J183" s="226" t="s">
        <v>2824</v>
      </c>
      <c r="K183" s="224">
        <v>146.75</v>
      </c>
      <c r="L183" s="224">
        <v>0</v>
      </c>
      <c r="M183" s="224">
        <v>0</v>
      </c>
      <c r="N183" s="224">
        <v>7.2470400000000001</v>
      </c>
      <c r="O183" s="224">
        <f t="shared" si="0"/>
        <v>146.75</v>
      </c>
      <c r="P183" s="227">
        <f t="shared" si="1"/>
        <v>20.249646752329227</v>
      </c>
    </row>
    <row r="184" spans="1:16" ht="12.75">
      <c r="A184" s="224">
        <v>183</v>
      </c>
      <c r="B184" s="224">
        <v>3747</v>
      </c>
      <c r="C184" s="191" t="s">
        <v>2825</v>
      </c>
      <c r="D184" s="191" t="s">
        <v>2582</v>
      </c>
      <c r="E184" s="191" t="s">
        <v>2556</v>
      </c>
      <c r="F184" s="225">
        <v>45685.308333333334</v>
      </c>
      <c r="G184" s="191">
        <v>1</v>
      </c>
      <c r="H184" s="191" t="s">
        <v>2557</v>
      </c>
      <c r="I184" s="224">
        <v>43195</v>
      </c>
      <c r="J184" s="226" t="s">
        <v>2826</v>
      </c>
      <c r="K184" s="224">
        <v>52.11</v>
      </c>
      <c r="L184" s="224">
        <v>0</v>
      </c>
      <c r="M184" s="224">
        <v>0</v>
      </c>
      <c r="N184" s="224">
        <v>7.2470400000000001</v>
      </c>
      <c r="O184" s="224">
        <f t="shared" si="0"/>
        <v>52.11</v>
      </c>
      <c r="P184" s="227">
        <f t="shared" si="1"/>
        <v>7.1905219234335673</v>
      </c>
    </row>
    <row r="185" spans="1:16" ht="12.75">
      <c r="A185" s="224">
        <v>184</v>
      </c>
      <c r="B185" s="224">
        <v>3747</v>
      </c>
      <c r="C185" s="191" t="s">
        <v>2825</v>
      </c>
      <c r="D185" s="191" t="s">
        <v>2582</v>
      </c>
      <c r="E185" s="191" t="s">
        <v>2556</v>
      </c>
      <c r="F185" s="225">
        <v>45685.395833333336</v>
      </c>
      <c r="G185" s="191">
        <v>1</v>
      </c>
      <c r="H185" s="191" t="s">
        <v>2557</v>
      </c>
      <c r="I185" s="224">
        <v>43195</v>
      </c>
      <c r="J185" s="226"/>
      <c r="K185" s="224">
        <v>0.01</v>
      </c>
      <c r="L185" s="224">
        <v>0</v>
      </c>
      <c r="M185" s="224">
        <v>0</v>
      </c>
      <c r="N185" s="224">
        <v>7.2465299999999999</v>
      </c>
      <c r="O185" s="224">
        <f t="shared" si="0"/>
        <v>0.01</v>
      </c>
      <c r="P185" s="227">
        <f t="shared" si="1"/>
        <v>1.3799708274167084E-3</v>
      </c>
    </row>
    <row r="186" spans="1:16" ht="12.75">
      <c r="A186" s="224">
        <v>185</v>
      </c>
      <c r="B186" s="224">
        <v>1046</v>
      </c>
      <c r="C186" s="191" t="s">
        <v>2827</v>
      </c>
      <c r="D186" s="191" t="s">
        <v>45</v>
      </c>
      <c r="E186" s="191" t="s">
        <v>2556</v>
      </c>
      <c r="F186" s="225">
        <v>45685.413194444445</v>
      </c>
      <c r="G186" s="191">
        <v>1</v>
      </c>
      <c r="H186" s="191" t="s">
        <v>2557</v>
      </c>
      <c r="I186" s="224">
        <v>45451</v>
      </c>
      <c r="J186" s="226" t="s">
        <v>2828</v>
      </c>
      <c r="K186" s="224">
        <v>1.99</v>
      </c>
      <c r="L186" s="224">
        <v>0</v>
      </c>
      <c r="M186" s="224">
        <v>0</v>
      </c>
      <c r="N186" s="224">
        <v>1</v>
      </c>
      <c r="O186" s="224">
        <f t="shared" si="0"/>
        <v>1.99</v>
      </c>
      <c r="P186" s="227">
        <f t="shared" si="1"/>
        <v>1.99</v>
      </c>
    </row>
    <row r="187" spans="1:16" ht="12.75">
      <c r="A187" s="224">
        <v>186</v>
      </c>
      <c r="B187" s="224">
        <v>10204</v>
      </c>
      <c r="C187" s="191" t="s">
        <v>2829</v>
      </c>
      <c r="D187" s="191" t="s">
        <v>45</v>
      </c>
      <c r="E187" s="191" t="s">
        <v>2556</v>
      </c>
      <c r="F187" s="225">
        <v>45685.790277777778</v>
      </c>
      <c r="G187" s="191">
        <v>1</v>
      </c>
      <c r="H187" s="191" t="s">
        <v>2557</v>
      </c>
      <c r="I187" s="224">
        <v>45475</v>
      </c>
      <c r="J187" s="226" t="s">
        <v>2830</v>
      </c>
      <c r="K187" s="224">
        <v>4</v>
      </c>
      <c r="L187" s="224">
        <v>0</v>
      </c>
      <c r="M187" s="224">
        <v>0</v>
      </c>
      <c r="N187" s="224">
        <v>1</v>
      </c>
      <c r="O187" s="224">
        <f t="shared" si="0"/>
        <v>4</v>
      </c>
      <c r="P187" s="227">
        <f t="shared" si="1"/>
        <v>4</v>
      </c>
    </row>
    <row r="188" spans="1:16" ht="12.75">
      <c r="A188" s="224">
        <v>187</v>
      </c>
      <c r="B188" s="170">
        <v>10218</v>
      </c>
      <c r="C188" s="172" t="s">
        <v>2831</v>
      </c>
      <c r="D188" s="172" t="s">
        <v>45</v>
      </c>
      <c r="E188" s="172" t="s">
        <v>2572</v>
      </c>
      <c r="F188" s="228">
        <v>45685.849305555559</v>
      </c>
      <c r="G188" s="172">
        <v>1</v>
      </c>
      <c r="H188" s="172" t="s">
        <v>2557</v>
      </c>
      <c r="I188" s="170">
        <v>45487</v>
      </c>
      <c r="J188" s="229" t="s">
        <v>2832</v>
      </c>
      <c r="K188" s="170">
        <v>4</v>
      </c>
      <c r="L188" s="170">
        <v>0</v>
      </c>
      <c r="M188" s="170">
        <v>0</v>
      </c>
      <c r="N188" s="170">
        <v>1</v>
      </c>
      <c r="O188" s="170">
        <f t="shared" si="0"/>
        <v>4</v>
      </c>
      <c r="P188" s="230">
        <f t="shared" si="1"/>
        <v>4</v>
      </c>
    </row>
    <row r="189" spans="1:16" ht="12.75">
      <c r="A189" s="224">
        <v>188</v>
      </c>
      <c r="B189" s="170">
        <v>10262</v>
      </c>
      <c r="C189" s="172" t="s">
        <v>2833</v>
      </c>
      <c r="D189" s="172" t="s">
        <v>45</v>
      </c>
      <c r="E189" s="172" t="s">
        <v>2572</v>
      </c>
      <c r="F189" s="228">
        <v>45685.98541666667</v>
      </c>
      <c r="G189" s="172">
        <v>1</v>
      </c>
      <c r="H189" s="172" t="s">
        <v>2557</v>
      </c>
      <c r="I189" s="170">
        <v>45511</v>
      </c>
      <c r="J189" s="229" t="s">
        <v>2834</v>
      </c>
      <c r="K189" s="170">
        <v>20.25</v>
      </c>
      <c r="L189" s="170">
        <v>0</v>
      </c>
      <c r="M189" s="170">
        <v>0</v>
      </c>
      <c r="N189" s="170">
        <v>1</v>
      </c>
      <c r="O189" s="170">
        <f t="shared" si="0"/>
        <v>20.25</v>
      </c>
      <c r="P189" s="230">
        <f t="shared" si="1"/>
        <v>20.25</v>
      </c>
    </row>
    <row r="190" spans="1:16" ht="12.75">
      <c r="A190" s="224">
        <v>189</v>
      </c>
      <c r="B190" s="224">
        <v>1095</v>
      </c>
      <c r="C190" s="191" t="s">
        <v>2835</v>
      </c>
      <c r="D190" s="191" t="s">
        <v>45</v>
      </c>
      <c r="E190" s="191" t="s">
        <v>9</v>
      </c>
      <c r="F190" s="225">
        <v>45686</v>
      </c>
      <c r="G190" s="191">
        <v>1</v>
      </c>
      <c r="H190" s="191" t="s">
        <v>2557</v>
      </c>
      <c r="I190" s="224">
        <v>45559</v>
      </c>
      <c r="J190" s="226"/>
      <c r="K190" s="224">
        <v>0</v>
      </c>
      <c r="L190" s="224">
        <v>0</v>
      </c>
      <c r="M190" s="224">
        <v>0</v>
      </c>
      <c r="N190" s="224">
        <v>1</v>
      </c>
      <c r="O190" s="224">
        <f t="shared" si="0"/>
        <v>0</v>
      </c>
      <c r="P190" s="227">
        <f t="shared" si="1"/>
        <v>0</v>
      </c>
    </row>
    <row r="191" spans="1:16" ht="12.75">
      <c r="A191" s="224">
        <v>190</v>
      </c>
      <c r="B191" s="224">
        <v>10330</v>
      </c>
      <c r="C191" s="191" t="s">
        <v>2836</v>
      </c>
      <c r="D191" s="191" t="s">
        <v>45</v>
      </c>
      <c r="E191" s="191" t="s">
        <v>2556</v>
      </c>
      <c r="F191" s="225">
        <v>45686</v>
      </c>
      <c r="G191" s="191">
        <v>1</v>
      </c>
      <c r="H191" s="191" t="s">
        <v>2557</v>
      </c>
      <c r="I191" s="224">
        <v>45607</v>
      </c>
      <c r="J191" s="226"/>
      <c r="K191" s="224">
        <v>0</v>
      </c>
      <c r="L191" s="224">
        <v>0</v>
      </c>
      <c r="M191" s="224">
        <v>0</v>
      </c>
      <c r="N191" s="224">
        <v>1</v>
      </c>
      <c r="O191" s="224">
        <f t="shared" si="0"/>
        <v>0</v>
      </c>
      <c r="P191" s="227">
        <f t="shared" si="1"/>
        <v>0</v>
      </c>
    </row>
    <row r="192" spans="1:16" ht="12.75">
      <c r="A192" s="224">
        <v>191</v>
      </c>
      <c r="B192" s="224">
        <v>9969</v>
      </c>
      <c r="C192" s="191" t="s">
        <v>2837</v>
      </c>
      <c r="D192" s="191" t="s">
        <v>45</v>
      </c>
      <c r="E192" s="191" t="s">
        <v>2556</v>
      </c>
      <c r="F192" s="225">
        <v>45686.066666666666</v>
      </c>
      <c r="G192" s="191">
        <v>1</v>
      </c>
      <c r="H192" s="191" t="s">
        <v>2557</v>
      </c>
      <c r="I192" s="224">
        <v>45547</v>
      </c>
      <c r="J192" s="226" t="s">
        <v>2838</v>
      </c>
      <c r="K192" s="224">
        <v>20.25</v>
      </c>
      <c r="L192" s="224">
        <v>0</v>
      </c>
      <c r="M192" s="224">
        <v>0</v>
      </c>
      <c r="N192" s="224">
        <v>1</v>
      </c>
      <c r="O192" s="224">
        <f t="shared" si="0"/>
        <v>20.25</v>
      </c>
      <c r="P192" s="227">
        <f t="shared" si="1"/>
        <v>20.25</v>
      </c>
    </row>
    <row r="193" spans="1:16" ht="12.75">
      <c r="A193" s="224">
        <v>192</v>
      </c>
      <c r="B193" s="224">
        <v>3364</v>
      </c>
      <c r="C193" s="191" t="s">
        <v>2677</v>
      </c>
      <c r="D193" s="191" t="s">
        <v>45</v>
      </c>
      <c r="E193" s="191" t="s">
        <v>2556</v>
      </c>
      <c r="F193" s="225">
        <v>45686.493055555555</v>
      </c>
      <c r="G193" s="191">
        <v>1</v>
      </c>
      <c r="H193" s="191" t="s">
        <v>2557</v>
      </c>
      <c r="I193" s="224">
        <v>45667</v>
      </c>
      <c r="J193" s="226" t="s">
        <v>2839</v>
      </c>
      <c r="K193" s="224">
        <v>3.99</v>
      </c>
      <c r="L193" s="224">
        <v>0</v>
      </c>
      <c r="M193" s="224">
        <v>0</v>
      </c>
      <c r="N193" s="224">
        <v>1</v>
      </c>
      <c r="O193" s="224">
        <f t="shared" si="0"/>
        <v>3.99</v>
      </c>
      <c r="P193" s="227">
        <f t="shared" si="1"/>
        <v>3.99</v>
      </c>
    </row>
    <row r="194" spans="1:16" ht="12.75">
      <c r="A194" s="224">
        <v>193</v>
      </c>
      <c r="B194" s="224">
        <v>6421</v>
      </c>
      <c r="C194" s="191" t="s">
        <v>2652</v>
      </c>
      <c r="D194" s="191" t="s">
        <v>45</v>
      </c>
      <c r="E194" s="191" t="s">
        <v>2556</v>
      </c>
      <c r="F194" s="225">
        <v>45686.580555555556</v>
      </c>
      <c r="G194" s="191">
        <v>1</v>
      </c>
      <c r="H194" s="191" t="s">
        <v>2557</v>
      </c>
      <c r="I194" s="224">
        <v>45679</v>
      </c>
      <c r="J194" s="226" t="s">
        <v>2840</v>
      </c>
      <c r="K194" s="224">
        <v>20.25</v>
      </c>
      <c r="L194" s="224">
        <v>0</v>
      </c>
      <c r="M194" s="224">
        <v>0</v>
      </c>
      <c r="N194" s="224">
        <v>1</v>
      </c>
      <c r="O194" s="224">
        <f t="shared" si="0"/>
        <v>20.25</v>
      </c>
      <c r="P194" s="227">
        <f t="shared" si="1"/>
        <v>20.25</v>
      </c>
    </row>
    <row r="195" spans="1:16" ht="12.75">
      <c r="A195" s="224">
        <v>194</v>
      </c>
      <c r="B195" s="224">
        <v>8106</v>
      </c>
      <c r="C195" s="191" t="s">
        <v>2740</v>
      </c>
      <c r="D195" s="191" t="s">
        <v>45</v>
      </c>
      <c r="E195" s="191" t="s">
        <v>2556</v>
      </c>
      <c r="F195" s="225">
        <v>45686.6875</v>
      </c>
      <c r="G195" s="191">
        <v>1</v>
      </c>
      <c r="H195" s="191" t="s">
        <v>2557</v>
      </c>
      <c r="I195" s="224">
        <v>45691</v>
      </c>
      <c r="J195" s="226" t="s">
        <v>2841</v>
      </c>
      <c r="K195" s="224">
        <v>3.99</v>
      </c>
      <c r="L195" s="224">
        <v>0</v>
      </c>
      <c r="M195" s="224">
        <v>0</v>
      </c>
      <c r="N195" s="224">
        <v>1</v>
      </c>
      <c r="O195" s="224">
        <f t="shared" si="0"/>
        <v>3.99</v>
      </c>
      <c r="P195" s="227">
        <f t="shared" si="1"/>
        <v>3.99</v>
      </c>
    </row>
    <row r="196" spans="1:16" ht="12.75">
      <c r="A196" s="224">
        <v>195</v>
      </c>
      <c r="B196" s="224">
        <v>2233</v>
      </c>
      <c r="C196" s="191" t="s">
        <v>2842</v>
      </c>
      <c r="D196" s="191" t="s">
        <v>45</v>
      </c>
      <c r="E196" s="191" t="s">
        <v>2556</v>
      </c>
      <c r="F196" s="225">
        <v>45687.70208333333</v>
      </c>
      <c r="G196" s="191">
        <v>1</v>
      </c>
      <c r="H196" s="191" t="s">
        <v>2557</v>
      </c>
      <c r="I196" s="224">
        <v>45787</v>
      </c>
      <c r="J196" s="226" t="s">
        <v>2843</v>
      </c>
      <c r="K196" s="224">
        <v>6.99</v>
      </c>
      <c r="L196" s="224">
        <v>0</v>
      </c>
      <c r="M196" s="224">
        <v>0</v>
      </c>
      <c r="N196" s="224">
        <v>1</v>
      </c>
      <c r="O196" s="224">
        <f t="shared" si="0"/>
        <v>6.99</v>
      </c>
      <c r="P196" s="227">
        <f t="shared" si="1"/>
        <v>6.99</v>
      </c>
    </row>
    <row r="197" spans="1:16" ht="12.75">
      <c r="A197" s="224">
        <v>196</v>
      </c>
      <c r="B197" s="224">
        <v>3826</v>
      </c>
      <c r="C197" s="191" t="s">
        <v>423</v>
      </c>
      <c r="D197" s="191" t="s">
        <v>45</v>
      </c>
      <c r="E197" s="191" t="s">
        <v>9</v>
      </c>
      <c r="F197" s="225">
        <v>45687.791666666664</v>
      </c>
      <c r="G197" s="191">
        <v>1</v>
      </c>
      <c r="H197" s="191" t="s">
        <v>2557</v>
      </c>
      <c r="I197" s="224">
        <v>43411</v>
      </c>
      <c r="J197" s="226" t="s">
        <v>333</v>
      </c>
      <c r="K197" s="224">
        <v>1.0900000000000001</v>
      </c>
      <c r="L197" s="224">
        <v>0.54</v>
      </c>
      <c r="M197" s="224">
        <v>0</v>
      </c>
      <c r="N197" s="224">
        <v>1</v>
      </c>
      <c r="O197" s="224">
        <f t="shared" si="0"/>
        <v>0.55000000000000004</v>
      </c>
      <c r="P197" s="227">
        <f t="shared" si="1"/>
        <v>0.55000000000000004</v>
      </c>
    </row>
    <row r="198" spans="1:16" ht="12.75">
      <c r="A198" s="224">
        <v>197</v>
      </c>
      <c r="B198" s="224">
        <v>3974</v>
      </c>
      <c r="C198" s="191" t="s">
        <v>2844</v>
      </c>
      <c r="D198" s="191" t="s">
        <v>45</v>
      </c>
      <c r="E198" s="191" t="s">
        <v>2556</v>
      </c>
      <c r="F198" s="225">
        <v>45687.964583333334</v>
      </c>
      <c r="G198" s="191">
        <v>1</v>
      </c>
      <c r="H198" s="191" t="s">
        <v>2557</v>
      </c>
      <c r="I198" s="224">
        <v>44527</v>
      </c>
      <c r="J198" s="226" t="s">
        <v>2845</v>
      </c>
      <c r="K198" s="224">
        <v>1.99</v>
      </c>
      <c r="L198" s="224">
        <v>0</v>
      </c>
      <c r="M198" s="224">
        <v>0</v>
      </c>
      <c r="N198" s="224">
        <v>1</v>
      </c>
      <c r="O198" s="224">
        <f t="shared" si="0"/>
        <v>1.99</v>
      </c>
      <c r="P198" s="227">
        <f t="shared" si="1"/>
        <v>1.99</v>
      </c>
    </row>
    <row r="199" spans="1:16" ht="12.75">
      <c r="A199" s="224">
        <v>198</v>
      </c>
      <c r="B199" s="224">
        <v>3974</v>
      </c>
      <c r="C199" s="191" t="s">
        <v>2844</v>
      </c>
      <c r="D199" s="191" t="s">
        <v>45</v>
      </c>
      <c r="E199" s="191" t="s">
        <v>2556</v>
      </c>
      <c r="F199" s="225">
        <v>45687.970833333333</v>
      </c>
      <c r="G199" s="191">
        <v>1</v>
      </c>
      <c r="H199" s="191" t="s">
        <v>2557</v>
      </c>
      <c r="I199" s="224">
        <v>44407</v>
      </c>
      <c r="J199" s="226" t="s">
        <v>2846</v>
      </c>
      <c r="K199" s="224">
        <v>1.99</v>
      </c>
      <c r="L199" s="224">
        <v>0</v>
      </c>
      <c r="M199" s="224">
        <v>0</v>
      </c>
      <c r="N199" s="224">
        <v>1</v>
      </c>
      <c r="O199" s="224">
        <f t="shared" si="0"/>
        <v>1.99</v>
      </c>
      <c r="P199" s="227">
        <f t="shared" si="1"/>
        <v>1.99</v>
      </c>
    </row>
    <row r="200" spans="1:16" ht="12.75">
      <c r="A200" s="224">
        <v>199</v>
      </c>
      <c r="B200" s="224">
        <v>226</v>
      </c>
      <c r="C200" s="191" t="s">
        <v>2847</v>
      </c>
      <c r="D200" s="191" t="s">
        <v>2582</v>
      </c>
      <c r="E200" s="191" t="s">
        <v>2556</v>
      </c>
      <c r="F200" s="225">
        <v>45687.99722222222</v>
      </c>
      <c r="G200" s="191">
        <v>1</v>
      </c>
      <c r="H200" s="191" t="s">
        <v>2557</v>
      </c>
      <c r="I200" s="224">
        <v>45811</v>
      </c>
      <c r="J200" s="226" t="s">
        <v>2848</v>
      </c>
      <c r="K200" s="224">
        <v>14.43</v>
      </c>
      <c r="L200" s="224">
        <v>0</v>
      </c>
      <c r="M200" s="224">
        <v>0</v>
      </c>
      <c r="N200" s="224">
        <v>7.2513500000000004</v>
      </c>
      <c r="O200" s="224">
        <f t="shared" si="0"/>
        <v>14.43</v>
      </c>
      <c r="P200" s="227">
        <f t="shared" si="1"/>
        <v>1.9899742806511889</v>
      </c>
    </row>
    <row r="201" spans="1:16" ht="12.75">
      <c r="A201" s="224">
        <v>200</v>
      </c>
      <c r="B201" s="170">
        <v>7698</v>
      </c>
      <c r="C201" s="172" t="s">
        <v>2710</v>
      </c>
      <c r="D201" s="172" t="s">
        <v>45</v>
      </c>
      <c r="E201" s="172" t="s">
        <v>2572</v>
      </c>
      <c r="F201" s="228">
        <v>45688.061805555553</v>
      </c>
      <c r="G201" s="172">
        <v>1</v>
      </c>
      <c r="H201" s="172" t="s">
        <v>2557</v>
      </c>
      <c r="I201" s="170">
        <v>45799</v>
      </c>
      <c r="J201" s="229" t="s">
        <v>2849</v>
      </c>
      <c r="K201" s="170">
        <v>17.989999999999998</v>
      </c>
      <c r="L201" s="170">
        <v>0</v>
      </c>
      <c r="M201" s="170">
        <v>0</v>
      </c>
      <c r="N201" s="170">
        <v>1</v>
      </c>
      <c r="O201" s="170">
        <f t="shared" si="0"/>
        <v>17.989999999999998</v>
      </c>
      <c r="P201" s="230">
        <f t="shared" si="1"/>
        <v>17.989999999999998</v>
      </c>
    </row>
    <row r="202" spans="1:16" ht="12.75">
      <c r="A202" s="224">
        <v>201</v>
      </c>
      <c r="B202" s="224">
        <v>1836</v>
      </c>
      <c r="C202" s="191" t="s">
        <v>2598</v>
      </c>
      <c r="D202" s="191" t="s">
        <v>2582</v>
      </c>
      <c r="E202" s="191" t="s">
        <v>2556</v>
      </c>
      <c r="F202" s="225">
        <v>45688.379166666666</v>
      </c>
      <c r="G202" s="191">
        <v>1</v>
      </c>
      <c r="H202" s="191" t="s">
        <v>2557</v>
      </c>
      <c r="I202" s="224">
        <v>45091</v>
      </c>
      <c r="J202" s="226" t="s">
        <v>2850</v>
      </c>
      <c r="K202" s="224">
        <v>87.09</v>
      </c>
      <c r="L202" s="224">
        <v>0</v>
      </c>
      <c r="M202" s="224">
        <v>0</v>
      </c>
      <c r="N202" s="224">
        <v>7.2513699999999996</v>
      </c>
      <c r="O202" s="224">
        <f t="shared" si="0"/>
        <v>87.09</v>
      </c>
      <c r="P202" s="227">
        <f t="shared" si="1"/>
        <v>12.01014428997555</v>
      </c>
    </row>
    <row r="203" spans="1:16" ht="12.75">
      <c r="A203" s="224">
        <v>202</v>
      </c>
      <c r="B203" s="224">
        <v>1836</v>
      </c>
      <c r="C203" s="191" t="s">
        <v>2598</v>
      </c>
      <c r="D203" s="191" t="s">
        <v>2582</v>
      </c>
      <c r="E203" s="191" t="s">
        <v>2556</v>
      </c>
      <c r="F203" s="225">
        <v>45688.379861111112</v>
      </c>
      <c r="G203" s="191">
        <v>1</v>
      </c>
      <c r="H203" s="191" t="s">
        <v>2557</v>
      </c>
      <c r="I203" s="224">
        <v>45307</v>
      </c>
      <c r="J203" s="226" t="s">
        <v>2851</v>
      </c>
      <c r="K203" s="224">
        <v>86</v>
      </c>
      <c r="L203" s="224">
        <v>0</v>
      </c>
      <c r="M203" s="224">
        <v>0</v>
      </c>
      <c r="N203" s="224">
        <v>7.2513699999999996</v>
      </c>
      <c r="O203" s="224">
        <f t="shared" si="0"/>
        <v>86</v>
      </c>
      <c r="P203" s="227">
        <f t="shared" si="1"/>
        <v>11.859827867009958</v>
      </c>
    </row>
    <row r="204" spans="1:16" ht="12.75">
      <c r="A204" s="224">
        <v>203</v>
      </c>
      <c r="B204" s="224">
        <v>11019</v>
      </c>
      <c r="C204" s="191" t="s">
        <v>2852</v>
      </c>
      <c r="D204" s="191" t="s">
        <v>45</v>
      </c>
      <c r="E204" s="191" t="s">
        <v>2556</v>
      </c>
      <c r="F204" s="225">
        <v>45688.445833333331</v>
      </c>
      <c r="G204" s="191">
        <v>1</v>
      </c>
      <c r="H204" s="191" t="s">
        <v>2557</v>
      </c>
      <c r="I204" s="224">
        <v>45835</v>
      </c>
      <c r="J204" s="226" t="s">
        <v>2853</v>
      </c>
      <c r="K204" s="224">
        <v>8.39</v>
      </c>
      <c r="L204" s="224">
        <v>0</v>
      </c>
      <c r="M204" s="224">
        <v>0</v>
      </c>
      <c r="N204" s="224">
        <v>1</v>
      </c>
      <c r="O204" s="224">
        <f t="shared" si="0"/>
        <v>8.39</v>
      </c>
      <c r="P204" s="227">
        <f t="shared" si="1"/>
        <v>8.39</v>
      </c>
    </row>
    <row r="205" spans="1:16" ht="12.75">
      <c r="A205" s="224">
        <v>204</v>
      </c>
      <c r="B205" s="224">
        <v>11023</v>
      </c>
      <c r="C205" s="191" t="s">
        <v>2854</v>
      </c>
      <c r="D205" s="191" t="s">
        <v>45</v>
      </c>
      <c r="E205" s="191" t="s">
        <v>2556</v>
      </c>
      <c r="F205" s="225">
        <v>45688.475694444445</v>
      </c>
      <c r="G205" s="191">
        <v>1</v>
      </c>
      <c r="H205" s="191" t="s">
        <v>2557</v>
      </c>
      <c r="I205" s="224">
        <v>45847</v>
      </c>
      <c r="J205" s="226" t="s">
        <v>2855</v>
      </c>
      <c r="K205" s="224">
        <v>17.989999999999998</v>
      </c>
      <c r="L205" s="224">
        <v>0</v>
      </c>
      <c r="M205" s="224">
        <v>0</v>
      </c>
      <c r="N205" s="224">
        <v>1</v>
      </c>
      <c r="O205" s="224">
        <f t="shared" si="0"/>
        <v>17.989999999999998</v>
      </c>
      <c r="P205" s="227">
        <f t="shared" si="1"/>
        <v>17.989999999999998</v>
      </c>
    </row>
    <row r="206" spans="1:16" ht="12.75">
      <c r="A206" s="224">
        <v>205</v>
      </c>
      <c r="B206" s="224">
        <v>4776</v>
      </c>
      <c r="C206" s="191" t="s">
        <v>2856</v>
      </c>
      <c r="D206" s="191" t="s">
        <v>45</v>
      </c>
      <c r="E206" s="191" t="s">
        <v>2556</v>
      </c>
      <c r="F206" s="225">
        <v>45688.678472222222</v>
      </c>
      <c r="G206" s="191">
        <v>1</v>
      </c>
      <c r="H206" s="191" t="s">
        <v>2557</v>
      </c>
      <c r="I206" s="224">
        <v>45895</v>
      </c>
      <c r="J206" s="226" t="s">
        <v>2857</v>
      </c>
      <c r="K206" s="224">
        <v>6.99</v>
      </c>
      <c r="L206" s="224">
        <v>0</v>
      </c>
      <c r="M206" s="224">
        <v>0</v>
      </c>
      <c r="N206" s="224">
        <v>1</v>
      </c>
      <c r="O206" s="224">
        <f t="shared" si="0"/>
        <v>6.99</v>
      </c>
      <c r="P206" s="227">
        <f t="shared" si="1"/>
        <v>6.99</v>
      </c>
    </row>
    <row r="207" spans="1:16" ht="12.75">
      <c r="A207" s="224">
        <v>206</v>
      </c>
      <c r="B207" s="224">
        <v>13026</v>
      </c>
      <c r="C207" s="191" t="s">
        <v>2858</v>
      </c>
      <c r="D207" s="191" t="s">
        <v>45</v>
      </c>
      <c r="E207" s="191" t="s">
        <v>2556</v>
      </c>
      <c r="F207" s="225">
        <v>45688.92291666667</v>
      </c>
      <c r="G207" s="191">
        <v>1</v>
      </c>
      <c r="H207" s="191" t="s">
        <v>2557</v>
      </c>
      <c r="I207" s="224">
        <v>45907</v>
      </c>
      <c r="J207" s="226" t="s">
        <v>2859</v>
      </c>
      <c r="K207" s="224">
        <v>3.99</v>
      </c>
      <c r="L207" s="224">
        <v>0</v>
      </c>
      <c r="M207" s="224">
        <v>0</v>
      </c>
      <c r="N207" s="224">
        <v>1</v>
      </c>
      <c r="O207" s="224">
        <f t="shared" si="0"/>
        <v>3.99</v>
      </c>
      <c r="P207" s="227">
        <f t="shared" si="1"/>
        <v>3.99</v>
      </c>
    </row>
    <row r="208" spans="1:16" ht="14.25">
      <c r="A208" s="224">
        <v>207</v>
      </c>
      <c r="B208" s="58">
        <v>1560</v>
      </c>
      <c r="C208" s="57" t="s">
        <v>2630</v>
      </c>
      <c r="D208" s="57" t="s">
        <v>45</v>
      </c>
      <c r="E208" s="57" t="s">
        <v>2860</v>
      </c>
      <c r="F208" s="233">
        <v>45689.550694444442</v>
      </c>
      <c r="G208" s="57">
        <v>2</v>
      </c>
      <c r="H208" s="57" t="s">
        <v>2557</v>
      </c>
      <c r="I208" s="58">
        <v>45571</v>
      </c>
      <c r="J208" s="234" t="s">
        <v>2861</v>
      </c>
      <c r="K208" s="58">
        <v>8.9700000000000006</v>
      </c>
      <c r="L208" s="58">
        <v>0</v>
      </c>
      <c r="M208" s="58">
        <v>0</v>
      </c>
      <c r="N208" s="58">
        <v>1</v>
      </c>
      <c r="O208" s="224">
        <f t="shared" si="0"/>
        <v>8.9700000000000006</v>
      </c>
      <c r="P208" s="227">
        <f t="shared" si="1"/>
        <v>8.9700000000000006</v>
      </c>
    </row>
    <row r="209" spans="1:16" ht="14.25">
      <c r="A209" s="224">
        <v>208</v>
      </c>
      <c r="B209" s="58">
        <v>1560</v>
      </c>
      <c r="C209" s="57" t="s">
        <v>2630</v>
      </c>
      <c r="D209" s="57" t="s">
        <v>45</v>
      </c>
      <c r="E209" s="57" t="s">
        <v>2860</v>
      </c>
      <c r="F209" s="233">
        <v>45689.551388888889</v>
      </c>
      <c r="G209" s="57">
        <v>2</v>
      </c>
      <c r="H209" s="57" t="s">
        <v>2557</v>
      </c>
      <c r="I209" s="58">
        <v>45823</v>
      </c>
      <c r="J209" s="234" t="s">
        <v>2862</v>
      </c>
      <c r="K209" s="58">
        <v>5.98</v>
      </c>
      <c r="L209" s="58">
        <v>0</v>
      </c>
      <c r="M209" s="58">
        <v>0</v>
      </c>
      <c r="N209" s="58">
        <v>1</v>
      </c>
      <c r="O209" s="224">
        <f t="shared" si="0"/>
        <v>5.98</v>
      </c>
      <c r="P209" s="227">
        <f t="shared" si="1"/>
        <v>5.98</v>
      </c>
    </row>
    <row r="210" spans="1:16" ht="14.25">
      <c r="A210" s="224">
        <v>209</v>
      </c>
      <c r="B210" s="58">
        <v>1560</v>
      </c>
      <c r="C210" s="57" t="s">
        <v>2630</v>
      </c>
      <c r="D210" s="57" t="s">
        <v>45</v>
      </c>
      <c r="E210" s="57" t="s">
        <v>2860</v>
      </c>
      <c r="F210" s="233">
        <v>45689.552083333336</v>
      </c>
      <c r="G210" s="57">
        <v>2</v>
      </c>
      <c r="H210" s="57" t="s">
        <v>2557</v>
      </c>
      <c r="I210" s="58">
        <v>45919</v>
      </c>
      <c r="J210" s="234" t="s">
        <v>2863</v>
      </c>
      <c r="K210" s="58">
        <v>2.99</v>
      </c>
      <c r="L210" s="58">
        <v>0</v>
      </c>
      <c r="M210" s="58">
        <v>0</v>
      </c>
      <c r="N210" s="58">
        <v>1</v>
      </c>
      <c r="O210" s="224">
        <f t="shared" si="0"/>
        <v>2.99</v>
      </c>
      <c r="P210" s="227">
        <f t="shared" si="1"/>
        <v>2.99</v>
      </c>
    </row>
    <row r="211" spans="1:16" ht="14.25">
      <c r="A211" s="224">
        <v>210</v>
      </c>
      <c r="B211" s="58">
        <v>17331</v>
      </c>
      <c r="C211" s="57" t="s">
        <v>2864</v>
      </c>
      <c r="D211" s="57" t="s">
        <v>45</v>
      </c>
      <c r="E211" s="57" t="s">
        <v>2860</v>
      </c>
      <c r="F211" s="233">
        <v>45689.930555555555</v>
      </c>
      <c r="G211" s="57">
        <v>2</v>
      </c>
      <c r="H211" s="57" t="s">
        <v>2557</v>
      </c>
      <c r="I211" s="58">
        <v>45991</v>
      </c>
      <c r="J211" s="234" t="s">
        <v>2865</v>
      </c>
      <c r="K211" s="58">
        <v>5.99</v>
      </c>
      <c r="L211" s="58">
        <v>0</v>
      </c>
      <c r="M211" s="58">
        <v>0</v>
      </c>
      <c r="N211" s="58">
        <v>1</v>
      </c>
      <c r="O211" s="224">
        <f t="shared" si="0"/>
        <v>5.99</v>
      </c>
      <c r="P211" s="227">
        <f t="shared" si="1"/>
        <v>5.99</v>
      </c>
    </row>
    <row r="212" spans="1:16" ht="14.25">
      <c r="A212" s="224">
        <v>211</v>
      </c>
      <c r="B212" s="58">
        <v>17559</v>
      </c>
      <c r="C212" s="57" t="s">
        <v>2866</v>
      </c>
      <c r="D212" s="57" t="s">
        <v>45</v>
      </c>
      <c r="E212" s="57" t="s">
        <v>2860</v>
      </c>
      <c r="F212" s="233">
        <v>45689.991666666669</v>
      </c>
      <c r="G212" s="57">
        <v>2</v>
      </c>
      <c r="H212" s="57" t="s">
        <v>2557</v>
      </c>
      <c r="I212" s="58">
        <v>46027</v>
      </c>
      <c r="J212" s="234" t="s">
        <v>2867</v>
      </c>
      <c r="K212" s="58">
        <v>7.99</v>
      </c>
      <c r="L212" s="58">
        <v>0</v>
      </c>
      <c r="M212" s="58">
        <v>0</v>
      </c>
      <c r="N212" s="58">
        <v>1</v>
      </c>
      <c r="O212" s="224">
        <f t="shared" si="0"/>
        <v>7.99</v>
      </c>
      <c r="P212" s="227">
        <f t="shared" si="1"/>
        <v>7.99</v>
      </c>
    </row>
    <row r="213" spans="1:16" ht="14.25">
      <c r="A213" s="224">
        <v>212</v>
      </c>
      <c r="B213" s="58">
        <v>143</v>
      </c>
      <c r="C213" s="57" t="s">
        <v>2868</v>
      </c>
      <c r="D213" s="57" t="s">
        <v>45</v>
      </c>
      <c r="E213" s="57" t="s">
        <v>2860</v>
      </c>
      <c r="F213" s="233">
        <v>45690</v>
      </c>
      <c r="G213" s="57">
        <v>2</v>
      </c>
      <c r="H213" s="57" t="s">
        <v>2557</v>
      </c>
      <c r="I213" s="58">
        <v>46207</v>
      </c>
      <c r="J213" s="234"/>
      <c r="K213" s="58">
        <v>0</v>
      </c>
      <c r="L213" s="58">
        <v>0</v>
      </c>
      <c r="M213" s="58">
        <v>0</v>
      </c>
      <c r="N213" s="58">
        <v>1</v>
      </c>
      <c r="O213" s="224">
        <f t="shared" si="0"/>
        <v>0</v>
      </c>
      <c r="P213" s="227">
        <f t="shared" si="1"/>
        <v>0</v>
      </c>
    </row>
    <row r="214" spans="1:16" ht="14.25">
      <c r="A214" s="224">
        <v>213</v>
      </c>
      <c r="B214" s="58">
        <v>17752</v>
      </c>
      <c r="C214" s="57" t="s">
        <v>2869</v>
      </c>
      <c r="D214" s="57" t="s">
        <v>45</v>
      </c>
      <c r="E214" s="57" t="s">
        <v>2860</v>
      </c>
      <c r="F214" s="233">
        <v>45690.027777777781</v>
      </c>
      <c r="G214" s="57">
        <v>2</v>
      </c>
      <c r="H214" s="57" t="s">
        <v>2557</v>
      </c>
      <c r="I214" s="58">
        <v>46063</v>
      </c>
      <c r="J214" s="234" t="s">
        <v>2870</v>
      </c>
      <c r="K214" s="58">
        <v>4.49</v>
      </c>
      <c r="L214" s="58">
        <v>0</v>
      </c>
      <c r="M214" s="58">
        <v>0</v>
      </c>
      <c r="N214" s="58">
        <v>1</v>
      </c>
      <c r="O214" s="224">
        <f t="shared" si="0"/>
        <v>4.49</v>
      </c>
      <c r="P214" s="227">
        <f t="shared" si="1"/>
        <v>4.49</v>
      </c>
    </row>
    <row r="215" spans="1:16" ht="14.25">
      <c r="A215" s="224">
        <v>214</v>
      </c>
      <c r="B215" s="58">
        <v>17054</v>
      </c>
      <c r="C215" s="57" t="s">
        <v>2871</v>
      </c>
      <c r="D215" s="57" t="s">
        <v>2582</v>
      </c>
      <c r="E215" s="57" t="s">
        <v>9</v>
      </c>
      <c r="F215" s="233">
        <v>45690.036805555559</v>
      </c>
      <c r="G215" s="57">
        <v>2</v>
      </c>
      <c r="H215" s="57" t="s">
        <v>2557</v>
      </c>
      <c r="I215" s="58">
        <v>45979</v>
      </c>
      <c r="J215" s="234" t="s">
        <v>337</v>
      </c>
      <c r="K215" s="58">
        <v>28.93</v>
      </c>
      <c r="L215" s="58">
        <v>5</v>
      </c>
      <c r="M215" s="58">
        <v>0</v>
      </c>
      <c r="N215" s="58">
        <v>7.2513199999999998</v>
      </c>
      <c r="O215" s="224">
        <f t="shared" si="0"/>
        <v>23.93</v>
      </c>
      <c r="P215" s="227">
        <f t="shared" si="1"/>
        <v>3.3000888114164044</v>
      </c>
    </row>
    <row r="216" spans="1:16" ht="14.25">
      <c r="A216" s="224">
        <v>215</v>
      </c>
      <c r="B216" s="58">
        <v>17054</v>
      </c>
      <c r="C216" s="57" t="s">
        <v>2871</v>
      </c>
      <c r="D216" s="57" t="s">
        <v>2582</v>
      </c>
      <c r="E216" s="57" t="s">
        <v>9</v>
      </c>
      <c r="F216" s="233">
        <v>45690.056250000001</v>
      </c>
      <c r="G216" s="57">
        <v>2</v>
      </c>
      <c r="H216" s="57" t="s">
        <v>2557</v>
      </c>
      <c r="I216" s="58">
        <v>46099</v>
      </c>
      <c r="J216" s="234" t="s">
        <v>338</v>
      </c>
      <c r="K216" s="58">
        <v>13.99</v>
      </c>
      <c r="L216" s="58">
        <v>4.28</v>
      </c>
      <c r="M216" s="58">
        <v>0</v>
      </c>
      <c r="N216" s="58">
        <v>7.2513199999999998</v>
      </c>
      <c r="O216" s="224">
        <f t="shared" si="0"/>
        <v>9.7100000000000009</v>
      </c>
      <c r="P216" s="227">
        <f t="shared" si="1"/>
        <v>1.3390665423674588</v>
      </c>
    </row>
    <row r="217" spans="1:16" ht="14.25">
      <c r="A217" s="224">
        <v>216</v>
      </c>
      <c r="B217" s="58">
        <v>17346</v>
      </c>
      <c r="C217" s="57" t="s">
        <v>2872</v>
      </c>
      <c r="D217" s="57" t="s">
        <v>2582</v>
      </c>
      <c r="E217" s="57" t="s">
        <v>9</v>
      </c>
      <c r="F217" s="233">
        <v>45690.303472222222</v>
      </c>
      <c r="G217" s="57">
        <v>2</v>
      </c>
      <c r="H217" s="57" t="s">
        <v>2557</v>
      </c>
      <c r="I217" s="58">
        <v>46111</v>
      </c>
      <c r="J217" s="234" t="s">
        <v>340</v>
      </c>
      <c r="K217" s="58">
        <v>28.93</v>
      </c>
      <c r="L217" s="58">
        <v>5</v>
      </c>
      <c r="M217" s="58">
        <v>0</v>
      </c>
      <c r="N217" s="58">
        <v>7.2513199999999998</v>
      </c>
      <c r="O217" s="224">
        <f t="shared" si="0"/>
        <v>23.93</v>
      </c>
      <c r="P217" s="227">
        <f t="shared" si="1"/>
        <v>3.3000888114164044</v>
      </c>
    </row>
    <row r="218" spans="1:16" ht="14.25">
      <c r="A218" s="224">
        <v>217</v>
      </c>
      <c r="B218" s="58">
        <v>6898</v>
      </c>
      <c r="C218" s="57" t="s">
        <v>2634</v>
      </c>
      <c r="D218" s="57" t="s">
        <v>2582</v>
      </c>
      <c r="E218" s="57" t="s">
        <v>2860</v>
      </c>
      <c r="F218" s="233">
        <v>45690.36041666667</v>
      </c>
      <c r="G218" s="57">
        <v>2</v>
      </c>
      <c r="H218" s="57" t="s">
        <v>2557</v>
      </c>
      <c r="I218" s="58">
        <v>46123</v>
      </c>
      <c r="J218" s="234" t="s">
        <v>2873</v>
      </c>
      <c r="K218" s="58">
        <v>71.72</v>
      </c>
      <c r="L218" s="58">
        <v>0</v>
      </c>
      <c r="M218" s="58">
        <v>0</v>
      </c>
      <c r="N218" s="58">
        <v>7.2513199999999998</v>
      </c>
      <c r="O218" s="224">
        <f t="shared" si="0"/>
        <v>71.72</v>
      </c>
      <c r="P218" s="227">
        <f t="shared" si="1"/>
        <v>9.8906130194226716</v>
      </c>
    </row>
    <row r="219" spans="1:16" ht="12.75">
      <c r="A219" s="224">
        <v>218</v>
      </c>
      <c r="B219" s="24">
        <v>6794</v>
      </c>
      <c r="C219" s="23" t="s">
        <v>2623</v>
      </c>
      <c r="D219" s="23" t="s">
        <v>45</v>
      </c>
      <c r="E219" s="23" t="s">
        <v>2874</v>
      </c>
      <c r="F219" s="235">
        <v>45690.53125</v>
      </c>
      <c r="G219" s="23">
        <v>2</v>
      </c>
      <c r="H219" s="23" t="s">
        <v>2557</v>
      </c>
      <c r="I219" s="24">
        <v>46195</v>
      </c>
      <c r="J219" s="236" t="s">
        <v>2875</v>
      </c>
      <c r="K219" s="24">
        <v>1</v>
      </c>
      <c r="L219" s="24">
        <v>0</v>
      </c>
      <c r="M219" s="24">
        <v>0</v>
      </c>
      <c r="N219" s="24">
        <v>1</v>
      </c>
      <c r="O219" s="170">
        <f t="shared" si="0"/>
        <v>1</v>
      </c>
      <c r="P219" s="230">
        <f t="shared" si="1"/>
        <v>1</v>
      </c>
    </row>
    <row r="220" spans="1:16" ht="14.25">
      <c r="A220" s="224">
        <v>219</v>
      </c>
      <c r="B220" s="58">
        <v>392</v>
      </c>
      <c r="C220" s="57" t="s">
        <v>2876</v>
      </c>
      <c r="D220" s="57" t="s">
        <v>2582</v>
      </c>
      <c r="E220" s="57" t="s">
        <v>9</v>
      </c>
      <c r="F220" s="233">
        <v>45690.73541666667</v>
      </c>
      <c r="G220" s="57">
        <v>2</v>
      </c>
      <c r="H220" s="57" t="s">
        <v>2557</v>
      </c>
      <c r="I220" s="58">
        <v>45583</v>
      </c>
      <c r="J220" s="234" t="s">
        <v>342</v>
      </c>
      <c r="K220" s="58">
        <v>7.75</v>
      </c>
      <c r="L220" s="58">
        <v>3.92</v>
      </c>
      <c r="M220" s="58">
        <v>0</v>
      </c>
      <c r="N220" s="58">
        <v>7.2513199999999998</v>
      </c>
      <c r="O220" s="224">
        <f t="shared" si="0"/>
        <v>3.83</v>
      </c>
      <c r="P220" s="227">
        <f t="shared" si="1"/>
        <v>0.52817969693793687</v>
      </c>
    </row>
    <row r="221" spans="1:16" ht="14.25">
      <c r="A221" s="224">
        <v>220</v>
      </c>
      <c r="B221" s="58">
        <v>318</v>
      </c>
      <c r="C221" s="57" t="s">
        <v>2877</v>
      </c>
      <c r="D221" s="57" t="s">
        <v>45</v>
      </c>
      <c r="E221" s="57" t="s">
        <v>2860</v>
      </c>
      <c r="F221" s="233">
        <v>45691.448611111111</v>
      </c>
      <c r="G221" s="57">
        <v>2</v>
      </c>
      <c r="H221" s="57" t="s">
        <v>2557</v>
      </c>
      <c r="I221" s="58">
        <v>44419</v>
      </c>
      <c r="J221" s="234" t="s">
        <v>2878</v>
      </c>
      <c r="K221" s="58">
        <v>1.0900000000000001</v>
      </c>
      <c r="L221" s="58">
        <v>0</v>
      </c>
      <c r="M221" s="58">
        <v>0</v>
      </c>
      <c r="N221" s="58">
        <v>1</v>
      </c>
      <c r="O221" s="224">
        <f t="shared" si="0"/>
        <v>1.0900000000000001</v>
      </c>
      <c r="P221" s="227">
        <f t="shared" si="1"/>
        <v>1.0900000000000001</v>
      </c>
    </row>
    <row r="222" spans="1:16" ht="14.25">
      <c r="A222" s="224">
        <v>221</v>
      </c>
      <c r="B222" s="58">
        <v>160</v>
      </c>
      <c r="C222" s="57" t="s">
        <v>2879</v>
      </c>
      <c r="D222" s="57" t="s">
        <v>45</v>
      </c>
      <c r="E222" s="57" t="s">
        <v>2860</v>
      </c>
      <c r="F222" s="233">
        <v>45691.480555555558</v>
      </c>
      <c r="G222" s="57">
        <v>2</v>
      </c>
      <c r="H222" s="57" t="s">
        <v>2557</v>
      </c>
      <c r="I222" s="58">
        <v>46315</v>
      </c>
      <c r="J222" s="234" t="s">
        <v>2880</v>
      </c>
      <c r="K222" s="58">
        <v>3.59</v>
      </c>
      <c r="L222" s="58">
        <v>0</v>
      </c>
      <c r="M222" s="58">
        <v>0</v>
      </c>
      <c r="N222" s="58">
        <v>1</v>
      </c>
      <c r="O222" s="224">
        <f t="shared" si="0"/>
        <v>3.59</v>
      </c>
      <c r="P222" s="227">
        <f t="shared" si="1"/>
        <v>3.59</v>
      </c>
    </row>
    <row r="223" spans="1:16" ht="14.25">
      <c r="A223" s="224">
        <v>222</v>
      </c>
      <c r="B223" s="58">
        <v>6732</v>
      </c>
      <c r="C223" s="57" t="s">
        <v>2608</v>
      </c>
      <c r="D223" s="57" t="s">
        <v>45</v>
      </c>
      <c r="E223" s="57" t="s">
        <v>2860</v>
      </c>
      <c r="F223" s="233">
        <v>45691.511805555558</v>
      </c>
      <c r="G223" s="57">
        <v>2</v>
      </c>
      <c r="H223" s="57" t="s">
        <v>2557</v>
      </c>
      <c r="I223" s="58">
        <v>46327</v>
      </c>
      <c r="J223" s="234" t="s">
        <v>2881</v>
      </c>
      <c r="K223" s="58">
        <v>4.49</v>
      </c>
      <c r="L223" s="58">
        <v>0</v>
      </c>
      <c r="M223" s="58">
        <v>0</v>
      </c>
      <c r="N223" s="58">
        <v>1</v>
      </c>
      <c r="O223" s="224">
        <f t="shared" si="0"/>
        <v>4.49</v>
      </c>
      <c r="P223" s="227">
        <f t="shared" si="1"/>
        <v>4.49</v>
      </c>
    </row>
    <row r="224" spans="1:16" ht="14.25">
      <c r="A224" s="224">
        <v>223</v>
      </c>
      <c r="B224" s="58">
        <v>1836</v>
      </c>
      <c r="C224" s="57" t="s">
        <v>2882</v>
      </c>
      <c r="D224" s="57" t="s">
        <v>2582</v>
      </c>
      <c r="E224" s="57" t="s">
        <v>2860</v>
      </c>
      <c r="F224" s="233">
        <v>45692.386111111111</v>
      </c>
      <c r="G224" s="57">
        <v>2</v>
      </c>
      <c r="H224" s="57" t="s">
        <v>2557</v>
      </c>
      <c r="I224" s="58">
        <v>46363</v>
      </c>
      <c r="J224" s="234" t="s">
        <v>2883</v>
      </c>
      <c r="K224" s="58">
        <v>87.31</v>
      </c>
      <c r="L224" s="58">
        <v>0</v>
      </c>
      <c r="M224" s="58">
        <v>0</v>
      </c>
      <c r="N224" s="58">
        <v>7.2513100000000001</v>
      </c>
      <c r="O224" s="224">
        <f t="shared" si="0"/>
        <v>87.31</v>
      </c>
      <c r="P224" s="227">
        <f t="shared" si="1"/>
        <v>12.04058301189716</v>
      </c>
    </row>
    <row r="225" spans="1:16" ht="14.25">
      <c r="A225" s="224">
        <v>224</v>
      </c>
      <c r="B225" s="58">
        <v>17907</v>
      </c>
      <c r="C225" s="57" t="s">
        <v>2884</v>
      </c>
      <c r="D225" s="57" t="s">
        <v>45</v>
      </c>
      <c r="E225" s="57" t="s">
        <v>2860</v>
      </c>
      <c r="F225" s="233">
        <v>45692.447222222225</v>
      </c>
      <c r="G225" s="57">
        <v>2</v>
      </c>
      <c r="H225" s="57" t="s">
        <v>2557</v>
      </c>
      <c r="I225" s="58">
        <v>46399</v>
      </c>
      <c r="J225" s="234" t="s">
        <v>2885</v>
      </c>
      <c r="K225" s="58">
        <v>62.99</v>
      </c>
      <c r="L225" s="58">
        <v>0</v>
      </c>
      <c r="M225" s="58">
        <v>0</v>
      </c>
      <c r="N225" s="58">
        <v>1</v>
      </c>
      <c r="O225" s="224">
        <f t="shared" si="0"/>
        <v>62.99</v>
      </c>
      <c r="P225" s="227">
        <f t="shared" si="1"/>
        <v>62.99</v>
      </c>
    </row>
    <row r="226" spans="1:16" ht="14.25">
      <c r="A226" s="224">
        <v>225</v>
      </c>
      <c r="B226" s="58">
        <v>17909</v>
      </c>
      <c r="C226" s="57" t="s">
        <v>2886</v>
      </c>
      <c r="D226" s="57" t="s">
        <v>45</v>
      </c>
      <c r="E226" s="57" t="s">
        <v>2860</v>
      </c>
      <c r="F226" s="233">
        <v>45692.46875</v>
      </c>
      <c r="G226" s="57">
        <v>2</v>
      </c>
      <c r="H226" s="57" t="s">
        <v>2557</v>
      </c>
      <c r="I226" s="58">
        <v>46411</v>
      </c>
      <c r="J226" s="234" t="s">
        <v>2887</v>
      </c>
      <c r="K226" s="58">
        <v>4.49</v>
      </c>
      <c r="L226" s="58">
        <v>0</v>
      </c>
      <c r="M226" s="58">
        <v>0</v>
      </c>
      <c r="N226" s="58">
        <v>1</v>
      </c>
      <c r="O226" s="224">
        <f t="shared" si="0"/>
        <v>4.49</v>
      </c>
      <c r="P226" s="227">
        <f t="shared" si="1"/>
        <v>4.49</v>
      </c>
    </row>
    <row r="227" spans="1:16" ht="14.25">
      <c r="A227" s="224">
        <v>226</v>
      </c>
      <c r="B227" s="58">
        <v>4096</v>
      </c>
      <c r="C227" s="57" t="s">
        <v>2602</v>
      </c>
      <c r="D227" s="57" t="s">
        <v>45</v>
      </c>
      <c r="E227" s="57" t="s">
        <v>9</v>
      </c>
      <c r="F227" s="233">
        <v>45692.765277777777</v>
      </c>
      <c r="G227" s="57">
        <v>2</v>
      </c>
      <c r="H227" s="57" t="s">
        <v>2557</v>
      </c>
      <c r="I227" s="58">
        <v>44779</v>
      </c>
      <c r="J227" s="234" t="s">
        <v>343</v>
      </c>
      <c r="K227" s="58">
        <v>11.99</v>
      </c>
      <c r="L227" s="58">
        <v>0.91</v>
      </c>
      <c r="M227" s="58">
        <v>0</v>
      </c>
      <c r="N227" s="58">
        <v>1</v>
      </c>
      <c r="O227" s="224">
        <f t="shared" si="0"/>
        <v>11.08</v>
      </c>
      <c r="P227" s="227">
        <f t="shared" si="1"/>
        <v>11.08</v>
      </c>
    </row>
    <row r="228" spans="1:16" ht="14.25">
      <c r="A228" s="224">
        <v>227</v>
      </c>
      <c r="B228" s="58">
        <v>17977</v>
      </c>
      <c r="C228" s="57" t="s">
        <v>2888</v>
      </c>
      <c r="D228" s="57" t="s">
        <v>45</v>
      </c>
      <c r="E228" s="57" t="s">
        <v>9</v>
      </c>
      <c r="F228" s="233">
        <v>45693.663194444445</v>
      </c>
      <c r="G228" s="57">
        <v>2</v>
      </c>
      <c r="H228" s="57" t="s">
        <v>2557</v>
      </c>
      <c r="I228" s="58">
        <v>46519</v>
      </c>
      <c r="J228" s="234" t="s">
        <v>345</v>
      </c>
      <c r="K228" s="58">
        <v>35.99</v>
      </c>
      <c r="L228" s="58">
        <v>1.75</v>
      </c>
      <c r="M228" s="58">
        <v>0</v>
      </c>
      <c r="N228" s="58">
        <v>1</v>
      </c>
      <c r="O228" s="224">
        <f t="shared" si="0"/>
        <v>34.24</v>
      </c>
      <c r="P228" s="227">
        <f t="shared" si="1"/>
        <v>34.24</v>
      </c>
    </row>
    <row r="229" spans="1:16" ht="14.25">
      <c r="A229" s="224">
        <v>228</v>
      </c>
      <c r="B229" s="58">
        <v>17977</v>
      </c>
      <c r="C229" s="57" t="s">
        <v>2888</v>
      </c>
      <c r="D229" s="57" t="s">
        <v>45</v>
      </c>
      <c r="E229" s="57" t="s">
        <v>9</v>
      </c>
      <c r="F229" s="233">
        <v>45693.695138888892</v>
      </c>
      <c r="G229" s="57">
        <v>2</v>
      </c>
      <c r="H229" s="57" t="s">
        <v>2889</v>
      </c>
      <c r="I229" s="58">
        <v>46519</v>
      </c>
      <c r="J229" s="234" t="s">
        <v>346</v>
      </c>
      <c r="K229" s="58">
        <v>0</v>
      </c>
      <c r="L229" s="58">
        <v>-1.75</v>
      </c>
      <c r="M229" s="58">
        <v>35.99</v>
      </c>
      <c r="N229" s="58">
        <v>1</v>
      </c>
      <c r="O229" s="224">
        <f t="shared" si="0"/>
        <v>-34.24</v>
      </c>
      <c r="P229" s="227">
        <f t="shared" si="1"/>
        <v>-34.24</v>
      </c>
    </row>
    <row r="230" spans="1:16" ht="14.25">
      <c r="A230" s="224">
        <v>229</v>
      </c>
      <c r="B230" s="58">
        <v>2115</v>
      </c>
      <c r="C230" s="57" t="s">
        <v>272</v>
      </c>
      <c r="D230" s="57" t="s">
        <v>45</v>
      </c>
      <c r="E230" s="57" t="s">
        <v>9</v>
      </c>
      <c r="F230" s="233">
        <v>45693.776388888888</v>
      </c>
      <c r="G230" s="57">
        <v>2</v>
      </c>
      <c r="H230" s="57" t="s">
        <v>2557</v>
      </c>
      <c r="I230" s="58">
        <v>31219</v>
      </c>
      <c r="J230" s="234" t="s">
        <v>347</v>
      </c>
      <c r="K230" s="58">
        <v>4.99</v>
      </c>
      <c r="L230" s="58">
        <v>0.66</v>
      </c>
      <c r="M230" s="58">
        <v>0</v>
      </c>
      <c r="N230" s="58">
        <v>1</v>
      </c>
      <c r="O230" s="224">
        <f t="shared" si="0"/>
        <v>4.33</v>
      </c>
      <c r="P230" s="227">
        <f t="shared" si="1"/>
        <v>4.33</v>
      </c>
    </row>
    <row r="231" spans="1:16" ht="14.25">
      <c r="A231" s="224">
        <v>230</v>
      </c>
      <c r="B231" s="58">
        <v>392</v>
      </c>
      <c r="C231" s="57" t="s">
        <v>2876</v>
      </c>
      <c r="D231" s="57" t="s">
        <v>2582</v>
      </c>
      <c r="E231" s="57" t="s">
        <v>9</v>
      </c>
      <c r="F231" s="233">
        <v>45693.806250000001</v>
      </c>
      <c r="G231" s="57">
        <v>2</v>
      </c>
      <c r="H231" s="57" t="s">
        <v>2557</v>
      </c>
      <c r="I231" s="58">
        <v>45583</v>
      </c>
      <c r="J231" s="234" t="s">
        <v>348</v>
      </c>
      <c r="K231" s="58">
        <v>7.75</v>
      </c>
      <c r="L231" s="58">
        <v>3.92</v>
      </c>
      <c r="M231" s="58">
        <v>0</v>
      </c>
      <c r="N231" s="58">
        <v>7.2513800000000002</v>
      </c>
      <c r="O231" s="224">
        <f t="shared" si="0"/>
        <v>3.83</v>
      </c>
      <c r="P231" s="227">
        <f t="shared" si="1"/>
        <v>0.52817532662748334</v>
      </c>
    </row>
    <row r="232" spans="1:16" ht="14.25">
      <c r="A232" s="224">
        <v>231</v>
      </c>
      <c r="B232" s="58">
        <v>121</v>
      </c>
      <c r="C232" s="57" t="s">
        <v>2890</v>
      </c>
      <c r="D232" s="57" t="s">
        <v>45</v>
      </c>
      <c r="E232" s="57" t="s">
        <v>2860</v>
      </c>
      <c r="F232" s="233">
        <v>45693.978472222225</v>
      </c>
      <c r="G232" s="57">
        <v>2</v>
      </c>
      <c r="H232" s="57" t="s">
        <v>2557</v>
      </c>
      <c r="I232" s="58">
        <v>23083</v>
      </c>
      <c r="J232" s="234" t="s">
        <v>2891</v>
      </c>
      <c r="K232" s="58">
        <v>1.98</v>
      </c>
      <c r="L232" s="58">
        <v>0</v>
      </c>
      <c r="M232" s="58">
        <v>0</v>
      </c>
      <c r="N232" s="58">
        <v>1</v>
      </c>
      <c r="O232" s="224">
        <f t="shared" si="0"/>
        <v>1.98</v>
      </c>
      <c r="P232" s="227">
        <f t="shared" si="1"/>
        <v>1.98</v>
      </c>
    </row>
    <row r="233" spans="1:16" ht="14.25">
      <c r="A233" s="224">
        <v>232</v>
      </c>
      <c r="B233" s="58">
        <v>396</v>
      </c>
      <c r="C233" s="57" t="s">
        <v>2674</v>
      </c>
      <c r="D233" s="57" t="s">
        <v>45</v>
      </c>
      <c r="E233" s="57" t="s">
        <v>9</v>
      </c>
      <c r="F233" s="233">
        <v>45694.011111111111</v>
      </c>
      <c r="G233" s="57">
        <v>2</v>
      </c>
      <c r="H233" s="57" t="s">
        <v>2557</v>
      </c>
      <c r="I233" s="58">
        <v>46495</v>
      </c>
      <c r="J233" s="234" t="s">
        <v>349</v>
      </c>
      <c r="K233" s="58">
        <v>1.0900000000000001</v>
      </c>
      <c r="L233" s="58">
        <v>0.54</v>
      </c>
      <c r="M233" s="58">
        <v>0</v>
      </c>
      <c r="N233" s="58">
        <v>1</v>
      </c>
      <c r="O233" s="224">
        <f t="shared" si="0"/>
        <v>0.55000000000000004</v>
      </c>
      <c r="P233" s="227">
        <f t="shared" si="1"/>
        <v>0.55000000000000004</v>
      </c>
    </row>
    <row r="234" spans="1:16" ht="14.25">
      <c r="A234" s="224">
        <v>233</v>
      </c>
      <c r="B234" s="58">
        <v>4212</v>
      </c>
      <c r="C234" s="57" t="s">
        <v>2691</v>
      </c>
      <c r="D234" s="57" t="s">
        <v>45</v>
      </c>
      <c r="E234" s="57" t="s">
        <v>9</v>
      </c>
      <c r="F234" s="233">
        <v>45694.377083333333</v>
      </c>
      <c r="G234" s="57">
        <v>2</v>
      </c>
      <c r="H234" s="57" t="s">
        <v>2557</v>
      </c>
      <c r="I234" s="58">
        <v>45727</v>
      </c>
      <c r="J234" s="234" t="s">
        <v>350</v>
      </c>
      <c r="K234" s="58">
        <v>3.99</v>
      </c>
      <c r="L234" s="58">
        <v>0.63</v>
      </c>
      <c r="M234" s="58">
        <v>0</v>
      </c>
      <c r="N234" s="58">
        <v>1</v>
      </c>
      <c r="O234" s="224">
        <f t="shared" si="0"/>
        <v>3.3600000000000003</v>
      </c>
      <c r="P234" s="227">
        <f t="shared" si="1"/>
        <v>3.3600000000000003</v>
      </c>
    </row>
    <row r="235" spans="1:16" ht="14.25">
      <c r="A235" s="224">
        <v>234</v>
      </c>
      <c r="B235" s="58">
        <v>18037</v>
      </c>
      <c r="C235" s="57" t="s">
        <v>2892</v>
      </c>
      <c r="D235" s="57" t="s">
        <v>2582</v>
      </c>
      <c r="E235" s="57" t="s">
        <v>2860</v>
      </c>
      <c r="F235" s="233">
        <v>45694.482638888891</v>
      </c>
      <c r="G235" s="57">
        <v>2</v>
      </c>
      <c r="H235" s="57" t="s">
        <v>2557</v>
      </c>
      <c r="I235" s="58">
        <v>46615</v>
      </c>
      <c r="J235" s="234" t="s">
        <v>2893</v>
      </c>
      <c r="K235" s="58">
        <v>79.930000000000007</v>
      </c>
      <c r="L235" s="58">
        <v>0</v>
      </c>
      <c r="M235" s="58">
        <v>0</v>
      </c>
      <c r="N235" s="58">
        <v>7.2727899999999996</v>
      </c>
      <c r="O235" s="224">
        <f t="shared" si="0"/>
        <v>79.930000000000007</v>
      </c>
      <c r="P235" s="227">
        <f t="shared" si="1"/>
        <v>10.9902802088332</v>
      </c>
    </row>
    <row r="236" spans="1:16" ht="14.25">
      <c r="A236" s="224">
        <v>235</v>
      </c>
      <c r="B236" s="58">
        <v>18047</v>
      </c>
      <c r="C236" s="57" t="s">
        <v>2894</v>
      </c>
      <c r="D236" s="57" t="s">
        <v>45</v>
      </c>
      <c r="E236" s="57" t="s">
        <v>2860</v>
      </c>
      <c r="F236" s="233">
        <v>45694.674305555556</v>
      </c>
      <c r="G236" s="57">
        <v>2</v>
      </c>
      <c r="H236" s="57" t="s">
        <v>2557</v>
      </c>
      <c r="I236" s="58">
        <v>46639</v>
      </c>
      <c r="J236" s="234" t="s">
        <v>2895</v>
      </c>
      <c r="K236" s="58">
        <v>23.99</v>
      </c>
      <c r="L236" s="58">
        <v>0</v>
      </c>
      <c r="M236" s="58">
        <v>0</v>
      </c>
      <c r="N236" s="58">
        <v>1</v>
      </c>
      <c r="O236" s="224">
        <f t="shared" si="0"/>
        <v>23.99</v>
      </c>
      <c r="P236" s="227">
        <f t="shared" si="1"/>
        <v>23.99</v>
      </c>
    </row>
    <row r="237" spans="1:16" ht="14.25">
      <c r="A237" s="224">
        <v>236</v>
      </c>
      <c r="B237" s="58">
        <v>3265</v>
      </c>
      <c r="C237" s="57" t="s">
        <v>288</v>
      </c>
      <c r="D237" s="57" t="s">
        <v>45</v>
      </c>
      <c r="E237" s="57" t="s">
        <v>9</v>
      </c>
      <c r="F237" s="233">
        <v>45694.757638888892</v>
      </c>
      <c r="G237" s="57">
        <v>2</v>
      </c>
      <c r="H237" s="57" t="s">
        <v>2557</v>
      </c>
      <c r="I237" s="58">
        <v>41995</v>
      </c>
      <c r="J237" s="234" t="s">
        <v>351</v>
      </c>
      <c r="K237" s="58">
        <v>1.0900000000000001</v>
      </c>
      <c r="L237" s="58">
        <v>0.53</v>
      </c>
      <c r="M237" s="58">
        <v>0</v>
      </c>
      <c r="N237" s="58">
        <v>1</v>
      </c>
      <c r="O237" s="224">
        <f t="shared" si="0"/>
        <v>0.56000000000000005</v>
      </c>
      <c r="P237" s="227">
        <f t="shared" si="1"/>
        <v>0.56000000000000005</v>
      </c>
    </row>
    <row r="238" spans="1:16" ht="14.25">
      <c r="A238" s="224">
        <v>237</v>
      </c>
      <c r="B238" s="58">
        <v>3537</v>
      </c>
      <c r="C238" s="57" t="s">
        <v>2896</v>
      </c>
      <c r="D238" s="57" t="s">
        <v>45</v>
      </c>
      <c r="E238" s="57" t="s">
        <v>2860</v>
      </c>
      <c r="F238" s="233">
        <v>45694.817361111112</v>
      </c>
      <c r="G238" s="57">
        <v>2</v>
      </c>
      <c r="H238" s="57" t="s">
        <v>2557</v>
      </c>
      <c r="I238" s="58">
        <v>43087</v>
      </c>
      <c r="J238" s="234" t="s">
        <v>2897</v>
      </c>
      <c r="K238" s="58">
        <v>1.0900000000000001</v>
      </c>
      <c r="L238" s="58">
        <v>0</v>
      </c>
      <c r="M238" s="58">
        <v>0</v>
      </c>
      <c r="N238" s="58">
        <v>1</v>
      </c>
      <c r="O238" s="224">
        <f t="shared" si="0"/>
        <v>1.0900000000000001</v>
      </c>
      <c r="P238" s="227">
        <f t="shared" si="1"/>
        <v>1.0900000000000001</v>
      </c>
    </row>
    <row r="239" spans="1:16" ht="14.25">
      <c r="A239" s="224">
        <v>238</v>
      </c>
      <c r="B239" s="58">
        <v>18052</v>
      </c>
      <c r="C239" s="57" t="s">
        <v>2898</v>
      </c>
      <c r="D239" s="57" t="s">
        <v>45</v>
      </c>
      <c r="E239" s="57" t="s">
        <v>2860</v>
      </c>
      <c r="F239" s="233">
        <v>45694.986111111109</v>
      </c>
      <c r="G239" s="57">
        <v>2</v>
      </c>
      <c r="H239" s="57" t="s">
        <v>2557</v>
      </c>
      <c r="I239" s="58">
        <v>46651</v>
      </c>
      <c r="J239" s="234" t="s">
        <v>2899</v>
      </c>
      <c r="K239" s="58">
        <v>20.25</v>
      </c>
      <c r="L239" s="58">
        <v>0</v>
      </c>
      <c r="M239" s="58">
        <v>0</v>
      </c>
      <c r="N239" s="58">
        <v>1</v>
      </c>
      <c r="O239" s="224">
        <f t="shared" si="0"/>
        <v>20.25</v>
      </c>
      <c r="P239" s="227">
        <f t="shared" si="1"/>
        <v>20.25</v>
      </c>
    </row>
    <row r="240" spans="1:16" ht="14.25">
      <c r="A240" s="224">
        <v>239</v>
      </c>
      <c r="B240" s="58">
        <v>1583</v>
      </c>
      <c r="C240" s="57" t="s">
        <v>2900</v>
      </c>
      <c r="D240" s="57" t="s">
        <v>2582</v>
      </c>
      <c r="E240" s="57" t="s">
        <v>9</v>
      </c>
      <c r="F240" s="233">
        <v>45695.561805555553</v>
      </c>
      <c r="G240" s="57">
        <v>2</v>
      </c>
      <c r="H240" s="57" t="s">
        <v>2557</v>
      </c>
      <c r="I240" s="58">
        <v>46747</v>
      </c>
      <c r="J240" s="234" t="s">
        <v>353</v>
      </c>
      <c r="K240" s="58">
        <v>1574.27</v>
      </c>
      <c r="L240" s="58">
        <v>82.14</v>
      </c>
      <c r="M240" s="58">
        <v>0</v>
      </c>
      <c r="N240" s="58">
        <v>7.28871</v>
      </c>
      <c r="O240" s="224">
        <f t="shared" si="0"/>
        <v>1492.1299999999999</v>
      </c>
      <c r="P240" s="227">
        <f t="shared" si="1"/>
        <v>204.71798164558609</v>
      </c>
    </row>
    <row r="241" spans="1:16" ht="14.25">
      <c r="A241" s="224">
        <v>240</v>
      </c>
      <c r="B241" s="58">
        <v>9244</v>
      </c>
      <c r="C241" s="57" t="s">
        <v>2788</v>
      </c>
      <c r="D241" s="57" t="s">
        <v>2582</v>
      </c>
      <c r="E241" s="57" t="s">
        <v>2860</v>
      </c>
      <c r="F241" s="233">
        <v>45695.924305555556</v>
      </c>
      <c r="G241" s="57">
        <v>2</v>
      </c>
      <c r="H241" s="57" t="s">
        <v>2557</v>
      </c>
      <c r="I241" s="58">
        <v>46759</v>
      </c>
      <c r="J241" s="234" t="s">
        <v>2901</v>
      </c>
      <c r="K241" s="58">
        <v>7.58</v>
      </c>
      <c r="L241" s="58">
        <v>0</v>
      </c>
      <c r="M241" s="58">
        <v>0</v>
      </c>
      <c r="N241" s="58">
        <v>7.28871</v>
      </c>
      <c r="O241" s="224">
        <f t="shared" si="0"/>
        <v>7.58</v>
      </c>
      <c r="P241" s="227">
        <f t="shared" si="1"/>
        <v>1.0399645479103985</v>
      </c>
    </row>
    <row r="242" spans="1:16" ht="14.25">
      <c r="A242" s="224">
        <v>241</v>
      </c>
      <c r="B242" s="58">
        <v>980</v>
      </c>
      <c r="C242" s="57" t="s">
        <v>2902</v>
      </c>
      <c r="D242" s="57" t="s">
        <v>2582</v>
      </c>
      <c r="E242" s="57" t="s">
        <v>2860</v>
      </c>
      <c r="F242" s="233">
        <v>45696.081250000003</v>
      </c>
      <c r="G242" s="57">
        <v>2</v>
      </c>
      <c r="H242" s="57" t="s">
        <v>2557</v>
      </c>
      <c r="I242" s="58">
        <v>46771</v>
      </c>
      <c r="J242" s="234" t="s">
        <v>2903</v>
      </c>
      <c r="K242" s="58">
        <v>18.149999999999999</v>
      </c>
      <c r="L242" s="58">
        <v>0</v>
      </c>
      <c r="M242" s="58">
        <v>0</v>
      </c>
      <c r="N242" s="58">
        <v>7.28871</v>
      </c>
      <c r="O242" s="224">
        <f t="shared" si="0"/>
        <v>18.149999999999999</v>
      </c>
      <c r="P242" s="227">
        <f t="shared" si="1"/>
        <v>2.490152578439806</v>
      </c>
    </row>
    <row r="243" spans="1:16" ht="14.25">
      <c r="A243" s="224">
        <v>242</v>
      </c>
      <c r="B243" s="58">
        <v>980</v>
      </c>
      <c r="C243" s="57" t="s">
        <v>2902</v>
      </c>
      <c r="D243" s="57" t="s">
        <v>2582</v>
      </c>
      <c r="E243" s="57" t="s">
        <v>2860</v>
      </c>
      <c r="F243" s="233">
        <v>45696.090277777781</v>
      </c>
      <c r="G243" s="57">
        <v>2</v>
      </c>
      <c r="H243" s="57" t="s">
        <v>2557</v>
      </c>
      <c r="I243" s="58">
        <v>46783</v>
      </c>
      <c r="J243" s="234" t="s">
        <v>2904</v>
      </c>
      <c r="K243" s="58">
        <v>36.369999999999997</v>
      </c>
      <c r="L243" s="58">
        <v>0</v>
      </c>
      <c r="M243" s="58">
        <v>0</v>
      </c>
      <c r="N243" s="58">
        <v>7.28871</v>
      </c>
      <c r="O243" s="224">
        <f t="shared" si="0"/>
        <v>36.369999999999997</v>
      </c>
      <c r="P243" s="227">
        <f t="shared" si="1"/>
        <v>4.9899090511215283</v>
      </c>
    </row>
    <row r="244" spans="1:16" ht="14.25">
      <c r="A244" s="224">
        <v>243</v>
      </c>
      <c r="B244" s="58">
        <v>18125</v>
      </c>
      <c r="C244" s="57" t="s">
        <v>2905</v>
      </c>
      <c r="D244" s="57" t="s">
        <v>45</v>
      </c>
      <c r="E244" s="57" t="s">
        <v>2860</v>
      </c>
      <c r="F244" s="233">
        <v>45696.761111111111</v>
      </c>
      <c r="G244" s="57">
        <v>2</v>
      </c>
      <c r="H244" s="57" t="s">
        <v>2557</v>
      </c>
      <c r="I244" s="58">
        <v>46843</v>
      </c>
      <c r="J244" s="234" t="s">
        <v>2906</v>
      </c>
      <c r="K244" s="58">
        <v>3.99</v>
      </c>
      <c r="L244" s="58">
        <v>0</v>
      </c>
      <c r="M244" s="58">
        <v>0</v>
      </c>
      <c r="N244" s="58">
        <v>1</v>
      </c>
      <c r="O244" s="224">
        <f t="shared" si="0"/>
        <v>3.99</v>
      </c>
      <c r="P244" s="227">
        <f t="shared" si="1"/>
        <v>3.99</v>
      </c>
    </row>
    <row r="245" spans="1:16" ht="14.25">
      <c r="A245" s="224">
        <v>244</v>
      </c>
      <c r="B245" s="58">
        <v>3364</v>
      </c>
      <c r="C245" s="57" t="s">
        <v>2677</v>
      </c>
      <c r="D245" s="57" t="s">
        <v>45</v>
      </c>
      <c r="E245" s="57" t="s">
        <v>2860</v>
      </c>
      <c r="F245" s="233">
        <v>45697.450694444444</v>
      </c>
      <c r="G245" s="57">
        <v>2</v>
      </c>
      <c r="H245" s="57" t="s">
        <v>2557</v>
      </c>
      <c r="I245" s="58">
        <v>46903</v>
      </c>
      <c r="J245" s="234" t="s">
        <v>2907</v>
      </c>
      <c r="K245" s="58">
        <v>1.0900000000000001</v>
      </c>
      <c r="L245" s="58">
        <v>0</v>
      </c>
      <c r="M245" s="58">
        <v>0</v>
      </c>
      <c r="N245" s="58">
        <v>1</v>
      </c>
      <c r="O245" s="224">
        <f t="shared" si="0"/>
        <v>1.0900000000000001</v>
      </c>
      <c r="P245" s="227">
        <f t="shared" si="1"/>
        <v>1.0900000000000001</v>
      </c>
    </row>
    <row r="246" spans="1:16" ht="14.25">
      <c r="A246" s="224">
        <v>245</v>
      </c>
      <c r="B246" s="58">
        <v>18052</v>
      </c>
      <c r="C246" s="57" t="s">
        <v>2898</v>
      </c>
      <c r="D246" s="57" t="s">
        <v>45</v>
      </c>
      <c r="E246" s="57" t="s">
        <v>2860</v>
      </c>
      <c r="F246" s="233">
        <v>45697.569444444445</v>
      </c>
      <c r="G246" s="57">
        <v>2</v>
      </c>
      <c r="H246" s="57" t="s">
        <v>2908</v>
      </c>
      <c r="I246" s="58">
        <v>46651</v>
      </c>
      <c r="J246" s="234"/>
      <c r="K246" s="58">
        <v>0</v>
      </c>
      <c r="L246" s="58">
        <v>0</v>
      </c>
      <c r="M246" s="58">
        <v>20.25</v>
      </c>
      <c r="N246" s="58">
        <v>1</v>
      </c>
      <c r="O246" s="224">
        <f t="shared" si="0"/>
        <v>-20.25</v>
      </c>
      <c r="P246" s="227">
        <f t="shared" si="1"/>
        <v>-20.25</v>
      </c>
    </row>
    <row r="247" spans="1:16" ht="14.25">
      <c r="A247" s="224">
        <v>246</v>
      </c>
      <c r="B247" s="58">
        <v>4776</v>
      </c>
      <c r="C247" s="57" t="s">
        <v>2856</v>
      </c>
      <c r="D247" s="57" t="s">
        <v>45</v>
      </c>
      <c r="E247" s="57" t="s">
        <v>2860</v>
      </c>
      <c r="F247" s="233">
        <v>45697.576388888891</v>
      </c>
      <c r="G247" s="57">
        <v>2</v>
      </c>
      <c r="H247" s="57" t="s">
        <v>2909</v>
      </c>
      <c r="I247" s="58">
        <v>45895</v>
      </c>
      <c r="J247" s="234"/>
      <c r="K247" s="58">
        <v>0</v>
      </c>
      <c r="L247" s="58">
        <v>0</v>
      </c>
      <c r="M247" s="58">
        <v>6.99</v>
      </c>
      <c r="N247" s="58">
        <v>1</v>
      </c>
      <c r="O247" s="224">
        <f t="shared" si="0"/>
        <v>-6.99</v>
      </c>
      <c r="P247" s="227">
        <f t="shared" si="1"/>
        <v>-6.99</v>
      </c>
    </row>
    <row r="248" spans="1:16" ht="14.25">
      <c r="A248" s="224">
        <v>247</v>
      </c>
      <c r="B248" s="58">
        <v>2115</v>
      </c>
      <c r="C248" s="57" t="s">
        <v>272</v>
      </c>
      <c r="D248" s="57" t="s">
        <v>45</v>
      </c>
      <c r="E248" s="57" t="s">
        <v>9</v>
      </c>
      <c r="F248" s="233">
        <v>45697.594444444447</v>
      </c>
      <c r="G248" s="57">
        <v>2</v>
      </c>
      <c r="H248" s="57" t="s">
        <v>2910</v>
      </c>
      <c r="I248" s="58">
        <v>31219</v>
      </c>
      <c r="J248" s="234"/>
      <c r="K248" s="58">
        <v>0</v>
      </c>
      <c r="L248" s="58">
        <v>-0.66</v>
      </c>
      <c r="M248" s="58">
        <v>4.99</v>
      </c>
      <c r="N248" s="58">
        <v>1</v>
      </c>
      <c r="O248" s="224">
        <f t="shared" si="0"/>
        <v>-4.33</v>
      </c>
      <c r="P248" s="227">
        <f t="shared" si="1"/>
        <v>-4.33</v>
      </c>
    </row>
    <row r="249" spans="1:16" ht="14.25">
      <c r="A249" s="224">
        <v>248</v>
      </c>
      <c r="B249" s="58">
        <v>6783</v>
      </c>
      <c r="C249" s="57" t="s">
        <v>2911</v>
      </c>
      <c r="D249" s="57" t="s">
        <v>45</v>
      </c>
      <c r="E249" s="57" t="s">
        <v>2860</v>
      </c>
      <c r="F249" s="233">
        <v>45697.673611111109</v>
      </c>
      <c r="G249" s="57">
        <v>2</v>
      </c>
      <c r="H249" s="57" t="s">
        <v>2557</v>
      </c>
      <c r="I249" s="58">
        <v>46927</v>
      </c>
      <c r="J249" s="234" t="s">
        <v>2912</v>
      </c>
      <c r="K249" s="58">
        <v>4.99</v>
      </c>
      <c r="L249" s="58">
        <v>0</v>
      </c>
      <c r="M249" s="58">
        <v>0</v>
      </c>
      <c r="N249" s="58">
        <v>1</v>
      </c>
      <c r="O249" s="224">
        <f t="shared" si="0"/>
        <v>4.99</v>
      </c>
      <c r="P249" s="227">
        <f t="shared" si="1"/>
        <v>4.99</v>
      </c>
    </row>
    <row r="250" spans="1:16" ht="14.25">
      <c r="A250" s="224">
        <v>249</v>
      </c>
      <c r="B250" s="58">
        <v>18153</v>
      </c>
      <c r="C250" s="57" t="s">
        <v>2913</v>
      </c>
      <c r="D250" s="57" t="s">
        <v>45</v>
      </c>
      <c r="E250" s="57" t="s">
        <v>2860</v>
      </c>
      <c r="F250" s="233">
        <v>45697.915972222225</v>
      </c>
      <c r="G250" s="57">
        <v>2</v>
      </c>
      <c r="H250" s="57" t="s">
        <v>2557</v>
      </c>
      <c r="I250" s="58">
        <v>46939</v>
      </c>
      <c r="J250" s="234" t="s">
        <v>2914</v>
      </c>
      <c r="K250" s="58">
        <v>1.99</v>
      </c>
      <c r="L250" s="58">
        <v>0</v>
      </c>
      <c r="M250" s="58">
        <v>0</v>
      </c>
      <c r="N250" s="58">
        <v>1</v>
      </c>
      <c r="O250" s="224">
        <f t="shared" si="0"/>
        <v>1.99</v>
      </c>
      <c r="P250" s="227">
        <f t="shared" si="1"/>
        <v>1.99</v>
      </c>
    </row>
    <row r="251" spans="1:16" ht="14.25">
      <c r="A251" s="224">
        <v>250</v>
      </c>
      <c r="B251" s="58">
        <v>6162</v>
      </c>
      <c r="C251" s="57" t="s">
        <v>2915</v>
      </c>
      <c r="D251" s="57" t="s">
        <v>45</v>
      </c>
      <c r="E251" s="57" t="s">
        <v>2860</v>
      </c>
      <c r="F251" s="233">
        <v>45698.015277777777</v>
      </c>
      <c r="G251" s="57">
        <v>2</v>
      </c>
      <c r="H251" s="57" t="s">
        <v>2557</v>
      </c>
      <c r="I251" s="58">
        <v>46951</v>
      </c>
      <c r="J251" s="234" t="s">
        <v>2916</v>
      </c>
      <c r="K251" s="58">
        <v>1</v>
      </c>
      <c r="L251" s="58">
        <v>0</v>
      </c>
      <c r="M251" s="58">
        <v>0</v>
      </c>
      <c r="N251" s="58">
        <v>1</v>
      </c>
      <c r="O251" s="224">
        <f t="shared" si="0"/>
        <v>1</v>
      </c>
      <c r="P251" s="227">
        <f t="shared" si="1"/>
        <v>1</v>
      </c>
    </row>
    <row r="252" spans="1:16" ht="14.25">
      <c r="A252" s="224">
        <v>251</v>
      </c>
      <c r="B252" s="58">
        <v>417</v>
      </c>
      <c r="C252" s="57" t="s">
        <v>2682</v>
      </c>
      <c r="D252" s="57" t="s">
        <v>2582</v>
      </c>
      <c r="E252" s="57" t="s">
        <v>2860</v>
      </c>
      <c r="F252" s="233">
        <v>45698.533333333333</v>
      </c>
      <c r="G252" s="57">
        <v>2</v>
      </c>
      <c r="H252" s="57" t="s">
        <v>2557</v>
      </c>
      <c r="I252" s="58">
        <v>46855</v>
      </c>
      <c r="J252" s="234" t="s">
        <v>2917</v>
      </c>
      <c r="K252" s="58">
        <v>7.73</v>
      </c>
      <c r="L252" s="58">
        <v>0</v>
      </c>
      <c r="M252" s="58">
        <v>0</v>
      </c>
      <c r="N252" s="58">
        <v>7.2886199999999999</v>
      </c>
      <c r="O252" s="224">
        <f t="shared" si="0"/>
        <v>7.73</v>
      </c>
      <c r="P252" s="227">
        <f t="shared" si="1"/>
        <v>1.0605574169047092</v>
      </c>
    </row>
    <row r="253" spans="1:16" ht="12.75">
      <c r="A253" s="224">
        <v>252</v>
      </c>
      <c r="B253" s="24">
        <v>18156</v>
      </c>
      <c r="C253" s="23" t="s">
        <v>2918</v>
      </c>
      <c r="D253" s="23" t="s">
        <v>2582</v>
      </c>
      <c r="E253" s="23" t="s">
        <v>2874</v>
      </c>
      <c r="F253" s="235">
        <v>45698.656944444447</v>
      </c>
      <c r="G253" s="23">
        <v>2</v>
      </c>
      <c r="H253" s="23" t="s">
        <v>2557</v>
      </c>
      <c r="I253" s="24">
        <v>47035</v>
      </c>
      <c r="J253" s="236"/>
      <c r="K253" s="24">
        <v>8300</v>
      </c>
      <c r="L253" s="24">
        <v>0</v>
      </c>
      <c r="M253" s="24">
        <v>0</v>
      </c>
      <c r="N253" s="24">
        <v>7.2886199999999999</v>
      </c>
      <c r="O253" s="170">
        <f t="shared" si="0"/>
        <v>8300</v>
      </c>
      <c r="P253" s="230">
        <f t="shared" si="1"/>
        <v>1138.7615213853926</v>
      </c>
    </row>
    <row r="254" spans="1:16" ht="14.25">
      <c r="A254" s="224">
        <v>253</v>
      </c>
      <c r="B254" s="58">
        <v>1836</v>
      </c>
      <c r="C254" s="57" t="s">
        <v>2882</v>
      </c>
      <c r="D254" s="57" t="s">
        <v>2582</v>
      </c>
      <c r="E254" s="57" t="s">
        <v>2860</v>
      </c>
      <c r="F254" s="233">
        <v>45698.759722222225</v>
      </c>
      <c r="G254" s="57">
        <v>2</v>
      </c>
      <c r="H254" s="57" t="s">
        <v>2557</v>
      </c>
      <c r="I254" s="58">
        <v>46663</v>
      </c>
      <c r="J254" s="234" t="s">
        <v>2919</v>
      </c>
      <c r="K254" s="58">
        <v>130.83000000000001</v>
      </c>
      <c r="L254" s="58">
        <v>0</v>
      </c>
      <c r="M254" s="58">
        <v>0</v>
      </c>
      <c r="N254" s="58">
        <v>7.2886199999999999</v>
      </c>
      <c r="O254" s="224">
        <f t="shared" si="0"/>
        <v>130.83000000000001</v>
      </c>
      <c r="P254" s="227">
        <f t="shared" si="1"/>
        <v>17.949899981066377</v>
      </c>
    </row>
    <row r="255" spans="1:16" ht="14.25">
      <c r="A255" s="224">
        <v>254</v>
      </c>
      <c r="B255" s="58">
        <v>1836</v>
      </c>
      <c r="C255" s="57" t="s">
        <v>2882</v>
      </c>
      <c r="D255" s="57" t="s">
        <v>2582</v>
      </c>
      <c r="E255" s="57" t="s">
        <v>2860</v>
      </c>
      <c r="F255" s="233">
        <v>45698.762499999997</v>
      </c>
      <c r="G255" s="57">
        <v>2</v>
      </c>
      <c r="H255" s="57" t="s">
        <v>2557</v>
      </c>
      <c r="I255" s="58">
        <v>46663</v>
      </c>
      <c r="J255" s="234"/>
      <c r="K255" s="58">
        <v>0.01</v>
      </c>
      <c r="L255" s="58">
        <v>0</v>
      </c>
      <c r="M255" s="58">
        <v>0</v>
      </c>
      <c r="N255" s="58">
        <v>7.2886199999999999</v>
      </c>
      <c r="O255" s="224">
        <f t="shared" si="0"/>
        <v>0.01</v>
      </c>
      <c r="P255" s="227">
        <f t="shared" si="1"/>
        <v>1.3720018329944489E-3</v>
      </c>
    </row>
    <row r="256" spans="1:16" ht="12.75">
      <c r="A256" s="224">
        <v>255</v>
      </c>
      <c r="B256" s="24">
        <v>36</v>
      </c>
      <c r="C256" s="23" t="s">
        <v>2646</v>
      </c>
      <c r="D256" s="23" t="s">
        <v>45</v>
      </c>
      <c r="E256" s="23" t="s">
        <v>2874</v>
      </c>
      <c r="F256" s="235">
        <v>45698.998611111114</v>
      </c>
      <c r="G256" s="23">
        <v>2</v>
      </c>
      <c r="H256" s="23" t="s">
        <v>2557</v>
      </c>
      <c r="I256" s="24">
        <v>45427</v>
      </c>
      <c r="J256" s="236"/>
      <c r="K256" s="24">
        <v>600</v>
      </c>
      <c r="L256" s="24">
        <v>0</v>
      </c>
      <c r="M256" s="24">
        <v>0</v>
      </c>
      <c r="N256" s="24">
        <v>1</v>
      </c>
      <c r="O256" s="170">
        <f t="shared" si="0"/>
        <v>600</v>
      </c>
      <c r="P256" s="230">
        <f t="shared" si="1"/>
        <v>600</v>
      </c>
    </row>
    <row r="257" spans="1:16" ht="14.25">
      <c r="A257" s="224">
        <v>256</v>
      </c>
      <c r="B257" s="58">
        <v>18192</v>
      </c>
      <c r="C257" s="57" t="s">
        <v>2920</v>
      </c>
      <c r="D257" s="57" t="s">
        <v>45</v>
      </c>
      <c r="E257" s="57" t="s">
        <v>9</v>
      </c>
      <c r="F257" s="233">
        <v>45699.052777777775</v>
      </c>
      <c r="G257" s="57">
        <v>2</v>
      </c>
      <c r="H257" s="57" t="s">
        <v>2557</v>
      </c>
      <c r="I257" s="58">
        <v>47071</v>
      </c>
      <c r="J257" s="234" t="s">
        <v>359</v>
      </c>
      <c r="K257" s="58">
        <v>20.25</v>
      </c>
      <c r="L257" s="58">
        <v>1.5</v>
      </c>
      <c r="M257" s="58">
        <v>0</v>
      </c>
      <c r="N257" s="58">
        <v>1</v>
      </c>
      <c r="O257" s="224">
        <f t="shared" ref="O257:O511" si="2">K257-L257-M257</f>
        <v>18.75</v>
      </c>
      <c r="P257" s="227">
        <f t="shared" ref="P257:P511" si="3">IF(D257="USD",O257,O257/N257)</f>
        <v>18.75</v>
      </c>
    </row>
    <row r="258" spans="1:16" ht="12.75">
      <c r="A258" s="224">
        <v>257</v>
      </c>
      <c r="B258" s="24">
        <v>6798</v>
      </c>
      <c r="C258" s="23" t="s">
        <v>2921</v>
      </c>
      <c r="D258" s="23" t="s">
        <v>45</v>
      </c>
      <c r="E258" s="23" t="s">
        <v>2874</v>
      </c>
      <c r="F258" s="235">
        <v>45699.613194444442</v>
      </c>
      <c r="G258" s="23">
        <v>2</v>
      </c>
      <c r="H258" s="23" t="s">
        <v>2557</v>
      </c>
      <c r="I258" s="24">
        <v>47119</v>
      </c>
      <c r="J258" s="236"/>
      <c r="K258" s="24">
        <v>680</v>
      </c>
      <c r="L258" s="24">
        <v>0</v>
      </c>
      <c r="M258" s="24">
        <v>0</v>
      </c>
      <c r="N258" s="24">
        <v>1</v>
      </c>
      <c r="O258" s="170">
        <f t="shared" si="2"/>
        <v>680</v>
      </c>
      <c r="P258" s="230">
        <f t="shared" si="3"/>
        <v>680</v>
      </c>
    </row>
    <row r="259" spans="1:16" ht="14.25">
      <c r="A259" s="224">
        <v>258</v>
      </c>
      <c r="B259" s="58">
        <v>18230</v>
      </c>
      <c r="C259" s="57" t="s">
        <v>2922</v>
      </c>
      <c r="D259" s="57" t="s">
        <v>45</v>
      </c>
      <c r="E259" s="57" t="s">
        <v>9</v>
      </c>
      <c r="F259" s="233">
        <v>45699.640277777777</v>
      </c>
      <c r="G259" s="57">
        <v>2</v>
      </c>
      <c r="H259" s="57" t="s">
        <v>2557</v>
      </c>
      <c r="I259" s="58">
        <v>47131</v>
      </c>
      <c r="J259" s="234" t="s">
        <v>361</v>
      </c>
      <c r="K259" s="58">
        <v>23.99</v>
      </c>
      <c r="L259" s="58">
        <v>1.69</v>
      </c>
      <c r="M259" s="58">
        <v>0</v>
      </c>
      <c r="N259" s="58">
        <v>1</v>
      </c>
      <c r="O259" s="224">
        <f t="shared" si="2"/>
        <v>22.299999999999997</v>
      </c>
      <c r="P259" s="227">
        <f t="shared" si="3"/>
        <v>22.299999999999997</v>
      </c>
    </row>
    <row r="260" spans="1:16" ht="14.25">
      <c r="A260" s="224">
        <v>259</v>
      </c>
      <c r="B260" s="58">
        <v>18230</v>
      </c>
      <c r="C260" s="57" t="s">
        <v>2922</v>
      </c>
      <c r="D260" s="57" t="s">
        <v>45</v>
      </c>
      <c r="E260" s="57" t="s">
        <v>2860</v>
      </c>
      <c r="F260" s="233">
        <v>45699.734722222223</v>
      </c>
      <c r="G260" s="57">
        <v>2</v>
      </c>
      <c r="H260" s="57" t="s">
        <v>2557</v>
      </c>
      <c r="I260" s="58">
        <v>47155</v>
      </c>
      <c r="J260" s="234" t="s">
        <v>2923</v>
      </c>
      <c r="K260" s="58">
        <v>5.99</v>
      </c>
      <c r="L260" s="58">
        <v>0</v>
      </c>
      <c r="M260" s="58">
        <v>0</v>
      </c>
      <c r="N260" s="58">
        <v>1</v>
      </c>
      <c r="O260" s="224">
        <f t="shared" si="2"/>
        <v>5.99</v>
      </c>
      <c r="P260" s="227">
        <f t="shared" si="3"/>
        <v>5.99</v>
      </c>
    </row>
    <row r="261" spans="1:16" ht="12.75">
      <c r="A261" s="224">
        <v>260</v>
      </c>
      <c r="B261" s="24">
        <v>4212</v>
      </c>
      <c r="C261" s="23" t="s">
        <v>2691</v>
      </c>
      <c r="D261" s="23" t="s">
        <v>45</v>
      </c>
      <c r="E261" s="23" t="s">
        <v>2874</v>
      </c>
      <c r="F261" s="235">
        <v>45699.838888888888</v>
      </c>
      <c r="G261" s="23">
        <v>2</v>
      </c>
      <c r="H261" s="23" t="s">
        <v>2557</v>
      </c>
      <c r="I261" s="24">
        <v>47167</v>
      </c>
      <c r="J261" s="236" t="s">
        <v>2924</v>
      </c>
      <c r="K261" s="24">
        <v>48.99</v>
      </c>
      <c r="L261" s="24">
        <v>0</v>
      </c>
      <c r="M261" s="24">
        <v>0</v>
      </c>
      <c r="N261" s="24">
        <v>1</v>
      </c>
      <c r="O261" s="170">
        <f t="shared" si="2"/>
        <v>48.99</v>
      </c>
      <c r="P261" s="230">
        <f t="shared" si="3"/>
        <v>48.99</v>
      </c>
    </row>
    <row r="262" spans="1:16" ht="14.25">
      <c r="A262" s="224">
        <v>261</v>
      </c>
      <c r="B262" s="58">
        <v>3229</v>
      </c>
      <c r="C262" s="57" t="s">
        <v>2762</v>
      </c>
      <c r="D262" s="57" t="s">
        <v>45</v>
      </c>
      <c r="E262" s="57" t="s">
        <v>2860</v>
      </c>
      <c r="F262" s="233">
        <v>45699.840277777781</v>
      </c>
      <c r="G262" s="57">
        <v>2</v>
      </c>
      <c r="H262" s="57" t="s">
        <v>2557</v>
      </c>
      <c r="I262" s="58">
        <v>46567</v>
      </c>
      <c r="J262" s="234" t="s">
        <v>2925</v>
      </c>
      <c r="K262" s="58">
        <v>1.99</v>
      </c>
      <c r="L262" s="58">
        <v>0</v>
      </c>
      <c r="M262" s="58">
        <v>0</v>
      </c>
      <c r="N262" s="58">
        <v>1</v>
      </c>
      <c r="O262" s="224">
        <f t="shared" si="2"/>
        <v>1.99</v>
      </c>
      <c r="P262" s="227">
        <f t="shared" si="3"/>
        <v>1.99</v>
      </c>
    </row>
    <row r="263" spans="1:16" ht="14.25">
      <c r="A263" s="224">
        <v>262</v>
      </c>
      <c r="B263" s="58">
        <v>6783</v>
      </c>
      <c r="C263" s="57" t="s">
        <v>2911</v>
      </c>
      <c r="D263" s="57" t="s">
        <v>45</v>
      </c>
      <c r="E263" s="57" t="s">
        <v>2860</v>
      </c>
      <c r="F263" s="233">
        <v>45700.415972222225</v>
      </c>
      <c r="G263" s="57">
        <v>2</v>
      </c>
      <c r="H263" s="57" t="s">
        <v>2557</v>
      </c>
      <c r="I263" s="58">
        <v>46963</v>
      </c>
      <c r="J263" s="234" t="s">
        <v>2926</v>
      </c>
      <c r="K263" s="58">
        <v>44.99</v>
      </c>
      <c r="L263" s="58">
        <v>0</v>
      </c>
      <c r="M263" s="58">
        <v>0</v>
      </c>
      <c r="N263" s="58">
        <v>1</v>
      </c>
      <c r="O263" s="224">
        <f t="shared" si="2"/>
        <v>44.99</v>
      </c>
      <c r="P263" s="227">
        <f t="shared" si="3"/>
        <v>44.99</v>
      </c>
    </row>
    <row r="264" spans="1:16" ht="14.25">
      <c r="A264" s="224">
        <v>263</v>
      </c>
      <c r="B264" s="58">
        <v>18261</v>
      </c>
      <c r="C264" s="57" t="s">
        <v>2927</v>
      </c>
      <c r="D264" s="57" t="s">
        <v>2582</v>
      </c>
      <c r="E264" s="57" t="s">
        <v>2860</v>
      </c>
      <c r="F264" s="233">
        <v>45700.436805555553</v>
      </c>
      <c r="G264" s="57">
        <v>2</v>
      </c>
      <c r="H264" s="57" t="s">
        <v>2557</v>
      </c>
      <c r="I264" s="58">
        <v>47251</v>
      </c>
      <c r="J264" s="234" t="s">
        <v>2928</v>
      </c>
      <c r="K264" s="58">
        <v>13.08</v>
      </c>
      <c r="L264" s="58">
        <v>0</v>
      </c>
      <c r="M264" s="58">
        <v>0</v>
      </c>
      <c r="N264" s="58">
        <v>7.3072499999999998</v>
      </c>
      <c r="O264" s="224">
        <f t="shared" si="2"/>
        <v>13.08</v>
      </c>
      <c r="P264" s="227">
        <f t="shared" si="3"/>
        <v>1.7900030791337371</v>
      </c>
    </row>
    <row r="265" spans="1:16" ht="14.25">
      <c r="A265" s="224">
        <v>264</v>
      </c>
      <c r="B265" s="58">
        <v>9262</v>
      </c>
      <c r="C265" s="57" t="s">
        <v>2790</v>
      </c>
      <c r="D265" s="57" t="s">
        <v>45</v>
      </c>
      <c r="E265" s="57" t="s">
        <v>2860</v>
      </c>
      <c r="F265" s="233">
        <v>45700.438194444447</v>
      </c>
      <c r="G265" s="57">
        <v>2</v>
      </c>
      <c r="H265" s="57" t="s">
        <v>2557</v>
      </c>
      <c r="I265" s="58">
        <v>47263</v>
      </c>
      <c r="J265" s="234" t="s">
        <v>2929</v>
      </c>
      <c r="K265" s="58">
        <v>1.79</v>
      </c>
      <c r="L265" s="58">
        <v>0</v>
      </c>
      <c r="M265" s="58">
        <v>0</v>
      </c>
      <c r="N265" s="58">
        <v>1</v>
      </c>
      <c r="O265" s="224">
        <f t="shared" si="2"/>
        <v>1.79</v>
      </c>
      <c r="P265" s="227">
        <f t="shared" si="3"/>
        <v>1.79</v>
      </c>
    </row>
    <row r="266" spans="1:16" ht="14.25">
      <c r="A266" s="224">
        <v>265</v>
      </c>
      <c r="B266" s="58">
        <v>18261</v>
      </c>
      <c r="C266" s="57" t="s">
        <v>2927</v>
      </c>
      <c r="D266" s="57" t="s">
        <v>2582</v>
      </c>
      <c r="E266" s="57" t="s">
        <v>2860</v>
      </c>
      <c r="F266" s="233">
        <v>45700.474999999999</v>
      </c>
      <c r="G266" s="57">
        <v>2</v>
      </c>
      <c r="H266" s="57" t="s">
        <v>2557</v>
      </c>
      <c r="I266" s="58">
        <v>47251</v>
      </c>
      <c r="J266" s="234"/>
      <c r="K266" s="58">
        <v>0.01</v>
      </c>
      <c r="L266" s="58">
        <v>0</v>
      </c>
      <c r="M266" s="58">
        <v>0</v>
      </c>
      <c r="N266" s="58">
        <v>7.3072499999999998</v>
      </c>
      <c r="O266" s="224">
        <f t="shared" si="2"/>
        <v>0.01</v>
      </c>
      <c r="P266" s="227">
        <f t="shared" si="3"/>
        <v>1.3685038831297684E-3</v>
      </c>
    </row>
    <row r="267" spans="1:16" ht="14.25">
      <c r="A267" s="224">
        <v>266</v>
      </c>
      <c r="B267" s="58">
        <v>6159</v>
      </c>
      <c r="C267" s="57" t="s">
        <v>2930</v>
      </c>
      <c r="D267" s="57" t="s">
        <v>45</v>
      </c>
      <c r="E267" s="57" t="s">
        <v>2860</v>
      </c>
      <c r="F267" s="233">
        <v>45700.781944444447</v>
      </c>
      <c r="G267" s="57">
        <v>2</v>
      </c>
      <c r="H267" s="57" t="s">
        <v>2557</v>
      </c>
      <c r="I267" s="58">
        <v>47287</v>
      </c>
      <c r="J267" s="234" t="s">
        <v>2931</v>
      </c>
      <c r="K267" s="58">
        <v>1.99</v>
      </c>
      <c r="L267" s="58">
        <v>0</v>
      </c>
      <c r="M267" s="58">
        <v>0</v>
      </c>
      <c r="N267" s="58">
        <v>1</v>
      </c>
      <c r="O267" s="224">
        <f t="shared" si="2"/>
        <v>1.99</v>
      </c>
      <c r="P267" s="227">
        <f t="shared" si="3"/>
        <v>1.99</v>
      </c>
    </row>
    <row r="268" spans="1:16" ht="14.25">
      <c r="A268" s="224">
        <v>267</v>
      </c>
      <c r="B268" s="58">
        <v>1560</v>
      </c>
      <c r="C268" s="57" t="s">
        <v>2630</v>
      </c>
      <c r="D268" s="57" t="s">
        <v>45</v>
      </c>
      <c r="E268" s="57" t="s">
        <v>2860</v>
      </c>
      <c r="F268" s="233">
        <v>45700.890277777777</v>
      </c>
      <c r="G268" s="57">
        <v>2</v>
      </c>
      <c r="H268" s="57" t="s">
        <v>2557</v>
      </c>
      <c r="I268" s="58">
        <v>46579</v>
      </c>
      <c r="J268" s="234" t="s">
        <v>2932</v>
      </c>
      <c r="K268" s="58">
        <v>2.99</v>
      </c>
      <c r="L268" s="58">
        <v>0</v>
      </c>
      <c r="M268" s="58">
        <v>0</v>
      </c>
      <c r="N268" s="58">
        <v>1</v>
      </c>
      <c r="O268" s="224">
        <f t="shared" si="2"/>
        <v>2.99</v>
      </c>
      <c r="P268" s="227">
        <f t="shared" si="3"/>
        <v>2.99</v>
      </c>
    </row>
    <row r="269" spans="1:16" ht="14.25">
      <c r="A269" s="224">
        <v>268</v>
      </c>
      <c r="B269" s="58">
        <v>18342</v>
      </c>
      <c r="C269" s="57" t="s">
        <v>2933</v>
      </c>
      <c r="D269" s="57" t="s">
        <v>45</v>
      </c>
      <c r="E269" s="57" t="s">
        <v>9</v>
      </c>
      <c r="F269" s="233">
        <v>45701.552777777775</v>
      </c>
      <c r="G269" s="57">
        <v>2</v>
      </c>
      <c r="H269" s="57" t="s">
        <v>2557</v>
      </c>
      <c r="I269" s="58">
        <v>47623</v>
      </c>
      <c r="J269" s="234" t="s">
        <v>364</v>
      </c>
      <c r="K269" s="58">
        <v>20.25</v>
      </c>
      <c r="L269" s="58">
        <v>1.2</v>
      </c>
      <c r="M269" s="58">
        <v>0</v>
      </c>
      <c r="N269" s="58">
        <v>1</v>
      </c>
      <c r="O269" s="224">
        <f t="shared" si="2"/>
        <v>19.05</v>
      </c>
      <c r="P269" s="227">
        <f t="shared" si="3"/>
        <v>19.05</v>
      </c>
    </row>
    <row r="270" spans="1:16" ht="14.25">
      <c r="A270" s="224">
        <v>269</v>
      </c>
      <c r="B270" s="58">
        <v>1583</v>
      </c>
      <c r="C270" s="57" t="s">
        <v>2900</v>
      </c>
      <c r="D270" s="57" t="s">
        <v>2582</v>
      </c>
      <c r="E270" s="57" t="s">
        <v>2860</v>
      </c>
      <c r="F270" s="233">
        <v>45701.693055555559</v>
      </c>
      <c r="G270" s="57">
        <v>2</v>
      </c>
      <c r="H270" s="57" t="s">
        <v>2557</v>
      </c>
      <c r="I270" s="58">
        <v>47635</v>
      </c>
      <c r="J270" s="234" t="s">
        <v>2934</v>
      </c>
      <c r="K270" s="58">
        <v>255.01</v>
      </c>
      <c r="L270" s="58">
        <v>0</v>
      </c>
      <c r="M270" s="58">
        <v>0</v>
      </c>
      <c r="N270" s="58">
        <v>7.3089700000000004</v>
      </c>
      <c r="O270" s="224">
        <f t="shared" si="2"/>
        <v>255.01</v>
      </c>
      <c r="P270" s="227">
        <f t="shared" si="3"/>
        <v>34.890005021227338</v>
      </c>
    </row>
    <row r="271" spans="1:16" ht="14.25">
      <c r="A271" s="224">
        <v>270</v>
      </c>
      <c r="B271" s="58">
        <v>7195</v>
      </c>
      <c r="C271" s="57" t="s">
        <v>2935</v>
      </c>
      <c r="D271" s="57" t="s">
        <v>45</v>
      </c>
      <c r="E271" s="57" t="s">
        <v>2860</v>
      </c>
      <c r="F271" s="233">
        <v>45701.902083333334</v>
      </c>
      <c r="G271" s="57">
        <v>2</v>
      </c>
      <c r="H271" s="57" t="s">
        <v>2557</v>
      </c>
      <c r="I271" s="58">
        <v>45319</v>
      </c>
      <c r="J271" s="234" t="s">
        <v>2936</v>
      </c>
      <c r="K271" s="58">
        <v>1.0900000000000001</v>
      </c>
      <c r="L271" s="58">
        <v>0</v>
      </c>
      <c r="M271" s="58">
        <v>0</v>
      </c>
      <c r="N271" s="58">
        <v>1</v>
      </c>
      <c r="O271" s="224">
        <f t="shared" si="2"/>
        <v>1.0900000000000001</v>
      </c>
      <c r="P271" s="227">
        <f t="shared" si="3"/>
        <v>1.0900000000000001</v>
      </c>
    </row>
    <row r="272" spans="1:16" ht="14.25">
      <c r="A272" s="224">
        <v>271</v>
      </c>
      <c r="B272" s="58">
        <v>254</v>
      </c>
      <c r="C272" s="57" t="s">
        <v>2751</v>
      </c>
      <c r="D272" s="57" t="s">
        <v>2582</v>
      </c>
      <c r="E272" s="57" t="s">
        <v>2860</v>
      </c>
      <c r="F272" s="233">
        <v>45702.445833333331</v>
      </c>
      <c r="G272" s="57">
        <v>2</v>
      </c>
      <c r="H272" s="57" t="s">
        <v>2557</v>
      </c>
      <c r="I272" s="58">
        <v>46375</v>
      </c>
      <c r="J272" s="234" t="s">
        <v>2937</v>
      </c>
      <c r="K272" s="58">
        <v>7.73</v>
      </c>
      <c r="L272" s="58">
        <v>0</v>
      </c>
      <c r="M272" s="58">
        <v>0</v>
      </c>
      <c r="N272" s="58">
        <v>7.29711</v>
      </c>
      <c r="O272" s="224">
        <f t="shared" si="2"/>
        <v>7.73</v>
      </c>
      <c r="P272" s="227">
        <f t="shared" si="3"/>
        <v>1.0593234855990934</v>
      </c>
    </row>
    <row r="273" spans="1:16" ht="14.25">
      <c r="A273" s="224">
        <v>272</v>
      </c>
      <c r="B273" s="58">
        <v>392</v>
      </c>
      <c r="C273" s="57" t="s">
        <v>2876</v>
      </c>
      <c r="D273" s="57" t="s">
        <v>2582</v>
      </c>
      <c r="E273" s="57" t="s">
        <v>9</v>
      </c>
      <c r="F273" s="233">
        <v>45702.652777777781</v>
      </c>
      <c r="G273" s="57">
        <v>2</v>
      </c>
      <c r="H273" s="57" t="s">
        <v>2557</v>
      </c>
      <c r="I273" s="58">
        <v>47695</v>
      </c>
      <c r="J273" s="234" t="s">
        <v>365</v>
      </c>
      <c r="K273" s="58">
        <v>6.77</v>
      </c>
      <c r="L273" s="58">
        <v>3.94</v>
      </c>
      <c r="M273" s="58">
        <v>0</v>
      </c>
      <c r="N273" s="58">
        <v>7.29711</v>
      </c>
      <c r="O273" s="224">
        <f t="shared" si="2"/>
        <v>2.8299999999999996</v>
      </c>
      <c r="P273" s="227">
        <f t="shared" si="3"/>
        <v>0.38782476898388535</v>
      </c>
    </row>
    <row r="274" spans="1:16" ht="14.25">
      <c r="A274" s="224">
        <v>273</v>
      </c>
      <c r="B274" s="58">
        <v>392</v>
      </c>
      <c r="C274" s="57" t="s">
        <v>2876</v>
      </c>
      <c r="D274" s="57" t="s">
        <v>2582</v>
      </c>
      <c r="E274" s="57" t="s">
        <v>9</v>
      </c>
      <c r="F274" s="233">
        <v>45702.706944444442</v>
      </c>
      <c r="G274" s="57">
        <v>2</v>
      </c>
      <c r="H274" s="57" t="s">
        <v>2557</v>
      </c>
      <c r="I274" s="58">
        <v>47707</v>
      </c>
      <c r="J274" s="234" t="s">
        <v>366</v>
      </c>
      <c r="K274" s="58">
        <v>29.12</v>
      </c>
      <c r="L274" s="58">
        <v>5.04</v>
      </c>
      <c r="M274" s="58">
        <v>0</v>
      </c>
      <c r="N274" s="58">
        <v>7.29711</v>
      </c>
      <c r="O274" s="224">
        <f t="shared" si="2"/>
        <v>24.080000000000002</v>
      </c>
      <c r="P274" s="227">
        <f t="shared" si="3"/>
        <v>3.299936550223308</v>
      </c>
    </row>
    <row r="275" spans="1:16" ht="14.25">
      <c r="A275" s="224">
        <v>274</v>
      </c>
      <c r="B275" s="58">
        <v>1836</v>
      </c>
      <c r="C275" s="57" t="s">
        <v>2882</v>
      </c>
      <c r="D275" s="57" t="s">
        <v>2582</v>
      </c>
      <c r="E275" s="57" t="s">
        <v>2860</v>
      </c>
      <c r="F275" s="233">
        <v>45702.752083333333</v>
      </c>
      <c r="G275" s="57">
        <v>2</v>
      </c>
      <c r="H275" s="57" t="s">
        <v>2557</v>
      </c>
      <c r="I275" s="58">
        <v>47719</v>
      </c>
      <c r="J275" s="234" t="s">
        <v>2938</v>
      </c>
      <c r="K275" s="58">
        <v>69.98</v>
      </c>
      <c r="L275" s="58">
        <v>0</v>
      </c>
      <c r="M275" s="58">
        <v>0</v>
      </c>
      <c r="N275" s="58">
        <v>7.29711</v>
      </c>
      <c r="O275" s="224">
        <f t="shared" si="2"/>
        <v>69.98</v>
      </c>
      <c r="P275" s="227">
        <f t="shared" si="3"/>
        <v>9.5900979977004592</v>
      </c>
    </row>
    <row r="276" spans="1:16" ht="14.25">
      <c r="A276" s="224">
        <v>275</v>
      </c>
      <c r="B276" s="58">
        <v>1836</v>
      </c>
      <c r="C276" s="57" t="s">
        <v>2882</v>
      </c>
      <c r="D276" s="57" t="s">
        <v>2582</v>
      </c>
      <c r="E276" s="57" t="s">
        <v>2860</v>
      </c>
      <c r="F276" s="233">
        <v>45702.753472222219</v>
      </c>
      <c r="G276" s="57">
        <v>2</v>
      </c>
      <c r="H276" s="57" t="s">
        <v>2557</v>
      </c>
      <c r="I276" s="58">
        <v>47719</v>
      </c>
      <c r="J276" s="234"/>
      <c r="K276" s="58">
        <v>0.01</v>
      </c>
      <c r="L276" s="58">
        <v>0</v>
      </c>
      <c r="M276" s="58">
        <v>0</v>
      </c>
      <c r="N276" s="58">
        <v>7.29711</v>
      </c>
      <c r="O276" s="224">
        <f t="shared" si="2"/>
        <v>0.01</v>
      </c>
      <c r="P276" s="227">
        <f t="shared" si="3"/>
        <v>1.3704055441126693E-3</v>
      </c>
    </row>
    <row r="277" spans="1:16" ht="14.25">
      <c r="A277" s="224">
        <v>276</v>
      </c>
      <c r="B277" s="58">
        <v>1836</v>
      </c>
      <c r="C277" s="57" t="s">
        <v>2882</v>
      </c>
      <c r="D277" s="57" t="s">
        <v>2582</v>
      </c>
      <c r="E277" s="57" t="s">
        <v>2860</v>
      </c>
      <c r="F277" s="233">
        <v>45702.754166666666</v>
      </c>
      <c r="G277" s="57">
        <v>2</v>
      </c>
      <c r="H277" s="57" t="s">
        <v>2557</v>
      </c>
      <c r="I277" s="58">
        <v>47215</v>
      </c>
      <c r="J277" s="234" t="s">
        <v>2939</v>
      </c>
      <c r="K277" s="58">
        <v>87.49</v>
      </c>
      <c r="L277" s="58">
        <v>0</v>
      </c>
      <c r="M277" s="58">
        <v>0</v>
      </c>
      <c r="N277" s="58">
        <v>7.29711</v>
      </c>
      <c r="O277" s="224">
        <f t="shared" si="2"/>
        <v>87.49</v>
      </c>
      <c r="P277" s="227">
        <f t="shared" si="3"/>
        <v>11.989678105441742</v>
      </c>
    </row>
    <row r="278" spans="1:16" ht="14.25">
      <c r="A278" s="224">
        <v>277</v>
      </c>
      <c r="B278" s="58">
        <v>3607</v>
      </c>
      <c r="C278" s="57" t="s">
        <v>2940</v>
      </c>
      <c r="D278" s="57" t="s">
        <v>45</v>
      </c>
      <c r="E278" s="57" t="s">
        <v>2860</v>
      </c>
      <c r="F278" s="233">
        <v>45703.470833333333</v>
      </c>
      <c r="G278" s="57">
        <v>2</v>
      </c>
      <c r="H278" s="57" t="s">
        <v>2557</v>
      </c>
      <c r="I278" s="58">
        <v>47599</v>
      </c>
      <c r="J278" s="234" t="s">
        <v>2941</v>
      </c>
      <c r="K278" s="58">
        <v>1.0900000000000001</v>
      </c>
      <c r="L278" s="58">
        <v>0</v>
      </c>
      <c r="M278" s="58">
        <v>0</v>
      </c>
      <c r="N278" s="58">
        <v>1</v>
      </c>
      <c r="O278" s="224">
        <f t="shared" si="2"/>
        <v>1.0900000000000001</v>
      </c>
      <c r="P278" s="227">
        <f t="shared" si="3"/>
        <v>1.0900000000000001</v>
      </c>
    </row>
    <row r="279" spans="1:16" ht="14.25">
      <c r="A279" s="224">
        <v>278</v>
      </c>
      <c r="B279" s="58">
        <v>1560</v>
      </c>
      <c r="C279" s="57" t="s">
        <v>2630</v>
      </c>
      <c r="D279" s="57" t="s">
        <v>45</v>
      </c>
      <c r="E279" s="57" t="s">
        <v>2860</v>
      </c>
      <c r="F279" s="233">
        <v>45703.490277777775</v>
      </c>
      <c r="G279" s="57">
        <v>2</v>
      </c>
      <c r="H279" s="57" t="s">
        <v>2557</v>
      </c>
      <c r="I279" s="58">
        <v>47791</v>
      </c>
      <c r="J279" s="234" t="s">
        <v>2942</v>
      </c>
      <c r="K279" s="58">
        <v>18.940000000000001</v>
      </c>
      <c r="L279" s="58">
        <v>0</v>
      </c>
      <c r="M279" s="58">
        <v>0</v>
      </c>
      <c r="N279" s="58">
        <v>1</v>
      </c>
      <c r="O279" s="224">
        <f t="shared" si="2"/>
        <v>18.940000000000001</v>
      </c>
      <c r="P279" s="227">
        <f t="shared" si="3"/>
        <v>18.940000000000001</v>
      </c>
    </row>
    <row r="280" spans="1:16" ht="14.25">
      <c r="A280" s="224">
        <v>279</v>
      </c>
      <c r="B280" s="58">
        <v>1560</v>
      </c>
      <c r="C280" s="57" t="s">
        <v>2630</v>
      </c>
      <c r="D280" s="57" t="s">
        <v>45</v>
      </c>
      <c r="E280" s="57" t="s">
        <v>2860</v>
      </c>
      <c r="F280" s="233">
        <v>45703.490277777775</v>
      </c>
      <c r="G280" s="57">
        <v>2</v>
      </c>
      <c r="H280" s="57" t="s">
        <v>2557</v>
      </c>
      <c r="I280" s="58">
        <v>47671</v>
      </c>
      <c r="J280" s="234" t="s">
        <v>2943</v>
      </c>
      <c r="K280" s="58">
        <v>8.9700000000000006</v>
      </c>
      <c r="L280" s="58">
        <v>0</v>
      </c>
      <c r="M280" s="58">
        <v>0</v>
      </c>
      <c r="N280" s="58">
        <v>1</v>
      </c>
      <c r="O280" s="224">
        <f t="shared" si="2"/>
        <v>8.9700000000000006</v>
      </c>
      <c r="P280" s="227">
        <f t="shared" si="3"/>
        <v>8.9700000000000006</v>
      </c>
    </row>
    <row r="281" spans="1:16" ht="14.25">
      <c r="A281" s="224">
        <v>280</v>
      </c>
      <c r="B281" s="58">
        <v>3229</v>
      </c>
      <c r="C281" s="57" t="s">
        <v>2762</v>
      </c>
      <c r="D281" s="57" t="s">
        <v>45</v>
      </c>
      <c r="E281" s="57" t="s">
        <v>2860</v>
      </c>
      <c r="F281" s="233">
        <v>45704.453472222223</v>
      </c>
      <c r="G281" s="57">
        <v>2</v>
      </c>
      <c r="H281" s="57" t="s">
        <v>2557</v>
      </c>
      <c r="I281" s="58">
        <v>47947</v>
      </c>
      <c r="J281" s="234" t="s">
        <v>2944</v>
      </c>
      <c r="K281" s="58">
        <v>1.5</v>
      </c>
      <c r="L281" s="58">
        <v>0</v>
      </c>
      <c r="M281" s="58">
        <v>0</v>
      </c>
      <c r="N281" s="58">
        <v>1</v>
      </c>
      <c r="O281" s="224">
        <f t="shared" si="2"/>
        <v>1.5</v>
      </c>
      <c r="P281" s="227">
        <f t="shared" si="3"/>
        <v>1.5</v>
      </c>
    </row>
    <row r="282" spans="1:16" ht="14.25">
      <c r="A282" s="224">
        <v>281</v>
      </c>
      <c r="B282" s="58">
        <v>3229</v>
      </c>
      <c r="C282" s="57" t="s">
        <v>2762</v>
      </c>
      <c r="D282" s="57" t="s">
        <v>45</v>
      </c>
      <c r="E282" s="57" t="s">
        <v>2860</v>
      </c>
      <c r="F282" s="233">
        <v>45704.579861111109</v>
      </c>
      <c r="G282" s="57">
        <v>2</v>
      </c>
      <c r="H282" s="57" t="s">
        <v>2557</v>
      </c>
      <c r="I282" s="58">
        <v>47959</v>
      </c>
      <c r="J282" s="234" t="s">
        <v>2945</v>
      </c>
      <c r="K282" s="58">
        <v>4.79</v>
      </c>
      <c r="L282" s="58">
        <v>0</v>
      </c>
      <c r="M282" s="58">
        <v>0</v>
      </c>
      <c r="N282" s="58">
        <v>1</v>
      </c>
      <c r="O282" s="224">
        <f t="shared" si="2"/>
        <v>4.79</v>
      </c>
      <c r="P282" s="227">
        <f t="shared" si="3"/>
        <v>4.79</v>
      </c>
    </row>
    <row r="283" spans="1:16" ht="14.25">
      <c r="A283" s="224">
        <v>282</v>
      </c>
      <c r="B283" s="58">
        <v>18465</v>
      </c>
      <c r="C283" s="57" t="s">
        <v>2946</v>
      </c>
      <c r="D283" s="57" t="s">
        <v>45</v>
      </c>
      <c r="E283" s="57" t="s">
        <v>2860</v>
      </c>
      <c r="F283" s="233">
        <v>45704.634722222225</v>
      </c>
      <c r="G283" s="57">
        <v>2</v>
      </c>
      <c r="H283" s="57" t="s">
        <v>2557</v>
      </c>
      <c r="I283" s="58">
        <v>47983</v>
      </c>
      <c r="J283" s="234" t="s">
        <v>2947</v>
      </c>
      <c r="K283" s="58">
        <v>1.79</v>
      </c>
      <c r="L283" s="58">
        <v>0</v>
      </c>
      <c r="M283" s="58">
        <v>0</v>
      </c>
      <c r="N283" s="58">
        <v>1</v>
      </c>
      <c r="O283" s="224">
        <f t="shared" si="2"/>
        <v>1.79</v>
      </c>
      <c r="P283" s="227">
        <f t="shared" si="3"/>
        <v>1.79</v>
      </c>
    </row>
    <row r="284" spans="1:16" ht="14.25">
      <c r="A284" s="224">
        <v>283</v>
      </c>
      <c r="B284" s="58">
        <v>351</v>
      </c>
      <c r="C284" s="57" t="s">
        <v>2707</v>
      </c>
      <c r="D284" s="57" t="s">
        <v>45</v>
      </c>
      <c r="E284" s="57" t="s">
        <v>9</v>
      </c>
      <c r="F284" s="233">
        <v>45704.813194444447</v>
      </c>
      <c r="G284" s="57">
        <v>2</v>
      </c>
      <c r="H284" s="57" t="s">
        <v>2557</v>
      </c>
      <c r="I284" s="58">
        <v>44935</v>
      </c>
      <c r="J284" s="234" t="s">
        <v>370</v>
      </c>
      <c r="K284" s="58">
        <v>1.0900000000000001</v>
      </c>
      <c r="L284" s="58">
        <v>0.54</v>
      </c>
      <c r="M284" s="58">
        <v>0</v>
      </c>
      <c r="N284" s="58">
        <v>1</v>
      </c>
      <c r="O284" s="224">
        <f t="shared" si="2"/>
        <v>0.55000000000000004</v>
      </c>
      <c r="P284" s="227">
        <f t="shared" si="3"/>
        <v>0.55000000000000004</v>
      </c>
    </row>
    <row r="285" spans="1:16" ht="14.25">
      <c r="A285" s="224">
        <v>284</v>
      </c>
      <c r="B285" s="58">
        <v>18466</v>
      </c>
      <c r="C285" s="57" t="s">
        <v>2948</v>
      </c>
      <c r="D285" s="57" t="s">
        <v>45</v>
      </c>
      <c r="E285" s="57" t="s">
        <v>2860</v>
      </c>
      <c r="F285" s="233">
        <v>45705.334027777775</v>
      </c>
      <c r="G285" s="57">
        <v>2</v>
      </c>
      <c r="H285" s="57" t="s">
        <v>2557</v>
      </c>
      <c r="I285" s="58">
        <v>47995</v>
      </c>
      <c r="J285" s="234" t="s">
        <v>2949</v>
      </c>
      <c r="K285" s="58">
        <v>8.99</v>
      </c>
      <c r="L285" s="58">
        <v>0</v>
      </c>
      <c r="M285" s="58">
        <v>0</v>
      </c>
      <c r="N285" s="58">
        <v>1</v>
      </c>
      <c r="O285" s="224">
        <f t="shared" si="2"/>
        <v>8.99</v>
      </c>
      <c r="P285" s="227">
        <f t="shared" si="3"/>
        <v>8.99</v>
      </c>
    </row>
    <row r="286" spans="1:16" ht="14.25">
      <c r="A286" s="224">
        <v>285</v>
      </c>
      <c r="B286" s="58">
        <v>18467</v>
      </c>
      <c r="C286" s="57" t="s">
        <v>2950</v>
      </c>
      <c r="D286" s="57" t="s">
        <v>2582</v>
      </c>
      <c r="E286" s="57" t="s">
        <v>2860</v>
      </c>
      <c r="F286" s="233">
        <v>45705.467361111114</v>
      </c>
      <c r="G286" s="57">
        <v>2</v>
      </c>
      <c r="H286" s="57" t="s">
        <v>2557</v>
      </c>
      <c r="I286" s="58">
        <v>48079</v>
      </c>
      <c r="J286" s="234" t="s">
        <v>2951</v>
      </c>
      <c r="K286" s="58">
        <v>13.01</v>
      </c>
      <c r="L286" s="58">
        <v>0</v>
      </c>
      <c r="M286" s="58">
        <v>0</v>
      </c>
      <c r="N286" s="58">
        <v>7.26675</v>
      </c>
      <c r="O286" s="224">
        <f t="shared" si="2"/>
        <v>13.01</v>
      </c>
      <c r="P286" s="227">
        <f t="shared" si="3"/>
        <v>1.7903464409811813</v>
      </c>
    </row>
    <row r="287" spans="1:16" ht="12.75">
      <c r="A287" s="224">
        <v>286</v>
      </c>
      <c r="B287" s="24">
        <v>7899</v>
      </c>
      <c r="C287" s="23" t="s">
        <v>2714</v>
      </c>
      <c r="D287" s="23" t="s">
        <v>45</v>
      </c>
      <c r="E287" s="23" t="s">
        <v>2874</v>
      </c>
      <c r="F287" s="235">
        <v>45705.769444444442</v>
      </c>
      <c r="G287" s="23">
        <v>2</v>
      </c>
      <c r="H287" s="23" t="s">
        <v>2557</v>
      </c>
      <c r="I287" s="24">
        <v>46147</v>
      </c>
      <c r="J287" s="236" t="s">
        <v>2952</v>
      </c>
      <c r="K287" s="24">
        <v>69.989999999999995</v>
      </c>
      <c r="L287" s="24">
        <v>0</v>
      </c>
      <c r="M287" s="24">
        <v>0</v>
      </c>
      <c r="N287" s="24">
        <v>1</v>
      </c>
      <c r="O287" s="170">
        <f t="shared" si="2"/>
        <v>69.989999999999995</v>
      </c>
      <c r="P287" s="230">
        <f t="shared" si="3"/>
        <v>69.989999999999995</v>
      </c>
    </row>
    <row r="288" spans="1:16" ht="14.25">
      <c r="A288" s="224">
        <v>287</v>
      </c>
      <c r="B288" s="58">
        <v>3974</v>
      </c>
      <c r="C288" s="57" t="s">
        <v>2844</v>
      </c>
      <c r="D288" s="57" t="s">
        <v>45</v>
      </c>
      <c r="E288" s="57" t="s">
        <v>2860</v>
      </c>
      <c r="F288" s="233">
        <v>45705.931944444441</v>
      </c>
      <c r="G288" s="57">
        <v>2</v>
      </c>
      <c r="H288" s="57" t="s">
        <v>2557</v>
      </c>
      <c r="I288" s="58">
        <v>48019</v>
      </c>
      <c r="J288" s="234" t="s">
        <v>2953</v>
      </c>
      <c r="K288" s="58">
        <v>1.99</v>
      </c>
      <c r="L288" s="58">
        <v>0</v>
      </c>
      <c r="M288" s="58">
        <v>0</v>
      </c>
      <c r="N288" s="58">
        <v>1</v>
      </c>
      <c r="O288" s="224">
        <f t="shared" si="2"/>
        <v>1.99</v>
      </c>
      <c r="P288" s="227">
        <f t="shared" si="3"/>
        <v>1.99</v>
      </c>
    </row>
    <row r="289" spans="1:16" ht="14.25">
      <c r="A289" s="224">
        <v>288</v>
      </c>
      <c r="B289" s="58">
        <v>18467</v>
      </c>
      <c r="C289" s="57" t="s">
        <v>2950</v>
      </c>
      <c r="D289" s="57" t="s">
        <v>2582</v>
      </c>
      <c r="E289" s="57" t="s">
        <v>2860</v>
      </c>
      <c r="F289" s="233">
        <v>45706.394444444442</v>
      </c>
      <c r="G289" s="57">
        <v>2</v>
      </c>
      <c r="H289" s="57" t="s">
        <v>2557</v>
      </c>
      <c r="I289" s="58">
        <v>48103</v>
      </c>
      <c r="J289" s="234" t="s">
        <v>2954</v>
      </c>
      <c r="K289" s="58">
        <v>32.68</v>
      </c>
      <c r="L289" s="58">
        <v>0</v>
      </c>
      <c r="M289" s="58">
        <v>0</v>
      </c>
      <c r="N289" s="58">
        <v>7.2630600000000003</v>
      </c>
      <c r="O289" s="224">
        <f t="shared" si="2"/>
        <v>32.68</v>
      </c>
      <c r="P289" s="227">
        <f t="shared" si="3"/>
        <v>4.4994809350328921</v>
      </c>
    </row>
    <row r="290" spans="1:16" ht="14.25">
      <c r="A290" s="224">
        <v>289</v>
      </c>
      <c r="B290" s="58">
        <v>18467</v>
      </c>
      <c r="C290" s="57" t="s">
        <v>2950</v>
      </c>
      <c r="D290" s="57" t="s">
        <v>2582</v>
      </c>
      <c r="E290" s="57" t="s">
        <v>2860</v>
      </c>
      <c r="F290" s="233">
        <v>45706.411111111112</v>
      </c>
      <c r="G290" s="57">
        <v>2</v>
      </c>
      <c r="H290" s="57" t="s">
        <v>2557</v>
      </c>
      <c r="I290" s="58">
        <v>48103</v>
      </c>
      <c r="J290" s="234"/>
      <c r="K290" s="58">
        <v>0.02</v>
      </c>
      <c r="L290" s="58">
        <v>0</v>
      </c>
      <c r="M290" s="58">
        <v>0</v>
      </c>
      <c r="N290" s="58">
        <v>7.2630600000000003</v>
      </c>
      <c r="O290" s="224">
        <f t="shared" si="2"/>
        <v>0.02</v>
      </c>
      <c r="P290" s="227">
        <f t="shared" si="3"/>
        <v>2.7536603029577065E-3</v>
      </c>
    </row>
    <row r="291" spans="1:16" ht="14.25">
      <c r="A291" s="224">
        <v>290</v>
      </c>
      <c r="B291" s="58">
        <v>18530</v>
      </c>
      <c r="C291" s="57" t="s">
        <v>2955</v>
      </c>
      <c r="D291" s="57" t="s">
        <v>45</v>
      </c>
      <c r="E291" s="57" t="s">
        <v>9</v>
      </c>
      <c r="F291" s="233">
        <v>45706.517361111109</v>
      </c>
      <c r="G291" s="57">
        <v>2</v>
      </c>
      <c r="H291" s="57" t="s">
        <v>2557</v>
      </c>
      <c r="I291" s="58">
        <v>48175</v>
      </c>
      <c r="J291" s="234" t="s">
        <v>372</v>
      </c>
      <c r="K291" s="58">
        <v>20.25</v>
      </c>
      <c r="L291" s="58">
        <v>1.5</v>
      </c>
      <c r="M291" s="58">
        <v>0</v>
      </c>
      <c r="N291" s="58">
        <v>1</v>
      </c>
      <c r="O291" s="224">
        <f t="shared" si="2"/>
        <v>18.75</v>
      </c>
      <c r="P291" s="227">
        <f t="shared" si="3"/>
        <v>18.75</v>
      </c>
    </row>
    <row r="292" spans="1:16" ht="14.25">
      <c r="A292" s="224">
        <v>291</v>
      </c>
      <c r="B292" s="58">
        <v>1836</v>
      </c>
      <c r="C292" s="57" t="s">
        <v>2882</v>
      </c>
      <c r="D292" s="57" t="s">
        <v>2582</v>
      </c>
      <c r="E292" s="57" t="s">
        <v>2860</v>
      </c>
      <c r="F292" s="233">
        <v>45706.570833333331</v>
      </c>
      <c r="G292" s="57">
        <v>2</v>
      </c>
      <c r="H292" s="57" t="s">
        <v>2557</v>
      </c>
      <c r="I292" s="58">
        <v>48007</v>
      </c>
      <c r="J292" s="234" t="s">
        <v>2956</v>
      </c>
      <c r="K292" s="58">
        <v>87.52</v>
      </c>
      <c r="L292" s="58">
        <v>0</v>
      </c>
      <c r="M292" s="58">
        <v>0</v>
      </c>
      <c r="N292" s="58">
        <v>7.2630600000000003</v>
      </c>
      <c r="O292" s="224">
        <f t="shared" si="2"/>
        <v>87.52</v>
      </c>
      <c r="P292" s="227">
        <f t="shared" si="3"/>
        <v>12.050017485742922</v>
      </c>
    </row>
    <row r="293" spans="1:16" ht="14.25">
      <c r="A293" s="224">
        <v>292</v>
      </c>
      <c r="B293" s="58">
        <v>1836</v>
      </c>
      <c r="C293" s="57" t="s">
        <v>2882</v>
      </c>
      <c r="D293" s="57" t="s">
        <v>2582</v>
      </c>
      <c r="E293" s="57" t="s">
        <v>2860</v>
      </c>
      <c r="F293" s="233">
        <v>45706.572222222225</v>
      </c>
      <c r="G293" s="57">
        <v>2</v>
      </c>
      <c r="H293" s="57" t="s">
        <v>2557</v>
      </c>
      <c r="I293" s="58">
        <v>48127</v>
      </c>
      <c r="J293" s="234" t="s">
        <v>2957</v>
      </c>
      <c r="K293" s="58">
        <v>87.74</v>
      </c>
      <c r="L293" s="58">
        <v>0</v>
      </c>
      <c r="M293" s="58">
        <v>0</v>
      </c>
      <c r="N293" s="58">
        <v>7.2630600000000003</v>
      </c>
      <c r="O293" s="224">
        <f t="shared" si="2"/>
        <v>87.74</v>
      </c>
      <c r="P293" s="227">
        <f t="shared" si="3"/>
        <v>12.080307749075457</v>
      </c>
    </row>
    <row r="294" spans="1:16" ht="14.25">
      <c r="A294" s="224">
        <v>293</v>
      </c>
      <c r="B294" s="58">
        <v>17752</v>
      </c>
      <c r="C294" s="57" t="s">
        <v>2869</v>
      </c>
      <c r="D294" s="57" t="s">
        <v>45</v>
      </c>
      <c r="E294" s="57" t="s">
        <v>2860</v>
      </c>
      <c r="F294" s="233">
        <v>45706.775000000001</v>
      </c>
      <c r="G294" s="57">
        <v>2</v>
      </c>
      <c r="H294" s="57" t="s">
        <v>2557</v>
      </c>
      <c r="I294" s="58">
        <v>47899</v>
      </c>
      <c r="J294" s="234" t="s">
        <v>2958</v>
      </c>
      <c r="K294" s="58">
        <v>4.49</v>
      </c>
      <c r="L294" s="58">
        <v>0</v>
      </c>
      <c r="M294" s="58">
        <v>0</v>
      </c>
      <c r="N294" s="58">
        <v>1</v>
      </c>
      <c r="O294" s="224">
        <f t="shared" si="2"/>
        <v>4.49</v>
      </c>
      <c r="P294" s="227">
        <f t="shared" si="3"/>
        <v>4.49</v>
      </c>
    </row>
    <row r="295" spans="1:16" ht="14.25">
      <c r="A295" s="224">
        <v>294</v>
      </c>
      <c r="B295" s="58">
        <v>3974</v>
      </c>
      <c r="C295" s="57" t="s">
        <v>2844</v>
      </c>
      <c r="D295" s="57" t="s">
        <v>45</v>
      </c>
      <c r="E295" s="57" t="s">
        <v>2860</v>
      </c>
      <c r="F295" s="233">
        <v>45706.885416666664</v>
      </c>
      <c r="G295" s="57">
        <v>2</v>
      </c>
      <c r="H295" s="57" t="s">
        <v>2557</v>
      </c>
      <c r="I295" s="58">
        <v>48115</v>
      </c>
      <c r="J295" s="234" t="s">
        <v>2959</v>
      </c>
      <c r="K295" s="58">
        <v>1.99</v>
      </c>
      <c r="L295" s="58">
        <v>0</v>
      </c>
      <c r="M295" s="58">
        <v>0</v>
      </c>
      <c r="N295" s="58">
        <v>1</v>
      </c>
      <c r="O295" s="224">
        <f t="shared" si="2"/>
        <v>1.99</v>
      </c>
      <c r="P295" s="227">
        <f t="shared" si="3"/>
        <v>1.99</v>
      </c>
    </row>
    <row r="296" spans="1:16" ht="14.25">
      <c r="A296" s="224">
        <v>295</v>
      </c>
      <c r="B296" s="58">
        <v>1560</v>
      </c>
      <c r="C296" s="57" t="s">
        <v>2630</v>
      </c>
      <c r="D296" s="57" t="s">
        <v>45</v>
      </c>
      <c r="E296" s="57" t="s">
        <v>2860</v>
      </c>
      <c r="F296" s="233">
        <v>45706.900694444441</v>
      </c>
      <c r="G296" s="57">
        <v>2</v>
      </c>
      <c r="H296" s="57" t="s">
        <v>2557</v>
      </c>
      <c r="I296" s="58">
        <v>47863</v>
      </c>
      <c r="J296" s="234" t="s">
        <v>2960</v>
      </c>
      <c r="K296" s="58">
        <v>3.99</v>
      </c>
      <c r="L296" s="58">
        <v>0</v>
      </c>
      <c r="M296" s="58">
        <v>0</v>
      </c>
      <c r="N296" s="58">
        <v>1</v>
      </c>
      <c r="O296" s="224">
        <f t="shared" si="2"/>
        <v>3.99</v>
      </c>
      <c r="P296" s="227">
        <f t="shared" si="3"/>
        <v>3.99</v>
      </c>
    </row>
    <row r="297" spans="1:16" ht="14.25">
      <c r="A297" s="224">
        <v>296</v>
      </c>
      <c r="B297" s="58">
        <v>18052</v>
      </c>
      <c r="C297" s="57" t="s">
        <v>2898</v>
      </c>
      <c r="D297" s="57" t="s">
        <v>45</v>
      </c>
      <c r="E297" s="57" t="s">
        <v>2860</v>
      </c>
      <c r="F297" s="233">
        <v>45707.020138888889</v>
      </c>
      <c r="G297" s="57">
        <v>2</v>
      </c>
      <c r="H297" s="57" t="s">
        <v>2557</v>
      </c>
      <c r="I297" s="58">
        <v>48223</v>
      </c>
      <c r="J297" s="234" t="s">
        <v>2961</v>
      </c>
      <c r="K297" s="58">
        <v>14.99</v>
      </c>
      <c r="L297" s="58">
        <v>0</v>
      </c>
      <c r="M297" s="58">
        <v>0</v>
      </c>
      <c r="N297" s="58">
        <v>1</v>
      </c>
      <c r="O297" s="224">
        <f t="shared" si="2"/>
        <v>14.99</v>
      </c>
      <c r="P297" s="227">
        <f t="shared" si="3"/>
        <v>14.99</v>
      </c>
    </row>
    <row r="298" spans="1:16" ht="14.25">
      <c r="A298" s="224">
        <v>297</v>
      </c>
      <c r="B298" s="58">
        <v>2300</v>
      </c>
      <c r="C298" s="57" t="s">
        <v>2962</v>
      </c>
      <c r="D298" s="57" t="s">
        <v>45</v>
      </c>
      <c r="E298" s="57" t="s">
        <v>2860</v>
      </c>
      <c r="F298" s="233">
        <v>45707.546527777777</v>
      </c>
      <c r="G298" s="57">
        <v>2</v>
      </c>
      <c r="H298" s="57" t="s">
        <v>2557</v>
      </c>
      <c r="I298" s="58">
        <v>48283</v>
      </c>
      <c r="J298" s="234" t="s">
        <v>2963</v>
      </c>
      <c r="K298" s="58">
        <v>8.99</v>
      </c>
      <c r="L298" s="58">
        <v>0</v>
      </c>
      <c r="M298" s="58">
        <v>0</v>
      </c>
      <c r="N298" s="58">
        <v>1</v>
      </c>
      <c r="O298" s="224">
        <f t="shared" si="2"/>
        <v>8.99</v>
      </c>
      <c r="P298" s="227">
        <f t="shared" si="3"/>
        <v>8.99</v>
      </c>
    </row>
    <row r="299" spans="1:16" ht="14.25">
      <c r="A299" s="224">
        <v>298</v>
      </c>
      <c r="B299" s="58">
        <v>479</v>
      </c>
      <c r="C299" s="57" t="s">
        <v>2964</v>
      </c>
      <c r="D299" s="57" t="s">
        <v>45</v>
      </c>
      <c r="E299" s="57" t="s">
        <v>2860</v>
      </c>
      <c r="F299" s="233">
        <v>45707.57916666667</v>
      </c>
      <c r="G299" s="57">
        <v>2</v>
      </c>
      <c r="H299" s="57" t="s">
        <v>2557</v>
      </c>
      <c r="I299" s="58">
        <v>46483</v>
      </c>
      <c r="J299" s="234" t="s">
        <v>2965</v>
      </c>
      <c r="K299" s="58">
        <v>1.0900000000000001</v>
      </c>
      <c r="L299" s="58">
        <v>0</v>
      </c>
      <c r="M299" s="58">
        <v>0</v>
      </c>
      <c r="N299" s="58">
        <v>1</v>
      </c>
      <c r="O299" s="224">
        <f t="shared" si="2"/>
        <v>1.0900000000000001</v>
      </c>
      <c r="P299" s="227">
        <f t="shared" si="3"/>
        <v>1.0900000000000001</v>
      </c>
    </row>
    <row r="300" spans="1:16" ht="12.75">
      <c r="A300" s="224">
        <v>299</v>
      </c>
      <c r="B300" s="24">
        <v>18477</v>
      </c>
      <c r="C300" s="23" t="s">
        <v>2966</v>
      </c>
      <c r="D300" s="23" t="s">
        <v>45</v>
      </c>
      <c r="E300" s="23" t="s">
        <v>2874</v>
      </c>
      <c r="F300" s="235">
        <v>45707.645138888889</v>
      </c>
      <c r="G300" s="23">
        <v>2</v>
      </c>
      <c r="H300" s="23" t="s">
        <v>2557</v>
      </c>
      <c r="I300" s="24">
        <v>48091</v>
      </c>
      <c r="J300" s="236"/>
      <c r="K300" s="24">
        <v>100</v>
      </c>
      <c r="L300" s="24">
        <v>0</v>
      </c>
      <c r="M300" s="24">
        <v>0</v>
      </c>
      <c r="N300" s="24">
        <v>1</v>
      </c>
      <c r="O300" s="170">
        <f t="shared" si="2"/>
        <v>100</v>
      </c>
      <c r="P300" s="230">
        <f t="shared" si="3"/>
        <v>100</v>
      </c>
    </row>
    <row r="301" spans="1:16" ht="14.25">
      <c r="A301" s="224">
        <v>300</v>
      </c>
      <c r="B301" s="58">
        <v>18584</v>
      </c>
      <c r="C301" s="57" t="s">
        <v>2967</v>
      </c>
      <c r="D301" s="57" t="s">
        <v>45</v>
      </c>
      <c r="E301" s="57" t="s">
        <v>9</v>
      </c>
      <c r="F301" s="233">
        <v>45707.697222222225</v>
      </c>
      <c r="G301" s="57">
        <v>2</v>
      </c>
      <c r="H301" s="57" t="s">
        <v>2557</v>
      </c>
      <c r="I301" s="58">
        <v>48307</v>
      </c>
      <c r="J301" s="234" t="s">
        <v>374</v>
      </c>
      <c r="K301" s="58">
        <v>115.19</v>
      </c>
      <c r="L301" s="58">
        <v>6.24</v>
      </c>
      <c r="M301" s="58">
        <v>0</v>
      </c>
      <c r="N301" s="58">
        <v>1</v>
      </c>
      <c r="O301" s="224">
        <f t="shared" si="2"/>
        <v>108.95</v>
      </c>
      <c r="P301" s="227">
        <f t="shared" si="3"/>
        <v>108.95</v>
      </c>
    </row>
    <row r="302" spans="1:16" ht="14.25">
      <c r="A302" s="224">
        <v>301</v>
      </c>
      <c r="B302" s="58">
        <v>8541</v>
      </c>
      <c r="C302" s="57" t="s">
        <v>2968</v>
      </c>
      <c r="D302" s="57" t="s">
        <v>45</v>
      </c>
      <c r="E302" s="57" t="s">
        <v>2860</v>
      </c>
      <c r="F302" s="233">
        <v>45707.713194444441</v>
      </c>
      <c r="G302" s="57">
        <v>2</v>
      </c>
      <c r="H302" s="57" t="s">
        <v>2557</v>
      </c>
      <c r="I302" s="58">
        <v>48319</v>
      </c>
      <c r="J302" s="234" t="s">
        <v>2969</v>
      </c>
      <c r="K302" s="58">
        <v>1.99</v>
      </c>
      <c r="L302" s="58">
        <v>0</v>
      </c>
      <c r="M302" s="58">
        <v>0</v>
      </c>
      <c r="N302" s="58">
        <v>1</v>
      </c>
      <c r="O302" s="224">
        <f t="shared" si="2"/>
        <v>1.99</v>
      </c>
      <c r="P302" s="227">
        <f t="shared" si="3"/>
        <v>1.99</v>
      </c>
    </row>
    <row r="303" spans="1:16" ht="14.25">
      <c r="A303" s="224">
        <v>302</v>
      </c>
      <c r="B303" s="58">
        <v>5079</v>
      </c>
      <c r="C303" s="57" t="s">
        <v>2970</v>
      </c>
      <c r="D303" s="57" t="s">
        <v>45</v>
      </c>
      <c r="E303" s="57" t="s">
        <v>2860</v>
      </c>
      <c r="F303" s="233">
        <v>45708.042361111111</v>
      </c>
      <c r="G303" s="57">
        <v>2</v>
      </c>
      <c r="H303" s="57" t="s">
        <v>2557</v>
      </c>
      <c r="I303" s="58">
        <v>46075</v>
      </c>
      <c r="J303" s="234" t="s">
        <v>2971</v>
      </c>
      <c r="K303" s="58">
        <v>3.59</v>
      </c>
      <c r="L303" s="58">
        <v>0</v>
      </c>
      <c r="M303" s="58">
        <v>0</v>
      </c>
      <c r="N303" s="58">
        <v>1</v>
      </c>
      <c r="O303" s="224">
        <f t="shared" si="2"/>
        <v>3.59</v>
      </c>
      <c r="P303" s="227">
        <f t="shared" si="3"/>
        <v>3.59</v>
      </c>
    </row>
    <row r="304" spans="1:16" ht="14.25">
      <c r="A304" s="224">
        <v>303</v>
      </c>
      <c r="B304" s="58">
        <v>18608</v>
      </c>
      <c r="C304" s="57" t="s">
        <v>2972</v>
      </c>
      <c r="D304" s="57" t="s">
        <v>45</v>
      </c>
      <c r="E304" s="57" t="s">
        <v>2860</v>
      </c>
      <c r="F304" s="233">
        <v>45708.119444444441</v>
      </c>
      <c r="G304" s="57">
        <v>2</v>
      </c>
      <c r="H304" s="57" t="s">
        <v>2557</v>
      </c>
      <c r="I304" s="58">
        <v>48331</v>
      </c>
      <c r="J304" s="234" t="s">
        <v>2973</v>
      </c>
      <c r="K304" s="58">
        <v>4.79</v>
      </c>
      <c r="L304" s="58">
        <v>0</v>
      </c>
      <c r="M304" s="58">
        <v>0</v>
      </c>
      <c r="N304" s="58">
        <v>1</v>
      </c>
      <c r="O304" s="224">
        <f t="shared" si="2"/>
        <v>4.79</v>
      </c>
      <c r="P304" s="227">
        <f t="shared" si="3"/>
        <v>4.79</v>
      </c>
    </row>
    <row r="305" spans="1:16" ht="14.25">
      <c r="A305" s="224">
        <v>304</v>
      </c>
      <c r="B305" s="58">
        <v>479</v>
      </c>
      <c r="C305" s="57" t="s">
        <v>2964</v>
      </c>
      <c r="D305" s="57" t="s">
        <v>45</v>
      </c>
      <c r="E305" s="57" t="s">
        <v>2860</v>
      </c>
      <c r="F305" s="233">
        <v>45708.461805555555</v>
      </c>
      <c r="G305" s="57">
        <v>2</v>
      </c>
      <c r="H305" s="57" t="s">
        <v>2557</v>
      </c>
      <c r="I305" s="58">
        <v>48391</v>
      </c>
      <c r="J305" s="234" t="s">
        <v>2974</v>
      </c>
      <c r="K305" s="58">
        <v>1.0900000000000001</v>
      </c>
      <c r="L305" s="58">
        <v>0</v>
      </c>
      <c r="M305" s="58">
        <v>0</v>
      </c>
      <c r="N305" s="58">
        <v>1</v>
      </c>
      <c r="O305" s="224">
        <f t="shared" si="2"/>
        <v>1.0900000000000001</v>
      </c>
      <c r="P305" s="227">
        <f t="shared" si="3"/>
        <v>1.0900000000000001</v>
      </c>
    </row>
    <row r="306" spans="1:16" ht="14.25">
      <c r="A306" s="224">
        <v>305</v>
      </c>
      <c r="B306" s="58">
        <v>263</v>
      </c>
      <c r="C306" s="57" t="s">
        <v>2975</v>
      </c>
      <c r="D306" s="57" t="s">
        <v>45</v>
      </c>
      <c r="E306" s="57" t="s">
        <v>2860</v>
      </c>
      <c r="F306" s="233">
        <v>45708.615972222222</v>
      </c>
      <c r="G306" s="57">
        <v>2</v>
      </c>
      <c r="H306" s="57" t="s">
        <v>2557</v>
      </c>
      <c r="I306" s="58">
        <v>48451</v>
      </c>
      <c r="J306" s="234" t="s">
        <v>2976</v>
      </c>
      <c r="K306" s="58">
        <v>8.39</v>
      </c>
      <c r="L306" s="58">
        <v>0</v>
      </c>
      <c r="M306" s="58">
        <v>0</v>
      </c>
      <c r="N306" s="58">
        <v>1</v>
      </c>
      <c r="O306" s="224">
        <f t="shared" si="2"/>
        <v>8.39</v>
      </c>
      <c r="P306" s="227">
        <f t="shared" si="3"/>
        <v>8.39</v>
      </c>
    </row>
    <row r="307" spans="1:16" ht="14.25">
      <c r="A307" s="224">
        <v>306</v>
      </c>
      <c r="B307" s="58">
        <v>18657</v>
      </c>
      <c r="C307" s="57" t="s">
        <v>2977</v>
      </c>
      <c r="D307" s="57" t="s">
        <v>45</v>
      </c>
      <c r="E307" s="57" t="s">
        <v>2860</v>
      </c>
      <c r="F307" s="233">
        <v>45708.621527777781</v>
      </c>
      <c r="G307" s="57">
        <v>2</v>
      </c>
      <c r="H307" s="57" t="s">
        <v>2557</v>
      </c>
      <c r="I307" s="58">
        <v>48511</v>
      </c>
      <c r="J307" s="234" t="s">
        <v>2978</v>
      </c>
      <c r="K307" s="58">
        <v>8.39</v>
      </c>
      <c r="L307" s="58">
        <v>0</v>
      </c>
      <c r="M307" s="58">
        <v>0</v>
      </c>
      <c r="N307" s="58">
        <v>1</v>
      </c>
      <c r="O307" s="224">
        <f t="shared" si="2"/>
        <v>8.39</v>
      </c>
      <c r="P307" s="227">
        <f t="shared" si="3"/>
        <v>8.39</v>
      </c>
    </row>
    <row r="308" spans="1:16" ht="14.25">
      <c r="A308" s="224">
        <v>307</v>
      </c>
      <c r="B308" s="58">
        <v>18658</v>
      </c>
      <c r="C308" s="57" t="s">
        <v>2979</v>
      </c>
      <c r="D308" s="57" t="s">
        <v>45</v>
      </c>
      <c r="E308" s="57" t="s">
        <v>2860</v>
      </c>
      <c r="F308" s="233">
        <v>45708.625</v>
      </c>
      <c r="G308" s="57">
        <v>2</v>
      </c>
      <c r="H308" s="57" t="s">
        <v>2557</v>
      </c>
      <c r="I308" s="58">
        <v>48523</v>
      </c>
      <c r="J308" s="234" t="s">
        <v>2980</v>
      </c>
      <c r="K308" s="58">
        <v>8.39</v>
      </c>
      <c r="L308" s="58">
        <v>0</v>
      </c>
      <c r="M308" s="58">
        <v>0</v>
      </c>
      <c r="N308" s="58">
        <v>1</v>
      </c>
      <c r="O308" s="224">
        <f t="shared" si="2"/>
        <v>8.39</v>
      </c>
      <c r="P308" s="227">
        <f t="shared" si="3"/>
        <v>8.39</v>
      </c>
    </row>
    <row r="309" spans="1:16" ht="12.75">
      <c r="A309" s="224">
        <v>308</v>
      </c>
      <c r="B309" s="24">
        <v>18654</v>
      </c>
      <c r="C309" s="23" t="s">
        <v>2981</v>
      </c>
      <c r="D309" s="23" t="s">
        <v>45</v>
      </c>
      <c r="E309" s="23" t="s">
        <v>2874</v>
      </c>
      <c r="F309" s="235">
        <v>45708.657638888886</v>
      </c>
      <c r="G309" s="23">
        <v>2</v>
      </c>
      <c r="H309" s="23" t="s">
        <v>2557</v>
      </c>
      <c r="I309" s="24">
        <v>48487</v>
      </c>
      <c r="J309" s="236" t="s">
        <v>2982</v>
      </c>
      <c r="K309" s="24">
        <v>1.19</v>
      </c>
      <c r="L309" s="24">
        <v>0</v>
      </c>
      <c r="M309" s="24">
        <v>0</v>
      </c>
      <c r="N309" s="24">
        <v>1</v>
      </c>
      <c r="O309" s="170">
        <f t="shared" si="2"/>
        <v>1.19</v>
      </c>
      <c r="P309" s="230">
        <f t="shared" si="3"/>
        <v>1.19</v>
      </c>
    </row>
    <row r="310" spans="1:16" ht="14.25">
      <c r="A310" s="224">
        <v>309</v>
      </c>
      <c r="B310" s="58">
        <v>18661</v>
      </c>
      <c r="C310" s="57" t="s">
        <v>2983</v>
      </c>
      <c r="D310" s="57" t="s">
        <v>45</v>
      </c>
      <c r="E310" s="57" t="s">
        <v>2860</v>
      </c>
      <c r="F310" s="233">
        <v>45708.661111111112</v>
      </c>
      <c r="G310" s="57">
        <v>2</v>
      </c>
      <c r="H310" s="57" t="s">
        <v>2557</v>
      </c>
      <c r="I310" s="58">
        <v>48571</v>
      </c>
      <c r="J310" s="234" t="s">
        <v>2984</v>
      </c>
      <c r="K310" s="58">
        <v>1.19</v>
      </c>
      <c r="L310" s="58">
        <v>0</v>
      </c>
      <c r="M310" s="58">
        <v>0</v>
      </c>
      <c r="N310" s="58">
        <v>1</v>
      </c>
      <c r="O310" s="224">
        <f t="shared" si="2"/>
        <v>1.19</v>
      </c>
      <c r="P310" s="227">
        <f t="shared" si="3"/>
        <v>1.19</v>
      </c>
    </row>
    <row r="311" spans="1:16" ht="14.25">
      <c r="A311" s="224">
        <v>310</v>
      </c>
      <c r="B311" s="58">
        <v>175</v>
      </c>
      <c r="C311" s="57" t="s">
        <v>2985</v>
      </c>
      <c r="D311" s="57" t="s">
        <v>45</v>
      </c>
      <c r="E311" s="57" t="s">
        <v>2860</v>
      </c>
      <c r="F311" s="233">
        <v>45708.663194444445</v>
      </c>
      <c r="G311" s="57">
        <v>2</v>
      </c>
      <c r="H311" s="57" t="s">
        <v>2557</v>
      </c>
      <c r="I311" s="58">
        <v>48583</v>
      </c>
      <c r="J311" s="234" t="s">
        <v>2986</v>
      </c>
      <c r="K311" s="58">
        <v>4.1900000000000004</v>
      </c>
      <c r="L311" s="58">
        <v>0</v>
      </c>
      <c r="M311" s="58">
        <v>0</v>
      </c>
      <c r="N311" s="58">
        <v>1</v>
      </c>
      <c r="O311" s="224">
        <f t="shared" si="2"/>
        <v>4.1900000000000004</v>
      </c>
      <c r="P311" s="227">
        <f t="shared" si="3"/>
        <v>4.1900000000000004</v>
      </c>
    </row>
    <row r="312" spans="1:16" ht="14.25">
      <c r="A312" s="224">
        <v>311</v>
      </c>
      <c r="B312" s="58">
        <v>18661</v>
      </c>
      <c r="C312" s="57" t="s">
        <v>2983</v>
      </c>
      <c r="D312" s="57" t="s">
        <v>45</v>
      </c>
      <c r="E312" s="57" t="s">
        <v>2860</v>
      </c>
      <c r="F312" s="233">
        <v>45708.679861111108</v>
      </c>
      <c r="G312" s="57">
        <v>2</v>
      </c>
      <c r="H312" s="57" t="s">
        <v>2557</v>
      </c>
      <c r="I312" s="58">
        <v>48559</v>
      </c>
      <c r="J312" s="234" t="s">
        <v>2987</v>
      </c>
      <c r="K312" s="58">
        <v>8.39</v>
      </c>
      <c r="L312" s="58">
        <v>0</v>
      </c>
      <c r="M312" s="58">
        <v>0</v>
      </c>
      <c r="N312" s="58">
        <v>1</v>
      </c>
      <c r="O312" s="224">
        <f t="shared" si="2"/>
        <v>8.39</v>
      </c>
      <c r="P312" s="227">
        <f t="shared" si="3"/>
        <v>8.39</v>
      </c>
    </row>
    <row r="313" spans="1:16" ht="14.25">
      <c r="A313" s="224">
        <v>312</v>
      </c>
      <c r="B313" s="58">
        <v>175</v>
      </c>
      <c r="C313" s="57" t="s">
        <v>2985</v>
      </c>
      <c r="D313" s="57" t="s">
        <v>45</v>
      </c>
      <c r="E313" s="57" t="s">
        <v>2860</v>
      </c>
      <c r="F313" s="233">
        <v>45708.692361111112</v>
      </c>
      <c r="G313" s="57">
        <v>2</v>
      </c>
      <c r="H313" s="57" t="s">
        <v>2988</v>
      </c>
      <c r="I313" s="58">
        <v>48583</v>
      </c>
      <c r="J313" s="234"/>
      <c r="K313" s="58">
        <v>0</v>
      </c>
      <c r="L313" s="58">
        <v>0</v>
      </c>
      <c r="M313" s="58">
        <v>4.1900000000000004</v>
      </c>
      <c r="N313" s="58">
        <v>1</v>
      </c>
      <c r="O313" s="224">
        <f t="shared" si="2"/>
        <v>-4.1900000000000004</v>
      </c>
      <c r="P313" s="227">
        <f t="shared" si="3"/>
        <v>-4.1900000000000004</v>
      </c>
    </row>
    <row r="314" spans="1:16" ht="14.25">
      <c r="A314" s="224">
        <v>313</v>
      </c>
      <c r="B314" s="58">
        <v>1836</v>
      </c>
      <c r="C314" s="57" t="s">
        <v>2882</v>
      </c>
      <c r="D314" s="57" t="s">
        <v>2582</v>
      </c>
      <c r="E314" s="57" t="s">
        <v>2860</v>
      </c>
      <c r="F314" s="233">
        <v>45708.714583333334</v>
      </c>
      <c r="G314" s="57">
        <v>2</v>
      </c>
      <c r="H314" s="57" t="s">
        <v>2557</v>
      </c>
      <c r="I314" s="58">
        <v>48403</v>
      </c>
      <c r="J314" s="234" t="s">
        <v>2989</v>
      </c>
      <c r="K314" s="58">
        <v>87.35</v>
      </c>
      <c r="L314" s="58">
        <v>0</v>
      </c>
      <c r="M314" s="58">
        <v>0</v>
      </c>
      <c r="N314" s="58">
        <v>7.2855100000000004</v>
      </c>
      <c r="O314" s="224">
        <f t="shared" si="2"/>
        <v>87.35</v>
      </c>
      <c r="P314" s="227">
        <f t="shared" si="3"/>
        <v>11.989551863905202</v>
      </c>
    </row>
    <row r="315" spans="1:16" ht="14.25">
      <c r="A315" s="224">
        <v>314</v>
      </c>
      <c r="B315" s="58">
        <v>1836</v>
      </c>
      <c r="C315" s="57" t="s">
        <v>2882</v>
      </c>
      <c r="D315" s="57" t="s">
        <v>2582</v>
      </c>
      <c r="E315" s="57" t="s">
        <v>2860</v>
      </c>
      <c r="F315" s="233">
        <v>45708.71597222222</v>
      </c>
      <c r="G315" s="57">
        <v>2</v>
      </c>
      <c r="H315" s="57" t="s">
        <v>2557</v>
      </c>
      <c r="I315" s="58">
        <v>48247</v>
      </c>
      <c r="J315" s="234" t="s">
        <v>2990</v>
      </c>
      <c r="K315" s="58">
        <v>86.84</v>
      </c>
      <c r="L315" s="58">
        <v>0</v>
      </c>
      <c r="M315" s="58">
        <v>0</v>
      </c>
      <c r="N315" s="58">
        <v>7.2855100000000004</v>
      </c>
      <c r="O315" s="224">
        <f t="shared" si="2"/>
        <v>86.84</v>
      </c>
      <c r="P315" s="227">
        <f t="shared" si="3"/>
        <v>11.91954990110507</v>
      </c>
    </row>
    <row r="316" spans="1:16" ht="14.25">
      <c r="A316" s="224">
        <v>315</v>
      </c>
      <c r="B316" s="58">
        <v>18666</v>
      </c>
      <c r="C316" s="57" t="s">
        <v>2991</v>
      </c>
      <c r="D316" s="57" t="s">
        <v>45</v>
      </c>
      <c r="E316" s="57" t="s">
        <v>2860</v>
      </c>
      <c r="F316" s="233">
        <v>45708.73541666667</v>
      </c>
      <c r="G316" s="57">
        <v>2</v>
      </c>
      <c r="H316" s="57" t="s">
        <v>2557</v>
      </c>
      <c r="I316" s="58">
        <v>48619</v>
      </c>
      <c r="J316" s="234" t="s">
        <v>2992</v>
      </c>
      <c r="K316" s="58">
        <v>6.99</v>
      </c>
      <c r="L316" s="58">
        <v>0</v>
      </c>
      <c r="M316" s="58">
        <v>0</v>
      </c>
      <c r="N316" s="58">
        <v>1</v>
      </c>
      <c r="O316" s="224">
        <f t="shared" si="2"/>
        <v>6.99</v>
      </c>
      <c r="P316" s="227">
        <f t="shared" si="3"/>
        <v>6.99</v>
      </c>
    </row>
    <row r="317" spans="1:16" ht="14.25">
      <c r="A317" s="224">
        <v>316</v>
      </c>
      <c r="B317" s="58">
        <v>165</v>
      </c>
      <c r="C317" s="57" t="s">
        <v>2993</v>
      </c>
      <c r="D317" s="57" t="s">
        <v>45</v>
      </c>
      <c r="E317" s="57" t="s">
        <v>9</v>
      </c>
      <c r="F317" s="233">
        <v>45708.892361111109</v>
      </c>
      <c r="G317" s="57">
        <v>2</v>
      </c>
      <c r="H317" s="57" t="s">
        <v>2557</v>
      </c>
      <c r="I317" s="58">
        <v>48643</v>
      </c>
      <c r="J317" s="234" t="s">
        <v>376</v>
      </c>
      <c r="K317" s="58">
        <v>8.39</v>
      </c>
      <c r="L317" s="58">
        <v>0.91</v>
      </c>
      <c r="M317" s="58">
        <v>0</v>
      </c>
      <c r="N317" s="58">
        <v>1</v>
      </c>
      <c r="O317" s="224">
        <f t="shared" si="2"/>
        <v>7.48</v>
      </c>
      <c r="P317" s="227">
        <f t="shared" si="3"/>
        <v>7.48</v>
      </c>
    </row>
    <row r="318" spans="1:16" ht="14.25">
      <c r="A318" s="224">
        <v>317</v>
      </c>
      <c r="B318" s="58">
        <v>18684</v>
      </c>
      <c r="C318" s="57" t="s">
        <v>2994</v>
      </c>
      <c r="D318" s="57" t="s">
        <v>45</v>
      </c>
      <c r="E318" s="57" t="s">
        <v>2860</v>
      </c>
      <c r="F318" s="233">
        <v>45709.006944444445</v>
      </c>
      <c r="G318" s="57">
        <v>2</v>
      </c>
      <c r="H318" s="57" t="s">
        <v>2557</v>
      </c>
      <c r="I318" s="58">
        <v>48703</v>
      </c>
      <c r="J318" s="234" t="s">
        <v>2995</v>
      </c>
      <c r="K318" s="58">
        <v>4.1900000000000004</v>
      </c>
      <c r="L318" s="58">
        <v>0</v>
      </c>
      <c r="M318" s="58">
        <v>0</v>
      </c>
      <c r="N318" s="58">
        <v>1</v>
      </c>
      <c r="O318" s="224">
        <f t="shared" si="2"/>
        <v>4.1900000000000004</v>
      </c>
      <c r="P318" s="227">
        <f t="shared" si="3"/>
        <v>4.1900000000000004</v>
      </c>
    </row>
    <row r="319" spans="1:16" ht="14.25">
      <c r="A319" s="224">
        <v>318</v>
      </c>
      <c r="B319" s="58">
        <v>18686</v>
      </c>
      <c r="C319" s="57" t="s">
        <v>2996</v>
      </c>
      <c r="D319" s="57" t="s">
        <v>45</v>
      </c>
      <c r="E319" s="57" t="s">
        <v>2860</v>
      </c>
      <c r="F319" s="233">
        <v>45709.01666666667</v>
      </c>
      <c r="G319" s="57">
        <v>2</v>
      </c>
      <c r="H319" s="57" t="s">
        <v>2557</v>
      </c>
      <c r="I319" s="58">
        <v>48715</v>
      </c>
      <c r="J319" s="234" t="s">
        <v>2997</v>
      </c>
      <c r="K319" s="58">
        <v>2.99</v>
      </c>
      <c r="L319" s="58">
        <v>0</v>
      </c>
      <c r="M319" s="58">
        <v>0</v>
      </c>
      <c r="N319" s="58">
        <v>1</v>
      </c>
      <c r="O319" s="224">
        <f t="shared" si="2"/>
        <v>2.99</v>
      </c>
      <c r="P319" s="227">
        <f t="shared" si="3"/>
        <v>2.99</v>
      </c>
    </row>
    <row r="320" spans="1:16" ht="14.25">
      <c r="A320" s="224">
        <v>319</v>
      </c>
      <c r="B320" s="58">
        <v>3867</v>
      </c>
      <c r="C320" s="57" t="s">
        <v>2998</v>
      </c>
      <c r="D320" s="57" t="s">
        <v>45</v>
      </c>
      <c r="E320" s="57" t="s">
        <v>2860</v>
      </c>
      <c r="F320" s="233">
        <v>45709.018750000003</v>
      </c>
      <c r="G320" s="57">
        <v>2</v>
      </c>
      <c r="H320" s="57" t="s">
        <v>2557</v>
      </c>
      <c r="I320" s="58">
        <v>48727</v>
      </c>
      <c r="J320" s="234" t="s">
        <v>2999</v>
      </c>
      <c r="K320" s="58">
        <v>1.19</v>
      </c>
      <c r="L320" s="58">
        <v>0</v>
      </c>
      <c r="M320" s="58">
        <v>0</v>
      </c>
      <c r="N320" s="58">
        <v>1</v>
      </c>
      <c r="O320" s="224">
        <f t="shared" si="2"/>
        <v>1.19</v>
      </c>
      <c r="P320" s="227">
        <f t="shared" si="3"/>
        <v>1.19</v>
      </c>
    </row>
    <row r="321" spans="1:16" ht="14.25">
      <c r="A321" s="224">
        <v>320</v>
      </c>
      <c r="B321" s="58">
        <v>18695</v>
      </c>
      <c r="C321" s="57" t="s">
        <v>3000</v>
      </c>
      <c r="D321" s="57" t="s">
        <v>45</v>
      </c>
      <c r="E321" s="57" t="s">
        <v>2860</v>
      </c>
      <c r="F321" s="233">
        <v>45709.059027777781</v>
      </c>
      <c r="G321" s="57">
        <v>2</v>
      </c>
      <c r="H321" s="57" t="s">
        <v>2557</v>
      </c>
      <c r="I321" s="58">
        <v>48763</v>
      </c>
      <c r="J321" s="234" t="s">
        <v>3001</v>
      </c>
      <c r="K321" s="58">
        <v>7.99</v>
      </c>
      <c r="L321" s="58">
        <v>0</v>
      </c>
      <c r="M321" s="58">
        <v>0</v>
      </c>
      <c r="N321" s="58">
        <v>1</v>
      </c>
      <c r="O321" s="224">
        <f t="shared" si="2"/>
        <v>7.99</v>
      </c>
      <c r="P321" s="227">
        <f t="shared" si="3"/>
        <v>7.99</v>
      </c>
    </row>
    <row r="322" spans="1:16" ht="14.25">
      <c r="A322" s="224">
        <v>321</v>
      </c>
      <c r="B322" s="58">
        <v>1630</v>
      </c>
      <c r="C322" s="57" t="s">
        <v>3002</v>
      </c>
      <c r="D322" s="57" t="s">
        <v>45</v>
      </c>
      <c r="E322" s="57" t="s">
        <v>2860</v>
      </c>
      <c r="F322" s="233">
        <v>45709.088194444441</v>
      </c>
      <c r="G322" s="57">
        <v>2</v>
      </c>
      <c r="H322" s="57" t="s">
        <v>2557</v>
      </c>
      <c r="I322" s="58">
        <v>46507</v>
      </c>
      <c r="J322" s="234" t="s">
        <v>3003</v>
      </c>
      <c r="K322" s="58">
        <v>5.99</v>
      </c>
      <c r="L322" s="58">
        <v>0</v>
      </c>
      <c r="M322" s="58">
        <v>0</v>
      </c>
      <c r="N322" s="58">
        <v>1</v>
      </c>
      <c r="O322" s="224">
        <f t="shared" si="2"/>
        <v>5.99</v>
      </c>
      <c r="P322" s="227">
        <f t="shared" si="3"/>
        <v>5.99</v>
      </c>
    </row>
    <row r="323" spans="1:16" ht="14.25">
      <c r="A323" s="224">
        <v>322</v>
      </c>
      <c r="B323" s="58">
        <v>18697</v>
      </c>
      <c r="C323" s="57" t="s">
        <v>377</v>
      </c>
      <c r="D323" s="57" t="s">
        <v>2582</v>
      </c>
      <c r="E323" s="57" t="s">
        <v>9</v>
      </c>
      <c r="F323" s="233">
        <v>45709.090277777781</v>
      </c>
      <c r="G323" s="57">
        <v>2</v>
      </c>
      <c r="H323" s="57" t="s">
        <v>2557</v>
      </c>
      <c r="I323" s="58">
        <v>48775</v>
      </c>
      <c r="J323" s="234" t="s">
        <v>378</v>
      </c>
      <c r="K323" s="58">
        <v>61.17</v>
      </c>
      <c r="L323" s="58">
        <v>5.68</v>
      </c>
      <c r="M323" s="58">
        <v>0</v>
      </c>
      <c r="N323" s="58">
        <v>7.2855100000000004</v>
      </c>
      <c r="O323" s="224">
        <f t="shared" si="2"/>
        <v>55.49</v>
      </c>
      <c r="P323" s="227">
        <f t="shared" si="3"/>
        <v>7.6164880701556923</v>
      </c>
    </row>
    <row r="324" spans="1:16" ht="14.25">
      <c r="A324" s="224">
        <v>323</v>
      </c>
      <c r="B324" s="58">
        <v>18713</v>
      </c>
      <c r="C324" s="57" t="s">
        <v>3004</v>
      </c>
      <c r="D324" s="57" t="s">
        <v>2582</v>
      </c>
      <c r="E324" s="57" t="s">
        <v>2860</v>
      </c>
      <c r="F324" s="233">
        <v>45709.449305555558</v>
      </c>
      <c r="G324" s="57">
        <v>2</v>
      </c>
      <c r="H324" s="57" t="s">
        <v>2557</v>
      </c>
      <c r="I324" s="58">
        <v>48835</v>
      </c>
      <c r="J324" s="234" t="s">
        <v>3005</v>
      </c>
      <c r="K324" s="58">
        <v>60.98</v>
      </c>
      <c r="L324" s="58">
        <v>0</v>
      </c>
      <c r="M324" s="58">
        <v>0</v>
      </c>
      <c r="N324" s="58">
        <v>7.2591200000000002</v>
      </c>
      <c r="O324" s="224">
        <f t="shared" si="2"/>
        <v>60.98</v>
      </c>
      <c r="P324" s="227">
        <f t="shared" si="3"/>
        <v>8.4004672742701594</v>
      </c>
    </row>
    <row r="325" spans="1:16" ht="14.25">
      <c r="A325" s="224">
        <v>324</v>
      </c>
      <c r="B325" s="58">
        <v>18291</v>
      </c>
      <c r="C325" s="57" t="s">
        <v>3006</v>
      </c>
      <c r="D325" s="57" t="s">
        <v>45</v>
      </c>
      <c r="E325" s="57" t="s">
        <v>2860</v>
      </c>
      <c r="F325" s="233">
        <v>45709.511111111111</v>
      </c>
      <c r="G325" s="57">
        <v>2</v>
      </c>
      <c r="H325" s="57" t="s">
        <v>2557</v>
      </c>
      <c r="I325" s="58">
        <v>48847</v>
      </c>
      <c r="J325" s="234" t="s">
        <v>3007</v>
      </c>
      <c r="K325" s="58">
        <v>25.19</v>
      </c>
      <c r="L325" s="58">
        <v>0</v>
      </c>
      <c r="M325" s="58">
        <v>0</v>
      </c>
      <c r="N325" s="58">
        <v>1</v>
      </c>
      <c r="O325" s="224">
        <f t="shared" si="2"/>
        <v>25.19</v>
      </c>
      <c r="P325" s="227">
        <f t="shared" si="3"/>
        <v>25.19</v>
      </c>
    </row>
    <row r="326" spans="1:16" ht="14.25">
      <c r="A326" s="224">
        <v>325</v>
      </c>
      <c r="B326" s="58">
        <v>1836</v>
      </c>
      <c r="C326" s="57" t="s">
        <v>2882</v>
      </c>
      <c r="D326" s="57" t="s">
        <v>2582</v>
      </c>
      <c r="E326" s="57" t="s">
        <v>2860</v>
      </c>
      <c r="F326" s="233">
        <v>45709.560416666667</v>
      </c>
      <c r="G326" s="57">
        <v>2</v>
      </c>
      <c r="H326" s="57" t="s">
        <v>2557</v>
      </c>
      <c r="I326" s="58">
        <v>48823</v>
      </c>
      <c r="J326" s="234" t="s">
        <v>3008</v>
      </c>
      <c r="K326" s="58">
        <v>87.04</v>
      </c>
      <c r="L326" s="58">
        <v>0</v>
      </c>
      <c r="M326" s="58">
        <v>0</v>
      </c>
      <c r="N326" s="58">
        <v>7.2591200000000002</v>
      </c>
      <c r="O326" s="224">
        <f t="shared" si="2"/>
        <v>87.04</v>
      </c>
      <c r="P326" s="227">
        <f t="shared" si="3"/>
        <v>11.990434102205226</v>
      </c>
    </row>
    <row r="327" spans="1:16" ht="14.25">
      <c r="A327" s="224">
        <v>326</v>
      </c>
      <c r="B327" s="58">
        <v>1836</v>
      </c>
      <c r="C327" s="57" t="s">
        <v>2882</v>
      </c>
      <c r="D327" s="57" t="s">
        <v>2582</v>
      </c>
      <c r="E327" s="57" t="s">
        <v>2860</v>
      </c>
      <c r="F327" s="233">
        <v>45709.561111111114</v>
      </c>
      <c r="G327" s="57">
        <v>2</v>
      </c>
      <c r="H327" s="57" t="s">
        <v>2557</v>
      </c>
      <c r="I327" s="58">
        <v>48823</v>
      </c>
      <c r="J327" s="234"/>
      <c r="K327" s="58">
        <v>0.02</v>
      </c>
      <c r="L327" s="58">
        <v>0</v>
      </c>
      <c r="M327" s="58">
        <v>0</v>
      </c>
      <c r="N327" s="58">
        <v>7.2591200000000002</v>
      </c>
      <c r="O327" s="224">
        <f t="shared" si="2"/>
        <v>0.02</v>
      </c>
      <c r="P327" s="227">
        <f t="shared" si="3"/>
        <v>2.755154894808186E-3</v>
      </c>
    </row>
    <row r="328" spans="1:16" ht="14.25">
      <c r="A328" s="224">
        <v>327</v>
      </c>
      <c r="B328" s="58">
        <v>370</v>
      </c>
      <c r="C328" s="57" t="s">
        <v>3009</v>
      </c>
      <c r="D328" s="57" t="s">
        <v>45</v>
      </c>
      <c r="E328" s="57" t="s">
        <v>2860</v>
      </c>
      <c r="F328" s="233">
        <v>45709.565972222219</v>
      </c>
      <c r="G328" s="57">
        <v>2</v>
      </c>
      <c r="H328" s="57" t="s">
        <v>2557</v>
      </c>
      <c r="I328" s="58">
        <v>48859</v>
      </c>
      <c r="J328" s="234" t="s">
        <v>3010</v>
      </c>
      <c r="K328" s="58">
        <v>2.99</v>
      </c>
      <c r="L328" s="58">
        <v>0</v>
      </c>
      <c r="M328" s="58">
        <v>0</v>
      </c>
      <c r="N328" s="58">
        <v>1</v>
      </c>
      <c r="O328" s="224">
        <f t="shared" si="2"/>
        <v>2.99</v>
      </c>
      <c r="P328" s="227">
        <f t="shared" si="3"/>
        <v>2.99</v>
      </c>
    </row>
    <row r="329" spans="1:16" ht="14.25">
      <c r="A329" s="224">
        <v>328</v>
      </c>
      <c r="B329" s="58">
        <v>1836</v>
      </c>
      <c r="C329" s="57" t="s">
        <v>2882</v>
      </c>
      <c r="D329" s="57" t="s">
        <v>2582</v>
      </c>
      <c r="E329" s="57" t="s">
        <v>2860</v>
      </c>
      <c r="F329" s="233">
        <v>45709.611111111109</v>
      </c>
      <c r="G329" s="57">
        <v>2</v>
      </c>
      <c r="H329" s="57" t="s">
        <v>2557</v>
      </c>
      <c r="I329" s="58">
        <v>48883</v>
      </c>
      <c r="J329" s="234" t="s">
        <v>3011</v>
      </c>
      <c r="K329" s="58">
        <v>130.37</v>
      </c>
      <c r="L329" s="58">
        <v>0</v>
      </c>
      <c r="M329" s="58">
        <v>0</v>
      </c>
      <c r="N329" s="58">
        <v>7.2591200000000002</v>
      </c>
      <c r="O329" s="224">
        <f t="shared" si="2"/>
        <v>130.37</v>
      </c>
      <c r="P329" s="227">
        <f t="shared" si="3"/>
        <v>17.959477181807163</v>
      </c>
    </row>
    <row r="330" spans="1:16" ht="14.25">
      <c r="A330" s="224">
        <v>329</v>
      </c>
      <c r="B330" s="58">
        <v>18717</v>
      </c>
      <c r="C330" s="57" t="s">
        <v>3012</v>
      </c>
      <c r="D330" s="57" t="s">
        <v>2582</v>
      </c>
      <c r="E330" s="57" t="s">
        <v>2860</v>
      </c>
      <c r="F330" s="233">
        <v>45709.617361111108</v>
      </c>
      <c r="G330" s="57">
        <v>2</v>
      </c>
      <c r="H330" s="57" t="s">
        <v>2557</v>
      </c>
      <c r="I330" s="58">
        <v>48895</v>
      </c>
      <c r="J330" s="234" t="s">
        <v>3013</v>
      </c>
      <c r="K330" s="58">
        <v>50.74</v>
      </c>
      <c r="L330" s="58">
        <v>0</v>
      </c>
      <c r="M330" s="58">
        <v>0</v>
      </c>
      <c r="N330" s="58">
        <v>7.2591200000000002</v>
      </c>
      <c r="O330" s="224">
        <f t="shared" si="2"/>
        <v>50.74</v>
      </c>
      <c r="P330" s="227">
        <f t="shared" si="3"/>
        <v>6.9898279681283686</v>
      </c>
    </row>
    <row r="331" spans="1:16" ht="14.25">
      <c r="A331" s="224">
        <v>330</v>
      </c>
      <c r="B331" s="58">
        <v>18724</v>
      </c>
      <c r="C331" s="57" t="s">
        <v>3014</v>
      </c>
      <c r="D331" s="57" t="s">
        <v>45</v>
      </c>
      <c r="E331" s="57" t="s">
        <v>2860</v>
      </c>
      <c r="F331" s="233">
        <v>45709.702777777777</v>
      </c>
      <c r="G331" s="57">
        <v>2</v>
      </c>
      <c r="H331" s="57" t="s">
        <v>2557</v>
      </c>
      <c r="I331" s="58">
        <v>48907</v>
      </c>
      <c r="J331" s="234" t="s">
        <v>3015</v>
      </c>
      <c r="K331" s="58">
        <v>7.99</v>
      </c>
      <c r="L331" s="58">
        <v>0</v>
      </c>
      <c r="M331" s="58">
        <v>0</v>
      </c>
      <c r="N331" s="58">
        <v>1</v>
      </c>
      <c r="O331" s="224">
        <f t="shared" si="2"/>
        <v>7.99</v>
      </c>
      <c r="P331" s="227">
        <f t="shared" si="3"/>
        <v>7.99</v>
      </c>
    </row>
    <row r="332" spans="1:16" ht="14.25">
      <c r="A332" s="224">
        <v>331</v>
      </c>
      <c r="B332" s="58">
        <v>18291</v>
      </c>
      <c r="C332" s="57" t="s">
        <v>3006</v>
      </c>
      <c r="D332" s="57" t="s">
        <v>45</v>
      </c>
      <c r="E332" s="57" t="s">
        <v>2860</v>
      </c>
      <c r="F332" s="233">
        <v>45709.707638888889</v>
      </c>
      <c r="G332" s="57">
        <v>2</v>
      </c>
      <c r="H332" s="57" t="s">
        <v>2557</v>
      </c>
      <c r="I332" s="58">
        <v>48919</v>
      </c>
      <c r="J332" s="234" t="s">
        <v>3016</v>
      </c>
      <c r="K332" s="58">
        <v>4.1900000000000004</v>
      </c>
      <c r="L332" s="58">
        <v>0</v>
      </c>
      <c r="M332" s="58">
        <v>0</v>
      </c>
      <c r="N332" s="58">
        <v>1</v>
      </c>
      <c r="O332" s="224">
        <f t="shared" si="2"/>
        <v>4.1900000000000004</v>
      </c>
      <c r="P332" s="227">
        <f t="shared" si="3"/>
        <v>4.1900000000000004</v>
      </c>
    </row>
    <row r="333" spans="1:16" ht="14.25">
      <c r="A333" s="224">
        <v>332</v>
      </c>
      <c r="B333" s="58">
        <v>5906</v>
      </c>
      <c r="C333" s="57" t="s">
        <v>2768</v>
      </c>
      <c r="D333" s="57" t="s">
        <v>45</v>
      </c>
      <c r="E333" s="57" t="s">
        <v>9</v>
      </c>
      <c r="F333" s="233">
        <v>45709.806944444441</v>
      </c>
      <c r="G333" s="57">
        <v>2</v>
      </c>
      <c r="H333" s="57" t="s">
        <v>2557</v>
      </c>
      <c r="I333" s="58">
        <v>46687</v>
      </c>
      <c r="J333" s="234" t="s">
        <v>379</v>
      </c>
      <c r="K333" s="58">
        <v>4.99</v>
      </c>
      <c r="L333" s="58">
        <v>0.74</v>
      </c>
      <c r="M333" s="58">
        <v>0</v>
      </c>
      <c r="N333" s="58">
        <v>1</v>
      </c>
      <c r="O333" s="224">
        <f t="shared" si="2"/>
        <v>4.25</v>
      </c>
      <c r="P333" s="227">
        <f t="shared" si="3"/>
        <v>4.25</v>
      </c>
    </row>
    <row r="334" spans="1:16" ht="14.25">
      <c r="A334" s="224">
        <v>333</v>
      </c>
      <c r="B334" s="58">
        <v>7191</v>
      </c>
      <c r="C334" s="57" t="s">
        <v>2650</v>
      </c>
      <c r="D334" s="57" t="s">
        <v>45</v>
      </c>
      <c r="E334" s="57" t="s">
        <v>2860</v>
      </c>
      <c r="F334" s="233">
        <v>45709.823611111111</v>
      </c>
      <c r="G334" s="57">
        <v>2</v>
      </c>
      <c r="H334" s="57" t="s">
        <v>2557</v>
      </c>
      <c r="I334" s="58">
        <v>48931</v>
      </c>
      <c r="J334" s="234" t="s">
        <v>3017</v>
      </c>
      <c r="K334" s="58">
        <v>1.79</v>
      </c>
      <c r="L334" s="58">
        <v>0</v>
      </c>
      <c r="M334" s="58">
        <v>0</v>
      </c>
      <c r="N334" s="58">
        <v>1</v>
      </c>
      <c r="O334" s="224">
        <f t="shared" si="2"/>
        <v>1.79</v>
      </c>
      <c r="P334" s="227">
        <f t="shared" si="3"/>
        <v>1.79</v>
      </c>
    </row>
    <row r="335" spans="1:16" ht="14.25">
      <c r="A335" s="224">
        <v>334</v>
      </c>
      <c r="B335" s="58">
        <v>3306</v>
      </c>
      <c r="C335" s="57" t="s">
        <v>3018</v>
      </c>
      <c r="D335" s="57" t="s">
        <v>45</v>
      </c>
      <c r="E335" s="57" t="s">
        <v>2860</v>
      </c>
      <c r="F335" s="233">
        <v>45709.890972222223</v>
      </c>
      <c r="G335" s="57">
        <v>2</v>
      </c>
      <c r="H335" s="57" t="s">
        <v>2557</v>
      </c>
      <c r="I335" s="58">
        <v>48943</v>
      </c>
      <c r="J335" s="234" t="s">
        <v>3019</v>
      </c>
      <c r="K335" s="58">
        <v>1.19</v>
      </c>
      <c r="L335" s="58">
        <v>0</v>
      </c>
      <c r="M335" s="58">
        <v>0</v>
      </c>
      <c r="N335" s="58">
        <v>1</v>
      </c>
      <c r="O335" s="224">
        <f t="shared" si="2"/>
        <v>1.19</v>
      </c>
      <c r="P335" s="227">
        <f t="shared" si="3"/>
        <v>1.19</v>
      </c>
    </row>
    <row r="336" spans="1:16" ht="14.25">
      <c r="A336" s="224">
        <v>335</v>
      </c>
      <c r="B336" s="58">
        <v>18736</v>
      </c>
      <c r="C336" s="57" t="s">
        <v>3020</v>
      </c>
      <c r="D336" s="57" t="s">
        <v>45</v>
      </c>
      <c r="E336" s="57" t="s">
        <v>2860</v>
      </c>
      <c r="F336" s="233">
        <v>45709.904861111114</v>
      </c>
      <c r="G336" s="57">
        <v>2</v>
      </c>
      <c r="H336" s="57" t="s">
        <v>2557</v>
      </c>
      <c r="I336" s="58">
        <v>48979</v>
      </c>
      <c r="J336" s="234" t="s">
        <v>3021</v>
      </c>
      <c r="K336" s="58">
        <v>8.39</v>
      </c>
      <c r="L336" s="58">
        <v>0</v>
      </c>
      <c r="M336" s="58">
        <v>0</v>
      </c>
      <c r="N336" s="58">
        <v>1</v>
      </c>
      <c r="O336" s="224">
        <f t="shared" si="2"/>
        <v>8.39</v>
      </c>
      <c r="P336" s="227">
        <f t="shared" si="3"/>
        <v>8.39</v>
      </c>
    </row>
    <row r="337" spans="1:16" ht="14.25">
      <c r="A337" s="224">
        <v>336</v>
      </c>
      <c r="B337" s="58">
        <v>392</v>
      </c>
      <c r="C337" s="57" t="s">
        <v>2876</v>
      </c>
      <c r="D337" s="57" t="s">
        <v>2582</v>
      </c>
      <c r="E337" s="57" t="s">
        <v>9</v>
      </c>
      <c r="F337" s="233">
        <v>45709.948611111111</v>
      </c>
      <c r="G337" s="57">
        <v>2</v>
      </c>
      <c r="H337" s="57" t="s">
        <v>2557</v>
      </c>
      <c r="I337" s="58">
        <v>48595</v>
      </c>
      <c r="J337" s="234" t="s">
        <v>380</v>
      </c>
      <c r="K337" s="58">
        <v>29.07</v>
      </c>
      <c r="L337" s="58">
        <v>5.01</v>
      </c>
      <c r="M337" s="58">
        <v>0</v>
      </c>
      <c r="N337" s="58">
        <v>7.2591200000000002</v>
      </c>
      <c r="O337" s="224">
        <f t="shared" si="2"/>
        <v>24.060000000000002</v>
      </c>
      <c r="P337" s="227">
        <f t="shared" si="3"/>
        <v>3.3144513384542482</v>
      </c>
    </row>
    <row r="338" spans="1:16" ht="14.25">
      <c r="A338" s="224">
        <v>337</v>
      </c>
      <c r="B338" s="58">
        <v>18683</v>
      </c>
      <c r="C338" s="57" t="s">
        <v>3022</v>
      </c>
      <c r="D338" s="57" t="s">
        <v>45</v>
      </c>
      <c r="E338" s="57" t="s">
        <v>9</v>
      </c>
      <c r="F338" s="233">
        <v>45710.035416666666</v>
      </c>
      <c r="G338" s="57">
        <v>2</v>
      </c>
      <c r="H338" s="57" t="s">
        <v>2557</v>
      </c>
      <c r="I338" s="58">
        <v>48691</v>
      </c>
      <c r="J338" s="234" t="s">
        <v>382</v>
      </c>
      <c r="K338" s="58">
        <v>8.39</v>
      </c>
      <c r="L338" s="58">
        <v>0.91</v>
      </c>
      <c r="M338" s="58">
        <v>0</v>
      </c>
      <c r="N338" s="58">
        <v>1</v>
      </c>
      <c r="O338" s="224">
        <f t="shared" si="2"/>
        <v>7.48</v>
      </c>
      <c r="P338" s="227">
        <f t="shared" si="3"/>
        <v>7.48</v>
      </c>
    </row>
    <row r="339" spans="1:16" ht="14.25">
      <c r="A339" s="224">
        <v>338</v>
      </c>
      <c r="B339" s="58">
        <v>9778</v>
      </c>
      <c r="C339" s="57" t="s">
        <v>2815</v>
      </c>
      <c r="D339" s="57" t="s">
        <v>45</v>
      </c>
      <c r="E339" s="57" t="s">
        <v>2860</v>
      </c>
      <c r="F339" s="233">
        <v>45710.061805555553</v>
      </c>
      <c r="G339" s="57">
        <v>2</v>
      </c>
      <c r="H339" s="57" t="s">
        <v>2557</v>
      </c>
      <c r="I339" s="58">
        <v>49027</v>
      </c>
      <c r="J339" s="234" t="s">
        <v>3023</v>
      </c>
      <c r="K339" s="58">
        <v>1.79</v>
      </c>
      <c r="L339" s="58">
        <v>0</v>
      </c>
      <c r="M339" s="58">
        <v>0</v>
      </c>
      <c r="N339" s="58">
        <v>1</v>
      </c>
      <c r="O339" s="224">
        <f t="shared" si="2"/>
        <v>1.79</v>
      </c>
      <c r="P339" s="227">
        <f t="shared" si="3"/>
        <v>1.79</v>
      </c>
    </row>
    <row r="340" spans="1:16" ht="14.25">
      <c r="A340" s="224">
        <v>339</v>
      </c>
      <c r="B340" s="58">
        <v>9778</v>
      </c>
      <c r="C340" s="57" t="s">
        <v>2815</v>
      </c>
      <c r="D340" s="57" t="s">
        <v>45</v>
      </c>
      <c r="E340" s="57" t="s">
        <v>2860</v>
      </c>
      <c r="F340" s="233">
        <v>45710.065972222219</v>
      </c>
      <c r="G340" s="57">
        <v>2</v>
      </c>
      <c r="H340" s="57" t="s">
        <v>2557</v>
      </c>
      <c r="I340" s="58">
        <v>49039</v>
      </c>
      <c r="J340" s="234" t="s">
        <v>3024</v>
      </c>
      <c r="K340" s="58">
        <v>8.39</v>
      </c>
      <c r="L340" s="58">
        <v>0</v>
      </c>
      <c r="M340" s="58">
        <v>0</v>
      </c>
      <c r="N340" s="58">
        <v>1</v>
      </c>
      <c r="O340" s="224">
        <f t="shared" si="2"/>
        <v>8.39</v>
      </c>
      <c r="P340" s="227">
        <f t="shared" si="3"/>
        <v>8.39</v>
      </c>
    </row>
    <row r="341" spans="1:16" ht="14.25">
      <c r="A341" s="224">
        <v>340</v>
      </c>
      <c r="B341" s="58">
        <v>65</v>
      </c>
      <c r="C341" s="57" t="s">
        <v>3025</v>
      </c>
      <c r="D341" s="57" t="s">
        <v>45</v>
      </c>
      <c r="E341" s="57" t="s">
        <v>2860</v>
      </c>
      <c r="F341" s="233">
        <v>45710.074305555558</v>
      </c>
      <c r="G341" s="57">
        <v>2</v>
      </c>
      <c r="H341" s="57" t="s">
        <v>2557</v>
      </c>
      <c r="I341" s="58">
        <v>49051</v>
      </c>
      <c r="J341" s="234" t="s">
        <v>3026</v>
      </c>
      <c r="K341" s="58">
        <v>1.19</v>
      </c>
      <c r="L341" s="58">
        <v>0</v>
      </c>
      <c r="M341" s="58">
        <v>0</v>
      </c>
      <c r="N341" s="58">
        <v>1</v>
      </c>
      <c r="O341" s="224">
        <f t="shared" si="2"/>
        <v>1.19</v>
      </c>
      <c r="P341" s="227">
        <f t="shared" si="3"/>
        <v>1.19</v>
      </c>
    </row>
    <row r="342" spans="1:16" ht="14.25">
      <c r="A342" s="224">
        <v>341</v>
      </c>
      <c r="B342" s="58">
        <v>9778</v>
      </c>
      <c r="C342" s="57" t="s">
        <v>2815</v>
      </c>
      <c r="D342" s="57" t="s">
        <v>45</v>
      </c>
      <c r="E342" s="57" t="s">
        <v>2860</v>
      </c>
      <c r="F342" s="233">
        <v>45710.093055555553</v>
      </c>
      <c r="G342" s="57">
        <v>2</v>
      </c>
      <c r="H342" s="57" t="s">
        <v>2557</v>
      </c>
      <c r="I342" s="58">
        <v>49075</v>
      </c>
      <c r="J342" s="234" t="s">
        <v>3027</v>
      </c>
      <c r="K342" s="58">
        <v>4.1900000000000004</v>
      </c>
      <c r="L342" s="58">
        <v>0</v>
      </c>
      <c r="M342" s="58">
        <v>0</v>
      </c>
      <c r="N342" s="58">
        <v>1</v>
      </c>
      <c r="O342" s="224">
        <f t="shared" si="2"/>
        <v>4.1900000000000004</v>
      </c>
      <c r="P342" s="227">
        <f t="shared" si="3"/>
        <v>4.1900000000000004</v>
      </c>
    </row>
    <row r="343" spans="1:16" ht="14.25">
      <c r="A343" s="224">
        <v>342</v>
      </c>
      <c r="B343" s="58">
        <v>18746</v>
      </c>
      <c r="C343" s="57" t="s">
        <v>3028</v>
      </c>
      <c r="D343" s="57" t="s">
        <v>45</v>
      </c>
      <c r="E343" s="57" t="s">
        <v>9</v>
      </c>
      <c r="F343" s="233">
        <v>45710.104166666664</v>
      </c>
      <c r="G343" s="57">
        <v>2</v>
      </c>
      <c r="H343" s="57" t="s">
        <v>2557</v>
      </c>
      <c r="I343" s="58">
        <v>49099</v>
      </c>
      <c r="J343" s="234" t="s">
        <v>384</v>
      </c>
      <c r="K343" s="58">
        <v>8.39</v>
      </c>
      <c r="L343" s="58">
        <v>0.91</v>
      </c>
      <c r="M343" s="58">
        <v>0</v>
      </c>
      <c r="N343" s="58">
        <v>1</v>
      </c>
      <c r="O343" s="224">
        <f t="shared" si="2"/>
        <v>7.48</v>
      </c>
      <c r="P343" s="227">
        <f t="shared" si="3"/>
        <v>7.48</v>
      </c>
    </row>
    <row r="344" spans="1:16" ht="14.25">
      <c r="A344" s="224">
        <v>343</v>
      </c>
      <c r="B344" s="58">
        <v>18756</v>
      </c>
      <c r="C344" s="57" t="s">
        <v>3029</v>
      </c>
      <c r="D344" s="57" t="s">
        <v>45</v>
      </c>
      <c r="E344" s="57" t="s">
        <v>2860</v>
      </c>
      <c r="F344" s="233">
        <v>45710.222222222219</v>
      </c>
      <c r="G344" s="57">
        <v>2</v>
      </c>
      <c r="H344" s="57" t="s">
        <v>2557</v>
      </c>
      <c r="I344" s="58">
        <v>49135</v>
      </c>
      <c r="J344" s="234" t="s">
        <v>3030</v>
      </c>
      <c r="K344" s="58">
        <v>8.99</v>
      </c>
      <c r="L344" s="58">
        <v>0</v>
      </c>
      <c r="M344" s="58">
        <v>0</v>
      </c>
      <c r="N344" s="58">
        <v>1</v>
      </c>
      <c r="O344" s="224">
        <f t="shared" si="2"/>
        <v>8.99</v>
      </c>
      <c r="P344" s="227">
        <f t="shared" si="3"/>
        <v>8.99</v>
      </c>
    </row>
    <row r="345" spans="1:16" ht="14.25">
      <c r="A345" s="224">
        <v>344</v>
      </c>
      <c r="B345" s="58">
        <v>18755</v>
      </c>
      <c r="C345" s="57" t="s">
        <v>3031</v>
      </c>
      <c r="D345" s="57" t="s">
        <v>2582</v>
      </c>
      <c r="E345" s="57" t="s">
        <v>9</v>
      </c>
      <c r="F345" s="233">
        <v>45710.224305555559</v>
      </c>
      <c r="G345" s="57">
        <v>2</v>
      </c>
      <c r="H345" s="57" t="s">
        <v>2557</v>
      </c>
      <c r="I345" s="58">
        <v>49147</v>
      </c>
      <c r="J345" s="234" t="s">
        <v>386</v>
      </c>
      <c r="K345" s="58">
        <v>213.39</v>
      </c>
      <c r="L345" s="58">
        <v>14.23</v>
      </c>
      <c r="M345" s="58">
        <v>0</v>
      </c>
      <c r="N345" s="58">
        <v>7.2591200000000002</v>
      </c>
      <c r="O345" s="224">
        <f t="shared" si="2"/>
        <v>199.16</v>
      </c>
      <c r="P345" s="227">
        <f t="shared" si="3"/>
        <v>27.435832442499915</v>
      </c>
    </row>
    <row r="346" spans="1:16" ht="14.25">
      <c r="A346" s="224">
        <v>345</v>
      </c>
      <c r="B346" s="58">
        <v>18714</v>
      </c>
      <c r="C346" s="57" t="s">
        <v>3032</v>
      </c>
      <c r="D346" s="57" t="s">
        <v>2582</v>
      </c>
      <c r="E346" s="57" t="s">
        <v>2860</v>
      </c>
      <c r="F346" s="233">
        <v>45710.310416666667</v>
      </c>
      <c r="G346" s="57">
        <v>2</v>
      </c>
      <c r="H346" s="57" t="s">
        <v>2557</v>
      </c>
      <c r="I346" s="58">
        <v>49159</v>
      </c>
      <c r="J346" s="234" t="s">
        <v>3033</v>
      </c>
      <c r="K346" s="58">
        <v>8.64</v>
      </c>
      <c r="L346" s="58">
        <v>0</v>
      </c>
      <c r="M346" s="58">
        <v>0</v>
      </c>
      <c r="N346" s="58">
        <v>7.2591200000000002</v>
      </c>
      <c r="O346" s="224">
        <f t="shared" si="2"/>
        <v>8.64</v>
      </c>
      <c r="P346" s="227">
        <f t="shared" si="3"/>
        <v>1.1902269145571365</v>
      </c>
    </row>
    <row r="347" spans="1:16" ht="14.25">
      <c r="A347" s="224">
        <v>346</v>
      </c>
      <c r="B347" s="58">
        <v>18783</v>
      </c>
      <c r="C347" s="57" t="s">
        <v>3034</v>
      </c>
      <c r="D347" s="57" t="s">
        <v>45</v>
      </c>
      <c r="E347" s="57" t="s">
        <v>9</v>
      </c>
      <c r="F347" s="233">
        <v>45710.420138888891</v>
      </c>
      <c r="G347" s="57">
        <v>2</v>
      </c>
      <c r="H347" s="57" t="s">
        <v>2557</v>
      </c>
      <c r="I347" s="58">
        <v>49231</v>
      </c>
      <c r="J347" s="234" t="s">
        <v>388</v>
      </c>
      <c r="K347" s="58">
        <v>8.39</v>
      </c>
      <c r="L347" s="58">
        <v>0.91</v>
      </c>
      <c r="M347" s="58">
        <v>0</v>
      </c>
      <c r="N347" s="58">
        <v>1</v>
      </c>
      <c r="O347" s="224">
        <f t="shared" si="2"/>
        <v>7.48</v>
      </c>
      <c r="P347" s="227">
        <f t="shared" si="3"/>
        <v>7.48</v>
      </c>
    </row>
    <row r="348" spans="1:16" ht="14.25">
      <c r="A348" s="224">
        <v>347</v>
      </c>
      <c r="B348" s="58">
        <v>399</v>
      </c>
      <c r="C348" s="57" t="s">
        <v>3035</v>
      </c>
      <c r="D348" s="57" t="s">
        <v>45</v>
      </c>
      <c r="E348" s="57" t="s">
        <v>2860</v>
      </c>
      <c r="F348" s="233">
        <v>45710.551388888889</v>
      </c>
      <c r="G348" s="57">
        <v>2</v>
      </c>
      <c r="H348" s="57" t="s">
        <v>2557</v>
      </c>
      <c r="I348" s="58">
        <v>49243</v>
      </c>
      <c r="J348" s="234" t="s">
        <v>3036</v>
      </c>
      <c r="K348" s="58">
        <v>8.39</v>
      </c>
      <c r="L348" s="58">
        <v>0</v>
      </c>
      <c r="M348" s="58">
        <v>0</v>
      </c>
      <c r="N348" s="58">
        <v>1</v>
      </c>
      <c r="O348" s="224">
        <f t="shared" si="2"/>
        <v>8.39</v>
      </c>
      <c r="P348" s="227">
        <f t="shared" si="3"/>
        <v>8.39</v>
      </c>
    </row>
    <row r="349" spans="1:16" ht="14.25">
      <c r="A349" s="224">
        <v>348</v>
      </c>
      <c r="B349" s="58">
        <v>136</v>
      </c>
      <c r="C349" s="57" t="s">
        <v>3037</v>
      </c>
      <c r="D349" s="57" t="s">
        <v>45</v>
      </c>
      <c r="E349" s="57" t="s">
        <v>2860</v>
      </c>
      <c r="F349" s="233">
        <v>45710.65347222222</v>
      </c>
      <c r="G349" s="57">
        <v>2</v>
      </c>
      <c r="H349" s="57" t="s">
        <v>2557</v>
      </c>
      <c r="I349" s="58">
        <v>49255</v>
      </c>
      <c r="J349" s="234" t="s">
        <v>3038</v>
      </c>
      <c r="K349" s="58">
        <v>1.19</v>
      </c>
      <c r="L349" s="58">
        <v>0</v>
      </c>
      <c r="M349" s="58">
        <v>0</v>
      </c>
      <c r="N349" s="58">
        <v>1</v>
      </c>
      <c r="O349" s="224">
        <f t="shared" si="2"/>
        <v>1.19</v>
      </c>
      <c r="P349" s="227">
        <f t="shared" si="3"/>
        <v>1.19</v>
      </c>
    </row>
    <row r="350" spans="1:16" ht="14.25">
      <c r="A350" s="224">
        <v>349</v>
      </c>
      <c r="B350" s="58">
        <v>18714</v>
      </c>
      <c r="C350" s="57" t="s">
        <v>3032</v>
      </c>
      <c r="D350" s="57" t="s">
        <v>2582</v>
      </c>
      <c r="E350" s="57" t="s">
        <v>2860</v>
      </c>
      <c r="F350" s="233">
        <v>45710.74722222222</v>
      </c>
      <c r="G350" s="57">
        <v>2</v>
      </c>
      <c r="H350" s="57" t="s">
        <v>2557</v>
      </c>
      <c r="I350" s="58">
        <v>49159</v>
      </c>
      <c r="J350" s="234"/>
      <c r="K350" s="58">
        <v>0.03</v>
      </c>
      <c r="L350" s="58">
        <v>0</v>
      </c>
      <c r="M350" s="58">
        <v>0</v>
      </c>
      <c r="N350" s="58">
        <v>7.2558999999999996</v>
      </c>
      <c r="O350" s="224">
        <f t="shared" si="2"/>
        <v>0.03</v>
      </c>
      <c r="P350" s="227">
        <f t="shared" si="3"/>
        <v>4.13456635289902E-3</v>
      </c>
    </row>
    <row r="351" spans="1:16" ht="14.25">
      <c r="A351" s="224">
        <v>350</v>
      </c>
      <c r="B351" s="58">
        <v>18794</v>
      </c>
      <c r="C351" s="57" t="s">
        <v>3039</v>
      </c>
      <c r="D351" s="57" t="s">
        <v>45</v>
      </c>
      <c r="E351" s="57" t="s">
        <v>2860</v>
      </c>
      <c r="F351" s="233">
        <v>45710.883333333331</v>
      </c>
      <c r="G351" s="57">
        <v>2</v>
      </c>
      <c r="H351" s="57" t="s">
        <v>2557</v>
      </c>
      <c r="I351" s="58">
        <v>49279</v>
      </c>
      <c r="J351" s="234" t="s">
        <v>3040</v>
      </c>
      <c r="K351" s="58">
        <v>1.19</v>
      </c>
      <c r="L351" s="58">
        <v>0</v>
      </c>
      <c r="M351" s="58">
        <v>0</v>
      </c>
      <c r="N351" s="58">
        <v>1</v>
      </c>
      <c r="O351" s="224">
        <f t="shared" si="2"/>
        <v>1.19</v>
      </c>
      <c r="P351" s="227">
        <f t="shared" si="3"/>
        <v>1.19</v>
      </c>
    </row>
    <row r="352" spans="1:16" ht="14.25">
      <c r="A352" s="224">
        <v>351</v>
      </c>
      <c r="B352" s="58">
        <v>18795</v>
      </c>
      <c r="C352" s="57" t="s">
        <v>3041</v>
      </c>
      <c r="D352" s="57" t="s">
        <v>2582</v>
      </c>
      <c r="E352" s="57" t="s">
        <v>2860</v>
      </c>
      <c r="F352" s="233">
        <v>45710.943055555559</v>
      </c>
      <c r="G352" s="57">
        <v>2</v>
      </c>
      <c r="H352" s="57" t="s">
        <v>2557</v>
      </c>
      <c r="I352" s="58">
        <v>49291</v>
      </c>
      <c r="J352" s="234" t="s">
        <v>3042</v>
      </c>
      <c r="K352" s="58">
        <v>60.95</v>
      </c>
      <c r="L352" s="58">
        <v>0</v>
      </c>
      <c r="M352" s="58">
        <v>0</v>
      </c>
      <c r="N352" s="58">
        <v>7.2558999999999996</v>
      </c>
      <c r="O352" s="224">
        <f t="shared" si="2"/>
        <v>60.95</v>
      </c>
      <c r="P352" s="227">
        <f t="shared" si="3"/>
        <v>8.4000606403065099</v>
      </c>
    </row>
    <row r="353" spans="1:16" ht="14.25">
      <c r="A353" s="224">
        <v>352</v>
      </c>
      <c r="B353" s="58">
        <v>18835</v>
      </c>
      <c r="C353" s="57" t="s">
        <v>3043</v>
      </c>
      <c r="D353" s="57" t="s">
        <v>2582</v>
      </c>
      <c r="E353" s="57" t="s">
        <v>2860</v>
      </c>
      <c r="F353" s="233">
        <v>45711</v>
      </c>
      <c r="G353" s="57">
        <v>2</v>
      </c>
      <c r="H353" s="57" t="s">
        <v>2557</v>
      </c>
      <c r="I353" s="58">
        <v>49567</v>
      </c>
      <c r="J353" s="234"/>
      <c r="K353" s="58">
        <v>0</v>
      </c>
      <c r="L353" s="58">
        <v>0</v>
      </c>
      <c r="M353" s="58">
        <v>0</v>
      </c>
      <c r="N353" s="58">
        <v>7.2558999999999996</v>
      </c>
      <c r="O353" s="224">
        <f t="shared" si="2"/>
        <v>0</v>
      </c>
      <c r="P353" s="227">
        <f t="shared" si="3"/>
        <v>0</v>
      </c>
    </row>
    <row r="354" spans="1:16" ht="14.25">
      <c r="A354" s="224">
        <v>353</v>
      </c>
      <c r="B354" s="58">
        <v>9969</v>
      </c>
      <c r="C354" s="57" t="s">
        <v>2837</v>
      </c>
      <c r="D354" s="57" t="s">
        <v>45</v>
      </c>
      <c r="E354" s="57" t="s">
        <v>2860</v>
      </c>
      <c r="F354" s="233">
        <v>45711.00277777778</v>
      </c>
      <c r="G354" s="57">
        <v>2</v>
      </c>
      <c r="H354" s="57" t="s">
        <v>2557</v>
      </c>
      <c r="I354" s="58">
        <v>49471</v>
      </c>
      <c r="J354" s="234" t="s">
        <v>3044</v>
      </c>
      <c r="K354" s="58">
        <v>21.59</v>
      </c>
      <c r="L354" s="58">
        <v>0</v>
      </c>
      <c r="M354" s="58">
        <v>0</v>
      </c>
      <c r="N354" s="58">
        <v>1</v>
      </c>
      <c r="O354" s="224">
        <f t="shared" si="2"/>
        <v>21.59</v>
      </c>
      <c r="P354" s="227">
        <f t="shared" si="3"/>
        <v>21.59</v>
      </c>
    </row>
    <row r="355" spans="1:16" ht="14.25">
      <c r="A355" s="224">
        <v>354</v>
      </c>
      <c r="B355" s="58">
        <v>18667</v>
      </c>
      <c r="C355" s="57" t="s">
        <v>3045</v>
      </c>
      <c r="D355" s="57" t="s">
        <v>2582</v>
      </c>
      <c r="E355" s="57" t="s">
        <v>2860</v>
      </c>
      <c r="F355" s="233">
        <v>45711.05972222222</v>
      </c>
      <c r="G355" s="57">
        <v>2</v>
      </c>
      <c r="H355" s="57" t="s">
        <v>2557</v>
      </c>
      <c r="I355" s="58">
        <v>49483</v>
      </c>
      <c r="J355" s="234" t="s">
        <v>3046</v>
      </c>
      <c r="K355" s="58">
        <v>60.95</v>
      </c>
      <c r="L355" s="58">
        <v>0</v>
      </c>
      <c r="M355" s="58">
        <v>0</v>
      </c>
      <c r="N355" s="58">
        <v>7.2558999999999996</v>
      </c>
      <c r="O355" s="224">
        <f t="shared" si="2"/>
        <v>60.95</v>
      </c>
      <c r="P355" s="227">
        <f t="shared" si="3"/>
        <v>8.4000606403065099</v>
      </c>
    </row>
    <row r="356" spans="1:16" ht="14.25">
      <c r="A356" s="224">
        <v>355</v>
      </c>
      <c r="B356" s="58">
        <v>18836</v>
      </c>
      <c r="C356" s="57" t="s">
        <v>3047</v>
      </c>
      <c r="D356" s="57" t="s">
        <v>45</v>
      </c>
      <c r="E356" s="57" t="s">
        <v>2860</v>
      </c>
      <c r="F356" s="233">
        <v>45711.487500000003</v>
      </c>
      <c r="G356" s="57">
        <v>2</v>
      </c>
      <c r="H356" s="57" t="s">
        <v>2557</v>
      </c>
      <c r="I356" s="58">
        <v>49555</v>
      </c>
      <c r="J356" s="234" t="s">
        <v>3048</v>
      </c>
      <c r="K356" s="58">
        <v>8.39</v>
      </c>
      <c r="L356" s="58">
        <v>0</v>
      </c>
      <c r="M356" s="58">
        <v>0</v>
      </c>
      <c r="N356" s="58">
        <v>1</v>
      </c>
      <c r="O356" s="224">
        <f t="shared" si="2"/>
        <v>8.39</v>
      </c>
      <c r="P356" s="227">
        <f t="shared" si="3"/>
        <v>8.39</v>
      </c>
    </row>
    <row r="357" spans="1:16" ht="14.25">
      <c r="A357" s="224">
        <v>356</v>
      </c>
      <c r="B357" s="58">
        <v>18848</v>
      </c>
      <c r="C357" s="57" t="s">
        <v>3049</v>
      </c>
      <c r="D357" s="57" t="s">
        <v>45</v>
      </c>
      <c r="E357" s="57" t="s">
        <v>2860</v>
      </c>
      <c r="F357" s="233">
        <v>45711.738888888889</v>
      </c>
      <c r="G357" s="57">
        <v>2</v>
      </c>
      <c r="H357" s="57" t="s">
        <v>2557</v>
      </c>
      <c r="I357" s="58">
        <v>49615</v>
      </c>
      <c r="J357" s="234" t="s">
        <v>3050</v>
      </c>
      <c r="K357" s="58">
        <v>1.79</v>
      </c>
      <c r="L357" s="58">
        <v>0</v>
      </c>
      <c r="M357" s="58">
        <v>0</v>
      </c>
      <c r="N357" s="58">
        <v>1</v>
      </c>
      <c r="O357" s="224">
        <f t="shared" si="2"/>
        <v>1.79</v>
      </c>
      <c r="P357" s="227">
        <f t="shared" si="3"/>
        <v>1.79</v>
      </c>
    </row>
    <row r="358" spans="1:16" ht="14.25">
      <c r="A358" s="224">
        <v>357</v>
      </c>
      <c r="B358" s="58">
        <v>1626</v>
      </c>
      <c r="C358" s="57" t="s">
        <v>3051</v>
      </c>
      <c r="D358" s="57" t="s">
        <v>45</v>
      </c>
      <c r="E358" s="57" t="s">
        <v>2860</v>
      </c>
      <c r="F358" s="233">
        <v>45711.795138888891</v>
      </c>
      <c r="G358" s="57">
        <v>2</v>
      </c>
      <c r="H358" s="57" t="s">
        <v>2557</v>
      </c>
      <c r="I358" s="58">
        <v>49639</v>
      </c>
      <c r="J358" s="234" t="s">
        <v>3052</v>
      </c>
      <c r="K358" s="58">
        <v>8.99</v>
      </c>
      <c r="L358" s="58">
        <v>0</v>
      </c>
      <c r="M358" s="58">
        <v>0</v>
      </c>
      <c r="N358" s="58">
        <v>1</v>
      </c>
      <c r="O358" s="224">
        <f t="shared" si="2"/>
        <v>8.99</v>
      </c>
      <c r="P358" s="227">
        <f t="shared" si="3"/>
        <v>8.99</v>
      </c>
    </row>
    <row r="359" spans="1:16" ht="14.25">
      <c r="A359" s="224">
        <v>358</v>
      </c>
      <c r="B359" s="58">
        <v>18795</v>
      </c>
      <c r="C359" s="57" t="s">
        <v>3041</v>
      </c>
      <c r="D359" s="57" t="s">
        <v>2582</v>
      </c>
      <c r="E359" s="57" t="s">
        <v>2860</v>
      </c>
      <c r="F359" s="233">
        <v>45711.9</v>
      </c>
      <c r="G359" s="57">
        <v>2</v>
      </c>
      <c r="H359" s="57" t="s">
        <v>2557</v>
      </c>
      <c r="I359" s="58">
        <v>49663</v>
      </c>
      <c r="J359" s="234" t="s">
        <v>3053</v>
      </c>
      <c r="K359" s="58">
        <v>17.34</v>
      </c>
      <c r="L359" s="58">
        <v>0</v>
      </c>
      <c r="M359" s="58">
        <v>0</v>
      </c>
      <c r="N359" s="58">
        <v>7.2558999999999996</v>
      </c>
      <c r="O359" s="224">
        <f t="shared" si="2"/>
        <v>17.34</v>
      </c>
      <c r="P359" s="227">
        <f t="shared" si="3"/>
        <v>2.3897793519756338</v>
      </c>
    </row>
    <row r="360" spans="1:16" ht="14.25">
      <c r="A360" s="224">
        <v>359</v>
      </c>
      <c r="B360" s="58">
        <v>18887</v>
      </c>
      <c r="C360" s="57" t="s">
        <v>2606</v>
      </c>
      <c r="D360" s="57" t="s">
        <v>45</v>
      </c>
      <c r="E360" s="57" t="s">
        <v>2860</v>
      </c>
      <c r="F360" s="233">
        <v>45712.345833333333</v>
      </c>
      <c r="G360" s="57">
        <v>2</v>
      </c>
      <c r="H360" s="57" t="s">
        <v>2557</v>
      </c>
      <c r="I360" s="58">
        <v>49675</v>
      </c>
      <c r="J360" s="234" t="s">
        <v>3054</v>
      </c>
      <c r="K360" s="58">
        <v>1.19</v>
      </c>
      <c r="L360" s="58">
        <v>0</v>
      </c>
      <c r="M360" s="58">
        <v>0</v>
      </c>
      <c r="N360" s="58">
        <v>1</v>
      </c>
      <c r="O360" s="224">
        <f t="shared" si="2"/>
        <v>1.19</v>
      </c>
      <c r="P360" s="227">
        <f t="shared" si="3"/>
        <v>1.19</v>
      </c>
    </row>
    <row r="361" spans="1:16" ht="14.25">
      <c r="A361" s="224">
        <v>360</v>
      </c>
      <c r="B361" s="58">
        <v>1630</v>
      </c>
      <c r="C361" s="57" t="s">
        <v>3002</v>
      </c>
      <c r="D361" s="57" t="s">
        <v>45</v>
      </c>
      <c r="E361" s="57" t="s">
        <v>2860</v>
      </c>
      <c r="F361" s="233">
        <v>45712.382638888892</v>
      </c>
      <c r="G361" s="57">
        <v>2</v>
      </c>
      <c r="H361" s="57" t="s">
        <v>2557</v>
      </c>
      <c r="I361" s="58">
        <v>46867</v>
      </c>
      <c r="J361" s="234" t="s">
        <v>3055</v>
      </c>
      <c r="K361" s="58">
        <v>3.99</v>
      </c>
      <c r="L361" s="58">
        <v>0</v>
      </c>
      <c r="M361" s="58">
        <v>0</v>
      </c>
      <c r="N361" s="58">
        <v>1</v>
      </c>
      <c r="O361" s="224">
        <f t="shared" si="2"/>
        <v>3.99</v>
      </c>
      <c r="P361" s="227">
        <f t="shared" si="3"/>
        <v>3.99</v>
      </c>
    </row>
    <row r="362" spans="1:16" ht="14.25">
      <c r="A362" s="224">
        <v>361</v>
      </c>
      <c r="B362" s="58">
        <v>18833</v>
      </c>
      <c r="C362" s="57" t="s">
        <v>3056</v>
      </c>
      <c r="D362" s="57" t="s">
        <v>45</v>
      </c>
      <c r="E362" s="57" t="s">
        <v>2860</v>
      </c>
      <c r="F362" s="233">
        <v>45712.588194444441</v>
      </c>
      <c r="G362" s="57">
        <v>2</v>
      </c>
      <c r="H362" s="57" t="s">
        <v>2557</v>
      </c>
      <c r="I362" s="58">
        <v>49543</v>
      </c>
      <c r="J362" s="234" t="s">
        <v>3057</v>
      </c>
      <c r="K362" s="58">
        <v>1.79</v>
      </c>
      <c r="L362" s="58">
        <v>0</v>
      </c>
      <c r="M362" s="58">
        <v>0</v>
      </c>
      <c r="N362" s="58">
        <v>1</v>
      </c>
      <c r="O362" s="224">
        <f t="shared" si="2"/>
        <v>1.79</v>
      </c>
      <c r="P362" s="227">
        <f t="shared" si="3"/>
        <v>1.79</v>
      </c>
    </row>
    <row r="363" spans="1:16" ht="12.75">
      <c r="A363" s="224">
        <v>362</v>
      </c>
      <c r="B363" s="24">
        <v>18900</v>
      </c>
      <c r="C363" s="23" t="s">
        <v>3058</v>
      </c>
      <c r="D363" s="23" t="s">
        <v>45</v>
      </c>
      <c r="E363" s="23" t="s">
        <v>2874</v>
      </c>
      <c r="F363" s="235">
        <v>45712.622916666667</v>
      </c>
      <c r="G363" s="23">
        <v>2</v>
      </c>
      <c r="H363" s="23" t="s">
        <v>2557</v>
      </c>
      <c r="I363" s="24">
        <v>49723</v>
      </c>
      <c r="J363" s="236" t="s">
        <v>3059</v>
      </c>
      <c r="K363" s="24">
        <v>1.19</v>
      </c>
      <c r="L363" s="24">
        <v>0</v>
      </c>
      <c r="M363" s="24">
        <v>0</v>
      </c>
      <c r="N363" s="24">
        <v>1</v>
      </c>
      <c r="O363" s="170">
        <f t="shared" si="2"/>
        <v>1.19</v>
      </c>
      <c r="P363" s="230">
        <f t="shared" si="3"/>
        <v>1.19</v>
      </c>
    </row>
    <row r="364" spans="1:16" ht="14.25">
      <c r="A364" s="224">
        <v>363</v>
      </c>
      <c r="B364" s="58">
        <v>18902</v>
      </c>
      <c r="C364" s="57" t="s">
        <v>3060</v>
      </c>
      <c r="D364" s="57" t="s">
        <v>45</v>
      </c>
      <c r="E364" s="57" t="s">
        <v>2860</v>
      </c>
      <c r="F364" s="233">
        <v>45712.668055555558</v>
      </c>
      <c r="G364" s="57">
        <v>2</v>
      </c>
      <c r="H364" s="57" t="s">
        <v>2557</v>
      </c>
      <c r="I364" s="58">
        <v>49735</v>
      </c>
      <c r="J364" s="234" t="s">
        <v>3061</v>
      </c>
      <c r="K364" s="58">
        <v>1.19</v>
      </c>
      <c r="L364" s="58">
        <v>0</v>
      </c>
      <c r="M364" s="58">
        <v>0</v>
      </c>
      <c r="N364" s="58">
        <v>1</v>
      </c>
      <c r="O364" s="224">
        <f t="shared" si="2"/>
        <v>1.19</v>
      </c>
      <c r="P364" s="227">
        <f t="shared" si="3"/>
        <v>1.19</v>
      </c>
    </row>
    <row r="365" spans="1:16" ht="14.25">
      <c r="A365" s="224">
        <v>364</v>
      </c>
      <c r="B365" s="58">
        <v>1630</v>
      </c>
      <c r="C365" s="57" t="s">
        <v>3002</v>
      </c>
      <c r="D365" s="57" t="s">
        <v>45</v>
      </c>
      <c r="E365" s="57" t="s">
        <v>2860</v>
      </c>
      <c r="F365" s="233">
        <v>45712.688194444447</v>
      </c>
      <c r="G365" s="57">
        <v>2</v>
      </c>
      <c r="H365" s="57" t="s">
        <v>2557</v>
      </c>
      <c r="I365" s="58">
        <v>49747</v>
      </c>
      <c r="J365" s="234" t="s">
        <v>3062</v>
      </c>
      <c r="K365" s="58">
        <v>5.99</v>
      </c>
      <c r="L365" s="58">
        <v>0</v>
      </c>
      <c r="M365" s="58">
        <v>0</v>
      </c>
      <c r="N365" s="58">
        <v>1</v>
      </c>
      <c r="O365" s="224">
        <f t="shared" si="2"/>
        <v>5.99</v>
      </c>
      <c r="P365" s="227">
        <f t="shared" si="3"/>
        <v>5.99</v>
      </c>
    </row>
    <row r="366" spans="1:16" ht="14.25">
      <c r="A366" s="224">
        <v>365</v>
      </c>
      <c r="B366" s="58">
        <v>3299</v>
      </c>
      <c r="C366" s="57" t="s">
        <v>3063</v>
      </c>
      <c r="D366" s="57" t="s">
        <v>45</v>
      </c>
      <c r="E366" s="57" t="s">
        <v>2860</v>
      </c>
      <c r="F366" s="233">
        <v>45712.729166666664</v>
      </c>
      <c r="G366" s="57">
        <v>2</v>
      </c>
      <c r="H366" s="57" t="s">
        <v>2557</v>
      </c>
      <c r="I366" s="58">
        <v>47803</v>
      </c>
      <c r="J366" s="234" t="s">
        <v>3064</v>
      </c>
      <c r="K366" s="58">
        <v>42.99</v>
      </c>
      <c r="L366" s="58">
        <v>0</v>
      </c>
      <c r="M366" s="58">
        <v>0</v>
      </c>
      <c r="N366" s="58">
        <v>1</v>
      </c>
      <c r="O366" s="224">
        <f t="shared" si="2"/>
        <v>42.99</v>
      </c>
      <c r="P366" s="227">
        <f t="shared" si="3"/>
        <v>42.99</v>
      </c>
    </row>
    <row r="367" spans="1:16" ht="14.25">
      <c r="A367" s="224">
        <v>366</v>
      </c>
      <c r="B367" s="58">
        <v>6361</v>
      </c>
      <c r="C367" s="57" t="s">
        <v>3065</v>
      </c>
      <c r="D367" s="57" t="s">
        <v>45</v>
      </c>
      <c r="E367" s="57" t="s">
        <v>2860</v>
      </c>
      <c r="F367" s="233">
        <v>45712.744444444441</v>
      </c>
      <c r="G367" s="57">
        <v>2</v>
      </c>
      <c r="H367" s="57" t="s">
        <v>2557</v>
      </c>
      <c r="I367" s="58">
        <v>49759</v>
      </c>
      <c r="J367" s="234" t="s">
        <v>3066</v>
      </c>
      <c r="K367" s="58">
        <v>8.99</v>
      </c>
      <c r="L367" s="58">
        <v>0</v>
      </c>
      <c r="M367" s="58">
        <v>0</v>
      </c>
      <c r="N367" s="58">
        <v>1</v>
      </c>
      <c r="O367" s="224">
        <f t="shared" si="2"/>
        <v>8.99</v>
      </c>
      <c r="P367" s="227">
        <f t="shared" si="3"/>
        <v>8.99</v>
      </c>
    </row>
    <row r="368" spans="1:16" ht="14.25">
      <c r="A368" s="224">
        <v>367</v>
      </c>
      <c r="B368" s="58">
        <v>3499</v>
      </c>
      <c r="C368" s="57" t="s">
        <v>2641</v>
      </c>
      <c r="D368" s="57" t="s">
        <v>45</v>
      </c>
      <c r="E368" s="57" t="s">
        <v>2860</v>
      </c>
      <c r="F368" s="233">
        <v>45712.881249999999</v>
      </c>
      <c r="G368" s="57">
        <v>2</v>
      </c>
      <c r="H368" s="57" t="s">
        <v>2557</v>
      </c>
      <c r="I368" s="58">
        <v>47203</v>
      </c>
      <c r="J368" s="234" t="s">
        <v>3067</v>
      </c>
      <c r="K368" s="58">
        <v>1.0900000000000001</v>
      </c>
      <c r="L368" s="58">
        <v>0</v>
      </c>
      <c r="M368" s="58">
        <v>0</v>
      </c>
      <c r="N368" s="58">
        <v>1</v>
      </c>
      <c r="O368" s="224">
        <f t="shared" si="2"/>
        <v>1.0900000000000001</v>
      </c>
      <c r="P368" s="227">
        <f t="shared" si="3"/>
        <v>1.0900000000000001</v>
      </c>
    </row>
    <row r="369" spans="1:16" ht="14.25">
      <c r="A369" s="224">
        <v>368</v>
      </c>
      <c r="B369" s="58">
        <v>18944</v>
      </c>
      <c r="C369" s="57" t="s">
        <v>3068</v>
      </c>
      <c r="D369" s="57" t="s">
        <v>45</v>
      </c>
      <c r="E369" s="57" t="s">
        <v>2860</v>
      </c>
      <c r="F369" s="233">
        <v>45713.395138888889</v>
      </c>
      <c r="G369" s="57">
        <v>2</v>
      </c>
      <c r="H369" s="57" t="s">
        <v>2557</v>
      </c>
      <c r="I369" s="58">
        <v>49795</v>
      </c>
      <c r="J369" s="234" t="s">
        <v>3069</v>
      </c>
      <c r="K369" s="58">
        <v>7.99</v>
      </c>
      <c r="L369" s="58">
        <v>0</v>
      </c>
      <c r="M369" s="58">
        <v>0</v>
      </c>
      <c r="N369" s="58">
        <v>1</v>
      </c>
      <c r="O369" s="224">
        <f t="shared" si="2"/>
        <v>7.99</v>
      </c>
      <c r="P369" s="227">
        <f t="shared" si="3"/>
        <v>7.99</v>
      </c>
    </row>
    <row r="370" spans="1:16" ht="14.25">
      <c r="A370" s="224">
        <v>369</v>
      </c>
      <c r="B370" s="58">
        <v>18946</v>
      </c>
      <c r="C370" s="57" t="s">
        <v>3070</v>
      </c>
      <c r="D370" s="57" t="s">
        <v>2582</v>
      </c>
      <c r="E370" s="57" t="s">
        <v>2860</v>
      </c>
      <c r="F370" s="233">
        <v>45713.446527777778</v>
      </c>
      <c r="G370" s="57">
        <v>2</v>
      </c>
      <c r="H370" s="57" t="s">
        <v>2557</v>
      </c>
      <c r="I370" s="58">
        <v>49807</v>
      </c>
      <c r="J370" s="234" t="s">
        <v>3071</v>
      </c>
      <c r="K370" s="58">
        <v>8.6300000000000008</v>
      </c>
      <c r="L370" s="58">
        <v>0</v>
      </c>
      <c r="M370" s="58">
        <v>0</v>
      </c>
      <c r="N370" s="58">
        <v>7.2500499999999999</v>
      </c>
      <c r="O370" s="224">
        <f t="shared" si="2"/>
        <v>8.6300000000000008</v>
      </c>
      <c r="P370" s="227">
        <f t="shared" si="3"/>
        <v>1.1903366183681494</v>
      </c>
    </row>
    <row r="371" spans="1:16" ht="14.25">
      <c r="A371" s="224">
        <v>370</v>
      </c>
      <c r="B371" s="58">
        <v>18946</v>
      </c>
      <c r="C371" s="57" t="s">
        <v>3070</v>
      </c>
      <c r="D371" s="57" t="s">
        <v>2582</v>
      </c>
      <c r="E371" s="57" t="s">
        <v>9</v>
      </c>
      <c r="F371" s="233">
        <v>45713.496527777781</v>
      </c>
      <c r="G371" s="57">
        <v>2</v>
      </c>
      <c r="H371" s="57" t="s">
        <v>2557</v>
      </c>
      <c r="I371" s="58">
        <v>49807</v>
      </c>
      <c r="J371" s="234"/>
      <c r="K371" s="58">
        <v>0.03</v>
      </c>
      <c r="L371" s="58">
        <v>0</v>
      </c>
      <c r="M371" s="58">
        <v>0</v>
      </c>
      <c r="N371" s="58">
        <v>7.2500499999999999</v>
      </c>
      <c r="O371" s="224">
        <f t="shared" si="2"/>
        <v>0.03</v>
      </c>
      <c r="P371" s="227">
        <f t="shared" si="3"/>
        <v>4.1379024972241574E-3</v>
      </c>
    </row>
    <row r="372" spans="1:16" ht="14.25">
      <c r="A372" s="224">
        <v>371</v>
      </c>
      <c r="B372" s="58">
        <v>3324</v>
      </c>
      <c r="C372" s="57" t="s">
        <v>2784</v>
      </c>
      <c r="D372" s="57" t="s">
        <v>45</v>
      </c>
      <c r="E372" s="57" t="s">
        <v>2860</v>
      </c>
      <c r="F372" s="233">
        <v>45713.533333333333</v>
      </c>
      <c r="G372" s="57">
        <v>2</v>
      </c>
      <c r="H372" s="57" t="s">
        <v>2557</v>
      </c>
      <c r="I372" s="58">
        <v>46891</v>
      </c>
      <c r="J372" s="234" t="s">
        <v>3072</v>
      </c>
      <c r="K372" s="58">
        <v>2.99</v>
      </c>
      <c r="L372" s="58">
        <v>0</v>
      </c>
      <c r="M372" s="58">
        <v>0</v>
      </c>
      <c r="N372" s="58">
        <v>1</v>
      </c>
      <c r="O372" s="224">
        <f t="shared" si="2"/>
        <v>2.99</v>
      </c>
      <c r="P372" s="227">
        <f t="shared" si="3"/>
        <v>2.99</v>
      </c>
    </row>
    <row r="373" spans="1:16" ht="14.25">
      <c r="A373" s="224">
        <v>372</v>
      </c>
      <c r="B373" s="58">
        <v>18902</v>
      </c>
      <c r="C373" s="57" t="s">
        <v>3060</v>
      </c>
      <c r="D373" s="57" t="s">
        <v>45</v>
      </c>
      <c r="E373" s="57" t="s">
        <v>2860</v>
      </c>
      <c r="F373" s="233">
        <v>45713.568055555559</v>
      </c>
      <c r="G373" s="57">
        <v>2</v>
      </c>
      <c r="H373" s="57" t="s">
        <v>2557</v>
      </c>
      <c r="I373" s="58">
        <v>49843</v>
      </c>
      <c r="J373" s="234" t="s">
        <v>3073</v>
      </c>
      <c r="K373" s="58">
        <v>8.99</v>
      </c>
      <c r="L373" s="58">
        <v>0</v>
      </c>
      <c r="M373" s="58">
        <v>0</v>
      </c>
      <c r="N373" s="58">
        <v>1</v>
      </c>
      <c r="O373" s="224">
        <f t="shared" si="2"/>
        <v>8.99</v>
      </c>
      <c r="P373" s="227">
        <f t="shared" si="3"/>
        <v>8.99</v>
      </c>
    </row>
    <row r="374" spans="1:16" ht="14.25">
      <c r="A374" s="224">
        <v>373</v>
      </c>
      <c r="B374" s="58">
        <v>18979</v>
      </c>
      <c r="C374" s="57" t="s">
        <v>3074</v>
      </c>
      <c r="D374" s="57" t="s">
        <v>45</v>
      </c>
      <c r="E374" s="57" t="s">
        <v>2860</v>
      </c>
      <c r="F374" s="233">
        <v>45713.713888888888</v>
      </c>
      <c r="G374" s="57">
        <v>2</v>
      </c>
      <c r="H374" s="57" t="s">
        <v>2557</v>
      </c>
      <c r="I374" s="58">
        <v>49855</v>
      </c>
      <c r="J374" s="234" t="s">
        <v>3075</v>
      </c>
      <c r="K374" s="58">
        <v>1.99</v>
      </c>
      <c r="L374" s="58">
        <v>0</v>
      </c>
      <c r="M374" s="58">
        <v>0</v>
      </c>
      <c r="N374" s="58">
        <v>1</v>
      </c>
      <c r="O374" s="224">
        <f t="shared" si="2"/>
        <v>1.99</v>
      </c>
      <c r="P374" s="227">
        <f t="shared" si="3"/>
        <v>1.99</v>
      </c>
    </row>
    <row r="375" spans="1:16" ht="14.25">
      <c r="A375" s="224">
        <v>374</v>
      </c>
      <c r="B375" s="58">
        <v>6145</v>
      </c>
      <c r="C375" s="57" t="s">
        <v>2805</v>
      </c>
      <c r="D375" s="57" t="s">
        <v>45</v>
      </c>
      <c r="E375" s="57" t="s">
        <v>2860</v>
      </c>
      <c r="F375" s="233">
        <v>45714.322916666664</v>
      </c>
      <c r="G375" s="57">
        <v>2</v>
      </c>
      <c r="H375" s="57" t="s">
        <v>2557</v>
      </c>
      <c r="I375" s="58">
        <v>47227</v>
      </c>
      <c r="J375" s="234" t="s">
        <v>3076</v>
      </c>
      <c r="K375" s="58">
        <v>3.99</v>
      </c>
      <c r="L375" s="58">
        <v>0</v>
      </c>
      <c r="M375" s="58">
        <v>0</v>
      </c>
      <c r="N375" s="58">
        <v>1</v>
      </c>
      <c r="O375" s="224">
        <f t="shared" si="2"/>
        <v>3.99</v>
      </c>
      <c r="P375" s="227">
        <f t="shared" si="3"/>
        <v>3.99</v>
      </c>
    </row>
    <row r="376" spans="1:16" ht="12.75">
      <c r="A376" s="224">
        <v>375</v>
      </c>
      <c r="B376" s="24">
        <v>8073</v>
      </c>
      <c r="C376" s="23" t="s">
        <v>2729</v>
      </c>
      <c r="D376" s="23" t="s">
        <v>45</v>
      </c>
      <c r="E376" s="23" t="s">
        <v>2874</v>
      </c>
      <c r="F376" s="235">
        <v>45714.501388888886</v>
      </c>
      <c r="G376" s="23">
        <v>2</v>
      </c>
      <c r="H376" s="23" t="s">
        <v>2557</v>
      </c>
      <c r="I376" s="24">
        <v>46819</v>
      </c>
      <c r="J376" s="236" t="s">
        <v>3077</v>
      </c>
      <c r="K376" s="24">
        <v>2.99</v>
      </c>
      <c r="L376" s="24">
        <v>0</v>
      </c>
      <c r="M376" s="24">
        <v>0</v>
      </c>
      <c r="N376" s="24">
        <v>1</v>
      </c>
      <c r="O376" s="170">
        <f t="shared" si="2"/>
        <v>2.99</v>
      </c>
      <c r="P376" s="230">
        <f t="shared" si="3"/>
        <v>2.99</v>
      </c>
    </row>
    <row r="377" spans="1:16" ht="14.25">
      <c r="A377" s="224">
        <v>376</v>
      </c>
      <c r="B377" s="58">
        <v>19033</v>
      </c>
      <c r="C377" s="57" t="s">
        <v>3078</v>
      </c>
      <c r="D377" s="57" t="s">
        <v>2582</v>
      </c>
      <c r="E377" s="57" t="s">
        <v>2860</v>
      </c>
      <c r="F377" s="233">
        <v>45714.720138888886</v>
      </c>
      <c r="G377" s="57">
        <v>2</v>
      </c>
      <c r="H377" s="57" t="s">
        <v>2557</v>
      </c>
      <c r="I377" s="58">
        <v>50143</v>
      </c>
      <c r="J377" s="234" t="s">
        <v>3079</v>
      </c>
      <c r="K377" s="58">
        <v>108.84</v>
      </c>
      <c r="L377" s="58">
        <v>0</v>
      </c>
      <c r="M377" s="58">
        <v>0</v>
      </c>
      <c r="N377" s="58">
        <v>7.2610299999999999</v>
      </c>
      <c r="O377" s="224">
        <f t="shared" si="2"/>
        <v>108.84</v>
      </c>
      <c r="P377" s="227">
        <f t="shared" si="3"/>
        <v>14.989608912234216</v>
      </c>
    </row>
    <row r="378" spans="1:16" ht="14.25">
      <c r="A378" s="224">
        <v>377</v>
      </c>
      <c r="B378" s="58">
        <v>19003</v>
      </c>
      <c r="C378" s="57" t="s">
        <v>3080</v>
      </c>
      <c r="D378" s="57" t="s">
        <v>45</v>
      </c>
      <c r="E378" s="57" t="s">
        <v>2860</v>
      </c>
      <c r="F378" s="233">
        <v>45714.84375</v>
      </c>
      <c r="G378" s="57">
        <v>2</v>
      </c>
      <c r="H378" s="57" t="s">
        <v>2557</v>
      </c>
      <c r="I378" s="58">
        <v>49891</v>
      </c>
      <c r="J378" s="234" t="s">
        <v>3081</v>
      </c>
      <c r="K378" s="58">
        <v>4.79</v>
      </c>
      <c r="L378" s="58">
        <v>0</v>
      </c>
      <c r="M378" s="58">
        <v>0</v>
      </c>
      <c r="N378" s="58">
        <v>1</v>
      </c>
      <c r="O378" s="224">
        <f t="shared" si="2"/>
        <v>4.79</v>
      </c>
      <c r="P378" s="227">
        <f t="shared" si="3"/>
        <v>4.79</v>
      </c>
    </row>
    <row r="379" spans="1:16" ht="14.25">
      <c r="A379" s="224">
        <v>378</v>
      </c>
      <c r="B379" s="58">
        <v>19035</v>
      </c>
      <c r="C379" s="57" t="s">
        <v>3082</v>
      </c>
      <c r="D379" s="57" t="s">
        <v>45</v>
      </c>
      <c r="E379" s="57" t="s">
        <v>2860</v>
      </c>
      <c r="F379" s="233">
        <v>45714.845833333333</v>
      </c>
      <c r="G379" s="57">
        <v>2</v>
      </c>
      <c r="H379" s="57" t="s">
        <v>2557</v>
      </c>
      <c r="I379" s="58">
        <v>50167</v>
      </c>
      <c r="J379" s="234" t="s">
        <v>3083</v>
      </c>
      <c r="K379" s="58">
        <v>1.99</v>
      </c>
      <c r="L379" s="58">
        <v>0</v>
      </c>
      <c r="M379" s="58">
        <v>0</v>
      </c>
      <c r="N379" s="58">
        <v>1</v>
      </c>
      <c r="O379" s="224">
        <f t="shared" si="2"/>
        <v>1.99</v>
      </c>
      <c r="P379" s="227">
        <f t="shared" si="3"/>
        <v>1.99</v>
      </c>
    </row>
    <row r="380" spans="1:16" ht="14.25">
      <c r="A380" s="224">
        <v>379</v>
      </c>
      <c r="B380" s="58">
        <v>19040</v>
      </c>
      <c r="C380" s="57" t="s">
        <v>3084</v>
      </c>
      <c r="D380" s="57" t="s">
        <v>45</v>
      </c>
      <c r="E380" s="57" t="s">
        <v>2860</v>
      </c>
      <c r="F380" s="233">
        <v>45714.873611111114</v>
      </c>
      <c r="G380" s="57">
        <v>2</v>
      </c>
      <c r="H380" s="57" t="s">
        <v>2557</v>
      </c>
      <c r="I380" s="58">
        <v>50191</v>
      </c>
      <c r="J380" s="234" t="s">
        <v>3085</v>
      </c>
      <c r="K380" s="58">
        <v>1.79</v>
      </c>
      <c r="L380" s="58">
        <v>0</v>
      </c>
      <c r="M380" s="58">
        <v>0</v>
      </c>
      <c r="N380" s="58">
        <v>1</v>
      </c>
      <c r="O380" s="224">
        <f t="shared" si="2"/>
        <v>1.79</v>
      </c>
      <c r="P380" s="227">
        <f t="shared" si="3"/>
        <v>1.79</v>
      </c>
    </row>
    <row r="381" spans="1:16" ht="14.25">
      <c r="A381" s="224">
        <v>380</v>
      </c>
      <c r="B381" s="58">
        <v>18795</v>
      </c>
      <c r="C381" s="57" t="s">
        <v>3041</v>
      </c>
      <c r="D381" s="57" t="s">
        <v>2582</v>
      </c>
      <c r="E381" s="57" t="s">
        <v>2860</v>
      </c>
      <c r="F381" s="233">
        <v>45714.928472222222</v>
      </c>
      <c r="G381" s="57">
        <v>2</v>
      </c>
      <c r="H381" s="57" t="s">
        <v>2557</v>
      </c>
      <c r="I381" s="58">
        <v>50215</v>
      </c>
      <c r="J381" s="234" t="s">
        <v>3086</v>
      </c>
      <c r="K381" s="58">
        <v>60.92</v>
      </c>
      <c r="L381" s="58">
        <v>0</v>
      </c>
      <c r="M381" s="58">
        <v>0</v>
      </c>
      <c r="N381" s="58">
        <v>7.2610299999999999</v>
      </c>
      <c r="O381" s="224">
        <f t="shared" si="2"/>
        <v>60.92</v>
      </c>
      <c r="P381" s="227">
        <f t="shared" si="3"/>
        <v>8.3899942570131234</v>
      </c>
    </row>
    <row r="382" spans="1:16" ht="14.25">
      <c r="A382" s="224">
        <v>381</v>
      </c>
      <c r="B382" s="58">
        <v>18795</v>
      </c>
      <c r="C382" s="57" t="s">
        <v>3041</v>
      </c>
      <c r="D382" s="57" t="s">
        <v>2582</v>
      </c>
      <c r="E382" s="57" t="s">
        <v>2860</v>
      </c>
      <c r="F382" s="233">
        <v>45714.936805555553</v>
      </c>
      <c r="G382" s="57">
        <v>2</v>
      </c>
      <c r="H382" s="57" t="s">
        <v>2557</v>
      </c>
      <c r="I382" s="58">
        <v>50215</v>
      </c>
      <c r="J382" s="234"/>
      <c r="K382" s="58">
        <v>0.03</v>
      </c>
      <c r="L382" s="58">
        <v>0</v>
      </c>
      <c r="M382" s="58">
        <v>0</v>
      </c>
      <c r="N382" s="58">
        <v>7.2610299999999999</v>
      </c>
      <c r="O382" s="224">
        <f t="shared" si="2"/>
        <v>0.03</v>
      </c>
      <c r="P382" s="227">
        <f t="shared" si="3"/>
        <v>4.1316452349046901E-3</v>
      </c>
    </row>
    <row r="383" spans="1:16" ht="14.25">
      <c r="A383" s="224">
        <v>382</v>
      </c>
      <c r="B383" s="58">
        <v>19043</v>
      </c>
      <c r="C383" s="57" t="s">
        <v>3087</v>
      </c>
      <c r="D383" s="57" t="s">
        <v>45</v>
      </c>
      <c r="E383" s="57" t="s">
        <v>2860</v>
      </c>
      <c r="F383" s="233">
        <v>45714.940972222219</v>
      </c>
      <c r="G383" s="57">
        <v>2</v>
      </c>
      <c r="H383" s="57" t="s">
        <v>2557</v>
      </c>
      <c r="I383" s="58">
        <v>50239</v>
      </c>
      <c r="J383" s="234" t="s">
        <v>3088</v>
      </c>
      <c r="K383" s="58">
        <v>1.19</v>
      </c>
      <c r="L383" s="58">
        <v>0</v>
      </c>
      <c r="M383" s="58">
        <v>0</v>
      </c>
      <c r="N383" s="58">
        <v>1</v>
      </c>
      <c r="O383" s="224">
        <f t="shared" si="2"/>
        <v>1.19</v>
      </c>
      <c r="P383" s="227">
        <f t="shared" si="3"/>
        <v>1.19</v>
      </c>
    </row>
    <row r="384" spans="1:16" ht="14.25">
      <c r="A384" s="224">
        <v>383</v>
      </c>
      <c r="B384" s="58">
        <v>19044</v>
      </c>
      <c r="C384" s="57" t="s">
        <v>3089</v>
      </c>
      <c r="D384" s="57" t="s">
        <v>45</v>
      </c>
      <c r="E384" s="57" t="s">
        <v>2860</v>
      </c>
      <c r="F384" s="233">
        <v>45714.951388888891</v>
      </c>
      <c r="G384" s="57">
        <v>2</v>
      </c>
      <c r="H384" s="57" t="s">
        <v>2557</v>
      </c>
      <c r="I384" s="58">
        <v>50251</v>
      </c>
      <c r="J384" s="234" t="s">
        <v>3090</v>
      </c>
      <c r="K384" s="58">
        <v>1.79</v>
      </c>
      <c r="L384" s="58">
        <v>0</v>
      </c>
      <c r="M384" s="58">
        <v>0</v>
      </c>
      <c r="N384" s="58">
        <v>1</v>
      </c>
      <c r="O384" s="224">
        <f t="shared" si="2"/>
        <v>1.79</v>
      </c>
      <c r="P384" s="227">
        <f t="shared" si="3"/>
        <v>1.79</v>
      </c>
    </row>
    <row r="385" spans="1:16" ht="14.25">
      <c r="A385" s="224">
        <v>384</v>
      </c>
      <c r="B385" s="58">
        <v>19052</v>
      </c>
      <c r="C385" s="57" t="s">
        <v>3091</v>
      </c>
      <c r="D385" s="57" t="s">
        <v>45</v>
      </c>
      <c r="E385" s="57" t="s">
        <v>2860</v>
      </c>
      <c r="F385" s="233">
        <v>45715</v>
      </c>
      <c r="G385" s="57">
        <v>2</v>
      </c>
      <c r="H385" s="57" t="s">
        <v>2557</v>
      </c>
      <c r="I385" s="58">
        <v>50263</v>
      </c>
      <c r="J385" s="234"/>
      <c r="K385" s="58">
        <v>0</v>
      </c>
      <c r="L385" s="58">
        <v>0</v>
      </c>
      <c r="M385" s="58">
        <v>0</v>
      </c>
      <c r="N385" s="58">
        <v>1</v>
      </c>
      <c r="O385" s="224">
        <f t="shared" si="2"/>
        <v>0</v>
      </c>
      <c r="P385" s="227">
        <f t="shared" si="3"/>
        <v>0</v>
      </c>
    </row>
    <row r="386" spans="1:16" ht="14.25">
      <c r="A386" s="224">
        <v>385</v>
      </c>
      <c r="B386" s="58">
        <v>7199</v>
      </c>
      <c r="C386" s="57" t="s">
        <v>3092</v>
      </c>
      <c r="D386" s="57" t="s">
        <v>45</v>
      </c>
      <c r="E386" s="57" t="s">
        <v>2860</v>
      </c>
      <c r="F386" s="233">
        <v>45715</v>
      </c>
      <c r="G386" s="57">
        <v>2</v>
      </c>
      <c r="H386" s="57" t="s">
        <v>2557</v>
      </c>
      <c r="I386" s="58">
        <v>50359</v>
      </c>
      <c r="J386" s="234"/>
      <c r="K386" s="58">
        <v>0</v>
      </c>
      <c r="L386" s="58">
        <v>0</v>
      </c>
      <c r="M386" s="58">
        <v>0</v>
      </c>
      <c r="N386" s="58">
        <v>1</v>
      </c>
      <c r="O386" s="224">
        <f t="shared" si="2"/>
        <v>0</v>
      </c>
      <c r="P386" s="227">
        <f t="shared" si="3"/>
        <v>0</v>
      </c>
    </row>
    <row r="387" spans="1:16" ht="14.25">
      <c r="A387" s="224">
        <v>386</v>
      </c>
      <c r="B387" s="58">
        <v>1836</v>
      </c>
      <c r="C387" s="57" t="s">
        <v>2882</v>
      </c>
      <c r="D387" s="57" t="s">
        <v>2582</v>
      </c>
      <c r="E387" s="57" t="s">
        <v>2860</v>
      </c>
      <c r="F387" s="233">
        <v>45715.008333333331</v>
      </c>
      <c r="G387" s="57">
        <v>2</v>
      </c>
      <c r="H387" s="57" t="s">
        <v>2557</v>
      </c>
      <c r="I387" s="58">
        <v>50203</v>
      </c>
      <c r="J387" s="234" t="s">
        <v>3093</v>
      </c>
      <c r="K387" s="58">
        <v>69.63</v>
      </c>
      <c r="L387" s="58">
        <v>0</v>
      </c>
      <c r="M387" s="58">
        <v>0</v>
      </c>
      <c r="N387" s="58">
        <v>7.2610299999999999</v>
      </c>
      <c r="O387" s="224">
        <f t="shared" si="2"/>
        <v>69.63</v>
      </c>
      <c r="P387" s="227">
        <f t="shared" si="3"/>
        <v>9.5895485902137843</v>
      </c>
    </row>
    <row r="388" spans="1:16" ht="14.25">
      <c r="A388" s="224">
        <v>387</v>
      </c>
      <c r="B388" s="58">
        <v>1836</v>
      </c>
      <c r="C388" s="57" t="s">
        <v>2882</v>
      </c>
      <c r="D388" s="57" t="s">
        <v>2582</v>
      </c>
      <c r="E388" s="57" t="s">
        <v>2860</v>
      </c>
      <c r="F388" s="233">
        <v>45715.009027777778</v>
      </c>
      <c r="G388" s="57">
        <v>2</v>
      </c>
      <c r="H388" s="57" t="s">
        <v>2557</v>
      </c>
      <c r="I388" s="58">
        <v>50203</v>
      </c>
      <c r="J388" s="234"/>
      <c r="K388" s="58">
        <v>0.02</v>
      </c>
      <c r="L388" s="58">
        <v>0</v>
      </c>
      <c r="M388" s="58">
        <v>0</v>
      </c>
      <c r="N388" s="58">
        <v>7.2610299999999999</v>
      </c>
      <c r="O388" s="224">
        <f t="shared" si="2"/>
        <v>0.02</v>
      </c>
      <c r="P388" s="227">
        <f t="shared" si="3"/>
        <v>2.7544301566031267E-3</v>
      </c>
    </row>
    <row r="389" spans="1:16" ht="14.25">
      <c r="A389" s="224">
        <v>388</v>
      </c>
      <c r="B389" s="58">
        <v>19093</v>
      </c>
      <c r="C389" s="57" t="s">
        <v>3094</v>
      </c>
      <c r="D389" s="57" t="s">
        <v>45</v>
      </c>
      <c r="E389" s="57" t="s">
        <v>2860</v>
      </c>
      <c r="F389" s="233">
        <v>45715.418749999997</v>
      </c>
      <c r="G389" s="57">
        <v>2</v>
      </c>
      <c r="H389" s="57" t="s">
        <v>2557</v>
      </c>
      <c r="I389" s="58">
        <v>50323</v>
      </c>
      <c r="J389" s="234" t="s">
        <v>3095</v>
      </c>
      <c r="K389" s="58">
        <v>1.79</v>
      </c>
      <c r="L389" s="58">
        <v>0</v>
      </c>
      <c r="M389" s="58">
        <v>0</v>
      </c>
      <c r="N389" s="58">
        <v>1</v>
      </c>
      <c r="O389" s="224">
        <f t="shared" si="2"/>
        <v>1.79</v>
      </c>
      <c r="P389" s="227">
        <f t="shared" si="3"/>
        <v>1.79</v>
      </c>
    </row>
    <row r="390" spans="1:16" ht="14.25">
      <c r="A390" s="224">
        <v>389</v>
      </c>
      <c r="B390" s="58">
        <v>3346</v>
      </c>
      <c r="C390" s="57" t="s">
        <v>3096</v>
      </c>
      <c r="D390" s="57" t="s">
        <v>45</v>
      </c>
      <c r="E390" s="57" t="s">
        <v>2860</v>
      </c>
      <c r="F390" s="233">
        <v>45715.503472222219</v>
      </c>
      <c r="G390" s="57">
        <v>2</v>
      </c>
      <c r="H390" s="57" t="s">
        <v>2557</v>
      </c>
      <c r="I390" s="58">
        <v>50335</v>
      </c>
      <c r="J390" s="234" t="s">
        <v>3097</v>
      </c>
      <c r="K390" s="58">
        <v>1.19</v>
      </c>
      <c r="L390" s="58">
        <v>0</v>
      </c>
      <c r="M390" s="58">
        <v>0</v>
      </c>
      <c r="N390" s="58">
        <v>1</v>
      </c>
      <c r="O390" s="224">
        <f t="shared" si="2"/>
        <v>1.19</v>
      </c>
      <c r="P390" s="227">
        <f t="shared" si="3"/>
        <v>1.19</v>
      </c>
    </row>
    <row r="391" spans="1:16" ht="14.25">
      <c r="A391" s="224">
        <v>390</v>
      </c>
      <c r="B391" s="58">
        <v>19168</v>
      </c>
      <c r="C391" s="57" t="s">
        <v>3098</v>
      </c>
      <c r="D391" s="57" t="s">
        <v>45</v>
      </c>
      <c r="E391" s="57" t="s">
        <v>2860</v>
      </c>
      <c r="F391" s="233">
        <v>45716.326388888891</v>
      </c>
      <c r="G391" s="57">
        <v>2</v>
      </c>
      <c r="H391" s="57" t="s">
        <v>2557</v>
      </c>
      <c r="I391" s="58">
        <v>50371</v>
      </c>
      <c r="J391" s="234" t="s">
        <v>3099</v>
      </c>
      <c r="K391" s="58">
        <v>4.79</v>
      </c>
      <c r="L391" s="58">
        <v>0</v>
      </c>
      <c r="M391" s="58">
        <v>0</v>
      </c>
      <c r="N391" s="58">
        <v>1</v>
      </c>
      <c r="O391" s="224">
        <f t="shared" si="2"/>
        <v>4.79</v>
      </c>
      <c r="P391" s="227">
        <f t="shared" si="3"/>
        <v>4.79</v>
      </c>
    </row>
    <row r="392" spans="1:16" ht="14.25">
      <c r="A392" s="224">
        <v>391</v>
      </c>
      <c r="B392" s="58">
        <v>19181</v>
      </c>
      <c r="C392" s="57" t="s">
        <v>3100</v>
      </c>
      <c r="D392" s="57" t="s">
        <v>45</v>
      </c>
      <c r="E392" s="57" t="s">
        <v>2860</v>
      </c>
      <c r="F392" s="233">
        <v>45716.475694444445</v>
      </c>
      <c r="G392" s="57">
        <v>2</v>
      </c>
      <c r="H392" s="57" t="s">
        <v>2557</v>
      </c>
      <c r="I392" s="58">
        <v>50419</v>
      </c>
      <c r="J392" s="234" t="s">
        <v>3101</v>
      </c>
      <c r="K392" s="58">
        <v>1.99</v>
      </c>
      <c r="L392" s="58">
        <v>0</v>
      </c>
      <c r="M392" s="58">
        <v>0</v>
      </c>
      <c r="N392" s="58">
        <v>1</v>
      </c>
      <c r="O392" s="224">
        <f t="shared" si="2"/>
        <v>1.99</v>
      </c>
      <c r="P392" s="227">
        <f t="shared" si="3"/>
        <v>1.99</v>
      </c>
    </row>
    <row r="393" spans="1:16" ht="14.25">
      <c r="A393" s="224">
        <v>392</v>
      </c>
      <c r="B393" s="58">
        <v>1560</v>
      </c>
      <c r="C393" s="57" t="s">
        <v>2630</v>
      </c>
      <c r="D393" s="57" t="s">
        <v>45</v>
      </c>
      <c r="E393" s="57" t="s">
        <v>2860</v>
      </c>
      <c r="F393" s="233">
        <v>45716.602083333331</v>
      </c>
      <c r="G393" s="57">
        <v>2</v>
      </c>
      <c r="H393" s="57" t="s">
        <v>2557</v>
      </c>
      <c r="I393" s="58">
        <v>49915</v>
      </c>
      <c r="J393" s="234" t="s">
        <v>3102</v>
      </c>
      <c r="K393" s="58">
        <v>8.9700000000000006</v>
      </c>
      <c r="L393" s="58">
        <v>0</v>
      </c>
      <c r="M393" s="58">
        <v>0</v>
      </c>
      <c r="N393" s="58">
        <v>1</v>
      </c>
      <c r="O393" s="224">
        <f t="shared" si="2"/>
        <v>8.9700000000000006</v>
      </c>
      <c r="P393" s="227">
        <f t="shared" si="3"/>
        <v>8.9700000000000006</v>
      </c>
    </row>
    <row r="394" spans="1:16" ht="14.25">
      <c r="A394" s="224">
        <v>393</v>
      </c>
      <c r="B394" s="58">
        <v>1560</v>
      </c>
      <c r="C394" s="57" t="s">
        <v>2630</v>
      </c>
      <c r="D394" s="57" t="s">
        <v>45</v>
      </c>
      <c r="E394" s="57" t="s">
        <v>2860</v>
      </c>
      <c r="F394" s="233">
        <v>45716.602777777778</v>
      </c>
      <c r="G394" s="57">
        <v>2</v>
      </c>
      <c r="H394" s="57" t="s">
        <v>2557</v>
      </c>
      <c r="I394" s="58">
        <v>50395</v>
      </c>
      <c r="J394" s="234" t="s">
        <v>3103</v>
      </c>
      <c r="K394" s="58">
        <v>5.98</v>
      </c>
      <c r="L394" s="58">
        <v>0</v>
      </c>
      <c r="M394" s="58">
        <v>0</v>
      </c>
      <c r="N394" s="58">
        <v>1</v>
      </c>
      <c r="O394" s="224">
        <f t="shared" si="2"/>
        <v>5.98</v>
      </c>
      <c r="P394" s="227">
        <f t="shared" si="3"/>
        <v>5.98</v>
      </c>
    </row>
    <row r="395" spans="1:16" ht="14.25">
      <c r="A395" s="224">
        <v>394</v>
      </c>
      <c r="B395" s="58">
        <v>1836</v>
      </c>
      <c r="C395" s="57" t="s">
        <v>2882</v>
      </c>
      <c r="D395" s="57" t="s">
        <v>2582</v>
      </c>
      <c r="E395" s="57" t="s">
        <v>2860</v>
      </c>
      <c r="F395" s="233">
        <v>45716.709722222222</v>
      </c>
      <c r="G395" s="57">
        <v>2</v>
      </c>
      <c r="H395" s="57" t="s">
        <v>2557</v>
      </c>
      <c r="I395" s="58">
        <v>50431</v>
      </c>
      <c r="J395" s="234" t="s">
        <v>3104</v>
      </c>
      <c r="K395" s="58">
        <v>286.79000000000002</v>
      </c>
      <c r="L395" s="58">
        <v>0</v>
      </c>
      <c r="M395" s="58">
        <v>0</v>
      </c>
      <c r="N395" s="58">
        <v>7.2661100000000003</v>
      </c>
      <c r="O395" s="224">
        <f t="shared" si="2"/>
        <v>286.79000000000002</v>
      </c>
      <c r="P395" s="227">
        <f t="shared" si="3"/>
        <v>39.469537345292046</v>
      </c>
    </row>
    <row r="396" spans="1:16" ht="14.25">
      <c r="A396" s="224">
        <v>395</v>
      </c>
      <c r="B396" s="58">
        <v>3826</v>
      </c>
      <c r="C396" s="57" t="s">
        <v>423</v>
      </c>
      <c r="D396" s="57" t="s">
        <v>45</v>
      </c>
      <c r="E396" s="57" t="s">
        <v>9</v>
      </c>
      <c r="F396" s="233">
        <v>45716.775000000001</v>
      </c>
      <c r="G396" s="57">
        <v>2</v>
      </c>
      <c r="H396" s="57" t="s">
        <v>2557</v>
      </c>
      <c r="I396" s="58">
        <v>47875</v>
      </c>
      <c r="J396" s="234" t="s">
        <v>390</v>
      </c>
      <c r="K396" s="58">
        <v>1.0900000000000001</v>
      </c>
      <c r="L396" s="58">
        <v>0.54</v>
      </c>
      <c r="M396" s="58">
        <v>0</v>
      </c>
      <c r="N396" s="58">
        <v>1</v>
      </c>
      <c r="O396" s="224">
        <f t="shared" si="2"/>
        <v>0.55000000000000004</v>
      </c>
      <c r="P396" s="227">
        <f t="shared" si="3"/>
        <v>0.55000000000000004</v>
      </c>
    </row>
    <row r="397" spans="1:16" ht="14.25">
      <c r="A397" s="224">
        <v>396</v>
      </c>
      <c r="B397" s="58">
        <v>3747</v>
      </c>
      <c r="C397" s="57" t="s">
        <v>2825</v>
      </c>
      <c r="D397" s="57" t="s">
        <v>2582</v>
      </c>
      <c r="E397" s="57" t="s">
        <v>2556</v>
      </c>
      <c r="F397" s="233">
        <v>45660.417361111111</v>
      </c>
      <c r="G397" s="57">
        <v>3</v>
      </c>
      <c r="H397" s="57" t="s">
        <v>2557</v>
      </c>
      <c r="I397" s="58">
        <v>47827</v>
      </c>
      <c r="J397" s="234" t="s">
        <v>3105</v>
      </c>
      <c r="K397" s="58">
        <v>52.12</v>
      </c>
      <c r="L397" s="58">
        <v>0</v>
      </c>
      <c r="M397" s="58">
        <v>0</v>
      </c>
      <c r="N397" s="58">
        <v>7.2790299999999997</v>
      </c>
      <c r="O397" s="224">
        <f t="shared" si="2"/>
        <v>52.12</v>
      </c>
      <c r="P397" s="227">
        <f t="shared" si="3"/>
        <v>7.1602947095972951</v>
      </c>
    </row>
    <row r="398" spans="1:16" ht="14.25">
      <c r="A398" s="224">
        <v>397</v>
      </c>
      <c r="B398" s="58">
        <v>19246</v>
      </c>
      <c r="C398" s="57" t="s">
        <v>3106</v>
      </c>
      <c r="D398" s="57" t="s">
        <v>45</v>
      </c>
      <c r="E398" s="57" t="s">
        <v>2556</v>
      </c>
      <c r="F398" s="233">
        <v>45660.4375</v>
      </c>
      <c r="G398" s="57">
        <v>3</v>
      </c>
      <c r="H398" s="57" t="s">
        <v>2557</v>
      </c>
      <c r="I398" s="58">
        <v>50467</v>
      </c>
      <c r="J398" s="234" t="s">
        <v>3107</v>
      </c>
      <c r="K398" s="58">
        <v>14.99</v>
      </c>
      <c r="L398" s="58">
        <v>0</v>
      </c>
      <c r="M398" s="58">
        <v>0</v>
      </c>
      <c r="N398" s="58">
        <v>1</v>
      </c>
      <c r="O398" s="224">
        <f t="shared" si="2"/>
        <v>14.99</v>
      </c>
      <c r="P398" s="227">
        <f t="shared" si="3"/>
        <v>14.99</v>
      </c>
    </row>
    <row r="399" spans="1:16" ht="14.25">
      <c r="A399" s="224">
        <v>398</v>
      </c>
      <c r="B399" s="58">
        <v>19246</v>
      </c>
      <c r="C399" s="57" t="s">
        <v>3106</v>
      </c>
      <c r="D399" s="57" t="s">
        <v>45</v>
      </c>
      <c r="E399" s="57" t="s">
        <v>2556</v>
      </c>
      <c r="F399" s="233">
        <v>45660.4375</v>
      </c>
      <c r="G399" s="57">
        <v>3</v>
      </c>
      <c r="H399" s="57" t="s">
        <v>2557</v>
      </c>
      <c r="I399" s="58">
        <v>50467</v>
      </c>
      <c r="J399" s="234" t="s">
        <v>3107</v>
      </c>
      <c r="K399" s="58">
        <v>14.99</v>
      </c>
      <c r="L399" s="58">
        <v>0</v>
      </c>
      <c r="M399" s="58">
        <v>0</v>
      </c>
      <c r="N399" s="58">
        <v>1</v>
      </c>
      <c r="O399" s="224">
        <f t="shared" si="2"/>
        <v>14.99</v>
      </c>
      <c r="P399" s="227">
        <f t="shared" si="3"/>
        <v>14.99</v>
      </c>
    </row>
    <row r="400" spans="1:16" ht="14.25">
      <c r="A400" s="224">
        <v>399</v>
      </c>
      <c r="B400" s="58">
        <v>5079</v>
      </c>
      <c r="C400" s="57" t="s">
        <v>2970</v>
      </c>
      <c r="D400" s="57" t="s">
        <v>45</v>
      </c>
      <c r="E400" s="57" t="s">
        <v>2556</v>
      </c>
      <c r="F400" s="233">
        <v>45660.507638888892</v>
      </c>
      <c r="G400" s="57">
        <v>3</v>
      </c>
      <c r="H400" s="57" t="s">
        <v>2557</v>
      </c>
      <c r="I400" s="58">
        <v>48343</v>
      </c>
      <c r="J400" s="234"/>
      <c r="K400" s="58">
        <v>3.59</v>
      </c>
      <c r="L400" s="58">
        <v>0</v>
      </c>
      <c r="M400" s="58">
        <v>0</v>
      </c>
      <c r="N400" s="58">
        <v>1</v>
      </c>
      <c r="O400" s="224">
        <f t="shared" si="2"/>
        <v>3.59</v>
      </c>
      <c r="P400" s="227">
        <f t="shared" si="3"/>
        <v>3.59</v>
      </c>
    </row>
    <row r="401" spans="1:16" ht="14.25">
      <c r="A401" s="224">
        <v>400</v>
      </c>
      <c r="B401" s="58">
        <v>17346</v>
      </c>
      <c r="C401" s="57" t="s">
        <v>2872</v>
      </c>
      <c r="D401" s="57" t="s">
        <v>2582</v>
      </c>
      <c r="E401" s="57" t="s">
        <v>9</v>
      </c>
      <c r="F401" s="233">
        <v>45660.779166666667</v>
      </c>
      <c r="G401" s="57">
        <v>3</v>
      </c>
      <c r="H401" s="57" t="s">
        <v>2557</v>
      </c>
      <c r="I401" s="58">
        <v>47911</v>
      </c>
      <c r="J401" s="234" t="s">
        <v>391</v>
      </c>
      <c r="K401" s="58">
        <v>28.93</v>
      </c>
      <c r="L401" s="58">
        <v>5.0199999999999996</v>
      </c>
      <c r="M401" s="58">
        <v>0</v>
      </c>
      <c r="N401" s="58">
        <v>7.2790299999999997</v>
      </c>
      <c r="O401" s="224">
        <f t="shared" si="2"/>
        <v>23.91</v>
      </c>
      <c r="P401" s="227">
        <f t="shared" si="3"/>
        <v>3.2847783289806474</v>
      </c>
    </row>
    <row r="402" spans="1:16" ht="14.25">
      <c r="A402" s="224">
        <v>401</v>
      </c>
      <c r="B402" s="58">
        <v>3309</v>
      </c>
      <c r="C402" s="57" t="s">
        <v>2722</v>
      </c>
      <c r="D402" s="57" t="s">
        <v>45</v>
      </c>
      <c r="E402" s="57" t="s">
        <v>2556</v>
      </c>
      <c r="F402" s="233">
        <v>45660.886111111111</v>
      </c>
      <c r="G402" s="57">
        <v>3</v>
      </c>
      <c r="H402" s="57" t="s">
        <v>2557</v>
      </c>
      <c r="I402" s="58">
        <v>48355</v>
      </c>
      <c r="J402" s="234" t="s">
        <v>3108</v>
      </c>
      <c r="K402" s="58">
        <v>59.99</v>
      </c>
      <c r="L402" s="58">
        <v>0</v>
      </c>
      <c r="M402" s="58">
        <v>0</v>
      </c>
      <c r="N402" s="58">
        <v>1</v>
      </c>
      <c r="O402" s="224">
        <f t="shared" si="2"/>
        <v>59.99</v>
      </c>
      <c r="P402" s="227">
        <f t="shared" si="3"/>
        <v>59.99</v>
      </c>
    </row>
    <row r="403" spans="1:16" ht="14.25">
      <c r="A403" s="224">
        <v>402</v>
      </c>
      <c r="B403" s="58">
        <v>19265</v>
      </c>
      <c r="C403" s="57" t="s">
        <v>3109</v>
      </c>
      <c r="D403" s="57" t="s">
        <v>2582</v>
      </c>
      <c r="E403" s="57" t="s">
        <v>2556</v>
      </c>
      <c r="F403" s="233">
        <v>45691.407638888886</v>
      </c>
      <c r="G403" s="57">
        <v>3</v>
      </c>
      <c r="H403" s="57" t="s">
        <v>2557</v>
      </c>
      <c r="I403" s="58">
        <v>50551</v>
      </c>
      <c r="J403" s="234" t="s">
        <v>3110</v>
      </c>
      <c r="K403" s="58">
        <v>29.04</v>
      </c>
      <c r="L403" s="58">
        <v>0</v>
      </c>
      <c r="M403" s="58">
        <v>0</v>
      </c>
      <c r="N403" s="58">
        <v>7.2790299999999997</v>
      </c>
      <c r="O403" s="224">
        <f t="shared" si="2"/>
        <v>29.04</v>
      </c>
      <c r="P403" s="227">
        <f t="shared" si="3"/>
        <v>3.9895425626766206</v>
      </c>
    </row>
    <row r="404" spans="1:16" ht="14.25">
      <c r="A404" s="224">
        <v>403</v>
      </c>
      <c r="B404" s="58">
        <v>318</v>
      </c>
      <c r="C404" s="57" t="s">
        <v>2580</v>
      </c>
      <c r="D404" s="57" t="s">
        <v>45</v>
      </c>
      <c r="E404" s="57" t="s">
        <v>2556</v>
      </c>
      <c r="F404" s="233">
        <v>45691.464583333334</v>
      </c>
      <c r="G404" s="57">
        <v>3</v>
      </c>
      <c r="H404" s="57" t="s">
        <v>2557</v>
      </c>
      <c r="I404" s="58">
        <v>48031</v>
      </c>
      <c r="J404" s="234" t="s">
        <v>3111</v>
      </c>
      <c r="K404" s="58">
        <v>1.0900000000000001</v>
      </c>
      <c r="L404" s="58">
        <v>0</v>
      </c>
      <c r="M404" s="58">
        <v>0</v>
      </c>
      <c r="N404" s="58">
        <v>1</v>
      </c>
      <c r="O404" s="224">
        <f t="shared" si="2"/>
        <v>1.0900000000000001</v>
      </c>
      <c r="P404" s="227">
        <f t="shared" si="3"/>
        <v>1.0900000000000001</v>
      </c>
    </row>
    <row r="405" spans="1:16" ht="14.25">
      <c r="A405" s="224">
        <v>404</v>
      </c>
      <c r="B405" s="58">
        <v>19275</v>
      </c>
      <c r="C405" s="57" t="s">
        <v>3112</v>
      </c>
      <c r="D405" s="57" t="s">
        <v>45</v>
      </c>
      <c r="E405" s="57" t="s">
        <v>2572</v>
      </c>
      <c r="F405" s="233">
        <v>45691.934027777781</v>
      </c>
      <c r="G405" s="57">
        <v>3</v>
      </c>
      <c r="H405" s="57" t="s">
        <v>2557</v>
      </c>
      <c r="I405" s="58">
        <v>50575</v>
      </c>
      <c r="J405" s="234" t="s">
        <v>3113</v>
      </c>
      <c r="K405" s="58">
        <v>59.99</v>
      </c>
      <c r="L405" s="58">
        <v>0</v>
      </c>
      <c r="M405" s="58">
        <v>0</v>
      </c>
      <c r="N405" s="58">
        <v>1</v>
      </c>
      <c r="O405" s="224">
        <f t="shared" si="2"/>
        <v>59.99</v>
      </c>
      <c r="P405" s="227">
        <f t="shared" si="3"/>
        <v>59.99</v>
      </c>
    </row>
    <row r="406" spans="1:16" ht="14.25">
      <c r="A406" s="224">
        <v>405</v>
      </c>
      <c r="B406" s="58">
        <v>19275</v>
      </c>
      <c r="C406" s="57" t="s">
        <v>3112</v>
      </c>
      <c r="D406" s="57" t="s">
        <v>45</v>
      </c>
      <c r="E406" s="57" t="s">
        <v>2572</v>
      </c>
      <c r="F406" s="233">
        <v>45691.950694444444</v>
      </c>
      <c r="G406" s="57">
        <v>3</v>
      </c>
      <c r="H406" s="57" t="s">
        <v>2557</v>
      </c>
      <c r="I406" s="58">
        <v>50587</v>
      </c>
      <c r="J406" s="234" t="s">
        <v>3114</v>
      </c>
      <c r="K406" s="58">
        <v>59.99</v>
      </c>
      <c r="L406" s="58">
        <v>0</v>
      </c>
      <c r="M406" s="58">
        <v>0</v>
      </c>
      <c r="N406" s="58">
        <v>1</v>
      </c>
      <c r="O406" s="224">
        <f t="shared" si="2"/>
        <v>59.99</v>
      </c>
      <c r="P406" s="227">
        <f t="shared" si="3"/>
        <v>59.99</v>
      </c>
    </row>
    <row r="407" spans="1:16" ht="14.25">
      <c r="A407" s="224">
        <v>406</v>
      </c>
      <c r="B407" s="58">
        <v>18886</v>
      </c>
      <c r="C407" s="57" t="s">
        <v>2606</v>
      </c>
      <c r="D407" s="57" t="s">
        <v>45</v>
      </c>
      <c r="E407" s="57" t="s">
        <v>2556</v>
      </c>
      <c r="F407" s="233">
        <v>45719.517361111109</v>
      </c>
      <c r="G407" s="57">
        <v>3</v>
      </c>
      <c r="H407" s="57" t="s">
        <v>2557</v>
      </c>
      <c r="I407" s="58">
        <v>50623</v>
      </c>
      <c r="J407" s="234" t="s">
        <v>3115</v>
      </c>
      <c r="K407" s="58">
        <v>8.39</v>
      </c>
      <c r="L407" s="58">
        <v>0</v>
      </c>
      <c r="M407" s="58">
        <v>0</v>
      </c>
      <c r="N407" s="58">
        <v>1</v>
      </c>
      <c r="O407" s="224">
        <f t="shared" si="2"/>
        <v>8.39</v>
      </c>
      <c r="P407" s="227">
        <f t="shared" si="3"/>
        <v>8.39</v>
      </c>
    </row>
    <row r="408" spans="1:16" ht="14.25">
      <c r="A408" s="224">
        <v>407</v>
      </c>
      <c r="B408" s="58">
        <v>19280</v>
      </c>
      <c r="C408" s="57" t="s">
        <v>3116</v>
      </c>
      <c r="D408" s="57" t="s">
        <v>2582</v>
      </c>
      <c r="E408" s="57" t="s">
        <v>2572</v>
      </c>
      <c r="F408" s="233">
        <v>45719.593055555553</v>
      </c>
      <c r="G408" s="57">
        <v>3</v>
      </c>
      <c r="H408" s="57" t="s">
        <v>2557</v>
      </c>
      <c r="I408" s="58">
        <v>50647</v>
      </c>
      <c r="J408" s="234" t="s">
        <v>3117</v>
      </c>
      <c r="K408" s="58">
        <v>8.69</v>
      </c>
      <c r="L408" s="58">
        <v>0</v>
      </c>
      <c r="M408" s="58">
        <v>0</v>
      </c>
      <c r="N408" s="58">
        <v>7.2790299999999997</v>
      </c>
      <c r="O408" s="224">
        <f t="shared" si="2"/>
        <v>8.69</v>
      </c>
      <c r="P408" s="227">
        <f t="shared" si="3"/>
        <v>1.1938403880736856</v>
      </c>
    </row>
    <row r="409" spans="1:16" ht="14.25">
      <c r="A409" s="224">
        <v>408</v>
      </c>
      <c r="B409" s="58">
        <v>19306</v>
      </c>
      <c r="C409" s="57" t="s">
        <v>2598</v>
      </c>
      <c r="D409" s="57" t="s">
        <v>2582</v>
      </c>
      <c r="E409" s="57" t="s">
        <v>2556</v>
      </c>
      <c r="F409" s="233">
        <v>45750.040277777778</v>
      </c>
      <c r="G409" s="57">
        <v>3</v>
      </c>
      <c r="H409" s="57" t="s">
        <v>2557</v>
      </c>
      <c r="I409" s="58">
        <v>50683</v>
      </c>
      <c r="J409" s="234" t="s">
        <v>3118</v>
      </c>
      <c r="K409" s="58">
        <v>65.44</v>
      </c>
      <c r="L409" s="58">
        <v>0</v>
      </c>
      <c r="M409" s="58">
        <v>0</v>
      </c>
      <c r="N409" s="58">
        <v>7.2790299999999997</v>
      </c>
      <c r="O409" s="224">
        <f t="shared" si="2"/>
        <v>65.44</v>
      </c>
      <c r="P409" s="227">
        <f t="shared" si="3"/>
        <v>8.9902088602464882</v>
      </c>
    </row>
    <row r="410" spans="1:16" ht="14.25">
      <c r="A410" s="224">
        <v>409</v>
      </c>
      <c r="B410" s="58">
        <v>19314</v>
      </c>
      <c r="C410" s="57" t="s">
        <v>3119</v>
      </c>
      <c r="D410" s="57" t="s">
        <v>45</v>
      </c>
      <c r="E410" s="57" t="s">
        <v>2572</v>
      </c>
      <c r="F410" s="233">
        <v>45750.147916666669</v>
      </c>
      <c r="G410" s="57">
        <v>3</v>
      </c>
      <c r="H410" s="57" t="s">
        <v>2557</v>
      </c>
      <c r="I410" s="58">
        <v>50695</v>
      </c>
      <c r="J410" s="234" t="s">
        <v>3120</v>
      </c>
      <c r="K410" s="58">
        <v>23.99</v>
      </c>
      <c r="L410" s="58">
        <v>0</v>
      </c>
      <c r="M410" s="58">
        <v>0</v>
      </c>
      <c r="N410" s="58">
        <v>1</v>
      </c>
      <c r="O410" s="224">
        <f t="shared" si="2"/>
        <v>23.99</v>
      </c>
      <c r="P410" s="227">
        <f t="shared" si="3"/>
        <v>23.99</v>
      </c>
    </row>
    <row r="411" spans="1:16" ht="14.25">
      <c r="A411" s="224">
        <v>410</v>
      </c>
      <c r="B411" s="58">
        <v>19314</v>
      </c>
      <c r="C411" s="57" t="s">
        <v>3119</v>
      </c>
      <c r="D411" s="57" t="s">
        <v>45</v>
      </c>
      <c r="E411" s="57" t="s">
        <v>2572</v>
      </c>
      <c r="F411" s="233">
        <v>45750.626388888886</v>
      </c>
      <c r="G411" s="57">
        <v>3</v>
      </c>
      <c r="H411" s="57" t="s">
        <v>2557</v>
      </c>
      <c r="I411" s="58">
        <v>50755</v>
      </c>
      <c r="J411" s="234" t="s">
        <v>3121</v>
      </c>
      <c r="K411" s="58">
        <v>6.99</v>
      </c>
      <c r="L411" s="58">
        <v>0</v>
      </c>
      <c r="M411" s="58">
        <v>0</v>
      </c>
      <c r="N411" s="58">
        <v>1</v>
      </c>
      <c r="O411" s="224">
        <f t="shared" si="2"/>
        <v>6.99</v>
      </c>
      <c r="P411" s="227">
        <f t="shared" si="3"/>
        <v>6.99</v>
      </c>
    </row>
    <row r="412" spans="1:16" ht="14.25">
      <c r="A412" s="224">
        <v>411</v>
      </c>
      <c r="B412" s="58">
        <v>4096</v>
      </c>
      <c r="C412" s="57" t="s">
        <v>2602</v>
      </c>
      <c r="D412" s="57" t="s">
        <v>45</v>
      </c>
      <c r="E412" s="57" t="s">
        <v>9</v>
      </c>
      <c r="F412" s="233">
        <v>45750.790277777778</v>
      </c>
      <c r="G412" s="57">
        <v>3</v>
      </c>
      <c r="H412" s="57" t="s">
        <v>2557</v>
      </c>
      <c r="I412" s="58">
        <v>48235</v>
      </c>
      <c r="J412" s="234" t="s">
        <v>392</v>
      </c>
      <c r="K412" s="58">
        <v>11.99</v>
      </c>
      <c r="L412" s="58">
        <v>0.91</v>
      </c>
      <c r="M412" s="58">
        <v>0</v>
      </c>
      <c r="N412" s="58">
        <v>1</v>
      </c>
      <c r="O412" s="224">
        <f t="shared" si="2"/>
        <v>11.08</v>
      </c>
      <c r="P412" s="227">
        <f t="shared" si="3"/>
        <v>11.08</v>
      </c>
    </row>
    <row r="413" spans="1:16" ht="14.25">
      <c r="A413" s="224">
        <v>412</v>
      </c>
      <c r="B413" s="58">
        <v>18797</v>
      </c>
      <c r="C413" s="57" t="s">
        <v>3122</v>
      </c>
      <c r="D413" s="57" t="s">
        <v>45</v>
      </c>
      <c r="E413" s="57" t="s">
        <v>2556</v>
      </c>
      <c r="F413" s="233">
        <v>45750.803472222222</v>
      </c>
      <c r="G413" s="57">
        <v>3</v>
      </c>
      <c r="H413" s="57" t="s">
        <v>2557</v>
      </c>
      <c r="I413" s="58">
        <v>50815</v>
      </c>
      <c r="J413" s="234" t="s">
        <v>3123</v>
      </c>
      <c r="K413" s="58">
        <v>2.99</v>
      </c>
      <c r="L413" s="58">
        <v>0</v>
      </c>
      <c r="M413" s="58">
        <v>0</v>
      </c>
      <c r="N413" s="58">
        <v>1</v>
      </c>
      <c r="O413" s="224">
        <f t="shared" si="2"/>
        <v>2.99</v>
      </c>
      <c r="P413" s="227">
        <f t="shared" si="3"/>
        <v>2.99</v>
      </c>
    </row>
    <row r="414" spans="1:16" ht="14.25">
      <c r="A414" s="224">
        <v>413</v>
      </c>
      <c r="B414" s="58">
        <v>9778</v>
      </c>
      <c r="C414" s="57" t="s">
        <v>2815</v>
      </c>
      <c r="D414" s="57" t="s">
        <v>45</v>
      </c>
      <c r="E414" s="57" t="s">
        <v>2556</v>
      </c>
      <c r="F414" s="233">
        <v>45750.804166666669</v>
      </c>
      <c r="G414" s="57">
        <v>3</v>
      </c>
      <c r="H414" s="57" t="s">
        <v>2557</v>
      </c>
      <c r="I414" s="58">
        <v>50887</v>
      </c>
      <c r="J414" s="234" t="s">
        <v>3124</v>
      </c>
      <c r="K414" s="58">
        <v>2.99</v>
      </c>
      <c r="L414" s="58">
        <v>0</v>
      </c>
      <c r="M414" s="58">
        <v>0</v>
      </c>
      <c r="N414" s="58">
        <v>1</v>
      </c>
      <c r="O414" s="224">
        <f t="shared" si="2"/>
        <v>2.99</v>
      </c>
      <c r="P414" s="227">
        <f t="shared" si="3"/>
        <v>2.99</v>
      </c>
    </row>
    <row r="415" spans="1:16" ht="14.25">
      <c r="A415" s="224">
        <v>414</v>
      </c>
      <c r="B415" s="58">
        <v>18736</v>
      </c>
      <c r="C415" s="57" t="s">
        <v>3020</v>
      </c>
      <c r="D415" s="57" t="s">
        <v>45</v>
      </c>
      <c r="E415" s="57" t="s">
        <v>2556</v>
      </c>
      <c r="F415" s="233">
        <v>45750.804166666669</v>
      </c>
      <c r="G415" s="57">
        <v>3</v>
      </c>
      <c r="H415" s="57" t="s">
        <v>2557</v>
      </c>
      <c r="I415" s="58">
        <v>50863</v>
      </c>
      <c r="J415" s="234" t="s">
        <v>3125</v>
      </c>
      <c r="K415" s="58">
        <v>2.99</v>
      </c>
      <c r="L415" s="58">
        <v>0</v>
      </c>
      <c r="M415" s="58">
        <v>0</v>
      </c>
      <c r="N415" s="58">
        <v>1</v>
      </c>
      <c r="O415" s="224">
        <f t="shared" si="2"/>
        <v>2.99</v>
      </c>
      <c r="P415" s="227">
        <f t="shared" si="3"/>
        <v>2.99</v>
      </c>
    </row>
    <row r="416" spans="1:16" ht="14.25">
      <c r="A416" s="224">
        <v>415</v>
      </c>
      <c r="B416" s="58">
        <v>6239</v>
      </c>
      <c r="C416" s="57" t="s">
        <v>3126</v>
      </c>
      <c r="D416" s="57" t="s">
        <v>45</v>
      </c>
      <c r="E416" s="57" t="s">
        <v>2556</v>
      </c>
      <c r="F416" s="233">
        <v>45750.804166666669</v>
      </c>
      <c r="G416" s="57">
        <v>3</v>
      </c>
      <c r="H416" s="57" t="s">
        <v>2557</v>
      </c>
      <c r="I416" s="58">
        <v>50899</v>
      </c>
      <c r="J416" s="234" t="s">
        <v>3127</v>
      </c>
      <c r="K416" s="58">
        <v>2.99</v>
      </c>
      <c r="L416" s="58">
        <v>0</v>
      </c>
      <c r="M416" s="58">
        <v>0</v>
      </c>
      <c r="N416" s="58">
        <v>1</v>
      </c>
      <c r="O416" s="224">
        <f t="shared" si="2"/>
        <v>2.99</v>
      </c>
      <c r="P416" s="227">
        <f t="shared" si="3"/>
        <v>2.99</v>
      </c>
    </row>
    <row r="417" spans="1:16" ht="14.25">
      <c r="A417" s="224">
        <v>416</v>
      </c>
      <c r="B417" s="58">
        <v>19335</v>
      </c>
      <c r="C417" s="57" t="s">
        <v>3128</v>
      </c>
      <c r="D417" s="57" t="s">
        <v>45</v>
      </c>
      <c r="E417" s="57" t="s">
        <v>2556</v>
      </c>
      <c r="F417" s="233">
        <v>45750.806250000001</v>
      </c>
      <c r="G417" s="57">
        <v>3</v>
      </c>
      <c r="H417" s="57" t="s">
        <v>2557</v>
      </c>
      <c r="I417" s="58">
        <v>50875</v>
      </c>
      <c r="J417" s="234" t="s">
        <v>3129</v>
      </c>
      <c r="K417" s="58">
        <v>2.99</v>
      </c>
      <c r="L417" s="58">
        <v>0</v>
      </c>
      <c r="M417" s="58">
        <v>0</v>
      </c>
      <c r="N417" s="58">
        <v>1</v>
      </c>
      <c r="O417" s="224">
        <f t="shared" si="2"/>
        <v>2.99</v>
      </c>
      <c r="P417" s="227">
        <f t="shared" si="3"/>
        <v>2.99</v>
      </c>
    </row>
    <row r="418" spans="1:16" ht="14.25">
      <c r="A418" s="224">
        <v>417</v>
      </c>
      <c r="B418" s="58">
        <v>7341</v>
      </c>
      <c r="C418" s="57" t="s">
        <v>2689</v>
      </c>
      <c r="D418" s="57" t="s">
        <v>45</v>
      </c>
      <c r="E418" s="57" t="s">
        <v>2556</v>
      </c>
      <c r="F418" s="233">
        <v>45750.8125</v>
      </c>
      <c r="G418" s="57">
        <v>3</v>
      </c>
      <c r="H418" s="57" t="s">
        <v>2557</v>
      </c>
      <c r="I418" s="58">
        <v>50851</v>
      </c>
      <c r="J418" s="234" t="s">
        <v>3130</v>
      </c>
      <c r="K418" s="58">
        <v>2.99</v>
      </c>
      <c r="L418" s="58">
        <v>0</v>
      </c>
      <c r="M418" s="58">
        <v>0</v>
      </c>
      <c r="N418" s="58">
        <v>1</v>
      </c>
      <c r="O418" s="224">
        <f t="shared" si="2"/>
        <v>2.99</v>
      </c>
      <c r="P418" s="227">
        <f t="shared" si="3"/>
        <v>2.99</v>
      </c>
    </row>
    <row r="419" spans="1:16" ht="14.25">
      <c r="A419" s="224">
        <v>418</v>
      </c>
      <c r="B419" s="58">
        <v>19336</v>
      </c>
      <c r="C419" s="57" t="s">
        <v>3131</v>
      </c>
      <c r="D419" s="57" t="s">
        <v>45</v>
      </c>
      <c r="E419" s="57" t="s">
        <v>2556</v>
      </c>
      <c r="F419" s="233">
        <v>45750.819444444445</v>
      </c>
      <c r="G419" s="57">
        <v>3</v>
      </c>
      <c r="H419" s="57" t="s">
        <v>2557</v>
      </c>
      <c r="I419" s="58">
        <v>50911</v>
      </c>
      <c r="J419" s="234" t="s">
        <v>3132</v>
      </c>
      <c r="K419" s="58">
        <v>2.99</v>
      </c>
      <c r="L419" s="58">
        <v>0</v>
      </c>
      <c r="M419" s="58">
        <v>0</v>
      </c>
      <c r="N419" s="58">
        <v>1</v>
      </c>
      <c r="O419" s="224">
        <f t="shared" si="2"/>
        <v>2.99</v>
      </c>
      <c r="P419" s="227">
        <f t="shared" si="3"/>
        <v>2.99</v>
      </c>
    </row>
    <row r="420" spans="1:16" ht="14.25">
      <c r="A420" s="224">
        <v>419</v>
      </c>
      <c r="B420" s="58">
        <v>18886</v>
      </c>
      <c r="C420" s="57" t="s">
        <v>2606</v>
      </c>
      <c r="D420" s="57" t="s">
        <v>45</v>
      </c>
      <c r="E420" s="57" t="s">
        <v>2556</v>
      </c>
      <c r="F420" s="233">
        <v>45750.828472222223</v>
      </c>
      <c r="G420" s="57">
        <v>3</v>
      </c>
      <c r="H420" s="57" t="s">
        <v>2557</v>
      </c>
      <c r="I420" s="58">
        <v>50935</v>
      </c>
      <c r="J420" s="234" t="s">
        <v>3133</v>
      </c>
      <c r="K420" s="58">
        <v>2.99</v>
      </c>
      <c r="L420" s="58">
        <v>0</v>
      </c>
      <c r="M420" s="58">
        <v>0</v>
      </c>
      <c r="N420" s="58">
        <v>1</v>
      </c>
      <c r="O420" s="224">
        <f t="shared" si="2"/>
        <v>2.99</v>
      </c>
      <c r="P420" s="227">
        <f t="shared" si="3"/>
        <v>2.99</v>
      </c>
    </row>
    <row r="421" spans="1:16" ht="14.25">
      <c r="A421" s="224">
        <v>420</v>
      </c>
      <c r="B421" s="58">
        <v>18278</v>
      </c>
      <c r="C421" s="57" t="s">
        <v>2598</v>
      </c>
      <c r="D421" s="57" t="s">
        <v>45</v>
      </c>
      <c r="E421" s="57" t="s">
        <v>2556</v>
      </c>
      <c r="F421" s="233">
        <v>45750.831944444442</v>
      </c>
      <c r="G421" s="57">
        <v>3</v>
      </c>
      <c r="H421" s="57" t="s">
        <v>2557</v>
      </c>
      <c r="I421" s="58">
        <v>50947</v>
      </c>
      <c r="J421" s="234" t="s">
        <v>3134</v>
      </c>
      <c r="K421" s="58">
        <v>2.99</v>
      </c>
      <c r="L421" s="58">
        <v>0</v>
      </c>
      <c r="M421" s="58">
        <v>0</v>
      </c>
      <c r="N421" s="58">
        <v>1</v>
      </c>
      <c r="O421" s="224">
        <f t="shared" si="2"/>
        <v>2.99</v>
      </c>
      <c r="P421" s="227">
        <f t="shared" si="3"/>
        <v>2.99</v>
      </c>
    </row>
    <row r="422" spans="1:16" ht="14.25">
      <c r="A422" s="224">
        <v>421</v>
      </c>
      <c r="B422" s="58">
        <v>19338</v>
      </c>
      <c r="C422" s="57" t="s">
        <v>3135</v>
      </c>
      <c r="D422" s="57" t="s">
        <v>45</v>
      </c>
      <c r="E422" s="57" t="s">
        <v>2556</v>
      </c>
      <c r="F422" s="233">
        <v>45750.833333333336</v>
      </c>
      <c r="G422" s="57">
        <v>3</v>
      </c>
      <c r="H422" s="57" t="s">
        <v>2557</v>
      </c>
      <c r="I422" s="58">
        <v>50959</v>
      </c>
      <c r="J422" s="234" t="s">
        <v>3136</v>
      </c>
      <c r="K422" s="58">
        <v>2.99</v>
      </c>
      <c r="L422" s="58">
        <v>0</v>
      </c>
      <c r="M422" s="58">
        <v>0</v>
      </c>
      <c r="N422" s="58">
        <v>1</v>
      </c>
      <c r="O422" s="224">
        <f t="shared" si="2"/>
        <v>2.99</v>
      </c>
      <c r="P422" s="227">
        <f t="shared" si="3"/>
        <v>2.99</v>
      </c>
    </row>
    <row r="423" spans="1:16" ht="14.25">
      <c r="A423" s="224">
        <v>422</v>
      </c>
      <c r="B423" s="58">
        <v>19340</v>
      </c>
      <c r="C423" s="57" t="s">
        <v>3137</v>
      </c>
      <c r="D423" s="57" t="s">
        <v>45</v>
      </c>
      <c r="E423" s="57" t="s">
        <v>2556</v>
      </c>
      <c r="F423" s="233">
        <v>45750.854861111111</v>
      </c>
      <c r="G423" s="57">
        <v>3</v>
      </c>
      <c r="H423" s="57" t="s">
        <v>2557</v>
      </c>
      <c r="I423" s="58">
        <v>50983</v>
      </c>
      <c r="J423" s="234" t="s">
        <v>3138</v>
      </c>
      <c r="K423" s="58">
        <v>3.99</v>
      </c>
      <c r="L423" s="58">
        <v>0</v>
      </c>
      <c r="M423" s="58">
        <v>0</v>
      </c>
      <c r="N423" s="58">
        <v>1</v>
      </c>
      <c r="O423" s="224">
        <f t="shared" si="2"/>
        <v>3.99</v>
      </c>
      <c r="P423" s="227">
        <f t="shared" si="3"/>
        <v>3.99</v>
      </c>
    </row>
    <row r="424" spans="1:16" ht="14.25">
      <c r="A424" s="224">
        <v>423</v>
      </c>
      <c r="B424" s="58">
        <v>18795</v>
      </c>
      <c r="C424" s="57" t="s">
        <v>3041</v>
      </c>
      <c r="D424" s="57" t="s">
        <v>2582</v>
      </c>
      <c r="E424" s="57" t="s">
        <v>2556</v>
      </c>
      <c r="F424" s="233">
        <v>45750.85833333333</v>
      </c>
      <c r="G424" s="57">
        <v>3</v>
      </c>
      <c r="H424" s="57" t="s">
        <v>2557</v>
      </c>
      <c r="I424" s="58">
        <v>50995</v>
      </c>
      <c r="J424" s="234" t="s">
        <v>3139</v>
      </c>
      <c r="K424" s="58">
        <v>29.08</v>
      </c>
      <c r="L424" s="58">
        <v>0</v>
      </c>
      <c r="M424" s="58">
        <v>0</v>
      </c>
      <c r="N424" s="58">
        <v>7.28925</v>
      </c>
      <c r="O424" s="224">
        <f t="shared" si="2"/>
        <v>29.08</v>
      </c>
      <c r="P424" s="227">
        <f t="shared" si="3"/>
        <v>3.9894364989539386</v>
      </c>
    </row>
    <row r="425" spans="1:16" ht="14.25">
      <c r="A425" s="224">
        <v>424</v>
      </c>
      <c r="B425" s="58">
        <v>99</v>
      </c>
      <c r="C425" s="57" t="s">
        <v>2820</v>
      </c>
      <c r="D425" s="57" t="s">
        <v>45</v>
      </c>
      <c r="E425" s="57" t="s">
        <v>2556</v>
      </c>
      <c r="F425" s="233">
        <v>45750.861805555556</v>
      </c>
      <c r="G425" s="57">
        <v>3</v>
      </c>
      <c r="H425" s="57" t="s">
        <v>2557</v>
      </c>
      <c r="I425" s="58">
        <v>51007</v>
      </c>
      <c r="J425" s="234" t="s">
        <v>3140</v>
      </c>
      <c r="K425" s="58">
        <v>1</v>
      </c>
      <c r="L425" s="58">
        <v>0</v>
      </c>
      <c r="M425" s="58">
        <v>0</v>
      </c>
      <c r="N425" s="58">
        <v>1</v>
      </c>
      <c r="O425" s="224">
        <f t="shared" si="2"/>
        <v>1</v>
      </c>
      <c r="P425" s="227">
        <f t="shared" si="3"/>
        <v>1</v>
      </c>
    </row>
    <row r="426" spans="1:16" ht="14.25">
      <c r="A426" s="224">
        <v>425</v>
      </c>
      <c r="B426" s="58">
        <v>90</v>
      </c>
      <c r="C426" s="57" t="s">
        <v>2575</v>
      </c>
      <c r="D426" s="57" t="s">
        <v>2582</v>
      </c>
      <c r="E426" s="57" t="s">
        <v>2556</v>
      </c>
      <c r="F426" s="233">
        <v>45750.865972222222</v>
      </c>
      <c r="G426" s="57">
        <v>3</v>
      </c>
      <c r="H426" s="57" t="s">
        <v>2557</v>
      </c>
      <c r="I426" s="58">
        <v>51019</v>
      </c>
      <c r="J426" s="234" t="s">
        <v>3141</v>
      </c>
      <c r="K426" s="58">
        <v>20.99</v>
      </c>
      <c r="L426" s="58">
        <v>0</v>
      </c>
      <c r="M426" s="58">
        <v>0</v>
      </c>
      <c r="N426" s="58">
        <v>7.28925</v>
      </c>
      <c r="O426" s="224">
        <f t="shared" si="2"/>
        <v>20.99</v>
      </c>
      <c r="P426" s="227">
        <f t="shared" si="3"/>
        <v>2.8795829474911683</v>
      </c>
    </row>
    <row r="427" spans="1:16" ht="14.25">
      <c r="A427" s="224">
        <v>426</v>
      </c>
      <c r="B427" s="58">
        <v>90</v>
      </c>
      <c r="C427" s="57" t="s">
        <v>2575</v>
      </c>
      <c r="D427" s="57" t="s">
        <v>2582</v>
      </c>
      <c r="E427" s="57" t="s">
        <v>2556</v>
      </c>
      <c r="F427" s="233">
        <v>45750.870138888888</v>
      </c>
      <c r="G427" s="57">
        <v>3</v>
      </c>
      <c r="H427" s="57" t="s">
        <v>2557</v>
      </c>
      <c r="I427" s="58">
        <v>51019</v>
      </c>
      <c r="J427" s="234"/>
      <c r="K427" s="58">
        <v>0.01</v>
      </c>
      <c r="L427" s="58">
        <v>0</v>
      </c>
      <c r="M427" s="58">
        <v>0</v>
      </c>
      <c r="N427" s="58">
        <v>7.28925</v>
      </c>
      <c r="O427" s="224">
        <f t="shared" si="2"/>
        <v>0.01</v>
      </c>
      <c r="P427" s="227">
        <f t="shared" si="3"/>
        <v>1.3718832527351923E-3</v>
      </c>
    </row>
    <row r="428" spans="1:16" ht="14.25">
      <c r="A428" s="224">
        <v>427</v>
      </c>
      <c r="B428" s="58">
        <v>11019</v>
      </c>
      <c r="C428" s="57" t="s">
        <v>2852</v>
      </c>
      <c r="D428" s="57" t="s">
        <v>45</v>
      </c>
      <c r="E428" s="57" t="s">
        <v>2556</v>
      </c>
      <c r="F428" s="233">
        <v>45750.890972222223</v>
      </c>
      <c r="G428" s="57">
        <v>3</v>
      </c>
      <c r="H428" s="57" t="s">
        <v>2557</v>
      </c>
      <c r="I428" s="58">
        <v>51031</v>
      </c>
      <c r="J428" s="234" t="s">
        <v>3142</v>
      </c>
      <c r="K428" s="58">
        <v>3.99</v>
      </c>
      <c r="L428" s="58">
        <v>0</v>
      </c>
      <c r="M428" s="58">
        <v>0</v>
      </c>
      <c r="N428" s="58">
        <v>1</v>
      </c>
      <c r="O428" s="224">
        <f t="shared" si="2"/>
        <v>3.99</v>
      </c>
      <c r="P428" s="227">
        <f t="shared" si="3"/>
        <v>3.99</v>
      </c>
    </row>
    <row r="429" spans="1:16" ht="14.25">
      <c r="A429" s="224">
        <v>428</v>
      </c>
      <c r="B429" s="58">
        <v>19314</v>
      </c>
      <c r="C429" s="57" t="s">
        <v>3119</v>
      </c>
      <c r="D429" s="57" t="s">
        <v>45</v>
      </c>
      <c r="E429" s="57" t="s">
        <v>2572</v>
      </c>
      <c r="F429" s="233">
        <v>45750.915277777778</v>
      </c>
      <c r="G429" s="57">
        <v>3</v>
      </c>
      <c r="H429" s="57" t="s">
        <v>2557</v>
      </c>
      <c r="I429" s="58">
        <v>51043</v>
      </c>
      <c r="J429" s="234" t="s">
        <v>3143</v>
      </c>
      <c r="K429" s="58">
        <v>60</v>
      </c>
      <c r="L429" s="58">
        <v>0</v>
      </c>
      <c r="M429" s="58">
        <v>0</v>
      </c>
      <c r="N429" s="58">
        <v>1</v>
      </c>
      <c r="O429" s="224">
        <f t="shared" si="2"/>
        <v>60</v>
      </c>
      <c r="P429" s="227">
        <f t="shared" si="3"/>
        <v>60</v>
      </c>
    </row>
    <row r="430" spans="1:16" ht="14.25">
      <c r="A430" s="224">
        <v>429</v>
      </c>
      <c r="B430" s="58">
        <v>19346</v>
      </c>
      <c r="C430" s="57" t="s">
        <v>3144</v>
      </c>
      <c r="D430" s="57" t="s">
        <v>45</v>
      </c>
      <c r="E430" s="57" t="s">
        <v>9</v>
      </c>
      <c r="F430" s="233">
        <v>45750.92083333333</v>
      </c>
      <c r="G430" s="57">
        <v>3</v>
      </c>
      <c r="H430" s="57" t="s">
        <v>2557</v>
      </c>
      <c r="I430" s="58">
        <v>51067</v>
      </c>
      <c r="J430" s="234" t="s">
        <v>394</v>
      </c>
      <c r="K430" s="58">
        <v>5.49</v>
      </c>
      <c r="L430" s="58">
        <v>0.76</v>
      </c>
      <c r="M430" s="58">
        <v>0</v>
      </c>
      <c r="N430" s="58">
        <v>1</v>
      </c>
      <c r="O430" s="224">
        <f t="shared" si="2"/>
        <v>4.7300000000000004</v>
      </c>
      <c r="P430" s="227">
        <f t="shared" si="3"/>
        <v>4.7300000000000004</v>
      </c>
    </row>
    <row r="431" spans="1:16" ht="14.25">
      <c r="A431" s="224">
        <v>430</v>
      </c>
      <c r="B431" s="58">
        <v>19351</v>
      </c>
      <c r="C431" s="57" t="s">
        <v>3145</v>
      </c>
      <c r="D431" s="57" t="s">
        <v>45</v>
      </c>
      <c r="E431" s="57" t="s">
        <v>2556</v>
      </c>
      <c r="F431" s="233">
        <v>45750.98541666667</v>
      </c>
      <c r="G431" s="57">
        <v>3</v>
      </c>
      <c r="H431" s="57" t="s">
        <v>2557</v>
      </c>
      <c r="I431" s="58">
        <v>51115</v>
      </c>
      <c r="J431" s="234" t="s">
        <v>3146</v>
      </c>
      <c r="K431" s="58">
        <v>4.79</v>
      </c>
      <c r="L431" s="58">
        <v>0</v>
      </c>
      <c r="M431" s="58">
        <v>0</v>
      </c>
      <c r="N431" s="58">
        <v>1</v>
      </c>
      <c r="O431" s="224">
        <f t="shared" si="2"/>
        <v>4.79</v>
      </c>
      <c r="P431" s="227">
        <f t="shared" si="3"/>
        <v>4.79</v>
      </c>
    </row>
    <row r="432" spans="1:16" ht="14.25">
      <c r="A432" s="224">
        <v>431</v>
      </c>
      <c r="B432" s="58">
        <v>18090</v>
      </c>
      <c r="C432" s="57" t="s">
        <v>3147</v>
      </c>
      <c r="D432" s="57" t="s">
        <v>45</v>
      </c>
      <c r="E432" s="57" t="s">
        <v>2556</v>
      </c>
      <c r="F432" s="233">
        <v>45750.994444444441</v>
      </c>
      <c r="G432" s="57">
        <v>3</v>
      </c>
      <c r="H432" s="57" t="s">
        <v>2557</v>
      </c>
      <c r="I432" s="58">
        <v>51127</v>
      </c>
      <c r="J432" s="234" t="s">
        <v>3148</v>
      </c>
      <c r="K432" s="58">
        <v>29.39</v>
      </c>
      <c r="L432" s="58">
        <v>0</v>
      </c>
      <c r="M432" s="58">
        <v>0</v>
      </c>
      <c r="N432" s="58">
        <v>1</v>
      </c>
      <c r="O432" s="224">
        <f t="shared" si="2"/>
        <v>29.39</v>
      </c>
      <c r="P432" s="227">
        <f t="shared" si="3"/>
        <v>29.39</v>
      </c>
    </row>
    <row r="433" spans="1:16" ht="14.25">
      <c r="A433" s="224">
        <v>432</v>
      </c>
      <c r="B433" s="58">
        <v>18090</v>
      </c>
      <c r="C433" s="57" t="s">
        <v>3147</v>
      </c>
      <c r="D433" s="57" t="s">
        <v>45</v>
      </c>
      <c r="E433" s="57" t="s">
        <v>2556</v>
      </c>
      <c r="F433" s="233">
        <v>45750.997916666667</v>
      </c>
      <c r="G433" s="57">
        <v>3</v>
      </c>
      <c r="H433" s="57" t="s">
        <v>2557</v>
      </c>
      <c r="I433" s="58">
        <v>51151</v>
      </c>
      <c r="J433" s="234" t="s">
        <v>3149</v>
      </c>
      <c r="K433" s="58">
        <v>3.99</v>
      </c>
      <c r="L433" s="58">
        <v>0</v>
      </c>
      <c r="M433" s="58">
        <v>0</v>
      </c>
      <c r="N433" s="58">
        <v>1</v>
      </c>
      <c r="O433" s="224">
        <f t="shared" si="2"/>
        <v>3.99</v>
      </c>
      <c r="P433" s="227">
        <f t="shared" si="3"/>
        <v>3.99</v>
      </c>
    </row>
    <row r="434" spans="1:16" ht="14.25">
      <c r="A434" s="224">
        <v>433</v>
      </c>
      <c r="B434" s="58">
        <v>19353</v>
      </c>
      <c r="C434" s="57" t="s">
        <v>2575</v>
      </c>
      <c r="D434" s="57" t="s">
        <v>45</v>
      </c>
      <c r="E434" s="57" t="s">
        <v>2556</v>
      </c>
      <c r="F434" s="233">
        <v>45750.998611111114</v>
      </c>
      <c r="G434" s="57">
        <v>3</v>
      </c>
      <c r="H434" s="57" t="s">
        <v>2557</v>
      </c>
      <c r="I434" s="58">
        <v>51139</v>
      </c>
      <c r="J434" s="234" t="s">
        <v>3150</v>
      </c>
      <c r="K434" s="58">
        <v>3.99</v>
      </c>
      <c r="L434" s="58">
        <v>0</v>
      </c>
      <c r="M434" s="58">
        <v>0</v>
      </c>
      <c r="N434" s="58">
        <v>1</v>
      </c>
      <c r="O434" s="224">
        <f t="shared" si="2"/>
        <v>3.99</v>
      </c>
      <c r="P434" s="227">
        <f t="shared" si="3"/>
        <v>3.99</v>
      </c>
    </row>
    <row r="435" spans="1:16" ht="14.25">
      <c r="A435" s="224">
        <v>434</v>
      </c>
      <c r="B435" s="58">
        <v>19359</v>
      </c>
      <c r="C435" s="57" t="s">
        <v>3151</v>
      </c>
      <c r="D435" s="57" t="s">
        <v>2582</v>
      </c>
      <c r="E435" s="57" t="s">
        <v>2556</v>
      </c>
      <c r="F435" s="233">
        <v>45780.040972222225</v>
      </c>
      <c r="G435" s="57">
        <v>3</v>
      </c>
      <c r="H435" s="57" t="s">
        <v>2557</v>
      </c>
      <c r="I435" s="58">
        <v>51163</v>
      </c>
      <c r="J435" s="234" t="s">
        <v>3152</v>
      </c>
      <c r="K435" s="58">
        <v>34.92</v>
      </c>
      <c r="L435" s="58">
        <v>0</v>
      </c>
      <c r="M435" s="58">
        <v>0</v>
      </c>
      <c r="N435" s="58">
        <v>7.28925</v>
      </c>
      <c r="O435" s="224">
        <f t="shared" si="2"/>
        <v>34.92</v>
      </c>
      <c r="P435" s="227">
        <f t="shared" si="3"/>
        <v>4.7906163185512911</v>
      </c>
    </row>
    <row r="436" spans="1:16" ht="14.25">
      <c r="A436" s="224">
        <v>435</v>
      </c>
      <c r="B436" s="58">
        <v>19359</v>
      </c>
      <c r="C436" s="57" t="s">
        <v>3151</v>
      </c>
      <c r="D436" s="57" t="s">
        <v>2582</v>
      </c>
      <c r="E436" s="57" t="s">
        <v>2556</v>
      </c>
      <c r="F436" s="233">
        <v>45780.067361111112</v>
      </c>
      <c r="G436" s="57">
        <v>3</v>
      </c>
      <c r="H436" s="57" t="s">
        <v>2557</v>
      </c>
      <c r="I436" s="58">
        <v>51163</v>
      </c>
      <c r="J436" s="234"/>
      <c r="K436" s="58">
        <v>0.01</v>
      </c>
      <c r="L436" s="58">
        <v>0</v>
      </c>
      <c r="M436" s="58">
        <v>0</v>
      </c>
      <c r="N436" s="58">
        <v>7.28925</v>
      </c>
      <c r="O436" s="224">
        <f t="shared" si="2"/>
        <v>0.01</v>
      </c>
      <c r="P436" s="227">
        <f t="shared" si="3"/>
        <v>1.3718832527351923E-3</v>
      </c>
    </row>
    <row r="437" spans="1:16" ht="14.25">
      <c r="A437" s="224">
        <v>436</v>
      </c>
      <c r="B437" s="58">
        <v>19372</v>
      </c>
      <c r="C437" s="57" t="s">
        <v>3153</v>
      </c>
      <c r="D437" s="57" t="s">
        <v>45</v>
      </c>
      <c r="E437" s="57" t="s">
        <v>2556</v>
      </c>
      <c r="F437" s="233">
        <v>45780.411111111112</v>
      </c>
      <c r="G437" s="57">
        <v>3</v>
      </c>
      <c r="H437" s="57" t="s">
        <v>2557</v>
      </c>
      <c r="I437" s="58">
        <v>51259</v>
      </c>
      <c r="J437" s="234" t="s">
        <v>3154</v>
      </c>
      <c r="K437" s="58">
        <v>3.99</v>
      </c>
      <c r="L437" s="58">
        <v>0</v>
      </c>
      <c r="M437" s="58">
        <v>0</v>
      </c>
      <c r="N437" s="58">
        <v>1</v>
      </c>
      <c r="O437" s="224">
        <f t="shared" si="2"/>
        <v>3.99</v>
      </c>
      <c r="P437" s="227">
        <f t="shared" si="3"/>
        <v>3.99</v>
      </c>
    </row>
    <row r="438" spans="1:16" ht="14.25">
      <c r="A438" s="224">
        <v>437</v>
      </c>
      <c r="B438" s="58">
        <v>1836</v>
      </c>
      <c r="C438" s="57" t="s">
        <v>2598</v>
      </c>
      <c r="D438" s="57" t="s">
        <v>2582</v>
      </c>
      <c r="E438" s="57" t="s">
        <v>2556</v>
      </c>
      <c r="F438" s="233">
        <v>45780.563888888886</v>
      </c>
      <c r="G438" s="57">
        <v>3</v>
      </c>
      <c r="H438" s="57" t="s">
        <v>2557</v>
      </c>
      <c r="I438" s="58">
        <v>51295</v>
      </c>
      <c r="J438" s="234" t="s">
        <v>3155</v>
      </c>
      <c r="K438" s="58">
        <v>374.18</v>
      </c>
      <c r="L438" s="58">
        <v>0</v>
      </c>
      <c r="M438" s="58">
        <v>0</v>
      </c>
      <c r="N438" s="58">
        <v>7.25718</v>
      </c>
      <c r="O438" s="224">
        <f t="shared" si="2"/>
        <v>374.18</v>
      </c>
      <c r="P438" s="227">
        <f t="shared" si="3"/>
        <v>51.559972330850279</v>
      </c>
    </row>
    <row r="439" spans="1:16" ht="14.25">
      <c r="A439" s="224">
        <v>438</v>
      </c>
      <c r="B439" s="237">
        <v>19383</v>
      </c>
      <c r="C439" s="238" t="s">
        <v>3156</v>
      </c>
      <c r="D439" s="238" t="s">
        <v>45</v>
      </c>
      <c r="E439" s="238" t="s">
        <v>2572</v>
      </c>
      <c r="F439" s="239">
        <v>45780.695833333331</v>
      </c>
      <c r="G439" s="238">
        <v>3</v>
      </c>
      <c r="H439" s="238" t="s">
        <v>2557</v>
      </c>
      <c r="I439" s="237">
        <v>51307</v>
      </c>
      <c r="J439" s="240" t="s">
        <v>3157</v>
      </c>
      <c r="K439" s="237">
        <v>5.39</v>
      </c>
      <c r="L439" s="237">
        <v>0</v>
      </c>
      <c r="M439" s="237">
        <v>0</v>
      </c>
      <c r="N439" s="237">
        <v>1</v>
      </c>
      <c r="O439" s="241">
        <f t="shared" si="2"/>
        <v>5.39</v>
      </c>
      <c r="P439" s="242">
        <f t="shared" si="3"/>
        <v>5.39</v>
      </c>
    </row>
    <row r="440" spans="1:16" ht="14.25">
      <c r="A440" s="224">
        <v>439</v>
      </c>
      <c r="B440" s="58">
        <v>4481</v>
      </c>
      <c r="C440" s="57" t="s">
        <v>3158</v>
      </c>
      <c r="D440" s="57" t="s">
        <v>45</v>
      </c>
      <c r="E440" s="57" t="s">
        <v>2556</v>
      </c>
      <c r="F440" s="233">
        <v>45780.73541666667</v>
      </c>
      <c r="G440" s="57">
        <v>3</v>
      </c>
      <c r="H440" s="57" t="s">
        <v>2557</v>
      </c>
      <c r="I440" s="58">
        <v>51319</v>
      </c>
      <c r="J440" s="234" t="s">
        <v>3159</v>
      </c>
      <c r="K440" s="58">
        <v>3.99</v>
      </c>
      <c r="L440" s="58">
        <v>0</v>
      </c>
      <c r="M440" s="58">
        <v>0</v>
      </c>
      <c r="N440" s="58">
        <v>1</v>
      </c>
      <c r="O440" s="224">
        <f t="shared" si="2"/>
        <v>3.99</v>
      </c>
      <c r="P440" s="227">
        <f t="shared" si="3"/>
        <v>3.99</v>
      </c>
    </row>
    <row r="441" spans="1:16" ht="14.25">
      <c r="A441" s="224">
        <v>440</v>
      </c>
      <c r="B441" s="58">
        <v>396</v>
      </c>
      <c r="C441" s="57" t="s">
        <v>2674</v>
      </c>
      <c r="D441" s="57" t="s">
        <v>45</v>
      </c>
      <c r="E441" s="57" t="s">
        <v>9</v>
      </c>
      <c r="F441" s="233">
        <v>45780.788194444445</v>
      </c>
      <c r="G441" s="57">
        <v>3</v>
      </c>
      <c r="H441" s="57" t="s">
        <v>2557</v>
      </c>
      <c r="I441" s="58">
        <v>51187</v>
      </c>
      <c r="J441" s="234" t="s">
        <v>395</v>
      </c>
      <c r="K441" s="58">
        <v>1.0900000000000001</v>
      </c>
      <c r="L441" s="58">
        <v>0.54</v>
      </c>
      <c r="M441" s="58">
        <v>0</v>
      </c>
      <c r="N441" s="58">
        <v>1</v>
      </c>
      <c r="O441" s="224">
        <f t="shared" si="2"/>
        <v>0.55000000000000004</v>
      </c>
      <c r="P441" s="227">
        <f t="shared" si="3"/>
        <v>0.55000000000000004</v>
      </c>
    </row>
    <row r="442" spans="1:16" ht="14.25">
      <c r="A442" s="224">
        <v>441</v>
      </c>
      <c r="B442" s="58">
        <v>19314</v>
      </c>
      <c r="C442" s="57" t="s">
        <v>3119</v>
      </c>
      <c r="D442" s="57" t="s">
        <v>45</v>
      </c>
      <c r="E442" s="57" t="s">
        <v>2572</v>
      </c>
      <c r="F442" s="233">
        <v>45780.798611111109</v>
      </c>
      <c r="G442" s="57">
        <v>3</v>
      </c>
      <c r="H442" s="57" t="s">
        <v>2557</v>
      </c>
      <c r="I442" s="58">
        <v>51331</v>
      </c>
      <c r="J442" s="234" t="s">
        <v>3160</v>
      </c>
      <c r="K442" s="58">
        <v>50</v>
      </c>
      <c r="L442" s="58">
        <v>0</v>
      </c>
      <c r="M442" s="58">
        <v>0</v>
      </c>
      <c r="N442" s="58">
        <v>1</v>
      </c>
      <c r="O442" s="224">
        <f t="shared" si="2"/>
        <v>50</v>
      </c>
      <c r="P442" s="227">
        <f t="shared" si="3"/>
        <v>50</v>
      </c>
    </row>
    <row r="443" spans="1:16" ht="14.25">
      <c r="A443" s="224">
        <v>442</v>
      </c>
      <c r="B443" s="237">
        <v>7698</v>
      </c>
      <c r="C443" s="238" t="s">
        <v>2710</v>
      </c>
      <c r="D443" s="238" t="s">
        <v>45</v>
      </c>
      <c r="E443" s="238" t="s">
        <v>2572</v>
      </c>
      <c r="F443" s="239">
        <v>45780.847916666666</v>
      </c>
      <c r="G443" s="238">
        <v>3</v>
      </c>
      <c r="H443" s="238" t="s">
        <v>2557</v>
      </c>
      <c r="I443" s="237">
        <v>50503</v>
      </c>
      <c r="J443" s="240" t="s">
        <v>3161</v>
      </c>
      <c r="K443" s="237">
        <v>17.989999999999998</v>
      </c>
      <c r="L443" s="237">
        <v>0</v>
      </c>
      <c r="M443" s="237">
        <v>0</v>
      </c>
      <c r="N443" s="237">
        <v>1</v>
      </c>
      <c r="O443" s="241">
        <f t="shared" si="2"/>
        <v>17.989999999999998</v>
      </c>
      <c r="P443" s="242">
        <f t="shared" si="3"/>
        <v>17.989999999999998</v>
      </c>
    </row>
    <row r="444" spans="1:16" ht="14.25">
      <c r="A444" s="224">
        <v>443</v>
      </c>
      <c r="B444" s="58">
        <v>3364</v>
      </c>
      <c r="C444" s="57" t="s">
        <v>2677</v>
      </c>
      <c r="D444" s="57" t="s">
        <v>45</v>
      </c>
      <c r="E444" s="57" t="s">
        <v>2556</v>
      </c>
      <c r="F444" s="233">
        <v>45780.895833333336</v>
      </c>
      <c r="G444" s="57">
        <v>3</v>
      </c>
      <c r="H444" s="57" t="s">
        <v>2557</v>
      </c>
      <c r="I444" s="58">
        <v>49195</v>
      </c>
      <c r="J444" s="234" t="s">
        <v>3162</v>
      </c>
      <c r="K444" s="58">
        <v>4.49</v>
      </c>
      <c r="L444" s="58">
        <v>0</v>
      </c>
      <c r="M444" s="58">
        <v>0</v>
      </c>
      <c r="N444" s="58">
        <v>1</v>
      </c>
      <c r="O444" s="224">
        <f t="shared" si="2"/>
        <v>4.49</v>
      </c>
      <c r="P444" s="227">
        <f t="shared" si="3"/>
        <v>4.49</v>
      </c>
    </row>
    <row r="445" spans="1:16" ht="14.25">
      <c r="A445" s="224">
        <v>444</v>
      </c>
      <c r="B445" s="58">
        <v>1560</v>
      </c>
      <c r="C445" s="57" t="s">
        <v>2630</v>
      </c>
      <c r="D445" s="57" t="s">
        <v>45</v>
      </c>
      <c r="E445" s="57" t="s">
        <v>2556</v>
      </c>
      <c r="F445" s="233">
        <v>45811.67291666667</v>
      </c>
      <c r="G445" s="57">
        <v>3</v>
      </c>
      <c r="H445" s="57" t="s">
        <v>2557</v>
      </c>
      <c r="I445" s="58">
        <v>50443</v>
      </c>
      <c r="J445" s="234" t="s">
        <v>3163</v>
      </c>
      <c r="K445" s="58">
        <v>2.99</v>
      </c>
      <c r="L445" s="58">
        <v>0</v>
      </c>
      <c r="M445" s="58">
        <v>0</v>
      </c>
      <c r="N445" s="58">
        <v>1</v>
      </c>
      <c r="O445" s="224">
        <f t="shared" si="2"/>
        <v>2.99</v>
      </c>
      <c r="P445" s="227">
        <f t="shared" si="3"/>
        <v>2.99</v>
      </c>
    </row>
    <row r="446" spans="1:16" ht="14.25">
      <c r="A446" s="224">
        <v>445</v>
      </c>
      <c r="B446" s="58">
        <v>1560</v>
      </c>
      <c r="C446" s="57" t="s">
        <v>2630</v>
      </c>
      <c r="D446" s="57" t="s">
        <v>45</v>
      </c>
      <c r="E446" s="57" t="s">
        <v>2556</v>
      </c>
      <c r="F446" s="233">
        <v>45811.67291666667</v>
      </c>
      <c r="G446" s="57">
        <v>3</v>
      </c>
      <c r="H446" s="57" t="s">
        <v>2557</v>
      </c>
      <c r="I446" s="58">
        <v>51403</v>
      </c>
      <c r="J446" s="234" t="s">
        <v>3164</v>
      </c>
      <c r="K446" s="58">
        <v>2.99</v>
      </c>
      <c r="L446" s="58">
        <v>0</v>
      </c>
      <c r="M446" s="58">
        <v>0</v>
      </c>
      <c r="N446" s="58">
        <v>1</v>
      </c>
      <c r="O446" s="224">
        <f t="shared" si="2"/>
        <v>2.99</v>
      </c>
      <c r="P446" s="227">
        <f t="shared" si="3"/>
        <v>2.99</v>
      </c>
    </row>
    <row r="447" spans="1:16" ht="14.25">
      <c r="A447" s="224">
        <v>446</v>
      </c>
      <c r="B447" s="58">
        <v>3265</v>
      </c>
      <c r="C447" s="57" t="s">
        <v>288</v>
      </c>
      <c r="D447" s="57" t="s">
        <v>45</v>
      </c>
      <c r="E447" s="57" t="s">
        <v>9</v>
      </c>
      <c r="F447" s="233">
        <v>45811.788888888892</v>
      </c>
      <c r="G447" s="57">
        <v>3</v>
      </c>
      <c r="H447" s="57" t="s">
        <v>2557</v>
      </c>
      <c r="I447" s="58">
        <v>46675</v>
      </c>
      <c r="J447" s="234" t="s">
        <v>396</v>
      </c>
      <c r="K447" s="58">
        <v>1.0900000000000001</v>
      </c>
      <c r="L447" s="58">
        <v>0.53</v>
      </c>
      <c r="M447" s="58">
        <v>0</v>
      </c>
      <c r="N447" s="58">
        <v>1</v>
      </c>
      <c r="O447" s="224">
        <f t="shared" si="2"/>
        <v>0.56000000000000005</v>
      </c>
      <c r="P447" s="227">
        <f t="shared" si="3"/>
        <v>0.56000000000000005</v>
      </c>
    </row>
    <row r="448" spans="1:16" ht="14.25">
      <c r="A448" s="224">
        <v>447</v>
      </c>
      <c r="B448" s="58">
        <v>19461</v>
      </c>
      <c r="C448" s="57" t="s">
        <v>3165</v>
      </c>
      <c r="D448" s="57" t="s">
        <v>45</v>
      </c>
      <c r="E448" s="57" t="s">
        <v>2556</v>
      </c>
      <c r="F448" s="233">
        <v>45811.853472222225</v>
      </c>
      <c r="G448" s="57">
        <v>3</v>
      </c>
      <c r="H448" s="57" t="s">
        <v>2557</v>
      </c>
      <c r="I448" s="58">
        <v>51547</v>
      </c>
      <c r="J448" s="234" t="s">
        <v>3166</v>
      </c>
      <c r="K448" s="58">
        <v>1.99</v>
      </c>
      <c r="L448" s="58">
        <v>0</v>
      </c>
      <c r="M448" s="58">
        <v>0</v>
      </c>
      <c r="N448" s="58">
        <v>1</v>
      </c>
      <c r="O448" s="224">
        <f t="shared" si="2"/>
        <v>1.99</v>
      </c>
      <c r="P448" s="227">
        <f t="shared" si="3"/>
        <v>1.99</v>
      </c>
    </row>
    <row r="449" spans="1:16" ht="14.25">
      <c r="A449" s="224">
        <v>448</v>
      </c>
      <c r="B449" s="58">
        <v>18125</v>
      </c>
      <c r="C449" s="57" t="s">
        <v>2905</v>
      </c>
      <c r="D449" s="57" t="s">
        <v>45</v>
      </c>
      <c r="E449" s="57" t="s">
        <v>2556</v>
      </c>
      <c r="F449" s="233">
        <v>45841.00277777778</v>
      </c>
      <c r="G449" s="57">
        <v>3</v>
      </c>
      <c r="H449" s="57" t="s">
        <v>2557</v>
      </c>
      <c r="I449" s="58">
        <v>49711</v>
      </c>
      <c r="J449" s="234" t="s">
        <v>3167</v>
      </c>
      <c r="K449" s="58">
        <v>3.99</v>
      </c>
      <c r="L449" s="58">
        <v>0</v>
      </c>
      <c r="M449" s="58">
        <v>0</v>
      </c>
      <c r="N449" s="58">
        <v>1</v>
      </c>
      <c r="O449" s="224">
        <f t="shared" si="2"/>
        <v>3.99</v>
      </c>
      <c r="P449" s="227">
        <f t="shared" si="3"/>
        <v>3.99</v>
      </c>
    </row>
    <row r="450" spans="1:16" ht="14.25">
      <c r="A450" s="224">
        <v>449</v>
      </c>
      <c r="B450" s="58">
        <v>17752</v>
      </c>
      <c r="C450" s="57" t="s">
        <v>2869</v>
      </c>
      <c r="D450" s="57" t="s">
        <v>45</v>
      </c>
      <c r="E450" s="57" t="s">
        <v>2556</v>
      </c>
      <c r="F450" s="233">
        <v>45841.138194444444</v>
      </c>
      <c r="G450" s="57">
        <v>3</v>
      </c>
      <c r="H450" s="57" t="s">
        <v>2557</v>
      </c>
      <c r="I450" s="58">
        <v>51559</v>
      </c>
      <c r="J450" s="234" t="s">
        <v>3168</v>
      </c>
      <c r="K450" s="58">
        <v>3.99</v>
      </c>
      <c r="L450" s="58">
        <v>0</v>
      </c>
      <c r="M450" s="58">
        <v>0</v>
      </c>
      <c r="N450" s="58">
        <v>1</v>
      </c>
      <c r="O450" s="224">
        <f t="shared" si="2"/>
        <v>3.99</v>
      </c>
      <c r="P450" s="227">
        <f t="shared" si="3"/>
        <v>3.99</v>
      </c>
    </row>
    <row r="451" spans="1:16" ht="14.25">
      <c r="A451" s="224">
        <v>450</v>
      </c>
      <c r="B451" s="58">
        <v>18156</v>
      </c>
      <c r="C451" s="57" t="s">
        <v>2918</v>
      </c>
      <c r="D451" s="57" t="s">
        <v>2582</v>
      </c>
      <c r="E451" s="57" t="s">
        <v>2556</v>
      </c>
      <c r="F451" s="233">
        <v>45841.63958333333</v>
      </c>
      <c r="G451" s="57">
        <v>3</v>
      </c>
      <c r="H451" s="57" t="s">
        <v>2557</v>
      </c>
      <c r="I451" s="58">
        <v>51367</v>
      </c>
      <c r="J451" s="234"/>
      <c r="K451" s="58">
        <v>600</v>
      </c>
      <c r="L451" s="58">
        <v>0</v>
      </c>
      <c r="M451" s="58">
        <v>0</v>
      </c>
      <c r="N451" s="58">
        <v>7.2477799999999997</v>
      </c>
      <c r="O451" s="224">
        <f t="shared" si="2"/>
        <v>600</v>
      </c>
      <c r="P451" s="227">
        <f t="shared" si="3"/>
        <v>82.783969712104948</v>
      </c>
    </row>
    <row r="452" spans="1:16" ht="14.25">
      <c r="A452" s="224">
        <v>451</v>
      </c>
      <c r="B452" s="58">
        <v>18156</v>
      </c>
      <c r="C452" s="57" t="s">
        <v>2918</v>
      </c>
      <c r="D452" s="57" t="s">
        <v>2582</v>
      </c>
      <c r="E452" s="57" t="s">
        <v>2556</v>
      </c>
      <c r="F452" s="233">
        <v>45841.64166666667</v>
      </c>
      <c r="G452" s="57">
        <v>3</v>
      </c>
      <c r="H452" s="57" t="s">
        <v>2557</v>
      </c>
      <c r="I452" s="58">
        <v>51715</v>
      </c>
      <c r="J452" s="234"/>
      <c r="K452" s="58">
        <v>300</v>
      </c>
      <c r="L452" s="58">
        <v>0</v>
      </c>
      <c r="M452" s="58">
        <v>0</v>
      </c>
      <c r="N452" s="58">
        <v>7.2477799999999997</v>
      </c>
      <c r="O452" s="224">
        <f t="shared" si="2"/>
        <v>300</v>
      </c>
      <c r="P452" s="227">
        <f t="shared" si="3"/>
        <v>41.391984856052474</v>
      </c>
    </row>
    <row r="453" spans="1:16" ht="14.25">
      <c r="A453" s="224">
        <v>452</v>
      </c>
      <c r="B453" s="58">
        <v>19514</v>
      </c>
      <c r="C453" s="57" t="s">
        <v>3169</v>
      </c>
      <c r="D453" s="57" t="s">
        <v>45</v>
      </c>
      <c r="E453" s="57" t="s">
        <v>2556</v>
      </c>
      <c r="F453" s="233">
        <v>45841.851388888892</v>
      </c>
      <c r="G453" s="57">
        <v>3</v>
      </c>
      <c r="H453" s="57" t="s">
        <v>2557</v>
      </c>
      <c r="I453" s="58">
        <v>51727</v>
      </c>
      <c r="J453" s="234" t="s">
        <v>3170</v>
      </c>
      <c r="K453" s="58">
        <v>1.99</v>
      </c>
      <c r="L453" s="58">
        <v>0</v>
      </c>
      <c r="M453" s="58">
        <v>0</v>
      </c>
      <c r="N453" s="58">
        <v>1</v>
      </c>
      <c r="O453" s="224">
        <f t="shared" si="2"/>
        <v>1.99</v>
      </c>
      <c r="P453" s="227">
        <f t="shared" si="3"/>
        <v>1.99</v>
      </c>
    </row>
    <row r="454" spans="1:16" ht="14.25">
      <c r="A454" s="224">
        <v>453</v>
      </c>
      <c r="B454" s="58">
        <v>19542</v>
      </c>
      <c r="C454" s="57" t="s">
        <v>3171</v>
      </c>
      <c r="D454" s="57" t="s">
        <v>45</v>
      </c>
      <c r="E454" s="57" t="s">
        <v>2556</v>
      </c>
      <c r="F454" s="233">
        <v>45872</v>
      </c>
      <c r="G454" s="57">
        <v>3</v>
      </c>
      <c r="H454" s="57" t="s">
        <v>2557</v>
      </c>
      <c r="I454" s="58">
        <v>51751</v>
      </c>
      <c r="J454" s="234"/>
      <c r="K454" s="58">
        <v>0</v>
      </c>
      <c r="L454" s="58">
        <v>0</v>
      </c>
      <c r="M454" s="58">
        <v>0</v>
      </c>
      <c r="N454" s="58">
        <v>1</v>
      </c>
      <c r="O454" s="224">
        <f t="shared" si="2"/>
        <v>0</v>
      </c>
      <c r="P454" s="227">
        <f t="shared" si="3"/>
        <v>0</v>
      </c>
    </row>
    <row r="455" spans="1:16" ht="14.25">
      <c r="A455" s="224">
        <v>454</v>
      </c>
      <c r="B455" s="58">
        <v>19554</v>
      </c>
      <c r="C455" s="57" t="s">
        <v>3172</v>
      </c>
      <c r="D455" s="57" t="s">
        <v>45</v>
      </c>
      <c r="E455" s="57" t="s">
        <v>2572</v>
      </c>
      <c r="F455" s="233">
        <v>45872</v>
      </c>
      <c r="G455" s="57">
        <v>3</v>
      </c>
      <c r="H455" s="57" t="s">
        <v>2557</v>
      </c>
      <c r="I455" s="58">
        <v>52003</v>
      </c>
      <c r="J455" s="234"/>
      <c r="K455" s="58">
        <v>0</v>
      </c>
      <c r="L455" s="58">
        <v>0</v>
      </c>
      <c r="M455" s="58">
        <v>0</v>
      </c>
      <c r="N455" s="58">
        <v>1</v>
      </c>
      <c r="O455" s="224">
        <f t="shared" si="2"/>
        <v>0</v>
      </c>
      <c r="P455" s="227">
        <f t="shared" si="3"/>
        <v>0</v>
      </c>
    </row>
    <row r="456" spans="1:16" ht="14.25">
      <c r="A456" s="224">
        <v>455</v>
      </c>
      <c r="B456" s="58">
        <v>6436</v>
      </c>
      <c r="C456" s="57" t="s">
        <v>3173</v>
      </c>
      <c r="D456" s="57" t="s">
        <v>2582</v>
      </c>
      <c r="E456" s="57" t="s">
        <v>2556</v>
      </c>
      <c r="F456" s="233">
        <v>45872</v>
      </c>
      <c r="G456" s="57">
        <v>3</v>
      </c>
      <c r="H456" s="57" t="s">
        <v>2557</v>
      </c>
      <c r="I456" s="58">
        <v>51979</v>
      </c>
      <c r="J456" s="234"/>
      <c r="K456" s="58">
        <v>0</v>
      </c>
      <c r="L456" s="58">
        <v>0</v>
      </c>
      <c r="M456" s="58">
        <v>0</v>
      </c>
      <c r="N456" s="58">
        <v>7.2359799999999996</v>
      </c>
      <c r="O456" s="224">
        <f t="shared" si="2"/>
        <v>0</v>
      </c>
      <c r="P456" s="227">
        <f t="shared" si="3"/>
        <v>0</v>
      </c>
    </row>
    <row r="457" spans="1:16" ht="14.25">
      <c r="A457" s="224">
        <v>456</v>
      </c>
      <c r="B457" s="58">
        <v>19553</v>
      </c>
      <c r="C457" s="57" t="s">
        <v>3174</v>
      </c>
      <c r="D457" s="57" t="s">
        <v>45</v>
      </c>
      <c r="E457" s="57" t="s">
        <v>2556</v>
      </c>
      <c r="F457" s="233">
        <v>45872.715277777781</v>
      </c>
      <c r="G457" s="57">
        <v>3</v>
      </c>
      <c r="H457" s="57" t="s">
        <v>2557</v>
      </c>
      <c r="I457" s="58">
        <v>51991</v>
      </c>
      <c r="J457" s="234" t="s">
        <v>3175</v>
      </c>
      <c r="K457" s="58">
        <v>3.99</v>
      </c>
      <c r="L457" s="58">
        <v>0</v>
      </c>
      <c r="M457" s="58">
        <v>0</v>
      </c>
      <c r="N457" s="58">
        <v>1</v>
      </c>
      <c r="O457" s="224">
        <f t="shared" si="2"/>
        <v>3.99</v>
      </c>
      <c r="P457" s="227">
        <f t="shared" si="3"/>
        <v>3.99</v>
      </c>
    </row>
    <row r="458" spans="1:16" ht="14.25">
      <c r="A458" s="224">
        <v>457</v>
      </c>
      <c r="B458" s="58">
        <v>19592</v>
      </c>
      <c r="C458" s="57" t="s">
        <v>3176</v>
      </c>
      <c r="D458" s="57" t="s">
        <v>2582</v>
      </c>
      <c r="E458" s="57" t="s">
        <v>2556</v>
      </c>
      <c r="F458" s="233">
        <v>45903.693055555559</v>
      </c>
      <c r="G458" s="57">
        <v>3</v>
      </c>
      <c r="H458" s="57" t="s">
        <v>2557</v>
      </c>
      <c r="I458" s="58">
        <v>52111</v>
      </c>
      <c r="J458" s="234" t="s">
        <v>3177</v>
      </c>
      <c r="K458" s="58">
        <v>14.4</v>
      </c>
      <c r="L458" s="58">
        <v>0</v>
      </c>
      <c r="M458" s="58">
        <v>0</v>
      </c>
      <c r="N458" s="58">
        <v>7.2359799999999996</v>
      </c>
      <c r="O458" s="224">
        <f t="shared" si="2"/>
        <v>14.4</v>
      </c>
      <c r="P458" s="227">
        <f t="shared" si="3"/>
        <v>1.9900552516728904</v>
      </c>
    </row>
    <row r="459" spans="1:16" ht="14.25">
      <c r="A459" s="224">
        <v>458</v>
      </c>
      <c r="B459" s="58">
        <v>8106</v>
      </c>
      <c r="C459" s="57" t="s">
        <v>2740</v>
      </c>
      <c r="D459" s="57" t="s">
        <v>45</v>
      </c>
      <c r="E459" s="57" t="s">
        <v>2556</v>
      </c>
      <c r="F459" s="233">
        <v>45933.417361111111</v>
      </c>
      <c r="G459" s="57">
        <v>3</v>
      </c>
      <c r="H459" s="57" t="s">
        <v>2557</v>
      </c>
      <c r="I459" s="58">
        <v>49183</v>
      </c>
      <c r="J459" s="234" t="s">
        <v>3178</v>
      </c>
      <c r="K459" s="58">
        <v>4.49</v>
      </c>
      <c r="L459" s="58">
        <v>0</v>
      </c>
      <c r="M459" s="58">
        <v>0</v>
      </c>
      <c r="N459" s="58">
        <v>1</v>
      </c>
      <c r="O459" s="224">
        <f t="shared" si="2"/>
        <v>4.49</v>
      </c>
      <c r="P459" s="227">
        <f t="shared" si="3"/>
        <v>4.49</v>
      </c>
    </row>
    <row r="460" spans="1:16" ht="14.25">
      <c r="A460" s="224">
        <v>459</v>
      </c>
      <c r="B460" s="58">
        <v>3867</v>
      </c>
      <c r="C460" s="57" t="s">
        <v>2598</v>
      </c>
      <c r="D460" s="57" t="s">
        <v>45</v>
      </c>
      <c r="E460" s="57" t="s">
        <v>2556</v>
      </c>
      <c r="F460" s="233">
        <v>45933.422222222223</v>
      </c>
      <c r="G460" s="57">
        <v>3</v>
      </c>
      <c r="H460" s="57" t="s">
        <v>2557</v>
      </c>
      <c r="I460" s="58">
        <v>51655</v>
      </c>
      <c r="J460" s="234" t="s">
        <v>3179</v>
      </c>
      <c r="K460" s="58">
        <v>1.19</v>
      </c>
      <c r="L460" s="58">
        <v>0</v>
      </c>
      <c r="M460" s="58">
        <v>0</v>
      </c>
      <c r="N460" s="58">
        <v>1</v>
      </c>
      <c r="O460" s="224">
        <f t="shared" si="2"/>
        <v>1.19</v>
      </c>
      <c r="P460" s="227">
        <f t="shared" si="3"/>
        <v>1.19</v>
      </c>
    </row>
    <row r="461" spans="1:16" ht="14.25">
      <c r="A461" s="224">
        <v>460</v>
      </c>
      <c r="B461" s="58">
        <v>19625</v>
      </c>
      <c r="C461" s="57" t="s">
        <v>3180</v>
      </c>
      <c r="D461" s="57" t="s">
        <v>2582</v>
      </c>
      <c r="E461" s="57" t="s">
        <v>2556</v>
      </c>
      <c r="F461" s="233">
        <v>45933.644444444442</v>
      </c>
      <c r="G461" s="57">
        <v>3</v>
      </c>
      <c r="H461" s="57" t="s">
        <v>2557</v>
      </c>
      <c r="I461" s="58">
        <v>52183</v>
      </c>
      <c r="J461" s="234" t="s">
        <v>3181</v>
      </c>
      <c r="K461" s="58">
        <v>21.64</v>
      </c>
      <c r="L461" s="58">
        <v>0</v>
      </c>
      <c r="M461" s="58">
        <v>0</v>
      </c>
      <c r="N461" s="58">
        <v>7.2359799999999996</v>
      </c>
      <c r="O461" s="224">
        <f t="shared" si="2"/>
        <v>21.64</v>
      </c>
      <c r="P461" s="227">
        <f t="shared" si="3"/>
        <v>2.9906108087639822</v>
      </c>
    </row>
    <row r="462" spans="1:16" ht="14.25">
      <c r="A462" s="224">
        <v>461</v>
      </c>
      <c r="B462" s="58">
        <v>19629</v>
      </c>
      <c r="C462" s="57" t="s">
        <v>3182</v>
      </c>
      <c r="D462" s="57" t="s">
        <v>45</v>
      </c>
      <c r="E462" s="57" t="s">
        <v>9</v>
      </c>
      <c r="F462" s="233">
        <v>45933.724999999999</v>
      </c>
      <c r="G462" s="57">
        <v>3</v>
      </c>
      <c r="H462" s="57" t="s">
        <v>2557</v>
      </c>
      <c r="I462" s="58">
        <v>52195</v>
      </c>
      <c r="J462" s="234" t="s">
        <v>400</v>
      </c>
      <c r="K462" s="58">
        <v>4.79</v>
      </c>
      <c r="L462" s="58">
        <v>0.73</v>
      </c>
      <c r="M462" s="58">
        <v>0</v>
      </c>
      <c r="N462" s="58">
        <v>1</v>
      </c>
      <c r="O462" s="224">
        <f t="shared" si="2"/>
        <v>4.0600000000000005</v>
      </c>
      <c r="P462" s="227">
        <f t="shared" si="3"/>
        <v>4.0600000000000005</v>
      </c>
    </row>
    <row r="463" spans="1:16" ht="14.25">
      <c r="A463" s="224">
        <v>462</v>
      </c>
      <c r="B463" s="58">
        <v>6024</v>
      </c>
      <c r="C463" s="57" t="s">
        <v>3183</v>
      </c>
      <c r="D463" s="57" t="s">
        <v>45</v>
      </c>
      <c r="E463" s="57" t="s">
        <v>2556</v>
      </c>
      <c r="F463" s="233">
        <v>45964.302083333336</v>
      </c>
      <c r="G463" s="57">
        <v>3</v>
      </c>
      <c r="H463" s="57" t="s">
        <v>2557</v>
      </c>
      <c r="I463" s="58">
        <v>52207</v>
      </c>
      <c r="J463" s="234" t="s">
        <v>3184</v>
      </c>
      <c r="K463" s="58">
        <v>4.1900000000000004</v>
      </c>
      <c r="L463" s="58">
        <v>0</v>
      </c>
      <c r="M463" s="58">
        <v>0</v>
      </c>
      <c r="N463" s="58">
        <v>1</v>
      </c>
      <c r="O463" s="224">
        <f t="shared" si="2"/>
        <v>4.1900000000000004</v>
      </c>
      <c r="P463" s="227">
        <f t="shared" si="3"/>
        <v>4.1900000000000004</v>
      </c>
    </row>
    <row r="464" spans="1:16" ht="14.25">
      <c r="A464" s="224">
        <v>463</v>
      </c>
      <c r="B464" s="58">
        <v>19652</v>
      </c>
      <c r="C464" s="57" t="s">
        <v>3185</v>
      </c>
      <c r="D464" s="57" t="s">
        <v>45</v>
      </c>
      <c r="E464" s="57" t="s">
        <v>2556</v>
      </c>
      <c r="F464" s="233">
        <v>45964.328472222223</v>
      </c>
      <c r="G464" s="57">
        <v>3</v>
      </c>
      <c r="H464" s="57" t="s">
        <v>2557</v>
      </c>
      <c r="I464" s="58">
        <v>52219</v>
      </c>
      <c r="J464" s="234" t="s">
        <v>3186</v>
      </c>
      <c r="K464" s="58">
        <v>3.99</v>
      </c>
      <c r="L464" s="58">
        <v>0</v>
      </c>
      <c r="M464" s="58">
        <v>0</v>
      </c>
      <c r="N464" s="58">
        <v>1</v>
      </c>
      <c r="O464" s="224">
        <f t="shared" si="2"/>
        <v>3.99</v>
      </c>
      <c r="P464" s="227">
        <f t="shared" si="3"/>
        <v>3.99</v>
      </c>
    </row>
    <row r="465" spans="1:16" ht="14.25">
      <c r="A465" s="224">
        <v>464</v>
      </c>
      <c r="B465" s="58">
        <v>36</v>
      </c>
      <c r="C465" s="57" t="s">
        <v>2646</v>
      </c>
      <c r="D465" s="57" t="s">
        <v>45</v>
      </c>
      <c r="E465" s="57" t="s">
        <v>2572</v>
      </c>
      <c r="F465" s="233">
        <v>45964.51666666667</v>
      </c>
      <c r="G465" s="57">
        <v>3</v>
      </c>
      <c r="H465" s="57" t="s">
        <v>2557</v>
      </c>
      <c r="I465" s="58">
        <v>49771</v>
      </c>
      <c r="J465" s="234"/>
      <c r="K465" s="58">
        <v>600</v>
      </c>
      <c r="L465" s="58">
        <v>0</v>
      </c>
      <c r="M465" s="58">
        <v>0</v>
      </c>
      <c r="N465" s="58">
        <v>1</v>
      </c>
      <c r="O465" s="224">
        <f t="shared" si="2"/>
        <v>600</v>
      </c>
      <c r="P465" s="227">
        <f t="shared" si="3"/>
        <v>600</v>
      </c>
    </row>
    <row r="466" spans="1:16" ht="14.25">
      <c r="A466" s="224">
        <v>465</v>
      </c>
      <c r="B466" s="58">
        <v>4570</v>
      </c>
      <c r="C466" s="57" t="s">
        <v>3187</v>
      </c>
      <c r="D466" s="57" t="s">
        <v>2582</v>
      </c>
      <c r="E466" s="57" t="s">
        <v>2556</v>
      </c>
      <c r="F466" s="233">
        <v>45964.550694444442</v>
      </c>
      <c r="G466" s="57">
        <v>3</v>
      </c>
      <c r="H466" s="57" t="s">
        <v>2557</v>
      </c>
      <c r="I466" s="58">
        <v>52303</v>
      </c>
      <c r="J466" s="234" t="s">
        <v>3188</v>
      </c>
      <c r="K466" s="58">
        <v>21.63</v>
      </c>
      <c r="L466" s="58">
        <v>0</v>
      </c>
      <c r="M466" s="58">
        <v>0</v>
      </c>
      <c r="N466" s="58">
        <v>7.2584600000000004</v>
      </c>
      <c r="O466" s="224">
        <f t="shared" si="2"/>
        <v>21.63</v>
      </c>
      <c r="P466" s="227">
        <f t="shared" si="3"/>
        <v>2.9799709580269091</v>
      </c>
    </row>
    <row r="467" spans="1:16" ht="14.25">
      <c r="A467" s="224">
        <v>466</v>
      </c>
      <c r="B467" s="58">
        <v>1836</v>
      </c>
      <c r="C467" s="57" t="s">
        <v>2598</v>
      </c>
      <c r="D467" s="57" t="s">
        <v>2582</v>
      </c>
      <c r="E467" s="57" t="s">
        <v>2556</v>
      </c>
      <c r="F467" s="233">
        <v>45964.67083333333</v>
      </c>
      <c r="G467" s="57">
        <v>3</v>
      </c>
      <c r="H467" s="57" t="s">
        <v>2557</v>
      </c>
      <c r="I467" s="58">
        <v>52315</v>
      </c>
      <c r="J467" s="234" t="s">
        <v>3189</v>
      </c>
      <c r="K467" s="58">
        <v>217.68</v>
      </c>
      <c r="L467" s="58">
        <v>0</v>
      </c>
      <c r="M467" s="58">
        <v>0</v>
      </c>
      <c r="N467" s="58">
        <v>7.2584600000000004</v>
      </c>
      <c r="O467" s="224">
        <f t="shared" si="2"/>
        <v>217.68</v>
      </c>
      <c r="P467" s="227">
        <f t="shared" si="3"/>
        <v>29.989832554012835</v>
      </c>
    </row>
    <row r="468" spans="1:16" ht="14.25">
      <c r="A468" s="224">
        <v>467</v>
      </c>
      <c r="B468" s="58">
        <v>19676</v>
      </c>
      <c r="C468" s="57" t="s">
        <v>3190</v>
      </c>
      <c r="D468" s="57" t="s">
        <v>45</v>
      </c>
      <c r="E468" s="57" t="s">
        <v>2556</v>
      </c>
      <c r="F468" s="233">
        <v>45964.893055555556</v>
      </c>
      <c r="G468" s="57">
        <v>3</v>
      </c>
      <c r="H468" s="57" t="s">
        <v>2557</v>
      </c>
      <c r="I468" s="58">
        <v>52327</v>
      </c>
      <c r="J468" s="234" t="s">
        <v>3191</v>
      </c>
      <c r="K468" s="58">
        <v>3.99</v>
      </c>
      <c r="L468" s="58">
        <v>0</v>
      </c>
      <c r="M468" s="58">
        <v>0</v>
      </c>
      <c r="N468" s="58">
        <v>1</v>
      </c>
      <c r="O468" s="224">
        <f t="shared" si="2"/>
        <v>3.99</v>
      </c>
      <c r="P468" s="227">
        <f t="shared" si="3"/>
        <v>3.99</v>
      </c>
    </row>
    <row r="469" spans="1:16" ht="14.25">
      <c r="A469" s="224">
        <v>468</v>
      </c>
      <c r="B469" s="58">
        <v>392</v>
      </c>
      <c r="C469" s="57" t="s">
        <v>2876</v>
      </c>
      <c r="D469" s="57" t="s">
        <v>2582</v>
      </c>
      <c r="E469" s="57" t="s">
        <v>2556</v>
      </c>
      <c r="F469" s="233">
        <v>45964.928472222222</v>
      </c>
      <c r="G469" s="57">
        <v>3</v>
      </c>
      <c r="H469" s="57" t="s">
        <v>2557</v>
      </c>
      <c r="I469" s="58">
        <v>49927</v>
      </c>
      <c r="J469" s="234" t="s">
        <v>3192</v>
      </c>
      <c r="K469" s="58">
        <v>7.77</v>
      </c>
      <c r="L469" s="58">
        <v>0</v>
      </c>
      <c r="M469" s="58">
        <v>0</v>
      </c>
      <c r="N469" s="58">
        <v>7.2584600000000004</v>
      </c>
      <c r="O469" s="224">
        <f t="shared" si="2"/>
        <v>7.77</v>
      </c>
      <c r="P469" s="227">
        <f t="shared" si="3"/>
        <v>1.0704750043397635</v>
      </c>
    </row>
    <row r="470" spans="1:16" ht="14.25">
      <c r="A470" s="224">
        <v>469</v>
      </c>
      <c r="B470" s="58">
        <v>18795</v>
      </c>
      <c r="C470" s="57" t="s">
        <v>3041</v>
      </c>
      <c r="D470" s="57" t="s">
        <v>2582</v>
      </c>
      <c r="E470" s="57" t="s">
        <v>2556</v>
      </c>
      <c r="F470" s="233">
        <v>45964.988888888889</v>
      </c>
      <c r="G470" s="57">
        <v>3</v>
      </c>
      <c r="H470" s="57" t="s">
        <v>2557</v>
      </c>
      <c r="I470" s="58">
        <v>52339</v>
      </c>
      <c r="J470" s="234" t="s">
        <v>3193</v>
      </c>
      <c r="K470" s="58">
        <v>21.85</v>
      </c>
      <c r="L470" s="58">
        <v>0</v>
      </c>
      <c r="M470" s="58">
        <v>0</v>
      </c>
      <c r="N470" s="58">
        <v>7.2584600000000004</v>
      </c>
      <c r="O470" s="224">
        <f t="shared" si="2"/>
        <v>21.85</v>
      </c>
      <c r="P470" s="227">
        <f t="shared" si="3"/>
        <v>3.0102804176092448</v>
      </c>
    </row>
    <row r="471" spans="1:16" ht="14.25">
      <c r="A471" s="224">
        <v>470</v>
      </c>
      <c r="B471" s="58">
        <v>1836</v>
      </c>
      <c r="C471" s="57" t="s">
        <v>2598</v>
      </c>
      <c r="D471" s="57" t="s">
        <v>2582</v>
      </c>
      <c r="E471" s="57" t="s">
        <v>2556</v>
      </c>
      <c r="F471" s="233">
        <v>45994.798611111109</v>
      </c>
      <c r="G471" s="57">
        <v>3</v>
      </c>
      <c r="H471" s="57" t="s">
        <v>2557</v>
      </c>
      <c r="I471" s="58">
        <v>52387</v>
      </c>
      <c r="J471" s="234" t="s">
        <v>3194</v>
      </c>
      <c r="K471" s="58">
        <v>157.11000000000001</v>
      </c>
      <c r="L471" s="58">
        <v>0</v>
      </c>
      <c r="M471" s="58">
        <v>0</v>
      </c>
      <c r="N471" s="58">
        <v>7.2332299999999998</v>
      </c>
      <c r="O471" s="224">
        <f t="shared" si="2"/>
        <v>157.11000000000001</v>
      </c>
      <c r="P471" s="227">
        <f t="shared" si="3"/>
        <v>21.720586791792879</v>
      </c>
    </row>
    <row r="472" spans="1:16" ht="14.25">
      <c r="A472" s="224">
        <v>471</v>
      </c>
      <c r="B472" s="58">
        <v>1836</v>
      </c>
      <c r="C472" s="57" t="s">
        <v>2598</v>
      </c>
      <c r="D472" s="57" t="s">
        <v>2582</v>
      </c>
      <c r="E472" s="57" t="s">
        <v>2556</v>
      </c>
      <c r="F472" s="233">
        <v>45994.8</v>
      </c>
      <c r="G472" s="57">
        <v>3</v>
      </c>
      <c r="H472" s="57" t="s">
        <v>2557</v>
      </c>
      <c r="I472" s="58">
        <v>52387</v>
      </c>
      <c r="J472" s="234"/>
      <c r="K472" s="58">
        <v>0.01</v>
      </c>
      <c r="L472" s="58">
        <v>0</v>
      </c>
      <c r="M472" s="58">
        <v>0</v>
      </c>
      <c r="N472" s="58">
        <v>7.2332299999999998</v>
      </c>
      <c r="O472" s="224">
        <f t="shared" si="2"/>
        <v>0.01</v>
      </c>
      <c r="P472" s="227">
        <f t="shared" si="3"/>
        <v>1.3825082293802355E-3</v>
      </c>
    </row>
    <row r="473" spans="1:16" ht="14.25">
      <c r="A473" s="224">
        <v>472</v>
      </c>
      <c r="B473" s="58">
        <v>3499</v>
      </c>
      <c r="C473" s="57" t="s">
        <v>2641</v>
      </c>
      <c r="D473" s="57" t="s">
        <v>45</v>
      </c>
      <c r="E473" s="57" t="s">
        <v>2556</v>
      </c>
      <c r="F473" s="233">
        <v>45994.847916666666</v>
      </c>
      <c r="G473" s="57">
        <v>3</v>
      </c>
      <c r="H473" s="57" t="s">
        <v>2557</v>
      </c>
      <c r="I473" s="58">
        <v>52375</v>
      </c>
      <c r="J473" s="234" t="s">
        <v>3195</v>
      </c>
      <c r="K473" s="58">
        <v>1.0900000000000001</v>
      </c>
      <c r="L473" s="58">
        <v>0</v>
      </c>
      <c r="M473" s="58">
        <v>0</v>
      </c>
      <c r="N473" s="58">
        <v>1</v>
      </c>
      <c r="O473" s="224">
        <f t="shared" si="2"/>
        <v>1.0900000000000001</v>
      </c>
      <c r="P473" s="227">
        <f t="shared" si="3"/>
        <v>1.0900000000000001</v>
      </c>
    </row>
    <row r="474" spans="1:16" ht="14.25">
      <c r="A474" s="224">
        <v>473</v>
      </c>
      <c r="B474" s="58">
        <v>1583</v>
      </c>
      <c r="C474" s="57" t="s">
        <v>2900</v>
      </c>
      <c r="D474" s="57" t="s">
        <v>2582</v>
      </c>
      <c r="E474" s="57" t="s">
        <v>2556</v>
      </c>
      <c r="F474" s="233">
        <v>45994.870138888888</v>
      </c>
      <c r="G474" s="57">
        <v>3</v>
      </c>
      <c r="H474" s="57" t="s">
        <v>2557</v>
      </c>
      <c r="I474" s="58">
        <v>50275</v>
      </c>
      <c r="J474" s="234" t="s">
        <v>3196</v>
      </c>
      <c r="K474" s="58">
        <v>254.97</v>
      </c>
      <c r="L474" s="58">
        <v>0</v>
      </c>
      <c r="M474" s="58">
        <v>0</v>
      </c>
      <c r="N474" s="58">
        <v>7.2332299999999998</v>
      </c>
      <c r="O474" s="224">
        <f t="shared" si="2"/>
        <v>254.97</v>
      </c>
      <c r="P474" s="227">
        <f t="shared" si="3"/>
        <v>35.249812324507865</v>
      </c>
    </row>
    <row r="475" spans="1:16" ht="14.25">
      <c r="A475" s="224">
        <v>474</v>
      </c>
      <c r="B475" s="58">
        <v>19811</v>
      </c>
      <c r="C475" s="57" t="s">
        <v>3197</v>
      </c>
      <c r="D475" s="57" t="s">
        <v>45</v>
      </c>
      <c r="E475" s="57" t="s">
        <v>2556</v>
      </c>
      <c r="F475" s="58" t="s">
        <v>3198</v>
      </c>
      <c r="G475" s="57">
        <v>3</v>
      </c>
      <c r="H475" s="57" t="s">
        <v>2557</v>
      </c>
      <c r="I475" s="58">
        <v>52579</v>
      </c>
      <c r="J475" s="234" t="s">
        <v>3199</v>
      </c>
      <c r="K475" s="58">
        <v>4.79</v>
      </c>
      <c r="L475" s="58">
        <v>0</v>
      </c>
      <c r="M475" s="58">
        <v>0</v>
      </c>
      <c r="N475" s="58">
        <v>1</v>
      </c>
      <c r="O475" s="224">
        <f t="shared" si="2"/>
        <v>4.79</v>
      </c>
      <c r="P475" s="227">
        <f t="shared" si="3"/>
        <v>4.79</v>
      </c>
    </row>
    <row r="476" spans="1:16" ht="14.25">
      <c r="A476" s="224">
        <v>475</v>
      </c>
      <c r="B476" s="58">
        <v>19829</v>
      </c>
      <c r="C476" s="57" t="s">
        <v>3200</v>
      </c>
      <c r="D476" s="57" t="s">
        <v>45</v>
      </c>
      <c r="E476" s="57" t="s">
        <v>2556</v>
      </c>
      <c r="F476" s="58" t="s">
        <v>3201</v>
      </c>
      <c r="G476" s="57">
        <v>3</v>
      </c>
      <c r="H476" s="57" t="s">
        <v>2557</v>
      </c>
      <c r="I476" s="58">
        <v>52591</v>
      </c>
      <c r="J476" s="234" t="s">
        <v>3202</v>
      </c>
      <c r="K476" s="58">
        <v>3.99</v>
      </c>
      <c r="L476" s="58">
        <v>0</v>
      </c>
      <c r="M476" s="58">
        <v>0</v>
      </c>
      <c r="N476" s="58">
        <v>1</v>
      </c>
      <c r="O476" s="224">
        <f t="shared" si="2"/>
        <v>3.99</v>
      </c>
      <c r="P476" s="227">
        <f t="shared" si="3"/>
        <v>3.99</v>
      </c>
    </row>
    <row r="477" spans="1:16" ht="14.25">
      <c r="A477" s="224">
        <v>476</v>
      </c>
      <c r="B477" s="58">
        <v>18887</v>
      </c>
      <c r="C477" s="57" t="s">
        <v>2606</v>
      </c>
      <c r="D477" s="57" t="s">
        <v>45</v>
      </c>
      <c r="E477" s="57" t="s">
        <v>2556</v>
      </c>
      <c r="F477" s="58" t="s">
        <v>3203</v>
      </c>
      <c r="G477" s="57">
        <v>3</v>
      </c>
      <c r="H477" s="57" t="s">
        <v>2557</v>
      </c>
      <c r="I477" s="58">
        <v>52159</v>
      </c>
      <c r="J477" s="234" t="s">
        <v>3204</v>
      </c>
      <c r="K477" s="58">
        <v>1.19</v>
      </c>
      <c r="L477" s="58">
        <v>0</v>
      </c>
      <c r="M477" s="58">
        <v>0</v>
      </c>
      <c r="N477" s="58">
        <v>1</v>
      </c>
      <c r="O477" s="224">
        <f t="shared" si="2"/>
        <v>1.19</v>
      </c>
      <c r="P477" s="227">
        <f t="shared" si="3"/>
        <v>1.19</v>
      </c>
    </row>
    <row r="478" spans="1:16" ht="14.25">
      <c r="A478" s="224">
        <v>477</v>
      </c>
      <c r="B478" s="58">
        <v>1583</v>
      </c>
      <c r="C478" s="57" t="s">
        <v>2900</v>
      </c>
      <c r="D478" s="57" t="s">
        <v>2582</v>
      </c>
      <c r="E478" s="57" t="s">
        <v>2556</v>
      </c>
      <c r="F478" s="58" t="s">
        <v>3205</v>
      </c>
      <c r="G478" s="57">
        <v>3</v>
      </c>
      <c r="H478" s="57" t="s">
        <v>2557</v>
      </c>
      <c r="I478" s="58">
        <v>50275</v>
      </c>
      <c r="J478" s="234"/>
      <c r="K478" s="58">
        <v>0.02</v>
      </c>
      <c r="L478" s="58">
        <v>0</v>
      </c>
      <c r="M478" s="58">
        <v>0</v>
      </c>
      <c r="N478" s="58">
        <v>7.2430599999999998</v>
      </c>
      <c r="O478" s="224">
        <f t="shared" si="2"/>
        <v>0.02</v>
      </c>
      <c r="P478" s="227">
        <f t="shared" si="3"/>
        <v>2.7612638857057652E-3</v>
      </c>
    </row>
    <row r="479" spans="1:16" ht="14.25">
      <c r="A479" s="224">
        <v>478</v>
      </c>
      <c r="B479" s="58">
        <v>254</v>
      </c>
      <c r="C479" s="57" t="s">
        <v>2751</v>
      </c>
      <c r="D479" s="57" t="s">
        <v>2582</v>
      </c>
      <c r="E479" s="57" t="s">
        <v>2556</v>
      </c>
      <c r="F479" s="58" t="s">
        <v>3206</v>
      </c>
      <c r="G479" s="57">
        <v>3</v>
      </c>
      <c r="H479" s="57" t="s">
        <v>2557</v>
      </c>
      <c r="I479" s="58">
        <v>50719</v>
      </c>
      <c r="J479" s="234" t="s">
        <v>3207</v>
      </c>
      <c r="K479" s="58">
        <v>7.75</v>
      </c>
      <c r="L479" s="58">
        <v>0</v>
      </c>
      <c r="M479" s="58">
        <v>0</v>
      </c>
      <c r="N479" s="58">
        <v>7.2430599999999998</v>
      </c>
      <c r="O479" s="224">
        <f t="shared" si="2"/>
        <v>7.75</v>
      </c>
      <c r="P479" s="227">
        <f t="shared" si="3"/>
        <v>1.0699897557109841</v>
      </c>
    </row>
    <row r="480" spans="1:16" ht="14.25">
      <c r="A480" s="224">
        <v>479</v>
      </c>
      <c r="B480" s="58">
        <v>4570</v>
      </c>
      <c r="C480" s="57" t="s">
        <v>3187</v>
      </c>
      <c r="D480" s="57" t="s">
        <v>2582</v>
      </c>
      <c r="E480" s="57" t="s">
        <v>2556</v>
      </c>
      <c r="F480" s="58" t="s">
        <v>3208</v>
      </c>
      <c r="G480" s="57">
        <v>3</v>
      </c>
      <c r="H480" s="57" t="s">
        <v>2557</v>
      </c>
      <c r="I480" s="58">
        <v>52303</v>
      </c>
      <c r="J480" s="234"/>
      <c r="K480" s="58">
        <v>0.03</v>
      </c>
      <c r="L480" s="58">
        <v>0</v>
      </c>
      <c r="M480" s="58">
        <v>0</v>
      </c>
      <c r="N480" s="58">
        <v>7.2430599999999998</v>
      </c>
      <c r="O480" s="224">
        <f t="shared" si="2"/>
        <v>0.03</v>
      </c>
      <c r="P480" s="227">
        <f t="shared" si="3"/>
        <v>4.1418958285586475E-3</v>
      </c>
    </row>
    <row r="481" spans="1:16" ht="14.25">
      <c r="A481" s="224">
        <v>480</v>
      </c>
      <c r="B481" s="58">
        <v>19840</v>
      </c>
      <c r="C481" s="57" t="s">
        <v>3209</v>
      </c>
      <c r="D481" s="57" t="s">
        <v>2582</v>
      </c>
      <c r="E481" s="57" t="s">
        <v>2556</v>
      </c>
      <c r="F481" s="58" t="s">
        <v>3210</v>
      </c>
      <c r="G481" s="57">
        <v>3</v>
      </c>
      <c r="H481" s="57" t="s">
        <v>2557</v>
      </c>
      <c r="I481" s="58">
        <v>52639</v>
      </c>
      <c r="J481" s="234" t="s">
        <v>3211</v>
      </c>
      <c r="K481" s="58">
        <v>34.69</v>
      </c>
      <c r="L481" s="58">
        <v>0</v>
      </c>
      <c r="M481" s="58">
        <v>0</v>
      </c>
      <c r="N481" s="58">
        <v>7.2430599999999998</v>
      </c>
      <c r="O481" s="224">
        <f t="shared" si="2"/>
        <v>34.69</v>
      </c>
      <c r="P481" s="227">
        <f t="shared" si="3"/>
        <v>4.7894122097566498</v>
      </c>
    </row>
    <row r="482" spans="1:16" ht="14.25">
      <c r="A482" s="224">
        <v>481</v>
      </c>
      <c r="B482" s="58">
        <v>19840</v>
      </c>
      <c r="C482" s="57" t="s">
        <v>3209</v>
      </c>
      <c r="D482" s="57" t="s">
        <v>2582</v>
      </c>
      <c r="E482" s="57" t="s">
        <v>2556</v>
      </c>
      <c r="F482" s="58" t="s">
        <v>3212</v>
      </c>
      <c r="G482" s="57">
        <v>3</v>
      </c>
      <c r="H482" s="57" t="s">
        <v>2557</v>
      </c>
      <c r="I482" s="58">
        <v>52639</v>
      </c>
      <c r="J482" s="234"/>
      <c r="K482" s="58">
        <v>0.02</v>
      </c>
      <c r="L482" s="58">
        <v>0</v>
      </c>
      <c r="M482" s="58">
        <v>0</v>
      </c>
      <c r="N482" s="58">
        <v>7.2430599999999998</v>
      </c>
      <c r="O482" s="224">
        <f t="shared" si="2"/>
        <v>0.02</v>
      </c>
      <c r="P482" s="227">
        <f t="shared" si="3"/>
        <v>2.7612638857057652E-3</v>
      </c>
    </row>
    <row r="483" spans="1:16" ht="14.25">
      <c r="A483" s="224">
        <v>482</v>
      </c>
      <c r="B483" s="58">
        <v>19866</v>
      </c>
      <c r="C483" s="57" t="s">
        <v>3213</v>
      </c>
      <c r="D483" s="57" t="s">
        <v>45</v>
      </c>
      <c r="E483" s="57" t="s">
        <v>2556</v>
      </c>
      <c r="F483" s="58" t="s">
        <v>3214</v>
      </c>
      <c r="G483" s="57">
        <v>3</v>
      </c>
      <c r="H483" s="57" t="s">
        <v>2557</v>
      </c>
      <c r="I483" s="58">
        <v>52651</v>
      </c>
      <c r="J483" s="234" t="s">
        <v>3215</v>
      </c>
      <c r="K483" s="58">
        <v>1.99</v>
      </c>
      <c r="L483" s="58">
        <v>0</v>
      </c>
      <c r="M483" s="58">
        <v>0</v>
      </c>
      <c r="N483" s="58">
        <v>1</v>
      </c>
      <c r="O483" s="224">
        <f t="shared" si="2"/>
        <v>1.99</v>
      </c>
      <c r="P483" s="227">
        <f t="shared" si="3"/>
        <v>1.99</v>
      </c>
    </row>
    <row r="484" spans="1:16" ht="14.25">
      <c r="A484" s="224">
        <v>483</v>
      </c>
      <c r="B484" s="58">
        <v>19314</v>
      </c>
      <c r="C484" s="57" t="s">
        <v>3119</v>
      </c>
      <c r="D484" s="57" t="s">
        <v>45</v>
      </c>
      <c r="E484" s="57" t="s">
        <v>2572</v>
      </c>
      <c r="F484" s="58" t="s">
        <v>3216</v>
      </c>
      <c r="G484" s="57">
        <v>3</v>
      </c>
      <c r="H484" s="57" t="s">
        <v>2557</v>
      </c>
      <c r="I484" s="58">
        <v>52795</v>
      </c>
      <c r="J484" s="234" t="s">
        <v>3217</v>
      </c>
      <c r="K484" s="58">
        <v>50</v>
      </c>
      <c r="L484" s="58">
        <v>0</v>
      </c>
      <c r="M484" s="58">
        <v>0</v>
      </c>
      <c r="N484" s="58">
        <v>1</v>
      </c>
      <c r="O484" s="224">
        <f t="shared" si="2"/>
        <v>50</v>
      </c>
      <c r="P484" s="227">
        <f t="shared" si="3"/>
        <v>50</v>
      </c>
    </row>
    <row r="485" spans="1:16" ht="14.25">
      <c r="A485" s="224">
        <v>484</v>
      </c>
      <c r="B485" s="58">
        <v>6361</v>
      </c>
      <c r="C485" s="57" t="s">
        <v>3065</v>
      </c>
      <c r="D485" s="57" t="s">
        <v>45</v>
      </c>
      <c r="E485" s="57" t="s">
        <v>2556</v>
      </c>
      <c r="F485" s="58" t="s">
        <v>3218</v>
      </c>
      <c r="G485" s="57">
        <v>3</v>
      </c>
      <c r="H485" s="57" t="s">
        <v>2557</v>
      </c>
      <c r="I485" s="58">
        <v>52819</v>
      </c>
      <c r="J485" s="234" t="s">
        <v>3219</v>
      </c>
      <c r="K485" s="58">
        <v>17.989999999999998</v>
      </c>
      <c r="L485" s="58">
        <v>0</v>
      </c>
      <c r="M485" s="58">
        <v>0</v>
      </c>
      <c r="N485" s="58">
        <v>1</v>
      </c>
      <c r="O485" s="224">
        <f t="shared" si="2"/>
        <v>17.989999999999998</v>
      </c>
      <c r="P485" s="227">
        <f t="shared" si="3"/>
        <v>17.989999999999998</v>
      </c>
    </row>
    <row r="486" spans="1:16" ht="14.25">
      <c r="A486" s="224">
        <v>485</v>
      </c>
      <c r="B486" s="58">
        <v>4570</v>
      </c>
      <c r="C486" s="57" t="s">
        <v>3187</v>
      </c>
      <c r="D486" s="57" t="s">
        <v>2582</v>
      </c>
      <c r="E486" s="57" t="s">
        <v>2556</v>
      </c>
      <c r="F486" s="58" t="s">
        <v>3220</v>
      </c>
      <c r="G486" s="57">
        <v>3</v>
      </c>
      <c r="H486" s="57" t="s">
        <v>2557</v>
      </c>
      <c r="I486" s="58">
        <v>52843</v>
      </c>
      <c r="J486" s="234" t="s">
        <v>3221</v>
      </c>
      <c r="K486" s="58">
        <v>65.16</v>
      </c>
      <c r="L486" s="58">
        <v>0</v>
      </c>
      <c r="M486" s="58">
        <v>0</v>
      </c>
      <c r="N486" s="58">
        <v>7.2477400000000003</v>
      </c>
      <c r="O486" s="224">
        <f t="shared" si="2"/>
        <v>65.16</v>
      </c>
      <c r="P486" s="227">
        <f t="shared" si="3"/>
        <v>8.9903887280724746</v>
      </c>
    </row>
    <row r="487" spans="1:16" ht="14.25">
      <c r="A487" s="224">
        <v>486</v>
      </c>
      <c r="B487" s="58">
        <v>17907</v>
      </c>
      <c r="C487" s="57" t="s">
        <v>2884</v>
      </c>
      <c r="D487" s="57" t="s">
        <v>45</v>
      </c>
      <c r="E487" s="57" t="s">
        <v>2556</v>
      </c>
      <c r="F487" s="58" t="s">
        <v>3222</v>
      </c>
      <c r="G487" s="57">
        <v>3</v>
      </c>
      <c r="H487" s="57" t="s">
        <v>2557</v>
      </c>
      <c r="I487" s="58">
        <v>52855</v>
      </c>
      <c r="J487" s="234" t="s">
        <v>3223</v>
      </c>
      <c r="K487" s="58">
        <v>27</v>
      </c>
      <c r="L487" s="58">
        <v>0</v>
      </c>
      <c r="M487" s="58">
        <v>0</v>
      </c>
      <c r="N487" s="58">
        <v>1</v>
      </c>
      <c r="O487" s="224">
        <f t="shared" si="2"/>
        <v>27</v>
      </c>
      <c r="P487" s="227">
        <f t="shared" si="3"/>
        <v>27</v>
      </c>
    </row>
    <row r="488" spans="1:16" ht="14.25">
      <c r="A488" s="224">
        <v>487</v>
      </c>
      <c r="B488" s="58">
        <v>3324</v>
      </c>
      <c r="C488" s="57" t="s">
        <v>2784</v>
      </c>
      <c r="D488" s="57" t="s">
        <v>45</v>
      </c>
      <c r="E488" s="57" t="s">
        <v>9</v>
      </c>
      <c r="F488" s="58" t="s">
        <v>3224</v>
      </c>
      <c r="G488" s="57">
        <v>3</v>
      </c>
      <c r="H488" s="57" t="s">
        <v>2557</v>
      </c>
      <c r="I488" s="58">
        <v>52099</v>
      </c>
      <c r="J488" s="234" t="s">
        <v>403</v>
      </c>
      <c r="K488" s="58">
        <v>2.99</v>
      </c>
      <c r="L488" s="58">
        <v>0.64</v>
      </c>
      <c r="M488" s="58">
        <v>0</v>
      </c>
      <c r="N488" s="58">
        <v>1</v>
      </c>
      <c r="O488" s="224">
        <f t="shared" si="2"/>
        <v>2.35</v>
      </c>
      <c r="P488" s="227">
        <f t="shared" si="3"/>
        <v>2.35</v>
      </c>
    </row>
    <row r="489" spans="1:16" ht="14.25">
      <c r="A489" s="224">
        <v>488</v>
      </c>
      <c r="B489" s="58">
        <v>1836</v>
      </c>
      <c r="C489" s="57" t="s">
        <v>2598</v>
      </c>
      <c r="D489" s="57" t="s">
        <v>2582</v>
      </c>
      <c r="E489" s="57" t="s">
        <v>2556</v>
      </c>
      <c r="F489" s="58" t="s">
        <v>3225</v>
      </c>
      <c r="G489" s="57">
        <v>3</v>
      </c>
      <c r="H489" s="57" t="s">
        <v>2557</v>
      </c>
      <c r="I489" s="58">
        <v>52891</v>
      </c>
      <c r="J489" s="234" t="s">
        <v>3226</v>
      </c>
      <c r="K489" s="58">
        <v>130.38999999999999</v>
      </c>
      <c r="L489" s="58">
        <v>0</v>
      </c>
      <c r="M489" s="58">
        <v>0</v>
      </c>
      <c r="N489" s="58">
        <v>7.2477400000000003</v>
      </c>
      <c r="O489" s="224">
        <f t="shared" si="2"/>
        <v>130.38999999999999</v>
      </c>
      <c r="P489" s="227">
        <f t="shared" si="3"/>
        <v>17.990435639247544</v>
      </c>
    </row>
    <row r="490" spans="1:16" ht="14.25">
      <c r="A490" s="224">
        <v>489</v>
      </c>
      <c r="B490" s="58">
        <v>19889</v>
      </c>
      <c r="C490" s="57" t="s">
        <v>3227</v>
      </c>
      <c r="D490" s="57" t="s">
        <v>45</v>
      </c>
      <c r="E490" s="57" t="s">
        <v>2556</v>
      </c>
      <c r="F490" s="58" t="s">
        <v>3228</v>
      </c>
      <c r="G490" s="57">
        <v>3</v>
      </c>
      <c r="H490" s="57" t="s">
        <v>2557</v>
      </c>
      <c r="I490" s="58">
        <v>52903</v>
      </c>
      <c r="J490" s="234" t="s">
        <v>3229</v>
      </c>
      <c r="K490" s="58">
        <v>1.99</v>
      </c>
      <c r="L490" s="58">
        <v>0</v>
      </c>
      <c r="M490" s="58">
        <v>0</v>
      </c>
      <c r="N490" s="58">
        <v>1</v>
      </c>
      <c r="O490" s="224">
        <f t="shared" si="2"/>
        <v>1.99</v>
      </c>
      <c r="P490" s="227">
        <f t="shared" si="3"/>
        <v>1.99</v>
      </c>
    </row>
    <row r="491" spans="1:16" ht="14.25">
      <c r="A491" s="224">
        <v>490</v>
      </c>
      <c r="B491" s="58">
        <v>19893</v>
      </c>
      <c r="C491" s="57" t="s">
        <v>3230</v>
      </c>
      <c r="D491" s="57" t="s">
        <v>45</v>
      </c>
      <c r="E491" s="57" t="s">
        <v>2556</v>
      </c>
      <c r="F491" s="58" t="s">
        <v>3231</v>
      </c>
      <c r="G491" s="57">
        <v>3</v>
      </c>
      <c r="H491" s="57" t="s">
        <v>2557</v>
      </c>
      <c r="I491" s="58">
        <v>52915</v>
      </c>
      <c r="J491" s="234" t="s">
        <v>3232</v>
      </c>
      <c r="K491" s="58">
        <v>1.99</v>
      </c>
      <c r="L491" s="58">
        <v>0</v>
      </c>
      <c r="M491" s="58">
        <v>0</v>
      </c>
      <c r="N491" s="58">
        <v>1</v>
      </c>
      <c r="O491" s="224">
        <f t="shared" si="2"/>
        <v>1.99</v>
      </c>
      <c r="P491" s="227">
        <f t="shared" si="3"/>
        <v>1.99</v>
      </c>
    </row>
    <row r="492" spans="1:16" ht="14.25">
      <c r="A492" s="224">
        <v>491</v>
      </c>
      <c r="B492" s="58">
        <v>211</v>
      </c>
      <c r="C492" s="57" t="s">
        <v>3233</v>
      </c>
      <c r="D492" s="57" t="s">
        <v>45</v>
      </c>
      <c r="E492" s="57" t="s">
        <v>2556</v>
      </c>
      <c r="F492" s="58" t="s">
        <v>3234</v>
      </c>
      <c r="G492" s="57">
        <v>3</v>
      </c>
      <c r="H492" s="57" t="s">
        <v>2557</v>
      </c>
      <c r="I492" s="58">
        <v>48739</v>
      </c>
      <c r="J492" s="234" t="s">
        <v>3235</v>
      </c>
      <c r="K492" s="58">
        <v>1.19</v>
      </c>
      <c r="L492" s="58">
        <v>0</v>
      </c>
      <c r="M492" s="58">
        <v>0</v>
      </c>
      <c r="N492" s="58">
        <v>1</v>
      </c>
      <c r="O492" s="224">
        <f t="shared" si="2"/>
        <v>1.19</v>
      </c>
      <c r="P492" s="227">
        <f t="shared" si="3"/>
        <v>1.19</v>
      </c>
    </row>
    <row r="493" spans="1:16" ht="14.25">
      <c r="A493" s="224">
        <v>492</v>
      </c>
      <c r="B493" s="58">
        <v>19921</v>
      </c>
      <c r="C493" s="57" t="s">
        <v>3236</v>
      </c>
      <c r="D493" s="57" t="s">
        <v>2582</v>
      </c>
      <c r="E493" s="57" t="s">
        <v>2556</v>
      </c>
      <c r="F493" s="58" t="s">
        <v>3237</v>
      </c>
      <c r="G493" s="57">
        <v>3</v>
      </c>
      <c r="H493" s="57" t="s">
        <v>2557</v>
      </c>
      <c r="I493" s="58">
        <v>52975</v>
      </c>
      <c r="J493" s="234" t="s">
        <v>3238</v>
      </c>
      <c r="K493" s="58">
        <v>1304.52</v>
      </c>
      <c r="L493" s="58">
        <v>0</v>
      </c>
      <c r="M493" s="58">
        <v>0</v>
      </c>
      <c r="N493" s="58">
        <v>7.2477400000000003</v>
      </c>
      <c r="O493" s="224">
        <f t="shared" si="2"/>
        <v>1304.52</v>
      </c>
      <c r="P493" s="227">
        <f t="shared" si="3"/>
        <v>179.98990029995556</v>
      </c>
    </row>
    <row r="494" spans="1:16" ht="14.25">
      <c r="A494" s="224">
        <v>493</v>
      </c>
      <c r="B494" s="58">
        <v>19921</v>
      </c>
      <c r="C494" s="57" t="s">
        <v>3236</v>
      </c>
      <c r="D494" s="57" t="s">
        <v>2582</v>
      </c>
      <c r="E494" s="57" t="s">
        <v>2556</v>
      </c>
      <c r="F494" s="58" t="s">
        <v>3239</v>
      </c>
      <c r="G494" s="57">
        <v>3</v>
      </c>
      <c r="H494" s="57" t="s">
        <v>2557</v>
      </c>
      <c r="I494" s="58">
        <v>52975</v>
      </c>
      <c r="J494" s="234"/>
      <c r="K494" s="58">
        <v>0.02</v>
      </c>
      <c r="L494" s="58">
        <v>0</v>
      </c>
      <c r="M494" s="58">
        <v>0</v>
      </c>
      <c r="N494" s="58">
        <v>7.2386799999999996</v>
      </c>
      <c r="O494" s="224">
        <f t="shared" si="2"/>
        <v>0.02</v>
      </c>
      <c r="P494" s="227">
        <f t="shared" si="3"/>
        <v>2.7629346786983266E-3</v>
      </c>
    </row>
    <row r="495" spans="1:16" ht="14.25">
      <c r="A495" s="224">
        <v>494</v>
      </c>
      <c r="B495" s="58">
        <v>19923</v>
      </c>
      <c r="C495" s="57" t="s">
        <v>3240</v>
      </c>
      <c r="D495" s="57" t="s">
        <v>45</v>
      </c>
      <c r="E495" s="57" t="s">
        <v>2556</v>
      </c>
      <c r="F495" s="58" t="s">
        <v>3241</v>
      </c>
      <c r="G495" s="57">
        <v>3</v>
      </c>
      <c r="H495" s="57" t="s">
        <v>2557</v>
      </c>
      <c r="I495" s="58">
        <v>53023</v>
      </c>
      <c r="J495" s="234" t="s">
        <v>3242</v>
      </c>
      <c r="K495" s="58">
        <v>7.19</v>
      </c>
      <c r="L495" s="58">
        <v>0</v>
      </c>
      <c r="M495" s="58">
        <v>0</v>
      </c>
      <c r="N495" s="58">
        <v>1</v>
      </c>
      <c r="O495" s="224">
        <f t="shared" si="2"/>
        <v>7.19</v>
      </c>
      <c r="P495" s="227">
        <f t="shared" si="3"/>
        <v>7.19</v>
      </c>
    </row>
    <row r="496" spans="1:16" ht="14.25">
      <c r="A496" s="224">
        <v>495</v>
      </c>
      <c r="B496" s="58">
        <v>19926</v>
      </c>
      <c r="C496" s="57" t="s">
        <v>3243</v>
      </c>
      <c r="D496" s="57" t="s">
        <v>45</v>
      </c>
      <c r="E496" s="57" t="s">
        <v>2556</v>
      </c>
      <c r="F496" s="58" t="s">
        <v>3244</v>
      </c>
      <c r="G496" s="57">
        <v>3</v>
      </c>
      <c r="H496" s="57" t="s">
        <v>2557</v>
      </c>
      <c r="I496" s="58">
        <v>53035</v>
      </c>
      <c r="J496" s="234" t="s">
        <v>3245</v>
      </c>
      <c r="K496" s="58">
        <v>8.99</v>
      </c>
      <c r="L496" s="58">
        <v>0</v>
      </c>
      <c r="M496" s="58">
        <v>0</v>
      </c>
      <c r="N496" s="58">
        <v>1</v>
      </c>
      <c r="O496" s="224">
        <f t="shared" si="2"/>
        <v>8.99</v>
      </c>
      <c r="P496" s="227">
        <f t="shared" si="3"/>
        <v>8.99</v>
      </c>
    </row>
    <row r="497" spans="1:16" ht="14.25">
      <c r="A497" s="224">
        <v>496</v>
      </c>
      <c r="B497" s="58">
        <v>19933</v>
      </c>
      <c r="C497" s="57" t="s">
        <v>3246</v>
      </c>
      <c r="D497" s="57" t="s">
        <v>45</v>
      </c>
      <c r="E497" s="57" t="s">
        <v>2556</v>
      </c>
      <c r="F497" s="58" t="s">
        <v>3247</v>
      </c>
      <c r="G497" s="57">
        <v>3</v>
      </c>
      <c r="H497" s="57" t="s">
        <v>2557</v>
      </c>
      <c r="I497" s="58">
        <v>53059</v>
      </c>
      <c r="J497" s="234" t="s">
        <v>3248</v>
      </c>
      <c r="K497" s="58">
        <v>8.99</v>
      </c>
      <c r="L497" s="58">
        <v>0</v>
      </c>
      <c r="M497" s="58">
        <v>0</v>
      </c>
      <c r="N497" s="58">
        <v>1</v>
      </c>
      <c r="O497" s="224">
        <f t="shared" si="2"/>
        <v>8.99</v>
      </c>
      <c r="P497" s="227">
        <f t="shared" si="3"/>
        <v>8.99</v>
      </c>
    </row>
    <row r="498" spans="1:16" ht="14.25">
      <c r="A498" s="224">
        <v>497</v>
      </c>
      <c r="B498" s="58">
        <v>19935</v>
      </c>
      <c r="C498" s="57" t="s">
        <v>3249</v>
      </c>
      <c r="D498" s="57" t="s">
        <v>45</v>
      </c>
      <c r="E498" s="57" t="s">
        <v>2556</v>
      </c>
      <c r="F498" s="58" t="s">
        <v>3250</v>
      </c>
      <c r="G498" s="57">
        <v>3</v>
      </c>
      <c r="H498" s="57" t="s">
        <v>2557</v>
      </c>
      <c r="I498" s="58">
        <v>53095</v>
      </c>
      <c r="J498" s="234" t="s">
        <v>3251</v>
      </c>
      <c r="K498" s="58">
        <v>8.99</v>
      </c>
      <c r="L498" s="58">
        <v>0</v>
      </c>
      <c r="M498" s="58">
        <v>0</v>
      </c>
      <c r="N498" s="58">
        <v>1</v>
      </c>
      <c r="O498" s="224">
        <f t="shared" si="2"/>
        <v>8.99</v>
      </c>
      <c r="P498" s="227">
        <f t="shared" si="3"/>
        <v>8.99</v>
      </c>
    </row>
    <row r="499" spans="1:16" ht="14.25">
      <c r="A499" s="224">
        <v>498</v>
      </c>
      <c r="B499" s="58">
        <v>19936</v>
      </c>
      <c r="C499" s="57" t="s">
        <v>3252</v>
      </c>
      <c r="D499" s="57" t="s">
        <v>45</v>
      </c>
      <c r="E499" s="57" t="s">
        <v>2556</v>
      </c>
      <c r="F499" s="58" t="s">
        <v>3253</v>
      </c>
      <c r="G499" s="57">
        <v>3</v>
      </c>
      <c r="H499" s="57" t="s">
        <v>2557</v>
      </c>
      <c r="I499" s="58">
        <v>53107</v>
      </c>
      <c r="J499" s="234" t="s">
        <v>3254</v>
      </c>
      <c r="K499" s="58">
        <v>17.989999999999998</v>
      </c>
      <c r="L499" s="58">
        <v>0</v>
      </c>
      <c r="M499" s="58">
        <v>0</v>
      </c>
      <c r="N499" s="58">
        <v>1</v>
      </c>
      <c r="O499" s="224">
        <f t="shared" si="2"/>
        <v>17.989999999999998</v>
      </c>
      <c r="P499" s="227">
        <f t="shared" si="3"/>
        <v>17.989999999999998</v>
      </c>
    </row>
    <row r="500" spans="1:16" ht="14.25">
      <c r="A500" s="224">
        <v>499</v>
      </c>
      <c r="B500" s="58">
        <v>1836</v>
      </c>
      <c r="C500" s="57" t="s">
        <v>2598</v>
      </c>
      <c r="D500" s="57" t="s">
        <v>2582</v>
      </c>
      <c r="E500" s="57" t="s">
        <v>2556</v>
      </c>
      <c r="F500" s="58" t="s">
        <v>3255</v>
      </c>
      <c r="G500" s="57">
        <v>3</v>
      </c>
      <c r="H500" s="57" t="s">
        <v>2557</v>
      </c>
      <c r="I500" s="58">
        <v>52999</v>
      </c>
      <c r="J500" s="234" t="s">
        <v>3256</v>
      </c>
      <c r="K500" s="58">
        <v>72.39</v>
      </c>
      <c r="L500" s="58">
        <v>0</v>
      </c>
      <c r="M500" s="58">
        <v>0</v>
      </c>
      <c r="N500" s="58">
        <v>7.2386799999999996</v>
      </c>
      <c r="O500" s="224">
        <f t="shared" si="2"/>
        <v>72.39</v>
      </c>
      <c r="P500" s="227">
        <f t="shared" si="3"/>
        <v>10.000442069548592</v>
      </c>
    </row>
    <row r="501" spans="1:16" ht="14.25">
      <c r="A501" s="224">
        <v>500</v>
      </c>
      <c r="B501" s="58">
        <v>1560</v>
      </c>
      <c r="C501" s="57" t="s">
        <v>2630</v>
      </c>
      <c r="D501" s="57" t="s">
        <v>45</v>
      </c>
      <c r="E501" s="57" t="s">
        <v>2556</v>
      </c>
      <c r="F501" s="58" t="s">
        <v>3257</v>
      </c>
      <c r="G501" s="57">
        <v>3</v>
      </c>
      <c r="H501" s="57" t="s">
        <v>2557</v>
      </c>
      <c r="I501" s="58">
        <v>52687</v>
      </c>
      <c r="J501" s="234" t="s">
        <v>3258</v>
      </c>
      <c r="K501" s="58">
        <v>8.9700000000000006</v>
      </c>
      <c r="L501" s="58">
        <v>0</v>
      </c>
      <c r="M501" s="58">
        <v>0</v>
      </c>
      <c r="N501" s="58">
        <v>1</v>
      </c>
      <c r="O501" s="224">
        <f t="shared" si="2"/>
        <v>8.9700000000000006</v>
      </c>
      <c r="P501" s="227">
        <f t="shared" si="3"/>
        <v>8.9700000000000006</v>
      </c>
    </row>
    <row r="502" spans="1:16" ht="14.25">
      <c r="A502" s="224">
        <v>501</v>
      </c>
      <c r="B502" s="58">
        <v>19916</v>
      </c>
      <c r="C502" s="57" t="s">
        <v>3259</v>
      </c>
      <c r="D502" s="57" t="s">
        <v>45</v>
      </c>
      <c r="E502" s="57" t="s">
        <v>2556</v>
      </c>
      <c r="F502" s="58" t="s">
        <v>3260</v>
      </c>
      <c r="G502" s="57">
        <v>3</v>
      </c>
      <c r="H502" s="57" t="s">
        <v>2557</v>
      </c>
      <c r="I502" s="58">
        <v>53119</v>
      </c>
      <c r="J502" s="234" t="s">
        <v>3261</v>
      </c>
      <c r="K502" s="58">
        <v>2.99</v>
      </c>
      <c r="L502" s="58">
        <v>0</v>
      </c>
      <c r="M502" s="58">
        <v>0</v>
      </c>
      <c r="N502" s="58">
        <v>1</v>
      </c>
      <c r="O502" s="224">
        <f t="shared" si="2"/>
        <v>2.99</v>
      </c>
      <c r="P502" s="227">
        <f t="shared" si="3"/>
        <v>2.99</v>
      </c>
    </row>
    <row r="503" spans="1:16" ht="14.25">
      <c r="A503" s="224">
        <v>502</v>
      </c>
      <c r="B503" s="58">
        <v>19970</v>
      </c>
      <c r="C503" s="57" t="s">
        <v>3091</v>
      </c>
      <c r="D503" s="57" t="s">
        <v>2582</v>
      </c>
      <c r="E503" s="57" t="s">
        <v>2556</v>
      </c>
      <c r="F503" s="58" t="s">
        <v>3262</v>
      </c>
      <c r="G503" s="57">
        <v>3</v>
      </c>
      <c r="H503" s="57" t="s">
        <v>2557</v>
      </c>
      <c r="I503" s="58">
        <v>53299</v>
      </c>
      <c r="J503" s="234"/>
      <c r="K503" s="58">
        <v>0</v>
      </c>
      <c r="L503" s="58">
        <v>0</v>
      </c>
      <c r="M503" s="58">
        <v>0</v>
      </c>
      <c r="N503" s="58">
        <v>7.2386799999999996</v>
      </c>
      <c r="O503" s="224">
        <f t="shared" si="2"/>
        <v>0</v>
      </c>
      <c r="P503" s="227">
        <f t="shared" si="3"/>
        <v>0</v>
      </c>
    </row>
    <row r="504" spans="1:16" ht="14.25">
      <c r="A504" s="224">
        <v>503</v>
      </c>
      <c r="B504" s="58">
        <v>19944</v>
      </c>
      <c r="C504" s="57" t="s">
        <v>3263</v>
      </c>
      <c r="D504" s="57" t="s">
        <v>45</v>
      </c>
      <c r="E504" s="57" t="s">
        <v>2556</v>
      </c>
      <c r="F504" s="58" t="s">
        <v>3264</v>
      </c>
      <c r="G504" s="57">
        <v>3</v>
      </c>
      <c r="H504" s="57" t="s">
        <v>2557</v>
      </c>
      <c r="I504" s="58">
        <v>53143</v>
      </c>
      <c r="J504" s="234" t="s">
        <v>3265</v>
      </c>
      <c r="K504" s="58">
        <v>1.99</v>
      </c>
      <c r="L504" s="58">
        <v>0</v>
      </c>
      <c r="M504" s="58">
        <v>0</v>
      </c>
      <c r="N504" s="58">
        <v>1</v>
      </c>
      <c r="O504" s="224">
        <f t="shared" si="2"/>
        <v>1.99</v>
      </c>
      <c r="P504" s="227">
        <f t="shared" si="3"/>
        <v>1.99</v>
      </c>
    </row>
    <row r="505" spans="1:16" ht="14.25">
      <c r="A505" s="224">
        <v>504</v>
      </c>
      <c r="B505" s="58">
        <v>3364</v>
      </c>
      <c r="C505" s="57" t="s">
        <v>2677</v>
      </c>
      <c r="D505" s="57" t="s">
        <v>45</v>
      </c>
      <c r="E505" s="57" t="s">
        <v>2556</v>
      </c>
      <c r="F505" s="58" t="s">
        <v>3266</v>
      </c>
      <c r="G505" s="57">
        <v>3</v>
      </c>
      <c r="H505" s="57" t="s">
        <v>2557</v>
      </c>
      <c r="I505" s="58">
        <v>52135</v>
      </c>
      <c r="J505" s="234" t="s">
        <v>3267</v>
      </c>
      <c r="K505" s="58">
        <v>1.0900000000000001</v>
      </c>
      <c r="L505" s="58">
        <v>0</v>
      </c>
      <c r="M505" s="58">
        <v>0</v>
      </c>
      <c r="N505" s="58">
        <v>1</v>
      </c>
      <c r="O505" s="224">
        <f t="shared" si="2"/>
        <v>1.0900000000000001</v>
      </c>
      <c r="P505" s="227">
        <f t="shared" si="3"/>
        <v>1.0900000000000001</v>
      </c>
    </row>
    <row r="506" spans="1:16" ht="14.25">
      <c r="A506" s="224">
        <v>505</v>
      </c>
      <c r="B506" s="58">
        <v>7899</v>
      </c>
      <c r="C506" s="57" t="s">
        <v>2714</v>
      </c>
      <c r="D506" s="57" t="s">
        <v>45</v>
      </c>
      <c r="E506" s="57" t="s">
        <v>2572</v>
      </c>
      <c r="F506" s="58" t="s">
        <v>3268</v>
      </c>
      <c r="G506" s="57">
        <v>3</v>
      </c>
      <c r="H506" s="57" t="s">
        <v>2557</v>
      </c>
      <c r="I506" s="58">
        <v>50491</v>
      </c>
      <c r="J506" s="234" t="s">
        <v>3269</v>
      </c>
      <c r="K506" s="58">
        <v>69.989999999999995</v>
      </c>
      <c r="L506" s="58">
        <v>0</v>
      </c>
      <c r="M506" s="58">
        <v>0</v>
      </c>
      <c r="N506" s="58">
        <v>1</v>
      </c>
      <c r="O506" s="224">
        <f t="shared" si="2"/>
        <v>69.989999999999995</v>
      </c>
      <c r="P506" s="227">
        <f t="shared" si="3"/>
        <v>69.989999999999995</v>
      </c>
    </row>
    <row r="507" spans="1:16" ht="14.25">
      <c r="A507" s="224">
        <v>506</v>
      </c>
      <c r="B507" s="58">
        <v>19957</v>
      </c>
      <c r="C507" s="57" t="s">
        <v>3270</v>
      </c>
      <c r="D507" s="57" t="s">
        <v>2582</v>
      </c>
      <c r="E507" s="57" t="s">
        <v>2556</v>
      </c>
      <c r="F507" s="58" t="s">
        <v>3271</v>
      </c>
      <c r="G507" s="57">
        <v>3</v>
      </c>
      <c r="H507" s="57" t="s">
        <v>2557</v>
      </c>
      <c r="I507" s="58">
        <v>53215</v>
      </c>
      <c r="J507" s="234" t="s">
        <v>3272</v>
      </c>
      <c r="K507" s="58">
        <v>28.88</v>
      </c>
      <c r="L507" s="58">
        <v>0</v>
      </c>
      <c r="M507" s="58">
        <v>0</v>
      </c>
      <c r="N507" s="58">
        <v>7.2386799999999996</v>
      </c>
      <c r="O507" s="224">
        <f t="shared" si="2"/>
        <v>28.88</v>
      </c>
      <c r="P507" s="227">
        <f t="shared" si="3"/>
        <v>3.9896776760403831</v>
      </c>
    </row>
    <row r="508" spans="1:16" ht="14.25">
      <c r="A508" s="224">
        <v>507</v>
      </c>
      <c r="B508" s="58">
        <v>3975</v>
      </c>
      <c r="C508" s="57" t="s">
        <v>3273</v>
      </c>
      <c r="D508" s="57" t="s">
        <v>45</v>
      </c>
      <c r="E508" s="57" t="s">
        <v>2556</v>
      </c>
      <c r="F508" s="58" t="s">
        <v>3274</v>
      </c>
      <c r="G508" s="57">
        <v>3</v>
      </c>
      <c r="H508" s="57" t="s">
        <v>2557</v>
      </c>
      <c r="I508" s="58">
        <v>53239</v>
      </c>
      <c r="J508" s="234" t="s">
        <v>3275</v>
      </c>
      <c r="K508" s="58">
        <v>2.99</v>
      </c>
      <c r="L508" s="58">
        <v>0</v>
      </c>
      <c r="M508" s="58">
        <v>0</v>
      </c>
      <c r="N508" s="58">
        <v>1</v>
      </c>
      <c r="O508" s="224">
        <f t="shared" si="2"/>
        <v>2.99</v>
      </c>
      <c r="P508" s="227">
        <f t="shared" si="3"/>
        <v>2.99</v>
      </c>
    </row>
    <row r="509" spans="1:16" ht="14.25">
      <c r="A509" s="224">
        <v>508</v>
      </c>
      <c r="B509" s="58">
        <v>19962</v>
      </c>
      <c r="C509" s="57" t="s">
        <v>3276</v>
      </c>
      <c r="D509" s="57" t="s">
        <v>2582</v>
      </c>
      <c r="E509" s="57" t="s">
        <v>2556</v>
      </c>
      <c r="F509" s="58" t="s">
        <v>3277</v>
      </c>
      <c r="G509" s="57">
        <v>3</v>
      </c>
      <c r="H509" s="57" t="s">
        <v>2557</v>
      </c>
      <c r="I509" s="58">
        <v>53263</v>
      </c>
      <c r="J509" s="234" t="s">
        <v>3278</v>
      </c>
      <c r="K509" s="58">
        <v>45.53</v>
      </c>
      <c r="L509" s="58">
        <v>0</v>
      </c>
      <c r="M509" s="58">
        <v>0</v>
      </c>
      <c r="N509" s="58">
        <v>7.2386799999999996</v>
      </c>
      <c r="O509" s="224">
        <f t="shared" si="2"/>
        <v>45.53</v>
      </c>
      <c r="P509" s="227">
        <f t="shared" si="3"/>
        <v>6.2898207960567403</v>
      </c>
    </row>
    <row r="510" spans="1:16" ht="14.25">
      <c r="A510" s="224">
        <v>509</v>
      </c>
      <c r="B510" s="58">
        <v>19962</v>
      </c>
      <c r="C510" s="57" t="s">
        <v>3276</v>
      </c>
      <c r="D510" s="57" t="s">
        <v>2582</v>
      </c>
      <c r="E510" s="57" t="s">
        <v>2556</v>
      </c>
      <c r="F510" s="58" t="s">
        <v>3279</v>
      </c>
      <c r="G510" s="57">
        <v>3</v>
      </c>
      <c r="H510" s="57" t="s">
        <v>2557</v>
      </c>
      <c r="I510" s="58">
        <v>53263</v>
      </c>
      <c r="J510" s="234"/>
      <c r="K510" s="58">
        <v>0.01</v>
      </c>
      <c r="L510" s="58">
        <v>0</v>
      </c>
      <c r="M510" s="58">
        <v>0</v>
      </c>
      <c r="N510" s="58">
        <v>7.2386799999999996</v>
      </c>
      <c r="O510" s="224">
        <f t="shared" si="2"/>
        <v>0.01</v>
      </c>
      <c r="P510" s="227">
        <f t="shared" si="3"/>
        <v>1.3814673393491633E-3</v>
      </c>
    </row>
    <row r="511" spans="1:16" ht="14.25">
      <c r="A511" s="224">
        <v>510</v>
      </c>
      <c r="B511" s="58">
        <v>351</v>
      </c>
      <c r="C511" s="57" t="s">
        <v>2707</v>
      </c>
      <c r="D511" s="57" t="s">
        <v>45</v>
      </c>
      <c r="E511" s="57" t="s">
        <v>9</v>
      </c>
      <c r="F511" s="58" t="s">
        <v>3280</v>
      </c>
      <c r="G511" s="57">
        <v>3</v>
      </c>
      <c r="H511" s="57" t="s">
        <v>2557</v>
      </c>
      <c r="I511" s="58">
        <v>48367</v>
      </c>
      <c r="J511" s="234" t="s">
        <v>405</v>
      </c>
      <c r="K511" s="58">
        <v>1.0900000000000001</v>
      </c>
      <c r="L511" s="58">
        <v>0.54</v>
      </c>
      <c r="M511" s="58">
        <v>0</v>
      </c>
      <c r="N511" s="58">
        <v>1</v>
      </c>
      <c r="O511" s="224">
        <f t="shared" si="2"/>
        <v>0.55000000000000004</v>
      </c>
      <c r="P511" s="227">
        <f t="shared" si="3"/>
        <v>0.55000000000000004</v>
      </c>
    </row>
    <row r="512" spans="1:16" ht="14.25">
      <c r="A512" s="224">
        <v>511</v>
      </c>
      <c r="B512" s="58">
        <v>18464</v>
      </c>
      <c r="C512" s="57" t="s">
        <v>3281</v>
      </c>
      <c r="D512" s="57" t="s">
        <v>45</v>
      </c>
      <c r="E512" s="57" t="s">
        <v>9</v>
      </c>
      <c r="F512" s="58" t="s">
        <v>3282</v>
      </c>
      <c r="G512" s="57">
        <v>3</v>
      </c>
      <c r="H512" s="57" t="s">
        <v>2557</v>
      </c>
      <c r="I512" s="58">
        <v>53287</v>
      </c>
      <c r="J512" s="234" t="s">
        <v>407</v>
      </c>
      <c r="K512" s="58">
        <v>4.79</v>
      </c>
      <c r="L512" s="58">
        <v>0.66</v>
      </c>
      <c r="M512" s="58">
        <v>0</v>
      </c>
      <c r="N512" s="58">
        <v>1</v>
      </c>
      <c r="O512" s="224">
        <f t="shared" ref="O512:O766" si="4">K512-L512-M512</f>
        <v>4.13</v>
      </c>
      <c r="P512" s="227">
        <f t="shared" ref="P512:P766" si="5">IF(D512="USD",O512,O512/N512)</f>
        <v>4.13</v>
      </c>
    </row>
    <row r="513" spans="1:16" ht="14.25">
      <c r="A513" s="224">
        <v>512</v>
      </c>
      <c r="B513" s="58">
        <v>19972</v>
      </c>
      <c r="C513" s="57" t="s">
        <v>3283</v>
      </c>
      <c r="D513" s="57" t="s">
        <v>45</v>
      </c>
      <c r="E513" s="57" t="s">
        <v>2556</v>
      </c>
      <c r="F513" s="58" t="s">
        <v>3284</v>
      </c>
      <c r="G513" s="57">
        <v>3</v>
      </c>
      <c r="H513" s="57" t="s">
        <v>2557</v>
      </c>
      <c r="I513" s="58">
        <v>53311</v>
      </c>
      <c r="J513" s="234" t="s">
        <v>3285</v>
      </c>
      <c r="K513" s="58">
        <v>17.989999999999998</v>
      </c>
      <c r="L513" s="58">
        <v>0</v>
      </c>
      <c r="M513" s="58">
        <v>0</v>
      </c>
      <c r="N513" s="58">
        <v>1</v>
      </c>
      <c r="O513" s="224">
        <f t="shared" si="4"/>
        <v>17.989999999999998</v>
      </c>
      <c r="P513" s="227">
        <f t="shared" si="5"/>
        <v>17.989999999999998</v>
      </c>
    </row>
    <row r="514" spans="1:16" ht="14.25">
      <c r="A514" s="224">
        <v>513</v>
      </c>
      <c r="B514" s="58">
        <v>19829</v>
      </c>
      <c r="C514" s="57" t="s">
        <v>3200</v>
      </c>
      <c r="D514" s="57" t="s">
        <v>45</v>
      </c>
      <c r="E514" s="57" t="s">
        <v>2556</v>
      </c>
      <c r="F514" s="58" t="s">
        <v>3286</v>
      </c>
      <c r="G514" s="57">
        <v>3</v>
      </c>
      <c r="H514" s="57" t="s">
        <v>2557</v>
      </c>
      <c r="I514" s="58">
        <v>53347</v>
      </c>
      <c r="J514" s="234" t="s">
        <v>3287</v>
      </c>
      <c r="K514" s="58">
        <v>8.39</v>
      </c>
      <c r="L514" s="58">
        <v>0</v>
      </c>
      <c r="M514" s="58">
        <v>0</v>
      </c>
      <c r="N514" s="58">
        <v>1</v>
      </c>
      <c r="O514" s="224">
        <f t="shared" si="4"/>
        <v>8.39</v>
      </c>
      <c r="P514" s="227">
        <f t="shared" si="5"/>
        <v>8.39</v>
      </c>
    </row>
    <row r="515" spans="1:16" ht="14.25">
      <c r="A515" s="224">
        <v>514</v>
      </c>
      <c r="B515" s="58">
        <v>3271</v>
      </c>
      <c r="C515" s="57" t="s">
        <v>3288</v>
      </c>
      <c r="D515" s="57" t="s">
        <v>45</v>
      </c>
      <c r="E515" s="57" t="s">
        <v>2556</v>
      </c>
      <c r="F515" s="58" t="s">
        <v>3289</v>
      </c>
      <c r="G515" s="57">
        <v>3</v>
      </c>
      <c r="H515" s="57" t="s">
        <v>2557</v>
      </c>
      <c r="I515" s="58">
        <v>53371</v>
      </c>
      <c r="J515" s="234" t="s">
        <v>3290</v>
      </c>
      <c r="K515" s="58">
        <v>1.99</v>
      </c>
      <c r="L515" s="58">
        <v>0</v>
      </c>
      <c r="M515" s="58">
        <v>0</v>
      </c>
      <c r="N515" s="58">
        <v>1</v>
      </c>
      <c r="O515" s="224">
        <f t="shared" si="4"/>
        <v>1.99</v>
      </c>
      <c r="P515" s="227">
        <f t="shared" si="5"/>
        <v>1.99</v>
      </c>
    </row>
    <row r="516" spans="1:16" ht="14.25">
      <c r="A516" s="224">
        <v>515</v>
      </c>
      <c r="B516" s="58">
        <v>19989</v>
      </c>
      <c r="C516" s="57" t="s">
        <v>3291</v>
      </c>
      <c r="D516" s="57" t="s">
        <v>45</v>
      </c>
      <c r="E516" s="57" t="s">
        <v>2556</v>
      </c>
      <c r="F516" s="58" t="s">
        <v>3292</v>
      </c>
      <c r="G516" s="57">
        <v>3</v>
      </c>
      <c r="H516" s="57" t="s">
        <v>2557</v>
      </c>
      <c r="I516" s="58">
        <v>53383</v>
      </c>
      <c r="J516" s="234" t="s">
        <v>3293</v>
      </c>
      <c r="K516" s="58">
        <v>2.99</v>
      </c>
      <c r="L516" s="58">
        <v>0</v>
      </c>
      <c r="M516" s="58">
        <v>0</v>
      </c>
      <c r="N516" s="58">
        <v>1</v>
      </c>
      <c r="O516" s="224">
        <f t="shared" si="4"/>
        <v>2.99</v>
      </c>
      <c r="P516" s="227">
        <f t="shared" si="5"/>
        <v>2.99</v>
      </c>
    </row>
    <row r="517" spans="1:16" ht="14.25">
      <c r="A517" s="224">
        <v>516</v>
      </c>
      <c r="B517" s="58">
        <v>19990</v>
      </c>
      <c r="C517" s="57" t="s">
        <v>3294</v>
      </c>
      <c r="D517" s="57" t="s">
        <v>45</v>
      </c>
      <c r="E517" s="57" t="s">
        <v>2556</v>
      </c>
      <c r="F517" s="58" t="s">
        <v>3295</v>
      </c>
      <c r="G517" s="57">
        <v>3</v>
      </c>
      <c r="H517" s="57" t="s">
        <v>2557</v>
      </c>
      <c r="I517" s="58">
        <v>53395</v>
      </c>
      <c r="J517" s="234" t="s">
        <v>3296</v>
      </c>
      <c r="K517" s="58">
        <v>2.99</v>
      </c>
      <c r="L517" s="58">
        <v>0</v>
      </c>
      <c r="M517" s="58">
        <v>0</v>
      </c>
      <c r="N517" s="58">
        <v>1</v>
      </c>
      <c r="O517" s="224">
        <f t="shared" si="4"/>
        <v>2.99</v>
      </c>
      <c r="P517" s="227">
        <f t="shared" si="5"/>
        <v>2.99</v>
      </c>
    </row>
    <row r="518" spans="1:16" ht="14.25">
      <c r="A518" s="224">
        <v>517</v>
      </c>
      <c r="B518" s="58">
        <v>19840</v>
      </c>
      <c r="C518" s="57" t="s">
        <v>3209</v>
      </c>
      <c r="D518" s="57" t="s">
        <v>2582</v>
      </c>
      <c r="E518" s="57" t="s">
        <v>2556</v>
      </c>
      <c r="F518" s="58" t="s">
        <v>3297</v>
      </c>
      <c r="G518" s="57">
        <v>3</v>
      </c>
      <c r="H518" s="57" t="s">
        <v>2557</v>
      </c>
      <c r="I518" s="58">
        <v>53407</v>
      </c>
      <c r="J518" s="234" t="s">
        <v>3298</v>
      </c>
      <c r="K518" s="58">
        <v>146.58000000000001</v>
      </c>
      <c r="L518" s="58">
        <v>0</v>
      </c>
      <c r="M518" s="58">
        <v>0</v>
      </c>
      <c r="N518" s="58">
        <v>7.2386799999999996</v>
      </c>
      <c r="O518" s="224">
        <f t="shared" si="4"/>
        <v>146.58000000000001</v>
      </c>
      <c r="P518" s="227">
        <f t="shared" si="5"/>
        <v>20.249548260180035</v>
      </c>
    </row>
    <row r="519" spans="1:16" ht="14.25">
      <c r="A519" s="224">
        <v>518</v>
      </c>
      <c r="B519" s="58">
        <v>19988</v>
      </c>
      <c r="C519" s="57" t="s">
        <v>2598</v>
      </c>
      <c r="D519" s="57" t="s">
        <v>2582</v>
      </c>
      <c r="E519" s="57" t="s">
        <v>2556</v>
      </c>
      <c r="F519" s="58" t="s">
        <v>3299</v>
      </c>
      <c r="G519" s="57">
        <v>3</v>
      </c>
      <c r="H519" s="57" t="s">
        <v>2557</v>
      </c>
      <c r="I519" s="58">
        <v>53419</v>
      </c>
      <c r="J519" s="234" t="s">
        <v>3300</v>
      </c>
      <c r="K519" s="58">
        <v>57.84</v>
      </c>
      <c r="L519" s="58">
        <v>0</v>
      </c>
      <c r="M519" s="58">
        <v>0</v>
      </c>
      <c r="N519" s="58">
        <v>7.2386799999999996</v>
      </c>
      <c r="O519" s="224">
        <f t="shared" si="4"/>
        <v>57.84</v>
      </c>
      <c r="P519" s="227">
        <f t="shared" si="5"/>
        <v>7.9904070907955607</v>
      </c>
    </row>
    <row r="520" spans="1:16" ht="14.25">
      <c r="A520" s="224">
        <v>519</v>
      </c>
      <c r="B520" s="58">
        <v>8279</v>
      </c>
      <c r="C520" s="57" t="s">
        <v>2584</v>
      </c>
      <c r="D520" s="57" t="s">
        <v>45</v>
      </c>
      <c r="E520" s="57" t="s">
        <v>2556</v>
      </c>
      <c r="F520" s="58" t="s">
        <v>3301</v>
      </c>
      <c r="G520" s="57">
        <v>3</v>
      </c>
      <c r="H520" s="57" t="s">
        <v>2557</v>
      </c>
      <c r="I520" s="58">
        <v>48607</v>
      </c>
      <c r="J520" s="234" t="s">
        <v>3302</v>
      </c>
      <c r="K520" s="58">
        <v>1.19</v>
      </c>
      <c r="L520" s="58">
        <v>0</v>
      </c>
      <c r="M520" s="58">
        <v>0</v>
      </c>
      <c r="N520" s="58">
        <v>1</v>
      </c>
      <c r="O520" s="224">
        <f t="shared" si="4"/>
        <v>1.19</v>
      </c>
      <c r="P520" s="227">
        <f t="shared" si="5"/>
        <v>1.19</v>
      </c>
    </row>
    <row r="521" spans="1:16" ht="14.25">
      <c r="A521" s="224">
        <v>520</v>
      </c>
      <c r="B521" s="58">
        <v>1836</v>
      </c>
      <c r="C521" s="57" t="s">
        <v>2598</v>
      </c>
      <c r="D521" s="57" t="s">
        <v>2582</v>
      </c>
      <c r="E521" s="57" t="s">
        <v>2556</v>
      </c>
      <c r="F521" s="58" t="s">
        <v>3303</v>
      </c>
      <c r="G521" s="57">
        <v>3</v>
      </c>
      <c r="H521" s="57" t="s">
        <v>2557</v>
      </c>
      <c r="I521" s="58">
        <v>52999</v>
      </c>
      <c r="J521" s="234"/>
      <c r="K521" s="58">
        <v>0.01</v>
      </c>
      <c r="L521" s="58">
        <v>0</v>
      </c>
      <c r="M521" s="58">
        <v>0</v>
      </c>
      <c r="N521" s="58">
        <v>7.2386799999999996</v>
      </c>
      <c r="O521" s="224">
        <f t="shared" si="4"/>
        <v>0.01</v>
      </c>
      <c r="P521" s="227">
        <f t="shared" si="5"/>
        <v>1.3814673393491633E-3</v>
      </c>
    </row>
    <row r="522" spans="1:16" ht="14.25">
      <c r="A522" s="224">
        <v>521</v>
      </c>
      <c r="B522" s="58">
        <v>19995</v>
      </c>
      <c r="C522" s="57" t="s">
        <v>3304</v>
      </c>
      <c r="D522" s="57" t="s">
        <v>45</v>
      </c>
      <c r="E522" s="57" t="s">
        <v>9</v>
      </c>
      <c r="F522" s="58" t="s">
        <v>3305</v>
      </c>
      <c r="G522" s="57">
        <v>3</v>
      </c>
      <c r="H522" s="57" t="s">
        <v>2557</v>
      </c>
      <c r="I522" s="58">
        <v>53431</v>
      </c>
      <c r="J522" s="234" t="s">
        <v>409</v>
      </c>
      <c r="K522" s="58">
        <v>20.25</v>
      </c>
      <c r="L522" s="58">
        <v>1.2</v>
      </c>
      <c r="M522" s="58">
        <v>0</v>
      </c>
      <c r="N522" s="58">
        <v>1</v>
      </c>
      <c r="O522" s="224">
        <f t="shared" si="4"/>
        <v>19.05</v>
      </c>
      <c r="P522" s="227">
        <f t="shared" si="5"/>
        <v>19.05</v>
      </c>
    </row>
    <row r="523" spans="1:16" ht="14.25">
      <c r="A523" s="224">
        <v>522</v>
      </c>
      <c r="B523" s="58">
        <v>19962</v>
      </c>
      <c r="C523" s="57" t="s">
        <v>3276</v>
      </c>
      <c r="D523" s="57" t="s">
        <v>2582</v>
      </c>
      <c r="E523" s="57" t="s">
        <v>2556</v>
      </c>
      <c r="F523" s="58" t="s">
        <v>3306</v>
      </c>
      <c r="G523" s="57">
        <v>3</v>
      </c>
      <c r="H523" s="57" t="s">
        <v>2557</v>
      </c>
      <c r="I523" s="58">
        <v>53443</v>
      </c>
      <c r="J523" s="234" t="s">
        <v>3307</v>
      </c>
      <c r="K523" s="58">
        <v>14.4</v>
      </c>
      <c r="L523" s="58">
        <v>0</v>
      </c>
      <c r="M523" s="58">
        <v>0</v>
      </c>
      <c r="N523" s="58">
        <v>7.2386799999999996</v>
      </c>
      <c r="O523" s="224">
        <f t="shared" si="4"/>
        <v>14.4</v>
      </c>
      <c r="P523" s="227">
        <f t="shared" si="5"/>
        <v>1.9893129686627951</v>
      </c>
    </row>
    <row r="524" spans="1:16" ht="14.25">
      <c r="A524" s="224">
        <v>523</v>
      </c>
      <c r="B524" s="58">
        <v>19996</v>
      </c>
      <c r="C524" s="57" t="s">
        <v>3308</v>
      </c>
      <c r="D524" s="57" t="s">
        <v>2582</v>
      </c>
      <c r="E524" s="57" t="s">
        <v>2556</v>
      </c>
      <c r="F524" s="58" t="s">
        <v>3309</v>
      </c>
      <c r="G524" s="57">
        <v>3</v>
      </c>
      <c r="H524" s="57" t="s">
        <v>2557</v>
      </c>
      <c r="I524" s="58">
        <v>53455</v>
      </c>
      <c r="J524" s="234" t="s">
        <v>3310</v>
      </c>
      <c r="K524" s="58">
        <v>21.64</v>
      </c>
      <c r="L524" s="58">
        <v>0</v>
      </c>
      <c r="M524" s="58">
        <v>0</v>
      </c>
      <c r="N524" s="58">
        <v>7.2386799999999996</v>
      </c>
      <c r="O524" s="224">
        <f t="shared" si="4"/>
        <v>21.64</v>
      </c>
      <c r="P524" s="227">
        <f t="shared" si="5"/>
        <v>2.9894953223515892</v>
      </c>
    </row>
    <row r="525" spans="1:16" ht="14.25">
      <c r="A525" s="224">
        <v>524</v>
      </c>
      <c r="B525" s="58">
        <v>1836</v>
      </c>
      <c r="C525" s="57" t="s">
        <v>2598</v>
      </c>
      <c r="D525" s="57" t="s">
        <v>2582</v>
      </c>
      <c r="E525" s="57" t="s">
        <v>2556</v>
      </c>
      <c r="F525" s="58" t="s">
        <v>3311</v>
      </c>
      <c r="G525" s="57">
        <v>3</v>
      </c>
      <c r="H525" s="57" t="s">
        <v>2557</v>
      </c>
      <c r="I525" s="58">
        <v>53467</v>
      </c>
      <c r="J525" s="234" t="s">
        <v>3312</v>
      </c>
      <c r="K525" s="58">
        <v>144.69999999999999</v>
      </c>
      <c r="L525" s="58">
        <v>0</v>
      </c>
      <c r="M525" s="58">
        <v>0</v>
      </c>
      <c r="N525" s="58">
        <v>7.2386799999999996</v>
      </c>
      <c r="O525" s="224">
        <f t="shared" si="4"/>
        <v>144.69999999999999</v>
      </c>
      <c r="P525" s="227">
        <f t="shared" si="5"/>
        <v>19.98983240038239</v>
      </c>
    </row>
    <row r="526" spans="1:16" ht="14.25">
      <c r="A526" s="224">
        <v>525</v>
      </c>
      <c r="B526" s="58">
        <v>19999</v>
      </c>
      <c r="C526" s="57" t="s">
        <v>3313</v>
      </c>
      <c r="D526" s="57" t="s">
        <v>45</v>
      </c>
      <c r="E526" s="57" t="s">
        <v>2556</v>
      </c>
      <c r="F526" s="58" t="s">
        <v>3314</v>
      </c>
      <c r="G526" s="57">
        <v>3</v>
      </c>
      <c r="H526" s="57" t="s">
        <v>2557</v>
      </c>
      <c r="I526" s="58">
        <v>53503</v>
      </c>
      <c r="J526" s="234" t="s">
        <v>3315</v>
      </c>
      <c r="K526" s="58">
        <v>2.99</v>
      </c>
      <c r="L526" s="58">
        <v>0</v>
      </c>
      <c r="M526" s="58">
        <v>0</v>
      </c>
      <c r="N526" s="58">
        <v>1</v>
      </c>
      <c r="O526" s="224">
        <f t="shared" si="4"/>
        <v>2.99</v>
      </c>
      <c r="P526" s="227">
        <f t="shared" si="5"/>
        <v>2.99</v>
      </c>
    </row>
    <row r="527" spans="1:16" ht="14.25">
      <c r="A527" s="224">
        <v>526</v>
      </c>
      <c r="B527" s="58">
        <v>18464</v>
      </c>
      <c r="C527" s="57" t="s">
        <v>3281</v>
      </c>
      <c r="D527" s="57" t="s">
        <v>45</v>
      </c>
      <c r="E527" s="57" t="s">
        <v>9</v>
      </c>
      <c r="F527" s="58" t="s">
        <v>3316</v>
      </c>
      <c r="G527" s="57">
        <v>3</v>
      </c>
      <c r="H527" s="57" t="s">
        <v>2557</v>
      </c>
      <c r="I527" s="58">
        <v>53527</v>
      </c>
      <c r="J527" s="234" t="s">
        <v>410</v>
      </c>
      <c r="K527" s="58">
        <v>15.46</v>
      </c>
      <c r="L527" s="58">
        <v>1.03</v>
      </c>
      <c r="M527" s="58">
        <v>0</v>
      </c>
      <c r="N527" s="58">
        <v>1</v>
      </c>
      <c r="O527" s="224">
        <f t="shared" si="4"/>
        <v>14.430000000000001</v>
      </c>
      <c r="P527" s="227">
        <f t="shared" si="5"/>
        <v>14.430000000000001</v>
      </c>
    </row>
    <row r="528" spans="1:16" ht="14.25">
      <c r="A528" s="224">
        <v>527</v>
      </c>
      <c r="B528" s="58">
        <v>19995</v>
      </c>
      <c r="C528" s="57" t="s">
        <v>3304</v>
      </c>
      <c r="D528" s="57" t="s">
        <v>45</v>
      </c>
      <c r="E528" s="57" t="s">
        <v>9</v>
      </c>
      <c r="F528" s="58" t="s">
        <v>3317</v>
      </c>
      <c r="G528" s="57">
        <v>3</v>
      </c>
      <c r="H528" s="57" t="s">
        <v>3318</v>
      </c>
      <c r="I528" s="58">
        <v>53431</v>
      </c>
      <c r="J528" s="234"/>
      <c r="K528" s="58">
        <v>0</v>
      </c>
      <c r="L528" s="58">
        <v>-1.2</v>
      </c>
      <c r="M528" s="58">
        <v>19.25</v>
      </c>
      <c r="N528" s="58">
        <v>1</v>
      </c>
      <c r="O528" s="224">
        <f t="shared" si="4"/>
        <v>-18.05</v>
      </c>
      <c r="P528" s="227">
        <f t="shared" si="5"/>
        <v>-18.05</v>
      </c>
    </row>
    <row r="529" spans="1:16" ht="14.25">
      <c r="A529" s="224">
        <v>528</v>
      </c>
      <c r="B529" s="58">
        <v>19889</v>
      </c>
      <c r="C529" s="57" t="s">
        <v>3227</v>
      </c>
      <c r="D529" s="57" t="s">
        <v>45</v>
      </c>
      <c r="E529" s="57" t="s">
        <v>2556</v>
      </c>
      <c r="F529" s="58" t="s">
        <v>3319</v>
      </c>
      <c r="G529" s="57">
        <v>3</v>
      </c>
      <c r="H529" s="57" t="s">
        <v>2557</v>
      </c>
      <c r="I529" s="58">
        <v>53539</v>
      </c>
      <c r="J529" s="234" t="s">
        <v>3320</v>
      </c>
      <c r="K529" s="58">
        <v>1.99</v>
      </c>
      <c r="L529" s="58">
        <v>0</v>
      </c>
      <c r="M529" s="58">
        <v>0</v>
      </c>
      <c r="N529" s="58">
        <v>1</v>
      </c>
      <c r="O529" s="224">
        <f t="shared" si="4"/>
        <v>1.99</v>
      </c>
      <c r="P529" s="227">
        <f t="shared" si="5"/>
        <v>1.99</v>
      </c>
    </row>
    <row r="530" spans="1:16" ht="14.25">
      <c r="A530" s="224">
        <v>529</v>
      </c>
      <c r="B530" s="58">
        <v>18477</v>
      </c>
      <c r="C530" s="57" t="s">
        <v>2966</v>
      </c>
      <c r="D530" s="57" t="s">
        <v>45</v>
      </c>
      <c r="E530" s="57" t="s">
        <v>2572</v>
      </c>
      <c r="F530" s="58" t="s">
        <v>3321</v>
      </c>
      <c r="G530" s="57">
        <v>3</v>
      </c>
      <c r="H530" s="57" t="s">
        <v>2557</v>
      </c>
      <c r="I530" s="58">
        <v>51175</v>
      </c>
      <c r="J530" s="234"/>
      <c r="K530" s="58">
        <v>110</v>
      </c>
      <c r="L530" s="58">
        <v>0</v>
      </c>
      <c r="M530" s="58">
        <v>0</v>
      </c>
      <c r="N530" s="58">
        <v>1</v>
      </c>
      <c r="O530" s="224">
        <f t="shared" si="4"/>
        <v>110</v>
      </c>
      <c r="P530" s="227">
        <f t="shared" si="5"/>
        <v>110</v>
      </c>
    </row>
    <row r="531" spans="1:16" ht="14.25">
      <c r="A531" s="224">
        <v>530</v>
      </c>
      <c r="B531" s="58">
        <v>20023</v>
      </c>
      <c r="C531" s="57" t="s">
        <v>3322</v>
      </c>
      <c r="D531" s="57" t="s">
        <v>2582</v>
      </c>
      <c r="E531" s="57" t="s">
        <v>2556</v>
      </c>
      <c r="F531" s="58" t="s">
        <v>3323</v>
      </c>
      <c r="G531" s="57">
        <v>3</v>
      </c>
      <c r="H531" s="57" t="s">
        <v>2557</v>
      </c>
      <c r="I531" s="58">
        <v>53563</v>
      </c>
      <c r="J531" s="234" t="s">
        <v>3324</v>
      </c>
      <c r="K531" s="58">
        <v>43.36</v>
      </c>
      <c r="L531" s="58">
        <v>0</v>
      </c>
      <c r="M531" s="58">
        <v>0</v>
      </c>
      <c r="N531" s="58">
        <v>7.2386799999999996</v>
      </c>
      <c r="O531" s="224">
        <f t="shared" si="4"/>
        <v>43.36</v>
      </c>
      <c r="P531" s="227">
        <f t="shared" si="5"/>
        <v>5.9900423834179719</v>
      </c>
    </row>
    <row r="532" spans="1:16" ht="14.25">
      <c r="A532" s="224">
        <v>531</v>
      </c>
      <c r="B532" s="58">
        <v>18684</v>
      </c>
      <c r="C532" s="57" t="s">
        <v>2994</v>
      </c>
      <c r="D532" s="57" t="s">
        <v>45</v>
      </c>
      <c r="E532" s="57" t="s">
        <v>2556</v>
      </c>
      <c r="F532" s="58" t="s">
        <v>3325</v>
      </c>
      <c r="G532" s="57">
        <v>3</v>
      </c>
      <c r="H532" s="57" t="s">
        <v>2557</v>
      </c>
      <c r="I532" s="58">
        <v>52699</v>
      </c>
      <c r="J532" s="234" t="s">
        <v>3326</v>
      </c>
      <c r="K532" s="58">
        <v>4.1900000000000004</v>
      </c>
      <c r="L532" s="58">
        <v>0</v>
      </c>
      <c r="M532" s="58">
        <v>0</v>
      </c>
      <c r="N532" s="58">
        <v>1</v>
      </c>
      <c r="O532" s="224">
        <f t="shared" si="4"/>
        <v>4.1900000000000004</v>
      </c>
      <c r="P532" s="227">
        <f t="shared" si="5"/>
        <v>4.1900000000000004</v>
      </c>
    </row>
    <row r="533" spans="1:16" ht="14.25">
      <c r="A533" s="224">
        <v>532</v>
      </c>
      <c r="B533" s="58">
        <v>20023</v>
      </c>
      <c r="C533" s="57" t="s">
        <v>3322</v>
      </c>
      <c r="D533" s="57" t="s">
        <v>2582</v>
      </c>
      <c r="E533" s="57" t="s">
        <v>2556</v>
      </c>
      <c r="F533" s="58" t="s">
        <v>3327</v>
      </c>
      <c r="G533" s="57">
        <v>3</v>
      </c>
      <c r="H533" s="57" t="s">
        <v>3328</v>
      </c>
      <c r="I533" s="58">
        <v>53563</v>
      </c>
      <c r="J533" s="234"/>
      <c r="K533" s="58">
        <v>0</v>
      </c>
      <c r="L533" s="58">
        <v>0</v>
      </c>
      <c r="M533" s="58">
        <v>43.36</v>
      </c>
      <c r="N533" s="58">
        <v>7.2386799999999996</v>
      </c>
      <c r="O533" s="224">
        <f t="shared" si="4"/>
        <v>-43.36</v>
      </c>
      <c r="P533" s="227">
        <f t="shared" si="5"/>
        <v>-5.9900423834179719</v>
      </c>
    </row>
    <row r="534" spans="1:16" ht="14.25">
      <c r="A534" s="224">
        <v>533</v>
      </c>
      <c r="B534" s="58">
        <v>18946</v>
      </c>
      <c r="C534" s="57" t="s">
        <v>3070</v>
      </c>
      <c r="D534" s="57" t="s">
        <v>2582</v>
      </c>
      <c r="E534" s="57" t="s">
        <v>2556</v>
      </c>
      <c r="F534" s="58" t="s">
        <v>3329</v>
      </c>
      <c r="G534" s="57">
        <v>3</v>
      </c>
      <c r="H534" s="57" t="s">
        <v>2557</v>
      </c>
      <c r="I534" s="58">
        <v>52267</v>
      </c>
      <c r="J534" s="234" t="s">
        <v>3330</v>
      </c>
      <c r="K534" s="58">
        <v>8.68</v>
      </c>
      <c r="L534" s="58">
        <v>0</v>
      </c>
      <c r="M534" s="58">
        <v>0</v>
      </c>
      <c r="N534" s="58">
        <v>7.2336999999999998</v>
      </c>
      <c r="O534" s="224">
        <f t="shared" si="4"/>
        <v>8.68</v>
      </c>
      <c r="P534" s="227">
        <f t="shared" si="5"/>
        <v>1.1999391735902789</v>
      </c>
    </row>
    <row r="535" spans="1:16" ht="14.25">
      <c r="A535" s="224">
        <v>534</v>
      </c>
      <c r="B535" s="58">
        <v>20046</v>
      </c>
      <c r="C535" s="57" t="s">
        <v>3331</v>
      </c>
      <c r="D535" s="57" t="s">
        <v>45</v>
      </c>
      <c r="E535" s="57" t="s">
        <v>2556</v>
      </c>
      <c r="F535" s="58" t="s">
        <v>3332</v>
      </c>
      <c r="G535" s="57">
        <v>3</v>
      </c>
      <c r="H535" s="57" t="s">
        <v>2557</v>
      </c>
      <c r="I535" s="58">
        <v>53695</v>
      </c>
      <c r="J535" s="234" t="s">
        <v>3333</v>
      </c>
      <c r="K535" s="58">
        <v>3.99</v>
      </c>
      <c r="L535" s="58">
        <v>0</v>
      </c>
      <c r="M535" s="58">
        <v>0</v>
      </c>
      <c r="N535" s="58">
        <v>1</v>
      </c>
      <c r="O535" s="224">
        <f t="shared" si="4"/>
        <v>3.99</v>
      </c>
      <c r="P535" s="227">
        <f t="shared" si="5"/>
        <v>3.99</v>
      </c>
    </row>
    <row r="536" spans="1:16" ht="14.25">
      <c r="A536" s="224">
        <v>535</v>
      </c>
      <c r="B536" s="58">
        <v>18666</v>
      </c>
      <c r="C536" s="57" t="s">
        <v>2991</v>
      </c>
      <c r="D536" s="57" t="s">
        <v>45</v>
      </c>
      <c r="E536" s="57" t="s">
        <v>2556</v>
      </c>
      <c r="F536" s="58" t="s">
        <v>3334</v>
      </c>
      <c r="G536" s="57">
        <v>3</v>
      </c>
      <c r="H536" s="57" t="s">
        <v>2557</v>
      </c>
      <c r="I536" s="58">
        <v>52567</v>
      </c>
      <c r="J536" s="234" t="s">
        <v>3335</v>
      </c>
      <c r="K536" s="58">
        <v>6.99</v>
      </c>
      <c r="L536" s="58">
        <v>0</v>
      </c>
      <c r="M536" s="58">
        <v>0</v>
      </c>
      <c r="N536" s="58">
        <v>1</v>
      </c>
      <c r="O536" s="224">
        <f t="shared" si="4"/>
        <v>6.99</v>
      </c>
      <c r="P536" s="227">
        <f t="shared" si="5"/>
        <v>6.99</v>
      </c>
    </row>
    <row r="537" spans="1:16" ht="14.25">
      <c r="A537" s="224">
        <v>536</v>
      </c>
      <c r="B537" s="58">
        <v>20047</v>
      </c>
      <c r="C537" s="57" t="s">
        <v>2598</v>
      </c>
      <c r="D537" s="57" t="s">
        <v>2582</v>
      </c>
      <c r="E537" s="57" t="s">
        <v>2556</v>
      </c>
      <c r="F537" s="58" t="s">
        <v>3336</v>
      </c>
      <c r="G537" s="57">
        <v>3</v>
      </c>
      <c r="H537" s="57" t="s">
        <v>2557</v>
      </c>
      <c r="I537" s="58">
        <v>53707</v>
      </c>
      <c r="J537" s="234" t="s">
        <v>3337</v>
      </c>
      <c r="K537" s="58">
        <v>18.010000000000002</v>
      </c>
      <c r="L537" s="58">
        <v>0</v>
      </c>
      <c r="M537" s="58">
        <v>0</v>
      </c>
      <c r="N537" s="58">
        <v>7.2336999999999998</v>
      </c>
      <c r="O537" s="224">
        <f t="shared" si="4"/>
        <v>18.010000000000002</v>
      </c>
      <c r="P537" s="227">
        <f t="shared" si="5"/>
        <v>2.4897355433595534</v>
      </c>
    </row>
    <row r="538" spans="1:16" ht="14.25">
      <c r="A538" s="224">
        <v>537</v>
      </c>
      <c r="B538" s="58">
        <v>1836</v>
      </c>
      <c r="C538" s="57" t="s">
        <v>2598</v>
      </c>
      <c r="D538" s="57" t="s">
        <v>2582</v>
      </c>
      <c r="E538" s="57" t="s">
        <v>2556</v>
      </c>
      <c r="F538" s="58" t="s">
        <v>3338</v>
      </c>
      <c r="G538" s="57">
        <v>3</v>
      </c>
      <c r="H538" s="57" t="s">
        <v>2557</v>
      </c>
      <c r="I538" s="58">
        <v>52879</v>
      </c>
      <c r="J538" s="234" t="s">
        <v>3339</v>
      </c>
      <c r="K538" s="58">
        <v>123.26</v>
      </c>
      <c r="L538" s="58">
        <v>0</v>
      </c>
      <c r="M538" s="58">
        <v>0</v>
      </c>
      <c r="N538" s="58">
        <v>7.2336999999999998</v>
      </c>
      <c r="O538" s="224">
        <f t="shared" si="4"/>
        <v>123.26</v>
      </c>
      <c r="P538" s="227">
        <f t="shared" si="5"/>
        <v>17.039689232343061</v>
      </c>
    </row>
    <row r="539" spans="1:16" ht="14.25">
      <c r="A539" s="224">
        <v>538</v>
      </c>
      <c r="B539" s="58">
        <v>1836</v>
      </c>
      <c r="C539" s="57" t="s">
        <v>2598</v>
      </c>
      <c r="D539" s="57" t="s">
        <v>2582</v>
      </c>
      <c r="E539" s="57" t="s">
        <v>2556</v>
      </c>
      <c r="F539" s="58" t="s">
        <v>3340</v>
      </c>
      <c r="G539" s="57">
        <v>3</v>
      </c>
      <c r="H539" s="57" t="s">
        <v>2557</v>
      </c>
      <c r="I539" s="58">
        <v>52879</v>
      </c>
      <c r="J539" s="234"/>
      <c r="K539" s="58">
        <v>0.03</v>
      </c>
      <c r="L539" s="58">
        <v>0</v>
      </c>
      <c r="M539" s="58">
        <v>0</v>
      </c>
      <c r="N539" s="58">
        <v>7.2336999999999998</v>
      </c>
      <c r="O539" s="224">
        <f t="shared" si="4"/>
        <v>0.03</v>
      </c>
      <c r="P539" s="227">
        <f t="shared" si="5"/>
        <v>4.1472552082613325E-3</v>
      </c>
    </row>
    <row r="540" spans="1:16" ht="14.25">
      <c r="A540" s="224">
        <v>539</v>
      </c>
      <c r="B540" s="58">
        <v>19306</v>
      </c>
      <c r="C540" s="57" t="s">
        <v>2598</v>
      </c>
      <c r="D540" s="57" t="s">
        <v>2582</v>
      </c>
      <c r="E540" s="57" t="s">
        <v>2556</v>
      </c>
      <c r="F540" s="58" t="s">
        <v>3341</v>
      </c>
      <c r="G540" s="57">
        <v>3</v>
      </c>
      <c r="H540" s="57" t="s">
        <v>2557</v>
      </c>
      <c r="I540" s="58">
        <v>53731</v>
      </c>
      <c r="J540" s="234" t="s">
        <v>3342</v>
      </c>
      <c r="K540" s="58">
        <v>80</v>
      </c>
      <c r="L540" s="58">
        <v>0</v>
      </c>
      <c r="M540" s="58">
        <v>0</v>
      </c>
      <c r="N540" s="58">
        <v>7.2336999999999998</v>
      </c>
      <c r="O540" s="224">
        <f t="shared" si="4"/>
        <v>80</v>
      </c>
      <c r="P540" s="227">
        <f t="shared" si="5"/>
        <v>11.059347222030221</v>
      </c>
    </row>
    <row r="541" spans="1:16" ht="14.25">
      <c r="A541" s="224">
        <v>540</v>
      </c>
      <c r="B541" s="58">
        <v>1142</v>
      </c>
      <c r="C541" s="57" t="s">
        <v>3343</v>
      </c>
      <c r="D541" s="57" t="s">
        <v>45</v>
      </c>
      <c r="E541" s="57" t="s">
        <v>2556</v>
      </c>
      <c r="F541" s="58" t="s">
        <v>3344</v>
      </c>
      <c r="G541" s="57">
        <v>3</v>
      </c>
      <c r="H541" s="57" t="s">
        <v>2557</v>
      </c>
      <c r="I541" s="58">
        <v>53779</v>
      </c>
      <c r="J541" s="234"/>
      <c r="K541" s="58">
        <v>0</v>
      </c>
      <c r="L541" s="58">
        <v>0</v>
      </c>
      <c r="M541" s="58">
        <v>0</v>
      </c>
      <c r="N541" s="58">
        <v>1</v>
      </c>
      <c r="O541" s="224">
        <f t="shared" si="4"/>
        <v>0</v>
      </c>
      <c r="P541" s="227">
        <f t="shared" si="5"/>
        <v>0</v>
      </c>
    </row>
    <row r="542" spans="1:16" ht="14.25">
      <c r="A542" s="224">
        <v>541</v>
      </c>
      <c r="B542" s="58">
        <v>1575</v>
      </c>
      <c r="C542" s="57" t="s">
        <v>3345</v>
      </c>
      <c r="D542" s="57" t="s">
        <v>45</v>
      </c>
      <c r="E542" s="57" t="s">
        <v>2556</v>
      </c>
      <c r="F542" s="58" t="s">
        <v>3344</v>
      </c>
      <c r="G542" s="57">
        <v>3</v>
      </c>
      <c r="H542" s="57" t="s">
        <v>2557</v>
      </c>
      <c r="I542" s="58">
        <v>53791</v>
      </c>
      <c r="J542" s="234"/>
      <c r="K542" s="58">
        <v>0</v>
      </c>
      <c r="L542" s="58">
        <v>0</v>
      </c>
      <c r="M542" s="58">
        <v>0</v>
      </c>
      <c r="N542" s="58">
        <v>1</v>
      </c>
      <c r="O542" s="224">
        <f t="shared" si="4"/>
        <v>0</v>
      </c>
      <c r="P542" s="227">
        <f t="shared" si="5"/>
        <v>0</v>
      </c>
    </row>
    <row r="543" spans="1:16" ht="14.25">
      <c r="A543" s="224">
        <v>542</v>
      </c>
      <c r="B543" s="58">
        <v>1980</v>
      </c>
      <c r="C543" s="57" t="s">
        <v>3346</v>
      </c>
      <c r="D543" s="57" t="s">
        <v>45</v>
      </c>
      <c r="E543" s="57" t="s">
        <v>2556</v>
      </c>
      <c r="F543" s="58" t="s">
        <v>3347</v>
      </c>
      <c r="G543" s="57">
        <v>3</v>
      </c>
      <c r="H543" s="57" t="s">
        <v>2557</v>
      </c>
      <c r="I543" s="58">
        <v>53755</v>
      </c>
      <c r="J543" s="234" t="s">
        <v>3348</v>
      </c>
      <c r="K543" s="58">
        <v>179.99</v>
      </c>
      <c r="L543" s="58">
        <v>0</v>
      </c>
      <c r="M543" s="58">
        <v>0</v>
      </c>
      <c r="N543" s="58">
        <v>1</v>
      </c>
      <c r="O543" s="224">
        <f t="shared" si="4"/>
        <v>179.99</v>
      </c>
      <c r="P543" s="227">
        <f t="shared" si="5"/>
        <v>179.99</v>
      </c>
    </row>
    <row r="544" spans="1:16" ht="14.25">
      <c r="A544" s="224">
        <v>543</v>
      </c>
      <c r="B544" s="58">
        <v>6774</v>
      </c>
      <c r="C544" s="57" t="s">
        <v>2614</v>
      </c>
      <c r="D544" s="57" t="s">
        <v>45</v>
      </c>
      <c r="E544" s="57" t="s">
        <v>2556</v>
      </c>
      <c r="F544" s="58" t="s">
        <v>3349</v>
      </c>
      <c r="G544" s="57">
        <v>3</v>
      </c>
      <c r="H544" s="57" t="s">
        <v>2557</v>
      </c>
      <c r="I544" s="58">
        <v>53767</v>
      </c>
      <c r="J544" s="234" t="s">
        <v>3350</v>
      </c>
      <c r="K544" s="58">
        <v>2.99</v>
      </c>
      <c r="L544" s="58">
        <v>0</v>
      </c>
      <c r="M544" s="58">
        <v>0</v>
      </c>
      <c r="N544" s="58">
        <v>1</v>
      </c>
      <c r="O544" s="224">
        <f t="shared" si="4"/>
        <v>2.99</v>
      </c>
      <c r="P544" s="227">
        <f t="shared" si="5"/>
        <v>2.99</v>
      </c>
    </row>
    <row r="545" spans="1:16" ht="14.25">
      <c r="A545" s="224">
        <v>544</v>
      </c>
      <c r="B545" s="58">
        <v>4561</v>
      </c>
      <c r="C545" s="57" t="s">
        <v>3351</v>
      </c>
      <c r="D545" s="57" t="s">
        <v>2582</v>
      </c>
      <c r="E545" s="57" t="s">
        <v>2556</v>
      </c>
      <c r="F545" s="58" t="s">
        <v>3352</v>
      </c>
      <c r="G545" s="57">
        <v>3</v>
      </c>
      <c r="H545" s="57" t="s">
        <v>2557</v>
      </c>
      <c r="I545" s="58">
        <v>53803</v>
      </c>
      <c r="J545" s="234" t="s">
        <v>3353</v>
      </c>
      <c r="K545" s="58">
        <v>57.8</v>
      </c>
      <c r="L545" s="58">
        <v>0</v>
      </c>
      <c r="M545" s="58">
        <v>0</v>
      </c>
      <c r="N545" s="58">
        <v>7.2336999999999998</v>
      </c>
      <c r="O545" s="224">
        <f t="shared" si="4"/>
        <v>57.8</v>
      </c>
      <c r="P545" s="227">
        <f t="shared" si="5"/>
        <v>7.9903783679168336</v>
      </c>
    </row>
    <row r="546" spans="1:16" ht="14.25">
      <c r="A546" s="224">
        <v>545</v>
      </c>
      <c r="B546" s="58">
        <v>4561</v>
      </c>
      <c r="C546" s="57" t="s">
        <v>3351</v>
      </c>
      <c r="D546" s="57" t="s">
        <v>2582</v>
      </c>
      <c r="E546" s="57" t="s">
        <v>2556</v>
      </c>
      <c r="F546" s="58" t="s">
        <v>3354</v>
      </c>
      <c r="G546" s="57">
        <v>3</v>
      </c>
      <c r="H546" s="57" t="s">
        <v>2557</v>
      </c>
      <c r="I546" s="58">
        <v>53803</v>
      </c>
      <c r="J546" s="234"/>
      <c r="K546" s="58">
        <v>0.01</v>
      </c>
      <c r="L546" s="58">
        <v>0</v>
      </c>
      <c r="M546" s="58">
        <v>0</v>
      </c>
      <c r="N546" s="58">
        <v>7.2272400000000001</v>
      </c>
      <c r="O546" s="224">
        <f t="shared" si="4"/>
        <v>0.01</v>
      </c>
      <c r="P546" s="227">
        <f t="shared" si="5"/>
        <v>1.3836540643454487E-3</v>
      </c>
    </row>
    <row r="547" spans="1:16" ht="14.25">
      <c r="A547" s="224">
        <v>546</v>
      </c>
      <c r="B547" s="58">
        <v>8279</v>
      </c>
      <c r="C547" s="57" t="s">
        <v>2584</v>
      </c>
      <c r="D547" s="57" t="s">
        <v>45</v>
      </c>
      <c r="E547" s="57" t="s">
        <v>2556</v>
      </c>
      <c r="F547" s="58" t="s">
        <v>3355</v>
      </c>
      <c r="G547" s="57">
        <v>3</v>
      </c>
      <c r="H547" s="57" t="s">
        <v>2557</v>
      </c>
      <c r="I547" s="58">
        <v>53575</v>
      </c>
      <c r="J547" s="234" t="s">
        <v>3356</v>
      </c>
      <c r="K547" s="58">
        <v>1.19</v>
      </c>
      <c r="L547" s="58">
        <v>0</v>
      </c>
      <c r="M547" s="58">
        <v>0</v>
      </c>
      <c r="N547" s="58">
        <v>1</v>
      </c>
      <c r="O547" s="224">
        <f t="shared" si="4"/>
        <v>1.19</v>
      </c>
      <c r="P547" s="227">
        <f t="shared" si="5"/>
        <v>1.19</v>
      </c>
    </row>
    <row r="548" spans="1:16" ht="14.25">
      <c r="A548" s="224">
        <v>547</v>
      </c>
      <c r="B548" s="58">
        <v>6024</v>
      </c>
      <c r="C548" s="57" t="s">
        <v>3183</v>
      </c>
      <c r="D548" s="57" t="s">
        <v>45</v>
      </c>
      <c r="E548" s="57" t="s">
        <v>2556</v>
      </c>
      <c r="F548" s="58" t="s">
        <v>3357</v>
      </c>
      <c r="G548" s="57">
        <v>3</v>
      </c>
      <c r="H548" s="57" t="s">
        <v>3358</v>
      </c>
      <c r="I548" s="58">
        <v>52207</v>
      </c>
      <c r="J548" s="234"/>
      <c r="K548" s="58">
        <v>0</v>
      </c>
      <c r="L548" s="58">
        <v>0</v>
      </c>
      <c r="M548" s="58">
        <v>4.1900000000000004</v>
      </c>
      <c r="N548" s="58">
        <v>1</v>
      </c>
      <c r="O548" s="224">
        <f t="shared" si="4"/>
        <v>-4.1900000000000004</v>
      </c>
      <c r="P548" s="227">
        <f t="shared" si="5"/>
        <v>-4.1900000000000004</v>
      </c>
    </row>
    <row r="549" spans="1:16" ht="14.25">
      <c r="A549" s="224">
        <v>548</v>
      </c>
      <c r="B549" s="58">
        <v>20046</v>
      </c>
      <c r="C549" s="57" t="s">
        <v>3331</v>
      </c>
      <c r="D549" s="57" t="s">
        <v>45</v>
      </c>
      <c r="E549" s="57" t="s">
        <v>2556</v>
      </c>
      <c r="F549" s="58" t="s">
        <v>3359</v>
      </c>
      <c r="G549" s="57">
        <v>3</v>
      </c>
      <c r="H549" s="57" t="s">
        <v>3360</v>
      </c>
      <c r="I549" s="58">
        <v>53695</v>
      </c>
      <c r="J549" s="234"/>
      <c r="K549" s="58">
        <v>0</v>
      </c>
      <c r="L549" s="58">
        <v>0</v>
      </c>
      <c r="M549" s="58">
        <v>3.99</v>
      </c>
      <c r="N549" s="58">
        <v>1</v>
      </c>
      <c r="O549" s="224">
        <f t="shared" si="4"/>
        <v>-3.99</v>
      </c>
      <c r="P549" s="227">
        <f t="shared" si="5"/>
        <v>-3.99</v>
      </c>
    </row>
    <row r="550" spans="1:16" ht="14.25">
      <c r="A550" s="224">
        <v>549</v>
      </c>
      <c r="B550" s="58">
        <v>19093</v>
      </c>
      <c r="C550" s="57" t="s">
        <v>3094</v>
      </c>
      <c r="D550" s="57" t="s">
        <v>45</v>
      </c>
      <c r="E550" s="57" t="s">
        <v>2556</v>
      </c>
      <c r="F550" s="58" t="s">
        <v>3361</v>
      </c>
      <c r="G550" s="57">
        <v>3</v>
      </c>
      <c r="H550" s="57" t="s">
        <v>2557</v>
      </c>
      <c r="I550" s="58">
        <v>52519</v>
      </c>
      <c r="J550" s="234" t="s">
        <v>3362</v>
      </c>
      <c r="K550" s="58">
        <v>1.79</v>
      </c>
      <c r="L550" s="58">
        <v>0</v>
      </c>
      <c r="M550" s="58">
        <v>0</v>
      </c>
      <c r="N550" s="58">
        <v>1</v>
      </c>
      <c r="O550" s="224">
        <f t="shared" si="4"/>
        <v>1.79</v>
      </c>
      <c r="P550" s="227">
        <f t="shared" si="5"/>
        <v>1.79</v>
      </c>
    </row>
    <row r="551" spans="1:16" ht="14.25">
      <c r="A551" s="224">
        <v>550</v>
      </c>
      <c r="B551" s="58">
        <v>17752</v>
      </c>
      <c r="C551" s="57" t="s">
        <v>2869</v>
      </c>
      <c r="D551" s="57" t="s">
        <v>45</v>
      </c>
      <c r="E551" s="57" t="s">
        <v>2556</v>
      </c>
      <c r="F551" s="58" t="s">
        <v>3363</v>
      </c>
      <c r="G551" s="57">
        <v>3</v>
      </c>
      <c r="H551" s="57" t="s">
        <v>2557</v>
      </c>
      <c r="I551" s="58">
        <v>53887</v>
      </c>
      <c r="J551" s="234" t="s">
        <v>3364</v>
      </c>
      <c r="K551" s="58">
        <v>4.49</v>
      </c>
      <c r="L551" s="58">
        <v>0</v>
      </c>
      <c r="M551" s="58">
        <v>0</v>
      </c>
      <c r="N551" s="58">
        <v>1</v>
      </c>
      <c r="O551" s="224">
        <f t="shared" si="4"/>
        <v>4.49</v>
      </c>
      <c r="P551" s="227">
        <f t="shared" si="5"/>
        <v>4.49</v>
      </c>
    </row>
    <row r="552" spans="1:16" ht="14.25">
      <c r="A552" s="224">
        <v>551</v>
      </c>
      <c r="B552" s="58">
        <v>6261</v>
      </c>
      <c r="C552" s="57" t="s">
        <v>3365</v>
      </c>
      <c r="D552" s="57" t="s">
        <v>45</v>
      </c>
      <c r="E552" s="57" t="s">
        <v>2556</v>
      </c>
      <c r="F552" s="58" t="s">
        <v>3366</v>
      </c>
      <c r="G552" s="57">
        <v>3</v>
      </c>
      <c r="H552" s="57" t="s">
        <v>2557</v>
      </c>
      <c r="I552" s="58">
        <v>53983</v>
      </c>
      <c r="J552" s="234" t="s">
        <v>3367</v>
      </c>
      <c r="K552" s="58">
        <v>2.99</v>
      </c>
      <c r="L552" s="58">
        <v>0</v>
      </c>
      <c r="M552" s="58">
        <v>0</v>
      </c>
      <c r="N552" s="58">
        <v>1</v>
      </c>
      <c r="O552" s="224">
        <f t="shared" si="4"/>
        <v>2.99</v>
      </c>
      <c r="P552" s="227">
        <f t="shared" si="5"/>
        <v>2.99</v>
      </c>
    </row>
    <row r="553" spans="1:16" ht="14.25">
      <c r="A553" s="224">
        <v>552</v>
      </c>
      <c r="B553" s="58">
        <v>20113</v>
      </c>
      <c r="C553" s="57" t="s">
        <v>3368</v>
      </c>
      <c r="D553" s="57" t="s">
        <v>2582</v>
      </c>
      <c r="E553" s="57" t="s">
        <v>2556</v>
      </c>
      <c r="F553" s="58" t="s">
        <v>3369</v>
      </c>
      <c r="G553" s="57">
        <v>3</v>
      </c>
      <c r="H553" s="57" t="s">
        <v>2557</v>
      </c>
      <c r="I553" s="58">
        <v>53995</v>
      </c>
      <c r="J553" s="234" t="s">
        <v>3370</v>
      </c>
      <c r="K553" s="58">
        <v>72.2</v>
      </c>
      <c r="L553" s="58">
        <v>0</v>
      </c>
      <c r="M553" s="58">
        <v>0</v>
      </c>
      <c r="N553" s="58">
        <v>7.2272400000000001</v>
      </c>
      <c r="O553" s="224">
        <f t="shared" si="4"/>
        <v>72.2</v>
      </c>
      <c r="P553" s="227">
        <f t="shared" si="5"/>
        <v>9.9899823445741394</v>
      </c>
    </row>
    <row r="554" spans="1:16" ht="14.25">
      <c r="A554" s="224">
        <v>553</v>
      </c>
      <c r="B554" s="58">
        <v>3582</v>
      </c>
      <c r="C554" s="57" t="s">
        <v>3371</v>
      </c>
      <c r="D554" s="57" t="s">
        <v>45</v>
      </c>
      <c r="E554" s="57" t="s">
        <v>2556</v>
      </c>
      <c r="F554" s="58" t="s">
        <v>3372</v>
      </c>
      <c r="G554" s="57">
        <v>3</v>
      </c>
      <c r="H554" s="57" t="s">
        <v>2557</v>
      </c>
      <c r="I554" s="58">
        <v>54007</v>
      </c>
      <c r="J554" s="234" t="s">
        <v>3373</v>
      </c>
      <c r="K554" s="58">
        <v>2.99</v>
      </c>
      <c r="L554" s="58">
        <v>0</v>
      </c>
      <c r="M554" s="58">
        <v>0</v>
      </c>
      <c r="N554" s="58">
        <v>1</v>
      </c>
      <c r="O554" s="224">
        <f t="shared" si="4"/>
        <v>2.99</v>
      </c>
      <c r="P554" s="227">
        <f t="shared" si="5"/>
        <v>2.99</v>
      </c>
    </row>
    <row r="555" spans="1:16" ht="14.25">
      <c r="A555" s="224">
        <v>554</v>
      </c>
      <c r="B555" s="58">
        <v>18746</v>
      </c>
      <c r="C555" s="57" t="s">
        <v>3028</v>
      </c>
      <c r="D555" s="57" t="s">
        <v>45</v>
      </c>
      <c r="E555" s="57" t="s">
        <v>2556</v>
      </c>
      <c r="F555" s="58" t="s">
        <v>3374</v>
      </c>
      <c r="G555" s="57">
        <v>3</v>
      </c>
      <c r="H555" s="57" t="s">
        <v>2557</v>
      </c>
      <c r="I555" s="58">
        <v>54019</v>
      </c>
      <c r="J555" s="234" t="s">
        <v>3375</v>
      </c>
      <c r="K555" s="58">
        <v>20.25</v>
      </c>
      <c r="L555" s="58">
        <v>0</v>
      </c>
      <c r="M555" s="58">
        <v>0</v>
      </c>
      <c r="N555" s="58">
        <v>1</v>
      </c>
      <c r="O555" s="224">
        <f t="shared" si="4"/>
        <v>20.25</v>
      </c>
      <c r="P555" s="227">
        <f t="shared" si="5"/>
        <v>20.25</v>
      </c>
    </row>
    <row r="556" spans="1:16" ht="14.25">
      <c r="A556" s="224">
        <v>555</v>
      </c>
      <c r="B556" s="58">
        <v>6529</v>
      </c>
      <c r="C556" s="57" t="s">
        <v>2566</v>
      </c>
      <c r="D556" s="57" t="s">
        <v>45</v>
      </c>
      <c r="E556" s="57" t="s">
        <v>2556</v>
      </c>
      <c r="F556" s="58" t="s">
        <v>3376</v>
      </c>
      <c r="G556" s="57">
        <v>3</v>
      </c>
      <c r="H556" s="57" t="s">
        <v>2557</v>
      </c>
      <c r="I556" s="58">
        <v>54127</v>
      </c>
      <c r="J556" s="234" t="s">
        <v>3377</v>
      </c>
      <c r="K556" s="58">
        <v>8.99</v>
      </c>
      <c r="L556" s="58">
        <v>0</v>
      </c>
      <c r="M556" s="58">
        <v>0</v>
      </c>
      <c r="N556" s="58">
        <v>1</v>
      </c>
      <c r="O556" s="224">
        <f t="shared" si="4"/>
        <v>8.99</v>
      </c>
      <c r="P556" s="227">
        <f t="shared" si="5"/>
        <v>8.99</v>
      </c>
    </row>
    <row r="557" spans="1:16" ht="14.25">
      <c r="A557" s="224">
        <v>556</v>
      </c>
      <c r="B557" s="58">
        <v>1980</v>
      </c>
      <c r="C557" s="57" t="s">
        <v>3346</v>
      </c>
      <c r="D557" s="57" t="s">
        <v>45</v>
      </c>
      <c r="E557" s="57" t="s">
        <v>2556</v>
      </c>
      <c r="F557" s="58" t="s">
        <v>3378</v>
      </c>
      <c r="G557" s="57">
        <v>3</v>
      </c>
      <c r="H557" s="57" t="s">
        <v>2557</v>
      </c>
      <c r="I557" s="58">
        <v>54139</v>
      </c>
      <c r="J557" s="234" t="s">
        <v>3379</v>
      </c>
      <c r="K557" s="58">
        <v>89.99</v>
      </c>
      <c r="L557" s="58">
        <v>0</v>
      </c>
      <c r="M557" s="58">
        <v>0</v>
      </c>
      <c r="N557" s="58">
        <v>1</v>
      </c>
      <c r="O557" s="224">
        <f t="shared" si="4"/>
        <v>89.99</v>
      </c>
      <c r="P557" s="227">
        <f t="shared" si="5"/>
        <v>89.99</v>
      </c>
    </row>
    <row r="558" spans="1:16" ht="14.25">
      <c r="A558" s="224">
        <v>557</v>
      </c>
      <c r="B558" s="58">
        <v>20147</v>
      </c>
      <c r="C558" s="57" t="s">
        <v>3380</v>
      </c>
      <c r="D558" s="57" t="s">
        <v>45</v>
      </c>
      <c r="E558" s="57" t="s">
        <v>2556</v>
      </c>
      <c r="F558" s="58" t="s">
        <v>3381</v>
      </c>
      <c r="G558" s="57">
        <v>3</v>
      </c>
      <c r="H558" s="57" t="s">
        <v>2557</v>
      </c>
      <c r="I558" s="58">
        <v>54151</v>
      </c>
      <c r="J558" s="234" t="s">
        <v>3382</v>
      </c>
      <c r="K558" s="58">
        <v>2.99</v>
      </c>
      <c r="L558" s="58">
        <v>0</v>
      </c>
      <c r="M558" s="58">
        <v>0</v>
      </c>
      <c r="N558" s="58">
        <v>1</v>
      </c>
      <c r="O558" s="224">
        <f t="shared" si="4"/>
        <v>2.99</v>
      </c>
      <c r="P558" s="227">
        <f t="shared" si="5"/>
        <v>2.99</v>
      </c>
    </row>
    <row r="559" spans="1:16" ht="14.25">
      <c r="A559" s="224">
        <v>558</v>
      </c>
      <c r="B559" s="58">
        <v>392</v>
      </c>
      <c r="C559" s="57" t="s">
        <v>2876</v>
      </c>
      <c r="D559" s="57" t="s">
        <v>2582</v>
      </c>
      <c r="E559" s="57" t="s">
        <v>2556</v>
      </c>
      <c r="F559" s="58" t="s">
        <v>3383</v>
      </c>
      <c r="G559" s="57">
        <v>3</v>
      </c>
      <c r="H559" s="57" t="s">
        <v>2557</v>
      </c>
      <c r="I559" s="58">
        <v>51463</v>
      </c>
      <c r="J559" s="234" t="s">
        <v>3384</v>
      </c>
      <c r="K559" s="58">
        <v>29.06</v>
      </c>
      <c r="L559" s="58">
        <v>0</v>
      </c>
      <c r="M559" s="58">
        <v>0</v>
      </c>
      <c r="N559" s="58">
        <v>7.2300599999999999</v>
      </c>
      <c r="O559" s="224">
        <f t="shared" si="4"/>
        <v>29.06</v>
      </c>
      <c r="P559" s="227">
        <f t="shared" si="5"/>
        <v>4.0193304066632916</v>
      </c>
    </row>
    <row r="560" spans="1:16" ht="14.25">
      <c r="A560" s="224">
        <v>559</v>
      </c>
      <c r="B560" s="58">
        <v>392</v>
      </c>
      <c r="C560" s="57" t="s">
        <v>2876</v>
      </c>
      <c r="D560" s="57" t="s">
        <v>2582</v>
      </c>
      <c r="E560" s="57" t="s">
        <v>2556</v>
      </c>
      <c r="F560" s="58" t="s">
        <v>3385</v>
      </c>
      <c r="G560" s="57">
        <v>3</v>
      </c>
      <c r="H560" s="57" t="s">
        <v>2557</v>
      </c>
      <c r="I560" s="58">
        <v>50407</v>
      </c>
      <c r="J560" s="234" t="s">
        <v>3386</v>
      </c>
      <c r="K560" s="58">
        <v>14.53</v>
      </c>
      <c r="L560" s="58">
        <v>0</v>
      </c>
      <c r="M560" s="58">
        <v>0</v>
      </c>
      <c r="N560" s="58">
        <v>7.2300599999999999</v>
      </c>
      <c r="O560" s="224">
        <f t="shared" si="4"/>
        <v>14.53</v>
      </c>
      <c r="P560" s="227">
        <f t="shared" si="5"/>
        <v>2.0096652033316458</v>
      </c>
    </row>
    <row r="561" spans="1:16" ht="14.25">
      <c r="A561" s="224">
        <v>560</v>
      </c>
      <c r="B561" s="58">
        <v>6261</v>
      </c>
      <c r="C561" s="57" t="s">
        <v>3365</v>
      </c>
      <c r="D561" s="57" t="s">
        <v>45</v>
      </c>
      <c r="E561" s="57" t="s">
        <v>2556</v>
      </c>
      <c r="F561" s="58" t="s">
        <v>3387</v>
      </c>
      <c r="G561" s="57">
        <v>3</v>
      </c>
      <c r="H561" s="57" t="s">
        <v>2557</v>
      </c>
      <c r="I561" s="58">
        <v>54175</v>
      </c>
      <c r="J561" s="234" t="s">
        <v>3388</v>
      </c>
      <c r="K561" s="58">
        <v>7</v>
      </c>
      <c r="L561" s="58">
        <v>0</v>
      </c>
      <c r="M561" s="58">
        <v>0</v>
      </c>
      <c r="N561" s="58">
        <v>1</v>
      </c>
      <c r="O561" s="224">
        <f t="shared" si="4"/>
        <v>7</v>
      </c>
      <c r="P561" s="227">
        <f t="shared" si="5"/>
        <v>7</v>
      </c>
    </row>
    <row r="562" spans="1:16" ht="14.25">
      <c r="A562" s="224">
        <v>561</v>
      </c>
      <c r="B562" s="58">
        <v>7191</v>
      </c>
      <c r="C562" s="57" t="s">
        <v>2650</v>
      </c>
      <c r="D562" s="57" t="s">
        <v>45</v>
      </c>
      <c r="E562" s="57" t="s">
        <v>2556</v>
      </c>
      <c r="F562" s="58" t="s">
        <v>3389</v>
      </c>
      <c r="G562" s="57">
        <v>3</v>
      </c>
      <c r="H562" s="57" t="s">
        <v>2557</v>
      </c>
      <c r="I562" s="58">
        <v>51667</v>
      </c>
      <c r="J562" s="234" t="s">
        <v>3390</v>
      </c>
      <c r="K562" s="58">
        <v>1.79</v>
      </c>
      <c r="L562" s="58">
        <v>0</v>
      </c>
      <c r="M562" s="58">
        <v>0</v>
      </c>
      <c r="N562" s="58">
        <v>1</v>
      </c>
      <c r="O562" s="224">
        <f t="shared" si="4"/>
        <v>1.79</v>
      </c>
      <c r="P562" s="227">
        <f t="shared" si="5"/>
        <v>1.79</v>
      </c>
    </row>
    <row r="563" spans="1:16" ht="14.25">
      <c r="A563" s="224">
        <v>562</v>
      </c>
      <c r="B563" s="58">
        <v>19889</v>
      </c>
      <c r="C563" s="57" t="s">
        <v>3227</v>
      </c>
      <c r="D563" s="57" t="s">
        <v>45</v>
      </c>
      <c r="E563" s="57" t="s">
        <v>2556</v>
      </c>
      <c r="F563" s="58" t="s">
        <v>3391</v>
      </c>
      <c r="G563" s="57">
        <v>3</v>
      </c>
      <c r="H563" s="57" t="s">
        <v>2557</v>
      </c>
      <c r="I563" s="58">
        <v>54187</v>
      </c>
      <c r="J563" s="234" t="s">
        <v>3392</v>
      </c>
      <c r="K563" s="58">
        <v>6.29</v>
      </c>
      <c r="L563" s="58">
        <v>0</v>
      </c>
      <c r="M563" s="58">
        <v>0</v>
      </c>
      <c r="N563" s="58">
        <v>1</v>
      </c>
      <c r="O563" s="224">
        <f t="shared" si="4"/>
        <v>6.29</v>
      </c>
      <c r="P563" s="227">
        <f t="shared" si="5"/>
        <v>6.29</v>
      </c>
    </row>
    <row r="564" spans="1:16" ht="14.25">
      <c r="A564" s="224">
        <v>563</v>
      </c>
      <c r="B564" s="58">
        <v>392</v>
      </c>
      <c r="C564" s="57" t="s">
        <v>2876</v>
      </c>
      <c r="D564" s="57" t="s">
        <v>2582</v>
      </c>
      <c r="E564" s="57" t="s">
        <v>2556</v>
      </c>
      <c r="F564" s="58" t="s">
        <v>3393</v>
      </c>
      <c r="G564" s="57">
        <v>3</v>
      </c>
      <c r="H564" s="57" t="s">
        <v>2557</v>
      </c>
      <c r="I564" s="58">
        <v>51463</v>
      </c>
      <c r="J564" s="234"/>
      <c r="K564" s="58">
        <v>0.01</v>
      </c>
      <c r="L564" s="58">
        <v>0</v>
      </c>
      <c r="M564" s="58">
        <v>0</v>
      </c>
      <c r="N564" s="58">
        <v>7.2300599999999999</v>
      </c>
      <c r="O564" s="224">
        <f t="shared" si="4"/>
        <v>0.01</v>
      </c>
      <c r="P564" s="227">
        <f t="shared" si="5"/>
        <v>1.3831143863259779E-3</v>
      </c>
    </row>
    <row r="565" spans="1:16" ht="14.25">
      <c r="A565" s="224">
        <v>564</v>
      </c>
      <c r="B565" s="58">
        <v>20148</v>
      </c>
      <c r="C565" s="57" t="s">
        <v>3394</v>
      </c>
      <c r="D565" s="57" t="s">
        <v>45</v>
      </c>
      <c r="E565" s="57" t="s">
        <v>2556</v>
      </c>
      <c r="F565" s="58" t="s">
        <v>3395</v>
      </c>
      <c r="G565" s="57">
        <v>3</v>
      </c>
      <c r="H565" s="57" t="s">
        <v>2557</v>
      </c>
      <c r="I565" s="58">
        <v>54163</v>
      </c>
      <c r="J565" s="234" t="s">
        <v>3396</v>
      </c>
      <c r="K565" s="58">
        <v>4.99</v>
      </c>
      <c r="L565" s="58">
        <v>0</v>
      </c>
      <c r="M565" s="58">
        <v>0</v>
      </c>
      <c r="N565" s="58">
        <v>1</v>
      </c>
      <c r="O565" s="224">
        <f t="shared" si="4"/>
        <v>4.99</v>
      </c>
      <c r="P565" s="227">
        <f t="shared" si="5"/>
        <v>4.99</v>
      </c>
    </row>
    <row r="566" spans="1:16" ht="14.25">
      <c r="A566" s="224">
        <v>565</v>
      </c>
      <c r="B566" s="58">
        <v>20214</v>
      </c>
      <c r="C566" s="57" t="s">
        <v>3397</v>
      </c>
      <c r="D566" s="57" t="s">
        <v>2582</v>
      </c>
      <c r="E566" s="57" t="s">
        <v>2556</v>
      </c>
      <c r="F566" s="58" t="s">
        <v>3398</v>
      </c>
      <c r="G566" s="57">
        <v>3</v>
      </c>
      <c r="H566" s="57" t="s">
        <v>2557</v>
      </c>
      <c r="I566" s="58">
        <v>54319</v>
      </c>
      <c r="J566" s="234"/>
      <c r="K566" s="58">
        <v>0</v>
      </c>
      <c r="L566" s="58">
        <v>0</v>
      </c>
      <c r="M566" s="58">
        <v>0</v>
      </c>
      <c r="N566" s="58">
        <v>7.2446200000000003</v>
      </c>
      <c r="O566" s="224">
        <f t="shared" si="4"/>
        <v>0</v>
      </c>
      <c r="P566" s="227">
        <f t="shared" si="5"/>
        <v>0</v>
      </c>
    </row>
    <row r="567" spans="1:16" ht="14.25">
      <c r="A567" s="224">
        <v>566</v>
      </c>
      <c r="B567" s="58">
        <v>3337</v>
      </c>
      <c r="C567" s="57" t="s">
        <v>3399</v>
      </c>
      <c r="D567" s="57" t="s">
        <v>45</v>
      </c>
      <c r="E567" s="57" t="s">
        <v>2556</v>
      </c>
      <c r="F567" s="58" t="s">
        <v>3398</v>
      </c>
      <c r="G567" s="57">
        <v>3</v>
      </c>
      <c r="H567" s="57" t="s">
        <v>2557</v>
      </c>
      <c r="I567" s="58">
        <v>54331</v>
      </c>
      <c r="J567" s="234"/>
      <c r="K567" s="58">
        <v>0</v>
      </c>
      <c r="L567" s="58">
        <v>0</v>
      </c>
      <c r="M567" s="58">
        <v>0</v>
      </c>
      <c r="N567" s="58">
        <v>1</v>
      </c>
      <c r="O567" s="224">
        <f t="shared" si="4"/>
        <v>0</v>
      </c>
      <c r="P567" s="227">
        <f t="shared" si="5"/>
        <v>0</v>
      </c>
    </row>
    <row r="568" spans="1:16" ht="14.25">
      <c r="A568" s="224">
        <v>567</v>
      </c>
      <c r="B568" s="58">
        <v>2300</v>
      </c>
      <c r="C568" s="57" t="s">
        <v>2962</v>
      </c>
      <c r="D568" s="57" t="s">
        <v>45</v>
      </c>
      <c r="E568" s="57" t="s">
        <v>2556</v>
      </c>
      <c r="F568" s="58" t="s">
        <v>3400</v>
      </c>
      <c r="G568" s="57">
        <v>3</v>
      </c>
      <c r="H568" s="57" t="s">
        <v>2557</v>
      </c>
      <c r="I568" s="58">
        <v>54199</v>
      </c>
      <c r="J568" s="234" t="s">
        <v>3401</v>
      </c>
      <c r="K568" s="58">
        <v>8.99</v>
      </c>
      <c r="L568" s="58">
        <v>0</v>
      </c>
      <c r="M568" s="58">
        <v>0</v>
      </c>
      <c r="N568" s="58">
        <v>1</v>
      </c>
      <c r="O568" s="224">
        <f t="shared" si="4"/>
        <v>8.99</v>
      </c>
      <c r="P568" s="227">
        <f t="shared" si="5"/>
        <v>8.99</v>
      </c>
    </row>
    <row r="569" spans="1:16" ht="14.25">
      <c r="A569" s="224">
        <v>568</v>
      </c>
      <c r="B569" s="58">
        <v>2300</v>
      </c>
      <c r="C569" s="57" t="s">
        <v>2962</v>
      </c>
      <c r="D569" s="57" t="s">
        <v>45</v>
      </c>
      <c r="E569" s="57" t="s">
        <v>2556</v>
      </c>
      <c r="F569" s="58" t="s">
        <v>3402</v>
      </c>
      <c r="G569" s="57">
        <v>3</v>
      </c>
      <c r="H569" s="57" t="s">
        <v>2557</v>
      </c>
      <c r="I569" s="58">
        <v>51199</v>
      </c>
      <c r="J569" s="234" t="s">
        <v>3403</v>
      </c>
      <c r="K569" s="58">
        <v>8.99</v>
      </c>
      <c r="L569" s="58">
        <v>0</v>
      </c>
      <c r="M569" s="58">
        <v>0</v>
      </c>
      <c r="N569" s="58">
        <v>1</v>
      </c>
      <c r="O569" s="224">
        <f t="shared" si="4"/>
        <v>8.99</v>
      </c>
      <c r="P569" s="227">
        <f t="shared" si="5"/>
        <v>8.99</v>
      </c>
    </row>
    <row r="570" spans="1:16" ht="14.25">
      <c r="A570" s="224">
        <v>569</v>
      </c>
      <c r="B570" s="58">
        <v>20196</v>
      </c>
      <c r="C570" s="57" t="s">
        <v>3404</v>
      </c>
      <c r="D570" s="57" t="s">
        <v>45</v>
      </c>
      <c r="E570" s="57" t="s">
        <v>2556</v>
      </c>
      <c r="F570" s="58" t="s">
        <v>3405</v>
      </c>
      <c r="G570" s="57">
        <v>3</v>
      </c>
      <c r="H570" s="57" t="s">
        <v>2557</v>
      </c>
      <c r="I570" s="58">
        <v>54235</v>
      </c>
      <c r="J570" s="234" t="s">
        <v>3406</v>
      </c>
      <c r="K570" s="58">
        <v>8.99</v>
      </c>
      <c r="L570" s="58">
        <v>0</v>
      </c>
      <c r="M570" s="58">
        <v>0</v>
      </c>
      <c r="N570" s="58">
        <v>1</v>
      </c>
      <c r="O570" s="224">
        <f t="shared" si="4"/>
        <v>8.99</v>
      </c>
      <c r="P570" s="227">
        <f t="shared" si="5"/>
        <v>8.99</v>
      </c>
    </row>
    <row r="571" spans="1:16" ht="14.25">
      <c r="A571" s="224">
        <v>570</v>
      </c>
      <c r="B571" s="58">
        <v>20206</v>
      </c>
      <c r="C571" s="57" t="s">
        <v>3407</v>
      </c>
      <c r="D571" s="57" t="s">
        <v>45</v>
      </c>
      <c r="E571" s="57" t="s">
        <v>2556</v>
      </c>
      <c r="F571" s="58" t="s">
        <v>3408</v>
      </c>
      <c r="G571" s="57">
        <v>3</v>
      </c>
      <c r="H571" s="57" t="s">
        <v>2557</v>
      </c>
      <c r="I571" s="58">
        <v>54295</v>
      </c>
      <c r="J571" s="234" t="s">
        <v>3409</v>
      </c>
      <c r="K571" s="58">
        <v>3.99</v>
      </c>
      <c r="L571" s="58">
        <v>0</v>
      </c>
      <c r="M571" s="58">
        <v>0</v>
      </c>
      <c r="N571" s="58">
        <v>1</v>
      </c>
      <c r="O571" s="224">
        <f t="shared" si="4"/>
        <v>3.99</v>
      </c>
      <c r="P571" s="227">
        <f t="shared" si="5"/>
        <v>3.99</v>
      </c>
    </row>
    <row r="572" spans="1:16" ht="14.25">
      <c r="A572" s="224">
        <v>571</v>
      </c>
      <c r="B572" s="58">
        <v>3974</v>
      </c>
      <c r="C572" s="57" t="s">
        <v>2844</v>
      </c>
      <c r="D572" s="57" t="s">
        <v>45</v>
      </c>
      <c r="E572" s="57" t="s">
        <v>2556</v>
      </c>
      <c r="F572" s="58" t="s">
        <v>3410</v>
      </c>
      <c r="G572" s="57">
        <v>3</v>
      </c>
      <c r="H572" s="57" t="s">
        <v>2557</v>
      </c>
      <c r="I572" s="58">
        <v>54247</v>
      </c>
      <c r="J572" s="234" t="s">
        <v>3411</v>
      </c>
      <c r="K572" s="58">
        <v>1.99</v>
      </c>
      <c r="L572" s="58">
        <v>0</v>
      </c>
      <c r="M572" s="58">
        <v>0</v>
      </c>
      <c r="N572" s="58">
        <v>1</v>
      </c>
      <c r="O572" s="224">
        <f t="shared" si="4"/>
        <v>1.99</v>
      </c>
      <c r="P572" s="227">
        <f t="shared" si="5"/>
        <v>1.99</v>
      </c>
    </row>
    <row r="573" spans="1:16" ht="14.25">
      <c r="A573" s="224">
        <v>572</v>
      </c>
      <c r="B573" s="58">
        <v>20209</v>
      </c>
      <c r="C573" s="57" t="s">
        <v>3412</v>
      </c>
      <c r="D573" s="57" t="s">
        <v>45</v>
      </c>
      <c r="E573" s="57" t="s">
        <v>2572</v>
      </c>
      <c r="F573" s="58" t="s">
        <v>3413</v>
      </c>
      <c r="G573" s="57">
        <v>3</v>
      </c>
      <c r="H573" s="57" t="s">
        <v>2557</v>
      </c>
      <c r="I573" s="58">
        <v>54307</v>
      </c>
      <c r="J573" s="234" t="s">
        <v>3414</v>
      </c>
      <c r="K573" s="58">
        <v>9.59</v>
      </c>
      <c r="L573" s="58">
        <v>0</v>
      </c>
      <c r="M573" s="58">
        <v>0</v>
      </c>
      <c r="N573" s="58">
        <v>1</v>
      </c>
      <c r="O573" s="224">
        <f t="shared" si="4"/>
        <v>9.59</v>
      </c>
      <c r="P573" s="227">
        <f t="shared" si="5"/>
        <v>9.59</v>
      </c>
    </row>
    <row r="574" spans="1:16" ht="14.25">
      <c r="A574" s="224">
        <v>573</v>
      </c>
      <c r="B574" s="58">
        <v>5906</v>
      </c>
      <c r="C574" s="57" t="s">
        <v>2768</v>
      </c>
      <c r="D574" s="57" t="s">
        <v>45</v>
      </c>
      <c r="E574" s="57" t="s">
        <v>9</v>
      </c>
      <c r="F574" s="58" t="s">
        <v>3415</v>
      </c>
      <c r="G574" s="57">
        <v>3</v>
      </c>
      <c r="H574" s="57" t="s">
        <v>2557</v>
      </c>
      <c r="I574" s="58">
        <v>51595</v>
      </c>
      <c r="J574" s="234" t="s">
        <v>412</v>
      </c>
      <c r="K574" s="58">
        <v>4.99</v>
      </c>
      <c r="L574" s="58">
        <v>0.74</v>
      </c>
      <c r="M574" s="58">
        <v>0</v>
      </c>
      <c r="N574" s="58">
        <v>1</v>
      </c>
      <c r="O574" s="224">
        <f t="shared" si="4"/>
        <v>4.25</v>
      </c>
      <c r="P574" s="227">
        <f t="shared" si="5"/>
        <v>4.25</v>
      </c>
    </row>
    <row r="575" spans="1:16" ht="14.25">
      <c r="A575" s="224">
        <v>574</v>
      </c>
      <c r="B575" s="58">
        <v>20148</v>
      </c>
      <c r="C575" s="57" t="s">
        <v>3394</v>
      </c>
      <c r="D575" s="57" t="s">
        <v>45</v>
      </c>
      <c r="E575" s="57" t="s">
        <v>2556</v>
      </c>
      <c r="F575" s="58" t="s">
        <v>3416</v>
      </c>
      <c r="G575" s="57">
        <v>3</v>
      </c>
      <c r="H575" s="57" t="s">
        <v>3417</v>
      </c>
      <c r="I575" s="58">
        <v>54163</v>
      </c>
      <c r="J575" s="234"/>
      <c r="K575" s="58">
        <v>0</v>
      </c>
      <c r="L575" s="58">
        <v>0</v>
      </c>
      <c r="M575" s="58">
        <v>4.99</v>
      </c>
      <c r="N575" s="58">
        <v>1</v>
      </c>
      <c r="O575" s="224">
        <f t="shared" si="4"/>
        <v>-4.99</v>
      </c>
      <c r="P575" s="227">
        <f t="shared" si="5"/>
        <v>-4.99</v>
      </c>
    </row>
    <row r="576" spans="1:16" ht="14.25">
      <c r="A576" s="224">
        <v>575</v>
      </c>
      <c r="B576" s="58">
        <v>136</v>
      </c>
      <c r="C576" s="57" t="s">
        <v>2575</v>
      </c>
      <c r="D576" s="57" t="s">
        <v>45</v>
      </c>
      <c r="E576" s="57" t="s">
        <v>2556</v>
      </c>
      <c r="F576" s="58" t="s">
        <v>3418</v>
      </c>
      <c r="G576" s="57">
        <v>3</v>
      </c>
      <c r="H576" s="57" t="s">
        <v>2557</v>
      </c>
      <c r="I576" s="58">
        <v>51943</v>
      </c>
      <c r="J576" s="234" t="s">
        <v>3419</v>
      </c>
      <c r="K576" s="58">
        <v>1.19</v>
      </c>
      <c r="L576" s="58">
        <v>0</v>
      </c>
      <c r="M576" s="58">
        <v>0</v>
      </c>
      <c r="N576" s="58">
        <v>1</v>
      </c>
      <c r="O576" s="224">
        <f t="shared" si="4"/>
        <v>1.19</v>
      </c>
      <c r="P576" s="227">
        <f t="shared" si="5"/>
        <v>1.19</v>
      </c>
    </row>
    <row r="577" spans="1:16" ht="14.25">
      <c r="A577" s="224">
        <v>576</v>
      </c>
      <c r="B577" s="58">
        <v>19314</v>
      </c>
      <c r="C577" s="57" t="s">
        <v>3119</v>
      </c>
      <c r="D577" s="57" t="s">
        <v>45</v>
      </c>
      <c r="E577" s="57" t="s">
        <v>2572</v>
      </c>
      <c r="F577" s="58" t="s">
        <v>3420</v>
      </c>
      <c r="G577" s="57">
        <v>3</v>
      </c>
      <c r="H577" s="57" t="s">
        <v>2557</v>
      </c>
      <c r="I577" s="58">
        <v>54415</v>
      </c>
      <c r="J577" s="234" t="s">
        <v>3421</v>
      </c>
      <c r="K577" s="58">
        <v>50</v>
      </c>
      <c r="L577" s="58">
        <v>0</v>
      </c>
      <c r="M577" s="58">
        <v>0</v>
      </c>
      <c r="N577" s="58">
        <v>1</v>
      </c>
      <c r="O577" s="224">
        <f t="shared" si="4"/>
        <v>50</v>
      </c>
      <c r="P577" s="227">
        <f t="shared" si="5"/>
        <v>50</v>
      </c>
    </row>
    <row r="578" spans="1:16" ht="14.25">
      <c r="A578" s="224">
        <v>577</v>
      </c>
      <c r="B578" s="58">
        <v>20271</v>
      </c>
      <c r="C578" s="57" t="s">
        <v>3422</v>
      </c>
      <c r="D578" s="57" t="s">
        <v>2582</v>
      </c>
      <c r="E578" s="57" t="s">
        <v>2556</v>
      </c>
      <c r="F578" s="58" t="s">
        <v>3423</v>
      </c>
      <c r="G578" s="57">
        <v>3</v>
      </c>
      <c r="H578" s="57" t="s">
        <v>2557</v>
      </c>
      <c r="I578" s="58">
        <v>54463</v>
      </c>
      <c r="J578" s="234" t="s">
        <v>3424</v>
      </c>
      <c r="K578" s="58">
        <v>21.67</v>
      </c>
      <c r="L578" s="58">
        <v>0</v>
      </c>
      <c r="M578" s="58">
        <v>0</v>
      </c>
      <c r="N578" s="58">
        <v>7.2482699999999998</v>
      </c>
      <c r="O578" s="224">
        <f t="shared" si="4"/>
        <v>21.67</v>
      </c>
      <c r="P578" s="227">
        <f t="shared" si="5"/>
        <v>2.9896789164862789</v>
      </c>
    </row>
    <row r="579" spans="1:16" ht="14.25">
      <c r="A579" s="224">
        <v>578</v>
      </c>
      <c r="B579" s="58">
        <v>20270</v>
      </c>
      <c r="C579" s="57" t="s">
        <v>3425</v>
      </c>
      <c r="D579" s="57" t="s">
        <v>2582</v>
      </c>
      <c r="E579" s="57" t="s">
        <v>2556</v>
      </c>
      <c r="F579" s="58" t="s">
        <v>3426</v>
      </c>
      <c r="G579" s="57">
        <v>3</v>
      </c>
      <c r="H579" s="57" t="s">
        <v>2557</v>
      </c>
      <c r="I579" s="58">
        <v>54475</v>
      </c>
      <c r="J579" s="234" t="s">
        <v>3427</v>
      </c>
      <c r="K579" s="58">
        <v>173.89</v>
      </c>
      <c r="L579" s="58">
        <v>0</v>
      </c>
      <c r="M579" s="58">
        <v>0</v>
      </c>
      <c r="N579" s="58">
        <v>7.2482699999999998</v>
      </c>
      <c r="O579" s="224">
        <f t="shared" si="4"/>
        <v>173.89</v>
      </c>
      <c r="P579" s="227">
        <f t="shared" si="5"/>
        <v>23.990552228324827</v>
      </c>
    </row>
    <row r="580" spans="1:16" ht="14.25">
      <c r="A580" s="224">
        <v>579</v>
      </c>
      <c r="B580" s="58">
        <v>18125</v>
      </c>
      <c r="C580" s="57" t="s">
        <v>2905</v>
      </c>
      <c r="D580" s="57" t="s">
        <v>45</v>
      </c>
      <c r="E580" s="57" t="s">
        <v>2556</v>
      </c>
      <c r="F580" s="58" t="s">
        <v>3428</v>
      </c>
      <c r="G580" s="57">
        <v>3</v>
      </c>
      <c r="H580" s="57" t="s">
        <v>2557</v>
      </c>
      <c r="I580" s="58">
        <v>54499</v>
      </c>
      <c r="J580" s="234" t="s">
        <v>3429</v>
      </c>
      <c r="K580" s="58">
        <v>8.39</v>
      </c>
      <c r="L580" s="58">
        <v>0</v>
      </c>
      <c r="M580" s="58">
        <v>0</v>
      </c>
      <c r="N580" s="58">
        <v>1</v>
      </c>
      <c r="O580" s="224">
        <f t="shared" si="4"/>
        <v>8.39</v>
      </c>
      <c r="P580" s="227">
        <f t="shared" si="5"/>
        <v>8.39</v>
      </c>
    </row>
    <row r="581" spans="1:16" ht="14.25">
      <c r="A581" s="224">
        <v>580</v>
      </c>
      <c r="B581" s="58">
        <v>4479</v>
      </c>
      <c r="C581" s="57" t="s">
        <v>3430</v>
      </c>
      <c r="D581" s="57" t="s">
        <v>45</v>
      </c>
      <c r="E581" s="57" t="s">
        <v>2556</v>
      </c>
      <c r="F581" s="58" t="s">
        <v>3431</v>
      </c>
      <c r="G581" s="57">
        <v>3</v>
      </c>
      <c r="H581" s="57" t="s">
        <v>2557</v>
      </c>
      <c r="I581" s="58">
        <v>54487</v>
      </c>
      <c r="J581" s="234" t="s">
        <v>3432</v>
      </c>
      <c r="K581" s="58">
        <v>8.39</v>
      </c>
      <c r="L581" s="58">
        <v>0</v>
      </c>
      <c r="M581" s="58">
        <v>0</v>
      </c>
      <c r="N581" s="58">
        <v>1</v>
      </c>
      <c r="O581" s="224">
        <f t="shared" si="4"/>
        <v>8.39</v>
      </c>
      <c r="P581" s="227">
        <f t="shared" si="5"/>
        <v>8.39</v>
      </c>
    </row>
    <row r="582" spans="1:16" ht="14.25">
      <c r="A582" s="224">
        <v>581</v>
      </c>
      <c r="B582" s="58">
        <v>187</v>
      </c>
      <c r="C582" s="57" t="s">
        <v>3433</v>
      </c>
      <c r="D582" s="57" t="s">
        <v>45</v>
      </c>
      <c r="E582" s="57" t="s">
        <v>2556</v>
      </c>
      <c r="F582" s="58" t="s">
        <v>3434</v>
      </c>
      <c r="G582" s="57">
        <v>3</v>
      </c>
      <c r="H582" s="57" t="s">
        <v>2557</v>
      </c>
      <c r="I582" s="58">
        <v>54511</v>
      </c>
      <c r="J582" s="234" t="s">
        <v>3435</v>
      </c>
      <c r="K582" s="58">
        <v>8.39</v>
      </c>
      <c r="L582" s="58">
        <v>0</v>
      </c>
      <c r="M582" s="58">
        <v>0</v>
      </c>
      <c r="N582" s="58">
        <v>1</v>
      </c>
      <c r="O582" s="224">
        <f t="shared" si="4"/>
        <v>8.39</v>
      </c>
      <c r="P582" s="227">
        <f t="shared" si="5"/>
        <v>8.39</v>
      </c>
    </row>
    <row r="583" spans="1:16" ht="14.25">
      <c r="A583" s="224">
        <v>582</v>
      </c>
      <c r="B583" s="58">
        <v>20279</v>
      </c>
      <c r="C583" s="57" t="s">
        <v>3436</v>
      </c>
      <c r="D583" s="57" t="s">
        <v>45</v>
      </c>
      <c r="E583" s="57" t="s">
        <v>2556</v>
      </c>
      <c r="F583" s="58" t="s">
        <v>3437</v>
      </c>
      <c r="G583" s="57">
        <v>3</v>
      </c>
      <c r="H583" s="57" t="s">
        <v>2557</v>
      </c>
      <c r="I583" s="58">
        <v>54523</v>
      </c>
      <c r="J583" s="234" t="s">
        <v>3438</v>
      </c>
      <c r="K583" s="58">
        <v>3.99</v>
      </c>
      <c r="L583" s="58">
        <v>0</v>
      </c>
      <c r="M583" s="58">
        <v>0</v>
      </c>
      <c r="N583" s="58">
        <v>1</v>
      </c>
      <c r="O583" s="224">
        <f t="shared" si="4"/>
        <v>3.99</v>
      </c>
      <c r="P583" s="227">
        <f t="shared" si="5"/>
        <v>3.99</v>
      </c>
    </row>
    <row r="584" spans="1:16" ht="14.25">
      <c r="A584" s="224">
        <v>583</v>
      </c>
      <c r="B584" s="58">
        <v>1980</v>
      </c>
      <c r="C584" s="57" t="s">
        <v>3346</v>
      </c>
      <c r="D584" s="57" t="s">
        <v>45</v>
      </c>
      <c r="E584" s="57" t="s">
        <v>2556</v>
      </c>
      <c r="F584" s="58" t="s">
        <v>3439</v>
      </c>
      <c r="G584" s="57">
        <v>3</v>
      </c>
      <c r="H584" s="57" t="s">
        <v>2557</v>
      </c>
      <c r="I584" s="58">
        <v>54535</v>
      </c>
      <c r="J584" s="234" t="s">
        <v>3440</v>
      </c>
      <c r="K584" s="58">
        <v>20.25</v>
      </c>
      <c r="L584" s="58">
        <v>0</v>
      </c>
      <c r="M584" s="58">
        <v>0</v>
      </c>
      <c r="N584" s="58">
        <v>1</v>
      </c>
      <c r="O584" s="224">
        <f t="shared" si="4"/>
        <v>20.25</v>
      </c>
      <c r="P584" s="227">
        <f t="shared" si="5"/>
        <v>20.25</v>
      </c>
    </row>
    <row r="585" spans="1:16" ht="14.25">
      <c r="A585" s="224">
        <v>584</v>
      </c>
      <c r="B585" s="58">
        <v>20310</v>
      </c>
      <c r="C585" s="57" t="s">
        <v>3441</v>
      </c>
      <c r="D585" s="57" t="s">
        <v>45</v>
      </c>
      <c r="E585" s="57" t="s">
        <v>2556</v>
      </c>
      <c r="F585" s="58" t="s">
        <v>3442</v>
      </c>
      <c r="G585" s="57">
        <v>3</v>
      </c>
      <c r="H585" s="57" t="s">
        <v>2557</v>
      </c>
      <c r="I585" s="58">
        <v>54727</v>
      </c>
      <c r="J585" s="234"/>
      <c r="K585" s="58">
        <v>0</v>
      </c>
      <c r="L585" s="58">
        <v>0</v>
      </c>
      <c r="M585" s="58">
        <v>0</v>
      </c>
      <c r="N585" s="58">
        <v>1</v>
      </c>
      <c r="O585" s="224">
        <f t="shared" si="4"/>
        <v>0</v>
      </c>
      <c r="P585" s="227">
        <f t="shared" si="5"/>
        <v>0</v>
      </c>
    </row>
    <row r="586" spans="1:16" ht="14.25">
      <c r="A586" s="224">
        <v>585</v>
      </c>
      <c r="B586" s="58">
        <v>1149</v>
      </c>
      <c r="C586" s="57" t="s">
        <v>423</v>
      </c>
      <c r="D586" s="57" t="s">
        <v>45</v>
      </c>
      <c r="E586" s="57" t="s">
        <v>2556</v>
      </c>
      <c r="F586" s="58" t="s">
        <v>3442</v>
      </c>
      <c r="G586" s="57">
        <v>3</v>
      </c>
      <c r="H586" s="57" t="s">
        <v>2557</v>
      </c>
      <c r="I586" s="58">
        <v>54751</v>
      </c>
      <c r="J586" s="234"/>
      <c r="K586" s="58">
        <v>0</v>
      </c>
      <c r="L586" s="58">
        <v>0</v>
      </c>
      <c r="M586" s="58">
        <v>0</v>
      </c>
      <c r="N586" s="58">
        <v>1</v>
      </c>
      <c r="O586" s="224">
        <f t="shared" si="4"/>
        <v>0</v>
      </c>
      <c r="P586" s="227">
        <f t="shared" si="5"/>
        <v>0</v>
      </c>
    </row>
    <row r="587" spans="1:16" ht="14.25">
      <c r="A587" s="224">
        <v>586</v>
      </c>
      <c r="B587" s="58">
        <v>20314</v>
      </c>
      <c r="C587" s="57" t="s">
        <v>3443</v>
      </c>
      <c r="D587" s="57" t="s">
        <v>45</v>
      </c>
      <c r="E587" s="57" t="s">
        <v>2556</v>
      </c>
      <c r="F587" s="58" t="s">
        <v>3442</v>
      </c>
      <c r="G587" s="57">
        <v>3</v>
      </c>
      <c r="H587" s="57" t="s">
        <v>2557</v>
      </c>
      <c r="I587" s="58">
        <v>54763</v>
      </c>
      <c r="J587" s="234"/>
      <c r="K587" s="58">
        <v>0</v>
      </c>
      <c r="L587" s="58">
        <v>0</v>
      </c>
      <c r="M587" s="58">
        <v>0</v>
      </c>
      <c r="N587" s="58">
        <v>1</v>
      </c>
      <c r="O587" s="224">
        <f t="shared" si="4"/>
        <v>0</v>
      </c>
      <c r="P587" s="227">
        <f t="shared" si="5"/>
        <v>0</v>
      </c>
    </row>
    <row r="588" spans="1:16" ht="14.25">
      <c r="A588" s="224">
        <v>587</v>
      </c>
      <c r="B588" s="58">
        <v>20283</v>
      </c>
      <c r="C588" s="57" t="s">
        <v>3444</v>
      </c>
      <c r="D588" s="57" t="s">
        <v>45</v>
      </c>
      <c r="E588" s="57" t="s">
        <v>2556</v>
      </c>
      <c r="F588" s="58" t="s">
        <v>3445</v>
      </c>
      <c r="G588" s="57">
        <v>3</v>
      </c>
      <c r="H588" s="57" t="s">
        <v>2557</v>
      </c>
      <c r="I588" s="58">
        <v>54547</v>
      </c>
      <c r="J588" s="234" t="s">
        <v>3446</v>
      </c>
      <c r="K588" s="58">
        <v>19.989999999999998</v>
      </c>
      <c r="L588" s="58">
        <v>0</v>
      </c>
      <c r="M588" s="58">
        <v>0</v>
      </c>
      <c r="N588" s="58">
        <v>1</v>
      </c>
      <c r="O588" s="224">
        <f t="shared" si="4"/>
        <v>19.989999999999998</v>
      </c>
      <c r="P588" s="227">
        <f t="shared" si="5"/>
        <v>19.989999999999998</v>
      </c>
    </row>
    <row r="589" spans="1:16" ht="14.25">
      <c r="A589" s="224">
        <v>588</v>
      </c>
      <c r="B589" s="58">
        <v>5079</v>
      </c>
      <c r="C589" s="57" t="s">
        <v>2970</v>
      </c>
      <c r="D589" s="57" t="s">
        <v>45</v>
      </c>
      <c r="E589" s="57" t="s">
        <v>2556</v>
      </c>
      <c r="F589" s="58" t="s">
        <v>3447</v>
      </c>
      <c r="G589" s="57">
        <v>3</v>
      </c>
      <c r="H589" s="57" t="s">
        <v>2557</v>
      </c>
      <c r="I589" s="58">
        <v>53839</v>
      </c>
      <c r="J589" s="234" t="s">
        <v>3448</v>
      </c>
      <c r="K589" s="58">
        <v>3.59</v>
      </c>
      <c r="L589" s="58">
        <v>0</v>
      </c>
      <c r="M589" s="58">
        <v>0</v>
      </c>
      <c r="N589" s="58">
        <v>1</v>
      </c>
      <c r="O589" s="224">
        <f t="shared" si="4"/>
        <v>3.59</v>
      </c>
      <c r="P589" s="227">
        <f t="shared" si="5"/>
        <v>3.59</v>
      </c>
    </row>
    <row r="590" spans="1:16" ht="14.25">
      <c r="A590" s="224">
        <v>589</v>
      </c>
      <c r="B590" s="58">
        <v>1011</v>
      </c>
      <c r="C590" s="57" t="s">
        <v>3449</v>
      </c>
      <c r="D590" s="57" t="s">
        <v>45</v>
      </c>
      <c r="E590" s="57" t="s">
        <v>2556</v>
      </c>
      <c r="F590" s="58" t="s">
        <v>3450</v>
      </c>
      <c r="G590" s="57">
        <v>3</v>
      </c>
      <c r="H590" s="57" t="s">
        <v>2557</v>
      </c>
      <c r="I590" s="58">
        <v>54559</v>
      </c>
      <c r="J590" s="234" t="s">
        <v>3451</v>
      </c>
      <c r="K590" s="58">
        <v>4.9800000000000004</v>
      </c>
      <c r="L590" s="58">
        <v>0</v>
      </c>
      <c r="M590" s="58">
        <v>0</v>
      </c>
      <c r="N590" s="58">
        <v>1</v>
      </c>
      <c r="O590" s="224">
        <f t="shared" si="4"/>
        <v>4.9800000000000004</v>
      </c>
      <c r="P590" s="227">
        <f t="shared" si="5"/>
        <v>4.9800000000000004</v>
      </c>
    </row>
    <row r="591" spans="1:16" ht="14.25">
      <c r="A591" s="224">
        <v>590</v>
      </c>
      <c r="B591" s="58">
        <v>417</v>
      </c>
      <c r="C591" s="57" t="s">
        <v>2682</v>
      </c>
      <c r="D591" s="57" t="s">
        <v>2582</v>
      </c>
      <c r="E591" s="57" t="s">
        <v>2556</v>
      </c>
      <c r="F591" s="58" t="s">
        <v>3452</v>
      </c>
      <c r="G591" s="57">
        <v>3</v>
      </c>
      <c r="H591" s="57" t="s">
        <v>2557</v>
      </c>
      <c r="I591" s="58">
        <v>52027</v>
      </c>
      <c r="J591" s="234" t="s">
        <v>3453</v>
      </c>
      <c r="K591" s="58">
        <v>7.76</v>
      </c>
      <c r="L591" s="58">
        <v>0</v>
      </c>
      <c r="M591" s="58">
        <v>0</v>
      </c>
      <c r="N591" s="58">
        <v>7.2482699999999998</v>
      </c>
      <c r="O591" s="224">
        <f t="shared" si="4"/>
        <v>7.76</v>
      </c>
      <c r="P591" s="227">
        <f t="shared" si="5"/>
        <v>1.0706002949669369</v>
      </c>
    </row>
    <row r="592" spans="1:16" ht="14.25">
      <c r="A592" s="224">
        <v>591</v>
      </c>
      <c r="B592" s="58">
        <v>417</v>
      </c>
      <c r="C592" s="57" t="s">
        <v>2682</v>
      </c>
      <c r="D592" s="57" t="s">
        <v>2582</v>
      </c>
      <c r="E592" s="57" t="s">
        <v>2556</v>
      </c>
      <c r="F592" s="58" t="s">
        <v>3452</v>
      </c>
      <c r="G592" s="57">
        <v>3</v>
      </c>
      <c r="H592" s="57" t="s">
        <v>2557</v>
      </c>
      <c r="I592" s="58">
        <v>52027</v>
      </c>
      <c r="J592" s="234" t="s">
        <v>3453</v>
      </c>
      <c r="K592" s="58">
        <v>7.76</v>
      </c>
      <c r="L592" s="58">
        <v>0</v>
      </c>
      <c r="M592" s="58">
        <v>0</v>
      </c>
      <c r="N592" s="58">
        <v>7.2482699999999998</v>
      </c>
      <c r="O592" s="224">
        <f t="shared" si="4"/>
        <v>7.76</v>
      </c>
      <c r="P592" s="227">
        <f t="shared" si="5"/>
        <v>1.0706002949669369</v>
      </c>
    </row>
    <row r="593" spans="1:16" ht="14.25">
      <c r="A593" s="224">
        <v>592</v>
      </c>
      <c r="B593" s="58">
        <v>20304</v>
      </c>
      <c r="C593" s="57" t="s">
        <v>3454</v>
      </c>
      <c r="D593" s="57" t="s">
        <v>2582</v>
      </c>
      <c r="E593" s="57" t="s">
        <v>2556</v>
      </c>
      <c r="F593" s="58" t="s">
        <v>3455</v>
      </c>
      <c r="G593" s="57">
        <v>3</v>
      </c>
      <c r="H593" s="57" t="s">
        <v>2557</v>
      </c>
      <c r="I593" s="58">
        <v>54643</v>
      </c>
      <c r="J593" s="234" t="s">
        <v>3456</v>
      </c>
      <c r="K593" s="58">
        <v>65.16</v>
      </c>
      <c r="L593" s="58">
        <v>0</v>
      </c>
      <c r="M593" s="58">
        <v>0</v>
      </c>
      <c r="N593" s="58">
        <v>7.2482699999999998</v>
      </c>
      <c r="O593" s="224">
        <f t="shared" si="4"/>
        <v>65.16</v>
      </c>
      <c r="P593" s="227">
        <f t="shared" si="5"/>
        <v>8.9897313427893835</v>
      </c>
    </row>
    <row r="594" spans="1:16" ht="14.25">
      <c r="A594" s="224">
        <v>593</v>
      </c>
      <c r="B594" s="58">
        <v>20304</v>
      </c>
      <c r="C594" s="57" t="s">
        <v>3454</v>
      </c>
      <c r="D594" s="57" t="s">
        <v>2582</v>
      </c>
      <c r="E594" s="57" t="s">
        <v>2556</v>
      </c>
      <c r="F594" s="58" t="s">
        <v>3457</v>
      </c>
      <c r="G594" s="57">
        <v>3</v>
      </c>
      <c r="H594" s="57" t="s">
        <v>2557</v>
      </c>
      <c r="I594" s="58">
        <v>54643</v>
      </c>
      <c r="J594" s="234"/>
      <c r="K594" s="58">
        <v>0.01</v>
      </c>
      <c r="L594" s="58">
        <v>0</v>
      </c>
      <c r="M594" s="58">
        <v>0</v>
      </c>
      <c r="N594" s="58">
        <v>7.2482699999999998</v>
      </c>
      <c r="O594" s="224">
        <f t="shared" si="4"/>
        <v>0.01</v>
      </c>
      <c r="P594" s="227">
        <f t="shared" si="5"/>
        <v>1.3796395553697641E-3</v>
      </c>
    </row>
    <row r="595" spans="1:16" ht="14.25">
      <c r="A595" s="224">
        <v>594</v>
      </c>
      <c r="B595" s="58">
        <v>6480</v>
      </c>
      <c r="C595" s="57" t="s">
        <v>3458</v>
      </c>
      <c r="D595" s="57" t="s">
        <v>45</v>
      </c>
      <c r="E595" s="57" t="s">
        <v>2556</v>
      </c>
      <c r="F595" s="58" t="s">
        <v>3459</v>
      </c>
      <c r="G595" s="57">
        <v>3</v>
      </c>
      <c r="H595" s="57" t="s">
        <v>2557</v>
      </c>
      <c r="I595" s="58">
        <v>54667</v>
      </c>
      <c r="J595" s="234" t="s">
        <v>3460</v>
      </c>
      <c r="K595" s="58">
        <v>25.25</v>
      </c>
      <c r="L595" s="58">
        <v>0</v>
      </c>
      <c r="M595" s="58">
        <v>0</v>
      </c>
      <c r="N595" s="58">
        <v>1</v>
      </c>
      <c r="O595" s="224">
        <f t="shared" si="4"/>
        <v>25.25</v>
      </c>
      <c r="P595" s="227">
        <f t="shared" si="5"/>
        <v>25.25</v>
      </c>
    </row>
    <row r="596" spans="1:16" ht="14.25">
      <c r="A596" s="224">
        <v>595</v>
      </c>
      <c r="B596" s="58">
        <v>6145</v>
      </c>
      <c r="C596" s="57" t="s">
        <v>2805</v>
      </c>
      <c r="D596" s="57" t="s">
        <v>45</v>
      </c>
      <c r="E596" s="57" t="s">
        <v>2556</v>
      </c>
      <c r="F596" s="58" t="s">
        <v>3461</v>
      </c>
      <c r="G596" s="57">
        <v>3</v>
      </c>
      <c r="H596" s="57" t="s">
        <v>2557</v>
      </c>
      <c r="I596" s="58">
        <v>52399</v>
      </c>
      <c r="J596" s="234" t="s">
        <v>3462</v>
      </c>
      <c r="K596" s="58">
        <v>3.99</v>
      </c>
      <c r="L596" s="58">
        <v>0</v>
      </c>
      <c r="M596" s="58">
        <v>0</v>
      </c>
      <c r="N596" s="58">
        <v>1</v>
      </c>
      <c r="O596" s="224">
        <f t="shared" si="4"/>
        <v>3.99</v>
      </c>
      <c r="P596" s="227">
        <f t="shared" si="5"/>
        <v>3.99</v>
      </c>
    </row>
    <row r="597" spans="1:16" ht="14.25">
      <c r="A597" s="224">
        <v>596</v>
      </c>
      <c r="B597" s="58">
        <v>4079</v>
      </c>
      <c r="C597" s="57" t="s">
        <v>3463</v>
      </c>
      <c r="D597" s="57" t="s">
        <v>45</v>
      </c>
      <c r="E597" s="57" t="s">
        <v>2556</v>
      </c>
      <c r="F597" s="58" t="s">
        <v>3464</v>
      </c>
      <c r="G597" s="57">
        <v>3</v>
      </c>
      <c r="H597" s="57" t="s">
        <v>2557</v>
      </c>
      <c r="I597" s="58">
        <v>54691</v>
      </c>
      <c r="J597" s="234" t="s">
        <v>3465</v>
      </c>
      <c r="K597" s="58">
        <v>2.99</v>
      </c>
      <c r="L597" s="58">
        <v>0</v>
      </c>
      <c r="M597" s="58">
        <v>0</v>
      </c>
      <c r="N597" s="58">
        <v>1</v>
      </c>
      <c r="O597" s="224">
        <f t="shared" si="4"/>
        <v>2.99</v>
      </c>
      <c r="P597" s="227">
        <f t="shared" si="5"/>
        <v>2.99</v>
      </c>
    </row>
    <row r="598" spans="1:16" ht="14.25">
      <c r="A598" s="224">
        <v>597</v>
      </c>
      <c r="B598" s="58">
        <v>20307</v>
      </c>
      <c r="C598" s="57" t="s">
        <v>3466</v>
      </c>
      <c r="D598" s="57" t="s">
        <v>45</v>
      </c>
      <c r="E598" s="57" t="s">
        <v>2556</v>
      </c>
      <c r="F598" s="58" t="s">
        <v>3467</v>
      </c>
      <c r="G598" s="57">
        <v>3</v>
      </c>
      <c r="H598" s="57" t="s">
        <v>2557</v>
      </c>
      <c r="I598" s="58">
        <v>54715</v>
      </c>
      <c r="J598" s="234" t="s">
        <v>3468</v>
      </c>
      <c r="K598" s="58">
        <v>5.99</v>
      </c>
      <c r="L598" s="58">
        <v>0</v>
      </c>
      <c r="M598" s="58">
        <v>0</v>
      </c>
      <c r="N598" s="58">
        <v>1</v>
      </c>
      <c r="O598" s="224">
        <f t="shared" si="4"/>
        <v>5.99</v>
      </c>
      <c r="P598" s="227">
        <f t="shared" si="5"/>
        <v>5.99</v>
      </c>
    </row>
    <row r="599" spans="1:16" ht="14.25">
      <c r="A599" s="224">
        <v>598</v>
      </c>
      <c r="B599" s="58">
        <v>3586</v>
      </c>
      <c r="C599" s="57" t="s">
        <v>3469</v>
      </c>
      <c r="D599" s="57" t="s">
        <v>45</v>
      </c>
      <c r="E599" s="57" t="s">
        <v>9</v>
      </c>
      <c r="F599" s="58" t="s">
        <v>3470</v>
      </c>
      <c r="G599" s="57">
        <v>3</v>
      </c>
      <c r="H599" s="57" t="s">
        <v>2557</v>
      </c>
      <c r="I599" s="58">
        <v>54571</v>
      </c>
      <c r="J599" s="234" t="s">
        <v>416</v>
      </c>
      <c r="K599" s="58">
        <v>8.39</v>
      </c>
      <c r="L599" s="58">
        <v>0.91</v>
      </c>
      <c r="M599" s="58">
        <v>0</v>
      </c>
      <c r="N599" s="58">
        <v>1</v>
      </c>
      <c r="O599" s="224">
        <f t="shared" si="4"/>
        <v>7.48</v>
      </c>
      <c r="P599" s="227">
        <f t="shared" si="5"/>
        <v>7.48</v>
      </c>
    </row>
    <row r="600" spans="1:16" ht="14.25">
      <c r="A600" s="224">
        <v>599</v>
      </c>
      <c r="B600" s="58">
        <v>392</v>
      </c>
      <c r="C600" s="57" t="s">
        <v>2876</v>
      </c>
      <c r="D600" s="57" t="s">
        <v>2582</v>
      </c>
      <c r="E600" s="57" t="s">
        <v>9</v>
      </c>
      <c r="F600" s="58" t="s">
        <v>3471</v>
      </c>
      <c r="G600" s="57">
        <v>3</v>
      </c>
      <c r="H600" s="57" t="s">
        <v>2557</v>
      </c>
      <c r="I600" s="58">
        <v>50407</v>
      </c>
      <c r="J600" s="234" t="s">
        <v>417</v>
      </c>
      <c r="K600" s="58">
        <v>14.52</v>
      </c>
      <c r="L600" s="58">
        <v>4.28</v>
      </c>
      <c r="M600" s="58">
        <v>0</v>
      </c>
      <c r="N600" s="58">
        <v>7.2482699999999998</v>
      </c>
      <c r="O600" s="224">
        <f t="shared" si="4"/>
        <v>10.239999999999998</v>
      </c>
      <c r="P600" s="227">
        <f t="shared" si="5"/>
        <v>1.4127509046986382</v>
      </c>
    </row>
    <row r="601" spans="1:16" ht="14.25">
      <c r="A601" s="224">
        <v>600</v>
      </c>
      <c r="B601" s="58">
        <v>1560</v>
      </c>
      <c r="C601" s="57" t="s">
        <v>2630</v>
      </c>
      <c r="D601" s="57" t="s">
        <v>45</v>
      </c>
      <c r="E601" s="57" t="s">
        <v>2556</v>
      </c>
      <c r="F601" s="58" t="s">
        <v>3472</v>
      </c>
      <c r="G601" s="57">
        <v>3</v>
      </c>
      <c r="H601" s="57" t="s">
        <v>2557</v>
      </c>
      <c r="I601" s="58">
        <v>53623</v>
      </c>
      <c r="J601" s="234" t="s">
        <v>3473</v>
      </c>
      <c r="K601" s="58">
        <v>18.940000000000001</v>
      </c>
      <c r="L601" s="58">
        <v>0</v>
      </c>
      <c r="M601" s="58">
        <v>0</v>
      </c>
      <c r="N601" s="58">
        <v>1</v>
      </c>
      <c r="O601" s="224">
        <f t="shared" si="4"/>
        <v>18.940000000000001</v>
      </c>
      <c r="P601" s="227">
        <f t="shared" si="5"/>
        <v>18.940000000000001</v>
      </c>
    </row>
    <row r="602" spans="1:16" ht="14.25">
      <c r="A602" s="224">
        <v>601</v>
      </c>
      <c r="B602" s="58">
        <v>1560</v>
      </c>
      <c r="C602" s="57" t="s">
        <v>2630</v>
      </c>
      <c r="D602" s="57" t="s">
        <v>45</v>
      </c>
      <c r="E602" s="57" t="s">
        <v>2556</v>
      </c>
      <c r="F602" s="58" t="s">
        <v>3474</v>
      </c>
      <c r="G602" s="57">
        <v>3</v>
      </c>
      <c r="H602" s="57" t="s">
        <v>2557</v>
      </c>
      <c r="I602" s="58">
        <v>53815</v>
      </c>
      <c r="J602" s="234" t="s">
        <v>3475</v>
      </c>
      <c r="K602" s="58">
        <v>3.99</v>
      </c>
      <c r="L602" s="58">
        <v>0</v>
      </c>
      <c r="M602" s="58">
        <v>0</v>
      </c>
      <c r="N602" s="58">
        <v>1</v>
      </c>
      <c r="O602" s="224">
        <f t="shared" si="4"/>
        <v>3.99</v>
      </c>
      <c r="P602" s="227">
        <f t="shared" si="5"/>
        <v>3.99</v>
      </c>
    </row>
    <row r="603" spans="1:16" ht="14.25">
      <c r="A603" s="224">
        <v>602</v>
      </c>
      <c r="B603" s="58">
        <v>20311</v>
      </c>
      <c r="C603" s="57" t="s">
        <v>3476</v>
      </c>
      <c r="D603" s="57" t="s">
        <v>45</v>
      </c>
      <c r="E603" s="57" t="s">
        <v>2556</v>
      </c>
      <c r="F603" s="58" t="s">
        <v>3477</v>
      </c>
      <c r="G603" s="57">
        <v>3</v>
      </c>
      <c r="H603" s="57" t="s">
        <v>2557</v>
      </c>
      <c r="I603" s="58">
        <v>54739</v>
      </c>
      <c r="J603" s="234" t="s">
        <v>3478</v>
      </c>
      <c r="K603" s="58">
        <v>8.99</v>
      </c>
      <c r="L603" s="58">
        <v>0</v>
      </c>
      <c r="M603" s="58">
        <v>0</v>
      </c>
      <c r="N603" s="58">
        <v>1</v>
      </c>
      <c r="O603" s="224">
        <f t="shared" si="4"/>
        <v>8.99</v>
      </c>
      <c r="P603" s="227">
        <f t="shared" si="5"/>
        <v>8.99</v>
      </c>
    </row>
    <row r="604" spans="1:16" ht="14.25">
      <c r="A604" s="224">
        <v>603</v>
      </c>
      <c r="B604" s="58">
        <v>149</v>
      </c>
      <c r="C604" s="57" t="s">
        <v>3479</v>
      </c>
      <c r="D604" s="57" t="s">
        <v>45</v>
      </c>
      <c r="E604" s="57" t="s">
        <v>2556</v>
      </c>
      <c r="F604" s="58" t="s">
        <v>3480</v>
      </c>
      <c r="G604" s="57">
        <v>3</v>
      </c>
      <c r="H604" s="57" t="s">
        <v>2557</v>
      </c>
      <c r="I604" s="58">
        <v>54775</v>
      </c>
      <c r="J604" s="234" t="s">
        <v>3481</v>
      </c>
      <c r="K604" s="58">
        <v>89.99</v>
      </c>
      <c r="L604" s="58">
        <v>0</v>
      </c>
      <c r="M604" s="58">
        <v>0</v>
      </c>
      <c r="N604" s="58">
        <v>1</v>
      </c>
      <c r="O604" s="224">
        <f t="shared" si="4"/>
        <v>89.99</v>
      </c>
      <c r="P604" s="227">
        <f t="shared" si="5"/>
        <v>89.99</v>
      </c>
    </row>
    <row r="605" spans="1:16" ht="14.25">
      <c r="A605" s="224">
        <v>604</v>
      </c>
      <c r="B605" s="58">
        <v>1836</v>
      </c>
      <c r="C605" s="57" t="s">
        <v>2598</v>
      </c>
      <c r="D605" s="57" t="s">
        <v>2582</v>
      </c>
      <c r="E605" s="57" t="s">
        <v>2556</v>
      </c>
      <c r="F605" s="58" t="s">
        <v>3482</v>
      </c>
      <c r="G605" s="57">
        <v>3</v>
      </c>
      <c r="H605" s="57" t="s">
        <v>2557</v>
      </c>
      <c r="I605" s="58">
        <v>54391</v>
      </c>
      <c r="J605" s="234" t="s">
        <v>3483</v>
      </c>
      <c r="K605" s="58">
        <v>86.83</v>
      </c>
      <c r="L605" s="58">
        <v>0</v>
      </c>
      <c r="M605" s="58">
        <v>0</v>
      </c>
      <c r="N605" s="58">
        <v>7.2482699999999998</v>
      </c>
      <c r="O605" s="224">
        <f t="shared" si="4"/>
        <v>86.83</v>
      </c>
      <c r="P605" s="227">
        <f t="shared" si="5"/>
        <v>11.979410259275662</v>
      </c>
    </row>
    <row r="606" spans="1:16" ht="14.25">
      <c r="A606" s="224">
        <v>605</v>
      </c>
      <c r="B606" s="58">
        <v>1836</v>
      </c>
      <c r="C606" s="57" t="s">
        <v>2598</v>
      </c>
      <c r="D606" s="57" t="s">
        <v>2582</v>
      </c>
      <c r="E606" s="57" t="s">
        <v>2556</v>
      </c>
      <c r="F606" s="58" t="s">
        <v>3482</v>
      </c>
      <c r="G606" s="57">
        <v>3</v>
      </c>
      <c r="H606" s="57" t="s">
        <v>2557</v>
      </c>
      <c r="I606" s="58">
        <v>54787</v>
      </c>
      <c r="J606" s="234" t="s">
        <v>3484</v>
      </c>
      <c r="K606" s="58">
        <v>87.12</v>
      </c>
      <c r="L606" s="58">
        <v>0</v>
      </c>
      <c r="M606" s="58">
        <v>0</v>
      </c>
      <c r="N606" s="58">
        <v>7.2482699999999998</v>
      </c>
      <c r="O606" s="224">
        <f t="shared" si="4"/>
        <v>87.12</v>
      </c>
      <c r="P606" s="227">
        <f t="shared" si="5"/>
        <v>12.019419806381386</v>
      </c>
    </row>
    <row r="607" spans="1:16" ht="14.25">
      <c r="A607" s="224">
        <v>606</v>
      </c>
      <c r="B607" s="58">
        <v>6116</v>
      </c>
      <c r="C607" s="57" t="s">
        <v>3485</v>
      </c>
      <c r="D607" s="57" t="s">
        <v>45</v>
      </c>
      <c r="E607" s="57" t="s">
        <v>2556</v>
      </c>
      <c r="F607" s="58" t="s">
        <v>3486</v>
      </c>
      <c r="G607" s="57">
        <v>3</v>
      </c>
      <c r="H607" s="57" t="s">
        <v>2557</v>
      </c>
      <c r="I607" s="58">
        <v>54799</v>
      </c>
      <c r="J607" s="234" t="s">
        <v>3487</v>
      </c>
      <c r="K607" s="58">
        <v>2.99</v>
      </c>
      <c r="L607" s="58">
        <v>0</v>
      </c>
      <c r="M607" s="58">
        <v>0</v>
      </c>
      <c r="N607" s="58">
        <v>1</v>
      </c>
      <c r="O607" s="224">
        <f t="shared" si="4"/>
        <v>2.99</v>
      </c>
      <c r="P607" s="227">
        <f t="shared" si="5"/>
        <v>2.99</v>
      </c>
    </row>
    <row r="608" spans="1:16" ht="14.25">
      <c r="A608" s="224">
        <v>607</v>
      </c>
      <c r="B608" s="58">
        <v>269</v>
      </c>
      <c r="C608" s="57" t="s">
        <v>3488</v>
      </c>
      <c r="D608" s="57" t="s">
        <v>45</v>
      </c>
      <c r="E608" s="57" t="s">
        <v>2556</v>
      </c>
      <c r="F608" s="58" t="s">
        <v>3489</v>
      </c>
      <c r="G608" s="57">
        <v>3</v>
      </c>
      <c r="H608" s="57" t="s">
        <v>2557</v>
      </c>
      <c r="I608" s="58">
        <v>54811</v>
      </c>
      <c r="J608" s="234" t="s">
        <v>3490</v>
      </c>
      <c r="K608" s="58">
        <v>2.99</v>
      </c>
      <c r="L608" s="58">
        <v>0</v>
      </c>
      <c r="M608" s="58">
        <v>0</v>
      </c>
      <c r="N608" s="58">
        <v>1</v>
      </c>
      <c r="O608" s="224">
        <f t="shared" si="4"/>
        <v>2.99</v>
      </c>
      <c r="P608" s="227">
        <f t="shared" si="5"/>
        <v>2.99</v>
      </c>
    </row>
    <row r="609" spans="1:16" ht="14.25">
      <c r="A609" s="224">
        <v>608</v>
      </c>
      <c r="B609" s="58">
        <v>18944</v>
      </c>
      <c r="C609" s="57" t="s">
        <v>3068</v>
      </c>
      <c r="D609" s="57" t="s">
        <v>45</v>
      </c>
      <c r="E609" s="57" t="s">
        <v>2556</v>
      </c>
      <c r="F609" s="58" t="s">
        <v>3491</v>
      </c>
      <c r="G609" s="57">
        <v>3</v>
      </c>
      <c r="H609" s="57" t="s">
        <v>2557</v>
      </c>
      <c r="I609" s="58">
        <v>52255</v>
      </c>
      <c r="J609" s="234" t="s">
        <v>3492</v>
      </c>
      <c r="K609" s="58">
        <v>7.99</v>
      </c>
      <c r="L609" s="58">
        <v>0</v>
      </c>
      <c r="M609" s="58">
        <v>0</v>
      </c>
      <c r="N609" s="58">
        <v>1</v>
      </c>
      <c r="O609" s="224">
        <f t="shared" si="4"/>
        <v>7.99</v>
      </c>
      <c r="P609" s="227">
        <f t="shared" si="5"/>
        <v>7.99</v>
      </c>
    </row>
    <row r="610" spans="1:16" ht="14.25">
      <c r="A610" s="224">
        <v>609</v>
      </c>
      <c r="B610" s="58">
        <v>18944</v>
      </c>
      <c r="C610" s="57" t="s">
        <v>3068</v>
      </c>
      <c r="D610" s="57" t="s">
        <v>45</v>
      </c>
      <c r="E610" s="57" t="s">
        <v>2556</v>
      </c>
      <c r="F610" s="58" t="s">
        <v>3493</v>
      </c>
      <c r="G610" s="57">
        <v>3</v>
      </c>
      <c r="H610" s="57" t="s">
        <v>2557</v>
      </c>
      <c r="I610" s="58">
        <v>54823</v>
      </c>
      <c r="J610" s="234" t="s">
        <v>3494</v>
      </c>
      <c r="K610" s="58">
        <v>8.99</v>
      </c>
      <c r="L610" s="58">
        <v>0</v>
      </c>
      <c r="M610" s="58">
        <v>0</v>
      </c>
      <c r="N610" s="58">
        <v>1</v>
      </c>
      <c r="O610" s="224">
        <f t="shared" si="4"/>
        <v>8.99</v>
      </c>
      <c r="P610" s="227">
        <f t="shared" si="5"/>
        <v>8.99</v>
      </c>
    </row>
    <row r="611" spans="1:16" ht="14.25">
      <c r="A611" s="224">
        <v>610</v>
      </c>
      <c r="B611" s="58">
        <v>6287</v>
      </c>
      <c r="C611" s="57" t="s">
        <v>3495</v>
      </c>
      <c r="D611" s="57" t="s">
        <v>45</v>
      </c>
      <c r="E611" s="57" t="s">
        <v>2556</v>
      </c>
      <c r="F611" s="58" t="s">
        <v>3496</v>
      </c>
      <c r="G611" s="57">
        <v>3</v>
      </c>
      <c r="H611" s="57" t="s">
        <v>2557</v>
      </c>
      <c r="I611" s="58">
        <v>54835</v>
      </c>
      <c r="J611" s="234" t="s">
        <v>3497</v>
      </c>
      <c r="K611" s="58">
        <v>8.39</v>
      </c>
      <c r="L611" s="58">
        <v>0</v>
      </c>
      <c r="M611" s="58">
        <v>0</v>
      </c>
      <c r="N611" s="58">
        <v>1</v>
      </c>
      <c r="O611" s="224">
        <f t="shared" si="4"/>
        <v>8.39</v>
      </c>
      <c r="P611" s="227">
        <f t="shared" si="5"/>
        <v>8.39</v>
      </c>
    </row>
    <row r="612" spans="1:16" ht="14.25">
      <c r="A612" s="224">
        <v>611</v>
      </c>
      <c r="B612" s="58">
        <v>20350</v>
      </c>
      <c r="C612" s="57" t="s">
        <v>3498</v>
      </c>
      <c r="D612" s="57" t="s">
        <v>45</v>
      </c>
      <c r="E612" s="57" t="s">
        <v>2556</v>
      </c>
      <c r="F612" s="58" t="s">
        <v>3499</v>
      </c>
      <c r="G612" s="57">
        <v>3</v>
      </c>
      <c r="H612" s="57" t="s">
        <v>2557</v>
      </c>
      <c r="I612" s="58">
        <v>54847</v>
      </c>
      <c r="J612" s="234" t="s">
        <v>3500</v>
      </c>
      <c r="K612" s="58">
        <v>3.99</v>
      </c>
      <c r="L612" s="58">
        <v>0</v>
      </c>
      <c r="M612" s="58">
        <v>0</v>
      </c>
      <c r="N612" s="58">
        <v>1</v>
      </c>
      <c r="O612" s="224">
        <f t="shared" si="4"/>
        <v>3.99</v>
      </c>
      <c r="P612" s="227">
        <f t="shared" si="5"/>
        <v>3.99</v>
      </c>
    </row>
    <row r="613" spans="1:16" ht="14.25">
      <c r="A613" s="224">
        <v>612</v>
      </c>
      <c r="B613" s="58">
        <v>20356</v>
      </c>
      <c r="C613" s="57" t="s">
        <v>3501</v>
      </c>
      <c r="D613" s="57" t="s">
        <v>2582</v>
      </c>
      <c r="E613" s="57" t="s">
        <v>2556</v>
      </c>
      <c r="F613" s="58" t="s">
        <v>3502</v>
      </c>
      <c r="G613" s="57">
        <v>3</v>
      </c>
      <c r="H613" s="57" t="s">
        <v>2557</v>
      </c>
      <c r="I613" s="58">
        <v>54859</v>
      </c>
      <c r="J613" s="234" t="s">
        <v>3503</v>
      </c>
      <c r="K613" s="58">
        <v>28.92</v>
      </c>
      <c r="L613" s="58">
        <v>0</v>
      </c>
      <c r="M613" s="58">
        <v>0</v>
      </c>
      <c r="N613" s="58">
        <v>7.2482699999999998</v>
      </c>
      <c r="O613" s="224">
        <f t="shared" si="4"/>
        <v>28.92</v>
      </c>
      <c r="P613" s="227">
        <f t="shared" si="5"/>
        <v>3.9899175941293583</v>
      </c>
    </row>
    <row r="614" spans="1:16" ht="14.25">
      <c r="A614" s="224">
        <v>613</v>
      </c>
      <c r="B614" s="237">
        <v>20407</v>
      </c>
      <c r="C614" s="238" t="s">
        <v>3504</v>
      </c>
      <c r="D614" s="238" t="s">
        <v>45</v>
      </c>
      <c r="E614" s="238" t="s">
        <v>2572</v>
      </c>
      <c r="F614" s="237" t="s">
        <v>3505</v>
      </c>
      <c r="G614" s="238">
        <v>3</v>
      </c>
      <c r="H614" s="238" t="s">
        <v>2557</v>
      </c>
      <c r="I614" s="237">
        <v>54895</v>
      </c>
      <c r="J614" s="240" t="s">
        <v>3506</v>
      </c>
      <c r="K614" s="237">
        <v>3.99</v>
      </c>
      <c r="L614" s="237">
        <v>0</v>
      </c>
      <c r="M614" s="237">
        <v>0</v>
      </c>
      <c r="N614" s="237">
        <v>1</v>
      </c>
      <c r="O614" s="241">
        <f t="shared" si="4"/>
        <v>3.99</v>
      </c>
      <c r="P614" s="242">
        <f t="shared" si="5"/>
        <v>3.99</v>
      </c>
    </row>
    <row r="615" spans="1:16" ht="14.25">
      <c r="A615" s="224">
        <v>614</v>
      </c>
      <c r="B615" s="58">
        <v>20307</v>
      </c>
      <c r="C615" s="57" t="s">
        <v>3466</v>
      </c>
      <c r="D615" s="57" t="s">
        <v>45</v>
      </c>
      <c r="E615" s="57" t="s">
        <v>2556</v>
      </c>
      <c r="F615" s="58" t="s">
        <v>3507</v>
      </c>
      <c r="G615" s="57">
        <v>3</v>
      </c>
      <c r="H615" s="57" t="s">
        <v>2557</v>
      </c>
      <c r="I615" s="58">
        <v>54919</v>
      </c>
      <c r="J615" s="234" t="s">
        <v>3508</v>
      </c>
      <c r="K615" s="58">
        <v>3.99</v>
      </c>
      <c r="L615" s="58">
        <v>0</v>
      </c>
      <c r="M615" s="58">
        <v>0</v>
      </c>
      <c r="N615" s="58">
        <v>1</v>
      </c>
      <c r="O615" s="224">
        <f t="shared" si="4"/>
        <v>3.99</v>
      </c>
      <c r="P615" s="227">
        <f t="shared" si="5"/>
        <v>3.99</v>
      </c>
    </row>
    <row r="616" spans="1:16" ht="14.25">
      <c r="A616" s="224">
        <v>615</v>
      </c>
      <c r="B616" s="58">
        <v>20516</v>
      </c>
      <c r="C616" s="57" t="s">
        <v>3509</v>
      </c>
      <c r="D616" s="57" t="s">
        <v>2582</v>
      </c>
      <c r="E616" s="57" t="s">
        <v>2556</v>
      </c>
      <c r="F616" s="58" t="s">
        <v>3510</v>
      </c>
      <c r="G616" s="57">
        <v>3</v>
      </c>
      <c r="H616" s="57" t="s">
        <v>2557</v>
      </c>
      <c r="I616" s="58">
        <v>54931</v>
      </c>
      <c r="J616" s="234" t="s">
        <v>3511</v>
      </c>
      <c r="K616" s="58">
        <v>145.09</v>
      </c>
      <c r="L616" s="58">
        <v>0</v>
      </c>
      <c r="M616" s="58">
        <v>0</v>
      </c>
      <c r="N616" s="58">
        <v>7.2582899999999997</v>
      </c>
      <c r="O616" s="224">
        <f t="shared" si="4"/>
        <v>145.09</v>
      </c>
      <c r="P616" s="227">
        <f t="shared" si="5"/>
        <v>19.989556768880824</v>
      </c>
    </row>
    <row r="617" spans="1:16" ht="14.25">
      <c r="A617" s="224">
        <v>616</v>
      </c>
      <c r="B617" s="58">
        <v>3364</v>
      </c>
      <c r="C617" s="57" t="s">
        <v>2677</v>
      </c>
      <c r="D617" s="57" t="s">
        <v>45</v>
      </c>
      <c r="E617" s="57" t="s">
        <v>2556</v>
      </c>
      <c r="F617" s="58" t="s">
        <v>3512</v>
      </c>
      <c r="G617" s="57">
        <v>3</v>
      </c>
      <c r="H617" s="57" t="s">
        <v>2557</v>
      </c>
      <c r="I617" s="58">
        <v>54871</v>
      </c>
      <c r="J617" s="234" t="s">
        <v>3513</v>
      </c>
      <c r="K617" s="58">
        <v>3.99</v>
      </c>
      <c r="L617" s="58">
        <v>0</v>
      </c>
      <c r="M617" s="58">
        <v>0</v>
      </c>
      <c r="N617" s="58">
        <v>1</v>
      </c>
      <c r="O617" s="224">
        <f t="shared" si="4"/>
        <v>3.99</v>
      </c>
      <c r="P617" s="227">
        <f t="shared" si="5"/>
        <v>3.99</v>
      </c>
    </row>
    <row r="618" spans="1:16" ht="14.25">
      <c r="A618" s="224">
        <v>617</v>
      </c>
      <c r="B618" s="58">
        <v>20520</v>
      </c>
      <c r="C618" s="57" t="s">
        <v>3514</v>
      </c>
      <c r="D618" s="57" t="s">
        <v>2582</v>
      </c>
      <c r="E618" s="57" t="s">
        <v>2556</v>
      </c>
      <c r="F618" s="58" t="s">
        <v>3515</v>
      </c>
      <c r="G618" s="57">
        <v>3</v>
      </c>
      <c r="H618" s="57" t="s">
        <v>2557</v>
      </c>
      <c r="I618" s="58">
        <v>54955</v>
      </c>
      <c r="J618" s="234"/>
      <c r="K618" s="58">
        <v>0</v>
      </c>
      <c r="L618" s="58">
        <v>0</v>
      </c>
      <c r="M618" s="58">
        <v>0</v>
      </c>
      <c r="N618" s="58">
        <v>7.2582899999999997</v>
      </c>
      <c r="O618" s="224">
        <f t="shared" si="4"/>
        <v>0</v>
      </c>
      <c r="P618" s="227">
        <f t="shared" si="5"/>
        <v>0</v>
      </c>
    </row>
    <row r="619" spans="1:16" ht="14.25">
      <c r="A619" s="224">
        <v>618</v>
      </c>
      <c r="B619" s="58">
        <v>20528</v>
      </c>
      <c r="C619" s="57" t="s">
        <v>3516</v>
      </c>
      <c r="D619" s="57" t="s">
        <v>45</v>
      </c>
      <c r="E619" s="57" t="s">
        <v>2556</v>
      </c>
      <c r="F619" s="58" t="s">
        <v>3515</v>
      </c>
      <c r="G619" s="57">
        <v>3</v>
      </c>
      <c r="H619" s="57" t="s">
        <v>2557</v>
      </c>
      <c r="I619" s="58">
        <v>54967</v>
      </c>
      <c r="J619" s="234"/>
      <c r="K619" s="58">
        <v>0</v>
      </c>
      <c r="L619" s="58">
        <v>0</v>
      </c>
      <c r="M619" s="58">
        <v>0</v>
      </c>
      <c r="N619" s="58">
        <v>1</v>
      </c>
      <c r="O619" s="224">
        <f t="shared" si="4"/>
        <v>0</v>
      </c>
      <c r="P619" s="227">
        <f t="shared" si="5"/>
        <v>0</v>
      </c>
    </row>
    <row r="620" spans="1:16" ht="14.25">
      <c r="A620" s="224">
        <v>619</v>
      </c>
      <c r="B620" s="58">
        <v>18689</v>
      </c>
      <c r="C620" s="57" t="s">
        <v>3517</v>
      </c>
      <c r="D620" s="57" t="s">
        <v>2582</v>
      </c>
      <c r="E620" s="57" t="s">
        <v>2556</v>
      </c>
      <c r="F620" s="58" t="s">
        <v>3515</v>
      </c>
      <c r="G620" s="57">
        <v>3</v>
      </c>
      <c r="H620" s="57" t="s">
        <v>2557</v>
      </c>
      <c r="I620" s="58">
        <v>55039</v>
      </c>
      <c r="J620" s="234"/>
      <c r="K620" s="58">
        <v>0</v>
      </c>
      <c r="L620" s="58">
        <v>0</v>
      </c>
      <c r="M620" s="58">
        <v>0</v>
      </c>
      <c r="N620" s="58">
        <v>7.2655700000000003</v>
      </c>
      <c r="O620" s="224">
        <f t="shared" si="4"/>
        <v>0</v>
      </c>
      <c r="P620" s="227">
        <f t="shared" si="5"/>
        <v>0</v>
      </c>
    </row>
    <row r="621" spans="1:16" ht="14.25">
      <c r="A621" s="224">
        <v>620</v>
      </c>
      <c r="B621" s="58">
        <v>20516</v>
      </c>
      <c r="C621" s="57" t="s">
        <v>3509</v>
      </c>
      <c r="D621" s="57" t="s">
        <v>2582</v>
      </c>
      <c r="E621" s="57" t="s">
        <v>2556</v>
      </c>
      <c r="F621" s="58" t="s">
        <v>3518</v>
      </c>
      <c r="G621" s="57">
        <v>3</v>
      </c>
      <c r="H621" s="57" t="s">
        <v>2557</v>
      </c>
      <c r="I621" s="58">
        <v>55051</v>
      </c>
      <c r="J621" s="234" t="s">
        <v>3519</v>
      </c>
      <c r="K621" s="58">
        <v>108.91</v>
      </c>
      <c r="L621" s="58">
        <v>0</v>
      </c>
      <c r="M621" s="58">
        <v>0</v>
      </c>
      <c r="N621" s="58">
        <v>7.2655700000000003</v>
      </c>
      <c r="O621" s="224">
        <f t="shared" si="4"/>
        <v>108.91</v>
      </c>
      <c r="P621" s="227">
        <f t="shared" si="5"/>
        <v>14.989876912616628</v>
      </c>
    </row>
    <row r="622" spans="1:16" ht="14.25">
      <c r="A622" s="224">
        <v>621</v>
      </c>
      <c r="B622" s="58">
        <v>20568</v>
      </c>
      <c r="C622" s="57" t="s">
        <v>3520</v>
      </c>
      <c r="D622" s="57" t="s">
        <v>45</v>
      </c>
      <c r="E622" s="57" t="s">
        <v>2556</v>
      </c>
      <c r="F622" s="58" t="s">
        <v>3521</v>
      </c>
      <c r="G622" s="57">
        <v>3</v>
      </c>
      <c r="H622" s="57" t="s">
        <v>2557</v>
      </c>
      <c r="I622" s="58">
        <v>55063</v>
      </c>
      <c r="J622" s="234" t="s">
        <v>3522</v>
      </c>
      <c r="K622" s="58">
        <v>20.25</v>
      </c>
      <c r="L622" s="58">
        <v>0</v>
      </c>
      <c r="M622" s="58">
        <v>0</v>
      </c>
      <c r="N622" s="58">
        <v>1</v>
      </c>
      <c r="O622" s="224">
        <f t="shared" si="4"/>
        <v>20.25</v>
      </c>
      <c r="P622" s="227">
        <f t="shared" si="5"/>
        <v>20.25</v>
      </c>
    </row>
    <row r="623" spans="1:16" ht="14.25">
      <c r="A623" s="224">
        <v>622</v>
      </c>
      <c r="B623" s="237">
        <v>19044</v>
      </c>
      <c r="C623" s="238" t="s">
        <v>3089</v>
      </c>
      <c r="D623" s="238" t="s">
        <v>45</v>
      </c>
      <c r="E623" s="238" t="s">
        <v>2572</v>
      </c>
      <c r="F623" s="237" t="s">
        <v>3523</v>
      </c>
      <c r="G623" s="238">
        <v>3</v>
      </c>
      <c r="H623" s="238" t="s">
        <v>2557</v>
      </c>
      <c r="I623" s="237">
        <v>52459</v>
      </c>
      <c r="J623" s="240" t="s">
        <v>3524</v>
      </c>
      <c r="K623" s="237">
        <v>1.79</v>
      </c>
      <c r="L623" s="237">
        <v>0</v>
      </c>
      <c r="M623" s="237">
        <v>0</v>
      </c>
      <c r="N623" s="237">
        <v>1</v>
      </c>
      <c r="O623" s="241">
        <f t="shared" si="4"/>
        <v>1.79</v>
      </c>
      <c r="P623" s="242">
        <f t="shared" si="5"/>
        <v>1.79</v>
      </c>
    </row>
    <row r="624" spans="1:16" ht="14.25">
      <c r="A624" s="224">
        <v>623</v>
      </c>
      <c r="B624" s="58">
        <v>20516</v>
      </c>
      <c r="C624" s="57" t="s">
        <v>3509</v>
      </c>
      <c r="D624" s="57" t="s">
        <v>2582</v>
      </c>
      <c r="E624" s="57" t="s">
        <v>2556</v>
      </c>
      <c r="F624" s="58" t="s">
        <v>3525</v>
      </c>
      <c r="G624" s="57">
        <v>3</v>
      </c>
      <c r="H624" s="57" t="s">
        <v>2557</v>
      </c>
      <c r="I624" s="58">
        <v>55075</v>
      </c>
      <c r="J624" s="234" t="s">
        <v>3526</v>
      </c>
      <c r="K624" s="58">
        <v>108.91</v>
      </c>
      <c r="L624" s="58">
        <v>0</v>
      </c>
      <c r="M624" s="58">
        <v>0</v>
      </c>
      <c r="N624" s="58">
        <v>7.2655700000000003</v>
      </c>
      <c r="O624" s="224">
        <f t="shared" si="4"/>
        <v>108.91</v>
      </c>
      <c r="P624" s="227">
        <f t="shared" si="5"/>
        <v>14.989876912616628</v>
      </c>
    </row>
    <row r="625" spans="1:16" ht="14.25">
      <c r="A625" s="224">
        <v>624</v>
      </c>
      <c r="B625" s="58">
        <v>6532</v>
      </c>
      <c r="C625" s="57" t="s">
        <v>3527</v>
      </c>
      <c r="D625" s="57" t="s">
        <v>45</v>
      </c>
      <c r="E625" s="57" t="s">
        <v>2556</v>
      </c>
      <c r="F625" s="58" t="s">
        <v>3528</v>
      </c>
      <c r="G625" s="57">
        <v>3</v>
      </c>
      <c r="H625" s="57" t="s">
        <v>2557</v>
      </c>
      <c r="I625" s="58">
        <v>55135</v>
      </c>
      <c r="J625" s="234"/>
      <c r="K625" s="58">
        <v>0</v>
      </c>
      <c r="L625" s="58">
        <v>0</v>
      </c>
      <c r="M625" s="58">
        <v>0</v>
      </c>
      <c r="N625" s="58">
        <v>1</v>
      </c>
      <c r="O625" s="224">
        <f t="shared" si="4"/>
        <v>0</v>
      </c>
      <c r="P625" s="227">
        <f t="shared" si="5"/>
        <v>0</v>
      </c>
    </row>
    <row r="626" spans="1:16" ht="14.25">
      <c r="A626" s="224">
        <v>625</v>
      </c>
      <c r="B626" s="58">
        <v>19040</v>
      </c>
      <c r="C626" s="57" t="s">
        <v>3084</v>
      </c>
      <c r="D626" s="57" t="s">
        <v>45</v>
      </c>
      <c r="E626" s="57" t="s">
        <v>2556</v>
      </c>
      <c r="F626" s="58" t="s">
        <v>3529</v>
      </c>
      <c r="G626" s="57">
        <v>3</v>
      </c>
      <c r="H626" s="57" t="s">
        <v>2557</v>
      </c>
      <c r="I626" s="58">
        <v>52423</v>
      </c>
      <c r="J626" s="234" t="s">
        <v>3530</v>
      </c>
      <c r="K626" s="58">
        <v>1.79</v>
      </c>
      <c r="L626" s="58">
        <v>0</v>
      </c>
      <c r="M626" s="58">
        <v>0</v>
      </c>
      <c r="N626" s="58">
        <v>1</v>
      </c>
      <c r="O626" s="224">
        <f t="shared" si="4"/>
        <v>1.79</v>
      </c>
      <c r="P626" s="227">
        <f t="shared" si="5"/>
        <v>1.79</v>
      </c>
    </row>
    <row r="627" spans="1:16" ht="14.25">
      <c r="A627" s="224">
        <v>626</v>
      </c>
      <c r="B627" s="58">
        <v>20050</v>
      </c>
      <c r="C627" s="57" t="s">
        <v>3531</v>
      </c>
      <c r="D627" s="57" t="s">
        <v>2582</v>
      </c>
      <c r="E627" s="57" t="s">
        <v>2556</v>
      </c>
      <c r="F627" s="58" t="s">
        <v>3532</v>
      </c>
      <c r="G627" s="57">
        <v>3</v>
      </c>
      <c r="H627" s="57" t="s">
        <v>2557</v>
      </c>
      <c r="I627" s="58">
        <v>55087</v>
      </c>
      <c r="J627" s="234" t="s">
        <v>3533</v>
      </c>
      <c r="K627" s="58">
        <v>14.46</v>
      </c>
      <c r="L627" s="58">
        <v>0</v>
      </c>
      <c r="M627" s="58">
        <v>0</v>
      </c>
      <c r="N627" s="58">
        <v>7.2655700000000003</v>
      </c>
      <c r="O627" s="224">
        <f t="shared" si="4"/>
        <v>14.46</v>
      </c>
      <c r="P627" s="227">
        <f t="shared" si="5"/>
        <v>1.9902086140523043</v>
      </c>
    </row>
    <row r="628" spans="1:16" ht="14.25">
      <c r="A628" s="224">
        <v>627</v>
      </c>
      <c r="B628" s="58">
        <v>1836</v>
      </c>
      <c r="C628" s="57" t="s">
        <v>2598</v>
      </c>
      <c r="D628" s="57" t="s">
        <v>2582</v>
      </c>
      <c r="E628" s="57" t="s">
        <v>2556</v>
      </c>
      <c r="F628" s="58" t="s">
        <v>3534</v>
      </c>
      <c r="G628" s="57">
        <v>3</v>
      </c>
      <c r="H628" s="57" t="s">
        <v>2557</v>
      </c>
      <c r="I628" s="58">
        <v>54991</v>
      </c>
      <c r="J628" s="234" t="s">
        <v>3535</v>
      </c>
      <c r="K628" s="58">
        <v>85.95</v>
      </c>
      <c r="L628" s="58">
        <v>0</v>
      </c>
      <c r="M628" s="58">
        <v>0</v>
      </c>
      <c r="N628" s="58">
        <v>7.2657400000000001</v>
      </c>
      <c r="O628" s="224">
        <f t="shared" si="4"/>
        <v>85.95</v>
      </c>
      <c r="P628" s="227">
        <f t="shared" si="5"/>
        <v>11.829490182693023</v>
      </c>
    </row>
    <row r="629" spans="1:16" ht="14.25">
      <c r="A629" s="224">
        <v>628</v>
      </c>
      <c r="B629" s="58">
        <v>20047</v>
      </c>
      <c r="C629" s="57" t="s">
        <v>2598</v>
      </c>
      <c r="D629" s="57" t="s">
        <v>2582</v>
      </c>
      <c r="E629" s="57" t="s">
        <v>2556</v>
      </c>
      <c r="F629" s="58" t="s">
        <v>3536</v>
      </c>
      <c r="G629" s="57">
        <v>3</v>
      </c>
      <c r="H629" s="57" t="s">
        <v>2557</v>
      </c>
      <c r="I629" s="58">
        <v>55147</v>
      </c>
      <c r="J629" s="234" t="s">
        <v>3537</v>
      </c>
      <c r="K629" s="58">
        <v>111.09</v>
      </c>
      <c r="L629" s="58">
        <v>0</v>
      </c>
      <c r="M629" s="58">
        <v>0</v>
      </c>
      <c r="N629" s="58">
        <v>7.2657400000000001</v>
      </c>
      <c r="O629" s="224">
        <f t="shared" si="4"/>
        <v>111.09</v>
      </c>
      <c r="P629" s="227">
        <f t="shared" si="5"/>
        <v>15.28956444904442</v>
      </c>
    </row>
    <row r="630" spans="1:16" ht="14.25">
      <c r="A630" s="224">
        <v>629</v>
      </c>
      <c r="B630" s="58">
        <v>20047</v>
      </c>
      <c r="C630" s="57" t="s">
        <v>2598</v>
      </c>
      <c r="D630" s="57" t="s">
        <v>2582</v>
      </c>
      <c r="E630" s="57" t="s">
        <v>2556</v>
      </c>
      <c r="F630" s="58" t="s">
        <v>3538</v>
      </c>
      <c r="G630" s="57">
        <v>3</v>
      </c>
      <c r="H630" s="57" t="s">
        <v>2557</v>
      </c>
      <c r="I630" s="58">
        <v>55147</v>
      </c>
      <c r="J630" s="234"/>
      <c r="K630" s="58">
        <v>0.01</v>
      </c>
      <c r="L630" s="58">
        <v>0</v>
      </c>
      <c r="M630" s="58">
        <v>0</v>
      </c>
      <c r="N630" s="58">
        <v>7.2657400000000001</v>
      </c>
      <c r="O630" s="224">
        <f t="shared" si="4"/>
        <v>0.01</v>
      </c>
      <c r="P630" s="227">
        <f t="shared" si="5"/>
        <v>1.3763223016513115E-3</v>
      </c>
    </row>
    <row r="631" spans="1:16" ht="14.25">
      <c r="A631" s="224">
        <v>630</v>
      </c>
      <c r="B631" s="58">
        <v>1836</v>
      </c>
      <c r="C631" s="57" t="s">
        <v>2598</v>
      </c>
      <c r="D631" s="57" t="s">
        <v>2582</v>
      </c>
      <c r="E631" s="57" t="s">
        <v>2556</v>
      </c>
      <c r="F631" s="58" t="s">
        <v>3539</v>
      </c>
      <c r="G631" s="57">
        <v>3</v>
      </c>
      <c r="H631" s="57" t="s">
        <v>2557</v>
      </c>
      <c r="I631" s="58">
        <v>55159</v>
      </c>
      <c r="J631" s="234" t="s">
        <v>3540</v>
      </c>
      <c r="K631" s="58">
        <v>69.680000000000007</v>
      </c>
      <c r="L631" s="58">
        <v>0</v>
      </c>
      <c r="M631" s="58">
        <v>0</v>
      </c>
      <c r="N631" s="58">
        <v>7.2657400000000001</v>
      </c>
      <c r="O631" s="224">
        <f t="shared" si="4"/>
        <v>69.680000000000007</v>
      </c>
      <c r="P631" s="227">
        <f t="shared" si="5"/>
        <v>9.5902137979063387</v>
      </c>
    </row>
    <row r="632" spans="1:16" ht="14.25">
      <c r="A632" s="224">
        <v>631</v>
      </c>
      <c r="B632" s="58">
        <v>1559</v>
      </c>
      <c r="C632" s="57" t="s">
        <v>3541</v>
      </c>
      <c r="D632" s="57" t="s">
        <v>45</v>
      </c>
      <c r="E632" s="57" t="s">
        <v>2572</v>
      </c>
      <c r="F632" s="58" t="s">
        <v>3542</v>
      </c>
      <c r="G632" s="57">
        <v>3</v>
      </c>
      <c r="H632" s="57" t="s">
        <v>2557</v>
      </c>
      <c r="I632" s="58">
        <v>52723</v>
      </c>
      <c r="J632" s="234"/>
      <c r="K632" s="58">
        <v>60</v>
      </c>
      <c r="L632" s="58">
        <v>0</v>
      </c>
      <c r="M632" s="58">
        <v>0</v>
      </c>
      <c r="N632" s="58">
        <v>1</v>
      </c>
      <c r="O632" s="224">
        <f t="shared" si="4"/>
        <v>60</v>
      </c>
      <c r="P632" s="227">
        <f t="shared" si="5"/>
        <v>60</v>
      </c>
    </row>
    <row r="633" spans="1:16" ht="14.25">
      <c r="A633" s="224">
        <v>632</v>
      </c>
      <c r="B633" s="58">
        <v>303</v>
      </c>
      <c r="C633" s="57" t="s">
        <v>3543</v>
      </c>
      <c r="D633" s="57" t="s">
        <v>45</v>
      </c>
      <c r="E633" s="57" t="s">
        <v>2556</v>
      </c>
      <c r="F633" s="58" t="s">
        <v>3544</v>
      </c>
      <c r="G633" s="57">
        <v>3</v>
      </c>
      <c r="H633" s="57" t="s">
        <v>2557</v>
      </c>
      <c r="I633" s="58">
        <v>55171</v>
      </c>
      <c r="J633" s="234" t="s">
        <v>3545</v>
      </c>
      <c r="K633" s="58">
        <v>8.99</v>
      </c>
      <c r="L633" s="58">
        <v>0</v>
      </c>
      <c r="M633" s="58">
        <v>0</v>
      </c>
      <c r="N633" s="58">
        <v>1</v>
      </c>
      <c r="O633" s="224">
        <f t="shared" si="4"/>
        <v>8.99</v>
      </c>
      <c r="P633" s="227">
        <f t="shared" si="5"/>
        <v>8.99</v>
      </c>
    </row>
    <row r="634" spans="1:16" ht="14.25">
      <c r="A634" s="224">
        <v>633</v>
      </c>
      <c r="B634" s="58">
        <v>3299</v>
      </c>
      <c r="C634" s="57" t="s">
        <v>2598</v>
      </c>
      <c r="D634" s="57" t="s">
        <v>45</v>
      </c>
      <c r="E634" s="57" t="s">
        <v>2556</v>
      </c>
      <c r="F634" s="58" t="s">
        <v>3546</v>
      </c>
      <c r="G634" s="57">
        <v>3</v>
      </c>
      <c r="H634" s="57" t="s">
        <v>2557</v>
      </c>
      <c r="I634" s="58">
        <v>53635</v>
      </c>
      <c r="J634" s="234" t="s">
        <v>3547</v>
      </c>
      <c r="K634" s="58">
        <v>42.99</v>
      </c>
      <c r="L634" s="58">
        <v>0</v>
      </c>
      <c r="M634" s="58">
        <v>0</v>
      </c>
      <c r="N634" s="58">
        <v>1</v>
      </c>
      <c r="O634" s="224">
        <f t="shared" si="4"/>
        <v>42.99</v>
      </c>
      <c r="P634" s="227">
        <f t="shared" si="5"/>
        <v>42.99</v>
      </c>
    </row>
    <row r="635" spans="1:16" ht="14.25">
      <c r="A635" s="224">
        <v>634</v>
      </c>
      <c r="B635" s="58">
        <v>283</v>
      </c>
      <c r="C635" s="57" t="s">
        <v>3548</v>
      </c>
      <c r="D635" s="57" t="s">
        <v>45</v>
      </c>
      <c r="E635" s="57" t="s">
        <v>2556</v>
      </c>
      <c r="F635" s="58" t="s">
        <v>3549</v>
      </c>
      <c r="G635" s="57">
        <v>3</v>
      </c>
      <c r="H635" s="57" t="s">
        <v>2557</v>
      </c>
      <c r="I635" s="58">
        <v>55183</v>
      </c>
      <c r="J635" s="234" t="s">
        <v>3550</v>
      </c>
      <c r="K635" s="58">
        <v>3.99</v>
      </c>
      <c r="L635" s="58">
        <v>0</v>
      </c>
      <c r="M635" s="58">
        <v>0</v>
      </c>
      <c r="N635" s="58">
        <v>1</v>
      </c>
      <c r="O635" s="224">
        <f t="shared" si="4"/>
        <v>3.99</v>
      </c>
      <c r="P635" s="227">
        <f t="shared" si="5"/>
        <v>3.99</v>
      </c>
    </row>
    <row r="636" spans="1:16" ht="14.25">
      <c r="A636" s="224">
        <v>635</v>
      </c>
      <c r="B636" s="58">
        <v>20644</v>
      </c>
      <c r="C636" s="57" t="s">
        <v>3551</v>
      </c>
      <c r="D636" s="57" t="s">
        <v>45</v>
      </c>
      <c r="E636" s="57" t="s">
        <v>2556</v>
      </c>
      <c r="F636" s="58" t="s">
        <v>3552</v>
      </c>
      <c r="G636" s="57">
        <v>3</v>
      </c>
      <c r="H636" s="57" t="s">
        <v>2557</v>
      </c>
      <c r="I636" s="58">
        <v>55219</v>
      </c>
      <c r="J636" s="234" t="s">
        <v>3553</v>
      </c>
      <c r="K636" s="58">
        <v>3.99</v>
      </c>
      <c r="L636" s="58">
        <v>0</v>
      </c>
      <c r="M636" s="58">
        <v>0</v>
      </c>
      <c r="N636" s="58">
        <v>1</v>
      </c>
      <c r="O636" s="224">
        <f t="shared" si="4"/>
        <v>3.99</v>
      </c>
      <c r="P636" s="227">
        <f t="shared" si="5"/>
        <v>3.99</v>
      </c>
    </row>
    <row r="637" spans="1:16" ht="14.25">
      <c r="A637" s="224">
        <v>636</v>
      </c>
      <c r="B637" s="58">
        <v>19314</v>
      </c>
      <c r="C637" s="57" t="s">
        <v>3119</v>
      </c>
      <c r="D637" s="57" t="s">
        <v>45</v>
      </c>
      <c r="E637" s="57" t="s">
        <v>2572</v>
      </c>
      <c r="F637" s="58" t="s">
        <v>3554</v>
      </c>
      <c r="G637" s="57">
        <v>3</v>
      </c>
      <c r="H637" s="57" t="s">
        <v>2557</v>
      </c>
      <c r="I637" s="58">
        <v>55195</v>
      </c>
      <c r="J637" s="234" t="s">
        <v>3555</v>
      </c>
      <c r="K637" s="58">
        <v>213</v>
      </c>
      <c r="L637" s="58">
        <v>0</v>
      </c>
      <c r="M637" s="58">
        <v>0</v>
      </c>
      <c r="N637" s="58">
        <v>1</v>
      </c>
      <c r="O637" s="224">
        <f t="shared" si="4"/>
        <v>213</v>
      </c>
      <c r="P637" s="227">
        <f t="shared" si="5"/>
        <v>213</v>
      </c>
    </row>
    <row r="638" spans="1:16" ht="14.25">
      <c r="A638" s="224">
        <v>637</v>
      </c>
      <c r="B638" s="58">
        <v>18835</v>
      </c>
      <c r="C638" s="57" t="s">
        <v>3043</v>
      </c>
      <c r="D638" s="57" t="s">
        <v>2582</v>
      </c>
      <c r="E638" s="57" t="s">
        <v>2556</v>
      </c>
      <c r="F638" s="58" t="s">
        <v>3556</v>
      </c>
      <c r="G638" s="57">
        <v>3</v>
      </c>
      <c r="H638" s="57" t="s">
        <v>2557</v>
      </c>
      <c r="I638" s="58">
        <v>53155</v>
      </c>
      <c r="J638" s="234" t="s">
        <v>3557</v>
      </c>
      <c r="K638" s="58">
        <v>30.44</v>
      </c>
      <c r="L638" s="58">
        <v>0</v>
      </c>
      <c r="M638" s="58">
        <v>0</v>
      </c>
      <c r="N638" s="58">
        <v>7.2657400000000001</v>
      </c>
      <c r="O638" s="224">
        <f t="shared" si="4"/>
        <v>30.44</v>
      </c>
      <c r="P638" s="227">
        <f t="shared" si="5"/>
        <v>4.1895250862265927</v>
      </c>
    </row>
    <row r="639" spans="1:16" ht="14.25">
      <c r="A639" s="224">
        <v>638</v>
      </c>
      <c r="B639" s="58">
        <v>20647</v>
      </c>
      <c r="C639" s="57" t="s">
        <v>3558</v>
      </c>
      <c r="D639" s="57" t="s">
        <v>2582</v>
      </c>
      <c r="E639" s="57" t="s">
        <v>2556</v>
      </c>
      <c r="F639" s="58" t="s">
        <v>3559</v>
      </c>
      <c r="G639" s="57">
        <v>3</v>
      </c>
      <c r="H639" s="57" t="s">
        <v>2557</v>
      </c>
      <c r="I639" s="58">
        <v>55231</v>
      </c>
      <c r="J639" s="234" t="s">
        <v>3560</v>
      </c>
      <c r="K639" s="58">
        <v>21.72</v>
      </c>
      <c r="L639" s="58">
        <v>0</v>
      </c>
      <c r="M639" s="58">
        <v>0</v>
      </c>
      <c r="N639" s="58">
        <v>7.2657400000000001</v>
      </c>
      <c r="O639" s="224">
        <f t="shared" si="4"/>
        <v>21.72</v>
      </c>
      <c r="P639" s="227">
        <f t="shared" si="5"/>
        <v>2.9893720391866485</v>
      </c>
    </row>
    <row r="640" spans="1:16" ht="14.25">
      <c r="A640" s="224">
        <v>639</v>
      </c>
      <c r="B640" s="58">
        <v>18797</v>
      </c>
      <c r="C640" s="57" t="s">
        <v>3122</v>
      </c>
      <c r="D640" s="57" t="s">
        <v>45</v>
      </c>
      <c r="E640" s="57" t="s">
        <v>2556</v>
      </c>
      <c r="F640" s="58" t="s">
        <v>3561</v>
      </c>
      <c r="G640" s="57">
        <v>3</v>
      </c>
      <c r="H640" s="57" t="s">
        <v>2557</v>
      </c>
      <c r="I640" s="58">
        <v>55339</v>
      </c>
      <c r="J640" s="234"/>
      <c r="K640" s="58">
        <v>0</v>
      </c>
      <c r="L640" s="58">
        <v>0</v>
      </c>
      <c r="M640" s="58">
        <v>0</v>
      </c>
      <c r="N640" s="58">
        <v>1</v>
      </c>
      <c r="O640" s="224">
        <f t="shared" si="4"/>
        <v>0</v>
      </c>
      <c r="P640" s="227">
        <f t="shared" si="5"/>
        <v>0</v>
      </c>
    </row>
    <row r="641" spans="1:16" ht="14.25">
      <c r="A641" s="224">
        <v>640</v>
      </c>
      <c r="B641" s="58">
        <v>20647</v>
      </c>
      <c r="C641" s="57" t="s">
        <v>3558</v>
      </c>
      <c r="D641" s="57" t="s">
        <v>2582</v>
      </c>
      <c r="E641" s="57" t="s">
        <v>2556</v>
      </c>
      <c r="F641" s="58" t="s">
        <v>3562</v>
      </c>
      <c r="G641" s="57">
        <v>3</v>
      </c>
      <c r="H641" s="57" t="s">
        <v>2557</v>
      </c>
      <c r="I641" s="58">
        <v>55291</v>
      </c>
      <c r="J641" s="234" t="s">
        <v>3563</v>
      </c>
      <c r="K641" s="58">
        <v>28.99</v>
      </c>
      <c r="L641" s="58">
        <v>0</v>
      </c>
      <c r="M641" s="58">
        <v>0</v>
      </c>
      <c r="N641" s="58">
        <v>7.2654399999999999</v>
      </c>
      <c r="O641" s="224">
        <f t="shared" si="4"/>
        <v>28.99</v>
      </c>
      <c r="P641" s="227">
        <f t="shared" si="5"/>
        <v>3.9901231033495561</v>
      </c>
    </row>
    <row r="642" spans="1:16" ht="14.25">
      <c r="A642" s="224">
        <v>641</v>
      </c>
      <c r="B642" s="58">
        <v>20521</v>
      </c>
      <c r="C642" s="57" t="s">
        <v>3564</v>
      </c>
      <c r="D642" s="57" t="s">
        <v>2582</v>
      </c>
      <c r="E642" s="57" t="s">
        <v>2556</v>
      </c>
      <c r="F642" s="58" t="s">
        <v>3565</v>
      </c>
      <c r="G642" s="57">
        <v>3</v>
      </c>
      <c r="H642" s="57" t="s">
        <v>2557</v>
      </c>
      <c r="I642" s="58">
        <v>55303</v>
      </c>
      <c r="J642" s="234" t="s">
        <v>3566</v>
      </c>
      <c r="K642" s="58">
        <v>65.319999999999993</v>
      </c>
      <c r="L642" s="58">
        <v>0</v>
      </c>
      <c r="M642" s="58">
        <v>0</v>
      </c>
      <c r="N642" s="58">
        <v>7.2654399999999999</v>
      </c>
      <c r="O642" s="224">
        <f t="shared" si="4"/>
        <v>65.319999999999993</v>
      </c>
      <c r="P642" s="227">
        <f t="shared" si="5"/>
        <v>8.9905084895064853</v>
      </c>
    </row>
    <row r="643" spans="1:16" ht="14.25">
      <c r="A643" s="224">
        <v>642</v>
      </c>
      <c r="B643" s="58">
        <v>20647</v>
      </c>
      <c r="C643" s="57" t="s">
        <v>3558</v>
      </c>
      <c r="D643" s="57" t="s">
        <v>2582</v>
      </c>
      <c r="E643" s="57" t="s">
        <v>2556</v>
      </c>
      <c r="F643" s="58" t="s">
        <v>3567</v>
      </c>
      <c r="G643" s="57">
        <v>3</v>
      </c>
      <c r="H643" s="57" t="s">
        <v>2557</v>
      </c>
      <c r="I643" s="58">
        <v>55315</v>
      </c>
      <c r="J643" s="234" t="s">
        <v>3568</v>
      </c>
      <c r="K643" s="58">
        <v>119.52</v>
      </c>
      <c r="L643" s="58">
        <v>0</v>
      </c>
      <c r="M643" s="58">
        <v>0</v>
      </c>
      <c r="N643" s="58">
        <v>7.2654399999999999</v>
      </c>
      <c r="O643" s="224">
        <f t="shared" si="4"/>
        <v>119.52</v>
      </c>
      <c r="P643" s="227">
        <f t="shared" si="5"/>
        <v>16.45048338435112</v>
      </c>
    </row>
    <row r="644" spans="1:16" ht="14.25">
      <c r="A644" s="224">
        <v>643</v>
      </c>
      <c r="B644" s="58">
        <v>20647</v>
      </c>
      <c r="C644" s="57" t="s">
        <v>3558</v>
      </c>
      <c r="D644" s="57" t="s">
        <v>2582</v>
      </c>
      <c r="E644" s="57" t="s">
        <v>2556</v>
      </c>
      <c r="F644" s="58" t="s">
        <v>3569</v>
      </c>
      <c r="G644" s="57">
        <v>3</v>
      </c>
      <c r="H644" s="57" t="s">
        <v>2557</v>
      </c>
      <c r="I644" s="58">
        <v>55315</v>
      </c>
      <c r="J644" s="234"/>
      <c r="K644" s="58">
        <v>0.02</v>
      </c>
      <c r="L644" s="58">
        <v>0</v>
      </c>
      <c r="M644" s="58">
        <v>0</v>
      </c>
      <c r="N644" s="58">
        <v>7.2654399999999999</v>
      </c>
      <c r="O644" s="224">
        <f t="shared" si="4"/>
        <v>0.02</v>
      </c>
      <c r="P644" s="227">
        <f t="shared" si="5"/>
        <v>2.752758263780308E-3</v>
      </c>
    </row>
    <row r="645" spans="1:16" ht="14.25">
      <c r="A645" s="224">
        <v>644</v>
      </c>
      <c r="B645" s="58">
        <v>20656</v>
      </c>
      <c r="C645" s="57" t="s">
        <v>3570</v>
      </c>
      <c r="D645" s="57" t="s">
        <v>45</v>
      </c>
      <c r="E645" s="57" t="s">
        <v>2556</v>
      </c>
      <c r="F645" s="58" t="s">
        <v>3571</v>
      </c>
      <c r="G645" s="57">
        <v>3</v>
      </c>
      <c r="H645" s="57" t="s">
        <v>2557</v>
      </c>
      <c r="I645" s="58">
        <v>55327</v>
      </c>
      <c r="J645" s="234" t="s">
        <v>3572</v>
      </c>
      <c r="K645" s="58">
        <v>9.99</v>
      </c>
      <c r="L645" s="58">
        <v>0</v>
      </c>
      <c r="M645" s="58">
        <v>0</v>
      </c>
      <c r="N645" s="58">
        <v>1</v>
      </c>
      <c r="O645" s="224">
        <f t="shared" si="4"/>
        <v>9.99</v>
      </c>
      <c r="P645" s="227">
        <f t="shared" si="5"/>
        <v>9.99</v>
      </c>
    </row>
    <row r="646" spans="1:16" ht="14.25">
      <c r="A646" s="224">
        <v>645</v>
      </c>
      <c r="B646" s="58">
        <v>20696</v>
      </c>
      <c r="C646" s="57" t="s">
        <v>3573</v>
      </c>
      <c r="D646" s="57" t="s">
        <v>45</v>
      </c>
      <c r="E646" s="57" t="s">
        <v>2556</v>
      </c>
      <c r="F646" s="58" t="s">
        <v>3574</v>
      </c>
      <c r="G646" s="57">
        <v>3</v>
      </c>
      <c r="H646" s="57" t="s">
        <v>2557</v>
      </c>
      <c r="I646" s="58">
        <v>55399</v>
      </c>
      <c r="J646" s="234" t="s">
        <v>3575</v>
      </c>
      <c r="K646" s="58">
        <v>8.99</v>
      </c>
      <c r="L646" s="58">
        <v>0</v>
      </c>
      <c r="M646" s="58">
        <v>0</v>
      </c>
      <c r="N646" s="58">
        <v>1</v>
      </c>
      <c r="O646" s="224">
        <f t="shared" si="4"/>
        <v>8.99</v>
      </c>
      <c r="P646" s="227">
        <f t="shared" si="5"/>
        <v>8.99</v>
      </c>
    </row>
    <row r="647" spans="1:16" ht="14.25">
      <c r="A647" s="224">
        <v>646</v>
      </c>
      <c r="B647" s="58">
        <v>3826</v>
      </c>
      <c r="C647" s="57" t="s">
        <v>423</v>
      </c>
      <c r="D647" s="57" t="s">
        <v>45</v>
      </c>
      <c r="E647" s="57" t="s">
        <v>9</v>
      </c>
      <c r="F647" s="58" t="s">
        <v>3576</v>
      </c>
      <c r="G647" s="57">
        <v>3</v>
      </c>
      <c r="H647" s="57" t="s">
        <v>2557</v>
      </c>
      <c r="I647" s="58">
        <v>53827</v>
      </c>
      <c r="J647" s="234" t="s">
        <v>419</v>
      </c>
      <c r="K647" s="58">
        <v>1.0900000000000001</v>
      </c>
      <c r="L647" s="58">
        <v>0.54</v>
      </c>
      <c r="M647" s="58">
        <v>0</v>
      </c>
      <c r="N647" s="58">
        <v>1</v>
      </c>
      <c r="O647" s="224">
        <f t="shared" si="4"/>
        <v>0.55000000000000004</v>
      </c>
      <c r="P647" s="227">
        <f t="shared" si="5"/>
        <v>0.55000000000000004</v>
      </c>
    </row>
    <row r="648" spans="1:16" ht="14.25">
      <c r="A648" s="224">
        <v>647</v>
      </c>
      <c r="B648" s="58">
        <v>9778</v>
      </c>
      <c r="C648" s="57" t="s">
        <v>2815</v>
      </c>
      <c r="D648" s="57" t="s">
        <v>45</v>
      </c>
      <c r="E648" s="57" t="s">
        <v>2556</v>
      </c>
      <c r="F648" s="58" t="s">
        <v>3577</v>
      </c>
      <c r="G648" s="57">
        <v>3</v>
      </c>
      <c r="H648" s="57" t="s">
        <v>2557</v>
      </c>
      <c r="I648" s="58">
        <v>53011</v>
      </c>
      <c r="J648" s="234" t="s">
        <v>3578</v>
      </c>
      <c r="K648" s="58">
        <v>4.1900000000000004</v>
      </c>
      <c r="L648" s="58">
        <v>0</v>
      </c>
      <c r="M648" s="58">
        <v>0</v>
      </c>
      <c r="N648" s="58">
        <v>1</v>
      </c>
      <c r="O648" s="224">
        <f t="shared" si="4"/>
        <v>4.1900000000000004</v>
      </c>
      <c r="P648" s="227">
        <f t="shared" si="5"/>
        <v>4.1900000000000004</v>
      </c>
    </row>
    <row r="649" spans="1:16" ht="14.25">
      <c r="A649" s="224">
        <v>648</v>
      </c>
      <c r="B649" s="58">
        <v>318</v>
      </c>
      <c r="C649" s="57" t="s">
        <v>2580</v>
      </c>
      <c r="D649" s="57" t="s">
        <v>45</v>
      </c>
      <c r="E649" s="57" t="s">
        <v>2556</v>
      </c>
      <c r="F649" s="58" t="s">
        <v>3579</v>
      </c>
      <c r="G649" s="57">
        <v>3</v>
      </c>
      <c r="H649" s="57" t="s">
        <v>2557</v>
      </c>
      <c r="I649" s="58">
        <v>54055</v>
      </c>
      <c r="J649" s="234" t="s">
        <v>3580</v>
      </c>
      <c r="K649" s="58">
        <v>1.0900000000000001</v>
      </c>
      <c r="L649" s="58">
        <v>0</v>
      </c>
      <c r="M649" s="58">
        <v>0</v>
      </c>
      <c r="N649" s="58">
        <v>1</v>
      </c>
      <c r="O649" s="224">
        <f t="shared" si="4"/>
        <v>1.0900000000000001</v>
      </c>
      <c r="P649" s="227">
        <f t="shared" si="5"/>
        <v>1.0900000000000001</v>
      </c>
    </row>
    <row r="650" spans="1:16" ht="14.25">
      <c r="A650" s="224">
        <v>649</v>
      </c>
      <c r="B650" s="58">
        <v>19275</v>
      </c>
      <c r="C650" s="57" t="s">
        <v>3112</v>
      </c>
      <c r="D650" s="57" t="s">
        <v>45</v>
      </c>
      <c r="E650" s="57" t="s">
        <v>2572</v>
      </c>
      <c r="F650" s="58" t="s">
        <v>3581</v>
      </c>
      <c r="G650" s="57">
        <v>3</v>
      </c>
      <c r="H650" s="57" t="s">
        <v>2557</v>
      </c>
      <c r="I650" s="58">
        <v>55411</v>
      </c>
      <c r="J650" s="234" t="s">
        <v>3582</v>
      </c>
      <c r="K650" s="58">
        <v>119.98</v>
      </c>
      <c r="L650" s="58">
        <v>0</v>
      </c>
      <c r="M650" s="58">
        <v>0</v>
      </c>
      <c r="N650" s="58">
        <v>1</v>
      </c>
      <c r="O650" s="224">
        <f t="shared" si="4"/>
        <v>119.98</v>
      </c>
      <c r="P650" s="227">
        <f t="shared" si="5"/>
        <v>119.98</v>
      </c>
    </row>
    <row r="651" spans="1:16" ht="14.25">
      <c r="A651" s="224">
        <v>650</v>
      </c>
      <c r="B651" s="58">
        <v>3309</v>
      </c>
      <c r="C651" s="57" t="s">
        <v>2722</v>
      </c>
      <c r="D651" s="57" t="s">
        <v>45</v>
      </c>
      <c r="E651" s="57" t="s">
        <v>2556</v>
      </c>
      <c r="F651" s="58" t="s">
        <v>3583</v>
      </c>
      <c r="G651" s="57">
        <v>3</v>
      </c>
      <c r="H651" s="57" t="s">
        <v>2557</v>
      </c>
      <c r="I651" s="58">
        <v>54595</v>
      </c>
      <c r="J651" s="234" t="s">
        <v>3584</v>
      </c>
      <c r="K651" s="58">
        <v>59.99</v>
      </c>
      <c r="L651" s="58">
        <v>0</v>
      </c>
      <c r="M651" s="58">
        <v>0</v>
      </c>
      <c r="N651" s="58">
        <v>1</v>
      </c>
      <c r="O651" s="224">
        <f t="shared" si="4"/>
        <v>59.99</v>
      </c>
      <c r="P651" s="227">
        <f t="shared" si="5"/>
        <v>59.99</v>
      </c>
    </row>
    <row r="652" spans="1:16" ht="14.25">
      <c r="A652" s="224">
        <v>651</v>
      </c>
      <c r="B652" s="58">
        <v>20761</v>
      </c>
      <c r="C652" s="57" t="s">
        <v>3585</v>
      </c>
      <c r="D652" s="57" t="s">
        <v>45</v>
      </c>
      <c r="E652" s="57" t="s">
        <v>2556</v>
      </c>
      <c r="F652" s="58" t="s">
        <v>3586</v>
      </c>
      <c r="G652" s="57">
        <v>3</v>
      </c>
      <c r="H652" s="57" t="s">
        <v>2557</v>
      </c>
      <c r="I652" s="58">
        <v>55567</v>
      </c>
      <c r="J652" s="234"/>
      <c r="K652" s="58">
        <v>0</v>
      </c>
      <c r="L652" s="58">
        <v>0</v>
      </c>
      <c r="M652" s="58">
        <v>0</v>
      </c>
      <c r="N652" s="58">
        <v>1</v>
      </c>
      <c r="O652" s="224">
        <f t="shared" si="4"/>
        <v>0</v>
      </c>
      <c r="P652" s="227">
        <f t="shared" si="5"/>
        <v>0</v>
      </c>
    </row>
    <row r="653" spans="1:16" ht="14.25">
      <c r="A653" s="224">
        <v>652</v>
      </c>
      <c r="B653" s="58">
        <v>20723</v>
      </c>
      <c r="C653" s="57" t="s">
        <v>3587</v>
      </c>
      <c r="D653" s="57" t="s">
        <v>45</v>
      </c>
      <c r="E653" s="57" t="s">
        <v>2556</v>
      </c>
      <c r="F653" s="58" t="s">
        <v>3586</v>
      </c>
      <c r="G653" s="57">
        <v>3</v>
      </c>
      <c r="H653" s="57" t="s">
        <v>2557</v>
      </c>
      <c r="I653" s="58">
        <v>55579</v>
      </c>
      <c r="J653" s="234"/>
      <c r="K653" s="58">
        <v>0</v>
      </c>
      <c r="L653" s="58">
        <v>0</v>
      </c>
      <c r="M653" s="58">
        <v>0</v>
      </c>
      <c r="N653" s="58">
        <v>1</v>
      </c>
      <c r="O653" s="224">
        <f t="shared" si="4"/>
        <v>0</v>
      </c>
      <c r="P653" s="227">
        <f t="shared" si="5"/>
        <v>0</v>
      </c>
    </row>
    <row r="654" spans="1:16" ht="14.25">
      <c r="A654" s="224">
        <v>653</v>
      </c>
      <c r="B654" s="58">
        <v>283</v>
      </c>
      <c r="C654" s="57" t="s">
        <v>3548</v>
      </c>
      <c r="D654" s="57" t="s">
        <v>45</v>
      </c>
      <c r="E654" s="57" t="s">
        <v>2556</v>
      </c>
      <c r="F654" s="58" t="s">
        <v>3588</v>
      </c>
      <c r="G654" s="57">
        <v>3</v>
      </c>
      <c r="H654" s="57" t="s">
        <v>2557</v>
      </c>
      <c r="I654" s="58">
        <v>55207</v>
      </c>
      <c r="J654" s="234" t="s">
        <v>3589</v>
      </c>
      <c r="K654" s="58">
        <v>1.79</v>
      </c>
      <c r="L654" s="58">
        <v>0</v>
      </c>
      <c r="M654" s="58">
        <v>0</v>
      </c>
      <c r="N654" s="58">
        <v>1</v>
      </c>
      <c r="O654" s="224">
        <f t="shared" si="4"/>
        <v>1.79</v>
      </c>
      <c r="P654" s="227">
        <f t="shared" si="5"/>
        <v>1.79</v>
      </c>
    </row>
    <row r="655" spans="1:16" ht="14.25">
      <c r="A655" s="224">
        <v>654</v>
      </c>
      <c r="B655" s="58">
        <v>20722</v>
      </c>
      <c r="C655" s="57" t="s">
        <v>3590</v>
      </c>
      <c r="D655" s="57" t="s">
        <v>45</v>
      </c>
      <c r="E655" s="57" t="s">
        <v>2556</v>
      </c>
      <c r="F655" s="58" t="s">
        <v>3591</v>
      </c>
      <c r="G655" s="57">
        <v>3</v>
      </c>
      <c r="H655" s="57" t="s">
        <v>2557</v>
      </c>
      <c r="I655" s="58">
        <v>55423</v>
      </c>
      <c r="J655" s="234" t="s">
        <v>3592</v>
      </c>
      <c r="K655" s="58">
        <v>179.99</v>
      </c>
      <c r="L655" s="58">
        <v>0</v>
      </c>
      <c r="M655" s="58">
        <v>0</v>
      </c>
      <c r="N655" s="58">
        <v>1</v>
      </c>
      <c r="O655" s="224">
        <f t="shared" si="4"/>
        <v>179.99</v>
      </c>
      <c r="P655" s="227">
        <f t="shared" si="5"/>
        <v>179.99</v>
      </c>
    </row>
    <row r="656" spans="1:16" ht="14.25">
      <c r="A656" s="224">
        <v>655</v>
      </c>
      <c r="B656" s="58">
        <v>20719</v>
      </c>
      <c r="C656" s="57" t="s">
        <v>3593</v>
      </c>
      <c r="D656" s="57" t="s">
        <v>2582</v>
      </c>
      <c r="E656" s="57" t="s">
        <v>2556</v>
      </c>
      <c r="F656" s="58" t="s">
        <v>3594</v>
      </c>
      <c r="G656" s="57">
        <v>3</v>
      </c>
      <c r="H656" s="57" t="s">
        <v>2557</v>
      </c>
      <c r="I656" s="58">
        <v>55435</v>
      </c>
      <c r="J656" s="234" t="s">
        <v>3595</v>
      </c>
      <c r="K656" s="58">
        <v>43.52</v>
      </c>
      <c r="L656" s="58">
        <v>0</v>
      </c>
      <c r="M656" s="58">
        <v>0</v>
      </c>
      <c r="N656" s="58">
        <v>7.2654399999999999</v>
      </c>
      <c r="O656" s="224">
        <f t="shared" si="4"/>
        <v>43.52</v>
      </c>
      <c r="P656" s="227">
        <f t="shared" si="5"/>
        <v>5.9900019819859507</v>
      </c>
    </row>
    <row r="657" spans="1:16" ht="14.25">
      <c r="A657" s="224">
        <v>656</v>
      </c>
      <c r="B657" s="58">
        <v>1836</v>
      </c>
      <c r="C657" s="57" t="s">
        <v>2598</v>
      </c>
      <c r="D657" s="57" t="s">
        <v>2582</v>
      </c>
      <c r="E657" s="57" t="s">
        <v>2556</v>
      </c>
      <c r="F657" s="58" t="s">
        <v>3596</v>
      </c>
      <c r="G657" s="57">
        <v>3</v>
      </c>
      <c r="H657" s="57" t="s">
        <v>2557</v>
      </c>
      <c r="I657" s="58">
        <v>55471</v>
      </c>
      <c r="J657" s="234" t="s">
        <v>3597</v>
      </c>
      <c r="K657" s="58">
        <v>703.29</v>
      </c>
      <c r="L657" s="58">
        <v>0</v>
      </c>
      <c r="M657" s="58">
        <v>0</v>
      </c>
      <c r="N657" s="58">
        <v>7.2654399999999999</v>
      </c>
      <c r="O657" s="224">
        <f t="shared" si="4"/>
        <v>703.29</v>
      </c>
      <c r="P657" s="227">
        <f t="shared" si="5"/>
        <v>96.799367966702633</v>
      </c>
    </row>
    <row r="658" spans="1:16" ht="14.25">
      <c r="A658" s="224">
        <v>657</v>
      </c>
      <c r="B658" s="58">
        <v>20772</v>
      </c>
      <c r="C658" s="57" t="s">
        <v>3598</v>
      </c>
      <c r="D658" s="57" t="s">
        <v>45</v>
      </c>
      <c r="E658" s="57" t="s">
        <v>2556</v>
      </c>
      <c r="F658" s="58" t="s">
        <v>3599</v>
      </c>
      <c r="G658" s="57">
        <v>3</v>
      </c>
      <c r="H658" s="57" t="s">
        <v>2557</v>
      </c>
      <c r="I658" s="58">
        <v>55639</v>
      </c>
      <c r="J658" s="234" t="s">
        <v>3600</v>
      </c>
      <c r="K658" s="58">
        <v>8.99</v>
      </c>
      <c r="L658" s="58">
        <v>0</v>
      </c>
      <c r="M658" s="58">
        <v>0</v>
      </c>
      <c r="N658" s="58">
        <v>1</v>
      </c>
      <c r="O658" s="224">
        <f t="shared" si="4"/>
        <v>8.99</v>
      </c>
      <c r="P658" s="227">
        <f t="shared" si="5"/>
        <v>8.99</v>
      </c>
    </row>
    <row r="659" spans="1:16" ht="14.25">
      <c r="A659" s="224">
        <v>658</v>
      </c>
      <c r="B659" s="58">
        <v>20777</v>
      </c>
      <c r="C659" s="57" t="s">
        <v>3601</v>
      </c>
      <c r="D659" s="57" t="s">
        <v>45</v>
      </c>
      <c r="E659" s="57" t="s">
        <v>2556</v>
      </c>
      <c r="F659" s="58" t="s">
        <v>3602</v>
      </c>
      <c r="G659" s="57">
        <v>3</v>
      </c>
      <c r="H659" s="57" t="s">
        <v>2557</v>
      </c>
      <c r="I659" s="58">
        <v>55651</v>
      </c>
      <c r="J659" s="234" t="s">
        <v>3603</v>
      </c>
      <c r="K659" s="58">
        <v>20.25</v>
      </c>
      <c r="L659" s="58">
        <v>0</v>
      </c>
      <c r="M659" s="58">
        <v>0</v>
      </c>
      <c r="N659" s="58">
        <v>1</v>
      </c>
      <c r="O659" s="224">
        <f t="shared" si="4"/>
        <v>20.25</v>
      </c>
      <c r="P659" s="227">
        <f t="shared" si="5"/>
        <v>20.25</v>
      </c>
    </row>
    <row r="660" spans="1:16" ht="14.25">
      <c r="A660" s="224">
        <v>659</v>
      </c>
      <c r="B660" s="58">
        <v>3747</v>
      </c>
      <c r="C660" s="57" t="s">
        <v>2825</v>
      </c>
      <c r="D660" s="57" t="s">
        <v>2582</v>
      </c>
      <c r="E660" s="57" t="s">
        <v>2860</v>
      </c>
      <c r="F660" s="233">
        <v>45661.345833333333</v>
      </c>
      <c r="G660" s="57">
        <v>4</v>
      </c>
      <c r="H660" s="57" t="s">
        <v>2557</v>
      </c>
      <c r="I660" s="58">
        <v>53671</v>
      </c>
      <c r="J660" s="234" t="s">
        <v>3604</v>
      </c>
      <c r="K660" s="58">
        <v>52.09</v>
      </c>
      <c r="L660" s="58">
        <v>0</v>
      </c>
      <c r="M660" s="58">
        <v>0</v>
      </c>
      <c r="N660" s="58">
        <v>7.2654399999999999</v>
      </c>
      <c r="O660" s="224">
        <f t="shared" si="4"/>
        <v>52.09</v>
      </c>
      <c r="P660" s="227">
        <f t="shared" si="5"/>
        <v>7.1695588980158123</v>
      </c>
    </row>
    <row r="661" spans="1:16" ht="14.25">
      <c r="A661" s="224">
        <v>660</v>
      </c>
      <c r="B661" s="58">
        <v>3747</v>
      </c>
      <c r="C661" s="57" t="s">
        <v>2825</v>
      </c>
      <c r="D661" s="57" t="s">
        <v>2582</v>
      </c>
      <c r="E661" s="57" t="s">
        <v>2860</v>
      </c>
      <c r="F661" s="233">
        <v>45661.427083333336</v>
      </c>
      <c r="G661" s="57">
        <v>4</v>
      </c>
      <c r="H661" s="57" t="s">
        <v>2557</v>
      </c>
      <c r="I661" s="58">
        <v>53671</v>
      </c>
      <c r="J661" s="234"/>
      <c r="K661" s="58">
        <v>0.03</v>
      </c>
      <c r="L661" s="58">
        <v>0</v>
      </c>
      <c r="M661" s="58">
        <v>0</v>
      </c>
      <c r="N661" s="58">
        <v>7.2530700000000001</v>
      </c>
      <c r="O661" s="224">
        <f t="shared" si="4"/>
        <v>0.03</v>
      </c>
      <c r="P661" s="227">
        <f t="shared" si="5"/>
        <v>4.1361795763724873E-3</v>
      </c>
    </row>
    <row r="662" spans="1:16" ht="14.25">
      <c r="A662" s="224">
        <v>661</v>
      </c>
      <c r="B662" s="58">
        <v>6361</v>
      </c>
      <c r="C662" s="57" t="s">
        <v>3065</v>
      </c>
      <c r="D662" s="57" t="s">
        <v>45</v>
      </c>
      <c r="E662" s="57" t="s">
        <v>2860</v>
      </c>
      <c r="F662" s="233">
        <v>45661.517361111109</v>
      </c>
      <c r="G662" s="57">
        <v>4</v>
      </c>
      <c r="H662" s="57" t="s">
        <v>2557</v>
      </c>
      <c r="I662" s="58">
        <v>52123</v>
      </c>
      <c r="J662" s="234" t="s">
        <v>3605</v>
      </c>
      <c r="K662" s="58">
        <v>8.99</v>
      </c>
      <c r="L662" s="58">
        <v>0</v>
      </c>
      <c r="M662" s="58">
        <v>0</v>
      </c>
      <c r="N662" s="58">
        <v>1</v>
      </c>
      <c r="O662" s="224">
        <f t="shared" si="4"/>
        <v>8.99</v>
      </c>
      <c r="P662" s="227">
        <f t="shared" si="5"/>
        <v>8.99</v>
      </c>
    </row>
    <row r="663" spans="1:16" ht="14.25">
      <c r="A663" s="224">
        <v>662</v>
      </c>
      <c r="B663" s="58">
        <v>20870</v>
      </c>
      <c r="C663" s="57" t="s">
        <v>3606</v>
      </c>
      <c r="D663" s="57" t="s">
        <v>45</v>
      </c>
      <c r="E663" s="57" t="s">
        <v>2874</v>
      </c>
      <c r="F663" s="243">
        <v>45661</v>
      </c>
      <c r="G663" s="57">
        <v>4</v>
      </c>
      <c r="H663" s="57" t="s">
        <v>2557</v>
      </c>
      <c r="I663" s="58">
        <v>55831</v>
      </c>
      <c r="J663" s="234" t="s">
        <v>3607</v>
      </c>
      <c r="K663" s="58">
        <v>11.99</v>
      </c>
      <c r="L663" s="58">
        <v>0</v>
      </c>
      <c r="M663" s="58">
        <v>0</v>
      </c>
      <c r="N663" s="58">
        <v>1</v>
      </c>
      <c r="O663" s="224">
        <f t="shared" si="4"/>
        <v>11.99</v>
      </c>
      <c r="P663" s="227">
        <f t="shared" si="5"/>
        <v>11.99</v>
      </c>
    </row>
    <row r="664" spans="1:16" ht="14.25">
      <c r="A664" s="224">
        <v>663</v>
      </c>
      <c r="B664" s="58">
        <v>20870</v>
      </c>
      <c r="C664" s="57" t="s">
        <v>3606</v>
      </c>
      <c r="D664" s="57" t="s">
        <v>45</v>
      </c>
      <c r="E664" s="57" t="s">
        <v>2874</v>
      </c>
      <c r="F664" s="243">
        <v>45661</v>
      </c>
      <c r="G664" s="57">
        <v>4</v>
      </c>
      <c r="H664" s="57" t="s">
        <v>2557</v>
      </c>
      <c r="I664" s="58">
        <v>55843</v>
      </c>
      <c r="J664" s="234"/>
      <c r="K664" s="58">
        <v>11.99</v>
      </c>
      <c r="L664" s="58">
        <v>0</v>
      </c>
      <c r="M664" s="58">
        <v>0</v>
      </c>
      <c r="N664" s="58">
        <v>1</v>
      </c>
      <c r="O664" s="224">
        <f t="shared" si="4"/>
        <v>11.99</v>
      </c>
      <c r="P664" s="227">
        <f t="shared" si="5"/>
        <v>11.99</v>
      </c>
    </row>
    <row r="665" spans="1:16" ht="14.25">
      <c r="A665" s="224">
        <v>664</v>
      </c>
      <c r="B665" s="58">
        <v>1560</v>
      </c>
      <c r="C665" s="57" t="s">
        <v>2630</v>
      </c>
      <c r="D665" s="57" t="s">
        <v>45</v>
      </c>
      <c r="E665" s="57" t="s">
        <v>2860</v>
      </c>
      <c r="F665" s="233">
        <v>45661.754166666666</v>
      </c>
      <c r="G665" s="57">
        <v>4</v>
      </c>
      <c r="H665" s="57" t="s">
        <v>2557</v>
      </c>
      <c r="I665" s="58">
        <v>55687</v>
      </c>
      <c r="J665" s="234" t="s">
        <v>3608</v>
      </c>
      <c r="K665" s="58">
        <v>2.99</v>
      </c>
      <c r="L665" s="58">
        <v>0</v>
      </c>
      <c r="M665" s="58">
        <v>0</v>
      </c>
      <c r="N665" s="58">
        <v>1</v>
      </c>
      <c r="O665" s="224">
        <f t="shared" si="4"/>
        <v>2.99</v>
      </c>
      <c r="P665" s="227">
        <f t="shared" si="5"/>
        <v>2.99</v>
      </c>
    </row>
    <row r="666" spans="1:16" ht="14.25">
      <c r="A666" s="224">
        <v>665</v>
      </c>
      <c r="B666" s="58">
        <v>1560</v>
      </c>
      <c r="C666" s="57" t="s">
        <v>2630</v>
      </c>
      <c r="D666" s="57" t="s">
        <v>45</v>
      </c>
      <c r="E666" s="57" t="s">
        <v>2860</v>
      </c>
      <c r="F666" s="233">
        <v>45661.754861111112</v>
      </c>
      <c r="G666" s="57">
        <v>4</v>
      </c>
      <c r="H666" s="57" t="s">
        <v>2557</v>
      </c>
      <c r="I666" s="58">
        <v>55243</v>
      </c>
      <c r="J666" s="234" t="s">
        <v>3609</v>
      </c>
      <c r="K666" s="58">
        <v>8.9700000000000006</v>
      </c>
      <c r="L666" s="58">
        <v>0</v>
      </c>
      <c r="M666" s="58">
        <v>0</v>
      </c>
      <c r="N666" s="58">
        <v>1</v>
      </c>
      <c r="O666" s="224">
        <f t="shared" si="4"/>
        <v>8.9700000000000006</v>
      </c>
      <c r="P666" s="227">
        <f t="shared" si="5"/>
        <v>8.9700000000000006</v>
      </c>
    </row>
    <row r="667" spans="1:16" ht="14.25">
      <c r="A667" s="224">
        <v>666</v>
      </c>
      <c r="B667" s="58">
        <v>1560</v>
      </c>
      <c r="C667" s="57" t="s">
        <v>2630</v>
      </c>
      <c r="D667" s="57" t="s">
        <v>45</v>
      </c>
      <c r="E667" s="57" t="s">
        <v>2860</v>
      </c>
      <c r="F667" s="233">
        <v>45661.755555555559</v>
      </c>
      <c r="G667" s="57">
        <v>4</v>
      </c>
      <c r="H667" s="57" t="s">
        <v>2557</v>
      </c>
      <c r="I667" s="58">
        <v>55495</v>
      </c>
      <c r="J667" s="234" t="s">
        <v>3610</v>
      </c>
      <c r="K667" s="58">
        <v>5.98</v>
      </c>
      <c r="L667" s="58">
        <v>0</v>
      </c>
      <c r="M667" s="58">
        <v>0</v>
      </c>
      <c r="N667" s="58">
        <v>1</v>
      </c>
      <c r="O667" s="224">
        <f t="shared" si="4"/>
        <v>5.98</v>
      </c>
      <c r="P667" s="227">
        <f t="shared" si="5"/>
        <v>5.98</v>
      </c>
    </row>
    <row r="668" spans="1:16" ht="14.25">
      <c r="A668" s="224">
        <v>667</v>
      </c>
      <c r="B668" s="58">
        <v>18946</v>
      </c>
      <c r="C668" s="57" t="s">
        <v>3070</v>
      </c>
      <c r="D668" s="57" t="s">
        <v>2582</v>
      </c>
      <c r="E668" s="57" t="s">
        <v>9</v>
      </c>
      <c r="F668" s="233">
        <v>45661.873611111114</v>
      </c>
      <c r="G668" s="57">
        <v>4</v>
      </c>
      <c r="H668" s="57" t="s">
        <v>2557</v>
      </c>
      <c r="I668" s="58">
        <v>53647</v>
      </c>
      <c r="J668" s="234" t="s">
        <v>421</v>
      </c>
      <c r="K668" s="58">
        <v>8.66</v>
      </c>
      <c r="L668" s="58">
        <v>3.99</v>
      </c>
      <c r="M668" s="58">
        <v>0</v>
      </c>
      <c r="N668" s="58">
        <v>7.2530700000000001</v>
      </c>
      <c r="O668" s="224">
        <f t="shared" si="4"/>
        <v>4.67</v>
      </c>
      <c r="P668" s="227">
        <f t="shared" si="5"/>
        <v>0.64386528738865056</v>
      </c>
    </row>
    <row r="669" spans="1:16" ht="14.25">
      <c r="A669" s="224">
        <v>668</v>
      </c>
      <c r="B669" s="58">
        <v>20935</v>
      </c>
      <c r="C669" s="57" t="s">
        <v>3611</v>
      </c>
      <c r="D669" s="57" t="s">
        <v>45</v>
      </c>
      <c r="E669" s="57" t="s">
        <v>2874</v>
      </c>
      <c r="F669" s="243">
        <v>45692</v>
      </c>
      <c r="G669" s="57">
        <v>4</v>
      </c>
      <c r="H669" s="57" t="s">
        <v>2557</v>
      </c>
      <c r="I669" s="58">
        <v>56083</v>
      </c>
      <c r="J669" s="234"/>
      <c r="K669" s="58">
        <v>0</v>
      </c>
      <c r="L669" s="58">
        <v>0</v>
      </c>
      <c r="M669" s="58">
        <v>0</v>
      </c>
      <c r="N669" s="58">
        <v>1</v>
      </c>
      <c r="O669" s="224">
        <f t="shared" si="4"/>
        <v>0</v>
      </c>
      <c r="P669" s="227">
        <f t="shared" si="5"/>
        <v>0</v>
      </c>
    </row>
    <row r="670" spans="1:16" ht="14.25">
      <c r="A670" s="224">
        <v>669</v>
      </c>
      <c r="B670" s="58">
        <v>18424</v>
      </c>
      <c r="C670" s="57" t="s">
        <v>3612</v>
      </c>
      <c r="D670" s="57" t="s">
        <v>45</v>
      </c>
      <c r="E670" s="57" t="s">
        <v>2874</v>
      </c>
      <c r="F670" s="243">
        <v>45692</v>
      </c>
      <c r="G670" s="57">
        <v>4</v>
      </c>
      <c r="H670" s="57" t="s">
        <v>2557</v>
      </c>
      <c r="I670" s="58">
        <v>55879</v>
      </c>
      <c r="J670" s="234" t="s">
        <v>3613</v>
      </c>
      <c r="K670" s="58">
        <v>2.99</v>
      </c>
      <c r="L670" s="58">
        <v>0</v>
      </c>
      <c r="M670" s="58">
        <v>0</v>
      </c>
      <c r="N670" s="58">
        <v>1</v>
      </c>
      <c r="O670" s="224">
        <f t="shared" si="4"/>
        <v>2.99</v>
      </c>
      <c r="P670" s="227">
        <f t="shared" si="5"/>
        <v>2.99</v>
      </c>
    </row>
    <row r="671" spans="1:16" ht="14.25">
      <c r="A671" s="224">
        <v>670</v>
      </c>
      <c r="B671" s="58">
        <v>20909</v>
      </c>
      <c r="C671" s="57" t="s">
        <v>3614</v>
      </c>
      <c r="D671" s="57" t="s">
        <v>45</v>
      </c>
      <c r="E671" s="57" t="s">
        <v>2860</v>
      </c>
      <c r="F671" s="233">
        <v>45692.074999999997</v>
      </c>
      <c r="G671" s="57">
        <v>4</v>
      </c>
      <c r="H671" s="57" t="s">
        <v>2557</v>
      </c>
      <c r="I671" s="58">
        <v>55891</v>
      </c>
      <c r="J671" s="234" t="s">
        <v>3615</v>
      </c>
      <c r="K671" s="58">
        <v>8.99</v>
      </c>
      <c r="L671" s="58">
        <v>0</v>
      </c>
      <c r="M671" s="58">
        <v>0</v>
      </c>
      <c r="N671" s="58">
        <v>1</v>
      </c>
      <c r="O671" s="224">
        <f t="shared" si="4"/>
        <v>8.99</v>
      </c>
      <c r="P671" s="227">
        <f t="shared" si="5"/>
        <v>8.99</v>
      </c>
    </row>
    <row r="672" spans="1:16" ht="14.25">
      <c r="A672" s="224">
        <v>671</v>
      </c>
      <c r="B672" s="58">
        <v>6537</v>
      </c>
      <c r="C672" s="57" t="s">
        <v>2574</v>
      </c>
      <c r="D672" s="57" t="s">
        <v>45</v>
      </c>
      <c r="E672" s="57" t="s">
        <v>9</v>
      </c>
      <c r="F672" s="233">
        <v>45692.088888888888</v>
      </c>
      <c r="G672" s="57">
        <v>4</v>
      </c>
      <c r="H672" s="57" t="s">
        <v>2557</v>
      </c>
      <c r="I672" s="58">
        <v>55903</v>
      </c>
      <c r="J672" s="234" t="s">
        <v>422</v>
      </c>
      <c r="K672" s="58">
        <v>25.25</v>
      </c>
      <c r="L672" s="58">
        <v>1.37</v>
      </c>
      <c r="M672" s="58">
        <v>0</v>
      </c>
      <c r="N672" s="58">
        <v>1</v>
      </c>
      <c r="O672" s="224">
        <f t="shared" si="4"/>
        <v>23.88</v>
      </c>
      <c r="P672" s="227">
        <f t="shared" si="5"/>
        <v>23.88</v>
      </c>
    </row>
    <row r="673" spans="1:16" ht="14.25">
      <c r="A673" s="224">
        <v>672</v>
      </c>
      <c r="B673" s="58">
        <v>20926</v>
      </c>
      <c r="C673" s="57" t="s">
        <v>3616</v>
      </c>
      <c r="D673" s="57" t="s">
        <v>2582</v>
      </c>
      <c r="E673" s="57" t="s">
        <v>2860</v>
      </c>
      <c r="F673" s="233">
        <v>45692.39166666667</v>
      </c>
      <c r="G673" s="57">
        <v>4</v>
      </c>
      <c r="H673" s="57" t="s">
        <v>2557</v>
      </c>
      <c r="I673" s="58">
        <v>56023</v>
      </c>
      <c r="J673" s="234" t="s">
        <v>3617</v>
      </c>
      <c r="K673" s="58">
        <v>183.57</v>
      </c>
      <c r="L673" s="58">
        <v>0</v>
      </c>
      <c r="M673" s="58">
        <v>0</v>
      </c>
      <c r="N673" s="58">
        <v>7.2702099999999996</v>
      </c>
      <c r="O673" s="224">
        <f t="shared" si="4"/>
        <v>183.57</v>
      </c>
      <c r="P673" s="227">
        <f t="shared" si="5"/>
        <v>25.249614522826715</v>
      </c>
    </row>
    <row r="674" spans="1:16" ht="14.25">
      <c r="A674" s="224">
        <v>673</v>
      </c>
      <c r="B674" s="58">
        <v>3405</v>
      </c>
      <c r="C674" s="57" t="s">
        <v>3618</v>
      </c>
      <c r="D674" s="57" t="s">
        <v>45</v>
      </c>
      <c r="E674" s="57" t="s">
        <v>2860</v>
      </c>
      <c r="F674" s="233">
        <v>45692.451388888891</v>
      </c>
      <c r="G674" s="57">
        <v>4</v>
      </c>
      <c r="H674" s="57" t="s">
        <v>2557</v>
      </c>
      <c r="I674" s="58">
        <v>56047</v>
      </c>
      <c r="J674" s="234" t="s">
        <v>3619</v>
      </c>
      <c r="K674" s="58">
        <v>2.99</v>
      </c>
      <c r="L674" s="58">
        <v>0</v>
      </c>
      <c r="M674" s="58">
        <v>0</v>
      </c>
      <c r="N674" s="58">
        <v>1</v>
      </c>
      <c r="O674" s="224">
        <f t="shared" si="4"/>
        <v>2.99</v>
      </c>
      <c r="P674" s="227">
        <f t="shared" si="5"/>
        <v>2.99</v>
      </c>
    </row>
    <row r="675" spans="1:16" ht="14.25">
      <c r="A675" s="224">
        <v>674</v>
      </c>
      <c r="B675" s="58">
        <v>1836</v>
      </c>
      <c r="C675" s="57" t="s">
        <v>2882</v>
      </c>
      <c r="D675" s="57" t="s">
        <v>2582</v>
      </c>
      <c r="E675" s="57" t="s">
        <v>2860</v>
      </c>
      <c r="F675" s="233">
        <v>45692.529166666667</v>
      </c>
      <c r="G675" s="57">
        <v>4</v>
      </c>
      <c r="H675" s="57" t="s">
        <v>2557</v>
      </c>
      <c r="I675" s="58">
        <v>56059</v>
      </c>
      <c r="J675" s="234" t="s">
        <v>3620</v>
      </c>
      <c r="K675" s="58">
        <v>103.96</v>
      </c>
      <c r="L675" s="58">
        <v>0</v>
      </c>
      <c r="M675" s="58">
        <v>0</v>
      </c>
      <c r="N675" s="58">
        <v>7.2702099999999996</v>
      </c>
      <c r="O675" s="224">
        <f t="shared" si="4"/>
        <v>103.96</v>
      </c>
      <c r="P675" s="227">
        <f t="shared" si="5"/>
        <v>14.29944939692251</v>
      </c>
    </row>
    <row r="676" spans="1:16" ht="14.25">
      <c r="A676" s="224">
        <v>675</v>
      </c>
      <c r="B676" s="58">
        <v>1836</v>
      </c>
      <c r="C676" s="57" t="s">
        <v>2882</v>
      </c>
      <c r="D676" s="57" t="s">
        <v>2582</v>
      </c>
      <c r="E676" s="57" t="s">
        <v>2860</v>
      </c>
      <c r="F676" s="233">
        <v>45692.530555555553</v>
      </c>
      <c r="G676" s="57">
        <v>4</v>
      </c>
      <c r="H676" s="57" t="s">
        <v>2557</v>
      </c>
      <c r="I676" s="58">
        <v>56059</v>
      </c>
      <c r="J676" s="234"/>
      <c r="K676" s="58">
        <v>0.04</v>
      </c>
      <c r="L676" s="58">
        <v>0</v>
      </c>
      <c r="M676" s="58">
        <v>0</v>
      </c>
      <c r="N676" s="58">
        <v>7.2702099999999996</v>
      </c>
      <c r="O676" s="224">
        <f t="shared" si="4"/>
        <v>0.04</v>
      </c>
      <c r="P676" s="227">
        <f t="shared" si="5"/>
        <v>5.5019043466419818E-3</v>
      </c>
    </row>
    <row r="677" spans="1:16" ht="14.25">
      <c r="A677" s="224">
        <v>676</v>
      </c>
      <c r="B677" s="58">
        <v>20944</v>
      </c>
      <c r="C677" s="57" t="s">
        <v>3621</v>
      </c>
      <c r="D677" s="57" t="s">
        <v>45</v>
      </c>
      <c r="E677" s="57" t="s">
        <v>2860</v>
      </c>
      <c r="F677" s="233">
        <v>45692.572222222225</v>
      </c>
      <c r="G677" s="57">
        <v>4</v>
      </c>
      <c r="H677" s="57" t="s">
        <v>2557</v>
      </c>
      <c r="I677" s="58">
        <v>56071</v>
      </c>
      <c r="J677" s="234" t="s">
        <v>3622</v>
      </c>
      <c r="K677" s="58">
        <v>5.99</v>
      </c>
      <c r="L677" s="58">
        <v>0</v>
      </c>
      <c r="M677" s="58">
        <v>0</v>
      </c>
      <c r="N677" s="58">
        <v>1</v>
      </c>
      <c r="O677" s="224">
        <f t="shared" si="4"/>
        <v>5.99</v>
      </c>
      <c r="P677" s="227">
        <f t="shared" si="5"/>
        <v>5.99</v>
      </c>
    </row>
    <row r="678" spans="1:16" ht="14.25">
      <c r="A678" s="224">
        <v>677</v>
      </c>
      <c r="B678" s="58">
        <v>90</v>
      </c>
      <c r="C678" s="57" t="s">
        <v>3623</v>
      </c>
      <c r="D678" s="57" t="s">
        <v>2582</v>
      </c>
      <c r="E678" s="57" t="s">
        <v>2860</v>
      </c>
      <c r="F678" s="233">
        <v>45692.706250000003</v>
      </c>
      <c r="G678" s="57">
        <v>4</v>
      </c>
      <c r="H678" s="57" t="s">
        <v>2557</v>
      </c>
      <c r="I678" s="58">
        <v>56095</v>
      </c>
      <c r="J678" s="234" t="s">
        <v>3624</v>
      </c>
      <c r="K678" s="58">
        <v>14.4</v>
      </c>
      <c r="L678" s="58">
        <v>0</v>
      </c>
      <c r="M678" s="58">
        <v>0</v>
      </c>
      <c r="N678" s="58">
        <v>7.2702099999999996</v>
      </c>
      <c r="O678" s="224">
        <f t="shared" si="4"/>
        <v>14.4</v>
      </c>
      <c r="P678" s="227">
        <f t="shared" si="5"/>
        <v>1.9806855647911135</v>
      </c>
    </row>
    <row r="679" spans="1:16" ht="14.25">
      <c r="A679" s="224">
        <v>678</v>
      </c>
      <c r="B679" s="58">
        <v>20955</v>
      </c>
      <c r="C679" s="57" t="s">
        <v>3625</v>
      </c>
      <c r="D679" s="57" t="s">
        <v>2582</v>
      </c>
      <c r="E679" s="57" t="s">
        <v>2860</v>
      </c>
      <c r="F679" s="233">
        <v>45692.817361111112</v>
      </c>
      <c r="G679" s="57">
        <v>4</v>
      </c>
      <c r="H679" s="57" t="s">
        <v>2557</v>
      </c>
      <c r="I679" s="58">
        <v>56107</v>
      </c>
      <c r="J679" s="234" t="s">
        <v>3626</v>
      </c>
      <c r="K679" s="58">
        <v>130.79</v>
      </c>
      <c r="L679" s="58">
        <v>0</v>
      </c>
      <c r="M679" s="58">
        <v>0</v>
      </c>
      <c r="N679" s="58">
        <v>7.2702099999999996</v>
      </c>
      <c r="O679" s="224">
        <f t="shared" si="4"/>
        <v>130.79</v>
      </c>
      <c r="P679" s="227">
        <f t="shared" si="5"/>
        <v>17.98985173743262</v>
      </c>
    </row>
    <row r="680" spans="1:16" ht="14.25">
      <c r="A680" s="224">
        <v>679</v>
      </c>
      <c r="B680" s="58">
        <v>20955</v>
      </c>
      <c r="C680" s="57" t="s">
        <v>3625</v>
      </c>
      <c r="D680" s="57" t="s">
        <v>2582</v>
      </c>
      <c r="E680" s="57" t="s">
        <v>2860</v>
      </c>
      <c r="F680" s="233">
        <v>45692.825694444444</v>
      </c>
      <c r="G680" s="57">
        <v>4</v>
      </c>
      <c r="H680" s="57" t="s">
        <v>2557</v>
      </c>
      <c r="I680" s="58">
        <v>56107</v>
      </c>
      <c r="J680" s="234"/>
      <c r="K680" s="58">
        <v>0.01</v>
      </c>
      <c r="L680" s="58">
        <v>0</v>
      </c>
      <c r="M680" s="58">
        <v>0</v>
      </c>
      <c r="N680" s="58">
        <v>7.2702099999999996</v>
      </c>
      <c r="O680" s="224">
        <f t="shared" si="4"/>
        <v>0.01</v>
      </c>
      <c r="P680" s="227">
        <f t="shared" si="5"/>
        <v>1.3754760866604954E-3</v>
      </c>
    </row>
    <row r="681" spans="1:16" ht="14.25">
      <c r="A681" s="224">
        <v>680</v>
      </c>
      <c r="B681" s="58">
        <v>20956</v>
      </c>
      <c r="C681" s="57" t="s">
        <v>3627</v>
      </c>
      <c r="D681" s="57" t="s">
        <v>45</v>
      </c>
      <c r="E681" s="57" t="s">
        <v>2860</v>
      </c>
      <c r="F681" s="233">
        <v>45692.845833333333</v>
      </c>
      <c r="G681" s="57">
        <v>4</v>
      </c>
      <c r="H681" s="57" t="s">
        <v>2557</v>
      </c>
      <c r="I681" s="58">
        <v>56119</v>
      </c>
      <c r="J681" s="234" t="s">
        <v>3628</v>
      </c>
      <c r="K681" s="58">
        <v>3.99</v>
      </c>
      <c r="L681" s="58">
        <v>0</v>
      </c>
      <c r="M681" s="58">
        <v>0</v>
      </c>
      <c r="N681" s="58">
        <v>1</v>
      </c>
      <c r="O681" s="224">
        <f t="shared" si="4"/>
        <v>3.99</v>
      </c>
      <c r="P681" s="227">
        <f t="shared" si="5"/>
        <v>3.99</v>
      </c>
    </row>
    <row r="682" spans="1:16" ht="14.25">
      <c r="A682" s="224">
        <v>681</v>
      </c>
      <c r="B682" s="58">
        <v>20998</v>
      </c>
      <c r="C682" s="57" t="s">
        <v>3629</v>
      </c>
      <c r="D682" s="57" t="s">
        <v>45</v>
      </c>
      <c r="E682" s="57" t="s">
        <v>9</v>
      </c>
      <c r="F682" s="233">
        <v>45720.382638888892</v>
      </c>
      <c r="G682" s="57">
        <v>4</v>
      </c>
      <c r="H682" s="57" t="s">
        <v>2557</v>
      </c>
      <c r="I682" s="58">
        <v>56263</v>
      </c>
      <c r="J682" s="234" t="s">
        <v>424</v>
      </c>
      <c r="K682" s="58">
        <v>5.99</v>
      </c>
      <c r="L682" s="58">
        <v>0.7</v>
      </c>
      <c r="M682" s="58">
        <v>0</v>
      </c>
      <c r="N682" s="58">
        <v>1</v>
      </c>
      <c r="O682" s="224">
        <f t="shared" si="4"/>
        <v>5.29</v>
      </c>
      <c r="P682" s="227">
        <f t="shared" si="5"/>
        <v>5.29</v>
      </c>
    </row>
    <row r="683" spans="1:16" ht="14.25">
      <c r="A683" s="224">
        <v>682</v>
      </c>
      <c r="B683" s="58">
        <v>21127</v>
      </c>
      <c r="C683" s="57" t="s">
        <v>3630</v>
      </c>
      <c r="D683" s="57" t="s">
        <v>45</v>
      </c>
      <c r="E683" s="57" t="s">
        <v>2860</v>
      </c>
      <c r="F683" s="233">
        <v>45751.797222222223</v>
      </c>
      <c r="G683" s="57">
        <v>4</v>
      </c>
      <c r="H683" s="57" t="s">
        <v>2557</v>
      </c>
      <c r="I683" s="58">
        <v>56395</v>
      </c>
      <c r="J683" s="234" t="s">
        <v>3631</v>
      </c>
      <c r="K683" s="58">
        <v>0.99</v>
      </c>
      <c r="L683" s="58">
        <v>0</v>
      </c>
      <c r="M683" s="58">
        <v>0</v>
      </c>
      <c r="N683" s="58">
        <v>1</v>
      </c>
      <c r="O683" s="224">
        <f t="shared" si="4"/>
        <v>0.99</v>
      </c>
      <c r="P683" s="227">
        <f t="shared" si="5"/>
        <v>0.99</v>
      </c>
    </row>
    <row r="684" spans="1:16" ht="14.25">
      <c r="A684" s="224">
        <v>683</v>
      </c>
      <c r="B684" s="58">
        <v>4096</v>
      </c>
      <c r="C684" s="57" t="s">
        <v>2602</v>
      </c>
      <c r="D684" s="57" t="s">
        <v>45</v>
      </c>
      <c r="E684" s="57" t="s">
        <v>9</v>
      </c>
      <c r="F684" s="233">
        <v>45751.8</v>
      </c>
      <c r="G684" s="57">
        <v>4</v>
      </c>
      <c r="H684" s="57" t="s">
        <v>2557</v>
      </c>
      <c r="I684" s="58">
        <v>54379</v>
      </c>
      <c r="J684" s="234" t="s">
        <v>425</v>
      </c>
      <c r="K684" s="58">
        <v>11.99</v>
      </c>
      <c r="L684" s="58">
        <v>0.91</v>
      </c>
      <c r="M684" s="58">
        <v>0</v>
      </c>
      <c r="N684" s="58">
        <v>1</v>
      </c>
      <c r="O684" s="224">
        <f t="shared" si="4"/>
        <v>11.08</v>
      </c>
      <c r="P684" s="227">
        <f t="shared" si="5"/>
        <v>11.08</v>
      </c>
    </row>
    <row r="685" spans="1:16" ht="14.25">
      <c r="A685" s="224">
        <v>684</v>
      </c>
      <c r="B685" s="58">
        <v>392</v>
      </c>
      <c r="C685" s="57" t="s">
        <v>2876</v>
      </c>
      <c r="D685" s="57" t="s">
        <v>2582</v>
      </c>
      <c r="E685" s="57" t="s">
        <v>2860</v>
      </c>
      <c r="F685" s="233">
        <v>45751.863888888889</v>
      </c>
      <c r="G685" s="57">
        <v>4</v>
      </c>
      <c r="H685" s="57" t="s">
        <v>2557</v>
      </c>
      <c r="I685" s="58">
        <v>56323</v>
      </c>
      <c r="J685" s="234" t="s">
        <v>3632</v>
      </c>
      <c r="K685" s="58">
        <v>29.02</v>
      </c>
      <c r="L685" s="58">
        <v>0</v>
      </c>
      <c r="M685" s="58">
        <v>0</v>
      </c>
      <c r="N685" s="58">
        <v>7.2919700000000001</v>
      </c>
      <c r="O685" s="224">
        <f t="shared" si="4"/>
        <v>29.02</v>
      </c>
      <c r="P685" s="227">
        <f t="shared" si="5"/>
        <v>3.9797201579271446</v>
      </c>
    </row>
    <row r="686" spans="1:16" ht="14.25">
      <c r="A686" s="224">
        <v>685</v>
      </c>
      <c r="B686" s="58">
        <v>392</v>
      </c>
      <c r="C686" s="57" t="s">
        <v>2876</v>
      </c>
      <c r="D686" s="57" t="s">
        <v>2582</v>
      </c>
      <c r="E686" s="57" t="s">
        <v>2860</v>
      </c>
      <c r="F686" s="233">
        <v>45751.868055555555</v>
      </c>
      <c r="G686" s="57">
        <v>4</v>
      </c>
      <c r="H686" s="57" t="s">
        <v>2557</v>
      </c>
      <c r="I686" s="58">
        <v>56431</v>
      </c>
      <c r="J686" s="234" t="s">
        <v>3633</v>
      </c>
      <c r="K686" s="58">
        <v>29.09</v>
      </c>
      <c r="L686" s="58">
        <v>0</v>
      </c>
      <c r="M686" s="58">
        <v>0</v>
      </c>
      <c r="N686" s="58">
        <v>7.2919700000000001</v>
      </c>
      <c r="O686" s="224">
        <f t="shared" si="4"/>
        <v>29.09</v>
      </c>
      <c r="P686" s="227">
        <f t="shared" si="5"/>
        <v>3.9893197585837572</v>
      </c>
    </row>
    <row r="687" spans="1:16" ht="14.25">
      <c r="A687" s="224">
        <v>686</v>
      </c>
      <c r="B687" s="58">
        <v>19314</v>
      </c>
      <c r="C687" s="57" t="s">
        <v>3119</v>
      </c>
      <c r="D687" s="57" t="s">
        <v>45</v>
      </c>
      <c r="E687" s="57" t="s">
        <v>2874</v>
      </c>
      <c r="F687" s="243">
        <v>45751</v>
      </c>
      <c r="G687" s="57">
        <v>4</v>
      </c>
      <c r="H687" s="57" t="s">
        <v>2557</v>
      </c>
      <c r="I687" s="58">
        <v>56443</v>
      </c>
      <c r="J687" s="234" t="s">
        <v>3634</v>
      </c>
      <c r="K687" s="58">
        <v>15.99</v>
      </c>
      <c r="L687" s="58">
        <v>0</v>
      </c>
      <c r="M687" s="58">
        <v>0</v>
      </c>
      <c r="N687" s="58">
        <v>1</v>
      </c>
      <c r="O687" s="224">
        <f t="shared" si="4"/>
        <v>15.99</v>
      </c>
      <c r="P687" s="227">
        <f t="shared" si="5"/>
        <v>15.99</v>
      </c>
    </row>
    <row r="688" spans="1:16" ht="14.25">
      <c r="A688" s="224">
        <v>687</v>
      </c>
      <c r="B688" s="58">
        <v>21142</v>
      </c>
      <c r="C688" s="57" t="s">
        <v>3635</v>
      </c>
      <c r="D688" s="57" t="s">
        <v>45</v>
      </c>
      <c r="E688" s="57" t="s">
        <v>2860</v>
      </c>
      <c r="F688" s="233">
        <v>45781.415277777778</v>
      </c>
      <c r="G688" s="57">
        <v>4</v>
      </c>
      <c r="H688" s="57" t="s">
        <v>2557</v>
      </c>
      <c r="I688" s="58">
        <v>56623</v>
      </c>
      <c r="J688" s="234" t="s">
        <v>3636</v>
      </c>
      <c r="K688" s="58">
        <v>0.99</v>
      </c>
      <c r="L688" s="58">
        <v>0</v>
      </c>
      <c r="M688" s="58">
        <v>0</v>
      </c>
      <c r="N688" s="58">
        <v>1</v>
      </c>
      <c r="O688" s="224">
        <f t="shared" si="4"/>
        <v>0.99</v>
      </c>
      <c r="P688" s="227">
        <f t="shared" si="5"/>
        <v>0.99</v>
      </c>
    </row>
    <row r="689" spans="1:16" ht="14.25">
      <c r="A689" s="224">
        <v>688</v>
      </c>
      <c r="B689" s="58">
        <v>21228</v>
      </c>
      <c r="C689" s="57" t="s">
        <v>3637</v>
      </c>
      <c r="D689" s="57" t="s">
        <v>45</v>
      </c>
      <c r="E689" s="57" t="s">
        <v>2860</v>
      </c>
      <c r="F689" s="233">
        <v>45781.429861111108</v>
      </c>
      <c r="G689" s="57">
        <v>4</v>
      </c>
      <c r="H689" s="57" t="s">
        <v>2557</v>
      </c>
      <c r="I689" s="58">
        <v>56635</v>
      </c>
      <c r="J689" s="234" t="s">
        <v>3638</v>
      </c>
      <c r="K689" s="58">
        <v>31.49</v>
      </c>
      <c r="L689" s="58">
        <v>0</v>
      </c>
      <c r="M689" s="58">
        <v>0</v>
      </c>
      <c r="N689" s="58">
        <v>1</v>
      </c>
      <c r="O689" s="224">
        <f t="shared" si="4"/>
        <v>31.49</v>
      </c>
      <c r="P689" s="227">
        <f t="shared" si="5"/>
        <v>31.49</v>
      </c>
    </row>
    <row r="690" spans="1:16" ht="14.25">
      <c r="A690" s="224">
        <v>689</v>
      </c>
      <c r="B690" s="58">
        <v>21135</v>
      </c>
      <c r="C690" s="57" t="s">
        <v>3639</v>
      </c>
      <c r="D690" s="57" t="s">
        <v>45</v>
      </c>
      <c r="E690" s="57" t="s">
        <v>2860</v>
      </c>
      <c r="F690" s="233">
        <v>45781.476388888892</v>
      </c>
      <c r="G690" s="57">
        <v>4</v>
      </c>
      <c r="H690" s="57" t="s">
        <v>2557</v>
      </c>
      <c r="I690" s="58">
        <v>56455</v>
      </c>
      <c r="J690" s="234" t="s">
        <v>3640</v>
      </c>
      <c r="K690" s="58">
        <v>0.99</v>
      </c>
      <c r="L690" s="58">
        <v>0</v>
      </c>
      <c r="M690" s="58">
        <v>0</v>
      </c>
      <c r="N690" s="58">
        <v>1</v>
      </c>
      <c r="O690" s="224">
        <f t="shared" si="4"/>
        <v>0.99</v>
      </c>
      <c r="P690" s="227">
        <f t="shared" si="5"/>
        <v>0.99</v>
      </c>
    </row>
    <row r="691" spans="1:16" ht="14.25">
      <c r="A691" s="224">
        <v>690</v>
      </c>
      <c r="B691" s="58">
        <v>21245</v>
      </c>
      <c r="C691" s="57" t="s">
        <v>3641</v>
      </c>
      <c r="D691" s="57" t="s">
        <v>45</v>
      </c>
      <c r="E691" s="57" t="s">
        <v>2860</v>
      </c>
      <c r="F691" s="233">
        <v>45781.586805555555</v>
      </c>
      <c r="G691" s="57">
        <v>4</v>
      </c>
      <c r="H691" s="57" t="s">
        <v>2557</v>
      </c>
      <c r="I691" s="58">
        <v>56671</v>
      </c>
      <c r="J691" s="234" t="s">
        <v>3642</v>
      </c>
      <c r="K691" s="58">
        <v>0.99</v>
      </c>
      <c r="L691" s="58">
        <v>0</v>
      </c>
      <c r="M691" s="58">
        <v>0</v>
      </c>
      <c r="N691" s="58">
        <v>1</v>
      </c>
      <c r="O691" s="224">
        <f t="shared" si="4"/>
        <v>0.99</v>
      </c>
      <c r="P691" s="227">
        <f t="shared" si="5"/>
        <v>0.99</v>
      </c>
    </row>
    <row r="692" spans="1:16" ht="14.25">
      <c r="A692" s="224">
        <v>691</v>
      </c>
      <c r="B692" s="58">
        <v>396</v>
      </c>
      <c r="C692" s="57" t="s">
        <v>2674</v>
      </c>
      <c r="D692" s="57" t="s">
        <v>45</v>
      </c>
      <c r="E692" s="57" t="s">
        <v>9</v>
      </c>
      <c r="F692" s="233">
        <v>45781.796527777777</v>
      </c>
      <c r="G692" s="57">
        <v>4</v>
      </c>
      <c r="H692" s="57" t="s">
        <v>2557</v>
      </c>
      <c r="I692" s="58">
        <v>56275</v>
      </c>
      <c r="J692" s="234" t="s">
        <v>426</v>
      </c>
      <c r="K692" s="58">
        <v>1.0900000000000001</v>
      </c>
      <c r="L692" s="58">
        <v>0.54</v>
      </c>
      <c r="M692" s="58">
        <v>0</v>
      </c>
      <c r="N692" s="58">
        <v>1</v>
      </c>
      <c r="O692" s="224">
        <f t="shared" si="4"/>
        <v>0.55000000000000004</v>
      </c>
      <c r="P692" s="227">
        <f t="shared" si="5"/>
        <v>0.55000000000000004</v>
      </c>
    </row>
    <row r="693" spans="1:16" ht="14.25">
      <c r="A693" s="224">
        <v>692</v>
      </c>
      <c r="B693" s="58">
        <v>6037</v>
      </c>
      <c r="C693" s="57" t="s">
        <v>3643</v>
      </c>
      <c r="D693" s="57" t="s">
        <v>2582</v>
      </c>
      <c r="E693" s="57" t="s">
        <v>2860</v>
      </c>
      <c r="F693" s="233">
        <v>45781.833333333336</v>
      </c>
      <c r="G693" s="57">
        <v>4</v>
      </c>
      <c r="H693" s="57" t="s">
        <v>2557</v>
      </c>
      <c r="I693" s="58">
        <v>56707</v>
      </c>
      <c r="J693" s="234" t="s">
        <v>3644</v>
      </c>
      <c r="K693" s="58">
        <v>183.87</v>
      </c>
      <c r="L693" s="58">
        <v>0</v>
      </c>
      <c r="M693" s="58">
        <v>0</v>
      </c>
      <c r="N693" s="58">
        <v>7.2820799999999997</v>
      </c>
      <c r="O693" s="224">
        <f t="shared" si="4"/>
        <v>183.87</v>
      </c>
      <c r="P693" s="227">
        <f t="shared" si="5"/>
        <v>25.249653945026697</v>
      </c>
    </row>
    <row r="694" spans="1:16" ht="14.25">
      <c r="A694" s="224">
        <v>693</v>
      </c>
      <c r="B694" s="58">
        <v>21261</v>
      </c>
      <c r="C694" s="57" t="s">
        <v>3645</v>
      </c>
      <c r="D694" s="57" t="s">
        <v>45</v>
      </c>
      <c r="E694" s="57" t="s">
        <v>2860</v>
      </c>
      <c r="F694" s="233">
        <v>45781.856249999997</v>
      </c>
      <c r="G694" s="57">
        <v>4</v>
      </c>
      <c r="H694" s="57" t="s">
        <v>2557</v>
      </c>
      <c r="I694" s="58">
        <v>56731</v>
      </c>
      <c r="J694" s="234" t="s">
        <v>3646</v>
      </c>
      <c r="K694" s="58">
        <v>2.79</v>
      </c>
      <c r="L694" s="58">
        <v>0</v>
      </c>
      <c r="M694" s="58">
        <v>0</v>
      </c>
      <c r="N694" s="58">
        <v>1</v>
      </c>
      <c r="O694" s="224">
        <f t="shared" si="4"/>
        <v>2.79</v>
      </c>
      <c r="P694" s="227">
        <f t="shared" si="5"/>
        <v>2.79</v>
      </c>
    </row>
    <row r="695" spans="1:16" ht="14.25">
      <c r="A695" s="224">
        <v>694</v>
      </c>
      <c r="B695" s="58">
        <v>21264</v>
      </c>
      <c r="C695" s="57" t="s">
        <v>3647</v>
      </c>
      <c r="D695" s="57" t="s">
        <v>45</v>
      </c>
      <c r="E695" s="57" t="s">
        <v>2860</v>
      </c>
      <c r="F695" s="233">
        <v>45781.904166666667</v>
      </c>
      <c r="G695" s="57">
        <v>4</v>
      </c>
      <c r="H695" s="57" t="s">
        <v>2557</v>
      </c>
      <c r="I695" s="58">
        <v>56755</v>
      </c>
      <c r="J695" s="234" t="s">
        <v>3648</v>
      </c>
      <c r="K695" s="58">
        <v>0.99</v>
      </c>
      <c r="L695" s="58">
        <v>0</v>
      </c>
      <c r="M695" s="58">
        <v>0</v>
      </c>
      <c r="N695" s="58">
        <v>1</v>
      </c>
      <c r="O695" s="224">
        <f t="shared" si="4"/>
        <v>0.99</v>
      </c>
      <c r="P695" s="227">
        <f t="shared" si="5"/>
        <v>0.99</v>
      </c>
    </row>
    <row r="696" spans="1:16" ht="14.25">
      <c r="A696" s="224">
        <v>695</v>
      </c>
      <c r="B696" s="58">
        <v>21265</v>
      </c>
      <c r="C696" s="57" t="s">
        <v>3649</v>
      </c>
      <c r="D696" s="57" t="s">
        <v>2582</v>
      </c>
      <c r="E696" s="57" t="s">
        <v>2860</v>
      </c>
      <c r="F696" s="233">
        <v>45781.934027777781</v>
      </c>
      <c r="G696" s="57">
        <v>4</v>
      </c>
      <c r="H696" s="57" t="s">
        <v>2557</v>
      </c>
      <c r="I696" s="58">
        <v>56767</v>
      </c>
      <c r="J696" s="234" t="s">
        <v>3650</v>
      </c>
      <c r="K696" s="58">
        <v>58.18</v>
      </c>
      <c r="L696" s="58">
        <v>0</v>
      </c>
      <c r="M696" s="58">
        <v>0</v>
      </c>
      <c r="N696" s="58">
        <v>7.2820799999999997</v>
      </c>
      <c r="O696" s="224">
        <f t="shared" si="4"/>
        <v>58.18</v>
      </c>
      <c r="P696" s="227">
        <f t="shared" si="5"/>
        <v>7.9894755344626809</v>
      </c>
    </row>
    <row r="697" spans="1:16" ht="14.25">
      <c r="A697" s="224">
        <v>696</v>
      </c>
      <c r="B697" s="58">
        <v>21266</v>
      </c>
      <c r="C697" s="57" t="s">
        <v>3065</v>
      </c>
      <c r="D697" s="57" t="s">
        <v>45</v>
      </c>
      <c r="E697" s="57" t="s">
        <v>2860</v>
      </c>
      <c r="F697" s="233">
        <v>45781.964583333334</v>
      </c>
      <c r="G697" s="57">
        <v>4</v>
      </c>
      <c r="H697" s="57" t="s">
        <v>2557</v>
      </c>
      <c r="I697" s="58">
        <v>56779</v>
      </c>
      <c r="J697" s="234" t="s">
        <v>3651</v>
      </c>
      <c r="K697" s="58">
        <v>3.99</v>
      </c>
      <c r="L697" s="58">
        <v>0</v>
      </c>
      <c r="M697" s="58">
        <v>0</v>
      </c>
      <c r="N697" s="58">
        <v>1</v>
      </c>
      <c r="O697" s="224">
        <f t="shared" si="4"/>
        <v>3.99</v>
      </c>
      <c r="P697" s="227">
        <f t="shared" si="5"/>
        <v>3.99</v>
      </c>
    </row>
    <row r="698" spans="1:16" ht="14.25">
      <c r="A698" s="224">
        <v>697</v>
      </c>
      <c r="B698" s="58">
        <v>21266</v>
      </c>
      <c r="C698" s="57" t="s">
        <v>3065</v>
      </c>
      <c r="D698" s="57" t="s">
        <v>45</v>
      </c>
      <c r="E698" s="57" t="s">
        <v>2860</v>
      </c>
      <c r="F698" s="233">
        <v>45781.972916666666</v>
      </c>
      <c r="G698" s="57">
        <v>4</v>
      </c>
      <c r="H698" s="57" t="s">
        <v>2557</v>
      </c>
      <c r="I698" s="58">
        <v>56791</v>
      </c>
      <c r="J698" s="234" t="s">
        <v>3652</v>
      </c>
      <c r="K698" s="58">
        <v>0.99</v>
      </c>
      <c r="L698" s="58">
        <v>0</v>
      </c>
      <c r="M698" s="58">
        <v>0</v>
      </c>
      <c r="N698" s="58">
        <v>1</v>
      </c>
      <c r="O698" s="224">
        <f t="shared" si="4"/>
        <v>0.99</v>
      </c>
      <c r="P698" s="227">
        <f t="shared" si="5"/>
        <v>0.99</v>
      </c>
    </row>
    <row r="699" spans="1:16" ht="14.25">
      <c r="A699" s="224">
        <v>698</v>
      </c>
      <c r="B699" s="58">
        <v>21264</v>
      </c>
      <c r="C699" s="57" t="s">
        <v>3647</v>
      </c>
      <c r="D699" s="57" t="s">
        <v>45</v>
      </c>
      <c r="E699" s="57" t="s">
        <v>2860</v>
      </c>
      <c r="F699" s="233">
        <v>45781.977083333331</v>
      </c>
      <c r="G699" s="57">
        <v>4</v>
      </c>
      <c r="H699" s="57" t="s">
        <v>2557</v>
      </c>
      <c r="I699" s="58">
        <v>56803</v>
      </c>
      <c r="J699" s="234" t="s">
        <v>3653</v>
      </c>
      <c r="K699" s="58">
        <v>6.99</v>
      </c>
      <c r="L699" s="58">
        <v>0</v>
      </c>
      <c r="M699" s="58">
        <v>0</v>
      </c>
      <c r="N699" s="58">
        <v>1</v>
      </c>
      <c r="O699" s="224">
        <f t="shared" si="4"/>
        <v>6.99</v>
      </c>
      <c r="P699" s="227">
        <f t="shared" si="5"/>
        <v>6.99</v>
      </c>
    </row>
    <row r="700" spans="1:16" ht="14.25">
      <c r="A700" s="224">
        <v>699</v>
      </c>
      <c r="B700" s="58">
        <v>21281</v>
      </c>
      <c r="C700" s="57" t="s">
        <v>3654</v>
      </c>
      <c r="D700" s="57" t="s">
        <v>45</v>
      </c>
      <c r="E700" s="57" t="s">
        <v>3655</v>
      </c>
      <c r="F700" s="233">
        <v>45812</v>
      </c>
      <c r="G700" s="57">
        <v>4</v>
      </c>
      <c r="H700" s="57" t="s">
        <v>2557</v>
      </c>
      <c r="I700" s="58">
        <v>56899</v>
      </c>
      <c r="J700" s="234"/>
      <c r="K700" s="58">
        <v>837</v>
      </c>
      <c r="L700" s="58">
        <v>0</v>
      </c>
      <c r="M700" s="58">
        <v>0</v>
      </c>
      <c r="N700" s="58">
        <v>1</v>
      </c>
      <c r="O700" s="224">
        <f t="shared" si="4"/>
        <v>837</v>
      </c>
      <c r="P700" s="227">
        <f t="shared" si="5"/>
        <v>837</v>
      </c>
    </row>
    <row r="701" spans="1:16" ht="14.25">
      <c r="A701" s="224">
        <v>700</v>
      </c>
      <c r="B701" s="58">
        <v>21273</v>
      </c>
      <c r="C701" s="57" t="s">
        <v>3656</v>
      </c>
      <c r="D701" s="57" t="s">
        <v>45</v>
      </c>
      <c r="E701" s="57" t="s">
        <v>2860</v>
      </c>
      <c r="F701" s="233">
        <v>45812.027777777781</v>
      </c>
      <c r="G701" s="57">
        <v>4</v>
      </c>
      <c r="H701" s="57" t="s">
        <v>2557</v>
      </c>
      <c r="I701" s="58">
        <v>56851</v>
      </c>
      <c r="J701" s="234" t="s">
        <v>3657</v>
      </c>
      <c r="K701" s="58">
        <v>0.99</v>
      </c>
      <c r="L701" s="58">
        <v>0</v>
      </c>
      <c r="M701" s="58">
        <v>0</v>
      </c>
      <c r="N701" s="58">
        <v>1</v>
      </c>
      <c r="O701" s="224">
        <f t="shared" si="4"/>
        <v>0.99</v>
      </c>
      <c r="P701" s="227">
        <f t="shared" si="5"/>
        <v>0.99</v>
      </c>
    </row>
    <row r="702" spans="1:16" ht="14.25">
      <c r="A702" s="224">
        <v>701</v>
      </c>
      <c r="B702" s="58">
        <v>6798</v>
      </c>
      <c r="C702" s="57" t="s">
        <v>2921</v>
      </c>
      <c r="D702" s="57" t="s">
        <v>45</v>
      </c>
      <c r="E702" s="57" t="s">
        <v>3658</v>
      </c>
      <c r="F702" s="243">
        <v>45812</v>
      </c>
      <c r="G702" s="57">
        <v>4</v>
      </c>
      <c r="H702" s="57" t="s">
        <v>2557</v>
      </c>
      <c r="I702" s="58">
        <v>55663</v>
      </c>
      <c r="J702" s="234"/>
      <c r="K702" s="58">
        <v>463.54</v>
      </c>
      <c r="L702" s="58">
        <v>0</v>
      </c>
      <c r="M702" s="58">
        <v>0</v>
      </c>
      <c r="N702" s="58">
        <v>1</v>
      </c>
      <c r="O702" s="224">
        <f t="shared" si="4"/>
        <v>463.54</v>
      </c>
      <c r="P702" s="227">
        <f t="shared" si="5"/>
        <v>463.54</v>
      </c>
    </row>
    <row r="703" spans="1:16" ht="14.25">
      <c r="A703" s="224">
        <v>702</v>
      </c>
      <c r="B703" s="58">
        <v>6798</v>
      </c>
      <c r="C703" s="57" t="s">
        <v>2921</v>
      </c>
      <c r="D703" s="57" t="s">
        <v>45</v>
      </c>
      <c r="E703" s="57" t="s">
        <v>3658</v>
      </c>
      <c r="F703" s="243">
        <v>45812</v>
      </c>
      <c r="G703" s="57">
        <v>4</v>
      </c>
      <c r="H703" s="57" t="s">
        <v>2557</v>
      </c>
      <c r="I703" s="58">
        <v>56863</v>
      </c>
      <c r="J703" s="234"/>
      <c r="K703" s="58">
        <v>680</v>
      </c>
      <c r="L703" s="58">
        <v>0</v>
      </c>
      <c r="M703" s="58">
        <v>0</v>
      </c>
      <c r="N703" s="58">
        <v>1</v>
      </c>
      <c r="O703" s="224">
        <f t="shared" si="4"/>
        <v>680</v>
      </c>
      <c r="P703" s="227">
        <f t="shared" si="5"/>
        <v>680</v>
      </c>
    </row>
    <row r="704" spans="1:16" ht="14.25">
      <c r="A704" s="224">
        <v>703</v>
      </c>
      <c r="B704" s="58">
        <v>6798</v>
      </c>
      <c r="C704" s="57" t="s">
        <v>2921</v>
      </c>
      <c r="D704" s="57" t="s">
        <v>45</v>
      </c>
      <c r="E704" s="57" t="s">
        <v>3658</v>
      </c>
      <c r="F704" s="243">
        <v>45812</v>
      </c>
      <c r="G704" s="57">
        <v>4</v>
      </c>
      <c r="H704" s="57" t="s">
        <v>2557</v>
      </c>
      <c r="I704" s="58">
        <v>47779</v>
      </c>
      <c r="J704" s="234"/>
      <c r="K704" s="58">
        <v>680</v>
      </c>
      <c r="L704" s="58">
        <v>0</v>
      </c>
      <c r="M704" s="58">
        <v>0</v>
      </c>
      <c r="N704" s="58">
        <v>1</v>
      </c>
      <c r="O704" s="224">
        <f t="shared" si="4"/>
        <v>680</v>
      </c>
      <c r="P704" s="227">
        <f t="shared" si="5"/>
        <v>680</v>
      </c>
    </row>
    <row r="705" spans="1:16" ht="14.25">
      <c r="A705" s="224">
        <v>704</v>
      </c>
      <c r="B705" s="58">
        <v>21294</v>
      </c>
      <c r="C705" s="57" t="s">
        <v>3659</v>
      </c>
      <c r="D705" s="57" t="s">
        <v>2582</v>
      </c>
      <c r="E705" s="57" t="s">
        <v>2860</v>
      </c>
      <c r="F705" s="233">
        <v>45812.268055555556</v>
      </c>
      <c r="G705" s="57">
        <v>4</v>
      </c>
      <c r="H705" s="57" t="s">
        <v>2557</v>
      </c>
      <c r="I705" s="58">
        <v>56911</v>
      </c>
      <c r="J705" s="234" t="s">
        <v>3660</v>
      </c>
      <c r="K705" s="58">
        <v>20.32</v>
      </c>
      <c r="L705" s="58">
        <v>0</v>
      </c>
      <c r="M705" s="58">
        <v>0</v>
      </c>
      <c r="N705" s="58">
        <v>7.2820799999999997</v>
      </c>
      <c r="O705" s="224">
        <f t="shared" si="4"/>
        <v>20.32</v>
      </c>
      <c r="P705" s="227">
        <f t="shared" si="5"/>
        <v>2.7904115307714279</v>
      </c>
    </row>
    <row r="706" spans="1:16" ht="14.25">
      <c r="A706" s="224">
        <v>705</v>
      </c>
      <c r="B706" s="58">
        <v>21267</v>
      </c>
      <c r="C706" s="57" t="s">
        <v>427</v>
      </c>
      <c r="D706" s="57" t="s">
        <v>45</v>
      </c>
      <c r="E706" s="57" t="s">
        <v>9</v>
      </c>
      <c r="F706" s="233">
        <v>45812.322916666664</v>
      </c>
      <c r="G706" s="57">
        <v>4</v>
      </c>
      <c r="H706" s="57" t="s">
        <v>2557</v>
      </c>
      <c r="I706" s="58">
        <v>56827</v>
      </c>
      <c r="J706" s="234" t="s">
        <v>428</v>
      </c>
      <c r="K706" s="58">
        <v>2.79</v>
      </c>
      <c r="L706" s="58">
        <v>0.63</v>
      </c>
      <c r="M706" s="58">
        <v>0</v>
      </c>
      <c r="N706" s="58">
        <v>1</v>
      </c>
      <c r="O706" s="224">
        <f t="shared" si="4"/>
        <v>2.16</v>
      </c>
      <c r="P706" s="227">
        <f t="shared" si="5"/>
        <v>2.16</v>
      </c>
    </row>
    <row r="707" spans="1:16" ht="14.25">
      <c r="A707" s="224">
        <v>706</v>
      </c>
      <c r="B707" s="58">
        <v>21304</v>
      </c>
      <c r="C707" s="57" t="s">
        <v>3661</v>
      </c>
      <c r="D707" s="57" t="s">
        <v>45</v>
      </c>
      <c r="E707" s="57" t="s">
        <v>9</v>
      </c>
      <c r="F707" s="233">
        <v>45812.359722222223</v>
      </c>
      <c r="G707" s="57">
        <v>4</v>
      </c>
      <c r="H707" s="57" t="s">
        <v>2557</v>
      </c>
      <c r="I707" s="58">
        <v>56935</v>
      </c>
      <c r="J707" s="234" t="s">
        <v>430</v>
      </c>
      <c r="K707" s="58">
        <v>4.1900000000000004</v>
      </c>
      <c r="L707" s="58">
        <v>0.64</v>
      </c>
      <c r="M707" s="58">
        <v>0</v>
      </c>
      <c r="N707" s="58">
        <v>1</v>
      </c>
      <c r="O707" s="224">
        <f t="shared" si="4"/>
        <v>3.5500000000000003</v>
      </c>
      <c r="P707" s="227">
        <f t="shared" si="5"/>
        <v>3.5500000000000003</v>
      </c>
    </row>
    <row r="708" spans="1:16" ht="14.25">
      <c r="A708" s="224">
        <v>707</v>
      </c>
      <c r="B708" s="58">
        <v>21304</v>
      </c>
      <c r="C708" s="57" t="s">
        <v>3661</v>
      </c>
      <c r="D708" s="57" t="s">
        <v>45</v>
      </c>
      <c r="E708" s="57" t="s">
        <v>9</v>
      </c>
      <c r="F708" s="233">
        <v>45812.382638888892</v>
      </c>
      <c r="G708" s="57">
        <v>4</v>
      </c>
      <c r="H708" s="57" t="s">
        <v>2557</v>
      </c>
      <c r="I708" s="58">
        <v>57055</v>
      </c>
      <c r="J708" s="234" t="s">
        <v>431</v>
      </c>
      <c r="K708" s="58">
        <v>4.8899999999999997</v>
      </c>
      <c r="L708" s="58">
        <v>0.66</v>
      </c>
      <c r="M708" s="58">
        <v>0</v>
      </c>
      <c r="N708" s="58">
        <v>1</v>
      </c>
      <c r="O708" s="224">
        <f t="shared" si="4"/>
        <v>4.2299999999999995</v>
      </c>
      <c r="P708" s="227">
        <f t="shared" si="5"/>
        <v>4.2299999999999995</v>
      </c>
    </row>
    <row r="709" spans="1:16" ht="14.25">
      <c r="A709" s="224">
        <v>708</v>
      </c>
      <c r="B709" s="58">
        <v>21294</v>
      </c>
      <c r="C709" s="57" t="s">
        <v>3659</v>
      </c>
      <c r="D709" s="57" t="s">
        <v>2582</v>
      </c>
      <c r="E709" s="57" t="s">
        <v>2860</v>
      </c>
      <c r="F709" s="233">
        <v>45812.537499999999</v>
      </c>
      <c r="G709" s="57">
        <v>4</v>
      </c>
      <c r="H709" s="57" t="s">
        <v>2557</v>
      </c>
      <c r="I709" s="58">
        <v>56911</v>
      </c>
      <c r="J709" s="234"/>
      <c r="K709" s="58">
        <v>0.02</v>
      </c>
      <c r="L709" s="58">
        <v>0</v>
      </c>
      <c r="M709" s="58">
        <v>0</v>
      </c>
      <c r="N709" s="58">
        <v>7.2820799999999997</v>
      </c>
      <c r="O709" s="224">
        <f t="shared" si="4"/>
        <v>0.02</v>
      </c>
      <c r="P709" s="227">
        <f t="shared" si="5"/>
        <v>2.7464680420978623E-3</v>
      </c>
    </row>
    <row r="710" spans="1:16" ht="14.25">
      <c r="A710" s="224">
        <v>709</v>
      </c>
      <c r="B710" s="58">
        <v>18125</v>
      </c>
      <c r="C710" s="57" t="s">
        <v>2905</v>
      </c>
      <c r="D710" s="57" t="s">
        <v>45</v>
      </c>
      <c r="E710" s="57" t="s">
        <v>2860</v>
      </c>
      <c r="F710" s="233">
        <v>45812.584722222222</v>
      </c>
      <c r="G710" s="57">
        <v>4</v>
      </c>
      <c r="H710" s="57" t="s">
        <v>2557</v>
      </c>
      <c r="I710" s="58">
        <v>55027</v>
      </c>
      <c r="J710" s="234" t="s">
        <v>3662</v>
      </c>
      <c r="K710" s="58">
        <v>3.99</v>
      </c>
      <c r="L710" s="58">
        <v>0</v>
      </c>
      <c r="M710" s="58">
        <v>0</v>
      </c>
      <c r="N710" s="58">
        <v>1</v>
      </c>
      <c r="O710" s="224">
        <f t="shared" si="4"/>
        <v>3.99</v>
      </c>
      <c r="P710" s="227">
        <f t="shared" si="5"/>
        <v>3.99</v>
      </c>
    </row>
    <row r="711" spans="1:16" ht="14.25">
      <c r="A711" s="224">
        <v>710</v>
      </c>
      <c r="B711" s="58">
        <v>18477</v>
      </c>
      <c r="C711" s="57" t="s">
        <v>2966</v>
      </c>
      <c r="D711" s="57" t="s">
        <v>45</v>
      </c>
      <c r="E711" s="57" t="s">
        <v>2874</v>
      </c>
      <c r="F711" s="243">
        <v>45812</v>
      </c>
      <c r="G711" s="57">
        <v>4</v>
      </c>
      <c r="H711" s="57" t="s">
        <v>2557</v>
      </c>
      <c r="I711" s="58">
        <v>56683</v>
      </c>
      <c r="J711" s="234"/>
      <c r="K711" s="58">
        <v>110</v>
      </c>
      <c r="L711" s="58">
        <v>0</v>
      </c>
      <c r="M711" s="58">
        <v>0</v>
      </c>
      <c r="N711" s="58">
        <v>1</v>
      </c>
      <c r="O711" s="224">
        <f t="shared" si="4"/>
        <v>110</v>
      </c>
      <c r="P711" s="227">
        <f t="shared" si="5"/>
        <v>110</v>
      </c>
    </row>
    <row r="712" spans="1:16" ht="14.25">
      <c r="A712" s="224">
        <v>711</v>
      </c>
      <c r="B712" s="58">
        <v>21325</v>
      </c>
      <c r="C712" s="57" t="s">
        <v>3663</v>
      </c>
      <c r="D712" s="57" t="s">
        <v>45</v>
      </c>
      <c r="E712" s="57" t="s">
        <v>2860</v>
      </c>
      <c r="F712" s="233">
        <v>45812.681944444441</v>
      </c>
      <c r="G712" s="57">
        <v>4</v>
      </c>
      <c r="H712" s="57" t="s">
        <v>2557</v>
      </c>
      <c r="I712" s="58">
        <v>57079</v>
      </c>
      <c r="J712" s="234" t="s">
        <v>3664</v>
      </c>
      <c r="K712" s="58">
        <v>2.79</v>
      </c>
      <c r="L712" s="58">
        <v>0</v>
      </c>
      <c r="M712" s="58">
        <v>0</v>
      </c>
      <c r="N712" s="58">
        <v>1</v>
      </c>
      <c r="O712" s="224">
        <f t="shared" si="4"/>
        <v>2.79</v>
      </c>
      <c r="P712" s="227">
        <f t="shared" si="5"/>
        <v>2.79</v>
      </c>
    </row>
    <row r="713" spans="1:16" ht="14.25">
      <c r="A713" s="224">
        <v>712</v>
      </c>
      <c r="B713" s="58">
        <v>21326</v>
      </c>
      <c r="C713" s="57" t="s">
        <v>3665</v>
      </c>
      <c r="D713" s="57" t="s">
        <v>2582</v>
      </c>
      <c r="E713" s="57" t="s">
        <v>2860</v>
      </c>
      <c r="F713" s="233">
        <v>45812.724305555559</v>
      </c>
      <c r="G713" s="57">
        <v>4</v>
      </c>
      <c r="H713" s="57" t="s">
        <v>2557</v>
      </c>
      <c r="I713" s="58">
        <v>57091</v>
      </c>
      <c r="J713" s="234" t="s">
        <v>3666</v>
      </c>
      <c r="K713" s="58">
        <v>50.9</v>
      </c>
      <c r="L713" s="58">
        <v>0</v>
      </c>
      <c r="M713" s="58">
        <v>0</v>
      </c>
      <c r="N713" s="58">
        <v>7.2820799999999997</v>
      </c>
      <c r="O713" s="224">
        <f t="shared" si="4"/>
        <v>50.9</v>
      </c>
      <c r="P713" s="227">
        <f t="shared" si="5"/>
        <v>6.9897611671390596</v>
      </c>
    </row>
    <row r="714" spans="1:16" ht="14.25">
      <c r="A714" s="224">
        <v>713</v>
      </c>
      <c r="B714" s="58">
        <v>21328</v>
      </c>
      <c r="C714" s="57" t="s">
        <v>3667</v>
      </c>
      <c r="D714" s="57" t="s">
        <v>45</v>
      </c>
      <c r="E714" s="57" t="s">
        <v>2860</v>
      </c>
      <c r="F714" s="233">
        <v>45812.761111111111</v>
      </c>
      <c r="G714" s="57">
        <v>4</v>
      </c>
      <c r="H714" s="57" t="s">
        <v>2557</v>
      </c>
      <c r="I714" s="58">
        <v>57127</v>
      </c>
      <c r="J714" s="234" t="s">
        <v>3668</v>
      </c>
      <c r="K714" s="58">
        <v>14.99</v>
      </c>
      <c r="L714" s="58">
        <v>0</v>
      </c>
      <c r="M714" s="58">
        <v>0</v>
      </c>
      <c r="N714" s="58">
        <v>1</v>
      </c>
      <c r="O714" s="224">
        <f t="shared" si="4"/>
        <v>14.99</v>
      </c>
      <c r="P714" s="227">
        <f t="shared" si="5"/>
        <v>14.99</v>
      </c>
    </row>
    <row r="715" spans="1:16" ht="14.25">
      <c r="A715" s="224">
        <v>714</v>
      </c>
      <c r="B715" s="58">
        <v>3265</v>
      </c>
      <c r="C715" s="57" t="s">
        <v>288</v>
      </c>
      <c r="D715" s="57" t="s">
        <v>45</v>
      </c>
      <c r="E715" s="57" t="s">
        <v>9</v>
      </c>
      <c r="F715" s="233">
        <v>45812.781944444447</v>
      </c>
      <c r="G715" s="57">
        <v>4</v>
      </c>
      <c r="H715" s="57" t="s">
        <v>2557</v>
      </c>
      <c r="I715" s="58">
        <v>51583</v>
      </c>
      <c r="J715" s="234" t="s">
        <v>432</v>
      </c>
      <c r="K715" s="58">
        <v>1.0900000000000001</v>
      </c>
      <c r="L715" s="58">
        <v>0.53</v>
      </c>
      <c r="M715" s="58">
        <v>0</v>
      </c>
      <c r="N715" s="58">
        <v>1</v>
      </c>
      <c r="O715" s="224">
        <f t="shared" si="4"/>
        <v>0.56000000000000005</v>
      </c>
      <c r="P715" s="227">
        <f t="shared" si="5"/>
        <v>0.56000000000000005</v>
      </c>
    </row>
    <row r="716" spans="1:16" ht="14.25">
      <c r="A716" s="224">
        <v>715</v>
      </c>
      <c r="B716" s="58">
        <v>21334</v>
      </c>
      <c r="C716" s="57" t="s">
        <v>3669</v>
      </c>
      <c r="D716" s="57" t="s">
        <v>2582</v>
      </c>
      <c r="E716" s="57" t="s">
        <v>2860</v>
      </c>
      <c r="F716" s="233">
        <v>45812.915277777778</v>
      </c>
      <c r="G716" s="57">
        <v>4</v>
      </c>
      <c r="H716" s="57" t="s">
        <v>2557</v>
      </c>
      <c r="I716" s="58">
        <v>57151</v>
      </c>
      <c r="J716" s="234" t="s">
        <v>3670</v>
      </c>
      <c r="K716" s="58">
        <v>18.13</v>
      </c>
      <c r="L716" s="58">
        <v>0</v>
      </c>
      <c r="M716" s="58">
        <v>0</v>
      </c>
      <c r="N716" s="58">
        <v>7.2820799999999997</v>
      </c>
      <c r="O716" s="224">
        <f t="shared" si="4"/>
        <v>18.13</v>
      </c>
      <c r="P716" s="227">
        <f t="shared" si="5"/>
        <v>2.4896732801617119</v>
      </c>
    </row>
    <row r="717" spans="1:16" ht="14.25">
      <c r="A717" s="224">
        <v>716</v>
      </c>
      <c r="B717" s="58">
        <v>21334</v>
      </c>
      <c r="C717" s="57" t="s">
        <v>3669</v>
      </c>
      <c r="D717" s="57" t="s">
        <v>2582</v>
      </c>
      <c r="E717" s="57" t="s">
        <v>2860</v>
      </c>
      <c r="F717" s="233">
        <v>45812.927083333336</v>
      </c>
      <c r="G717" s="57">
        <v>4</v>
      </c>
      <c r="H717" s="57" t="s">
        <v>2557</v>
      </c>
      <c r="I717" s="58">
        <v>57163</v>
      </c>
      <c r="J717" s="234" t="s">
        <v>3671</v>
      </c>
      <c r="K717" s="58">
        <v>20.32</v>
      </c>
      <c r="L717" s="58">
        <v>0</v>
      </c>
      <c r="M717" s="58">
        <v>0</v>
      </c>
      <c r="N717" s="58">
        <v>7.2820799999999997</v>
      </c>
      <c r="O717" s="224">
        <f t="shared" si="4"/>
        <v>20.32</v>
      </c>
      <c r="P717" s="227">
        <f t="shared" si="5"/>
        <v>2.7904115307714279</v>
      </c>
    </row>
    <row r="718" spans="1:16" ht="14.25">
      <c r="A718" s="224">
        <v>717</v>
      </c>
      <c r="B718" s="58">
        <v>21334</v>
      </c>
      <c r="C718" s="57" t="s">
        <v>3669</v>
      </c>
      <c r="D718" s="57" t="s">
        <v>2582</v>
      </c>
      <c r="E718" s="57" t="s">
        <v>2860</v>
      </c>
      <c r="F718" s="233">
        <v>45812.943749999999</v>
      </c>
      <c r="G718" s="57">
        <v>4</v>
      </c>
      <c r="H718" s="57" t="s">
        <v>2557</v>
      </c>
      <c r="I718" s="58">
        <v>57175</v>
      </c>
      <c r="J718" s="234" t="s">
        <v>3672</v>
      </c>
      <c r="K718" s="58">
        <v>20.32</v>
      </c>
      <c r="L718" s="58">
        <v>0</v>
      </c>
      <c r="M718" s="58">
        <v>0</v>
      </c>
      <c r="N718" s="58">
        <v>7.2820799999999997</v>
      </c>
      <c r="O718" s="224">
        <f t="shared" si="4"/>
        <v>20.32</v>
      </c>
      <c r="P718" s="227">
        <f t="shared" si="5"/>
        <v>2.7904115307714279</v>
      </c>
    </row>
    <row r="719" spans="1:16" ht="14.25">
      <c r="A719" s="224">
        <v>718</v>
      </c>
      <c r="B719" s="58">
        <v>21334</v>
      </c>
      <c r="C719" s="57" t="s">
        <v>3669</v>
      </c>
      <c r="D719" s="57" t="s">
        <v>2582</v>
      </c>
      <c r="E719" s="57" t="s">
        <v>2860</v>
      </c>
      <c r="F719" s="233">
        <v>45812.96597222222</v>
      </c>
      <c r="G719" s="57">
        <v>4</v>
      </c>
      <c r="H719" s="57" t="s">
        <v>2557</v>
      </c>
      <c r="I719" s="58">
        <v>57163</v>
      </c>
      <c r="J719" s="234"/>
      <c r="K719" s="58">
        <v>0.02</v>
      </c>
      <c r="L719" s="58">
        <v>0</v>
      </c>
      <c r="M719" s="58">
        <v>0</v>
      </c>
      <c r="N719" s="58">
        <v>7.2820799999999997</v>
      </c>
      <c r="O719" s="224">
        <f t="shared" si="4"/>
        <v>0.02</v>
      </c>
      <c r="P719" s="227">
        <f t="shared" si="5"/>
        <v>2.7464680420978623E-3</v>
      </c>
    </row>
    <row r="720" spans="1:16" ht="14.25">
      <c r="A720" s="224">
        <v>719</v>
      </c>
      <c r="B720" s="58">
        <v>21334</v>
      </c>
      <c r="C720" s="57" t="s">
        <v>3669</v>
      </c>
      <c r="D720" s="57" t="s">
        <v>2582</v>
      </c>
      <c r="E720" s="57" t="s">
        <v>2860</v>
      </c>
      <c r="F720" s="233">
        <v>45812.96597222222</v>
      </c>
      <c r="G720" s="57">
        <v>4</v>
      </c>
      <c r="H720" s="57" t="s">
        <v>2557</v>
      </c>
      <c r="I720" s="58">
        <v>57175</v>
      </c>
      <c r="J720" s="234"/>
      <c r="K720" s="58">
        <v>0.02</v>
      </c>
      <c r="L720" s="58">
        <v>0</v>
      </c>
      <c r="M720" s="58">
        <v>0</v>
      </c>
      <c r="N720" s="58">
        <v>7.2820799999999997</v>
      </c>
      <c r="O720" s="224">
        <f t="shared" si="4"/>
        <v>0.02</v>
      </c>
      <c r="P720" s="227">
        <f t="shared" si="5"/>
        <v>2.7464680420978623E-3</v>
      </c>
    </row>
    <row r="721" spans="1:16" ht="14.25">
      <c r="A721" s="224">
        <v>720</v>
      </c>
      <c r="B721" s="58">
        <v>21266</v>
      </c>
      <c r="C721" s="57" t="s">
        <v>3065</v>
      </c>
      <c r="D721" s="57" t="s">
        <v>45</v>
      </c>
      <c r="E721" s="57" t="s">
        <v>2860</v>
      </c>
      <c r="F721" s="233">
        <v>45842.008333333331</v>
      </c>
      <c r="G721" s="57">
        <v>4</v>
      </c>
      <c r="H721" s="57" t="s">
        <v>2557</v>
      </c>
      <c r="I721" s="58">
        <v>57199</v>
      </c>
      <c r="J721" s="234" t="s">
        <v>3673</v>
      </c>
      <c r="K721" s="58">
        <v>7.99</v>
      </c>
      <c r="L721" s="58">
        <v>0</v>
      </c>
      <c r="M721" s="58">
        <v>0</v>
      </c>
      <c r="N721" s="58">
        <v>1</v>
      </c>
      <c r="O721" s="224">
        <f t="shared" si="4"/>
        <v>7.99</v>
      </c>
      <c r="P721" s="227">
        <f t="shared" si="5"/>
        <v>7.99</v>
      </c>
    </row>
    <row r="722" spans="1:16" ht="14.25">
      <c r="A722" s="224">
        <v>721</v>
      </c>
      <c r="B722" s="58">
        <v>21266</v>
      </c>
      <c r="C722" s="57" t="s">
        <v>3065</v>
      </c>
      <c r="D722" s="57" t="s">
        <v>45</v>
      </c>
      <c r="E722" s="57" t="s">
        <v>2860</v>
      </c>
      <c r="F722" s="233">
        <v>45842.01458333333</v>
      </c>
      <c r="G722" s="57">
        <v>4</v>
      </c>
      <c r="H722" s="57" t="s">
        <v>2557</v>
      </c>
      <c r="I722" s="58">
        <v>57211</v>
      </c>
      <c r="J722" s="234" t="s">
        <v>3674</v>
      </c>
      <c r="K722" s="58">
        <v>5.99</v>
      </c>
      <c r="L722" s="58">
        <v>0</v>
      </c>
      <c r="M722" s="58">
        <v>0</v>
      </c>
      <c r="N722" s="58">
        <v>1</v>
      </c>
      <c r="O722" s="224">
        <f t="shared" si="4"/>
        <v>5.99</v>
      </c>
      <c r="P722" s="227">
        <f t="shared" si="5"/>
        <v>5.99</v>
      </c>
    </row>
    <row r="723" spans="1:16" ht="14.25">
      <c r="A723" s="224">
        <v>722</v>
      </c>
      <c r="B723" s="58">
        <v>21339</v>
      </c>
      <c r="C723" s="57" t="s">
        <v>3675</v>
      </c>
      <c r="D723" s="57" t="s">
        <v>45</v>
      </c>
      <c r="E723" s="57" t="s">
        <v>2860</v>
      </c>
      <c r="F723" s="233">
        <v>45842.036111111112</v>
      </c>
      <c r="G723" s="57">
        <v>4</v>
      </c>
      <c r="H723" s="57" t="s">
        <v>2557</v>
      </c>
      <c r="I723" s="58">
        <v>57223</v>
      </c>
      <c r="J723" s="234" t="s">
        <v>3676</v>
      </c>
      <c r="K723" s="58">
        <v>14.98</v>
      </c>
      <c r="L723" s="58">
        <v>0</v>
      </c>
      <c r="M723" s="58">
        <v>0</v>
      </c>
      <c r="N723" s="58">
        <v>1</v>
      </c>
      <c r="O723" s="224">
        <f t="shared" si="4"/>
        <v>14.98</v>
      </c>
      <c r="P723" s="227">
        <f t="shared" si="5"/>
        <v>14.98</v>
      </c>
    </row>
    <row r="724" spans="1:16" ht="14.25">
      <c r="A724" s="224">
        <v>723</v>
      </c>
      <c r="B724" s="58">
        <v>21339</v>
      </c>
      <c r="C724" s="57" t="s">
        <v>3675</v>
      </c>
      <c r="D724" s="57" t="s">
        <v>45</v>
      </c>
      <c r="E724" s="57" t="s">
        <v>2860</v>
      </c>
      <c r="F724" s="233">
        <v>45842.036111111112</v>
      </c>
      <c r="G724" s="57">
        <v>4</v>
      </c>
      <c r="H724" s="57" t="s">
        <v>2557</v>
      </c>
      <c r="I724" s="58">
        <v>57223</v>
      </c>
      <c r="J724" s="234" t="s">
        <v>3676</v>
      </c>
      <c r="K724" s="58">
        <v>14.98</v>
      </c>
      <c r="L724" s="58">
        <v>0</v>
      </c>
      <c r="M724" s="58">
        <v>0</v>
      </c>
      <c r="N724" s="58">
        <v>1</v>
      </c>
      <c r="O724" s="224">
        <f t="shared" si="4"/>
        <v>14.98</v>
      </c>
      <c r="P724" s="227">
        <f t="shared" si="5"/>
        <v>14.98</v>
      </c>
    </row>
    <row r="725" spans="1:16" ht="14.25">
      <c r="A725" s="224">
        <v>724</v>
      </c>
      <c r="B725" s="58">
        <v>21325</v>
      </c>
      <c r="C725" s="57" t="s">
        <v>3663</v>
      </c>
      <c r="D725" s="57" t="s">
        <v>45</v>
      </c>
      <c r="E725" s="57" t="s">
        <v>2860</v>
      </c>
      <c r="F725" s="233">
        <v>45842.120833333334</v>
      </c>
      <c r="G725" s="57">
        <v>4</v>
      </c>
      <c r="H725" s="57" t="s">
        <v>2557</v>
      </c>
      <c r="I725" s="58">
        <v>57235</v>
      </c>
      <c r="J725" s="234" t="s">
        <v>3677</v>
      </c>
      <c r="K725" s="58">
        <v>10.49</v>
      </c>
      <c r="L725" s="58">
        <v>0</v>
      </c>
      <c r="M725" s="58">
        <v>0</v>
      </c>
      <c r="N725" s="58">
        <v>1</v>
      </c>
      <c r="O725" s="224">
        <f t="shared" si="4"/>
        <v>10.49</v>
      </c>
      <c r="P725" s="227">
        <f t="shared" si="5"/>
        <v>10.49</v>
      </c>
    </row>
    <row r="726" spans="1:16" ht="14.25">
      <c r="A726" s="224">
        <v>725</v>
      </c>
      <c r="B726" s="58">
        <v>21373</v>
      </c>
      <c r="C726" s="57" t="s">
        <v>3678</v>
      </c>
      <c r="D726" s="57" t="s">
        <v>45</v>
      </c>
      <c r="E726" s="57" t="s">
        <v>2860</v>
      </c>
      <c r="F726" s="233">
        <v>45842.407638888886</v>
      </c>
      <c r="G726" s="57">
        <v>4</v>
      </c>
      <c r="H726" s="57" t="s">
        <v>2557</v>
      </c>
      <c r="I726" s="58">
        <v>57403</v>
      </c>
      <c r="J726" s="234" t="s">
        <v>3679</v>
      </c>
      <c r="K726" s="58">
        <v>2.99</v>
      </c>
      <c r="L726" s="58">
        <v>0</v>
      </c>
      <c r="M726" s="58">
        <v>0</v>
      </c>
      <c r="N726" s="58">
        <v>1</v>
      </c>
      <c r="O726" s="224">
        <f t="shared" si="4"/>
        <v>2.99</v>
      </c>
      <c r="P726" s="227">
        <f t="shared" si="5"/>
        <v>2.99</v>
      </c>
    </row>
    <row r="727" spans="1:16" ht="14.25">
      <c r="A727" s="224">
        <v>726</v>
      </c>
      <c r="B727" s="58">
        <v>7698</v>
      </c>
      <c r="C727" s="57" t="s">
        <v>2710</v>
      </c>
      <c r="D727" s="57" t="s">
        <v>45</v>
      </c>
      <c r="E727" s="57" t="s">
        <v>2874</v>
      </c>
      <c r="F727" s="243">
        <v>45842</v>
      </c>
      <c r="G727" s="57">
        <v>4</v>
      </c>
      <c r="H727" s="57" t="s">
        <v>2557</v>
      </c>
      <c r="I727" s="58">
        <v>55939</v>
      </c>
      <c r="J727" s="234" t="s">
        <v>3680</v>
      </c>
      <c r="K727" s="58">
        <v>17.989999999999998</v>
      </c>
      <c r="L727" s="58">
        <v>0</v>
      </c>
      <c r="M727" s="58">
        <v>0</v>
      </c>
      <c r="N727" s="58">
        <v>1</v>
      </c>
      <c r="O727" s="224">
        <f t="shared" si="4"/>
        <v>17.989999999999998</v>
      </c>
      <c r="P727" s="227">
        <f t="shared" si="5"/>
        <v>17.989999999999998</v>
      </c>
    </row>
    <row r="728" spans="1:16" ht="14.25">
      <c r="A728" s="224">
        <v>727</v>
      </c>
      <c r="B728" s="58">
        <v>1836</v>
      </c>
      <c r="C728" s="57" t="s">
        <v>2882</v>
      </c>
      <c r="D728" s="57" t="s">
        <v>2582</v>
      </c>
      <c r="E728" s="57" t="s">
        <v>2860</v>
      </c>
      <c r="F728" s="233">
        <v>45842.522222222222</v>
      </c>
      <c r="G728" s="57">
        <v>4</v>
      </c>
      <c r="H728" s="57" t="s">
        <v>2557</v>
      </c>
      <c r="I728" s="58">
        <v>56335</v>
      </c>
      <c r="J728" s="234" t="s">
        <v>3681</v>
      </c>
      <c r="K728" s="58">
        <v>231.93</v>
      </c>
      <c r="L728" s="58">
        <v>0</v>
      </c>
      <c r="M728" s="58">
        <v>0</v>
      </c>
      <c r="N728" s="58">
        <v>7.2820799999999997</v>
      </c>
      <c r="O728" s="224">
        <f t="shared" si="4"/>
        <v>231.93</v>
      </c>
      <c r="P728" s="227">
        <f t="shared" si="5"/>
        <v>31.849416650187862</v>
      </c>
    </row>
    <row r="729" spans="1:16" ht="14.25">
      <c r="A729" s="224">
        <v>728</v>
      </c>
      <c r="B729" s="58">
        <v>1836</v>
      </c>
      <c r="C729" s="57" t="s">
        <v>2882</v>
      </c>
      <c r="D729" s="57" t="s">
        <v>2582</v>
      </c>
      <c r="E729" s="57" t="s">
        <v>2860</v>
      </c>
      <c r="F729" s="233">
        <v>45842.522916666669</v>
      </c>
      <c r="G729" s="57">
        <v>4</v>
      </c>
      <c r="H729" s="57" t="s">
        <v>2557</v>
      </c>
      <c r="I729" s="58">
        <v>56251</v>
      </c>
      <c r="J729" s="234" t="s">
        <v>3682</v>
      </c>
      <c r="K729" s="58">
        <v>144.69</v>
      </c>
      <c r="L729" s="58">
        <v>0</v>
      </c>
      <c r="M729" s="58">
        <v>0</v>
      </c>
      <c r="N729" s="58">
        <v>7.2820799999999997</v>
      </c>
      <c r="O729" s="224">
        <f t="shared" si="4"/>
        <v>144.69</v>
      </c>
      <c r="P729" s="227">
        <f t="shared" si="5"/>
        <v>19.869323050556986</v>
      </c>
    </row>
    <row r="730" spans="1:16" ht="14.25">
      <c r="A730" s="224">
        <v>729</v>
      </c>
      <c r="B730" s="58">
        <v>1836</v>
      </c>
      <c r="C730" s="57" t="s">
        <v>2882</v>
      </c>
      <c r="D730" s="57" t="s">
        <v>2582</v>
      </c>
      <c r="E730" s="57" t="s">
        <v>2860</v>
      </c>
      <c r="F730" s="233">
        <v>45842.527777777781</v>
      </c>
      <c r="G730" s="57">
        <v>4</v>
      </c>
      <c r="H730" s="57" t="s">
        <v>2557</v>
      </c>
      <c r="I730" s="58">
        <v>56335</v>
      </c>
      <c r="J730" s="234"/>
      <c r="K730" s="58">
        <v>0.01</v>
      </c>
      <c r="L730" s="58">
        <v>0</v>
      </c>
      <c r="M730" s="58">
        <v>0</v>
      </c>
      <c r="N730" s="58">
        <v>7.2820799999999997</v>
      </c>
      <c r="O730" s="224">
        <f t="shared" si="4"/>
        <v>0.01</v>
      </c>
      <c r="P730" s="227">
        <f t="shared" si="5"/>
        <v>1.3732340210489311E-3</v>
      </c>
    </row>
    <row r="731" spans="1:16" ht="14.25">
      <c r="A731" s="224">
        <v>730</v>
      </c>
      <c r="B731" s="58">
        <v>1836</v>
      </c>
      <c r="C731" s="57" t="s">
        <v>2882</v>
      </c>
      <c r="D731" s="57" t="s">
        <v>2582</v>
      </c>
      <c r="E731" s="57" t="s">
        <v>2860</v>
      </c>
      <c r="F731" s="233">
        <v>45842.527777777781</v>
      </c>
      <c r="G731" s="57">
        <v>4</v>
      </c>
      <c r="H731" s="57" t="s">
        <v>2557</v>
      </c>
      <c r="I731" s="58">
        <v>56251</v>
      </c>
      <c r="J731" s="234"/>
      <c r="K731" s="58">
        <v>0.01</v>
      </c>
      <c r="L731" s="58">
        <v>0</v>
      </c>
      <c r="M731" s="58">
        <v>0</v>
      </c>
      <c r="N731" s="58">
        <v>7.2820799999999997</v>
      </c>
      <c r="O731" s="224">
        <f t="shared" si="4"/>
        <v>0.01</v>
      </c>
      <c r="P731" s="227">
        <f t="shared" si="5"/>
        <v>1.3732340210489311E-3</v>
      </c>
    </row>
    <row r="732" spans="1:16" ht="14.25">
      <c r="A732" s="224">
        <v>731</v>
      </c>
      <c r="B732" s="58">
        <v>21326</v>
      </c>
      <c r="C732" s="57" t="s">
        <v>3665</v>
      </c>
      <c r="D732" s="57" t="s">
        <v>2582</v>
      </c>
      <c r="E732" s="57" t="s">
        <v>2860</v>
      </c>
      <c r="F732" s="233">
        <v>45842.554861111108</v>
      </c>
      <c r="G732" s="57">
        <v>4</v>
      </c>
      <c r="H732" s="57" t="s">
        <v>3683</v>
      </c>
      <c r="I732" s="58">
        <v>57091</v>
      </c>
      <c r="J732" s="234"/>
      <c r="K732" s="58">
        <v>0</v>
      </c>
      <c r="L732" s="58">
        <v>0</v>
      </c>
      <c r="M732" s="58">
        <v>50.9</v>
      </c>
      <c r="N732" s="58">
        <v>7.2820799999999997</v>
      </c>
      <c r="O732" s="224">
        <f t="shared" si="4"/>
        <v>-50.9</v>
      </c>
      <c r="P732" s="227">
        <f t="shared" si="5"/>
        <v>-6.9897611671390596</v>
      </c>
    </row>
    <row r="733" spans="1:16" ht="14.25">
      <c r="A733" s="224">
        <v>732</v>
      </c>
      <c r="B733" s="58">
        <v>392</v>
      </c>
      <c r="C733" s="57" t="s">
        <v>2876</v>
      </c>
      <c r="D733" s="57" t="s">
        <v>2582</v>
      </c>
      <c r="E733" s="57" t="s">
        <v>9</v>
      </c>
      <c r="F733" s="233">
        <v>45842.722916666666</v>
      </c>
      <c r="G733" s="57">
        <v>4</v>
      </c>
      <c r="H733" s="57" t="s">
        <v>2557</v>
      </c>
      <c r="I733" s="58">
        <v>57415</v>
      </c>
      <c r="J733" s="234" t="s">
        <v>433</v>
      </c>
      <c r="K733" s="58">
        <v>29.06</v>
      </c>
      <c r="L733" s="58">
        <v>5.0199999999999996</v>
      </c>
      <c r="M733" s="58">
        <v>0</v>
      </c>
      <c r="N733" s="58">
        <v>7.2820799999999997</v>
      </c>
      <c r="O733" s="224">
        <f t="shared" si="4"/>
        <v>24.04</v>
      </c>
      <c r="P733" s="227">
        <f t="shared" si="5"/>
        <v>3.3012545866016305</v>
      </c>
    </row>
    <row r="734" spans="1:16" ht="14.25">
      <c r="A734" s="224">
        <v>733</v>
      </c>
      <c r="B734" s="58">
        <v>392</v>
      </c>
      <c r="C734" s="57" t="s">
        <v>2876</v>
      </c>
      <c r="D734" s="57" t="s">
        <v>2582</v>
      </c>
      <c r="E734" s="57" t="s">
        <v>9</v>
      </c>
      <c r="F734" s="233">
        <v>45842.724305555559</v>
      </c>
      <c r="G734" s="57">
        <v>4</v>
      </c>
      <c r="H734" s="57" t="s">
        <v>2557</v>
      </c>
      <c r="I734" s="58">
        <v>57427</v>
      </c>
      <c r="J734" s="234" t="s">
        <v>434</v>
      </c>
      <c r="K734" s="58">
        <v>29.06</v>
      </c>
      <c r="L734" s="58">
        <v>5.0199999999999996</v>
      </c>
      <c r="M734" s="58">
        <v>0</v>
      </c>
      <c r="N734" s="58">
        <v>7.2820799999999997</v>
      </c>
      <c r="O734" s="224">
        <f t="shared" si="4"/>
        <v>24.04</v>
      </c>
      <c r="P734" s="227">
        <f t="shared" si="5"/>
        <v>3.3012545866016305</v>
      </c>
    </row>
    <row r="735" spans="1:16" ht="14.25">
      <c r="A735" s="224">
        <v>734</v>
      </c>
      <c r="B735" s="58">
        <v>21385</v>
      </c>
      <c r="C735" s="57" t="s">
        <v>3654</v>
      </c>
      <c r="D735" s="57" t="s">
        <v>45</v>
      </c>
      <c r="E735" s="57" t="s">
        <v>2860</v>
      </c>
      <c r="F735" s="233">
        <v>45842.774305555555</v>
      </c>
      <c r="G735" s="57">
        <v>4</v>
      </c>
      <c r="H735" s="57" t="s">
        <v>2557</v>
      </c>
      <c r="I735" s="58">
        <v>57451</v>
      </c>
      <c r="J735" s="234" t="s">
        <v>3684</v>
      </c>
      <c r="K735" s="58">
        <v>13.99</v>
      </c>
      <c r="L735" s="58">
        <v>0</v>
      </c>
      <c r="M735" s="58">
        <v>0</v>
      </c>
      <c r="N735" s="58">
        <v>1</v>
      </c>
      <c r="O735" s="224">
        <f t="shared" si="4"/>
        <v>13.99</v>
      </c>
      <c r="P735" s="227">
        <f t="shared" si="5"/>
        <v>13.99</v>
      </c>
    </row>
    <row r="736" spans="1:16" ht="14.25">
      <c r="A736" s="224">
        <v>735</v>
      </c>
      <c r="B736" s="58">
        <v>21382</v>
      </c>
      <c r="C736" s="57" t="s">
        <v>3685</v>
      </c>
      <c r="D736" s="57" t="s">
        <v>45</v>
      </c>
      <c r="E736" s="57" t="s">
        <v>2874</v>
      </c>
      <c r="F736" s="243">
        <v>45842</v>
      </c>
      <c r="G736" s="57">
        <v>4</v>
      </c>
      <c r="H736" s="57" t="s">
        <v>2557</v>
      </c>
      <c r="I736" s="58">
        <v>57439</v>
      </c>
      <c r="J736" s="234" t="s">
        <v>3686</v>
      </c>
      <c r="K736" s="58">
        <v>0.99</v>
      </c>
      <c r="L736" s="58">
        <v>0</v>
      </c>
      <c r="M736" s="58">
        <v>0</v>
      </c>
      <c r="N736" s="58">
        <v>1</v>
      </c>
      <c r="O736" s="224">
        <f t="shared" si="4"/>
        <v>0.99</v>
      </c>
      <c r="P736" s="227">
        <f t="shared" si="5"/>
        <v>0.99</v>
      </c>
    </row>
    <row r="737" spans="1:16" ht="14.25">
      <c r="A737" s="224">
        <v>736</v>
      </c>
      <c r="B737" s="58">
        <v>18794</v>
      </c>
      <c r="C737" s="57" t="s">
        <v>3039</v>
      </c>
      <c r="D737" s="57" t="s">
        <v>45</v>
      </c>
      <c r="E737" s="57" t="s">
        <v>2860</v>
      </c>
      <c r="F737" s="233">
        <v>45842.813888888886</v>
      </c>
      <c r="G737" s="57">
        <v>4</v>
      </c>
      <c r="H737" s="57" t="s">
        <v>2557</v>
      </c>
      <c r="I737" s="58">
        <v>57463</v>
      </c>
      <c r="J737" s="234" t="s">
        <v>3687</v>
      </c>
      <c r="K737" s="58">
        <v>3.99</v>
      </c>
      <c r="L737" s="58">
        <v>0</v>
      </c>
      <c r="M737" s="58">
        <v>0</v>
      </c>
      <c r="N737" s="58">
        <v>1</v>
      </c>
      <c r="O737" s="224">
        <f t="shared" si="4"/>
        <v>3.99</v>
      </c>
      <c r="P737" s="227">
        <f t="shared" si="5"/>
        <v>3.99</v>
      </c>
    </row>
    <row r="738" spans="1:16" ht="14.25">
      <c r="A738" s="224">
        <v>737</v>
      </c>
      <c r="B738" s="58">
        <v>21393</v>
      </c>
      <c r="C738" s="57" t="s">
        <v>3688</v>
      </c>
      <c r="D738" s="57" t="s">
        <v>45</v>
      </c>
      <c r="E738" s="57" t="s">
        <v>2860</v>
      </c>
      <c r="F738" s="233">
        <v>45842.918055555558</v>
      </c>
      <c r="G738" s="57">
        <v>4</v>
      </c>
      <c r="H738" s="57" t="s">
        <v>2557</v>
      </c>
      <c r="I738" s="58">
        <v>57475</v>
      </c>
      <c r="J738" s="234" t="s">
        <v>3689</v>
      </c>
      <c r="K738" s="58">
        <v>0.99</v>
      </c>
      <c r="L738" s="58">
        <v>0</v>
      </c>
      <c r="M738" s="58">
        <v>0</v>
      </c>
      <c r="N738" s="58">
        <v>1</v>
      </c>
      <c r="O738" s="224">
        <f t="shared" si="4"/>
        <v>0.99</v>
      </c>
      <c r="P738" s="227">
        <f t="shared" si="5"/>
        <v>0.99</v>
      </c>
    </row>
    <row r="739" spans="1:16" ht="14.25">
      <c r="A739" s="224">
        <v>738</v>
      </c>
      <c r="B739" s="58">
        <v>21403</v>
      </c>
      <c r="C739" s="57" t="s">
        <v>3690</v>
      </c>
      <c r="D739" s="57" t="s">
        <v>45</v>
      </c>
      <c r="E739" s="57" t="s">
        <v>2860</v>
      </c>
      <c r="F739" s="233">
        <v>45873.004166666666</v>
      </c>
      <c r="G739" s="57">
        <v>4</v>
      </c>
      <c r="H739" s="57" t="s">
        <v>2557</v>
      </c>
      <c r="I739" s="58">
        <v>57487</v>
      </c>
      <c r="J739" s="234" t="s">
        <v>3691</v>
      </c>
      <c r="K739" s="58">
        <v>0.99</v>
      </c>
      <c r="L739" s="58">
        <v>0</v>
      </c>
      <c r="M739" s="58">
        <v>0</v>
      </c>
      <c r="N739" s="58">
        <v>1</v>
      </c>
      <c r="O739" s="224">
        <f t="shared" si="4"/>
        <v>0.99</v>
      </c>
      <c r="P739" s="227">
        <f t="shared" si="5"/>
        <v>0.99</v>
      </c>
    </row>
    <row r="740" spans="1:16" ht="14.25">
      <c r="A740" s="224">
        <v>739</v>
      </c>
      <c r="B740" s="58">
        <v>21403</v>
      </c>
      <c r="C740" s="57" t="s">
        <v>3690</v>
      </c>
      <c r="D740" s="57" t="s">
        <v>45</v>
      </c>
      <c r="E740" s="57" t="s">
        <v>2860</v>
      </c>
      <c r="F740" s="233">
        <v>45873.009722222225</v>
      </c>
      <c r="G740" s="57">
        <v>4</v>
      </c>
      <c r="H740" s="57" t="s">
        <v>2557</v>
      </c>
      <c r="I740" s="58">
        <v>57499</v>
      </c>
      <c r="J740" s="234" t="s">
        <v>3692</v>
      </c>
      <c r="K740" s="58">
        <v>0.99</v>
      </c>
      <c r="L740" s="58">
        <v>0</v>
      </c>
      <c r="M740" s="58">
        <v>0</v>
      </c>
      <c r="N740" s="58">
        <v>1</v>
      </c>
      <c r="O740" s="224">
        <f t="shared" si="4"/>
        <v>0.99</v>
      </c>
      <c r="P740" s="227">
        <f t="shared" si="5"/>
        <v>0.99</v>
      </c>
    </row>
    <row r="741" spans="1:16" ht="14.25">
      <c r="A741" s="224">
        <v>740</v>
      </c>
      <c r="B741" s="58">
        <v>21433</v>
      </c>
      <c r="C741" s="57" t="s">
        <v>3693</v>
      </c>
      <c r="D741" s="57" t="s">
        <v>45</v>
      </c>
      <c r="E741" s="57" t="s">
        <v>2860</v>
      </c>
      <c r="F741" s="233">
        <v>45873.331250000003</v>
      </c>
      <c r="G741" s="57">
        <v>4</v>
      </c>
      <c r="H741" s="57" t="s">
        <v>2557</v>
      </c>
      <c r="I741" s="58">
        <v>57511</v>
      </c>
      <c r="J741" s="234" t="s">
        <v>3694</v>
      </c>
      <c r="K741" s="58">
        <v>3.99</v>
      </c>
      <c r="L741" s="58">
        <v>0</v>
      </c>
      <c r="M741" s="58">
        <v>0</v>
      </c>
      <c r="N741" s="58">
        <v>1</v>
      </c>
      <c r="O741" s="224">
        <f t="shared" si="4"/>
        <v>3.99</v>
      </c>
      <c r="P741" s="227">
        <f t="shared" si="5"/>
        <v>3.99</v>
      </c>
    </row>
    <row r="742" spans="1:16" ht="14.25">
      <c r="A742" s="224">
        <v>741</v>
      </c>
      <c r="B742" s="58">
        <v>21438</v>
      </c>
      <c r="C742" s="57" t="s">
        <v>3695</v>
      </c>
      <c r="D742" s="57" t="s">
        <v>2582</v>
      </c>
      <c r="E742" s="57" t="s">
        <v>2860</v>
      </c>
      <c r="F742" s="233">
        <v>45873.398611111108</v>
      </c>
      <c r="G742" s="57">
        <v>4</v>
      </c>
      <c r="H742" s="57" t="s">
        <v>2557</v>
      </c>
      <c r="I742" s="58">
        <v>57547</v>
      </c>
      <c r="J742" s="234" t="s">
        <v>3696</v>
      </c>
      <c r="K742" s="58">
        <v>7.24</v>
      </c>
      <c r="L742" s="58">
        <v>0</v>
      </c>
      <c r="M742" s="58">
        <v>0</v>
      </c>
      <c r="N742" s="58">
        <v>7.3087400000000002</v>
      </c>
      <c r="O742" s="224">
        <f t="shared" si="4"/>
        <v>7.24</v>
      </c>
      <c r="P742" s="227">
        <f t="shared" si="5"/>
        <v>0.99059482208971728</v>
      </c>
    </row>
    <row r="743" spans="1:16" ht="14.25">
      <c r="A743" s="224">
        <v>742</v>
      </c>
      <c r="B743" s="58">
        <v>1560</v>
      </c>
      <c r="C743" s="57" t="s">
        <v>2630</v>
      </c>
      <c r="D743" s="57" t="s">
        <v>45</v>
      </c>
      <c r="E743" s="57" t="s">
        <v>2860</v>
      </c>
      <c r="F743" s="233">
        <v>45873.507638888892</v>
      </c>
      <c r="G743" s="57">
        <v>4</v>
      </c>
      <c r="H743" s="57" t="s">
        <v>2557</v>
      </c>
      <c r="I743" s="58">
        <v>56959</v>
      </c>
      <c r="J743" s="234" t="s">
        <v>3697</v>
      </c>
      <c r="K743" s="58">
        <v>2.99</v>
      </c>
      <c r="L743" s="58">
        <v>0</v>
      </c>
      <c r="M743" s="58">
        <v>0</v>
      </c>
      <c r="N743" s="58">
        <v>1</v>
      </c>
      <c r="O743" s="224">
        <f t="shared" si="4"/>
        <v>2.99</v>
      </c>
      <c r="P743" s="227">
        <f t="shared" si="5"/>
        <v>2.99</v>
      </c>
    </row>
    <row r="744" spans="1:16" ht="14.25">
      <c r="A744" s="224">
        <v>743</v>
      </c>
      <c r="B744" s="58">
        <v>21455</v>
      </c>
      <c r="C744" s="57" t="s">
        <v>3698</v>
      </c>
      <c r="D744" s="57" t="s">
        <v>45</v>
      </c>
      <c r="E744" s="57" t="s">
        <v>2874</v>
      </c>
      <c r="F744" s="243">
        <v>45873</v>
      </c>
      <c r="G744" s="57">
        <v>4</v>
      </c>
      <c r="H744" s="57" t="s">
        <v>2557</v>
      </c>
      <c r="I744" s="58">
        <v>57619</v>
      </c>
      <c r="J744" s="234" t="s">
        <v>3699</v>
      </c>
      <c r="K744" s="58">
        <v>2.99</v>
      </c>
      <c r="L744" s="58">
        <v>0</v>
      </c>
      <c r="M744" s="58">
        <v>0</v>
      </c>
      <c r="N744" s="58">
        <v>1</v>
      </c>
      <c r="O744" s="224">
        <f t="shared" si="4"/>
        <v>2.99</v>
      </c>
      <c r="P744" s="227">
        <f t="shared" si="5"/>
        <v>2.99</v>
      </c>
    </row>
    <row r="745" spans="1:16" ht="14.25">
      <c r="A745" s="224">
        <v>744</v>
      </c>
      <c r="B745" s="58">
        <v>21465</v>
      </c>
      <c r="C745" s="57" t="s">
        <v>3700</v>
      </c>
      <c r="D745" s="57" t="s">
        <v>45</v>
      </c>
      <c r="E745" s="57" t="s">
        <v>2860</v>
      </c>
      <c r="F745" s="233">
        <v>45873.819444444445</v>
      </c>
      <c r="G745" s="57">
        <v>4</v>
      </c>
      <c r="H745" s="57" t="s">
        <v>2557</v>
      </c>
      <c r="I745" s="58">
        <v>57631</v>
      </c>
      <c r="J745" s="234" t="s">
        <v>3701</v>
      </c>
      <c r="K745" s="58">
        <v>13.58</v>
      </c>
      <c r="L745" s="58">
        <v>0</v>
      </c>
      <c r="M745" s="58">
        <v>0</v>
      </c>
      <c r="N745" s="58">
        <v>1</v>
      </c>
      <c r="O745" s="224">
        <f t="shared" si="4"/>
        <v>13.58</v>
      </c>
      <c r="P745" s="227">
        <f t="shared" si="5"/>
        <v>13.58</v>
      </c>
    </row>
    <row r="746" spans="1:16" ht="14.25">
      <c r="A746" s="224">
        <v>745</v>
      </c>
      <c r="B746" s="58">
        <v>21473</v>
      </c>
      <c r="C746" s="57" t="s">
        <v>3702</v>
      </c>
      <c r="D746" s="57" t="s">
        <v>2582</v>
      </c>
      <c r="E746" s="57" t="s">
        <v>2860</v>
      </c>
      <c r="F746" s="233">
        <v>45873.931250000001</v>
      </c>
      <c r="G746" s="57">
        <v>4</v>
      </c>
      <c r="H746" s="57" t="s">
        <v>2557</v>
      </c>
      <c r="I746" s="58">
        <v>57655</v>
      </c>
      <c r="J746" s="234" t="s">
        <v>3703</v>
      </c>
      <c r="K746" s="58">
        <v>148</v>
      </c>
      <c r="L746" s="58">
        <v>0</v>
      </c>
      <c r="M746" s="58">
        <v>0</v>
      </c>
      <c r="N746" s="58">
        <v>7.3087400000000002</v>
      </c>
      <c r="O746" s="224">
        <f t="shared" si="4"/>
        <v>148</v>
      </c>
      <c r="P746" s="227">
        <f t="shared" si="5"/>
        <v>20.249728407358859</v>
      </c>
    </row>
    <row r="747" spans="1:16" ht="14.25">
      <c r="A747" s="224">
        <v>746</v>
      </c>
      <c r="B747" s="58">
        <v>21475</v>
      </c>
      <c r="C747" s="57" t="s">
        <v>3704</v>
      </c>
      <c r="D747" s="57" t="s">
        <v>45</v>
      </c>
      <c r="E747" s="57" t="s">
        <v>2860</v>
      </c>
      <c r="F747" s="233">
        <v>45873.963194444441</v>
      </c>
      <c r="G747" s="57">
        <v>4</v>
      </c>
      <c r="H747" s="57" t="s">
        <v>2557</v>
      </c>
      <c r="I747" s="58">
        <v>57667</v>
      </c>
      <c r="J747" s="234" t="s">
        <v>3705</v>
      </c>
      <c r="K747" s="58">
        <v>17.989999999999998</v>
      </c>
      <c r="L747" s="58">
        <v>0</v>
      </c>
      <c r="M747" s="58">
        <v>0</v>
      </c>
      <c r="N747" s="58">
        <v>1</v>
      </c>
      <c r="O747" s="224">
        <f t="shared" si="4"/>
        <v>17.989999999999998</v>
      </c>
      <c r="P747" s="227">
        <f t="shared" si="5"/>
        <v>17.989999999999998</v>
      </c>
    </row>
    <row r="748" spans="1:16" ht="14.25">
      <c r="A748" s="224">
        <v>747</v>
      </c>
      <c r="B748" s="58">
        <v>21476</v>
      </c>
      <c r="C748" s="57" t="s">
        <v>3706</v>
      </c>
      <c r="D748" s="57" t="s">
        <v>45</v>
      </c>
      <c r="E748" s="57" t="s">
        <v>2860</v>
      </c>
      <c r="F748" s="233">
        <v>45873.991666666669</v>
      </c>
      <c r="G748" s="57">
        <v>4</v>
      </c>
      <c r="H748" s="57" t="s">
        <v>2557</v>
      </c>
      <c r="I748" s="58">
        <v>57679</v>
      </c>
      <c r="J748" s="234" t="s">
        <v>3707</v>
      </c>
      <c r="K748" s="58">
        <v>20.25</v>
      </c>
      <c r="L748" s="58">
        <v>0</v>
      </c>
      <c r="M748" s="58">
        <v>0</v>
      </c>
      <c r="N748" s="58">
        <v>1</v>
      </c>
      <c r="O748" s="224">
        <f t="shared" si="4"/>
        <v>20.25</v>
      </c>
      <c r="P748" s="227">
        <f t="shared" si="5"/>
        <v>20.25</v>
      </c>
    </row>
    <row r="749" spans="1:16" ht="14.25">
      <c r="A749" s="224">
        <v>748</v>
      </c>
      <c r="B749" s="58">
        <v>21511</v>
      </c>
      <c r="C749" s="57" t="s">
        <v>3708</v>
      </c>
      <c r="D749" s="57" t="s">
        <v>2582</v>
      </c>
      <c r="E749" s="57" t="s">
        <v>2860</v>
      </c>
      <c r="F749" s="233">
        <v>45904.824305555558</v>
      </c>
      <c r="G749" s="57">
        <v>4</v>
      </c>
      <c r="H749" s="57" t="s">
        <v>2557</v>
      </c>
      <c r="I749" s="58">
        <v>57811</v>
      </c>
      <c r="J749" s="234" t="s">
        <v>3709</v>
      </c>
      <c r="K749" s="58">
        <v>20.48</v>
      </c>
      <c r="L749" s="58">
        <v>0</v>
      </c>
      <c r="M749" s="58">
        <v>0</v>
      </c>
      <c r="N749" s="58">
        <v>7.3387200000000004</v>
      </c>
      <c r="O749" s="224">
        <f t="shared" si="4"/>
        <v>20.48</v>
      </c>
      <c r="P749" s="227">
        <f t="shared" si="5"/>
        <v>2.790677393332897</v>
      </c>
    </row>
    <row r="750" spans="1:16" ht="14.25">
      <c r="A750" s="224">
        <v>749</v>
      </c>
      <c r="B750" s="58">
        <v>21511</v>
      </c>
      <c r="C750" s="57" t="s">
        <v>3708</v>
      </c>
      <c r="D750" s="57" t="s">
        <v>2582</v>
      </c>
      <c r="E750" s="57" t="s">
        <v>2860</v>
      </c>
      <c r="F750" s="233">
        <v>45904.831250000003</v>
      </c>
      <c r="G750" s="57">
        <v>4</v>
      </c>
      <c r="H750" s="57" t="s">
        <v>2557</v>
      </c>
      <c r="I750" s="58">
        <v>57811</v>
      </c>
      <c r="J750" s="234"/>
      <c r="K750" s="58">
        <v>0.01</v>
      </c>
      <c r="L750" s="58">
        <v>0</v>
      </c>
      <c r="M750" s="58">
        <v>0</v>
      </c>
      <c r="N750" s="58">
        <v>7.3387200000000004</v>
      </c>
      <c r="O750" s="224">
        <f t="shared" si="4"/>
        <v>0.01</v>
      </c>
      <c r="P750" s="227">
        <f t="shared" si="5"/>
        <v>1.3626354459633286E-3</v>
      </c>
    </row>
    <row r="751" spans="1:16" ht="14.25">
      <c r="A751" s="224">
        <v>750</v>
      </c>
      <c r="B751" s="58">
        <v>21511</v>
      </c>
      <c r="C751" s="57" t="s">
        <v>3708</v>
      </c>
      <c r="D751" s="57" t="s">
        <v>2582</v>
      </c>
      <c r="E751" s="57" t="s">
        <v>2860</v>
      </c>
      <c r="F751" s="233">
        <v>45904.994444444441</v>
      </c>
      <c r="G751" s="57">
        <v>4</v>
      </c>
      <c r="H751" s="57" t="s">
        <v>2557</v>
      </c>
      <c r="I751" s="58">
        <v>57847</v>
      </c>
      <c r="J751" s="234" t="s">
        <v>3710</v>
      </c>
      <c r="K751" s="58">
        <v>16.440000000000001</v>
      </c>
      <c r="L751" s="58">
        <v>0</v>
      </c>
      <c r="M751" s="58">
        <v>0</v>
      </c>
      <c r="N751" s="58">
        <v>7.3387200000000004</v>
      </c>
      <c r="O751" s="224">
        <f t="shared" si="4"/>
        <v>16.440000000000001</v>
      </c>
      <c r="P751" s="227">
        <f t="shared" si="5"/>
        <v>2.2401726731637126</v>
      </c>
    </row>
    <row r="752" spans="1:16" ht="14.25">
      <c r="A752" s="224">
        <v>751</v>
      </c>
      <c r="B752" s="58">
        <v>187</v>
      </c>
      <c r="C752" s="57" t="s">
        <v>3433</v>
      </c>
      <c r="D752" s="57" t="s">
        <v>45</v>
      </c>
      <c r="E752" s="57" t="s">
        <v>2860</v>
      </c>
      <c r="F752" s="233">
        <v>45934</v>
      </c>
      <c r="G752" s="57">
        <v>4</v>
      </c>
      <c r="H752" s="57" t="s">
        <v>2557</v>
      </c>
      <c r="I752" s="58">
        <v>57871</v>
      </c>
      <c r="J752" s="234"/>
      <c r="K752" s="58">
        <v>0</v>
      </c>
      <c r="L752" s="58">
        <v>0</v>
      </c>
      <c r="M752" s="58">
        <v>0</v>
      </c>
      <c r="N752" s="58">
        <v>1</v>
      </c>
      <c r="O752" s="224">
        <f t="shared" si="4"/>
        <v>0</v>
      </c>
      <c r="P752" s="227">
        <f t="shared" si="5"/>
        <v>0</v>
      </c>
    </row>
    <row r="753" spans="1:16" ht="14.25">
      <c r="A753" s="224">
        <v>752</v>
      </c>
      <c r="B753" s="58">
        <v>21552</v>
      </c>
      <c r="C753" s="57" t="s">
        <v>3711</v>
      </c>
      <c r="D753" s="57" t="s">
        <v>45</v>
      </c>
      <c r="E753" s="57" t="s">
        <v>2860</v>
      </c>
      <c r="F753" s="233">
        <v>45934.581250000003</v>
      </c>
      <c r="G753" s="57">
        <v>4</v>
      </c>
      <c r="H753" s="57" t="s">
        <v>2557</v>
      </c>
      <c r="I753" s="58">
        <v>57991</v>
      </c>
      <c r="J753" s="234"/>
      <c r="K753" s="58">
        <v>0.99</v>
      </c>
      <c r="L753" s="58">
        <v>0</v>
      </c>
      <c r="M753" s="58">
        <v>0</v>
      </c>
      <c r="N753" s="58">
        <v>1</v>
      </c>
      <c r="O753" s="224">
        <f t="shared" si="4"/>
        <v>0.99</v>
      </c>
      <c r="P753" s="227">
        <f t="shared" si="5"/>
        <v>0.99</v>
      </c>
    </row>
    <row r="754" spans="1:16" ht="14.25">
      <c r="A754" s="224">
        <v>753</v>
      </c>
      <c r="B754" s="58">
        <v>60</v>
      </c>
      <c r="C754" s="57" t="s">
        <v>3712</v>
      </c>
      <c r="D754" s="57" t="s">
        <v>45</v>
      </c>
      <c r="E754" s="57" t="s">
        <v>2860</v>
      </c>
      <c r="F754" s="233">
        <v>45934.605555555558</v>
      </c>
      <c r="G754" s="57">
        <v>4</v>
      </c>
      <c r="H754" s="57" t="s">
        <v>2557</v>
      </c>
      <c r="I754" s="58">
        <v>58003</v>
      </c>
      <c r="J754" s="234" t="s">
        <v>3713</v>
      </c>
      <c r="K754" s="58">
        <v>1</v>
      </c>
      <c r="L754" s="58">
        <v>0</v>
      </c>
      <c r="M754" s="58">
        <v>0</v>
      </c>
      <c r="N754" s="58">
        <v>1</v>
      </c>
      <c r="O754" s="224">
        <f t="shared" si="4"/>
        <v>1</v>
      </c>
      <c r="P754" s="227">
        <f t="shared" si="5"/>
        <v>1</v>
      </c>
    </row>
    <row r="755" spans="1:16" ht="14.25">
      <c r="A755" s="224">
        <v>754</v>
      </c>
      <c r="B755" s="58">
        <v>21553</v>
      </c>
      <c r="C755" s="57" t="s">
        <v>3714</v>
      </c>
      <c r="D755" s="57" t="s">
        <v>2582</v>
      </c>
      <c r="E755" s="57" t="s">
        <v>2860</v>
      </c>
      <c r="F755" s="233">
        <v>45934.62777777778</v>
      </c>
      <c r="G755" s="57">
        <v>4</v>
      </c>
      <c r="H755" s="57" t="s">
        <v>2557</v>
      </c>
      <c r="I755" s="58">
        <v>58015</v>
      </c>
      <c r="J755" s="234" t="s">
        <v>3715</v>
      </c>
      <c r="K755" s="58">
        <v>246.88</v>
      </c>
      <c r="L755" s="58">
        <v>0</v>
      </c>
      <c r="M755" s="58">
        <v>0</v>
      </c>
      <c r="N755" s="58">
        <v>7.3498400000000004</v>
      </c>
      <c r="O755" s="224">
        <f t="shared" si="4"/>
        <v>246.88</v>
      </c>
      <c r="P755" s="227">
        <f t="shared" si="5"/>
        <v>33.589846853809057</v>
      </c>
    </row>
    <row r="756" spans="1:16" ht="14.25">
      <c r="A756" s="224">
        <v>755</v>
      </c>
      <c r="B756" s="58">
        <v>21553</v>
      </c>
      <c r="C756" s="57" t="s">
        <v>3714</v>
      </c>
      <c r="D756" s="57" t="s">
        <v>2582</v>
      </c>
      <c r="E756" s="57" t="s">
        <v>2860</v>
      </c>
      <c r="F756" s="233">
        <v>45934.638194444444</v>
      </c>
      <c r="G756" s="57">
        <v>4</v>
      </c>
      <c r="H756" s="57" t="s">
        <v>2557</v>
      </c>
      <c r="I756" s="58">
        <v>58015</v>
      </c>
      <c r="J756" s="234"/>
      <c r="K756" s="58">
        <v>0.02</v>
      </c>
      <c r="L756" s="58">
        <v>0</v>
      </c>
      <c r="M756" s="58">
        <v>0</v>
      </c>
      <c r="N756" s="58">
        <v>7.3498400000000004</v>
      </c>
      <c r="O756" s="224">
        <f t="shared" si="4"/>
        <v>0.02</v>
      </c>
      <c r="P756" s="227">
        <f t="shared" si="5"/>
        <v>2.7211476712418227E-3</v>
      </c>
    </row>
    <row r="757" spans="1:16" ht="14.25">
      <c r="A757" s="224">
        <v>756</v>
      </c>
      <c r="B757" s="58">
        <v>21560</v>
      </c>
      <c r="C757" s="57" t="s">
        <v>3716</v>
      </c>
      <c r="D757" s="57" t="s">
        <v>2582</v>
      </c>
      <c r="E757" s="57" t="s">
        <v>2860</v>
      </c>
      <c r="F757" s="233">
        <v>45934.713888888888</v>
      </c>
      <c r="G757" s="57">
        <v>4</v>
      </c>
      <c r="H757" s="57" t="s">
        <v>2557</v>
      </c>
      <c r="I757" s="58">
        <v>58027</v>
      </c>
      <c r="J757" s="234" t="s">
        <v>3717</v>
      </c>
      <c r="K757" s="58">
        <v>110.17</v>
      </c>
      <c r="L757" s="58">
        <v>0</v>
      </c>
      <c r="M757" s="58">
        <v>0</v>
      </c>
      <c r="N757" s="58">
        <v>7.3498400000000004</v>
      </c>
      <c r="O757" s="224">
        <f t="shared" si="4"/>
        <v>110.17</v>
      </c>
      <c r="P757" s="227">
        <f t="shared" si="5"/>
        <v>14.989441947035582</v>
      </c>
    </row>
    <row r="758" spans="1:16" ht="14.25">
      <c r="A758" s="224">
        <v>757</v>
      </c>
      <c r="B758" s="58">
        <v>19629</v>
      </c>
      <c r="C758" s="57" t="s">
        <v>3182</v>
      </c>
      <c r="D758" s="57" t="s">
        <v>45</v>
      </c>
      <c r="E758" s="57" t="s">
        <v>9</v>
      </c>
      <c r="F758" s="233">
        <v>45934.796527777777</v>
      </c>
      <c r="G758" s="57">
        <v>4</v>
      </c>
      <c r="H758" s="57" t="s">
        <v>2557</v>
      </c>
      <c r="I758" s="58">
        <v>55003</v>
      </c>
      <c r="J758" s="234" t="s">
        <v>435</v>
      </c>
      <c r="K758" s="58">
        <v>4.79</v>
      </c>
      <c r="L758" s="58">
        <v>0.73</v>
      </c>
      <c r="M758" s="58">
        <v>0</v>
      </c>
      <c r="N758" s="58">
        <v>1</v>
      </c>
      <c r="O758" s="224">
        <f t="shared" si="4"/>
        <v>4.0600000000000005</v>
      </c>
      <c r="P758" s="227">
        <f t="shared" si="5"/>
        <v>4.0600000000000005</v>
      </c>
    </row>
    <row r="759" spans="1:16" ht="14.25">
      <c r="A759" s="224">
        <v>758</v>
      </c>
      <c r="B759" s="58">
        <v>21567</v>
      </c>
      <c r="C759" s="57" t="s">
        <v>3718</v>
      </c>
      <c r="D759" s="57" t="s">
        <v>2582</v>
      </c>
      <c r="E759" s="57" t="s">
        <v>2860</v>
      </c>
      <c r="F759" s="233">
        <v>45934.884722222225</v>
      </c>
      <c r="G759" s="57">
        <v>4</v>
      </c>
      <c r="H759" s="57" t="s">
        <v>2557</v>
      </c>
      <c r="I759" s="58">
        <v>58039</v>
      </c>
      <c r="J759" s="234" t="s">
        <v>3719</v>
      </c>
      <c r="K759" s="58">
        <v>40.35</v>
      </c>
      <c r="L759" s="58">
        <v>0</v>
      </c>
      <c r="M759" s="58">
        <v>0</v>
      </c>
      <c r="N759" s="58">
        <v>7.3498400000000004</v>
      </c>
      <c r="O759" s="224">
        <f t="shared" si="4"/>
        <v>40.35</v>
      </c>
      <c r="P759" s="227">
        <f t="shared" si="5"/>
        <v>5.489915426730378</v>
      </c>
    </row>
    <row r="760" spans="1:16" ht="14.25">
      <c r="A760" s="224">
        <v>759</v>
      </c>
      <c r="B760" s="58">
        <v>21568</v>
      </c>
      <c r="C760" s="57" t="s">
        <v>3720</v>
      </c>
      <c r="D760" s="57" t="s">
        <v>45</v>
      </c>
      <c r="E760" s="57" t="s">
        <v>2860</v>
      </c>
      <c r="F760" s="233">
        <v>45934.914583333331</v>
      </c>
      <c r="G760" s="57">
        <v>4</v>
      </c>
      <c r="H760" s="57" t="s">
        <v>2557</v>
      </c>
      <c r="I760" s="58">
        <v>58051</v>
      </c>
      <c r="J760" s="234" t="s">
        <v>3721</v>
      </c>
      <c r="K760" s="58">
        <v>13.58</v>
      </c>
      <c r="L760" s="58">
        <v>0</v>
      </c>
      <c r="M760" s="58">
        <v>0</v>
      </c>
      <c r="N760" s="58">
        <v>1</v>
      </c>
      <c r="O760" s="224">
        <f t="shared" si="4"/>
        <v>13.58</v>
      </c>
      <c r="P760" s="227">
        <f t="shared" si="5"/>
        <v>13.58</v>
      </c>
    </row>
    <row r="761" spans="1:16" ht="14.25">
      <c r="A761" s="224">
        <v>760</v>
      </c>
      <c r="B761" s="58">
        <v>21568</v>
      </c>
      <c r="C761" s="57" t="s">
        <v>3720</v>
      </c>
      <c r="D761" s="57" t="s">
        <v>45</v>
      </c>
      <c r="E761" s="57" t="s">
        <v>2860</v>
      </c>
      <c r="F761" s="233">
        <v>45934.915277777778</v>
      </c>
      <c r="G761" s="57">
        <v>4</v>
      </c>
      <c r="H761" s="57" t="s">
        <v>2557</v>
      </c>
      <c r="I761" s="58">
        <v>58051</v>
      </c>
      <c r="J761" s="234" t="s">
        <v>3721</v>
      </c>
      <c r="K761" s="58">
        <v>13.58</v>
      </c>
      <c r="L761" s="58">
        <v>0</v>
      </c>
      <c r="M761" s="58">
        <v>0</v>
      </c>
      <c r="N761" s="58">
        <v>1</v>
      </c>
      <c r="O761" s="224">
        <f t="shared" si="4"/>
        <v>13.58</v>
      </c>
      <c r="P761" s="227">
        <f t="shared" si="5"/>
        <v>13.58</v>
      </c>
    </row>
    <row r="762" spans="1:16" ht="14.25">
      <c r="A762" s="224">
        <v>761</v>
      </c>
      <c r="B762" s="58">
        <v>36</v>
      </c>
      <c r="C762" s="57" t="s">
        <v>2646</v>
      </c>
      <c r="D762" s="57" t="s">
        <v>45</v>
      </c>
      <c r="E762" s="57" t="s">
        <v>2874</v>
      </c>
      <c r="F762" s="243">
        <v>45934</v>
      </c>
      <c r="G762" s="57">
        <v>4</v>
      </c>
      <c r="H762" s="57" t="s">
        <v>2557</v>
      </c>
      <c r="I762" s="58">
        <v>55099</v>
      </c>
      <c r="J762" s="234"/>
      <c r="K762" s="58">
        <v>600</v>
      </c>
      <c r="L762" s="58">
        <v>0</v>
      </c>
      <c r="M762" s="58">
        <v>0</v>
      </c>
      <c r="N762" s="58">
        <v>1</v>
      </c>
      <c r="O762" s="224">
        <f t="shared" si="4"/>
        <v>600</v>
      </c>
      <c r="P762" s="227">
        <f t="shared" si="5"/>
        <v>600</v>
      </c>
    </row>
    <row r="763" spans="1:16" ht="14.25">
      <c r="A763" s="224">
        <v>762</v>
      </c>
      <c r="B763" s="58">
        <v>21579</v>
      </c>
      <c r="C763" s="57" t="s">
        <v>3722</v>
      </c>
      <c r="D763" s="57" t="s">
        <v>2582</v>
      </c>
      <c r="E763" s="57" t="s">
        <v>2860</v>
      </c>
      <c r="F763" s="233">
        <v>45965.038194444445</v>
      </c>
      <c r="G763" s="57">
        <v>4</v>
      </c>
      <c r="H763" s="57" t="s">
        <v>2557</v>
      </c>
      <c r="I763" s="58">
        <v>58075</v>
      </c>
      <c r="J763" s="234" t="s">
        <v>3723</v>
      </c>
      <c r="K763" s="58">
        <v>21.98</v>
      </c>
      <c r="L763" s="58">
        <v>0</v>
      </c>
      <c r="M763" s="58">
        <v>0</v>
      </c>
      <c r="N763" s="58">
        <v>7.3498400000000004</v>
      </c>
      <c r="O763" s="224">
        <f t="shared" si="4"/>
        <v>21.98</v>
      </c>
      <c r="P763" s="227">
        <f t="shared" si="5"/>
        <v>2.9905412906947633</v>
      </c>
    </row>
    <row r="764" spans="1:16" ht="14.25">
      <c r="A764" s="224">
        <v>763</v>
      </c>
      <c r="B764" s="58">
        <v>479</v>
      </c>
      <c r="C764" s="57" t="s">
        <v>2964</v>
      </c>
      <c r="D764" s="57" t="s">
        <v>45</v>
      </c>
      <c r="E764" s="57" t="s">
        <v>2860</v>
      </c>
      <c r="F764" s="233">
        <v>45965.402777777781</v>
      </c>
      <c r="G764" s="57">
        <v>4</v>
      </c>
      <c r="H764" s="57" t="s">
        <v>2557</v>
      </c>
      <c r="I764" s="58">
        <v>56515</v>
      </c>
      <c r="J764" s="234" t="s">
        <v>3724</v>
      </c>
      <c r="K764" s="58">
        <v>1.0900000000000001</v>
      </c>
      <c r="L764" s="58">
        <v>0</v>
      </c>
      <c r="M764" s="58">
        <v>0</v>
      </c>
      <c r="N764" s="58">
        <v>1</v>
      </c>
      <c r="O764" s="224">
        <f t="shared" si="4"/>
        <v>1.0900000000000001</v>
      </c>
      <c r="P764" s="227">
        <f t="shared" si="5"/>
        <v>1.0900000000000001</v>
      </c>
    </row>
    <row r="765" spans="1:16" ht="14.25">
      <c r="A765" s="224">
        <v>764</v>
      </c>
      <c r="B765" s="58">
        <v>21560</v>
      </c>
      <c r="C765" s="57" t="s">
        <v>3716</v>
      </c>
      <c r="D765" s="57" t="s">
        <v>2582</v>
      </c>
      <c r="E765" s="57" t="s">
        <v>2860</v>
      </c>
      <c r="F765" s="233">
        <v>45965.612500000003</v>
      </c>
      <c r="G765" s="57">
        <v>4</v>
      </c>
      <c r="H765" s="57" t="s">
        <v>2557</v>
      </c>
      <c r="I765" s="58">
        <v>58147</v>
      </c>
      <c r="J765" s="234" t="s">
        <v>3725</v>
      </c>
      <c r="K765" s="58">
        <v>109.75</v>
      </c>
      <c r="L765" s="58">
        <v>0</v>
      </c>
      <c r="M765" s="58">
        <v>0</v>
      </c>
      <c r="N765" s="58">
        <v>7.32151</v>
      </c>
      <c r="O765" s="224">
        <f t="shared" si="4"/>
        <v>109.75</v>
      </c>
      <c r="P765" s="227">
        <f t="shared" si="5"/>
        <v>14.990077183531813</v>
      </c>
    </row>
    <row r="766" spans="1:16" ht="14.25">
      <c r="A766" s="224">
        <v>765</v>
      </c>
      <c r="B766" s="58">
        <v>21622</v>
      </c>
      <c r="C766" s="57" t="s">
        <v>3726</v>
      </c>
      <c r="D766" s="57" t="s">
        <v>2582</v>
      </c>
      <c r="E766" s="57" t="s">
        <v>2860</v>
      </c>
      <c r="F766" s="233">
        <v>45965.843055555553</v>
      </c>
      <c r="G766" s="57">
        <v>4</v>
      </c>
      <c r="H766" s="57" t="s">
        <v>2557</v>
      </c>
      <c r="I766" s="58">
        <v>58159</v>
      </c>
      <c r="J766" s="234" t="s">
        <v>3727</v>
      </c>
      <c r="K766" s="58">
        <v>43.86</v>
      </c>
      <c r="L766" s="58">
        <v>0</v>
      </c>
      <c r="M766" s="58">
        <v>0</v>
      </c>
      <c r="N766" s="58">
        <v>7.32151</v>
      </c>
      <c r="O766" s="224">
        <f t="shared" si="4"/>
        <v>43.86</v>
      </c>
      <c r="P766" s="227">
        <f t="shared" si="5"/>
        <v>5.9905675195417336</v>
      </c>
    </row>
    <row r="767" spans="1:16" ht="14.25">
      <c r="A767" s="224">
        <v>766</v>
      </c>
      <c r="B767" s="58">
        <v>21661</v>
      </c>
      <c r="C767" s="57" t="s">
        <v>3728</v>
      </c>
      <c r="D767" s="57" t="s">
        <v>2582</v>
      </c>
      <c r="E767" s="57" t="s">
        <v>2860</v>
      </c>
      <c r="F767" s="233">
        <v>45995.216666666667</v>
      </c>
      <c r="G767" s="57">
        <v>4</v>
      </c>
      <c r="H767" s="57" t="s">
        <v>2557</v>
      </c>
      <c r="I767" s="58">
        <v>58183</v>
      </c>
      <c r="J767" s="234" t="s">
        <v>3729</v>
      </c>
      <c r="K767" s="58">
        <v>58.5</v>
      </c>
      <c r="L767" s="58">
        <v>0</v>
      </c>
      <c r="M767" s="58">
        <v>0</v>
      </c>
      <c r="N767" s="58">
        <v>7.32151</v>
      </c>
      <c r="O767" s="224">
        <f t="shared" ref="O767:O1021" si="6">K767-L767-M767</f>
        <v>58.5</v>
      </c>
      <c r="P767" s="227">
        <f t="shared" ref="P767:P1021" si="7">IF(D767="USD",O767,O767/N767)</f>
        <v>7.9901550363244738</v>
      </c>
    </row>
    <row r="768" spans="1:16" ht="14.25">
      <c r="A768" s="224">
        <v>767</v>
      </c>
      <c r="B768" s="58">
        <v>6774</v>
      </c>
      <c r="C768" s="57" t="s">
        <v>2614</v>
      </c>
      <c r="D768" s="57" t="s">
        <v>45</v>
      </c>
      <c r="E768" s="57" t="s">
        <v>2860</v>
      </c>
      <c r="F768" s="233">
        <v>45995.378472222219</v>
      </c>
      <c r="G768" s="57">
        <v>4</v>
      </c>
      <c r="H768" s="57" t="s">
        <v>2557</v>
      </c>
      <c r="I768" s="58">
        <v>56599</v>
      </c>
      <c r="J768" s="234" t="s">
        <v>3730</v>
      </c>
      <c r="K768" s="58">
        <v>2.99</v>
      </c>
      <c r="L768" s="58">
        <v>0</v>
      </c>
      <c r="M768" s="58">
        <v>0</v>
      </c>
      <c r="N768" s="58">
        <v>1</v>
      </c>
      <c r="O768" s="224">
        <f t="shared" si="6"/>
        <v>2.99</v>
      </c>
      <c r="P768" s="227">
        <f t="shared" si="7"/>
        <v>2.99</v>
      </c>
    </row>
    <row r="769" spans="1:16" ht="14.25">
      <c r="A769" s="224">
        <v>768</v>
      </c>
      <c r="B769" s="58">
        <v>21560</v>
      </c>
      <c r="C769" s="57" t="s">
        <v>3716</v>
      </c>
      <c r="D769" s="57" t="s">
        <v>2582</v>
      </c>
      <c r="E769" s="57" t="s">
        <v>2860</v>
      </c>
      <c r="F769" s="233">
        <v>45995.447916666664</v>
      </c>
      <c r="G769" s="57">
        <v>4</v>
      </c>
      <c r="H769" s="57" t="s">
        <v>2557</v>
      </c>
      <c r="I769" s="58">
        <v>58267</v>
      </c>
      <c r="J769" s="234" t="s">
        <v>3731</v>
      </c>
      <c r="K769" s="58">
        <v>109.42</v>
      </c>
      <c r="L769" s="58">
        <v>0</v>
      </c>
      <c r="M769" s="58">
        <v>0</v>
      </c>
      <c r="N769" s="58">
        <v>7.2994000000000003</v>
      </c>
      <c r="O769" s="224">
        <f t="shared" si="6"/>
        <v>109.42</v>
      </c>
      <c r="P769" s="227">
        <f t="shared" si="7"/>
        <v>14.990273173137517</v>
      </c>
    </row>
    <row r="770" spans="1:16" ht="14.25">
      <c r="A770" s="224">
        <v>769</v>
      </c>
      <c r="B770" s="58">
        <v>21692</v>
      </c>
      <c r="C770" s="57" t="s">
        <v>3732</v>
      </c>
      <c r="D770" s="57" t="s">
        <v>2582</v>
      </c>
      <c r="E770" s="57" t="s">
        <v>2860</v>
      </c>
      <c r="F770" s="233">
        <v>45995.592361111114</v>
      </c>
      <c r="G770" s="57">
        <v>4</v>
      </c>
      <c r="H770" s="57" t="s">
        <v>2557</v>
      </c>
      <c r="I770" s="58">
        <v>58279</v>
      </c>
      <c r="J770" s="234" t="s">
        <v>3733</v>
      </c>
      <c r="K770" s="58">
        <v>65.62</v>
      </c>
      <c r="L770" s="58">
        <v>0</v>
      </c>
      <c r="M770" s="58">
        <v>0</v>
      </c>
      <c r="N770" s="58">
        <v>7.2994000000000003</v>
      </c>
      <c r="O770" s="224">
        <f t="shared" si="6"/>
        <v>65.62</v>
      </c>
      <c r="P770" s="227">
        <f t="shared" si="7"/>
        <v>8.9897799819163229</v>
      </c>
    </row>
    <row r="771" spans="1:16" ht="14.25">
      <c r="A771" s="224">
        <v>770</v>
      </c>
      <c r="B771" s="58">
        <v>21692</v>
      </c>
      <c r="C771" s="57" t="s">
        <v>3732</v>
      </c>
      <c r="D771" s="57" t="s">
        <v>2582</v>
      </c>
      <c r="E771" s="57" t="s">
        <v>2860</v>
      </c>
      <c r="F771" s="233">
        <v>45995.673611111109</v>
      </c>
      <c r="G771" s="57">
        <v>4</v>
      </c>
      <c r="H771" s="57" t="s">
        <v>2557</v>
      </c>
      <c r="I771" s="58">
        <v>58279</v>
      </c>
      <c r="J771" s="234"/>
      <c r="K771" s="58">
        <v>0.01</v>
      </c>
      <c r="L771" s="58">
        <v>0</v>
      </c>
      <c r="M771" s="58">
        <v>0</v>
      </c>
      <c r="N771" s="58">
        <v>7.2994000000000003</v>
      </c>
      <c r="O771" s="224">
        <f t="shared" si="6"/>
        <v>0.01</v>
      </c>
      <c r="P771" s="227">
        <f t="shared" si="7"/>
        <v>1.3699756144340631E-3</v>
      </c>
    </row>
    <row r="772" spans="1:16" ht="14.25">
      <c r="A772" s="224">
        <v>771</v>
      </c>
      <c r="B772" s="58">
        <v>20870</v>
      </c>
      <c r="C772" s="57" t="s">
        <v>3606</v>
      </c>
      <c r="D772" s="57" t="s">
        <v>45</v>
      </c>
      <c r="E772" s="57" t="s">
        <v>2874</v>
      </c>
      <c r="F772" s="243">
        <v>45995</v>
      </c>
      <c r="G772" s="57">
        <v>4</v>
      </c>
      <c r="H772" s="57" t="s">
        <v>2557</v>
      </c>
      <c r="I772" s="58">
        <v>58303</v>
      </c>
      <c r="J772" s="234" t="s">
        <v>3734</v>
      </c>
      <c r="K772" s="58">
        <v>7.98</v>
      </c>
      <c r="L772" s="58">
        <v>0</v>
      </c>
      <c r="M772" s="58">
        <v>0</v>
      </c>
      <c r="N772" s="58">
        <v>1</v>
      </c>
      <c r="O772" s="224">
        <f t="shared" si="6"/>
        <v>7.98</v>
      </c>
      <c r="P772" s="227">
        <f t="shared" si="7"/>
        <v>7.98</v>
      </c>
    </row>
    <row r="773" spans="1:16" ht="14.25">
      <c r="A773" s="224">
        <v>772</v>
      </c>
      <c r="B773" s="58">
        <v>21692</v>
      </c>
      <c r="C773" s="57" t="s">
        <v>3732</v>
      </c>
      <c r="D773" s="57" t="s">
        <v>2582</v>
      </c>
      <c r="E773" s="57" t="s">
        <v>2860</v>
      </c>
      <c r="F773" s="233">
        <v>45995.848611111112</v>
      </c>
      <c r="G773" s="57">
        <v>4</v>
      </c>
      <c r="H773" s="57" t="s">
        <v>2557</v>
      </c>
      <c r="I773" s="58">
        <v>58315</v>
      </c>
      <c r="J773" s="234" t="s">
        <v>3735</v>
      </c>
      <c r="K773" s="58">
        <v>434.24</v>
      </c>
      <c r="L773" s="58">
        <v>0</v>
      </c>
      <c r="M773" s="58">
        <v>0</v>
      </c>
      <c r="N773" s="58">
        <v>7.2994000000000003</v>
      </c>
      <c r="O773" s="224">
        <f t="shared" si="6"/>
        <v>434.24</v>
      </c>
      <c r="P773" s="227">
        <f t="shared" si="7"/>
        <v>59.489821081184751</v>
      </c>
    </row>
    <row r="774" spans="1:16" ht="14.25">
      <c r="A774" s="224">
        <v>773</v>
      </c>
      <c r="B774" s="58">
        <v>83</v>
      </c>
      <c r="C774" s="57" t="s">
        <v>3736</v>
      </c>
      <c r="D774" s="57" t="s">
        <v>45</v>
      </c>
      <c r="E774" s="57" t="s">
        <v>9</v>
      </c>
      <c r="F774" s="233">
        <v>45995.871527777781</v>
      </c>
      <c r="G774" s="57">
        <v>4</v>
      </c>
      <c r="H774" s="57" t="s">
        <v>2557</v>
      </c>
      <c r="I774" s="58">
        <v>58327</v>
      </c>
      <c r="J774" s="234" t="s">
        <v>437</v>
      </c>
      <c r="K774" s="58">
        <v>1.98</v>
      </c>
      <c r="L774" s="58">
        <v>0.59</v>
      </c>
      <c r="M774" s="58">
        <v>0</v>
      </c>
      <c r="N774" s="58">
        <v>1</v>
      </c>
      <c r="O774" s="224">
        <f t="shared" si="6"/>
        <v>1.3900000000000001</v>
      </c>
      <c r="P774" s="227">
        <f t="shared" si="7"/>
        <v>1.3900000000000001</v>
      </c>
    </row>
    <row r="775" spans="1:16" ht="14.25">
      <c r="A775" s="224">
        <v>774</v>
      </c>
      <c r="B775" s="58">
        <v>21692</v>
      </c>
      <c r="C775" s="57" t="s">
        <v>3732</v>
      </c>
      <c r="D775" s="57" t="s">
        <v>2582</v>
      </c>
      <c r="E775" s="57" t="s">
        <v>2860</v>
      </c>
      <c r="F775" s="233">
        <v>45995.881249999999</v>
      </c>
      <c r="G775" s="57">
        <v>4</v>
      </c>
      <c r="H775" s="57" t="s">
        <v>2557</v>
      </c>
      <c r="I775" s="58">
        <v>58315</v>
      </c>
      <c r="J775" s="234"/>
      <c r="K775" s="58">
        <v>0.02</v>
      </c>
      <c r="L775" s="58">
        <v>0</v>
      </c>
      <c r="M775" s="58">
        <v>0</v>
      </c>
      <c r="N775" s="58">
        <v>7.2994000000000003</v>
      </c>
      <c r="O775" s="224">
        <f t="shared" si="6"/>
        <v>0.02</v>
      </c>
      <c r="P775" s="227">
        <f t="shared" si="7"/>
        <v>2.7399512288681263E-3</v>
      </c>
    </row>
    <row r="776" spans="1:16" ht="14.25">
      <c r="A776" s="224">
        <v>775</v>
      </c>
      <c r="B776" s="58">
        <v>21257</v>
      </c>
      <c r="C776" s="57" t="s">
        <v>3737</v>
      </c>
      <c r="D776" s="57" t="s">
        <v>45</v>
      </c>
      <c r="E776" s="57" t="s">
        <v>2860</v>
      </c>
      <c r="F776" s="233">
        <v>45995.910416666666</v>
      </c>
      <c r="G776" s="57">
        <v>4</v>
      </c>
      <c r="H776" s="57" t="s">
        <v>2557</v>
      </c>
      <c r="I776" s="58">
        <v>56695</v>
      </c>
      <c r="J776" s="234" t="s">
        <v>3738</v>
      </c>
      <c r="K776" s="58">
        <v>0.99</v>
      </c>
      <c r="L776" s="58">
        <v>0</v>
      </c>
      <c r="M776" s="58">
        <v>0</v>
      </c>
      <c r="N776" s="58">
        <v>1</v>
      </c>
      <c r="O776" s="224">
        <f t="shared" si="6"/>
        <v>0.99</v>
      </c>
      <c r="P776" s="227">
        <f t="shared" si="7"/>
        <v>0.99</v>
      </c>
    </row>
    <row r="777" spans="1:16" ht="14.25">
      <c r="A777" s="224">
        <v>776</v>
      </c>
      <c r="B777" s="58">
        <v>21622</v>
      </c>
      <c r="C777" s="57" t="s">
        <v>3726</v>
      </c>
      <c r="D777" s="57" t="s">
        <v>2582</v>
      </c>
      <c r="E777" s="57" t="s">
        <v>2860</v>
      </c>
      <c r="F777" s="233">
        <v>45995.938194444447</v>
      </c>
      <c r="G777" s="57">
        <v>4</v>
      </c>
      <c r="H777" s="57" t="s">
        <v>2557</v>
      </c>
      <c r="I777" s="58">
        <v>58339</v>
      </c>
      <c r="J777" s="234" t="s">
        <v>3739</v>
      </c>
      <c r="K777" s="58">
        <v>28.1</v>
      </c>
      <c r="L777" s="58">
        <v>0</v>
      </c>
      <c r="M777" s="58">
        <v>0</v>
      </c>
      <c r="N777" s="58">
        <v>7.2994000000000003</v>
      </c>
      <c r="O777" s="224">
        <f t="shared" si="6"/>
        <v>28.1</v>
      </c>
      <c r="P777" s="227">
        <f t="shared" si="7"/>
        <v>3.849631476559717</v>
      </c>
    </row>
    <row r="778" spans="1:16" ht="14.25">
      <c r="A778" s="224">
        <v>777</v>
      </c>
      <c r="B778" s="58">
        <v>21709</v>
      </c>
      <c r="C778" s="57" t="s">
        <v>3740</v>
      </c>
      <c r="D778" s="57" t="s">
        <v>2582</v>
      </c>
      <c r="E778" s="57" t="s">
        <v>2860</v>
      </c>
      <c r="F778" s="233">
        <v>45995.964583333334</v>
      </c>
      <c r="G778" s="57">
        <v>4</v>
      </c>
      <c r="H778" s="57" t="s">
        <v>2557</v>
      </c>
      <c r="I778" s="58">
        <v>58351</v>
      </c>
      <c r="J778" s="234" t="s">
        <v>3741</v>
      </c>
      <c r="K778" s="58">
        <v>21.83</v>
      </c>
      <c r="L778" s="58">
        <v>0</v>
      </c>
      <c r="M778" s="58">
        <v>0</v>
      </c>
      <c r="N778" s="58">
        <v>7.2994000000000003</v>
      </c>
      <c r="O778" s="224">
        <f t="shared" si="6"/>
        <v>21.83</v>
      </c>
      <c r="P778" s="227">
        <f t="shared" si="7"/>
        <v>2.9906567663095593</v>
      </c>
    </row>
    <row r="779" spans="1:16" ht="14.25">
      <c r="A779" s="224">
        <v>778</v>
      </c>
      <c r="B779" s="58">
        <v>3364</v>
      </c>
      <c r="C779" s="57" t="s">
        <v>2677</v>
      </c>
      <c r="D779" s="57" t="s">
        <v>45</v>
      </c>
      <c r="E779" s="57" t="s">
        <v>2860</v>
      </c>
      <c r="F779" s="58" t="s">
        <v>3742</v>
      </c>
      <c r="G779" s="57">
        <v>4</v>
      </c>
      <c r="H779" s="57" t="s">
        <v>2557</v>
      </c>
      <c r="I779" s="58">
        <v>57895</v>
      </c>
      <c r="J779" s="234" t="s">
        <v>3743</v>
      </c>
      <c r="K779" s="58">
        <v>1.0900000000000001</v>
      </c>
      <c r="L779" s="58">
        <v>0</v>
      </c>
      <c r="M779" s="58">
        <v>0</v>
      </c>
      <c r="N779" s="58">
        <v>1</v>
      </c>
      <c r="O779" s="224">
        <f t="shared" si="6"/>
        <v>1.0900000000000001</v>
      </c>
      <c r="P779" s="227">
        <f t="shared" si="7"/>
        <v>1.0900000000000001</v>
      </c>
    </row>
    <row r="780" spans="1:16" ht="14.25">
      <c r="A780" s="224">
        <v>779</v>
      </c>
      <c r="B780" s="58">
        <v>21750</v>
      </c>
      <c r="C780" s="57" t="s">
        <v>3744</v>
      </c>
      <c r="D780" s="57" t="s">
        <v>2582</v>
      </c>
      <c r="E780" s="57" t="s">
        <v>2860</v>
      </c>
      <c r="F780" s="58" t="s">
        <v>3745</v>
      </c>
      <c r="G780" s="57">
        <v>4</v>
      </c>
      <c r="H780" s="57" t="s">
        <v>2557</v>
      </c>
      <c r="I780" s="58">
        <v>58423</v>
      </c>
      <c r="J780" s="234" t="s">
        <v>3746</v>
      </c>
      <c r="K780" s="58">
        <v>21.83</v>
      </c>
      <c r="L780" s="58">
        <v>0</v>
      </c>
      <c r="M780" s="58">
        <v>0</v>
      </c>
      <c r="N780" s="58">
        <v>7.2994000000000003</v>
      </c>
      <c r="O780" s="224">
        <f t="shared" si="6"/>
        <v>21.83</v>
      </c>
      <c r="P780" s="227">
        <f t="shared" si="7"/>
        <v>2.9906567663095593</v>
      </c>
    </row>
    <row r="781" spans="1:16" ht="14.25">
      <c r="A781" s="224">
        <v>780</v>
      </c>
      <c r="B781" s="58">
        <v>1836</v>
      </c>
      <c r="C781" s="57" t="s">
        <v>2882</v>
      </c>
      <c r="D781" s="57" t="s">
        <v>2582</v>
      </c>
      <c r="E781" s="57" t="s">
        <v>2860</v>
      </c>
      <c r="F781" s="58" t="s">
        <v>3747</v>
      </c>
      <c r="G781" s="57">
        <v>4</v>
      </c>
      <c r="H781" s="57" t="s">
        <v>2557</v>
      </c>
      <c r="I781" s="58">
        <v>58447</v>
      </c>
      <c r="J781" s="234" t="s">
        <v>3748</v>
      </c>
      <c r="K781" s="58">
        <v>279.35000000000002</v>
      </c>
      <c r="L781" s="58">
        <v>0</v>
      </c>
      <c r="M781" s="58">
        <v>0</v>
      </c>
      <c r="N781" s="58">
        <v>7.2994000000000003</v>
      </c>
      <c r="O781" s="224">
        <f t="shared" si="6"/>
        <v>279.35000000000002</v>
      </c>
      <c r="P781" s="227">
        <f t="shared" si="7"/>
        <v>38.270268789215557</v>
      </c>
    </row>
    <row r="782" spans="1:16" ht="14.25">
      <c r="A782" s="224">
        <v>781</v>
      </c>
      <c r="B782" s="58">
        <v>20196</v>
      </c>
      <c r="C782" s="57" t="s">
        <v>3404</v>
      </c>
      <c r="D782" s="57" t="s">
        <v>45</v>
      </c>
      <c r="E782" s="57" t="s">
        <v>2860</v>
      </c>
      <c r="F782" s="58" t="s">
        <v>3749</v>
      </c>
      <c r="G782" s="57">
        <v>4</v>
      </c>
      <c r="H782" s="57" t="s">
        <v>2557</v>
      </c>
      <c r="I782" s="58">
        <v>57331</v>
      </c>
      <c r="J782" s="234" t="s">
        <v>3750</v>
      </c>
      <c r="K782" s="58">
        <v>8.99</v>
      </c>
      <c r="L782" s="58">
        <v>0</v>
      </c>
      <c r="M782" s="58">
        <v>0</v>
      </c>
      <c r="N782" s="58">
        <v>1</v>
      </c>
      <c r="O782" s="224">
        <f t="shared" si="6"/>
        <v>8.99</v>
      </c>
      <c r="P782" s="227">
        <f t="shared" si="7"/>
        <v>8.99</v>
      </c>
    </row>
    <row r="783" spans="1:16" ht="14.25">
      <c r="A783" s="224">
        <v>782</v>
      </c>
      <c r="B783" s="58">
        <v>21763</v>
      </c>
      <c r="C783" s="57" t="s">
        <v>3751</v>
      </c>
      <c r="D783" s="57" t="s">
        <v>45</v>
      </c>
      <c r="E783" s="57" t="s">
        <v>9</v>
      </c>
      <c r="F783" s="58" t="s">
        <v>3752</v>
      </c>
      <c r="G783" s="57">
        <v>4</v>
      </c>
      <c r="H783" s="57" t="s">
        <v>2557</v>
      </c>
      <c r="I783" s="58">
        <v>58459</v>
      </c>
      <c r="J783" s="234" t="s">
        <v>440</v>
      </c>
      <c r="K783" s="58">
        <v>20.25</v>
      </c>
      <c r="L783" s="58">
        <v>1.5</v>
      </c>
      <c r="M783" s="58">
        <v>0</v>
      </c>
      <c r="N783" s="58">
        <v>1</v>
      </c>
      <c r="O783" s="224">
        <f t="shared" si="6"/>
        <v>18.75</v>
      </c>
      <c r="P783" s="227">
        <f t="shared" si="7"/>
        <v>18.75</v>
      </c>
    </row>
    <row r="784" spans="1:16" ht="14.25">
      <c r="A784" s="224">
        <v>783</v>
      </c>
      <c r="B784" s="58">
        <v>21763</v>
      </c>
      <c r="C784" s="57" t="s">
        <v>3751</v>
      </c>
      <c r="D784" s="57" t="s">
        <v>45</v>
      </c>
      <c r="E784" s="57" t="s">
        <v>9</v>
      </c>
      <c r="F784" s="58" t="s">
        <v>3753</v>
      </c>
      <c r="G784" s="57">
        <v>4</v>
      </c>
      <c r="H784" s="57" t="s">
        <v>2557</v>
      </c>
      <c r="I784" s="58">
        <v>58471</v>
      </c>
      <c r="J784" s="234" t="s">
        <v>441</v>
      </c>
      <c r="K784" s="58">
        <v>20.25</v>
      </c>
      <c r="L784" s="58">
        <v>1.5</v>
      </c>
      <c r="M784" s="58">
        <v>0</v>
      </c>
      <c r="N784" s="58">
        <v>1</v>
      </c>
      <c r="O784" s="224">
        <f t="shared" si="6"/>
        <v>18.75</v>
      </c>
      <c r="P784" s="227">
        <f t="shared" si="7"/>
        <v>18.75</v>
      </c>
    </row>
    <row r="785" spans="1:16" ht="14.25">
      <c r="A785" s="224">
        <v>784</v>
      </c>
      <c r="B785" s="58">
        <v>19314</v>
      </c>
      <c r="C785" s="57" t="s">
        <v>3119</v>
      </c>
      <c r="D785" s="57" t="s">
        <v>45</v>
      </c>
      <c r="E785" s="57" t="s">
        <v>2874</v>
      </c>
      <c r="F785" s="243">
        <v>45761</v>
      </c>
      <c r="G785" s="57">
        <v>4</v>
      </c>
      <c r="H785" s="57" t="s">
        <v>2557</v>
      </c>
      <c r="I785" s="58">
        <v>58483</v>
      </c>
      <c r="J785" s="234"/>
      <c r="K785" s="58">
        <v>15.99</v>
      </c>
      <c r="L785" s="58">
        <v>0</v>
      </c>
      <c r="M785" s="58">
        <v>0</v>
      </c>
      <c r="N785" s="58">
        <v>1</v>
      </c>
      <c r="O785" s="224">
        <f t="shared" si="6"/>
        <v>15.99</v>
      </c>
      <c r="P785" s="227">
        <f t="shared" si="7"/>
        <v>15.99</v>
      </c>
    </row>
    <row r="786" spans="1:16" ht="14.25">
      <c r="A786" s="224">
        <v>785</v>
      </c>
      <c r="B786" s="58">
        <v>19314</v>
      </c>
      <c r="C786" s="57" t="s">
        <v>3119</v>
      </c>
      <c r="D786" s="57" t="s">
        <v>45</v>
      </c>
      <c r="E786" s="57" t="s">
        <v>2874</v>
      </c>
      <c r="F786" s="243">
        <v>45761</v>
      </c>
      <c r="G786" s="57">
        <v>4</v>
      </c>
      <c r="H786" s="57" t="s">
        <v>2557</v>
      </c>
      <c r="I786" s="58">
        <v>58495</v>
      </c>
      <c r="J786" s="234"/>
      <c r="K786" s="58">
        <v>11.99</v>
      </c>
      <c r="L786" s="58">
        <v>0</v>
      </c>
      <c r="M786" s="58">
        <v>0</v>
      </c>
      <c r="N786" s="58">
        <v>1</v>
      </c>
      <c r="O786" s="224">
        <f t="shared" si="6"/>
        <v>11.99</v>
      </c>
      <c r="P786" s="227">
        <f t="shared" si="7"/>
        <v>11.99</v>
      </c>
    </row>
    <row r="787" spans="1:16" ht="14.25">
      <c r="A787" s="224">
        <v>786</v>
      </c>
      <c r="B787" s="58">
        <v>18684</v>
      </c>
      <c r="C787" s="57" t="s">
        <v>2994</v>
      </c>
      <c r="D787" s="57" t="s">
        <v>45</v>
      </c>
      <c r="E787" s="57" t="s">
        <v>2860</v>
      </c>
      <c r="F787" s="58" t="s">
        <v>3754</v>
      </c>
      <c r="G787" s="57">
        <v>4</v>
      </c>
      <c r="H787" s="57" t="s">
        <v>2557</v>
      </c>
      <c r="I787" s="58">
        <v>58519</v>
      </c>
      <c r="J787" s="234" t="s">
        <v>3755</v>
      </c>
      <c r="K787" s="58">
        <v>4.1900000000000004</v>
      </c>
      <c r="L787" s="58">
        <v>0</v>
      </c>
      <c r="M787" s="58">
        <v>0</v>
      </c>
      <c r="N787" s="58">
        <v>1</v>
      </c>
      <c r="O787" s="224">
        <f t="shared" si="6"/>
        <v>4.1900000000000004</v>
      </c>
      <c r="P787" s="227">
        <f t="shared" si="7"/>
        <v>4.1900000000000004</v>
      </c>
    </row>
    <row r="788" spans="1:16" ht="14.25">
      <c r="A788" s="224">
        <v>787</v>
      </c>
      <c r="B788" s="58">
        <v>5079</v>
      </c>
      <c r="C788" s="57" t="s">
        <v>2970</v>
      </c>
      <c r="D788" s="57" t="s">
        <v>45</v>
      </c>
      <c r="E788" s="57" t="s">
        <v>2860</v>
      </c>
      <c r="F788" s="58" t="s">
        <v>3756</v>
      </c>
      <c r="G788" s="57">
        <v>4</v>
      </c>
      <c r="H788" s="57" t="s">
        <v>2557</v>
      </c>
      <c r="I788" s="58">
        <v>58603</v>
      </c>
      <c r="J788" s="234" t="s">
        <v>3757</v>
      </c>
      <c r="K788" s="58">
        <v>3.59</v>
      </c>
      <c r="L788" s="58">
        <v>0</v>
      </c>
      <c r="M788" s="58">
        <v>0</v>
      </c>
      <c r="N788" s="58">
        <v>1</v>
      </c>
      <c r="O788" s="224">
        <f t="shared" si="6"/>
        <v>3.59</v>
      </c>
      <c r="P788" s="227">
        <f t="shared" si="7"/>
        <v>3.59</v>
      </c>
    </row>
    <row r="789" spans="1:16" ht="14.25">
      <c r="A789" s="224">
        <v>788</v>
      </c>
      <c r="B789" s="58">
        <v>6261</v>
      </c>
      <c r="C789" s="57" t="s">
        <v>3365</v>
      </c>
      <c r="D789" s="57" t="s">
        <v>45</v>
      </c>
      <c r="E789" s="57" t="s">
        <v>2860</v>
      </c>
      <c r="F789" s="58" t="s">
        <v>3758</v>
      </c>
      <c r="G789" s="57">
        <v>4</v>
      </c>
      <c r="H789" s="57" t="s">
        <v>2557</v>
      </c>
      <c r="I789" s="58">
        <v>58615</v>
      </c>
      <c r="J789" s="234" t="s">
        <v>3759</v>
      </c>
      <c r="K789" s="58">
        <v>81.900000000000006</v>
      </c>
      <c r="L789" s="58">
        <v>0</v>
      </c>
      <c r="M789" s="58">
        <v>0</v>
      </c>
      <c r="N789" s="58">
        <v>1</v>
      </c>
      <c r="O789" s="224">
        <f t="shared" si="6"/>
        <v>81.900000000000006</v>
      </c>
      <c r="P789" s="227">
        <f t="shared" si="7"/>
        <v>81.900000000000006</v>
      </c>
    </row>
    <row r="790" spans="1:16" ht="14.25">
      <c r="A790" s="224">
        <v>789</v>
      </c>
      <c r="B790" s="58">
        <v>57</v>
      </c>
      <c r="C790" s="57" t="s">
        <v>3760</v>
      </c>
      <c r="D790" s="57" t="s">
        <v>45</v>
      </c>
      <c r="E790" s="57" t="s">
        <v>2860</v>
      </c>
      <c r="F790" s="58" t="s">
        <v>3761</v>
      </c>
      <c r="G790" s="57">
        <v>4</v>
      </c>
      <c r="H790" s="57" t="s">
        <v>2557</v>
      </c>
      <c r="I790" s="58">
        <v>58639</v>
      </c>
      <c r="J790" s="234" t="s">
        <v>3762</v>
      </c>
      <c r="K790" s="58">
        <v>1</v>
      </c>
      <c r="L790" s="58">
        <v>0</v>
      </c>
      <c r="M790" s="58">
        <v>0</v>
      </c>
      <c r="N790" s="58">
        <v>1</v>
      </c>
      <c r="O790" s="224">
        <f t="shared" si="6"/>
        <v>1</v>
      </c>
      <c r="P790" s="227">
        <f t="shared" si="7"/>
        <v>1</v>
      </c>
    </row>
    <row r="791" spans="1:16" ht="14.25">
      <c r="A791" s="224">
        <v>790</v>
      </c>
      <c r="B791" s="58">
        <v>21560</v>
      </c>
      <c r="C791" s="57" t="s">
        <v>3716</v>
      </c>
      <c r="D791" s="57" t="s">
        <v>2582</v>
      </c>
      <c r="E791" s="57" t="s">
        <v>2860</v>
      </c>
      <c r="F791" s="58" t="s">
        <v>3763</v>
      </c>
      <c r="G791" s="57">
        <v>4</v>
      </c>
      <c r="H791" s="57" t="s">
        <v>2557</v>
      </c>
      <c r="I791" s="58">
        <v>58651</v>
      </c>
      <c r="J791" s="234" t="s">
        <v>3764</v>
      </c>
      <c r="K791" s="58">
        <v>145.91999999999999</v>
      </c>
      <c r="L791" s="58">
        <v>0</v>
      </c>
      <c r="M791" s="58">
        <v>0</v>
      </c>
      <c r="N791" s="58">
        <v>7.2994000000000003</v>
      </c>
      <c r="O791" s="224">
        <f t="shared" si="6"/>
        <v>145.91999999999999</v>
      </c>
      <c r="P791" s="227">
        <f t="shared" si="7"/>
        <v>19.990684165821847</v>
      </c>
    </row>
    <row r="792" spans="1:16" ht="14.25">
      <c r="A792" s="224">
        <v>791</v>
      </c>
      <c r="B792" s="58">
        <v>19962</v>
      </c>
      <c r="C792" s="57" t="s">
        <v>3276</v>
      </c>
      <c r="D792" s="57" t="s">
        <v>2582</v>
      </c>
      <c r="E792" s="57" t="s">
        <v>2860</v>
      </c>
      <c r="F792" s="58" t="s">
        <v>3765</v>
      </c>
      <c r="G792" s="57">
        <v>4</v>
      </c>
      <c r="H792" s="57" t="s">
        <v>2557</v>
      </c>
      <c r="I792" s="58">
        <v>56239</v>
      </c>
      <c r="J792" s="234" t="s">
        <v>3766</v>
      </c>
      <c r="K792" s="58">
        <v>14.38</v>
      </c>
      <c r="L792" s="58">
        <v>0</v>
      </c>
      <c r="M792" s="58">
        <v>0</v>
      </c>
      <c r="N792" s="58">
        <v>7.2994000000000003</v>
      </c>
      <c r="O792" s="224">
        <f t="shared" si="6"/>
        <v>14.38</v>
      </c>
      <c r="P792" s="227">
        <f t="shared" si="7"/>
        <v>1.9700249335561828</v>
      </c>
    </row>
    <row r="793" spans="1:16" ht="14.25">
      <c r="A793" s="224">
        <v>792</v>
      </c>
      <c r="B793" s="58">
        <v>21803</v>
      </c>
      <c r="C793" s="57" t="s">
        <v>3767</v>
      </c>
      <c r="D793" s="57" t="s">
        <v>2582</v>
      </c>
      <c r="E793" s="57" t="s">
        <v>2860</v>
      </c>
      <c r="F793" s="58" t="s">
        <v>3768</v>
      </c>
      <c r="G793" s="57">
        <v>4</v>
      </c>
      <c r="H793" s="57" t="s">
        <v>2557</v>
      </c>
      <c r="I793" s="58">
        <v>58699</v>
      </c>
      <c r="J793" s="234" t="s">
        <v>3769</v>
      </c>
      <c r="K793" s="58">
        <v>21.83</v>
      </c>
      <c r="L793" s="58">
        <v>0</v>
      </c>
      <c r="M793" s="58">
        <v>0</v>
      </c>
      <c r="N793" s="58">
        <v>7.2994000000000003</v>
      </c>
      <c r="O793" s="224">
        <f t="shared" si="6"/>
        <v>21.83</v>
      </c>
      <c r="P793" s="227">
        <f t="shared" si="7"/>
        <v>2.9906567663095593</v>
      </c>
    </row>
    <row r="794" spans="1:16" ht="14.25">
      <c r="A794" s="224">
        <v>793</v>
      </c>
      <c r="B794" s="58">
        <v>4570</v>
      </c>
      <c r="C794" s="57" t="s">
        <v>3187</v>
      </c>
      <c r="D794" s="57" t="s">
        <v>2582</v>
      </c>
      <c r="E794" s="57" t="s">
        <v>2860</v>
      </c>
      <c r="F794" s="58" t="s">
        <v>3770</v>
      </c>
      <c r="G794" s="57">
        <v>4</v>
      </c>
      <c r="H794" s="57" t="s">
        <v>2557</v>
      </c>
      <c r="I794" s="58">
        <v>58711</v>
      </c>
      <c r="J794" s="234" t="s">
        <v>3771</v>
      </c>
      <c r="K794" s="58">
        <v>65.180000000000007</v>
      </c>
      <c r="L794" s="58">
        <v>0</v>
      </c>
      <c r="M794" s="58">
        <v>0</v>
      </c>
      <c r="N794" s="58">
        <v>7.2994000000000003</v>
      </c>
      <c r="O794" s="224">
        <f t="shared" si="6"/>
        <v>65.180000000000007</v>
      </c>
      <c r="P794" s="227">
        <f t="shared" si="7"/>
        <v>8.9295010548812233</v>
      </c>
    </row>
    <row r="795" spans="1:16" ht="14.25">
      <c r="A795" s="224">
        <v>794</v>
      </c>
      <c r="B795" s="58">
        <v>6361</v>
      </c>
      <c r="C795" s="57" t="s">
        <v>3065</v>
      </c>
      <c r="D795" s="57" t="s">
        <v>45</v>
      </c>
      <c r="E795" s="57" t="s">
        <v>2860</v>
      </c>
      <c r="F795" s="58" t="s">
        <v>3772</v>
      </c>
      <c r="G795" s="57">
        <v>4</v>
      </c>
      <c r="H795" s="57" t="s">
        <v>2557</v>
      </c>
      <c r="I795" s="58">
        <v>58723</v>
      </c>
      <c r="J795" s="234" t="s">
        <v>3773</v>
      </c>
      <c r="K795" s="58">
        <v>17.989999999999998</v>
      </c>
      <c r="L795" s="58">
        <v>0</v>
      </c>
      <c r="M795" s="58">
        <v>0</v>
      </c>
      <c r="N795" s="58">
        <v>1</v>
      </c>
      <c r="O795" s="224">
        <f t="shared" si="6"/>
        <v>17.989999999999998</v>
      </c>
      <c r="P795" s="227">
        <f t="shared" si="7"/>
        <v>17.989999999999998</v>
      </c>
    </row>
    <row r="796" spans="1:16" ht="14.25">
      <c r="A796" s="224">
        <v>795</v>
      </c>
      <c r="B796" s="58">
        <v>21449</v>
      </c>
      <c r="C796" s="57" t="s">
        <v>3774</v>
      </c>
      <c r="D796" s="57" t="s">
        <v>45</v>
      </c>
      <c r="E796" s="57" t="s">
        <v>2860</v>
      </c>
      <c r="F796" s="58" t="s">
        <v>3775</v>
      </c>
      <c r="G796" s="57">
        <v>4</v>
      </c>
      <c r="H796" s="57" t="s">
        <v>2557</v>
      </c>
      <c r="I796" s="58">
        <v>57559</v>
      </c>
      <c r="J796" s="234" t="s">
        <v>3776</v>
      </c>
      <c r="K796" s="58">
        <v>17.989999999999998</v>
      </c>
      <c r="L796" s="58">
        <v>0</v>
      </c>
      <c r="M796" s="58">
        <v>0</v>
      </c>
      <c r="N796" s="58">
        <v>1</v>
      </c>
      <c r="O796" s="224">
        <f t="shared" si="6"/>
        <v>17.989999999999998</v>
      </c>
      <c r="P796" s="227">
        <f t="shared" si="7"/>
        <v>17.989999999999998</v>
      </c>
    </row>
    <row r="797" spans="1:16" ht="14.25">
      <c r="A797" s="224">
        <v>796</v>
      </c>
      <c r="B797" s="58">
        <v>21813</v>
      </c>
      <c r="C797" s="57" t="s">
        <v>3777</v>
      </c>
      <c r="D797" s="57" t="s">
        <v>45</v>
      </c>
      <c r="E797" s="57" t="s">
        <v>2860</v>
      </c>
      <c r="F797" s="58" t="s">
        <v>3778</v>
      </c>
      <c r="G797" s="57">
        <v>4</v>
      </c>
      <c r="H797" s="57" t="s">
        <v>2557</v>
      </c>
      <c r="I797" s="58">
        <v>58735</v>
      </c>
      <c r="J797" s="234" t="s">
        <v>3779</v>
      </c>
      <c r="K797" s="58">
        <v>3.99</v>
      </c>
      <c r="L797" s="58">
        <v>0</v>
      </c>
      <c r="M797" s="58">
        <v>0</v>
      </c>
      <c r="N797" s="58">
        <v>1</v>
      </c>
      <c r="O797" s="224">
        <f t="shared" si="6"/>
        <v>3.99</v>
      </c>
      <c r="P797" s="227">
        <f t="shared" si="7"/>
        <v>3.99</v>
      </c>
    </row>
    <row r="798" spans="1:16" ht="14.25">
      <c r="A798" s="224">
        <v>797</v>
      </c>
      <c r="B798" s="58">
        <v>21815</v>
      </c>
      <c r="C798" s="57" t="s">
        <v>3780</v>
      </c>
      <c r="D798" s="57" t="s">
        <v>45</v>
      </c>
      <c r="E798" s="57" t="s">
        <v>2860</v>
      </c>
      <c r="F798" s="58" t="s">
        <v>3781</v>
      </c>
      <c r="G798" s="57">
        <v>4</v>
      </c>
      <c r="H798" s="57" t="s">
        <v>2557</v>
      </c>
      <c r="I798" s="58">
        <v>58759</v>
      </c>
      <c r="J798" s="234" t="s">
        <v>3782</v>
      </c>
      <c r="K798" s="58">
        <v>3.49</v>
      </c>
      <c r="L798" s="58">
        <v>0</v>
      </c>
      <c r="M798" s="58">
        <v>0</v>
      </c>
      <c r="N798" s="58">
        <v>1</v>
      </c>
      <c r="O798" s="224">
        <f t="shared" si="6"/>
        <v>3.49</v>
      </c>
      <c r="P798" s="227">
        <f t="shared" si="7"/>
        <v>3.49</v>
      </c>
    </row>
    <row r="799" spans="1:16" ht="14.25">
      <c r="A799" s="224">
        <v>798</v>
      </c>
      <c r="B799" s="58">
        <v>19962</v>
      </c>
      <c r="C799" s="57" t="s">
        <v>3276</v>
      </c>
      <c r="D799" s="57" t="s">
        <v>2582</v>
      </c>
      <c r="E799" s="57" t="s">
        <v>2860</v>
      </c>
      <c r="F799" s="58" t="s">
        <v>3783</v>
      </c>
      <c r="G799" s="57">
        <v>4</v>
      </c>
      <c r="H799" s="57" t="s">
        <v>2557</v>
      </c>
      <c r="I799" s="58">
        <v>56239</v>
      </c>
      <c r="J799" s="234"/>
      <c r="K799" s="58">
        <v>0.02</v>
      </c>
      <c r="L799" s="58">
        <v>0</v>
      </c>
      <c r="M799" s="58">
        <v>0</v>
      </c>
      <c r="N799" s="58">
        <v>7.2994000000000003</v>
      </c>
      <c r="O799" s="224">
        <f t="shared" si="6"/>
        <v>0.02</v>
      </c>
      <c r="P799" s="227">
        <f t="shared" si="7"/>
        <v>2.7399512288681263E-3</v>
      </c>
    </row>
    <row r="800" spans="1:16" ht="14.25">
      <c r="A800" s="224">
        <v>799</v>
      </c>
      <c r="B800" s="58">
        <v>21818</v>
      </c>
      <c r="C800" s="57" t="s">
        <v>3784</v>
      </c>
      <c r="D800" s="57" t="s">
        <v>45</v>
      </c>
      <c r="E800" s="57" t="s">
        <v>2860</v>
      </c>
      <c r="F800" s="58" t="s">
        <v>3783</v>
      </c>
      <c r="G800" s="57">
        <v>4</v>
      </c>
      <c r="H800" s="57" t="s">
        <v>2557</v>
      </c>
      <c r="I800" s="58">
        <v>58771</v>
      </c>
      <c r="J800" s="234" t="s">
        <v>3785</v>
      </c>
      <c r="K800" s="58">
        <v>1.99</v>
      </c>
      <c r="L800" s="58">
        <v>0</v>
      </c>
      <c r="M800" s="58">
        <v>0</v>
      </c>
      <c r="N800" s="58">
        <v>1</v>
      </c>
      <c r="O800" s="224">
        <f t="shared" si="6"/>
        <v>1.99</v>
      </c>
      <c r="P800" s="227">
        <f t="shared" si="7"/>
        <v>1.99</v>
      </c>
    </row>
    <row r="801" spans="1:16" ht="14.25">
      <c r="A801" s="224">
        <v>800</v>
      </c>
      <c r="B801" s="58">
        <v>21820</v>
      </c>
      <c r="C801" s="57" t="s">
        <v>3786</v>
      </c>
      <c r="D801" s="57" t="s">
        <v>45</v>
      </c>
      <c r="E801" s="57" t="s">
        <v>2860</v>
      </c>
      <c r="F801" s="58" t="s">
        <v>3787</v>
      </c>
      <c r="G801" s="57">
        <v>4</v>
      </c>
      <c r="H801" s="57" t="s">
        <v>2557</v>
      </c>
      <c r="I801" s="58">
        <v>58783</v>
      </c>
      <c r="J801" s="234" t="s">
        <v>3788</v>
      </c>
      <c r="K801" s="58">
        <v>3.99</v>
      </c>
      <c r="L801" s="58">
        <v>0</v>
      </c>
      <c r="M801" s="58">
        <v>0</v>
      </c>
      <c r="N801" s="58">
        <v>1</v>
      </c>
      <c r="O801" s="224">
        <f t="shared" si="6"/>
        <v>3.99</v>
      </c>
      <c r="P801" s="227">
        <f t="shared" si="7"/>
        <v>3.99</v>
      </c>
    </row>
    <row r="802" spans="1:16" ht="14.25">
      <c r="A802" s="224">
        <v>801</v>
      </c>
      <c r="B802" s="58">
        <v>18736</v>
      </c>
      <c r="C802" s="57" t="s">
        <v>3789</v>
      </c>
      <c r="D802" s="57" t="s">
        <v>45</v>
      </c>
      <c r="E802" s="57" t="s">
        <v>2860</v>
      </c>
      <c r="F802" s="58" t="s">
        <v>3790</v>
      </c>
      <c r="G802" s="57">
        <v>4</v>
      </c>
      <c r="H802" s="57" t="s">
        <v>2557</v>
      </c>
      <c r="I802" s="58">
        <v>58795</v>
      </c>
      <c r="J802" s="234" t="s">
        <v>3791</v>
      </c>
      <c r="K802" s="58">
        <v>1</v>
      </c>
      <c r="L802" s="58">
        <v>0</v>
      </c>
      <c r="M802" s="58">
        <v>0</v>
      </c>
      <c r="N802" s="58">
        <v>1</v>
      </c>
      <c r="O802" s="224">
        <f t="shared" si="6"/>
        <v>1</v>
      </c>
      <c r="P802" s="227">
        <f t="shared" si="7"/>
        <v>1</v>
      </c>
    </row>
    <row r="803" spans="1:16" ht="14.25">
      <c r="A803" s="224">
        <v>802</v>
      </c>
      <c r="B803" s="58">
        <v>392</v>
      </c>
      <c r="C803" s="57" t="s">
        <v>2876</v>
      </c>
      <c r="D803" s="57" t="s">
        <v>2582</v>
      </c>
      <c r="E803" s="57" t="s">
        <v>2860</v>
      </c>
      <c r="F803" s="58" t="s">
        <v>3792</v>
      </c>
      <c r="G803" s="57">
        <v>4</v>
      </c>
      <c r="H803" s="57" t="s">
        <v>2557</v>
      </c>
      <c r="I803" s="58">
        <v>58435</v>
      </c>
      <c r="J803" s="234" t="s">
        <v>3793</v>
      </c>
      <c r="K803" s="58">
        <v>14.53</v>
      </c>
      <c r="L803" s="58">
        <v>0</v>
      </c>
      <c r="M803" s="58">
        <v>0</v>
      </c>
      <c r="N803" s="58">
        <v>7.2994000000000003</v>
      </c>
      <c r="O803" s="224">
        <f t="shared" si="6"/>
        <v>14.53</v>
      </c>
      <c r="P803" s="227">
        <f t="shared" si="7"/>
        <v>1.9905745677726934</v>
      </c>
    </row>
    <row r="804" spans="1:16" ht="14.25">
      <c r="A804" s="224">
        <v>803</v>
      </c>
      <c r="B804" s="58">
        <v>8279</v>
      </c>
      <c r="C804" s="57" t="s">
        <v>2584</v>
      </c>
      <c r="D804" s="57" t="s">
        <v>45</v>
      </c>
      <c r="E804" s="57" t="s">
        <v>2860</v>
      </c>
      <c r="F804" s="58" t="s">
        <v>3794</v>
      </c>
      <c r="G804" s="57">
        <v>4</v>
      </c>
      <c r="H804" s="57" t="s">
        <v>2557</v>
      </c>
      <c r="I804" s="58">
        <v>56971</v>
      </c>
      <c r="J804" s="234" t="s">
        <v>3795</v>
      </c>
      <c r="K804" s="58">
        <v>1.19</v>
      </c>
      <c r="L804" s="58">
        <v>0</v>
      </c>
      <c r="M804" s="58">
        <v>0</v>
      </c>
      <c r="N804" s="58">
        <v>1</v>
      </c>
      <c r="O804" s="224">
        <f t="shared" si="6"/>
        <v>1.19</v>
      </c>
      <c r="P804" s="227">
        <f t="shared" si="7"/>
        <v>1.19</v>
      </c>
    </row>
    <row r="805" spans="1:16" ht="14.25">
      <c r="A805" s="224">
        <v>804</v>
      </c>
      <c r="B805" s="58">
        <v>21905</v>
      </c>
      <c r="C805" s="57" t="s">
        <v>3796</v>
      </c>
      <c r="D805" s="57" t="s">
        <v>2582</v>
      </c>
      <c r="E805" s="57" t="s">
        <v>2860</v>
      </c>
      <c r="F805" s="58" t="s">
        <v>3797</v>
      </c>
      <c r="G805" s="57">
        <v>4</v>
      </c>
      <c r="H805" s="57" t="s">
        <v>2557</v>
      </c>
      <c r="I805" s="58">
        <v>58867</v>
      </c>
      <c r="J805" s="234" t="s">
        <v>3798</v>
      </c>
      <c r="K805" s="58">
        <v>40.15</v>
      </c>
      <c r="L805" s="58">
        <v>0</v>
      </c>
      <c r="M805" s="58">
        <v>0</v>
      </c>
      <c r="N805" s="58">
        <v>7.3126499999999997</v>
      </c>
      <c r="O805" s="224">
        <f t="shared" si="6"/>
        <v>40.15</v>
      </c>
      <c r="P805" s="227">
        <f t="shared" si="7"/>
        <v>5.4904856652513114</v>
      </c>
    </row>
    <row r="806" spans="1:16" ht="14.25">
      <c r="A806" s="224">
        <v>805</v>
      </c>
      <c r="B806" s="58">
        <v>6529</v>
      </c>
      <c r="C806" s="57" t="s">
        <v>2566</v>
      </c>
      <c r="D806" s="57" t="s">
        <v>45</v>
      </c>
      <c r="E806" s="57" t="s">
        <v>2860</v>
      </c>
      <c r="F806" s="58" t="s">
        <v>3799</v>
      </c>
      <c r="G806" s="57">
        <v>4</v>
      </c>
      <c r="H806" s="57" t="s">
        <v>2557</v>
      </c>
      <c r="I806" s="58">
        <v>56995</v>
      </c>
      <c r="J806" s="234" t="s">
        <v>3800</v>
      </c>
      <c r="K806" s="58">
        <v>8.99</v>
      </c>
      <c r="L806" s="58">
        <v>0</v>
      </c>
      <c r="M806" s="58">
        <v>0</v>
      </c>
      <c r="N806" s="58">
        <v>1</v>
      </c>
      <c r="O806" s="224">
        <f t="shared" si="6"/>
        <v>8.99</v>
      </c>
      <c r="P806" s="227">
        <f t="shared" si="7"/>
        <v>8.99</v>
      </c>
    </row>
    <row r="807" spans="1:16" ht="14.25">
      <c r="A807" s="224">
        <v>806</v>
      </c>
      <c r="B807" s="58">
        <v>21820</v>
      </c>
      <c r="C807" s="57" t="s">
        <v>3786</v>
      </c>
      <c r="D807" s="57" t="s">
        <v>45</v>
      </c>
      <c r="E807" s="57" t="s">
        <v>2860</v>
      </c>
      <c r="F807" s="58" t="s">
        <v>3801</v>
      </c>
      <c r="G807" s="57">
        <v>4</v>
      </c>
      <c r="H807" s="57" t="s">
        <v>3802</v>
      </c>
      <c r="I807" s="58">
        <v>58783</v>
      </c>
      <c r="J807" s="234"/>
      <c r="K807" s="58">
        <v>0</v>
      </c>
      <c r="L807" s="58">
        <v>0</v>
      </c>
      <c r="M807" s="58">
        <v>3.99</v>
      </c>
      <c r="N807" s="58">
        <v>1</v>
      </c>
      <c r="O807" s="224">
        <f t="shared" si="6"/>
        <v>-3.99</v>
      </c>
      <c r="P807" s="227">
        <f t="shared" si="7"/>
        <v>-3.99</v>
      </c>
    </row>
    <row r="808" spans="1:16" ht="14.25">
      <c r="A808" s="224">
        <v>807</v>
      </c>
      <c r="B808" s="58">
        <v>3429</v>
      </c>
      <c r="C808" s="57" t="s">
        <v>3803</v>
      </c>
      <c r="D808" s="57" t="s">
        <v>2582</v>
      </c>
      <c r="E808" s="57" t="s">
        <v>2860</v>
      </c>
      <c r="F808" s="58" t="s">
        <v>3804</v>
      </c>
      <c r="G808" s="57">
        <v>4</v>
      </c>
      <c r="H808" s="57" t="s">
        <v>2557</v>
      </c>
      <c r="I808" s="58">
        <v>58903</v>
      </c>
      <c r="J808" s="234" t="s">
        <v>3805</v>
      </c>
      <c r="K808" s="58">
        <v>8.41</v>
      </c>
      <c r="L808" s="58">
        <v>0</v>
      </c>
      <c r="M808" s="58">
        <v>0</v>
      </c>
      <c r="N808" s="58">
        <v>7.3126499999999997</v>
      </c>
      <c r="O808" s="224">
        <f t="shared" si="6"/>
        <v>8.41</v>
      </c>
      <c r="P808" s="227">
        <f t="shared" si="7"/>
        <v>1.1500618790725661</v>
      </c>
    </row>
    <row r="809" spans="1:16" ht="14.25">
      <c r="A809" s="224">
        <v>808</v>
      </c>
      <c r="B809" s="58">
        <v>19972</v>
      </c>
      <c r="C809" s="57" t="s">
        <v>3283</v>
      </c>
      <c r="D809" s="57" t="s">
        <v>45</v>
      </c>
      <c r="E809" s="57" t="s">
        <v>2860</v>
      </c>
      <c r="F809" s="58" t="s">
        <v>3806</v>
      </c>
      <c r="G809" s="57">
        <v>4</v>
      </c>
      <c r="H809" s="57" t="s">
        <v>2557</v>
      </c>
      <c r="I809" s="58">
        <v>56179</v>
      </c>
      <c r="J809" s="234" t="s">
        <v>3807</v>
      </c>
      <c r="K809" s="58">
        <v>17.989999999999998</v>
      </c>
      <c r="L809" s="58">
        <v>0</v>
      </c>
      <c r="M809" s="58">
        <v>0</v>
      </c>
      <c r="N809" s="58">
        <v>1</v>
      </c>
      <c r="O809" s="224">
        <f t="shared" si="6"/>
        <v>17.989999999999998</v>
      </c>
      <c r="P809" s="227">
        <f t="shared" si="7"/>
        <v>17.989999999999998</v>
      </c>
    </row>
    <row r="810" spans="1:16" ht="14.25">
      <c r="A810" s="224">
        <v>809</v>
      </c>
      <c r="B810" s="58">
        <v>21915</v>
      </c>
      <c r="C810" s="57" t="s">
        <v>3808</v>
      </c>
      <c r="D810" s="57" t="s">
        <v>45</v>
      </c>
      <c r="E810" s="57" t="s">
        <v>2874</v>
      </c>
      <c r="F810" s="243">
        <v>45762</v>
      </c>
      <c r="G810" s="57">
        <v>4</v>
      </c>
      <c r="H810" s="57" t="s">
        <v>2557</v>
      </c>
      <c r="I810" s="58">
        <v>58915</v>
      </c>
      <c r="J810" s="234"/>
      <c r="K810" s="58">
        <v>283.08</v>
      </c>
      <c r="L810" s="58">
        <v>0</v>
      </c>
      <c r="M810" s="58">
        <v>0</v>
      </c>
      <c r="N810" s="58">
        <v>1</v>
      </c>
      <c r="O810" s="224">
        <f t="shared" si="6"/>
        <v>283.08</v>
      </c>
      <c r="P810" s="227">
        <f t="shared" si="7"/>
        <v>283.08</v>
      </c>
    </row>
    <row r="811" spans="1:16" ht="14.25">
      <c r="A811" s="224">
        <v>810</v>
      </c>
      <c r="B811" s="58">
        <v>21907</v>
      </c>
      <c r="C811" s="57" t="s">
        <v>3809</v>
      </c>
      <c r="D811" s="57" t="s">
        <v>45</v>
      </c>
      <c r="E811" s="57" t="s">
        <v>2860</v>
      </c>
      <c r="F811" s="58" t="s">
        <v>3810</v>
      </c>
      <c r="G811" s="57">
        <v>4</v>
      </c>
      <c r="H811" s="57" t="s">
        <v>2557</v>
      </c>
      <c r="I811" s="58">
        <v>58927</v>
      </c>
      <c r="J811" s="234" t="s">
        <v>3811</v>
      </c>
      <c r="K811" s="58">
        <v>20.25</v>
      </c>
      <c r="L811" s="58">
        <v>0</v>
      </c>
      <c r="M811" s="58">
        <v>0</v>
      </c>
      <c r="N811" s="58">
        <v>1</v>
      </c>
      <c r="O811" s="224">
        <f t="shared" si="6"/>
        <v>20.25</v>
      </c>
      <c r="P811" s="227">
        <f t="shared" si="7"/>
        <v>20.25</v>
      </c>
    </row>
    <row r="812" spans="1:16" ht="14.25">
      <c r="A812" s="224">
        <v>811</v>
      </c>
      <c r="B812" s="58">
        <v>21988</v>
      </c>
      <c r="C812" s="57" t="s">
        <v>3812</v>
      </c>
      <c r="D812" s="57" t="s">
        <v>45</v>
      </c>
      <c r="E812" s="57" t="s">
        <v>2860</v>
      </c>
      <c r="F812" s="58" t="s">
        <v>3813</v>
      </c>
      <c r="G812" s="57">
        <v>4</v>
      </c>
      <c r="H812" s="57" t="s">
        <v>2557</v>
      </c>
      <c r="I812" s="58">
        <v>58987</v>
      </c>
      <c r="J812" s="234" t="s">
        <v>3814</v>
      </c>
      <c r="K812" s="58">
        <v>25.25</v>
      </c>
      <c r="L812" s="58">
        <v>0</v>
      </c>
      <c r="M812" s="58">
        <v>0</v>
      </c>
      <c r="N812" s="58">
        <v>1</v>
      </c>
      <c r="O812" s="224">
        <f t="shared" si="6"/>
        <v>25.25</v>
      </c>
      <c r="P812" s="227">
        <f t="shared" si="7"/>
        <v>25.25</v>
      </c>
    </row>
    <row r="813" spans="1:16" ht="14.25">
      <c r="A813" s="224">
        <v>812</v>
      </c>
      <c r="B813" s="58">
        <v>20283</v>
      </c>
      <c r="C813" s="57" t="s">
        <v>3444</v>
      </c>
      <c r="D813" s="57" t="s">
        <v>45</v>
      </c>
      <c r="E813" s="57" t="s">
        <v>2860</v>
      </c>
      <c r="F813" s="58" t="s">
        <v>3815</v>
      </c>
      <c r="G813" s="57">
        <v>4</v>
      </c>
      <c r="H813" s="57" t="s">
        <v>2557</v>
      </c>
      <c r="I813" s="58">
        <v>58999</v>
      </c>
      <c r="J813" s="234" t="s">
        <v>3816</v>
      </c>
      <c r="K813" s="58">
        <v>20.25</v>
      </c>
      <c r="L813" s="58">
        <v>0</v>
      </c>
      <c r="M813" s="58">
        <v>0</v>
      </c>
      <c r="N813" s="58">
        <v>1</v>
      </c>
      <c r="O813" s="224">
        <f t="shared" si="6"/>
        <v>20.25</v>
      </c>
      <c r="P813" s="227">
        <f t="shared" si="7"/>
        <v>20.25</v>
      </c>
    </row>
    <row r="814" spans="1:16" ht="14.25">
      <c r="A814" s="224">
        <v>813</v>
      </c>
      <c r="B814" s="58">
        <v>20283</v>
      </c>
      <c r="C814" s="57" t="s">
        <v>3444</v>
      </c>
      <c r="D814" s="57" t="s">
        <v>45</v>
      </c>
      <c r="E814" s="57" t="s">
        <v>2860</v>
      </c>
      <c r="F814" s="58" t="s">
        <v>3815</v>
      </c>
      <c r="G814" s="57">
        <v>4</v>
      </c>
      <c r="H814" s="57" t="s">
        <v>2557</v>
      </c>
      <c r="I814" s="58">
        <v>57703</v>
      </c>
      <c r="J814" s="234" t="s">
        <v>3817</v>
      </c>
      <c r="K814" s="58">
        <v>19.989999999999998</v>
      </c>
      <c r="L814" s="58">
        <v>0</v>
      </c>
      <c r="M814" s="58">
        <v>0</v>
      </c>
      <c r="N814" s="58">
        <v>1</v>
      </c>
      <c r="O814" s="224">
        <f t="shared" si="6"/>
        <v>19.989999999999998</v>
      </c>
      <c r="P814" s="227">
        <f t="shared" si="7"/>
        <v>19.989999999999998</v>
      </c>
    </row>
    <row r="815" spans="1:16" ht="14.25">
      <c r="A815" s="224">
        <v>814</v>
      </c>
      <c r="B815" s="58">
        <v>21989</v>
      </c>
      <c r="C815" s="57" t="s">
        <v>3818</v>
      </c>
      <c r="D815" s="57" t="s">
        <v>45</v>
      </c>
      <c r="E815" s="57" t="s">
        <v>2860</v>
      </c>
      <c r="F815" s="58" t="s">
        <v>3819</v>
      </c>
      <c r="G815" s="57">
        <v>4</v>
      </c>
      <c r="H815" s="57" t="s">
        <v>2557</v>
      </c>
      <c r="I815" s="58">
        <v>59011</v>
      </c>
      <c r="J815" s="234" t="s">
        <v>3820</v>
      </c>
      <c r="K815" s="58">
        <v>20.25</v>
      </c>
      <c r="L815" s="58">
        <v>0</v>
      </c>
      <c r="M815" s="58">
        <v>0</v>
      </c>
      <c r="N815" s="58">
        <v>1</v>
      </c>
      <c r="O815" s="224">
        <f t="shared" si="6"/>
        <v>20.25</v>
      </c>
      <c r="P815" s="227">
        <f t="shared" si="7"/>
        <v>20.25</v>
      </c>
    </row>
    <row r="816" spans="1:16" ht="14.25">
      <c r="A816" s="224">
        <v>815</v>
      </c>
      <c r="B816" s="58">
        <v>21990</v>
      </c>
      <c r="C816" s="57" t="s">
        <v>3821</v>
      </c>
      <c r="D816" s="57" t="s">
        <v>45</v>
      </c>
      <c r="E816" s="57" t="s">
        <v>2860</v>
      </c>
      <c r="F816" s="58" t="s">
        <v>3822</v>
      </c>
      <c r="G816" s="57">
        <v>4</v>
      </c>
      <c r="H816" s="57" t="s">
        <v>2557</v>
      </c>
      <c r="I816" s="58">
        <v>59023</v>
      </c>
      <c r="J816" s="234" t="s">
        <v>3823</v>
      </c>
      <c r="K816" s="58">
        <v>16.09</v>
      </c>
      <c r="L816" s="58">
        <v>0</v>
      </c>
      <c r="M816" s="58">
        <v>0</v>
      </c>
      <c r="N816" s="58">
        <v>1</v>
      </c>
      <c r="O816" s="224">
        <f t="shared" si="6"/>
        <v>16.09</v>
      </c>
      <c r="P816" s="227">
        <f t="shared" si="7"/>
        <v>16.09</v>
      </c>
    </row>
    <row r="817" spans="1:16" ht="14.25">
      <c r="A817" s="224">
        <v>816</v>
      </c>
      <c r="B817" s="58">
        <v>351</v>
      </c>
      <c r="C817" s="57" t="s">
        <v>2707</v>
      </c>
      <c r="D817" s="57" t="s">
        <v>45</v>
      </c>
      <c r="E817" s="57" t="s">
        <v>9</v>
      </c>
      <c r="F817" s="58" t="s">
        <v>3824</v>
      </c>
      <c r="G817" s="57">
        <v>4</v>
      </c>
      <c r="H817" s="57" t="s">
        <v>2557</v>
      </c>
      <c r="I817" s="58">
        <v>54607</v>
      </c>
      <c r="J817" s="234" t="s">
        <v>443</v>
      </c>
      <c r="K817" s="58">
        <v>1.0900000000000001</v>
      </c>
      <c r="L817" s="58">
        <v>0.54</v>
      </c>
      <c r="M817" s="58">
        <v>0</v>
      </c>
      <c r="N817" s="58">
        <v>1</v>
      </c>
      <c r="O817" s="224">
        <f t="shared" si="6"/>
        <v>0.55000000000000004</v>
      </c>
      <c r="P817" s="227">
        <f t="shared" si="7"/>
        <v>0.55000000000000004</v>
      </c>
    </row>
    <row r="818" spans="1:16" ht="14.25">
      <c r="A818" s="224">
        <v>817</v>
      </c>
      <c r="B818" s="58">
        <v>18464</v>
      </c>
      <c r="C818" s="57" t="s">
        <v>3281</v>
      </c>
      <c r="D818" s="57" t="s">
        <v>45</v>
      </c>
      <c r="E818" s="57" t="s">
        <v>9</v>
      </c>
      <c r="F818" s="58" t="s">
        <v>3825</v>
      </c>
      <c r="G818" s="57">
        <v>4</v>
      </c>
      <c r="H818" s="57" t="s">
        <v>2557</v>
      </c>
      <c r="I818" s="58">
        <v>53287</v>
      </c>
      <c r="J818" s="234" t="s">
        <v>444</v>
      </c>
      <c r="K818" s="58">
        <v>4.79</v>
      </c>
      <c r="L818" s="58">
        <v>0.66</v>
      </c>
      <c r="M818" s="58">
        <v>0</v>
      </c>
      <c r="N818" s="58">
        <v>1</v>
      </c>
      <c r="O818" s="224">
        <f t="shared" si="6"/>
        <v>4.13</v>
      </c>
      <c r="P818" s="227">
        <f t="shared" si="7"/>
        <v>4.13</v>
      </c>
    </row>
    <row r="819" spans="1:16" ht="14.25">
      <c r="A819" s="224">
        <v>818</v>
      </c>
      <c r="B819" s="58">
        <v>7899</v>
      </c>
      <c r="C819" s="57" t="s">
        <v>2714</v>
      </c>
      <c r="D819" s="57" t="s">
        <v>45</v>
      </c>
      <c r="E819" s="57" t="s">
        <v>2874</v>
      </c>
      <c r="F819" s="243">
        <v>45763</v>
      </c>
      <c r="G819" s="57">
        <v>4</v>
      </c>
      <c r="H819" s="57" t="s">
        <v>2557</v>
      </c>
      <c r="I819" s="58">
        <v>55915</v>
      </c>
      <c r="J819" s="234" t="s">
        <v>3826</v>
      </c>
      <c r="K819" s="58">
        <v>69.989999999999995</v>
      </c>
      <c r="L819" s="58">
        <v>0</v>
      </c>
      <c r="M819" s="58">
        <v>0</v>
      </c>
      <c r="N819" s="58">
        <v>1</v>
      </c>
      <c r="O819" s="224">
        <f t="shared" si="6"/>
        <v>69.989999999999995</v>
      </c>
      <c r="P819" s="227">
        <f t="shared" si="7"/>
        <v>69.989999999999995</v>
      </c>
    </row>
    <row r="820" spans="1:16" ht="14.25">
      <c r="A820" s="224">
        <v>819</v>
      </c>
      <c r="B820" s="58">
        <v>21992</v>
      </c>
      <c r="C820" s="57" t="s">
        <v>3827</v>
      </c>
      <c r="D820" s="57" t="s">
        <v>45</v>
      </c>
      <c r="E820" s="57" t="s">
        <v>2860</v>
      </c>
      <c r="F820" s="58" t="s">
        <v>3828</v>
      </c>
      <c r="G820" s="57">
        <v>4</v>
      </c>
      <c r="H820" s="57" t="s">
        <v>2557</v>
      </c>
      <c r="I820" s="58">
        <v>59035</v>
      </c>
      <c r="J820" s="234" t="s">
        <v>3829</v>
      </c>
      <c r="K820" s="58">
        <v>20.69</v>
      </c>
      <c r="L820" s="58">
        <v>0</v>
      </c>
      <c r="M820" s="58">
        <v>0</v>
      </c>
      <c r="N820" s="58">
        <v>1</v>
      </c>
      <c r="O820" s="224">
        <f t="shared" si="6"/>
        <v>20.69</v>
      </c>
      <c r="P820" s="227">
        <f t="shared" si="7"/>
        <v>20.69</v>
      </c>
    </row>
    <row r="821" spans="1:16" ht="14.25">
      <c r="A821" s="224">
        <v>820</v>
      </c>
      <c r="B821" s="58">
        <v>18666</v>
      </c>
      <c r="C821" s="57" t="s">
        <v>2991</v>
      </c>
      <c r="D821" s="57" t="s">
        <v>45</v>
      </c>
      <c r="E821" s="57" t="s">
        <v>2860</v>
      </c>
      <c r="F821" s="58" t="s">
        <v>3830</v>
      </c>
      <c r="G821" s="57">
        <v>4</v>
      </c>
      <c r="H821" s="57" t="s">
        <v>2557</v>
      </c>
      <c r="I821" s="58">
        <v>58411</v>
      </c>
      <c r="J821" s="234" t="s">
        <v>3831</v>
      </c>
      <c r="K821" s="58">
        <v>6.99</v>
      </c>
      <c r="L821" s="58">
        <v>0</v>
      </c>
      <c r="M821" s="58">
        <v>0</v>
      </c>
      <c r="N821" s="58">
        <v>1</v>
      </c>
      <c r="O821" s="224">
        <f t="shared" si="6"/>
        <v>6.99</v>
      </c>
      <c r="P821" s="227">
        <f t="shared" si="7"/>
        <v>6.99</v>
      </c>
    </row>
    <row r="822" spans="1:16" ht="14.25">
      <c r="A822" s="224">
        <v>821</v>
      </c>
      <c r="B822" s="58">
        <v>19306</v>
      </c>
      <c r="C822" s="57" t="s">
        <v>3832</v>
      </c>
      <c r="D822" s="57" t="s">
        <v>2582</v>
      </c>
      <c r="E822" s="57" t="s">
        <v>2860</v>
      </c>
      <c r="F822" s="58" t="s">
        <v>3833</v>
      </c>
      <c r="G822" s="57">
        <v>4</v>
      </c>
      <c r="H822" s="57" t="s">
        <v>2557</v>
      </c>
      <c r="I822" s="58">
        <v>56359</v>
      </c>
      <c r="J822" s="234" t="s">
        <v>3834</v>
      </c>
      <c r="K822" s="58">
        <v>114.63</v>
      </c>
      <c r="L822" s="58">
        <v>0</v>
      </c>
      <c r="M822" s="58">
        <v>0</v>
      </c>
      <c r="N822" s="58">
        <v>7.3149899999999999</v>
      </c>
      <c r="O822" s="224">
        <f t="shared" si="6"/>
        <v>114.63</v>
      </c>
      <c r="P822" s="227">
        <f t="shared" si="7"/>
        <v>15.670561408833095</v>
      </c>
    </row>
    <row r="823" spans="1:16" ht="14.25">
      <c r="A823" s="224">
        <v>822</v>
      </c>
      <c r="B823" s="58">
        <v>22055</v>
      </c>
      <c r="C823" s="57" t="s">
        <v>3835</v>
      </c>
      <c r="D823" s="57" t="s">
        <v>2582</v>
      </c>
      <c r="E823" s="57" t="s">
        <v>2860</v>
      </c>
      <c r="F823" s="58" t="s">
        <v>3836</v>
      </c>
      <c r="G823" s="57">
        <v>4</v>
      </c>
      <c r="H823" s="57" t="s">
        <v>2557</v>
      </c>
      <c r="I823" s="58">
        <v>59215</v>
      </c>
      <c r="J823" s="234" t="s">
        <v>3837</v>
      </c>
      <c r="K823" s="58">
        <v>29.15</v>
      </c>
      <c r="L823" s="58">
        <v>0</v>
      </c>
      <c r="M823" s="58">
        <v>0</v>
      </c>
      <c r="N823" s="58">
        <v>7.3061199999999999</v>
      </c>
      <c r="O823" s="224">
        <f t="shared" si="6"/>
        <v>29.15</v>
      </c>
      <c r="P823" s="227">
        <f t="shared" si="7"/>
        <v>3.9898058066388176</v>
      </c>
    </row>
    <row r="824" spans="1:16" ht="14.25">
      <c r="A824" s="224">
        <v>823</v>
      </c>
      <c r="B824" s="58">
        <v>21560</v>
      </c>
      <c r="C824" s="57" t="s">
        <v>3716</v>
      </c>
      <c r="D824" s="57" t="s">
        <v>2582</v>
      </c>
      <c r="E824" s="57" t="s">
        <v>2874</v>
      </c>
      <c r="F824" s="243">
        <v>45764</v>
      </c>
      <c r="G824" s="57">
        <v>4</v>
      </c>
      <c r="H824" s="57" t="s">
        <v>2557</v>
      </c>
      <c r="I824" s="58">
        <v>59251</v>
      </c>
      <c r="J824" s="234" t="s">
        <v>3838</v>
      </c>
      <c r="K824" s="58">
        <v>3080</v>
      </c>
      <c r="L824" s="58">
        <v>0</v>
      </c>
      <c r="M824" s="58">
        <v>0</v>
      </c>
      <c r="N824" s="58">
        <v>7.3061199999999999</v>
      </c>
      <c r="O824" s="224">
        <f t="shared" si="6"/>
        <v>3080</v>
      </c>
      <c r="P824" s="227">
        <f t="shared" si="7"/>
        <v>421.56438711655437</v>
      </c>
    </row>
    <row r="825" spans="1:16" ht="14.25">
      <c r="A825" s="224">
        <v>824</v>
      </c>
      <c r="B825" s="58">
        <v>22069</v>
      </c>
      <c r="C825" s="57" t="s">
        <v>3839</v>
      </c>
      <c r="D825" s="57" t="s">
        <v>2582</v>
      </c>
      <c r="E825" s="57" t="s">
        <v>2860</v>
      </c>
      <c r="F825" s="58" t="s">
        <v>3840</v>
      </c>
      <c r="G825" s="57">
        <v>4</v>
      </c>
      <c r="H825" s="57" t="s">
        <v>2557</v>
      </c>
      <c r="I825" s="58">
        <v>59287</v>
      </c>
      <c r="J825" s="234" t="s">
        <v>3841</v>
      </c>
      <c r="K825" s="58">
        <v>40.840000000000003</v>
      </c>
      <c r="L825" s="58">
        <v>0</v>
      </c>
      <c r="M825" s="58">
        <v>0</v>
      </c>
      <c r="N825" s="58">
        <v>7.3061199999999999</v>
      </c>
      <c r="O825" s="224">
        <f t="shared" si="6"/>
        <v>40.840000000000003</v>
      </c>
      <c r="P825" s="227">
        <f t="shared" si="7"/>
        <v>5.5898342759221045</v>
      </c>
    </row>
    <row r="826" spans="1:16" ht="14.25">
      <c r="A826" s="224">
        <v>825</v>
      </c>
      <c r="B826" s="58">
        <v>22069</v>
      </c>
      <c r="C826" s="57" t="s">
        <v>3839</v>
      </c>
      <c r="D826" s="57" t="s">
        <v>2582</v>
      </c>
      <c r="E826" s="57" t="s">
        <v>2860</v>
      </c>
      <c r="F826" s="58" t="s">
        <v>3842</v>
      </c>
      <c r="G826" s="57">
        <v>4</v>
      </c>
      <c r="H826" s="57" t="s">
        <v>2557</v>
      </c>
      <c r="I826" s="58">
        <v>59287</v>
      </c>
      <c r="J826" s="234"/>
      <c r="K826" s="58">
        <v>0.02</v>
      </c>
      <c r="L826" s="58">
        <v>0</v>
      </c>
      <c r="M826" s="58">
        <v>0</v>
      </c>
      <c r="N826" s="58">
        <v>7.3061199999999999</v>
      </c>
      <c r="O826" s="224">
        <f t="shared" si="6"/>
        <v>0.02</v>
      </c>
      <c r="P826" s="227">
        <f t="shared" si="7"/>
        <v>2.737431085172431E-3</v>
      </c>
    </row>
    <row r="827" spans="1:16" ht="14.25">
      <c r="A827" s="224">
        <v>826</v>
      </c>
      <c r="B827" s="58">
        <v>20647</v>
      </c>
      <c r="C827" s="57" t="s">
        <v>3558</v>
      </c>
      <c r="D827" s="57" t="s">
        <v>2582</v>
      </c>
      <c r="E827" s="57" t="s">
        <v>2860</v>
      </c>
      <c r="F827" s="58" t="s">
        <v>3843</v>
      </c>
      <c r="G827" s="57">
        <v>4</v>
      </c>
      <c r="H827" s="57" t="s">
        <v>2557</v>
      </c>
      <c r="I827" s="58">
        <v>58951</v>
      </c>
      <c r="J827" s="234" t="s">
        <v>3844</v>
      </c>
      <c r="K827" s="58">
        <v>145.25</v>
      </c>
      <c r="L827" s="58">
        <v>0</v>
      </c>
      <c r="M827" s="58">
        <v>0</v>
      </c>
      <c r="N827" s="58">
        <v>7.3061199999999999</v>
      </c>
      <c r="O827" s="224">
        <f t="shared" si="6"/>
        <v>145.25</v>
      </c>
      <c r="P827" s="227">
        <f t="shared" si="7"/>
        <v>19.880593256064778</v>
      </c>
    </row>
    <row r="828" spans="1:16" ht="14.25">
      <c r="A828" s="224">
        <v>827</v>
      </c>
      <c r="B828" s="58">
        <v>1836</v>
      </c>
      <c r="C828" s="57" t="s">
        <v>2882</v>
      </c>
      <c r="D828" s="57" t="s">
        <v>2582</v>
      </c>
      <c r="E828" s="57" t="s">
        <v>2860</v>
      </c>
      <c r="F828" s="58" t="s">
        <v>3845</v>
      </c>
      <c r="G828" s="57">
        <v>4</v>
      </c>
      <c r="H828" s="57" t="s">
        <v>2557</v>
      </c>
      <c r="I828" s="58">
        <v>58591</v>
      </c>
      <c r="J828" s="234" t="s">
        <v>3846</v>
      </c>
      <c r="K828" s="58">
        <v>69.7</v>
      </c>
      <c r="L828" s="58">
        <v>0</v>
      </c>
      <c r="M828" s="58">
        <v>0</v>
      </c>
      <c r="N828" s="58">
        <v>7.3061199999999999</v>
      </c>
      <c r="O828" s="224">
        <f t="shared" si="6"/>
        <v>69.7</v>
      </c>
      <c r="P828" s="227">
        <f t="shared" si="7"/>
        <v>9.5399473318259211</v>
      </c>
    </row>
    <row r="829" spans="1:16" ht="14.25">
      <c r="A829" s="224">
        <v>828</v>
      </c>
      <c r="B829" s="58">
        <v>21267</v>
      </c>
      <c r="C829" s="57" t="s">
        <v>427</v>
      </c>
      <c r="D829" s="57" t="s">
        <v>45</v>
      </c>
      <c r="E829" s="57" t="s">
        <v>2860</v>
      </c>
      <c r="F829" s="58" t="s">
        <v>3847</v>
      </c>
      <c r="G829" s="57">
        <v>4</v>
      </c>
      <c r="H829" s="57" t="s">
        <v>2557</v>
      </c>
      <c r="I829" s="58">
        <v>56923</v>
      </c>
      <c r="J829" s="234" t="s">
        <v>3848</v>
      </c>
      <c r="K829" s="58">
        <v>5.59</v>
      </c>
      <c r="L829" s="58">
        <v>0</v>
      </c>
      <c r="M829" s="58">
        <v>0</v>
      </c>
      <c r="N829" s="58">
        <v>1</v>
      </c>
      <c r="O829" s="224">
        <f t="shared" si="6"/>
        <v>5.59</v>
      </c>
      <c r="P829" s="227">
        <f t="shared" si="7"/>
        <v>5.59</v>
      </c>
    </row>
    <row r="830" spans="1:16" ht="14.25">
      <c r="A830" s="224">
        <v>829</v>
      </c>
      <c r="B830" s="58">
        <v>20870</v>
      </c>
      <c r="C830" s="57" t="s">
        <v>3606</v>
      </c>
      <c r="D830" s="57" t="s">
        <v>45</v>
      </c>
      <c r="E830" s="57" t="s">
        <v>2874</v>
      </c>
      <c r="F830" s="243">
        <v>45764</v>
      </c>
      <c r="G830" s="57">
        <v>4</v>
      </c>
      <c r="H830" s="57" t="s">
        <v>2557</v>
      </c>
      <c r="I830" s="58">
        <v>59300</v>
      </c>
      <c r="J830" s="234" t="s">
        <v>3849</v>
      </c>
      <c r="K830" s="58">
        <v>14.99</v>
      </c>
      <c r="L830" s="58">
        <v>0</v>
      </c>
      <c r="M830" s="58">
        <v>0</v>
      </c>
      <c r="N830" s="58">
        <v>1</v>
      </c>
      <c r="O830" s="224">
        <f t="shared" si="6"/>
        <v>14.99</v>
      </c>
      <c r="P830" s="227">
        <f t="shared" si="7"/>
        <v>14.99</v>
      </c>
    </row>
    <row r="831" spans="1:16" ht="14.25">
      <c r="A831" s="224">
        <v>830</v>
      </c>
      <c r="B831" s="58">
        <v>3271</v>
      </c>
      <c r="C831" s="57" t="s">
        <v>3288</v>
      </c>
      <c r="D831" s="57" t="s">
        <v>45</v>
      </c>
      <c r="E831" s="57" t="s">
        <v>2860</v>
      </c>
      <c r="F831" s="58" t="s">
        <v>3850</v>
      </c>
      <c r="G831" s="57">
        <v>4</v>
      </c>
      <c r="H831" s="57" t="s">
        <v>2557</v>
      </c>
      <c r="I831" s="58">
        <v>56167</v>
      </c>
      <c r="J831" s="234" t="s">
        <v>3851</v>
      </c>
      <c r="K831" s="58">
        <v>1.99</v>
      </c>
      <c r="L831" s="58">
        <v>0</v>
      </c>
      <c r="M831" s="58">
        <v>0</v>
      </c>
      <c r="N831" s="58">
        <v>1</v>
      </c>
      <c r="O831" s="224">
        <f t="shared" si="6"/>
        <v>1.99</v>
      </c>
      <c r="P831" s="227">
        <f t="shared" si="7"/>
        <v>1.99</v>
      </c>
    </row>
    <row r="832" spans="1:16" ht="14.25">
      <c r="A832" s="224">
        <v>831</v>
      </c>
      <c r="B832" s="58">
        <v>22089</v>
      </c>
      <c r="C832" s="57" t="s">
        <v>3852</v>
      </c>
      <c r="D832" s="57" t="s">
        <v>45</v>
      </c>
      <c r="E832" s="57" t="s">
        <v>2860</v>
      </c>
      <c r="F832" s="58" t="s">
        <v>3853</v>
      </c>
      <c r="G832" s="57">
        <v>4</v>
      </c>
      <c r="H832" s="57" t="s">
        <v>2557</v>
      </c>
      <c r="I832" s="58">
        <v>59312</v>
      </c>
      <c r="J832" s="234" t="s">
        <v>3854</v>
      </c>
      <c r="K832" s="58">
        <v>2.4900000000000002</v>
      </c>
      <c r="L832" s="58">
        <v>0</v>
      </c>
      <c r="M832" s="58">
        <v>0</v>
      </c>
      <c r="N832" s="58">
        <v>1</v>
      </c>
      <c r="O832" s="224">
        <f t="shared" si="6"/>
        <v>2.4900000000000002</v>
      </c>
      <c r="P832" s="227">
        <f t="shared" si="7"/>
        <v>2.4900000000000002</v>
      </c>
    </row>
    <row r="833" spans="1:16" ht="14.25">
      <c r="A833" s="224">
        <v>832</v>
      </c>
      <c r="B833" s="58">
        <v>21791</v>
      </c>
      <c r="C833" s="57" t="s">
        <v>3855</v>
      </c>
      <c r="D833" s="57" t="s">
        <v>45</v>
      </c>
      <c r="E833" s="57" t="s">
        <v>2874</v>
      </c>
      <c r="F833" s="243">
        <v>45765</v>
      </c>
      <c r="G833" s="57">
        <v>4</v>
      </c>
      <c r="H833" s="57" t="s">
        <v>2557</v>
      </c>
      <c r="I833" s="58">
        <v>58627</v>
      </c>
      <c r="J833" s="234" t="s">
        <v>3856</v>
      </c>
      <c r="K833" s="58">
        <v>14.99</v>
      </c>
      <c r="L833" s="58">
        <v>0</v>
      </c>
      <c r="M833" s="58">
        <v>0</v>
      </c>
      <c r="N833" s="58">
        <v>1</v>
      </c>
      <c r="O833" s="224">
        <f t="shared" si="6"/>
        <v>14.99</v>
      </c>
      <c r="P833" s="227">
        <f t="shared" si="7"/>
        <v>14.99</v>
      </c>
    </row>
    <row r="834" spans="1:16" ht="14.25">
      <c r="A834" s="224">
        <v>833</v>
      </c>
      <c r="B834" s="58">
        <v>22095</v>
      </c>
      <c r="C834" s="57" t="s">
        <v>3857</v>
      </c>
      <c r="D834" s="57" t="s">
        <v>2582</v>
      </c>
      <c r="E834" s="57" t="s">
        <v>2860</v>
      </c>
      <c r="F834" s="58" t="s">
        <v>3858</v>
      </c>
      <c r="G834" s="57">
        <v>4</v>
      </c>
      <c r="H834" s="57" t="s">
        <v>2557</v>
      </c>
      <c r="I834" s="58">
        <v>59324</v>
      </c>
      <c r="J834" s="234" t="s">
        <v>3859</v>
      </c>
      <c r="K834" s="58">
        <v>167.97</v>
      </c>
      <c r="L834" s="58">
        <v>0</v>
      </c>
      <c r="M834" s="58">
        <v>0</v>
      </c>
      <c r="N834" s="58">
        <v>7.3061199999999999</v>
      </c>
      <c r="O834" s="224">
        <f t="shared" si="6"/>
        <v>167.97</v>
      </c>
      <c r="P834" s="227">
        <f t="shared" si="7"/>
        <v>22.990314968820659</v>
      </c>
    </row>
    <row r="835" spans="1:16" ht="14.25">
      <c r="A835" s="224">
        <v>834</v>
      </c>
      <c r="B835" s="58">
        <v>19044</v>
      </c>
      <c r="C835" s="57" t="s">
        <v>3089</v>
      </c>
      <c r="D835" s="57" t="s">
        <v>45</v>
      </c>
      <c r="E835" s="57" t="s">
        <v>2860</v>
      </c>
      <c r="F835" s="58" t="s">
        <v>3860</v>
      </c>
      <c r="G835" s="57">
        <v>4</v>
      </c>
      <c r="H835" s="57" t="s">
        <v>2557</v>
      </c>
      <c r="I835" s="58">
        <v>59384</v>
      </c>
      <c r="J835" s="234" t="s">
        <v>3861</v>
      </c>
      <c r="K835" s="58">
        <v>1.79</v>
      </c>
      <c r="L835" s="58">
        <v>0</v>
      </c>
      <c r="M835" s="58">
        <v>0</v>
      </c>
      <c r="N835" s="58">
        <v>1</v>
      </c>
      <c r="O835" s="224">
        <f t="shared" si="6"/>
        <v>1.79</v>
      </c>
      <c r="P835" s="227">
        <f t="shared" si="7"/>
        <v>1.79</v>
      </c>
    </row>
    <row r="836" spans="1:16" ht="14.25">
      <c r="A836" s="224">
        <v>835</v>
      </c>
      <c r="B836" s="58">
        <v>18477</v>
      </c>
      <c r="C836" s="57" t="s">
        <v>2966</v>
      </c>
      <c r="D836" s="57" t="s">
        <v>45</v>
      </c>
      <c r="E836" s="57" t="s">
        <v>2874</v>
      </c>
      <c r="F836" s="243">
        <v>45765</v>
      </c>
      <c r="G836" s="57">
        <v>4</v>
      </c>
      <c r="H836" s="57" t="s">
        <v>2557</v>
      </c>
      <c r="I836" s="58">
        <v>56503</v>
      </c>
      <c r="J836" s="234"/>
      <c r="K836" s="58">
        <v>110</v>
      </c>
      <c r="L836" s="58">
        <v>0</v>
      </c>
      <c r="M836" s="58">
        <v>0</v>
      </c>
      <c r="N836" s="58">
        <v>1</v>
      </c>
      <c r="O836" s="224">
        <f t="shared" si="6"/>
        <v>110</v>
      </c>
      <c r="P836" s="227">
        <f t="shared" si="7"/>
        <v>110</v>
      </c>
    </row>
    <row r="837" spans="1:16" ht="14.25">
      <c r="A837" s="224">
        <v>836</v>
      </c>
      <c r="B837" s="58">
        <v>20870</v>
      </c>
      <c r="C837" s="57" t="s">
        <v>3606</v>
      </c>
      <c r="D837" s="57" t="s">
        <v>45</v>
      </c>
      <c r="E837" s="57" t="s">
        <v>2874</v>
      </c>
      <c r="F837" s="243">
        <v>45765</v>
      </c>
      <c r="G837" s="57">
        <v>4</v>
      </c>
      <c r="H837" s="57" t="s">
        <v>2557</v>
      </c>
      <c r="I837" s="58">
        <v>59480</v>
      </c>
      <c r="J837" s="234" t="s">
        <v>3862</v>
      </c>
      <c r="K837" s="58">
        <v>14.99</v>
      </c>
      <c r="L837" s="58">
        <v>0</v>
      </c>
      <c r="M837" s="58">
        <v>0</v>
      </c>
      <c r="N837" s="58">
        <v>1</v>
      </c>
      <c r="O837" s="224">
        <f t="shared" si="6"/>
        <v>14.99</v>
      </c>
      <c r="P837" s="227">
        <f t="shared" si="7"/>
        <v>14.99</v>
      </c>
    </row>
    <row r="838" spans="1:16" ht="14.25">
      <c r="A838" s="224">
        <v>837</v>
      </c>
      <c r="B838" s="58">
        <v>19889</v>
      </c>
      <c r="C838" s="57" t="s">
        <v>3227</v>
      </c>
      <c r="D838" s="57" t="s">
        <v>45</v>
      </c>
      <c r="E838" s="57" t="s">
        <v>2860</v>
      </c>
      <c r="F838" s="58" t="s">
        <v>3863</v>
      </c>
      <c r="G838" s="57">
        <v>4</v>
      </c>
      <c r="H838" s="57" t="s">
        <v>2557</v>
      </c>
      <c r="I838" s="58">
        <v>57019</v>
      </c>
      <c r="J838" s="234" t="s">
        <v>3864</v>
      </c>
      <c r="K838" s="58">
        <v>6.29</v>
      </c>
      <c r="L838" s="58">
        <v>0</v>
      </c>
      <c r="M838" s="58">
        <v>0</v>
      </c>
      <c r="N838" s="58">
        <v>1</v>
      </c>
      <c r="O838" s="224">
        <f t="shared" si="6"/>
        <v>6.29</v>
      </c>
      <c r="P838" s="227">
        <f t="shared" si="7"/>
        <v>6.29</v>
      </c>
    </row>
    <row r="839" spans="1:16" ht="14.25">
      <c r="A839" s="224">
        <v>838</v>
      </c>
      <c r="B839" s="58">
        <v>21791</v>
      </c>
      <c r="C839" s="57" t="s">
        <v>3855</v>
      </c>
      <c r="D839" s="57" t="s">
        <v>45</v>
      </c>
      <c r="E839" s="57" t="s">
        <v>2874</v>
      </c>
      <c r="F839" s="243">
        <v>45766</v>
      </c>
      <c r="G839" s="57">
        <v>4</v>
      </c>
      <c r="H839" s="57" t="s">
        <v>2557</v>
      </c>
      <c r="I839" s="58">
        <v>59492</v>
      </c>
      <c r="J839" s="234" t="s">
        <v>3865</v>
      </c>
      <c r="K839" s="58">
        <v>14.99</v>
      </c>
      <c r="L839" s="58">
        <v>0</v>
      </c>
      <c r="M839" s="58">
        <v>0</v>
      </c>
      <c r="N839" s="58">
        <v>1</v>
      </c>
      <c r="O839" s="224">
        <f t="shared" si="6"/>
        <v>14.99</v>
      </c>
      <c r="P839" s="227">
        <f t="shared" si="7"/>
        <v>14.99</v>
      </c>
    </row>
    <row r="840" spans="1:16" ht="14.25">
      <c r="A840" s="224">
        <v>839</v>
      </c>
      <c r="B840" s="58">
        <v>22134</v>
      </c>
      <c r="C840" s="57" t="s">
        <v>3866</v>
      </c>
      <c r="D840" s="57" t="s">
        <v>2582</v>
      </c>
      <c r="E840" s="57" t="s">
        <v>2860</v>
      </c>
      <c r="F840" s="58" t="s">
        <v>3867</v>
      </c>
      <c r="G840" s="57">
        <v>4</v>
      </c>
      <c r="H840" s="57" t="s">
        <v>2557</v>
      </c>
      <c r="I840" s="58">
        <v>59504</v>
      </c>
      <c r="J840" s="234" t="s">
        <v>3868</v>
      </c>
      <c r="K840" s="58">
        <v>145.88</v>
      </c>
      <c r="L840" s="58">
        <v>0</v>
      </c>
      <c r="M840" s="58">
        <v>0</v>
      </c>
      <c r="N840" s="58">
        <v>7.2975399999999997</v>
      </c>
      <c r="O840" s="224">
        <f t="shared" si="6"/>
        <v>145.88</v>
      </c>
      <c r="P840" s="227">
        <f t="shared" si="7"/>
        <v>19.990298100455771</v>
      </c>
    </row>
    <row r="841" spans="1:16" ht="14.25">
      <c r="A841" s="224">
        <v>840</v>
      </c>
      <c r="B841" s="58">
        <v>22134</v>
      </c>
      <c r="C841" s="57" t="s">
        <v>3866</v>
      </c>
      <c r="D841" s="57" t="s">
        <v>2582</v>
      </c>
      <c r="E841" s="57" t="s">
        <v>2860</v>
      </c>
      <c r="F841" s="58" t="s">
        <v>3869</v>
      </c>
      <c r="G841" s="57">
        <v>4</v>
      </c>
      <c r="H841" s="57" t="s">
        <v>2557</v>
      </c>
      <c r="I841" s="58">
        <v>59504</v>
      </c>
      <c r="J841" s="234" t="s">
        <v>3868</v>
      </c>
      <c r="K841" s="58">
        <v>145.88</v>
      </c>
      <c r="L841" s="58">
        <v>0</v>
      </c>
      <c r="M841" s="58">
        <v>0</v>
      </c>
      <c r="N841" s="58">
        <v>7.2975399999999997</v>
      </c>
      <c r="O841" s="224">
        <f t="shared" si="6"/>
        <v>145.88</v>
      </c>
      <c r="P841" s="227">
        <f t="shared" si="7"/>
        <v>19.990298100455771</v>
      </c>
    </row>
    <row r="842" spans="1:16" ht="14.25">
      <c r="A842" s="224">
        <v>841</v>
      </c>
      <c r="B842" s="58">
        <v>22186</v>
      </c>
      <c r="C842" s="57" t="s">
        <v>3870</v>
      </c>
      <c r="D842" s="57" t="s">
        <v>45</v>
      </c>
      <c r="E842" s="57" t="s">
        <v>2860</v>
      </c>
      <c r="F842" s="58" t="s">
        <v>3871</v>
      </c>
      <c r="G842" s="57">
        <v>4</v>
      </c>
      <c r="H842" s="57" t="s">
        <v>2557</v>
      </c>
      <c r="I842" s="58">
        <v>59516</v>
      </c>
      <c r="J842" s="234" t="s">
        <v>3872</v>
      </c>
      <c r="K842" s="58">
        <v>3.99</v>
      </c>
      <c r="L842" s="58">
        <v>0</v>
      </c>
      <c r="M842" s="58">
        <v>0</v>
      </c>
      <c r="N842" s="58">
        <v>1</v>
      </c>
      <c r="O842" s="224">
        <f t="shared" si="6"/>
        <v>3.99</v>
      </c>
      <c r="P842" s="227">
        <f t="shared" si="7"/>
        <v>3.99</v>
      </c>
    </row>
    <row r="843" spans="1:16" ht="14.25">
      <c r="A843" s="224">
        <v>842</v>
      </c>
      <c r="B843" s="58">
        <v>3499</v>
      </c>
      <c r="C843" s="57" t="s">
        <v>2641</v>
      </c>
      <c r="D843" s="57" t="s">
        <v>45</v>
      </c>
      <c r="E843" s="57" t="s">
        <v>2860</v>
      </c>
      <c r="F843" s="58" t="s">
        <v>3873</v>
      </c>
      <c r="G843" s="57">
        <v>4</v>
      </c>
      <c r="H843" s="57" t="s">
        <v>2557</v>
      </c>
      <c r="I843" s="58">
        <v>58219</v>
      </c>
      <c r="J843" s="234" t="s">
        <v>3874</v>
      </c>
      <c r="K843" s="58">
        <v>1.0900000000000001</v>
      </c>
      <c r="L843" s="58">
        <v>0</v>
      </c>
      <c r="M843" s="58">
        <v>0</v>
      </c>
      <c r="N843" s="58">
        <v>1</v>
      </c>
      <c r="O843" s="224">
        <f t="shared" si="6"/>
        <v>1.0900000000000001</v>
      </c>
      <c r="P843" s="227">
        <f t="shared" si="7"/>
        <v>1.0900000000000001</v>
      </c>
    </row>
    <row r="844" spans="1:16" ht="14.25">
      <c r="A844" s="224">
        <v>843</v>
      </c>
      <c r="B844" s="58">
        <v>392</v>
      </c>
      <c r="C844" s="57" t="s">
        <v>2876</v>
      </c>
      <c r="D844" s="57" t="s">
        <v>2582</v>
      </c>
      <c r="E844" s="57" t="s">
        <v>2860</v>
      </c>
      <c r="F844" s="58" t="s">
        <v>3875</v>
      </c>
      <c r="G844" s="57">
        <v>4</v>
      </c>
      <c r="H844" s="57" t="s">
        <v>2557</v>
      </c>
      <c r="I844" s="58">
        <v>56983</v>
      </c>
      <c r="J844" s="234" t="s">
        <v>3876</v>
      </c>
      <c r="K844" s="58">
        <v>29.04</v>
      </c>
      <c r="L844" s="58">
        <v>0</v>
      </c>
      <c r="M844" s="58">
        <v>0</v>
      </c>
      <c r="N844" s="58">
        <v>7.2975399999999997</v>
      </c>
      <c r="O844" s="224">
        <f t="shared" si="6"/>
        <v>29.04</v>
      </c>
      <c r="P844" s="227">
        <f t="shared" si="7"/>
        <v>3.9794232028875482</v>
      </c>
    </row>
    <row r="845" spans="1:16" ht="14.25">
      <c r="A845" s="224">
        <v>844</v>
      </c>
      <c r="B845" s="58">
        <v>2300</v>
      </c>
      <c r="C845" s="57" t="s">
        <v>2962</v>
      </c>
      <c r="D845" s="57" t="s">
        <v>45</v>
      </c>
      <c r="E845" s="57" t="s">
        <v>2860</v>
      </c>
      <c r="F845" s="58" t="s">
        <v>3877</v>
      </c>
      <c r="G845" s="57">
        <v>4</v>
      </c>
      <c r="H845" s="57" t="s">
        <v>2557</v>
      </c>
      <c r="I845" s="58">
        <v>59528</v>
      </c>
      <c r="J845" s="234" t="s">
        <v>3878</v>
      </c>
      <c r="K845" s="58">
        <v>17.98</v>
      </c>
      <c r="L845" s="58">
        <v>0</v>
      </c>
      <c r="M845" s="58">
        <v>0</v>
      </c>
      <c r="N845" s="58">
        <v>1</v>
      </c>
      <c r="O845" s="224">
        <f t="shared" si="6"/>
        <v>17.98</v>
      </c>
      <c r="P845" s="227">
        <f t="shared" si="7"/>
        <v>17.98</v>
      </c>
    </row>
    <row r="846" spans="1:16" ht="14.25">
      <c r="A846" s="224">
        <v>845</v>
      </c>
      <c r="B846" s="58">
        <v>392</v>
      </c>
      <c r="C846" s="57" t="s">
        <v>2876</v>
      </c>
      <c r="D846" s="57" t="s">
        <v>2582</v>
      </c>
      <c r="E846" s="57" t="s">
        <v>2860</v>
      </c>
      <c r="F846" s="58" t="s">
        <v>3879</v>
      </c>
      <c r="G846" s="57">
        <v>4</v>
      </c>
      <c r="H846" s="57" t="s">
        <v>2557</v>
      </c>
      <c r="I846" s="58">
        <v>56983</v>
      </c>
      <c r="J846" s="234"/>
      <c r="K846" s="58">
        <v>0.01</v>
      </c>
      <c r="L846" s="58">
        <v>0</v>
      </c>
      <c r="M846" s="58">
        <v>0</v>
      </c>
      <c r="N846" s="58">
        <v>7.2975399999999997</v>
      </c>
      <c r="O846" s="224">
        <f t="shared" si="6"/>
        <v>0.01</v>
      </c>
      <c r="P846" s="227">
        <f t="shared" si="7"/>
        <v>1.3703247943827647E-3</v>
      </c>
    </row>
    <row r="847" spans="1:16" ht="14.25">
      <c r="A847" s="224">
        <v>846</v>
      </c>
      <c r="B847" s="58">
        <v>22305</v>
      </c>
      <c r="C847" s="57" t="s">
        <v>3880</v>
      </c>
      <c r="D847" s="57" t="s">
        <v>2582</v>
      </c>
      <c r="E847" s="57" t="s">
        <v>2860</v>
      </c>
      <c r="F847" s="58" t="s">
        <v>3881</v>
      </c>
      <c r="G847" s="57">
        <v>4</v>
      </c>
      <c r="H847" s="57" t="s">
        <v>2557</v>
      </c>
      <c r="I847" s="58">
        <v>59588</v>
      </c>
      <c r="J847" s="234" t="s">
        <v>3882</v>
      </c>
      <c r="K847" s="58">
        <v>22.55</v>
      </c>
      <c r="L847" s="58">
        <v>0</v>
      </c>
      <c r="M847" s="58">
        <v>0</v>
      </c>
      <c r="N847" s="58">
        <v>7.2975399999999997</v>
      </c>
      <c r="O847" s="224">
        <f t="shared" si="6"/>
        <v>22.55</v>
      </c>
      <c r="P847" s="227">
        <f t="shared" si="7"/>
        <v>3.0900824113331344</v>
      </c>
    </row>
    <row r="848" spans="1:16" ht="14.25">
      <c r="A848" s="224">
        <v>847</v>
      </c>
      <c r="B848" s="58">
        <v>22319</v>
      </c>
      <c r="C848" s="57" t="s">
        <v>3883</v>
      </c>
      <c r="D848" s="57" t="s">
        <v>45</v>
      </c>
      <c r="E848" s="57" t="s">
        <v>2860</v>
      </c>
      <c r="F848" s="58" t="s">
        <v>3884</v>
      </c>
      <c r="G848" s="57">
        <v>4</v>
      </c>
      <c r="H848" s="57" t="s">
        <v>2557</v>
      </c>
      <c r="I848" s="58">
        <v>59600</v>
      </c>
      <c r="J848" s="234" t="s">
        <v>3885</v>
      </c>
      <c r="K848" s="58">
        <v>2.99</v>
      </c>
      <c r="L848" s="58">
        <v>0</v>
      </c>
      <c r="M848" s="58">
        <v>0</v>
      </c>
      <c r="N848" s="58">
        <v>1</v>
      </c>
      <c r="O848" s="224">
        <f t="shared" si="6"/>
        <v>2.99</v>
      </c>
      <c r="P848" s="227">
        <f t="shared" si="7"/>
        <v>2.99</v>
      </c>
    </row>
    <row r="849" spans="1:16" ht="14.25">
      <c r="A849" s="224">
        <v>848</v>
      </c>
      <c r="B849" s="58">
        <v>3974</v>
      </c>
      <c r="C849" s="57" t="s">
        <v>2844</v>
      </c>
      <c r="D849" s="57" t="s">
        <v>45</v>
      </c>
      <c r="E849" s="57" t="s">
        <v>2860</v>
      </c>
      <c r="F849" s="58" t="s">
        <v>3886</v>
      </c>
      <c r="G849" s="57">
        <v>4</v>
      </c>
      <c r="H849" s="57" t="s">
        <v>2557</v>
      </c>
      <c r="I849" s="58">
        <v>59612</v>
      </c>
      <c r="J849" s="234" t="s">
        <v>3887</v>
      </c>
      <c r="K849" s="58">
        <v>1.99</v>
      </c>
      <c r="L849" s="58">
        <v>0</v>
      </c>
      <c r="M849" s="58">
        <v>0</v>
      </c>
      <c r="N849" s="58">
        <v>1</v>
      </c>
      <c r="O849" s="224">
        <f t="shared" si="6"/>
        <v>1.99</v>
      </c>
      <c r="P849" s="227">
        <f t="shared" si="7"/>
        <v>1.99</v>
      </c>
    </row>
    <row r="850" spans="1:16" ht="14.25">
      <c r="A850" s="224">
        <v>849</v>
      </c>
      <c r="B850" s="58">
        <v>22544</v>
      </c>
      <c r="C850" s="57" t="s">
        <v>3888</v>
      </c>
      <c r="D850" s="57" t="s">
        <v>45</v>
      </c>
      <c r="E850" s="57" t="s">
        <v>2860</v>
      </c>
      <c r="F850" s="58" t="s">
        <v>3889</v>
      </c>
      <c r="G850" s="57">
        <v>4</v>
      </c>
      <c r="H850" s="57" t="s">
        <v>2557</v>
      </c>
      <c r="I850" s="58">
        <v>59660</v>
      </c>
      <c r="J850" s="234" t="s">
        <v>3890</v>
      </c>
      <c r="K850" s="58">
        <v>59.49</v>
      </c>
      <c r="L850" s="58">
        <v>0</v>
      </c>
      <c r="M850" s="58">
        <v>0</v>
      </c>
      <c r="N850" s="58">
        <v>1</v>
      </c>
      <c r="O850" s="224">
        <f t="shared" si="6"/>
        <v>59.49</v>
      </c>
      <c r="P850" s="227">
        <f t="shared" si="7"/>
        <v>59.49</v>
      </c>
    </row>
    <row r="851" spans="1:16" ht="14.25">
      <c r="A851" s="224">
        <v>850</v>
      </c>
      <c r="B851" s="58">
        <v>22559</v>
      </c>
      <c r="C851" s="57" t="s">
        <v>3891</v>
      </c>
      <c r="D851" s="57" t="s">
        <v>45</v>
      </c>
      <c r="E851" s="57" t="s">
        <v>9</v>
      </c>
      <c r="F851" s="58" t="s">
        <v>3892</v>
      </c>
      <c r="G851" s="57">
        <v>4</v>
      </c>
      <c r="H851" s="57" t="s">
        <v>2557</v>
      </c>
      <c r="I851" s="58">
        <v>59684</v>
      </c>
      <c r="J851" s="234" t="s">
        <v>449</v>
      </c>
      <c r="K851" s="58">
        <v>3.99</v>
      </c>
      <c r="L851" s="58">
        <v>0.69</v>
      </c>
      <c r="M851" s="58">
        <v>0</v>
      </c>
      <c r="N851" s="58">
        <v>1</v>
      </c>
      <c r="O851" s="224">
        <f t="shared" si="6"/>
        <v>3.3000000000000003</v>
      </c>
      <c r="P851" s="227">
        <f t="shared" si="7"/>
        <v>3.3000000000000003</v>
      </c>
    </row>
    <row r="852" spans="1:16" ht="14.25">
      <c r="A852" s="224">
        <v>851</v>
      </c>
      <c r="B852" s="58">
        <v>21778</v>
      </c>
      <c r="C852" s="57" t="s">
        <v>3893</v>
      </c>
      <c r="D852" s="57" t="s">
        <v>2582</v>
      </c>
      <c r="E852" s="57" t="s">
        <v>2860</v>
      </c>
      <c r="F852" s="58" t="s">
        <v>3894</v>
      </c>
      <c r="G852" s="57">
        <v>4</v>
      </c>
      <c r="H852" s="57" t="s">
        <v>2557</v>
      </c>
      <c r="I852" s="58">
        <v>59696</v>
      </c>
      <c r="J852" s="234" t="s">
        <v>3895</v>
      </c>
      <c r="K852" s="58">
        <v>500.03</v>
      </c>
      <c r="L852" s="58">
        <v>0</v>
      </c>
      <c r="M852" s="58">
        <v>0</v>
      </c>
      <c r="N852" s="58">
        <v>7.2975399999999997</v>
      </c>
      <c r="O852" s="224">
        <f t="shared" si="6"/>
        <v>500.03</v>
      </c>
      <c r="P852" s="227">
        <f t="shared" si="7"/>
        <v>68.52035069352138</v>
      </c>
    </row>
    <row r="853" spans="1:16" ht="14.25">
      <c r="A853" s="224">
        <v>852</v>
      </c>
      <c r="B853" s="58">
        <v>21778</v>
      </c>
      <c r="C853" s="57" t="s">
        <v>3893</v>
      </c>
      <c r="D853" s="57" t="s">
        <v>2582</v>
      </c>
      <c r="E853" s="57" t="s">
        <v>2860</v>
      </c>
      <c r="F853" s="58" t="s">
        <v>3896</v>
      </c>
      <c r="G853" s="57">
        <v>4</v>
      </c>
      <c r="H853" s="57" t="s">
        <v>2557</v>
      </c>
      <c r="I853" s="58">
        <v>59732</v>
      </c>
      <c r="J853" s="234" t="s">
        <v>3897</v>
      </c>
      <c r="K853" s="58">
        <v>2299.9699999999998</v>
      </c>
      <c r="L853" s="58">
        <v>0</v>
      </c>
      <c r="M853" s="58">
        <v>0</v>
      </c>
      <c r="N853" s="58">
        <v>7.2975399999999997</v>
      </c>
      <c r="O853" s="224">
        <f t="shared" si="6"/>
        <v>2299.9699999999998</v>
      </c>
      <c r="P853" s="227">
        <f t="shared" si="7"/>
        <v>315.17059173365271</v>
      </c>
    </row>
    <row r="854" spans="1:16" ht="14.25">
      <c r="A854" s="224">
        <v>853</v>
      </c>
      <c r="B854" s="58">
        <v>7191</v>
      </c>
      <c r="C854" s="57" t="s">
        <v>2650</v>
      </c>
      <c r="D854" s="57" t="s">
        <v>45</v>
      </c>
      <c r="E854" s="57" t="s">
        <v>2860</v>
      </c>
      <c r="F854" s="58" t="s">
        <v>3898</v>
      </c>
      <c r="G854" s="57">
        <v>4</v>
      </c>
      <c r="H854" s="57" t="s">
        <v>2557</v>
      </c>
      <c r="I854" s="58">
        <v>57295</v>
      </c>
      <c r="J854" s="234" t="s">
        <v>3899</v>
      </c>
      <c r="K854" s="58">
        <v>1.79</v>
      </c>
      <c r="L854" s="58">
        <v>0</v>
      </c>
      <c r="M854" s="58">
        <v>0</v>
      </c>
      <c r="N854" s="58">
        <v>1</v>
      </c>
      <c r="O854" s="224">
        <f t="shared" si="6"/>
        <v>1.79</v>
      </c>
      <c r="P854" s="227">
        <f t="shared" si="7"/>
        <v>1.79</v>
      </c>
    </row>
    <row r="855" spans="1:16" ht="14.25">
      <c r="A855" s="224">
        <v>854</v>
      </c>
      <c r="B855" s="58">
        <v>6145</v>
      </c>
      <c r="C855" s="57" t="s">
        <v>2805</v>
      </c>
      <c r="D855" s="57" t="s">
        <v>45</v>
      </c>
      <c r="E855" s="57" t="s">
        <v>2860</v>
      </c>
      <c r="F855" s="58" t="s">
        <v>3900</v>
      </c>
      <c r="G855" s="57">
        <v>4</v>
      </c>
      <c r="H855" s="57" t="s">
        <v>2557</v>
      </c>
      <c r="I855" s="58">
        <v>58231</v>
      </c>
      <c r="J855" s="234" t="s">
        <v>3901</v>
      </c>
      <c r="K855" s="58">
        <v>3.99</v>
      </c>
      <c r="L855" s="58">
        <v>0</v>
      </c>
      <c r="M855" s="58">
        <v>0</v>
      </c>
      <c r="N855" s="58">
        <v>1</v>
      </c>
      <c r="O855" s="224">
        <f t="shared" si="6"/>
        <v>3.99</v>
      </c>
      <c r="P855" s="227">
        <f t="shared" si="7"/>
        <v>3.99</v>
      </c>
    </row>
    <row r="856" spans="1:16" ht="14.25">
      <c r="A856" s="224">
        <v>855</v>
      </c>
      <c r="B856" s="58">
        <v>21778</v>
      </c>
      <c r="C856" s="57" t="s">
        <v>3893</v>
      </c>
      <c r="D856" s="57" t="s">
        <v>2582</v>
      </c>
      <c r="E856" s="57" t="s">
        <v>2860</v>
      </c>
      <c r="F856" s="58" t="s">
        <v>3902</v>
      </c>
      <c r="G856" s="57">
        <v>4</v>
      </c>
      <c r="H856" s="57" t="s">
        <v>2557</v>
      </c>
      <c r="I856" s="58">
        <v>59732</v>
      </c>
      <c r="J856" s="234"/>
      <c r="K856" s="58">
        <v>0.03</v>
      </c>
      <c r="L856" s="58">
        <v>0</v>
      </c>
      <c r="M856" s="58">
        <v>0</v>
      </c>
      <c r="N856" s="58">
        <v>7.2975399999999997</v>
      </c>
      <c r="O856" s="224">
        <f t="shared" si="6"/>
        <v>0.03</v>
      </c>
      <c r="P856" s="227">
        <f t="shared" si="7"/>
        <v>4.1109743831482942E-3</v>
      </c>
    </row>
    <row r="857" spans="1:16" ht="14.25">
      <c r="A857" s="224">
        <v>856</v>
      </c>
      <c r="B857" s="58">
        <v>22559</v>
      </c>
      <c r="C857" s="57" t="s">
        <v>3891</v>
      </c>
      <c r="D857" s="57" t="s">
        <v>45</v>
      </c>
      <c r="E857" s="57" t="s">
        <v>9</v>
      </c>
      <c r="F857" s="58" t="s">
        <v>3903</v>
      </c>
      <c r="G857" s="57">
        <v>4</v>
      </c>
      <c r="H857" s="57" t="s">
        <v>3904</v>
      </c>
      <c r="I857" s="58">
        <v>59684</v>
      </c>
      <c r="J857" s="234"/>
      <c r="K857" s="58">
        <v>0</v>
      </c>
      <c r="L857" s="58">
        <v>-0.69</v>
      </c>
      <c r="M857" s="58">
        <v>3.99</v>
      </c>
      <c r="N857" s="58">
        <v>1</v>
      </c>
      <c r="O857" s="224">
        <f t="shared" si="6"/>
        <v>-3.3000000000000003</v>
      </c>
      <c r="P857" s="227">
        <f t="shared" si="7"/>
        <v>-3.3000000000000003</v>
      </c>
    </row>
    <row r="858" spans="1:16" ht="14.25">
      <c r="A858" s="224">
        <v>857</v>
      </c>
      <c r="B858" s="58">
        <v>22632</v>
      </c>
      <c r="C858" s="57" t="s">
        <v>3905</v>
      </c>
      <c r="D858" s="57" t="s">
        <v>45</v>
      </c>
      <c r="E858" s="57" t="s">
        <v>2874</v>
      </c>
      <c r="F858" s="243">
        <v>45768</v>
      </c>
      <c r="G858" s="57">
        <v>4</v>
      </c>
      <c r="H858" s="57" t="s">
        <v>2557</v>
      </c>
      <c r="I858" s="58">
        <v>59828</v>
      </c>
      <c r="J858" s="234" t="s">
        <v>3906</v>
      </c>
      <c r="K858" s="58">
        <v>3.99</v>
      </c>
      <c r="L858" s="58">
        <v>0</v>
      </c>
      <c r="M858" s="58">
        <v>0</v>
      </c>
      <c r="N858" s="58">
        <v>1</v>
      </c>
      <c r="O858" s="224">
        <f t="shared" si="6"/>
        <v>3.99</v>
      </c>
      <c r="P858" s="227">
        <f t="shared" si="7"/>
        <v>3.99</v>
      </c>
    </row>
    <row r="859" spans="1:16" ht="14.25">
      <c r="A859" s="224">
        <v>858</v>
      </c>
      <c r="B859" s="58">
        <v>22640</v>
      </c>
      <c r="C859" s="57" t="s">
        <v>3907</v>
      </c>
      <c r="D859" s="57" t="s">
        <v>2582</v>
      </c>
      <c r="E859" s="57" t="s">
        <v>2860</v>
      </c>
      <c r="F859" s="58" t="s">
        <v>3908</v>
      </c>
      <c r="G859" s="57">
        <v>4</v>
      </c>
      <c r="H859" s="57" t="s">
        <v>2557</v>
      </c>
      <c r="I859" s="58">
        <v>59840</v>
      </c>
      <c r="J859" s="234" t="s">
        <v>3909</v>
      </c>
      <c r="K859" s="58">
        <v>147.78</v>
      </c>
      <c r="L859" s="58">
        <v>0</v>
      </c>
      <c r="M859" s="58">
        <v>0</v>
      </c>
      <c r="N859" s="58">
        <v>7.2975399999999997</v>
      </c>
      <c r="O859" s="224">
        <f t="shared" si="6"/>
        <v>147.78</v>
      </c>
      <c r="P859" s="227">
        <f t="shared" si="7"/>
        <v>20.250659811388495</v>
      </c>
    </row>
    <row r="860" spans="1:16" ht="14.25">
      <c r="A860" s="224">
        <v>859</v>
      </c>
      <c r="B860" s="58">
        <v>5906</v>
      </c>
      <c r="C860" s="57" t="s">
        <v>2768</v>
      </c>
      <c r="D860" s="57" t="s">
        <v>45</v>
      </c>
      <c r="E860" s="57" t="s">
        <v>9</v>
      </c>
      <c r="F860" s="58" t="s">
        <v>3910</v>
      </c>
      <c r="G860" s="57">
        <v>4</v>
      </c>
      <c r="H860" s="57" t="s">
        <v>2557</v>
      </c>
      <c r="I860" s="58">
        <v>57271</v>
      </c>
      <c r="J860" s="234" t="s">
        <v>452</v>
      </c>
      <c r="K860" s="58">
        <v>4.99</v>
      </c>
      <c r="L860" s="58">
        <v>0.74</v>
      </c>
      <c r="M860" s="58">
        <v>0</v>
      </c>
      <c r="N860" s="58">
        <v>1</v>
      </c>
      <c r="O860" s="224">
        <f t="shared" si="6"/>
        <v>4.25</v>
      </c>
      <c r="P860" s="227">
        <f t="shared" si="7"/>
        <v>4.25</v>
      </c>
    </row>
    <row r="861" spans="1:16" ht="14.25">
      <c r="A861" s="224">
        <v>860</v>
      </c>
      <c r="B861" s="58">
        <v>3307</v>
      </c>
      <c r="C861" s="57" t="s">
        <v>2700</v>
      </c>
      <c r="D861" s="57" t="s">
        <v>45</v>
      </c>
      <c r="E861" s="57" t="s">
        <v>2860</v>
      </c>
      <c r="F861" s="58" t="s">
        <v>3911</v>
      </c>
      <c r="G861" s="57">
        <v>4</v>
      </c>
      <c r="H861" s="57" t="s">
        <v>2557</v>
      </c>
      <c r="I861" s="58">
        <v>59852</v>
      </c>
      <c r="J861" s="234" t="s">
        <v>3912</v>
      </c>
      <c r="K861" s="58">
        <v>3.99</v>
      </c>
      <c r="L861" s="58">
        <v>0</v>
      </c>
      <c r="M861" s="58">
        <v>0</v>
      </c>
      <c r="N861" s="58">
        <v>1</v>
      </c>
      <c r="O861" s="224">
        <f t="shared" si="6"/>
        <v>3.99</v>
      </c>
      <c r="P861" s="227">
        <f t="shared" si="7"/>
        <v>3.99</v>
      </c>
    </row>
    <row r="862" spans="1:16" ht="14.25">
      <c r="A862" s="224">
        <v>861</v>
      </c>
      <c r="B862" s="58">
        <v>18944</v>
      </c>
      <c r="C862" s="57" t="s">
        <v>3068</v>
      </c>
      <c r="D862" s="57" t="s">
        <v>45</v>
      </c>
      <c r="E862" s="57" t="s">
        <v>2860</v>
      </c>
      <c r="F862" s="58" t="s">
        <v>3913</v>
      </c>
      <c r="G862" s="57">
        <v>4</v>
      </c>
      <c r="H862" s="57" t="s">
        <v>2557</v>
      </c>
      <c r="I862" s="58">
        <v>58099</v>
      </c>
      <c r="J862" s="234" t="s">
        <v>3914</v>
      </c>
      <c r="K862" s="58">
        <v>7.99</v>
      </c>
      <c r="L862" s="58">
        <v>0</v>
      </c>
      <c r="M862" s="58">
        <v>0</v>
      </c>
      <c r="N862" s="58">
        <v>1</v>
      </c>
      <c r="O862" s="224">
        <f t="shared" si="6"/>
        <v>7.99</v>
      </c>
      <c r="P862" s="227">
        <f t="shared" si="7"/>
        <v>7.99</v>
      </c>
    </row>
    <row r="863" spans="1:16" ht="14.25">
      <c r="A863" s="224">
        <v>862</v>
      </c>
      <c r="B863" s="58">
        <v>22706</v>
      </c>
      <c r="C863" s="57" t="s">
        <v>3915</v>
      </c>
      <c r="D863" s="57" t="s">
        <v>45</v>
      </c>
      <c r="E863" s="57" t="s">
        <v>2860</v>
      </c>
      <c r="F863" s="58" t="s">
        <v>3916</v>
      </c>
      <c r="G863" s="57">
        <v>4</v>
      </c>
      <c r="H863" s="57" t="s">
        <v>2557</v>
      </c>
      <c r="I863" s="58">
        <v>60032</v>
      </c>
      <c r="J863" s="234" t="s">
        <v>3917</v>
      </c>
      <c r="K863" s="58">
        <v>1.99</v>
      </c>
      <c r="L863" s="58">
        <v>0</v>
      </c>
      <c r="M863" s="58">
        <v>0</v>
      </c>
      <c r="N863" s="58">
        <v>1</v>
      </c>
      <c r="O863" s="224">
        <f t="shared" si="6"/>
        <v>1.99</v>
      </c>
      <c r="P863" s="227">
        <f t="shared" si="7"/>
        <v>1.99</v>
      </c>
    </row>
    <row r="864" spans="1:16" ht="14.25">
      <c r="A864" s="224">
        <v>863</v>
      </c>
      <c r="B864" s="58">
        <v>22492</v>
      </c>
      <c r="C864" s="57" t="s">
        <v>3918</v>
      </c>
      <c r="D864" s="57" t="s">
        <v>2582</v>
      </c>
      <c r="E864" s="57" t="s">
        <v>9</v>
      </c>
      <c r="F864" s="58" t="s">
        <v>3919</v>
      </c>
      <c r="G864" s="57">
        <v>4</v>
      </c>
      <c r="H864" s="57" t="s">
        <v>2557</v>
      </c>
      <c r="I864" s="58">
        <v>59648</v>
      </c>
      <c r="J864" s="234" t="s">
        <v>454</v>
      </c>
      <c r="K864" s="58">
        <v>21.82</v>
      </c>
      <c r="L864" s="58">
        <v>4.67</v>
      </c>
      <c r="M864" s="58">
        <v>0</v>
      </c>
      <c r="N864" s="58">
        <v>7.2975399999999997</v>
      </c>
      <c r="O864" s="224">
        <f t="shared" si="6"/>
        <v>17.149999999999999</v>
      </c>
      <c r="P864" s="227">
        <f t="shared" si="7"/>
        <v>2.3501070223664411</v>
      </c>
    </row>
    <row r="865" spans="1:16" ht="14.25">
      <c r="A865" s="224">
        <v>864</v>
      </c>
      <c r="B865" s="58">
        <v>22724</v>
      </c>
      <c r="C865" s="57" t="s">
        <v>3920</v>
      </c>
      <c r="D865" s="57" t="s">
        <v>2582</v>
      </c>
      <c r="E865" s="57" t="s">
        <v>2860</v>
      </c>
      <c r="F865" s="58" t="s">
        <v>3921</v>
      </c>
      <c r="G865" s="57">
        <v>4</v>
      </c>
      <c r="H865" s="57" t="s">
        <v>2557</v>
      </c>
      <c r="I865" s="58">
        <v>60056</v>
      </c>
      <c r="J865" s="234" t="s">
        <v>3922</v>
      </c>
      <c r="K865" s="58">
        <v>29.12</v>
      </c>
      <c r="L865" s="58">
        <v>0</v>
      </c>
      <c r="M865" s="58">
        <v>0</v>
      </c>
      <c r="N865" s="58">
        <v>7.2975399999999997</v>
      </c>
      <c r="O865" s="224">
        <f t="shared" si="6"/>
        <v>29.12</v>
      </c>
      <c r="P865" s="227">
        <f t="shared" si="7"/>
        <v>3.9903858012426108</v>
      </c>
    </row>
    <row r="866" spans="1:16" ht="14.25">
      <c r="A866" s="224">
        <v>865</v>
      </c>
      <c r="B866" s="58">
        <v>22731</v>
      </c>
      <c r="C866" s="57" t="s">
        <v>3923</v>
      </c>
      <c r="D866" s="57" t="s">
        <v>45</v>
      </c>
      <c r="E866" s="57" t="s">
        <v>2860</v>
      </c>
      <c r="F866" s="58" t="s">
        <v>3924</v>
      </c>
      <c r="G866" s="57">
        <v>4</v>
      </c>
      <c r="H866" s="57" t="s">
        <v>2557</v>
      </c>
      <c r="I866" s="58">
        <v>60068</v>
      </c>
      <c r="J866" s="234" t="s">
        <v>3925</v>
      </c>
      <c r="K866" s="58">
        <v>29.99</v>
      </c>
      <c r="L866" s="58">
        <v>0</v>
      </c>
      <c r="M866" s="58">
        <v>0</v>
      </c>
      <c r="N866" s="58">
        <v>1</v>
      </c>
      <c r="O866" s="224">
        <f t="shared" si="6"/>
        <v>29.99</v>
      </c>
      <c r="P866" s="227">
        <f t="shared" si="7"/>
        <v>29.99</v>
      </c>
    </row>
    <row r="867" spans="1:16" ht="14.25">
      <c r="A867" s="224">
        <v>866</v>
      </c>
      <c r="B867" s="58">
        <v>22776</v>
      </c>
      <c r="C867" s="57" t="s">
        <v>3926</v>
      </c>
      <c r="D867" s="57" t="s">
        <v>2582</v>
      </c>
      <c r="E867" s="57" t="s">
        <v>2860</v>
      </c>
      <c r="F867" s="58" t="s">
        <v>3927</v>
      </c>
      <c r="G867" s="57">
        <v>4</v>
      </c>
      <c r="H867" s="57" t="s">
        <v>2557</v>
      </c>
      <c r="I867" s="58">
        <v>60080</v>
      </c>
      <c r="J867" s="234" t="s">
        <v>3928</v>
      </c>
      <c r="K867" s="58">
        <v>21.82</v>
      </c>
      <c r="L867" s="58">
        <v>0</v>
      </c>
      <c r="M867" s="58">
        <v>0</v>
      </c>
      <c r="N867" s="58">
        <v>7.2975399999999997</v>
      </c>
      <c r="O867" s="224">
        <f t="shared" si="6"/>
        <v>21.82</v>
      </c>
      <c r="P867" s="227">
        <f t="shared" si="7"/>
        <v>2.9900487013431927</v>
      </c>
    </row>
    <row r="868" spans="1:16" ht="14.25">
      <c r="A868" s="224">
        <v>867</v>
      </c>
      <c r="B868" s="58">
        <v>22778</v>
      </c>
      <c r="C868" s="57" t="s">
        <v>3929</v>
      </c>
      <c r="D868" s="57" t="s">
        <v>45</v>
      </c>
      <c r="E868" s="57" t="s">
        <v>9</v>
      </c>
      <c r="F868" s="58" t="s">
        <v>3930</v>
      </c>
      <c r="G868" s="57">
        <v>4</v>
      </c>
      <c r="H868" s="57" t="s">
        <v>2557</v>
      </c>
      <c r="I868" s="58">
        <v>60104</v>
      </c>
      <c r="J868" s="234" t="s">
        <v>456</v>
      </c>
      <c r="K868" s="58">
        <v>3.99</v>
      </c>
      <c r="L868" s="58">
        <v>0.69</v>
      </c>
      <c r="M868" s="58">
        <v>0</v>
      </c>
      <c r="N868" s="58">
        <v>1</v>
      </c>
      <c r="O868" s="224">
        <f t="shared" si="6"/>
        <v>3.3000000000000003</v>
      </c>
      <c r="P868" s="227">
        <f t="shared" si="7"/>
        <v>3.3000000000000003</v>
      </c>
    </row>
    <row r="869" spans="1:16" ht="14.25">
      <c r="A869" s="224">
        <v>868</v>
      </c>
      <c r="B869" s="58">
        <v>22778</v>
      </c>
      <c r="C869" s="57" t="s">
        <v>3929</v>
      </c>
      <c r="D869" s="57" t="s">
        <v>45</v>
      </c>
      <c r="E869" s="57" t="s">
        <v>2860</v>
      </c>
      <c r="F869" s="58" t="s">
        <v>3931</v>
      </c>
      <c r="G869" s="57">
        <v>4</v>
      </c>
      <c r="H869" s="57" t="s">
        <v>2557</v>
      </c>
      <c r="I869" s="58">
        <v>60116</v>
      </c>
      <c r="J869" s="234" t="s">
        <v>3932</v>
      </c>
      <c r="K869" s="58">
        <v>5.99</v>
      </c>
      <c r="L869" s="58">
        <v>0</v>
      </c>
      <c r="M869" s="58">
        <v>0</v>
      </c>
      <c r="N869" s="58">
        <v>1</v>
      </c>
      <c r="O869" s="224">
        <f t="shared" si="6"/>
        <v>5.99</v>
      </c>
      <c r="P869" s="227">
        <f t="shared" si="7"/>
        <v>5.99</v>
      </c>
    </row>
    <row r="870" spans="1:16" ht="14.25">
      <c r="A870" s="224">
        <v>869</v>
      </c>
      <c r="B870" s="58">
        <v>22640</v>
      </c>
      <c r="C870" s="57" t="s">
        <v>3907</v>
      </c>
      <c r="D870" s="57" t="s">
        <v>2582</v>
      </c>
      <c r="E870" s="57" t="s">
        <v>2860</v>
      </c>
      <c r="F870" s="58" t="s">
        <v>3933</v>
      </c>
      <c r="G870" s="57">
        <v>4</v>
      </c>
      <c r="H870" s="57" t="s">
        <v>2557</v>
      </c>
      <c r="I870" s="58">
        <v>60212</v>
      </c>
      <c r="J870" s="234" t="s">
        <v>3934</v>
      </c>
      <c r="K870" s="58">
        <v>36.49</v>
      </c>
      <c r="L870" s="58">
        <v>0</v>
      </c>
      <c r="M870" s="58">
        <v>0</v>
      </c>
      <c r="N870" s="58">
        <v>7.3134399999999999</v>
      </c>
      <c r="O870" s="224">
        <f t="shared" si="6"/>
        <v>36.49</v>
      </c>
      <c r="P870" s="227">
        <f t="shared" si="7"/>
        <v>4.9894440919731347</v>
      </c>
    </row>
    <row r="871" spans="1:16" ht="14.25">
      <c r="A871" s="224">
        <v>870</v>
      </c>
      <c r="B871" s="58">
        <v>22787</v>
      </c>
      <c r="C871" s="57" t="s">
        <v>3935</v>
      </c>
      <c r="D871" s="57" t="s">
        <v>45</v>
      </c>
      <c r="E871" s="57" t="s">
        <v>2860</v>
      </c>
      <c r="F871" s="58" t="s">
        <v>3936</v>
      </c>
      <c r="G871" s="57">
        <v>4</v>
      </c>
      <c r="H871" s="57" t="s">
        <v>2557</v>
      </c>
      <c r="I871" s="58">
        <v>60224</v>
      </c>
      <c r="J871" s="234" t="s">
        <v>3937</v>
      </c>
      <c r="K871" s="58">
        <v>3.99</v>
      </c>
      <c r="L871" s="58">
        <v>0</v>
      </c>
      <c r="M871" s="58">
        <v>0</v>
      </c>
      <c r="N871" s="58">
        <v>1</v>
      </c>
      <c r="O871" s="224">
        <f t="shared" si="6"/>
        <v>3.99</v>
      </c>
      <c r="P871" s="227">
        <f t="shared" si="7"/>
        <v>3.99</v>
      </c>
    </row>
    <row r="872" spans="1:16" ht="14.25">
      <c r="A872" s="224">
        <v>871</v>
      </c>
      <c r="B872" s="58">
        <v>19938</v>
      </c>
      <c r="C872" s="57" t="s">
        <v>3938</v>
      </c>
      <c r="D872" s="57" t="s">
        <v>45</v>
      </c>
      <c r="E872" s="57" t="s">
        <v>2860</v>
      </c>
      <c r="F872" s="58" t="s">
        <v>3939</v>
      </c>
      <c r="G872" s="57">
        <v>4</v>
      </c>
      <c r="H872" s="57" t="s">
        <v>2557</v>
      </c>
      <c r="I872" s="58">
        <v>60236</v>
      </c>
      <c r="J872" s="234" t="s">
        <v>3940</v>
      </c>
      <c r="K872" s="58">
        <v>5.49</v>
      </c>
      <c r="L872" s="58">
        <v>0</v>
      </c>
      <c r="M872" s="58">
        <v>0</v>
      </c>
      <c r="N872" s="58">
        <v>1</v>
      </c>
      <c r="O872" s="224">
        <f t="shared" si="6"/>
        <v>5.49</v>
      </c>
      <c r="P872" s="227">
        <f t="shared" si="7"/>
        <v>5.49</v>
      </c>
    </row>
    <row r="873" spans="1:16" ht="14.25">
      <c r="A873" s="224">
        <v>872</v>
      </c>
      <c r="B873" s="58">
        <v>3324</v>
      </c>
      <c r="C873" s="57" t="s">
        <v>2784</v>
      </c>
      <c r="D873" s="57" t="s">
        <v>45</v>
      </c>
      <c r="E873" s="57" t="s">
        <v>2860</v>
      </c>
      <c r="F873" s="58" t="s">
        <v>3941</v>
      </c>
      <c r="G873" s="57">
        <v>4</v>
      </c>
      <c r="H873" s="57" t="s">
        <v>2557</v>
      </c>
      <c r="I873" s="58">
        <v>57799</v>
      </c>
      <c r="J873" s="234" t="s">
        <v>3942</v>
      </c>
      <c r="K873" s="58">
        <v>2.99</v>
      </c>
      <c r="L873" s="58">
        <v>0</v>
      </c>
      <c r="M873" s="58">
        <v>0</v>
      </c>
      <c r="N873" s="58">
        <v>1</v>
      </c>
      <c r="O873" s="224">
        <f t="shared" si="6"/>
        <v>2.99</v>
      </c>
      <c r="P873" s="227">
        <f t="shared" si="7"/>
        <v>2.99</v>
      </c>
    </row>
    <row r="874" spans="1:16" ht="14.25">
      <c r="A874" s="224">
        <v>873</v>
      </c>
      <c r="B874" s="58">
        <v>1979</v>
      </c>
      <c r="C874" s="57" t="s">
        <v>3943</v>
      </c>
      <c r="D874" s="57" t="s">
        <v>2582</v>
      </c>
      <c r="E874" s="57" t="s">
        <v>2860</v>
      </c>
      <c r="F874" s="58" t="s">
        <v>3944</v>
      </c>
      <c r="G874" s="57">
        <v>4</v>
      </c>
      <c r="H874" s="57" t="s">
        <v>2557</v>
      </c>
      <c r="I874" s="58">
        <v>60248</v>
      </c>
      <c r="J874" s="234" t="s">
        <v>3945</v>
      </c>
      <c r="K874" s="58">
        <v>29.18</v>
      </c>
      <c r="L874" s="58">
        <v>0</v>
      </c>
      <c r="M874" s="58">
        <v>0</v>
      </c>
      <c r="N874" s="58">
        <v>7.3134399999999999</v>
      </c>
      <c r="O874" s="224">
        <f t="shared" si="6"/>
        <v>29.18</v>
      </c>
      <c r="P874" s="227">
        <f t="shared" si="7"/>
        <v>3.9899144588593054</v>
      </c>
    </row>
    <row r="875" spans="1:16" ht="14.25">
      <c r="A875" s="224">
        <v>874</v>
      </c>
      <c r="B875" s="58">
        <v>22809</v>
      </c>
      <c r="C875" s="57" t="s">
        <v>3946</v>
      </c>
      <c r="D875" s="57" t="s">
        <v>45</v>
      </c>
      <c r="E875" s="57" t="s">
        <v>2860</v>
      </c>
      <c r="F875" s="58" t="s">
        <v>3947</v>
      </c>
      <c r="G875" s="57">
        <v>4</v>
      </c>
      <c r="H875" s="57" t="s">
        <v>2557</v>
      </c>
      <c r="I875" s="58">
        <v>60260</v>
      </c>
      <c r="J875" s="234" t="s">
        <v>3948</v>
      </c>
      <c r="K875" s="58">
        <v>14.99</v>
      </c>
      <c r="L875" s="58">
        <v>0</v>
      </c>
      <c r="M875" s="58">
        <v>0</v>
      </c>
      <c r="N875" s="58">
        <v>1</v>
      </c>
      <c r="O875" s="224">
        <f t="shared" si="6"/>
        <v>14.99</v>
      </c>
      <c r="P875" s="227">
        <f t="shared" si="7"/>
        <v>14.99</v>
      </c>
    </row>
    <row r="876" spans="1:16" ht="14.25">
      <c r="A876" s="224">
        <v>875</v>
      </c>
      <c r="B876" s="58">
        <v>22810</v>
      </c>
      <c r="C876" s="57" t="s">
        <v>3949</v>
      </c>
      <c r="D876" s="57" t="s">
        <v>45</v>
      </c>
      <c r="E876" s="57" t="s">
        <v>2860</v>
      </c>
      <c r="F876" s="58" t="s">
        <v>3950</v>
      </c>
      <c r="G876" s="57">
        <v>4</v>
      </c>
      <c r="H876" s="57" t="s">
        <v>2557</v>
      </c>
      <c r="I876" s="58">
        <v>60272</v>
      </c>
      <c r="J876" s="234" t="s">
        <v>3951</v>
      </c>
      <c r="K876" s="58">
        <v>59.49</v>
      </c>
      <c r="L876" s="58">
        <v>0</v>
      </c>
      <c r="M876" s="58">
        <v>0</v>
      </c>
      <c r="N876" s="58">
        <v>1</v>
      </c>
      <c r="O876" s="224">
        <f t="shared" si="6"/>
        <v>59.49</v>
      </c>
      <c r="P876" s="227">
        <f t="shared" si="7"/>
        <v>59.49</v>
      </c>
    </row>
    <row r="877" spans="1:16" ht="14.25">
      <c r="A877" s="224">
        <v>876</v>
      </c>
      <c r="B877" s="58">
        <v>22570</v>
      </c>
      <c r="C877" s="57" t="s">
        <v>3952</v>
      </c>
      <c r="D877" s="57" t="s">
        <v>2582</v>
      </c>
      <c r="E877" s="57" t="s">
        <v>2860</v>
      </c>
      <c r="F877" s="58" t="s">
        <v>3953</v>
      </c>
      <c r="G877" s="57">
        <v>4</v>
      </c>
      <c r="H877" s="57" t="s">
        <v>2557</v>
      </c>
      <c r="I877" s="58">
        <v>60284</v>
      </c>
      <c r="J877" s="234" t="s">
        <v>3954</v>
      </c>
      <c r="K877" s="58">
        <v>29.18</v>
      </c>
      <c r="L877" s="58">
        <v>0</v>
      </c>
      <c r="M877" s="58">
        <v>0</v>
      </c>
      <c r="N877" s="58">
        <v>7.3134399999999999</v>
      </c>
      <c r="O877" s="224">
        <f t="shared" si="6"/>
        <v>29.18</v>
      </c>
      <c r="P877" s="227">
        <f t="shared" si="7"/>
        <v>3.9899144588593054</v>
      </c>
    </row>
    <row r="878" spans="1:16" ht="14.25">
      <c r="A878" s="224">
        <v>877</v>
      </c>
      <c r="B878" s="58">
        <v>22870</v>
      </c>
      <c r="C878" s="57" t="s">
        <v>3955</v>
      </c>
      <c r="D878" s="57" t="s">
        <v>45</v>
      </c>
      <c r="E878" s="57" t="s">
        <v>2860</v>
      </c>
      <c r="F878" s="58" t="s">
        <v>3956</v>
      </c>
      <c r="G878" s="57">
        <v>4</v>
      </c>
      <c r="H878" s="57" t="s">
        <v>2557</v>
      </c>
      <c r="I878" s="58">
        <v>60368</v>
      </c>
      <c r="J878" s="234" t="s">
        <v>3957</v>
      </c>
      <c r="K878" s="58">
        <v>8.39</v>
      </c>
      <c r="L878" s="58">
        <v>0</v>
      </c>
      <c r="M878" s="58">
        <v>0</v>
      </c>
      <c r="N878" s="58">
        <v>1</v>
      </c>
      <c r="O878" s="224">
        <f t="shared" si="6"/>
        <v>8.39</v>
      </c>
      <c r="P878" s="227">
        <f t="shared" si="7"/>
        <v>8.39</v>
      </c>
    </row>
    <row r="879" spans="1:16" ht="14.25">
      <c r="A879" s="224">
        <v>878</v>
      </c>
      <c r="B879" s="58">
        <v>21385</v>
      </c>
      <c r="C879" s="57" t="s">
        <v>3654</v>
      </c>
      <c r="D879" s="57" t="s">
        <v>45</v>
      </c>
      <c r="E879" s="57" t="s">
        <v>2860</v>
      </c>
      <c r="F879" s="58" t="s">
        <v>3958</v>
      </c>
      <c r="G879" s="57">
        <v>4</v>
      </c>
      <c r="H879" s="57" t="s">
        <v>2557</v>
      </c>
      <c r="I879" s="58">
        <v>60140</v>
      </c>
      <c r="J879" s="234" t="s">
        <v>3959</v>
      </c>
      <c r="K879" s="58">
        <v>13.99</v>
      </c>
      <c r="L879" s="58">
        <v>0</v>
      </c>
      <c r="M879" s="58">
        <v>0</v>
      </c>
      <c r="N879" s="58">
        <v>1</v>
      </c>
      <c r="O879" s="224">
        <f t="shared" si="6"/>
        <v>13.99</v>
      </c>
      <c r="P879" s="227">
        <f t="shared" si="7"/>
        <v>13.99</v>
      </c>
    </row>
    <row r="880" spans="1:16" ht="14.25">
      <c r="A880" s="224">
        <v>879</v>
      </c>
      <c r="B880" s="58">
        <v>21560</v>
      </c>
      <c r="C880" s="57" t="s">
        <v>3716</v>
      </c>
      <c r="D880" s="57" t="s">
        <v>2582</v>
      </c>
      <c r="E880" s="57" t="s">
        <v>2860</v>
      </c>
      <c r="F880" s="58" t="s">
        <v>3960</v>
      </c>
      <c r="G880" s="57">
        <v>4</v>
      </c>
      <c r="H880" s="57" t="s">
        <v>2557</v>
      </c>
      <c r="I880" s="58">
        <v>60392</v>
      </c>
      <c r="J880" s="234" t="s">
        <v>3961</v>
      </c>
      <c r="K880" s="58">
        <v>98.99</v>
      </c>
      <c r="L880" s="58">
        <v>0</v>
      </c>
      <c r="M880" s="58">
        <v>0</v>
      </c>
      <c r="N880" s="58">
        <v>7.2894699999999997</v>
      </c>
      <c r="O880" s="224">
        <f t="shared" si="6"/>
        <v>98.99</v>
      </c>
      <c r="P880" s="227">
        <f t="shared" si="7"/>
        <v>13.57986245913626</v>
      </c>
    </row>
    <row r="881" spans="1:16" ht="14.25">
      <c r="A881" s="224">
        <v>880</v>
      </c>
      <c r="B881" s="58">
        <v>1560</v>
      </c>
      <c r="C881" s="57" t="s">
        <v>2630</v>
      </c>
      <c r="D881" s="57" t="s">
        <v>45</v>
      </c>
      <c r="E881" s="57" t="s">
        <v>2860</v>
      </c>
      <c r="F881" s="58" t="s">
        <v>3962</v>
      </c>
      <c r="G881" s="57">
        <v>4</v>
      </c>
      <c r="H881" s="57" t="s">
        <v>2557</v>
      </c>
      <c r="I881" s="58">
        <v>58507</v>
      </c>
      <c r="J881" s="234" t="s">
        <v>3963</v>
      </c>
      <c r="K881" s="58">
        <v>8.9700000000000006</v>
      </c>
      <c r="L881" s="58">
        <v>0</v>
      </c>
      <c r="M881" s="58">
        <v>0</v>
      </c>
      <c r="N881" s="58">
        <v>1</v>
      </c>
      <c r="O881" s="224">
        <f t="shared" si="6"/>
        <v>8.9700000000000006</v>
      </c>
      <c r="P881" s="227">
        <f t="shared" si="7"/>
        <v>8.9700000000000006</v>
      </c>
    </row>
    <row r="882" spans="1:16" ht="14.25">
      <c r="A882" s="224">
        <v>881</v>
      </c>
      <c r="B882" s="58">
        <v>1560</v>
      </c>
      <c r="C882" s="57" t="s">
        <v>2630</v>
      </c>
      <c r="D882" s="57" t="s">
        <v>45</v>
      </c>
      <c r="E882" s="57" t="s">
        <v>2860</v>
      </c>
      <c r="F882" s="58" t="s">
        <v>3964</v>
      </c>
      <c r="G882" s="57">
        <v>4</v>
      </c>
      <c r="H882" s="57" t="s">
        <v>2557</v>
      </c>
      <c r="I882" s="58">
        <v>59095</v>
      </c>
      <c r="J882" s="234" t="s">
        <v>3965</v>
      </c>
      <c r="K882" s="58">
        <v>9.9700000000000006</v>
      </c>
      <c r="L882" s="58">
        <v>0</v>
      </c>
      <c r="M882" s="58">
        <v>0</v>
      </c>
      <c r="N882" s="58">
        <v>1</v>
      </c>
      <c r="O882" s="224">
        <f t="shared" si="6"/>
        <v>9.9700000000000006</v>
      </c>
      <c r="P882" s="227">
        <f t="shared" si="7"/>
        <v>9.9700000000000006</v>
      </c>
    </row>
    <row r="883" spans="1:16" ht="14.25">
      <c r="A883" s="224">
        <v>882</v>
      </c>
      <c r="B883" s="58">
        <v>19938</v>
      </c>
      <c r="C883" s="57" t="s">
        <v>3938</v>
      </c>
      <c r="D883" s="57" t="s">
        <v>45</v>
      </c>
      <c r="E883" s="57" t="s">
        <v>2860</v>
      </c>
      <c r="F883" s="58" t="s">
        <v>3966</v>
      </c>
      <c r="G883" s="57">
        <v>4</v>
      </c>
      <c r="H883" s="57" t="s">
        <v>3967</v>
      </c>
      <c r="I883" s="58">
        <v>60236</v>
      </c>
      <c r="J883" s="234"/>
      <c r="K883" s="58">
        <v>0</v>
      </c>
      <c r="L883" s="58">
        <v>0</v>
      </c>
      <c r="M883" s="58">
        <v>5.49</v>
      </c>
      <c r="N883" s="58">
        <v>1</v>
      </c>
      <c r="O883" s="224">
        <f t="shared" si="6"/>
        <v>-5.49</v>
      </c>
      <c r="P883" s="227">
        <f t="shared" si="7"/>
        <v>-5.49</v>
      </c>
    </row>
    <row r="884" spans="1:16" ht="14.25">
      <c r="A884" s="224">
        <v>883</v>
      </c>
      <c r="B884" s="58">
        <v>1836</v>
      </c>
      <c r="C884" s="57" t="s">
        <v>2882</v>
      </c>
      <c r="D884" s="57" t="s">
        <v>2582</v>
      </c>
      <c r="E884" s="57" t="s">
        <v>2860</v>
      </c>
      <c r="F884" s="58" t="s">
        <v>3968</v>
      </c>
      <c r="G884" s="57">
        <v>4</v>
      </c>
      <c r="H884" s="57" t="s">
        <v>2557</v>
      </c>
      <c r="I884" s="58">
        <v>59816</v>
      </c>
      <c r="J884" s="234" t="s">
        <v>3969</v>
      </c>
      <c r="K884" s="58">
        <v>86.82</v>
      </c>
      <c r="L884" s="58">
        <v>0</v>
      </c>
      <c r="M884" s="58">
        <v>0</v>
      </c>
      <c r="N884" s="58">
        <v>7.2894699999999997</v>
      </c>
      <c r="O884" s="224">
        <f t="shared" si="6"/>
        <v>86.82</v>
      </c>
      <c r="P884" s="227">
        <f t="shared" si="7"/>
        <v>11.910330929409133</v>
      </c>
    </row>
    <row r="885" spans="1:16" ht="14.25">
      <c r="A885" s="224">
        <v>884</v>
      </c>
      <c r="B885" s="58">
        <v>1836</v>
      </c>
      <c r="C885" s="57" t="s">
        <v>2882</v>
      </c>
      <c r="D885" s="57" t="s">
        <v>2582</v>
      </c>
      <c r="E885" s="57" t="s">
        <v>2860</v>
      </c>
      <c r="F885" s="58" t="s">
        <v>3970</v>
      </c>
      <c r="G885" s="57">
        <v>4</v>
      </c>
      <c r="H885" s="57" t="s">
        <v>2557</v>
      </c>
      <c r="I885" s="58">
        <v>60128</v>
      </c>
      <c r="J885" s="234" t="s">
        <v>3971</v>
      </c>
      <c r="K885" s="58">
        <v>87.11</v>
      </c>
      <c r="L885" s="58">
        <v>0</v>
      </c>
      <c r="M885" s="58">
        <v>0</v>
      </c>
      <c r="N885" s="58">
        <v>7.2894699999999997</v>
      </c>
      <c r="O885" s="224">
        <f t="shared" si="6"/>
        <v>87.11</v>
      </c>
      <c r="P885" s="227">
        <f t="shared" si="7"/>
        <v>11.950114343018081</v>
      </c>
    </row>
    <row r="886" spans="1:16" ht="14.25">
      <c r="A886" s="224">
        <v>885</v>
      </c>
      <c r="B886" s="58">
        <v>22934</v>
      </c>
      <c r="C886" s="57" t="s">
        <v>3972</v>
      </c>
      <c r="D886" s="57" t="s">
        <v>45</v>
      </c>
      <c r="E886" s="57" t="s">
        <v>2860</v>
      </c>
      <c r="F886" s="58" t="s">
        <v>3973</v>
      </c>
      <c r="G886" s="57">
        <v>4</v>
      </c>
      <c r="H886" s="57" t="s">
        <v>2557</v>
      </c>
      <c r="I886" s="58">
        <v>60404</v>
      </c>
      <c r="J886" s="234" t="s">
        <v>3974</v>
      </c>
      <c r="K886" s="58">
        <v>3.99</v>
      </c>
      <c r="L886" s="58">
        <v>0</v>
      </c>
      <c r="M886" s="58">
        <v>0</v>
      </c>
      <c r="N886" s="58">
        <v>1</v>
      </c>
      <c r="O886" s="224">
        <f t="shared" si="6"/>
        <v>3.99</v>
      </c>
      <c r="P886" s="227">
        <f t="shared" si="7"/>
        <v>3.99</v>
      </c>
    </row>
    <row r="887" spans="1:16" ht="14.25">
      <c r="A887" s="224">
        <v>886</v>
      </c>
      <c r="B887" s="58">
        <v>22939</v>
      </c>
      <c r="C887" s="57" t="s">
        <v>3975</v>
      </c>
      <c r="D887" s="57" t="s">
        <v>45</v>
      </c>
      <c r="E887" s="57" t="s">
        <v>2860</v>
      </c>
      <c r="F887" s="58" t="s">
        <v>3976</v>
      </c>
      <c r="G887" s="57">
        <v>4</v>
      </c>
      <c r="H887" s="57" t="s">
        <v>2557</v>
      </c>
      <c r="I887" s="58">
        <v>60416</v>
      </c>
      <c r="J887" s="234" t="s">
        <v>3977</v>
      </c>
      <c r="K887" s="58">
        <v>3.99</v>
      </c>
      <c r="L887" s="58">
        <v>0</v>
      </c>
      <c r="M887" s="58">
        <v>0</v>
      </c>
      <c r="N887" s="58">
        <v>1</v>
      </c>
      <c r="O887" s="224">
        <f t="shared" si="6"/>
        <v>3.99</v>
      </c>
      <c r="P887" s="227">
        <f t="shared" si="7"/>
        <v>3.99</v>
      </c>
    </row>
    <row r="888" spans="1:16" ht="14.25">
      <c r="A888" s="224">
        <v>887</v>
      </c>
      <c r="B888" s="58">
        <v>22946</v>
      </c>
      <c r="C888" s="57" t="s">
        <v>3978</v>
      </c>
      <c r="D888" s="57" t="s">
        <v>45</v>
      </c>
      <c r="E888" s="57" t="s">
        <v>2874</v>
      </c>
      <c r="F888" s="243">
        <v>45773</v>
      </c>
      <c r="G888" s="57">
        <v>4</v>
      </c>
      <c r="H888" s="57" t="s">
        <v>2557</v>
      </c>
      <c r="I888" s="58">
        <v>60428</v>
      </c>
      <c r="J888" s="234" t="s">
        <v>3979</v>
      </c>
      <c r="K888" s="58">
        <v>179</v>
      </c>
      <c r="L888" s="58">
        <v>0</v>
      </c>
      <c r="M888" s="58">
        <v>0</v>
      </c>
      <c r="N888" s="58">
        <v>1</v>
      </c>
      <c r="O888" s="224">
        <f t="shared" si="6"/>
        <v>179</v>
      </c>
      <c r="P888" s="227">
        <f t="shared" si="7"/>
        <v>179</v>
      </c>
    </row>
    <row r="889" spans="1:16" ht="14.25">
      <c r="A889" s="224">
        <v>888</v>
      </c>
      <c r="B889" s="58">
        <v>22959</v>
      </c>
      <c r="C889" s="57" t="s">
        <v>3980</v>
      </c>
      <c r="D889" s="57" t="s">
        <v>2582</v>
      </c>
      <c r="E889" s="57" t="s">
        <v>2860</v>
      </c>
      <c r="F889" s="58" t="s">
        <v>3981</v>
      </c>
      <c r="G889" s="57">
        <v>4</v>
      </c>
      <c r="H889" s="57" t="s">
        <v>2557</v>
      </c>
      <c r="I889" s="58">
        <v>60440</v>
      </c>
      <c r="J889" s="234" t="s">
        <v>3982</v>
      </c>
      <c r="K889" s="58">
        <v>147.61000000000001</v>
      </c>
      <c r="L889" s="58">
        <v>0</v>
      </c>
      <c r="M889" s="58">
        <v>0</v>
      </c>
      <c r="N889" s="58">
        <v>7.2894699999999997</v>
      </c>
      <c r="O889" s="224">
        <f t="shared" si="6"/>
        <v>147.61000000000001</v>
      </c>
      <c r="P889" s="227">
        <f t="shared" si="7"/>
        <v>20.249757526953264</v>
      </c>
    </row>
    <row r="890" spans="1:16" ht="14.25">
      <c r="A890" s="224">
        <v>889</v>
      </c>
      <c r="B890" s="58">
        <v>1627</v>
      </c>
      <c r="C890" s="57" t="s">
        <v>3983</v>
      </c>
      <c r="D890" s="57" t="s">
        <v>45</v>
      </c>
      <c r="E890" s="57" t="s">
        <v>2860</v>
      </c>
      <c r="F890" s="58" t="s">
        <v>3984</v>
      </c>
      <c r="G890" s="57">
        <v>4</v>
      </c>
      <c r="H890" s="57" t="s">
        <v>2557</v>
      </c>
      <c r="I890" s="58">
        <v>60452</v>
      </c>
      <c r="J890" s="234" t="s">
        <v>3985</v>
      </c>
      <c r="K890" s="58">
        <v>8.39</v>
      </c>
      <c r="L890" s="58">
        <v>0</v>
      </c>
      <c r="M890" s="58">
        <v>0</v>
      </c>
      <c r="N890" s="58">
        <v>1</v>
      </c>
      <c r="O890" s="224">
        <f t="shared" si="6"/>
        <v>8.39</v>
      </c>
      <c r="P890" s="227">
        <f t="shared" si="7"/>
        <v>8.39</v>
      </c>
    </row>
    <row r="891" spans="1:16" ht="14.25">
      <c r="A891" s="224">
        <v>890</v>
      </c>
      <c r="B891" s="58">
        <v>22982</v>
      </c>
      <c r="C891" s="57" t="s">
        <v>3986</v>
      </c>
      <c r="D891" s="57" t="s">
        <v>2582</v>
      </c>
      <c r="E891" s="57" t="s">
        <v>2860</v>
      </c>
      <c r="F891" s="58" t="s">
        <v>3987</v>
      </c>
      <c r="G891" s="57">
        <v>4</v>
      </c>
      <c r="H891" s="57" t="s">
        <v>2557</v>
      </c>
      <c r="I891" s="58">
        <v>60536</v>
      </c>
      <c r="J891" s="234" t="s">
        <v>3988</v>
      </c>
      <c r="K891" s="58">
        <v>29.08</v>
      </c>
      <c r="L891" s="58">
        <v>0</v>
      </c>
      <c r="M891" s="58">
        <v>0</v>
      </c>
      <c r="N891" s="58">
        <v>7.2882800000000003</v>
      </c>
      <c r="O891" s="224">
        <f t="shared" si="6"/>
        <v>29.08</v>
      </c>
      <c r="P891" s="227">
        <f t="shared" si="7"/>
        <v>3.9899674545983412</v>
      </c>
    </row>
    <row r="892" spans="1:16" ht="14.25">
      <c r="A892" s="224">
        <v>891</v>
      </c>
      <c r="B892" s="58">
        <v>19275</v>
      </c>
      <c r="C892" s="57" t="s">
        <v>3112</v>
      </c>
      <c r="D892" s="57" t="s">
        <v>45</v>
      </c>
      <c r="E892" s="57" t="s">
        <v>2874</v>
      </c>
      <c r="F892" s="243">
        <v>45773</v>
      </c>
      <c r="G892" s="57">
        <v>4</v>
      </c>
      <c r="H892" s="57" t="s">
        <v>2557</v>
      </c>
      <c r="I892" s="58">
        <v>60548</v>
      </c>
      <c r="J892" s="234" t="s">
        <v>3989</v>
      </c>
      <c r="K892" s="58">
        <v>119.98</v>
      </c>
      <c r="L892" s="58">
        <v>0</v>
      </c>
      <c r="M892" s="58">
        <v>0</v>
      </c>
      <c r="N892" s="58">
        <v>1</v>
      </c>
      <c r="O892" s="224">
        <f t="shared" si="6"/>
        <v>119.98</v>
      </c>
      <c r="P892" s="227">
        <f t="shared" si="7"/>
        <v>119.98</v>
      </c>
    </row>
    <row r="893" spans="1:16" ht="14.25">
      <c r="A893" s="224">
        <v>892</v>
      </c>
      <c r="B893" s="58">
        <v>21560</v>
      </c>
      <c r="C893" s="57" t="s">
        <v>3716</v>
      </c>
      <c r="D893" s="57" t="s">
        <v>2582</v>
      </c>
      <c r="E893" s="57" t="s">
        <v>2860</v>
      </c>
      <c r="F893" s="58" t="s">
        <v>3990</v>
      </c>
      <c r="G893" s="57">
        <v>4</v>
      </c>
      <c r="H893" s="57" t="s">
        <v>2557</v>
      </c>
      <c r="I893" s="58">
        <v>60392</v>
      </c>
      <c r="J893" s="234"/>
      <c r="K893" s="58">
        <v>0.01</v>
      </c>
      <c r="L893" s="58">
        <v>0</v>
      </c>
      <c r="M893" s="58">
        <v>0</v>
      </c>
      <c r="N893" s="58">
        <v>7.2882800000000003</v>
      </c>
      <c r="O893" s="224">
        <f t="shared" si="6"/>
        <v>0.01</v>
      </c>
      <c r="P893" s="227">
        <f t="shared" si="7"/>
        <v>1.3720658372071326E-3</v>
      </c>
    </row>
    <row r="894" spans="1:16" ht="14.25">
      <c r="A894" s="224">
        <v>893</v>
      </c>
      <c r="B894" s="58">
        <v>22559</v>
      </c>
      <c r="C894" s="57" t="s">
        <v>3891</v>
      </c>
      <c r="D894" s="57" t="s">
        <v>45</v>
      </c>
      <c r="E894" s="57" t="s">
        <v>9</v>
      </c>
      <c r="F894" s="58" t="s">
        <v>3991</v>
      </c>
      <c r="G894" s="57">
        <v>4</v>
      </c>
      <c r="H894" s="57" t="s">
        <v>2557</v>
      </c>
      <c r="I894" s="58">
        <v>60608</v>
      </c>
      <c r="J894" s="234" t="s">
        <v>457</v>
      </c>
      <c r="K894" s="58">
        <v>6.99</v>
      </c>
      <c r="L894" s="58">
        <v>0.84</v>
      </c>
      <c r="M894" s="58">
        <v>0</v>
      </c>
      <c r="N894" s="58">
        <v>1</v>
      </c>
      <c r="O894" s="224">
        <f t="shared" si="6"/>
        <v>6.15</v>
      </c>
      <c r="P894" s="227">
        <f t="shared" si="7"/>
        <v>6.15</v>
      </c>
    </row>
    <row r="895" spans="1:16" ht="14.25">
      <c r="A895" s="224">
        <v>894</v>
      </c>
      <c r="B895" s="58">
        <v>1836</v>
      </c>
      <c r="C895" s="57" t="s">
        <v>2882</v>
      </c>
      <c r="D895" s="57" t="s">
        <v>2582</v>
      </c>
      <c r="E895" s="57" t="s">
        <v>2860</v>
      </c>
      <c r="F895" s="58" t="s">
        <v>3992</v>
      </c>
      <c r="G895" s="57">
        <v>4</v>
      </c>
      <c r="H895" s="57" t="s">
        <v>2557</v>
      </c>
      <c r="I895" s="58">
        <v>60464</v>
      </c>
      <c r="J895" s="234" t="s">
        <v>3993</v>
      </c>
      <c r="K895" s="58">
        <v>85.93</v>
      </c>
      <c r="L895" s="58">
        <v>0</v>
      </c>
      <c r="M895" s="58">
        <v>0</v>
      </c>
      <c r="N895" s="58">
        <v>7.2882800000000003</v>
      </c>
      <c r="O895" s="224">
        <f t="shared" si="6"/>
        <v>85.93</v>
      </c>
      <c r="P895" s="227">
        <f t="shared" si="7"/>
        <v>11.79016173912089</v>
      </c>
    </row>
    <row r="896" spans="1:16" ht="14.25">
      <c r="A896" s="224">
        <v>895</v>
      </c>
      <c r="B896" s="58">
        <v>1836</v>
      </c>
      <c r="C896" s="57" t="s">
        <v>2882</v>
      </c>
      <c r="D896" s="57" t="s">
        <v>2582</v>
      </c>
      <c r="E896" s="57" t="s">
        <v>2860</v>
      </c>
      <c r="F896" s="58" t="s">
        <v>3994</v>
      </c>
      <c r="G896" s="57">
        <v>4</v>
      </c>
      <c r="H896" s="57" t="s">
        <v>2557</v>
      </c>
      <c r="I896" s="58">
        <v>60464</v>
      </c>
      <c r="J896" s="234"/>
      <c r="K896" s="58">
        <v>0.02</v>
      </c>
      <c r="L896" s="58">
        <v>0</v>
      </c>
      <c r="M896" s="58">
        <v>0</v>
      </c>
      <c r="N896" s="58">
        <v>7.2882800000000003</v>
      </c>
      <c r="O896" s="224">
        <f t="shared" si="6"/>
        <v>0.02</v>
      </c>
      <c r="P896" s="227">
        <f t="shared" si="7"/>
        <v>2.7441316744142652E-3</v>
      </c>
    </row>
    <row r="897" spans="1:16" ht="14.25">
      <c r="A897" s="224">
        <v>896</v>
      </c>
      <c r="B897" s="58">
        <v>1836</v>
      </c>
      <c r="C897" s="57" t="s">
        <v>2882</v>
      </c>
      <c r="D897" s="57" t="s">
        <v>2582</v>
      </c>
      <c r="E897" s="57" t="s">
        <v>2860</v>
      </c>
      <c r="F897" s="58" t="s">
        <v>3995</v>
      </c>
      <c r="G897" s="57">
        <v>4</v>
      </c>
      <c r="H897" s="57" t="s">
        <v>2557</v>
      </c>
      <c r="I897" s="58">
        <v>58447</v>
      </c>
      <c r="J897" s="234"/>
      <c r="K897" s="58">
        <v>0.02</v>
      </c>
      <c r="L897" s="58">
        <v>0</v>
      </c>
      <c r="M897" s="58">
        <v>0</v>
      </c>
      <c r="N897" s="58">
        <v>7.2882800000000003</v>
      </c>
      <c r="O897" s="224">
        <f t="shared" si="6"/>
        <v>0.02</v>
      </c>
      <c r="P897" s="227">
        <f t="shared" si="7"/>
        <v>2.7441316744142652E-3</v>
      </c>
    </row>
    <row r="898" spans="1:16" ht="14.25">
      <c r="A898" s="224">
        <v>897</v>
      </c>
      <c r="B898" s="58">
        <v>19093</v>
      </c>
      <c r="C898" s="57" t="s">
        <v>3094</v>
      </c>
      <c r="D898" s="57" t="s">
        <v>45</v>
      </c>
      <c r="E898" s="57" t="s">
        <v>2860</v>
      </c>
      <c r="F898" s="58" t="s">
        <v>3996</v>
      </c>
      <c r="G898" s="57">
        <v>4</v>
      </c>
      <c r="H898" s="57" t="s">
        <v>2557</v>
      </c>
      <c r="I898" s="58">
        <v>59540</v>
      </c>
      <c r="J898" s="234" t="s">
        <v>3997</v>
      </c>
      <c r="K898" s="58">
        <v>1.79</v>
      </c>
      <c r="L898" s="58">
        <v>0</v>
      </c>
      <c r="M898" s="58">
        <v>0</v>
      </c>
      <c r="N898" s="58">
        <v>1</v>
      </c>
      <c r="O898" s="224">
        <f t="shared" si="6"/>
        <v>1.79</v>
      </c>
      <c r="P898" s="227">
        <f t="shared" si="7"/>
        <v>1.79</v>
      </c>
    </row>
    <row r="899" spans="1:16" ht="14.25">
      <c r="A899" s="224">
        <v>898</v>
      </c>
      <c r="B899" s="58">
        <v>22541</v>
      </c>
      <c r="C899" s="57" t="s">
        <v>3998</v>
      </c>
      <c r="D899" s="57" t="s">
        <v>2582</v>
      </c>
      <c r="E899" s="57" t="s">
        <v>2860</v>
      </c>
      <c r="F899" s="58" t="s">
        <v>3999</v>
      </c>
      <c r="G899" s="57">
        <v>4</v>
      </c>
      <c r="H899" s="57" t="s">
        <v>2557</v>
      </c>
      <c r="I899" s="58">
        <v>60620</v>
      </c>
      <c r="J899" s="234" t="s">
        <v>4000</v>
      </c>
      <c r="K899" s="58">
        <v>21.79</v>
      </c>
      <c r="L899" s="58">
        <v>0</v>
      </c>
      <c r="M899" s="58">
        <v>0</v>
      </c>
      <c r="N899" s="58">
        <v>7.2882800000000003</v>
      </c>
      <c r="O899" s="224">
        <f t="shared" si="6"/>
        <v>21.79</v>
      </c>
      <c r="P899" s="227">
        <f t="shared" si="7"/>
        <v>2.9897314592743416</v>
      </c>
    </row>
    <row r="900" spans="1:16" ht="14.25">
      <c r="A900" s="224">
        <v>899</v>
      </c>
      <c r="B900" s="58">
        <v>19346</v>
      </c>
      <c r="C900" s="57" t="s">
        <v>3144</v>
      </c>
      <c r="D900" s="57" t="s">
        <v>45</v>
      </c>
      <c r="E900" s="57" t="s">
        <v>9</v>
      </c>
      <c r="F900" s="58" t="s">
        <v>4001</v>
      </c>
      <c r="G900" s="57">
        <v>4</v>
      </c>
      <c r="H900" s="57" t="s">
        <v>2557</v>
      </c>
      <c r="I900" s="58">
        <v>60644</v>
      </c>
      <c r="J900" s="234" t="s">
        <v>459</v>
      </c>
      <c r="K900" s="58">
        <v>3.99</v>
      </c>
      <c r="L900" s="58">
        <v>0.69</v>
      </c>
      <c r="M900" s="58">
        <v>0</v>
      </c>
      <c r="N900" s="58">
        <v>1</v>
      </c>
      <c r="O900" s="224">
        <f t="shared" si="6"/>
        <v>3.3000000000000003</v>
      </c>
      <c r="P900" s="227">
        <f t="shared" si="7"/>
        <v>3.3000000000000003</v>
      </c>
    </row>
    <row r="901" spans="1:16" ht="14.25">
      <c r="A901" s="224">
        <v>900</v>
      </c>
      <c r="B901" s="58">
        <v>22809</v>
      </c>
      <c r="C901" s="57" t="s">
        <v>3946</v>
      </c>
      <c r="D901" s="57" t="s">
        <v>45</v>
      </c>
      <c r="E901" s="57" t="s">
        <v>2860</v>
      </c>
      <c r="F901" s="58" t="s">
        <v>4002</v>
      </c>
      <c r="G901" s="57">
        <v>4</v>
      </c>
      <c r="H901" s="57" t="s">
        <v>2557</v>
      </c>
      <c r="I901" s="58">
        <v>60656</v>
      </c>
      <c r="J901" s="234" t="s">
        <v>4003</v>
      </c>
      <c r="K901" s="58">
        <v>12.99</v>
      </c>
      <c r="L901" s="58">
        <v>0</v>
      </c>
      <c r="M901" s="58">
        <v>0</v>
      </c>
      <c r="N901" s="58">
        <v>1</v>
      </c>
      <c r="O901" s="224">
        <f t="shared" si="6"/>
        <v>12.99</v>
      </c>
      <c r="P901" s="227">
        <f t="shared" si="7"/>
        <v>12.99</v>
      </c>
    </row>
    <row r="902" spans="1:16" ht="14.25">
      <c r="A902" s="224">
        <v>901</v>
      </c>
      <c r="B902" s="58">
        <v>22809</v>
      </c>
      <c r="C902" s="57" t="s">
        <v>3946</v>
      </c>
      <c r="D902" s="57" t="s">
        <v>45</v>
      </c>
      <c r="E902" s="57" t="s">
        <v>2860</v>
      </c>
      <c r="F902" s="58" t="s">
        <v>4002</v>
      </c>
      <c r="G902" s="57">
        <v>4</v>
      </c>
      <c r="H902" s="57" t="s">
        <v>2557</v>
      </c>
      <c r="I902" s="58">
        <v>60656</v>
      </c>
      <c r="J902" s="234" t="s">
        <v>4003</v>
      </c>
      <c r="K902" s="58">
        <v>12.99</v>
      </c>
      <c r="L902" s="58">
        <v>0</v>
      </c>
      <c r="M902" s="58">
        <v>0</v>
      </c>
      <c r="N902" s="58">
        <v>1</v>
      </c>
      <c r="O902" s="224">
        <f t="shared" si="6"/>
        <v>12.99</v>
      </c>
      <c r="P902" s="227">
        <f t="shared" si="7"/>
        <v>12.99</v>
      </c>
    </row>
    <row r="903" spans="1:16" ht="14.25">
      <c r="A903" s="224">
        <v>902</v>
      </c>
      <c r="B903" s="58">
        <v>283</v>
      </c>
      <c r="C903" s="57" t="s">
        <v>3548</v>
      </c>
      <c r="D903" s="57" t="s">
        <v>45</v>
      </c>
      <c r="E903" s="57" t="s">
        <v>2860</v>
      </c>
      <c r="F903" s="58" t="s">
        <v>4004</v>
      </c>
      <c r="G903" s="57">
        <v>4</v>
      </c>
      <c r="H903" s="57" t="s">
        <v>2557</v>
      </c>
      <c r="I903" s="58">
        <v>58567</v>
      </c>
      <c r="J903" s="234" t="s">
        <v>4005</v>
      </c>
      <c r="K903" s="58">
        <v>1.79</v>
      </c>
      <c r="L903" s="58">
        <v>0</v>
      </c>
      <c r="M903" s="58">
        <v>0</v>
      </c>
      <c r="N903" s="58">
        <v>1</v>
      </c>
      <c r="O903" s="224">
        <f t="shared" si="6"/>
        <v>1.79</v>
      </c>
      <c r="P903" s="227">
        <f t="shared" si="7"/>
        <v>1.79</v>
      </c>
    </row>
    <row r="904" spans="1:16" ht="14.25">
      <c r="A904" s="224">
        <v>903</v>
      </c>
      <c r="B904" s="58">
        <v>23079</v>
      </c>
      <c r="C904" s="57" t="s">
        <v>4006</v>
      </c>
      <c r="D904" s="57" t="s">
        <v>45</v>
      </c>
      <c r="E904" s="57" t="s">
        <v>2860</v>
      </c>
      <c r="F904" s="58" t="s">
        <v>4007</v>
      </c>
      <c r="G904" s="57">
        <v>4</v>
      </c>
      <c r="H904" s="57" t="s">
        <v>2557</v>
      </c>
      <c r="I904" s="58">
        <v>60764</v>
      </c>
      <c r="J904" s="234" t="s">
        <v>4008</v>
      </c>
      <c r="K904" s="58">
        <v>7.99</v>
      </c>
      <c r="L904" s="58">
        <v>0</v>
      </c>
      <c r="M904" s="58">
        <v>0</v>
      </c>
      <c r="N904" s="58">
        <v>1</v>
      </c>
      <c r="O904" s="224">
        <f t="shared" si="6"/>
        <v>7.99</v>
      </c>
      <c r="P904" s="227">
        <f t="shared" si="7"/>
        <v>7.99</v>
      </c>
    </row>
    <row r="905" spans="1:16" ht="14.25">
      <c r="A905" s="224">
        <v>904</v>
      </c>
      <c r="B905" s="58">
        <v>3309</v>
      </c>
      <c r="C905" s="57" t="s">
        <v>2722</v>
      </c>
      <c r="D905" s="57" t="s">
        <v>45</v>
      </c>
      <c r="E905" s="57" t="s">
        <v>2860</v>
      </c>
      <c r="F905" s="58" t="s">
        <v>4009</v>
      </c>
      <c r="G905" s="57">
        <v>4</v>
      </c>
      <c r="H905" s="57" t="s">
        <v>2557</v>
      </c>
      <c r="I905" s="58">
        <v>59900</v>
      </c>
      <c r="J905" s="234" t="s">
        <v>4010</v>
      </c>
      <c r="K905" s="58">
        <v>59.99</v>
      </c>
      <c r="L905" s="58">
        <v>0</v>
      </c>
      <c r="M905" s="58">
        <v>0</v>
      </c>
      <c r="N905" s="58">
        <v>1</v>
      </c>
      <c r="O905" s="224">
        <f t="shared" si="6"/>
        <v>59.99</v>
      </c>
      <c r="P905" s="227">
        <f t="shared" si="7"/>
        <v>59.99</v>
      </c>
    </row>
    <row r="906" spans="1:16" ht="14.25">
      <c r="A906" s="224">
        <v>905</v>
      </c>
      <c r="B906" s="58">
        <v>23080</v>
      </c>
      <c r="C906" s="57" t="s">
        <v>4011</v>
      </c>
      <c r="D906" s="57" t="s">
        <v>45</v>
      </c>
      <c r="E906" s="57" t="s">
        <v>2874</v>
      </c>
      <c r="F906" s="243">
        <v>45775</v>
      </c>
      <c r="G906" s="57">
        <v>4</v>
      </c>
      <c r="H906" s="57" t="s">
        <v>2557</v>
      </c>
      <c r="I906" s="58">
        <v>60776</v>
      </c>
      <c r="J906" s="234"/>
      <c r="K906" s="58">
        <v>2.99</v>
      </c>
      <c r="L906" s="58">
        <v>0</v>
      </c>
      <c r="M906" s="58">
        <v>0</v>
      </c>
      <c r="N906" s="58">
        <v>1</v>
      </c>
      <c r="O906" s="224">
        <f t="shared" si="6"/>
        <v>2.99</v>
      </c>
      <c r="P906" s="227">
        <f t="shared" si="7"/>
        <v>2.99</v>
      </c>
    </row>
    <row r="907" spans="1:16" ht="14.25">
      <c r="A907" s="224">
        <v>906</v>
      </c>
      <c r="B907" s="58">
        <v>23083</v>
      </c>
      <c r="C907" s="57" t="s">
        <v>4012</v>
      </c>
      <c r="D907" s="57" t="s">
        <v>45</v>
      </c>
      <c r="E907" s="57" t="s">
        <v>2860</v>
      </c>
      <c r="F907" s="58" t="s">
        <v>4013</v>
      </c>
      <c r="G907" s="57">
        <v>4</v>
      </c>
      <c r="H907" s="57" t="s">
        <v>2557</v>
      </c>
      <c r="I907" s="58">
        <v>60788</v>
      </c>
      <c r="J907" s="234" t="s">
        <v>4014</v>
      </c>
      <c r="K907" s="58">
        <v>11.69</v>
      </c>
      <c r="L907" s="58">
        <v>0</v>
      </c>
      <c r="M907" s="58">
        <v>0</v>
      </c>
      <c r="N907" s="58">
        <v>1</v>
      </c>
      <c r="O907" s="224">
        <f t="shared" si="6"/>
        <v>11.69</v>
      </c>
      <c r="P907" s="227">
        <f t="shared" si="7"/>
        <v>11.69</v>
      </c>
    </row>
    <row r="908" spans="1:16" ht="14.25">
      <c r="A908" s="224">
        <v>907</v>
      </c>
      <c r="B908" s="58">
        <v>21791</v>
      </c>
      <c r="C908" s="57" t="s">
        <v>3855</v>
      </c>
      <c r="D908" s="57" t="s">
        <v>45</v>
      </c>
      <c r="E908" s="57" t="s">
        <v>2874</v>
      </c>
      <c r="F908" s="243">
        <v>45776</v>
      </c>
      <c r="G908" s="57">
        <v>4</v>
      </c>
      <c r="H908" s="57" t="s">
        <v>2557</v>
      </c>
      <c r="I908" s="58">
        <v>60800</v>
      </c>
      <c r="J908" s="234" t="s">
        <v>4015</v>
      </c>
      <c r="K908" s="58">
        <v>70.989999999999995</v>
      </c>
      <c r="L908" s="58">
        <v>0</v>
      </c>
      <c r="M908" s="58">
        <v>0</v>
      </c>
      <c r="N908" s="58">
        <v>1</v>
      </c>
      <c r="O908" s="224">
        <f t="shared" si="6"/>
        <v>70.989999999999995</v>
      </c>
      <c r="P908" s="227">
        <f t="shared" si="7"/>
        <v>70.989999999999995</v>
      </c>
    </row>
    <row r="909" spans="1:16" ht="14.25">
      <c r="A909" s="224">
        <v>908</v>
      </c>
      <c r="B909" s="58">
        <v>23124</v>
      </c>
      <c r="C909" s="57" t="s">
        <v>4016</v>
      </c>
      <c r="D909" s="57" t="s">
        <v>45</v>
      </c>
      <c r="E909" s="57" t="s">
        <v>2860</v>
      </c>
      <c r="F909" s="58" t="s">
        <v>4017</v>
      </c>
      <c r="G909" s="57">
        <v>4</v>
      </c>
      <c r="H909" s="57" t="s">
        <v>2557</v>
      </c>
      <c r="I909" s="58">
        <v>60812</v>
      </c>
      <c r="J909" s="234" t="s">
        <v>4018</v>
      </c>
      <c r="K909" s="58">
        <v>0.99</v>
      </c>
      <c r="L909" s="58">
        <v>0</v>
      </c>
      <c r="M909" s="58">
        <v>0</v>
      </c>
      <c r="N909" s="58">
        <v>1</v>
      </c>
      <c r="O909" s="224">
        <f t="shared" si="6"/>
        <v>0.99</v>
      </c>
      <c r="P909" s="227">
        <f t="shared" si="7"/>
        <v>0.99</v>
      </c>
    </row>
    <row r="910" spans="1:16" ht="14.25">
      <c r="A910" s="224">
        <v>909</v>
      </c>
      <c r="B910" s="58">
        <v>23127</v>
      </c>
      <c r="C910" s="57" t="s">
        <v>4019</v>
      </c>
      <c r="D910" s="57" t="s">
        <v>45</v>
      </c>
      <c r="E910" s="57" t="s">
        <v>2860</v>
      </c>
      <c r="F910" s="58" t="s">
        <v>4020</v>
      </c>
      <c r="G910" s="57">
        <v>4</v>
      </c>
      <c r="H910" s="57" t="s">
        <v>2557</v>
      </c>
      <c r="I910" s="58">
        <v>60824</v>
      </c>
      <c r="J910" s="234" t="s">
        <v>4021</v>
      </c>
      <c r="K910" s="58">
        <v>0.99</v>
      </c>
      <c r="L910" s="58">
        <v>0</v>
      </c>
      <c r="M910" s="58">
        <v>0</v>
      </c>
      <c r="N910" s="58">
        <v>1</v>
      </c>
      <c r="O910" s="224">
        <f t="shared" si="6"/>
        <v>0.99</v>
      </c>
      <c r="P910" s="227">
        <f t="shared" si="7"/>
        <v>0.99</v>
      </c>
    </row>
    <row r="911" spans="1:16" ht="14.25">
      <c r="A911" s="224">
        <v>910</v>
      </c>
      <c r="B911" s="58">
        <v>1836</v>
      </c>
      <c r="C911" s="57" t="s">
        <v>2882</v>
      </c>
      <c r="D911" s="57" t="s">
        <v>2582</v>
      </c>
      <c r="E911" s="57" t="s">
        <v>2860</v>
      </c>
      <c r="F911" s="58" t="s">
        <v>4022</v>
      </c>
      <c r="G911" s="57">
        <v>4</v>
      </c>
      <c r="H911" s="57" t="s">
        <v>2557</v>
      </c>
      <c r="I911" s="58">
        <v>60860</v>
      </c>
      <c r="J911" s="234" t="s">
        <v>4023</v>
      </c>
      <c r="K911" s="58">
        <v>527.36</v>
      </c>
      <c r="L911" s="58">
        <v>0</v>
      </c>
      <c r="M911" s="58">
        <v>0</v>
      </c>
      <c r="N911" s="58">
        <v>7.2980299999999998</v>
      </c>
      <c r="O911" s="224">
        <f t="shared" si="6"/>
        <v>527.36</v>
      </c>
      <c r="P911" s="227">
        <f t="shared" si="7"/>
        <v>72.260596352714373</v>
      </c>
    </row>
    <row r="912" spans="1:16" ht="14.25">
      <c r="A912" s="224">
        <v>911</v>
      </c>
      <c r="B912" s="58">
        <v>9778</v>
      </c>
      <c r="C912" s="57" t="s">
        <v>2815</v>
      </c>
      <c r="D912" s="57" t="s">
        <v>45</v>
      </c>
      <c r="E912" s="57" t="s">
        <v>2860</v>
      </c>
      <c r="F912" s="58" t="s">
        <v>4024</v>
      </c>
      <c r="G912" s="57">
        <v>4</v>
      </c>
      <c r="H912" s="57" t="s">
        <v>2557</v>
      </c>
      <c r="I912" s="58">
        <v>58819</v>
      </c>
      <c r="J912" s="234" t="s">
        <v>4025</v>
      </c>
      <c r="K912" s="58">
        <v>4.1900000000000004</v>
      </c>
      <c r="L912" s="58">
        <v>0</v>
      </c>
      <c r="M912" s="58">
        <v>0</v>
      </c>
      <c r="N912" s="58">
        <v>1</v>
      </c>
      <c r="O912" s="224">
        <f t="shared" si="6"/>
        <v>4.1900000000000004</v>
      </c>
      <c r="P912" s="227">
        <f t="shared" si="7"/>
        <v>4.1900000000000004</v>
      </c>
    </row>
    <row r="913" spans="1:16" ht="14.25">
      <c r="A913" s="224">
        <v>912</v>
      </c>
      <c r="B913" s="58">
        <v>23131</v>
      </c>
      <c r="C913" s="57" t="s">
        <v>4026</v>
      </c>
      <c r="D913" s="57" t="s">
        <v>45</v>
      </c>
      <c r="E913" s="57" t="s">
        <v>2860</v>
      </c>
      <c r="F913" s="58" t="s">
        <v>4027</v>
      </c>
      <c r="G913" s="57">
        <v>4</v>
      </c>
      <c r="H913" s="57" t="s">
        <v>2557</v>
      </c>
      <c r="I913" s="58">
        <v>60872</v>
      </c>
      <c r="J913" s="234" t="s">
        <v>4028</v>
      </c>
      <c r="K913" s="58">
        <v>5.99</v>
      </c>
      <c r="L913" s="58">
        <v>0</v>
      </c>
      <c r="M913" s="58">
        <v>0</v>
      </c>
      <c r="N913" s="58">
        <v>1</v>
      </c>
      <c r="O913" s="224">
        <f t="shared" si="6"/>
        <v>5.99</v>
      </c>
      <c r="P913" s="227">
        <f t="shared" si="7"/>
        <v>5.99</v>
      </c>
    </row>
    <row r="914" spans="1:16" ht="14.25">
      <c r="A914" s="224">
        <v>913</v>
      </c>
      <c r="B914" s="58">
        <v>6195</v>
      </c>
      <c r="C914" s="57" t="s">
        <v>4029</v>
      </c>
      <c r="D914" s="57" t="s">
        <v>45</v>
      </c>
      <c r="E914" s="57" t="s">
        <v>2860</v>
      </c>
      <c r="F914" s="58" t="s">
        <v>4030</v>
      </c>
      <c r="G914" s="57">
        <v>4</v>
      </c>
      <c r="H914" s="57" t="s">
        <v>2557</v>
      </c>
      <c r="I914" s="58">
        <v>60884</v>
      </c>
      <c r="J914" s="234" t="s">
        <v>4031</v>
      </c>
      <c r="K914" s="58">
        <v>0.99</v>
      </c>
      <c r="L914" s="58">
        <v>0</v>
      </c>
      <c r="M914" s="58">
        <v>0</v>
      </c>
      <c r="N914" s="58">
        <v>1</v>
      </c>
      <c r="O914" s="224">
        <f t="shared" si="6"/>
        <v>0.99</v>
      </c>
      <c r="P914" s="227">
        <f t="shared" si="7"/>
        <v>0.99</v>
      </c>
    </row>
    <row r="915" spans="1:16" ht="14.25">
      <c r="A915" s="224">
        <v>914</v>
      </c>
      <c r="B915" s="58">
        <v>19889</v>
      </c>
      <c r="C915" s="57" t="s">
        <v>3227</v>
      </c>
      <c r="D915" s="57" t="s">
        <v>45</v>
      </c>
      <c r="E915" s="57" t="s">
        <v>2860</v>
      </c>
      <c r="F915" s="58" t="s">
        <v>4032</v>
      </c>
      <c r="G915" s="57">
        <v>4</v>
      </c>
      <c r="H915" s="57" t="s">
        <v>2557</v>
      </c>
      <c r="I915" s="58">
        <v>60896</v>
      </c>
      <c r="J915" s="234" t="s">
        <v>4033</v>
      </c>
      <c r="K915" s="58">
        <v>1.99</v>
      </c>
      <c r="L915" s="58">
        <v>0</v>
      </c>
      <c r="M915" s="58">
        <v>0</v>
      </c>
      <c r="N915" s="58">
        <v>1</v>
      </c>
      <c r="O915" s="224">
        <f t="shared" si="6"/>
        <v>1.99</v>
      </c>
      <c r="P915" s="227">
        <f t="shared" si="7"/>
        <v>1.99</v>
      </c>
    </row>
    <row r="916" spans="1:16" ht="14.25">
      <c r="A916" s="224">
        <v>915</v>
      </c>
      <c r="B916" s="58">
        <v>18835</v>
      </c>
      <c r="C916" s="57" t="s">
        <v>3043</v>
      </c>
      <c r="D916" s="57" t="s">
        <v>2582</v>
      </c>
      <c r="E916" s="57" t="s">
        <v>2860</v>
      </c>
      <c r="F916" s="58" t="s">
        <v>4034</v>
      </c>
      <c r="G916" s="57">
        <v>4</v>
      </c>
      <c r="H916" s="57" t="s">
        <v>2557</v>
      </c>
      <c r="I916" s="58">
        <v>60920</v>
      </c>
      <c r="J916" s="234" t="s">
        <v>4035</v>
      </c>
      <c r="K916" s="58">
        <v>7.23</v>
      </c>
      <c r="L916" s="58">
        <v>0</v>
      </c>
      <c r="M916" s="58">
        <v>0</v>
      </c>
      <c r="N916" s="58">
        <v>7.2980299999999998</v>
      </c>
      <c r="O916" s="224">
        <f t="shared" si="6"/>
        <v>7.23</v>
      </c>
      <c r="P916" s="227">
        <f t="shared" si="7"/>
        <v>0.99067830633746379</v>
      </c>
    </row>
    <row r="917" spans="1:16" ht="14.25">
      <c r="A917" s="224">
        <v>916</v>
      </c>
      <c r="B917" s="58">
        <v>18835</v>
      </c>
      <c r="C917" s="57" t="s">
        <v>3043</v>
      </c>
      <c r="D917" s="57" t="s">
        <v>2582</v>
      </c>
      <c r="E917" s="57" t="s">
        <v>2860</v>
      </c>
      <c r="F917" s="58" t="s">
        <v>4036</v>
      </c>
      <c r="G917" s="57">
        <v>4</v>
      </c>
      <c r="H917" s="57" t="s">
        <v>2557</v>
      </c>
      <c r="I917" s="58">
        <v>58939</v>
      </c>
      <c r="J917" s="234" t="s">
        <v>4037</v>
      </c>
      <c r="K917" s="58">
        <v>30.43</v>
      </c>
      <c r="L917" s="58">
        <v>0</v>
      </c>
      <c r="M917" s="58">
        <v>0</v>
      </c>
      <c r="N917" s="58">
        <v>7.2980299999999998</v>
      </c>
      <c r="O917" s="224">
        <f t="shared" si="6"/>
        <v>30.43</v>
      </c>
      <c r="P917" s="227">
        <f t="shared" si="7"/>
        <v>4.1696183764659782</v>
      </c>
    </row>
    <row r="918" spans="1:16" ht="14.25">
      <c r="A918" s="224">
        <v>917</v>
      </c>
      <c r="B918" s="58">
        <v>21567</v>
      </c>
      <c r="C918" s="57" t="s">
        <v>3718</v>
      </c>
      <c r="D918" s="57" t="s">
        <v>2582</v>
      </c>
      <c r="E918" s="57" t="s">
        <v>2860</v>
      </c>
      <c r="F918" s="58" t="s">
        <v>4038</v>
      </c>
      <c r="G918" s="57">
        <v>4</v>
      </c>
      <c r="H918" s="57" t="s">
        <v>2557</v>
      </c>
      <c r="I918" s="58">
        <v>60512</v>
      </c>
      <c r="J918" s="234"/>
      <c r="K918" s="58">
        <v>40.35</v>
      </c>
      <c r="L918" s="58">
        <v>0</v>
      </c>
      <c r="M918" s="58">
        <v>0</v>
      </c>
      <c r="N918" s="58">
        <v>7.2729299999999997</v>
      </c>
      <c r="O918" s="224">
        <f t="shared" si="6"/>
        <v>40.35</v>
      </c>
      <c r="P918" s="227">
        <f t="shared" si="7"/>
        <v>5.5479703503264854</v>
      </c>
    </row>
    <row r="919" spans="1:16" ht="14.25">
      <c r="A919" s="224">
        <v>918</v>
      </c>
      <c r="B919" s="58">
        <v>19314</v>
      </c>
      <c r="C919" s="57" t="s">
        <v>3119</v>
      </c>
      <c r="D919" s="57" t="s">
        <v>45</v>
      </c>
      <c r="E919" s="57" t="s">
        <v>2874</v>
      </c>
      <c r="F919" s="243">
        <v>45777</v>
      </c>
      <c r="G919" s="57">
        <v>4</v>
      </c>
      <c r="H919" s="57" t="s">
        <v>2557</v>
      </c>
      <c r="I919" s="58">
        <v>58975</v>
      </c>
      <c r="J919" s="234"/>
      <c r="K919" s="58">
        <v>213</v>
      </c>
      <c r="L919" s="58">
        <v>0</v>
      </c>
      <c r="M919" s="58">
        <v>0</v>
      </c>
      <c r="N919" s="58">
        <v>1</v>
      </c>
      <c r="O919" s="224">
        <f t="shared" si="6"/>
        <v>213</v>
      </c>
      <c r="P919" s="227">
        <f t="shared" si="7"/>
        <v>213</v>
      </c>
    </row>
    <row r="920" spans="1:16" ht="14.25">
      <c r="A920" s="224">
        <v>919</v>
      </c>
      <c r="B920" s="58">
        <v>3747</v>
      </c>
      <c r="C920" s="57" t="s">
        <v>4039</v>
      </c>
      <c r="D920" s="57" t="s">
        <v>2582</v>
      </c>
      <c r="E920" s="57" t="s">
        <v>2860</v>
      </c>
      <c r="F920" s="233">
        <v>45662.463888888888</v>
      </c>
      <c r="G920" s="57">
        <v>5</v>
      </c>
      <c r="H920" s="57" t="s">
        <v>2557</v>
      </c>
      <c r="I920" s="58">
        <v>59179</v>
      </c>
      <c r="J920" s="234" t="s">
        <v>4040</v>
      </c>
      <c r="K920" s="58">
        <v>52.1</v>
      </c>
      <c r="L920" s="58">
        <v>0</v>
      </c>
      <c r="M920" s="58">
        <v>0</v>
      </c>
      <c r="N920" s="58">
        <v>7.2658899999999997</v>
      </c>
      <c r="O920" s="224">
        <f t="shared" si="6"/>
        <v>52.1</v>
      </c>
      <c r="P920" s="227">
        <f t="shared" si="7"/>
        <v>7.1704911579999155</v>
      </c>
    </row>
    <row r="921" spans="1:16" ht="14.25">
      <c r="A921" s="224">
        <v>920</v>
      </c>
      <c r="B921" s="58">
        <v>3747</v>
      </c>
      <c r="C921" s="57" t="s">
        <v>4039</v>
      </c>
      <c r="D921" s="57" t="s">
        <v>2582</v>
      </c>
      <c r="E921" s="57" t="s">
        <v>2860</v>
      </c>
      <c r="F921" s="233">
        <v>45662.466666666667</v>
      </c>
      <c r="G921" s="57">
        <v>5</v>
      </c>
      <c r="H921" s="57" t="s">
        <v>2557</v>
      </c>
      <c r="I921" s="58">
        <v>59179</v>
      </c>
      <c r="J921" s="234"/>
      <c r="K921" s="58">
        <v>0.02</v>
      </c>
      <c r="L921" s="58">
        <v>0</v>
      </c>
      <c r="M921" s="58">
        <v>0</v>
      </c>
      <c r="N921" s="58">
        <v>7.2658899999999997</v>
      </c>
      <c r="O921" s="224">
        <f t="shared" si="6"/>
        <v>0.02</v>
      </c>
      <c r="P921" s="227">
        <f t="shared" si="7"/>
        <v>2.7525877765834606E-3</v>
      </c>
    </row>
    <row r="922" spans="1:16" ht="14.25">
      <c r="A922" s="224">
        <v>921</v>
      </c>
      <c r="B922" s="58">
        <v>21325</v>
      </c>
      <c r="C922" s="57" t="s">
        <v>3663</v>
      </c>
      <c r="D922" s="57" t="s">
        <v>45</v>
      </c>
      <c r="E922" s="57" t="s">
        <v>2860</v>
      </c>
      <c r="F922" s="233">
        <v>45662.616666666669</v>
      </c>
      <c r="G922" s="57">
        <v>5</v>
      </c>
      <c r="H922" s="57" t="s">
        <v>2557</v>
      </c>
      <c r="I922" s="58">
        <v>59996</v>
      </c>
      <c r="J922" s="234" t="s">
        <v>4041</v>
      </c>
      <c r="K922" s="58">
        <v>2.79</v>
      </c>
      <c r="L922" s="58">
        <v>0</v>
      </c>
      <c r="M922" s="58">
        <v>0</v>
      </c>
      <c r="N922" s="58">
        <v>1</v>
      </c>
      <c r="O922" s="224">
        <f t="shared" si="6"/>
        <v>2.79</v>
      </c>
      <c r="P922" s="227">
        <f t="shared" si="7"/>
        <v>2.79</v>
      </c>
    </row>
    <row r="923" spans="1:16" ht="14.25">
      <c r="A923" s="224">
        <v>922</v>
      </c>
      <c r="B923" s="58">
        <v>18946</v>
      </c>
      <c r="C923" s="57" t="s">
        <v>3070</v>
      </c>
      <c r="D923" s="57" t="s">
        <v>2582</v>
      </c>
      <c r="E923" s="57" t="s">
        <v>9</v>
      </c>
      <c r="F923" s="233">
        <v>45693.009027777778</v>
      </c>
      <c r="G923" s="57">
        <v>5</v>
      </c>
      <c r="H923" s="57" t="s">
        <v>2557</v>
      </c>
      <c r="I923" s="58">
        <v>61064</v>
      </c>
      <c r="J923" s="234" t="s">
        <v>460</v>
      </c>
      <c r="K923" s="58">
        <v>8.64</v>
      </c>
      <c r="L923" s="58">
        <v>4</v>
      </c>
      <c r="M923" s="58">
        <v>0</v>
      </c>
      <c r="N923" s="58">
        <v>7.2658899999999997</v>
      </c>
      <c r="O923" s="224">
        <f t="shared" si="6"/>
        <v>4.6400000000000006</v>
      </c>
      <c r="P923" s="227">
        <f t="shared" si="7"/>
        <v>0.63860036416736299</v>
      </c>
    </row>
    <row r="924" spans="1:16" ht="14.25">
      <c r="A924" s="224">
        <v>923</v>
      </c>
      <c r="B924" s="58">
        <v>20956</v>
      </c>
      <c r="C924" s="57" t="s">
        <v>3627</v>
      </c>
      <c r="D924" s="57" t="s">
        <v>45</v>
      </c>
      <c r="E924" s="57" t="s">
        <v>2860</v>
      </c>
      <c r="F924" s="233">
        <v>45693.393055555556</v>
      </c>
      <c r="G924" s="57">
        <v>5</v>
      </c>
      <c r="H924" s="57" t="s">
        <v>2557</v>
      </c>
      <c r="I924" s="58">
        <v>59444</v>
      </c>
      <c r="J924" s="234" t="s">
        <v>4042</v>
      </c>
      <c r="K924" s="58">
        <v>3.99</v>
      </c>
      <c r="L924" s="58">
        <v>0</v>
      </c>
      <c r="M924" s="58">
        <v>0</v>
      </c>
      <c r="N924" s="58">
        <v>1</v>
      </c>
      <c r="O924" s="224">
        <f t="shared" si="6"/>
        <v>3.99</v>
      </c>
      <c r="P924" s="227">
        <f t="shared" si="7"/>
        <v>3.99</v>
      </c>
    </row>
    <row r="925" spans="1:16" ht="14.25">
      <c r="A925" s="224">
        <v>924</v>
      </c>
      <c r="B925" s="58">
        <v>1033</v>
      </c>
      <c r="C925" s="57" t="s">
        <v>4043</v>
      </c>
      <c r="D925" s="57" t="s">
        <v>45</v>
      </c>
      <c r="E925" s="57" t="s">
        <v>2860</v>
      </c>
      <c r="F925" s="233">
        <v>45693.395138888889</v>
      </c>
      <c r="G925" s="57">
        <v>5</v>
      </c>
      <c r="H925" s="57" t="s">
        <v>2557</v>
      </c>
      <c r="I925" s="58">
        <v>61184</v>
      </c>
      <c r="J925" s="234" t="s">
        <v>4044</v>
      </c>
      <c r="K925" s="58">
        <v>3.99</v>
      </c>
      <c r="L925" s="58">
        <v>0</v>
      </c>
      <c r="M925" s="58">
        <v>0</v>
      </c>
      <c r="N925" s="58">
        <v>1</v>
      </c>
      <c r="O925" s="224">
        <f t="shared" si="6"/>
        <v>3.99</v>
      </c>
      <c r="P925" s="227">
        <f t="shared" si="7"/>
        <v>3.99</v>
      </c>
    </row>
    <row r="926" spans="1:16" ht="14.25">
      <c r="A926" s="224">
        <v>925</v>
      </c>
      <c r="B926" s="58">
        <v>3364</v>
      </c>
      <c r="C926" s="57" t="s">
        <v>2677</v>
      </c>
      <c r="D926" s="57" t="s">
        <v>45</v>
      </c>
      <c r="E926" s="57" t="s">
        <v>2860</v>
      </c>
      <c r="F926" s="233">
        <v>45693.42083333333</v>
      </c>
      <c r="G926" s="57">
        <v>5</v>
      </c>
      <c r="H926" s="57" t="s">
        <v>2557</v>
      </c>
      <c r="I926" s="58">
        <v>60308</v>
      </c>
      <c r="J926" s="234" t="s">
        <v>4045</v>
      </c>
      <c r="K926" s="58">
        <v>3.99</v>
      </c>
      <c r="L926" s="58">
        <v>0</v>
      </c>
      <c r="M926" s="58">
        <v>0</v>
      </c>
      <c r="N926" s="58">
        <v>1</v>
      </c>
      <c r="O926" s="224">
        <f t="shared" si="6"/>
        <v>3.99</v>
      </c>
      <c r="P926" s="227">
        <f t="shared" si="7"/>
        <v>3.99</v>
      </c>
    </row>
    <row r="927" spans="1:16" ht="14.25">
      <c r="A927" s="224">
        <v>926</v>
      </c>
      <c r="B927" s="58">
        <v>6798</v>
      </c>
      <c r="C927" s="57" t="s">
        <v>2921</v>
      </c>
      <c r="D927" s="57" t="s">
        <v>45</v>
      </c>
      <c r="E927" s="57" t="s">
        <v>3658</v>
      </c>
      <c r="F927" s="233">
        <v>45693.522916666669</v>
      </c>
      <c r="G927" s="57">
        <v>5</v>
      </c>
      <c r="H927" s="57" t="s">
        <v>2557</v>
      </c>
      <c r="I927" s="58">
        <v>59071</v>
      </c>
      <c r="J927" s="234"/>
      <c r="K927" s="58">
        <v>864.9</v>
      </c>
      <c r="L927" s="58">
        <v>0</v>
      </c>
      <c r="M927" s="58">
        <v>0</v>
      </c>
      <c r="N927" s="58">
        <v>1</v>
      </c>
      <c r="O927" s="224">
        <f t="shared" si="6"/>
        <v>864.9</v>
      </c>
      <c r="P927" s="227">
        <f t="shared" si="7"/>
        <v>864.9</v>
      </c>
    </row>
    <row r="928" spans="1:16" ht="14.25">
      <c r="A928" s="224">
        <v>927</v>
      </c>
      <c r="B928" s="58">
        <v>22809</v>
      </c>
      <c r="C928" s="57" t="s">
        <v>3946</v>
      </c>
      <c r="D928" s="57" t="s">
        <v>45</v>
      </c>
      <c r="E928" s="57" t="s">
        <v>2860</v>
      </c>
      <c r="F928" s="233">
        <v>45693.603472222225</v>
      </c>
      <c r="G928" s="57">
        <v>5</v>
      </c>
      <c r="H928" s="57" t="s">
        <v>2557</v>
      </c>
      <c r="I928" s="58">
        <v>61196</v>
      </c>
      <c r="J928" s="234" t="s">
        <v>4046</v>
      </c>
      <c r="K928" s="58">
        <v>46.5</v>
      </c>
      <c r="L928" s="58">
        <v>0</v>
      </c>
      <c r="M928" s="58">
        <v>0</v>
      </c>
      <c r="N928" s="58">
        <v>1</v>
      </c>
      <c r="O928" s="224">
        <f t="shared" si="6"/>
        <v>46.5</v>
      </c>
      <c r="P928" s="227">
        <f t="shared" si="7"/>
        <v>46.5</v>
      </c>
    </row>
    <row r="929" spans="1:16" ht="14.25">
      <c r="A929" s="224">
        <v>928</v>
      </c>
      <c r="B929" s="58">
        <v>392</v>
      </c>
      <c r="C929" s="57" t="s">
        <v>2876</v>
      </c>
      <c r="D929" s="57" t="s">
        <v>2582</v>
      </c>
      <c r="E929" s="57" t="s">
        <v>2874</v>
      </c>
      <c r="F929" s="233">
        <v>45693.71875</v>
      </c>
      <c r="G929" s="57">
        <v>5</v>
      </c>
      <c r="H929" s="57" t="s">
        <v>2557</v>
      </c>
      <c r="I929" s="58">
        <v>61208</v>
      </c>
      <c r="J929" s="234"/>
      <c r="K929" s="58">
        <v>138.47</v>
      </c>
      <c r="L929" s="58">
        <v>0</v>
      </c>
      <c r="M929" s="58">
        <v>0</v>
      </c>
      <c r="N929" s="58">
        <v>7.2658899999999997</v>
      </c>
      <c r="O929" s="224">
        <f t="shared" si="6"/>
        <v>138.47</v>
      </c>
      <c r="P929" s="227">
        <f t="shared" si="7"/>
        <v>19.05754147117559</v>
      </c>
    </row>
    <row r="930" spans="1:16" ht="14.25">
      <c r="A930" s="224">
        <v>929</v>
      </c>
      <c r="B930" s="58">
        <v>6361</v>
      </c>
      <c r="C930" s="57" t="s">
        <v>3065</v>
      </c>
      <c r="D930" s="57" t="s">
        <v>45</v>
      </c>
      <c r="E930" s="57" t="s">
        <v>2860</v>
      </c>
      <c r="F930" s="233">
        <v>45693.900694444441</v>
      </c>
      <c r="G930" s="57">
        <v>5</v>
      </c>
      <c r="H930" s="57" t="s">
        <v>2557</v>
      </c>
      <c r="I930" s="58">
        <v>58663</v>
      </c>
      <c r="J930" s="234" t="s">
        <v>4047</v>
      </c>
      <c r="K930" s="58">
        <v>8.99</v>
      </c>
      <c r="L930" s="58">
        <v>0</v>
      </c>
      <c r="M930" s="58">
        <v>0</v>
      </c>
      <c r="N930" s="58">
        <v>1</v>
      </c>
      <c r="O930" s="224">
        <f t="shared" si="6"/>
        <v>8.99</v>
      </c>
      <c r="P930" s="227">
        <f t="shared" si="7"/>
        <v>8.99</v>
      </c>
    </row>
    <row r="931" spans="1:16" ht="14.25">
      <c r="A931" s="224">
        <v>930</v>
      </c>
      <c r="B931" s="58">
        <v>22544</v>
      </c>
      <c r="C931" s="57" t="s">
        <v>3888</v>
      </c>
      <c r="D931" s="57" t="s">
        <v>45</v>
      </c>
      <c r="E931" s="57" t="s">
        <v>2860</v>
      </c>
      <c r="F931" s="233">
        <v>45693.958333333336</v>
      </c>
      <c r="G931" s="57">
        <v>5</v>
      </c>
      <c r="H931" s="57" t="s">
        <v>2557</v>
      </c>
      <c r="I931" s="58">
        <v>61220</v>
      </c>
      <c r="J931" s="234" t="s">
        <v>4048</v>
      </c>
      <c r="K931" s="58">
        <v>84.99</v>
      </c>
      <c r="L931" s="58">
        <v>0</v>
      </c>
      <c r="M931" s="58">
        <v>0</v>
      </c>
      <c r="N931" s="58">
        <v>1</v>
      </c>
      <c r="O931" s="224">
        <f t="shared" si="6"/>
        <v>84.99</v>
      </c>
      <c r="P931" s="227">
        <f t="shared" si="7"/>
        <v>84.99</v>
      </c>
    </row>
    <row r="932" spans="1:16" ht="14.25">
      <c r="A932" s="224">
        <v>931</v>
      </c>
      <c r="B932" s="58">
        <v>23383</v>
      </c>
      <c r="C932" s="57" t="s">
        <v>4049</v>
      </c>
      <c r="D932" s="57" t="s">
        <v>2582</v>
      </c>
      <c r="E932" s="57" t="s">
        <v>2860</v>
      </c>
      <c r="F932" s="233">
        <v>45721.649305555555</v>
      </c>
      <c r="G932" s="57">
        <v>5</v>
      </c>
      <c r="H932" s="57" t="s">
        <v>2557</v>
      </c>
      <c r="I932" s="58">
        <v>61340</v>
      </c>
      <c r="J932" s="234" t="s">
        <v>4050</v>
      </c>
      <c r="K932" s="58">
        <v>29.01</v>
      </c>
      <c r="L932" s="58">
        <v>0</v>
      </c>
      <c r="M932" s="58">
        <v>0</v>
      </c>
      <c r="N932" s="58">
        <v>7.2713599999999996</v>
      </c>
      <c r="O932" s="224">
        <f t="shared" si="6"/>
        <v>29.01</v>
      </c>
      <c r="P932" s="227">
        <f t="shared" si="7"/>
        <v>3.989625049509308</v>
      </c>
    </row>
    <row r="933" spans="1:16" ht="14.25">
      <c r="A933" s="224">
        <v>932</v>
      </c>
      <c r="B933" s="58">
        <v>7899</v>
      </c>
      <c r="C933" s="57" t="s">
        <v>2714</v>
      </c>
      <c r="D933" s="57" t="s">
        <v>45</v>
      </c>
      <c r="E933" s="57" t="s">
        <v>2874</v>
      </c>
      <c r="F933" s="233">
        <v>45721.704861111109</v>
      </c>
      <c r="G933" s="57">
        <v>5</v>
      </c>
      <c r="H933" s="57" t="s">
        <v>2557</v>
      </c>
      <c r="I933" s="58">
        <v>61124</v>
      </c>
      <c r="J933" s="234" t="s">
        <v>4051</v>
      </c>
      <c r="K933" s="58">
        <v>69.989999999999995</v>
      </c>
      <c r="L933" s="58">
        <v>0</v>
      </c>
      <c r="M933" s="58">
        <v>0</v>
      </c>
      <c r="N933" s="58">
        <v>1</v>
      </c>
      <c r="O933" s="224">
        <f t="shared" si="6"/>
        <v>69.989999999999995</v>
      </c>
      <c r="P933" s="227">
        <f t="shared" si="7"/>
        <v>69.989999999999995</v>
      </c>
    </row>
    <row r="934" spans="1:16" ht="14.25">
      <c r="A934" s="224">
        <v>933</v>
      </c>
      <c r="B934" s="58">
        <v>23393</v>
      </c>
      <c r="C934" s="57" t="s">
        <v>4052</v>
      </c>
      <c r="D934" s="57" t="s">
        <v>45</v>
      </c>
      <c r="E934" s="57" t="s">
        <v>2860</v>
      </c>
      <c r="F934" s="233">
        <v>45721.759722222225</v>
      </c>
      <c r="G934" s="57">
        <v>5</v>
      </c>
      <c r="H934" s="57" t="s">
        <v>2557</v>
      </c>
      <c r="I934" s="58">
        <v>61352</v>
      </c>
      <c r="J934" s="234" t="s">
        <v>4053</v>
      </c>
      <c r="K934" s="58">
        <v>3.99</v>
      </c>
      <c r="L934" s="58">
        <v>0</v>
      </c>
      <c r="M934" s="58">
        <v>0</v>
      </c>
      <c r="N934" s="58">
        <v>1</v>
      </c>
      <c r="O934" s="224">
        <f t="shared" si="6"/>
        <v>3.99</v>
      </c>
      <c r="P934" s="227">
        <f t="shared" si="7"/>
        <v>3.99</v>
      </c>
    </row>
    <row r="935" spans="1:16" ht="14.25">
      <c r="A935" s="224">
        <v>934</v>
      </c>
      <c r="B935" s="58">
        <v>20998</v>
      </c>
      <c r="C935" s="57" t="s">
        <v>3629</v>
      </c>
      <c r="D935" s="57" t="s">
        <v>45</v>
      </c>
      <c r="E935" s="57" t="s">
        <v>9</v>
      </c>
      <c r="F935" s="233">
        <v>45721.763888888891</v>
      </c>
      <c r="G935" s="57">
        <v>5</v>
      </c>
      <c r="H935" s="57" t="s">
        <v>2557</v>
      </c>
      <c r="I935" s="58">
        <v>59564</v>
      </c>
      <c r="J935" s="234" t="s">
        <v>461</v>
      </c>
      <c r="K935" s="58">
        <v>5.99</v>
      </c>
      <c r="L935" s="58">
        <v>0.7</v>
      </c>
      <c r="M935" s="58">
        <v>0</v>
      </c>
      <c r="N935" s="58">
        <v>1</v>
      </c>
      <c r="O935" s="224">
        <f t="shared" si="6"/>
        <v>5.29</v>
      </c>
      <c r="P935" s="227">
        <f t="shared" si="7"/>
        <v>5.29</v>
      </c>
    </row>
    <row r="936" spans="1:16" ht="14.25">
      <c r="A936" s="224">
        <v>935</v>
      </c>
      <c r="B936" s="58">
        <v>21267</v>
      </c>
      <c r="C936" s="57" t="s">
        <v>427</v>
      </c>
      <c r="D936" s="57" t="s">
        <v>45</v>
      </c>
      <c r="E936" s="57" t="s">
        <v>9</v>
      </c>
      <c r="F936" s="233">
        <v>45721.813888888886</v>
      </c>
      <c r="G936" s="57">
        <v>5</v>
      </c>
      <c r="H936" s="57" t="s">
        <v>2557</v>
      </c>
      <c r="I936" s="58">
        <v>59960</v>
      </c>
      <c r="J936" s="234" t="s">
        <v>463</v>
      </c>
      <c r="K936" s="58">
        <v>2.79</v>
      </c>
      <c r="L936" s="58">
        <v>0.63</v>
      </c>
      <c r="M936" s="58">
        <v>0</v>
      </c>
      <c r="N936" s="58">
        <v>1</v>
      </c>
      <c r="O936" s="224">
        <f t="shared" si="6"/>
        <v>2.16</v>
      </c>
      <c r="P936" s="227">
        <f t="shared" si="7"/>
        <v>2.16</v>
      </c>
    </row>
    <row r="937" spans="1:16" ht="14.25">
      <c r="A937" s="224">
        <v>936</v>
      </c>
      <c r="B937" s="58">
        <v>23409</v>
      </c>
      <c r="C937" s="57" t="s">
        <v>4054</v>
      </c>
      <c r="D937" s="57" t="s">
        <v>45</v>
      </c>
      <c r="E937" s="57" t="s">
        <v>2874</v>
      </c>
      <c r="F937" s="233">
        <v>45721.904166666667</v>
      </c>
      <c r="G937" s="57">
        <v>5</v>
      </c>
      <c r="H937" s="57" t="s">
        <v>2557</v>
      </c>
      <c r="I937" s="58">
        <v>61364</v>
      </c>
      <c r="J937" s="234" t="s">
        <v>4055</v>
      </c>
      <c r="K937" s="58">
        <v>5.49</v>
      </c>
      <c r="L937" s="58">
        <v>0</v>
      </c>
      <c r="M937" s="58">
        <v>0</v>
      </c>
      <c r="N937" s="58">
        <v>1</v>
      </c>
      <c r="O937" s="224">
        <f t="shared" si="6"/>
        <v>5.49</v>
      </c>
      <c r="P937" s="227">
        <f t="shared" si="7"/>
        <v>5.49</v>
      </c>
    </row>
    <row r="938" spans="1:16" ht="14.25">
      <c r="A938" s="224">
        <v>937</v>
      </c>
      <c r="B938" s="58">
        <v>22959</v>
      </c>
      <c r="C938" s="57" t="s">
        <v>3980</v>
      </c>
      <c r="D938" s="57" t="s">
        <v>2582</v>
      </c>
      <c r="E938" s="57" t="s">
        <v>2860</v>
      </c>
      <c r="F938" s="233">
        <v>45752.03125</v>
      </c>
      <c r="G938" s="57">
        <v>5</v>
      </c>
      <c r="H938" s="57" t="s">
        <v>2557</v>
      </c>
      <c r="I938" s="58">
        <v>61376</v>
      </c>
      <c r="J938" s="234" t="s">
        <v>4056</v>
      </c>
      <c r="K938" s="58">
        <v>7.2</v>
      </c>
      <c r="L938" s="58">
        <v>0</v>
      </c>
      <c r="M938" s="58">
        <v>0</v>
      </c>
      <c r="N938" s="58">
        <v>7.2713599999999996</v>
      </c>
      <c r="O938" s="224">
        <f t="shared" si="6"/>
        <v>7.2</v>
      </c>
      <c r="P938" s="227">
        <f t="shared" si="7"/>
        <v>0.99018615499713958</v>
      </c>
    </row>
    <row r="939" spans="1:16" ht="14.25">
      <c r="A939" s="224">
        <v>938</v>
      </c>
      <c r="B939" s="58">
        <v>1836</v>
      </c>
      <c r="C939" s="57" t="s">
        <v>2882</v>
      </c>
      <c r="D939" s="57" t="s">
        <v>2582</v>
      </c>
      <c r="E939" s="57" t="s">
        <v>2860</v>
      </c>
      <c r="F939" s="233">
        <v>45752.736805555556</v>
      </c>
      <c r="G939" s="57">
        <v>5</v>
      </c>
      <c r="H939" s="57" t="s">
        <v>2557</v>
      </c>
      <c r="I939" s="58">
        <v>61388</v>
      </c>
      <c r="J939" s="234" t="s">
        <v>4057</v>
      </c>
      <c r="K939" s="58">
        <v>87.33</v>
      </c>
      <c r="L939" s="58">
        <v>0</v>
      </c>
      <c r="M939" s="58">
        <v>0</v>
      </c>
      <c r="N939" s="58">
        <v>7.2713599999999996</v>
      </c>
      <c r="O939" s="224">
        <f t="shared" si="6"/>
        <v>87.33</v>
      </c>
      <c r="P939" s="227">
        <f t="shared" si="7"/>
        <v>12.010132904986138</v>
      </c>
    </row>
    <row r="940" spans="1:16" ht="14.25">
      <c r="A940" s="224">
        <v>939</v>
      </c>
      <c r="B940" s="58">
        <v>1836</v>
      </c>
      <c r="C940" s="57" t="s">
        <v>2882</v>
      </c>
      <c r="D940" s="57" t="s">
        <v>2582</v>
      </c>
      <c r="E940" s="57" t="s">
        <v>2860</v>
      </c>
      <c r="F940" s="233">
        <v>45752.739583333336</v>
      </c>
      <c r="G940" s="57">
        <v>5</v>
      </c>
      <c r="H940" s="57" t="s">
        <v>2557</v>
      </c>
      <c r="I940" s="58">
        <v>61388</v>
      </c>
      <c r="J940" s="234"/>
      <c r="K940" s="58">
        <v>0.01</v>
      </c>
      <c r="L940" s="58">
        <v>0</v>
      </c>
      <c r="M940" s="58">
        <v>0</v>
      </c>
      <c r="N940" s="58">
        <v>7.2713599999999996</v>
      </c>
      <c r="O940" s="224">
        <f t="shared" si="6"/>
        <v>0.01</v>
      </c>
      <c r="P940" s="227">
        <f t="shared" si="7"/>
        <v>1.3752585486071383E-3</v>
      </c>
    </row>
    <row r="941" spans="1:16" ht="14.25">
      <c r="A941" s="224">
        <v>940</v>
      </c>
      <c r="B941" s="58">
        <v>1836</v>
      </c>
      <c r="C941" s="57" t="s">
        <v>2882</v>
      </c>
      <c r="D941" s="57" t="s">
        <v>2582</v>
      </c>
      <c r="E941" s="57" t="s">
        <v>2860</v>
      </c>
      <c r="F941" s="233">
        <v>45752.742361111108</v>
      </c>
      <c r="G941" s="57">
        <v>5</v>
      </c>
      <c r="H941" s="57" t="s">
        <v>2557</v>
      </c>
      <c r="I941" s="58">
        <v>60944</v>
      </c>
      <c r="J941" s="234" t="s">
        <v>4058</v>
      </c>
      <c r="K941" s="58">
        <v>572.84</v>
      </c>
      <c r="L941" s="58">
        <v>0</v>
      </c>
      <c r="M941" s="58">
        <v>0</v>
      </c>
      <c r="N941" s="58">
        <v>7.2713599999999996</v>
      </c>
      <c r="O941" s="224">
        <f t="shared" si="6"/>
        <v>572.84</v>
      </c>
      <c r="P941" s="227">
        <f t="shared" si="7"/>
        <v>78.780310698411313</v>
      </c>
    </row>
    <row r="942" spans="1:16" ht="14.25">
      <c r="A942" s="224">
        <v>941</v>
      </c>
      <c r="B942" s="58">
        <v>1836</v>
      </c>
      <c r="C942" s="57" t="s">
        <v>2882</v>
      </c>
      <c r="D942" s="57" t="s">
        <v>2582</v>
      </c>
      <c r="E942" s="57" t="s">
        <v>2860</v>
      </c>
      <c r="F942" s="233">
        <v>45752.743055555555</v>
      </c>
      <c r="G942" s="57">
        <v>5</v>
      </c>
      <c r="H942" s="57" t="s">
        <v>2557</v>
      </c>
      <c r="I942" s="58">
        <v>60944</v>
      </c>
      <c r="J942" s="234"/>
      <c r="K942" s="58">
        <v>0.03</v>
      </c>
      <c r="L942" s="58">
        <v>0</v>
      </c>
      <c r="M942" s="58">
        <v>0</v>
      </c>
      <c r="N942" s="58">
        <v>7.2713599999999996</v>
      </c>
      <c r="O942" s="224">
        <f t="shared" si="6"/>
        <v>0.03</v>
      </c>
      <c r="P942" s="227">
        <f t="shared" si="7"/>
        <v>4.1257756458214145E-3</v>
      </c>
    </row>
    <row r="943" spans="1:16" ht="14.25">
      <c r="A943" s="224">
        <v>942</v>
      </c>
      <c r="B943" s="58">
        <v>23409</v>
      </c>
      <c r="C943" s="57" t="s">
        <v>4054</v>
      </c>
      <c r="D943" s="57" t="s">
        <v>45</v>
      </c>
      <c r="E943" s="57" t="s">
        <v>2874</v>
      </c>
      <c r="F943" s="233">
        <v>45752.990972222222</v>
      </c>
      <c r="G943" s="57">
        <v>5</v>
      </c>
      <c r="H943" s="57" t="s">
        <v>2557</v>
      </c>
      <c r="I943" s="58">
        <v>61448</v>
      </c>
      <c r="J943" s="234" t="s">
        <v>4059</v>
      </c>
      <c r="K943" s="58">
        <v>8.9700000000000006</v>
      </c>
      <c r="L943" s="58">
        <v>0</v>
      </c>
      <c r="M943" s="58">
        <v>0</v>
      </c>
      <c r="N943" s="58">
        <v>1</v>
      </c>
      <c r="O943" s="224">
        <f t="shared" si="6"/>
        <v>8.9700000000000006</v>
      </c>
      <c r="P943" s="227">
        <f t="shared" si="7"/>
        <v>8.9700000000000006</v>
      </c>
    </row>
    <row r="944" spans="1:16" ht="14.25">
      <c r="A944" s="224">
        <v>943</v>
      </c>
      <c r="B944" s="58">
        <v>23506</v>
      </c>
      <c r="C944" s="57" t="s">
        <v>4060</v>
      </c>
      <c r="D944" s="57" t="s">
        <v>2582</v>
      </c>
      <c r="E944" s="57" t="s">
        <v>2860</v>
      </c>
      <c r="F944" s="233">
        <v>45782.004861111112</v>
      </c>
      <c r="G944" s="57">
        <v>5</v>
      </c>
      <c r="H944" s="57" t="s">
        <v>2557</v>
      </c>
      <c r="I944" s="58">
        <v>61460</v>
      </c>
      <c r="J944" s="234" t="s">
        <v>4061</v>
      </c>
      <c r="K944" s="58">
        <v>29.01</v>
      </c>
      <c r="L944" s="58">
        <v>0</v>
      </c>
      <c r="M944" s="58">
        <v>0</v>
      </c>
      <c r="N944" s="58">
        <v>7.2713599999999996</v>
      </c>
      <c r="O944" s="224">
        <f t="shared" si="6"/>
        <v>29.01</v>
      </c>
      <c r="P944" s="227">
        <f t="shared" si="7"/>
        <v>3.989625049509308</v>
      </c>
    </row>
    <row r="945" spans="1:16" ht="14.25">
      <c r="A945" s="224">
        <v>944</v>
      </c>
      <c r="B945" s="58">
        <v>23507</v>
      </c>
      <c r="C945" s="57" t="s">
        <v>4062</v>
      </c>
      <c r="D945" s="57" t="s">
        <v>45</v>
      </c>
      <c r="E945" s="57" t="s">
        <v>2860</v>
      </c>
      <c r="F945" s="233">
        <v>45782.057638888888</v>
      </c>
      <c r="G945" s="57">
        <v>5</v>
      </c>
      <c r="H945" s="57" t="s">
        <v>2557</v>
      </c>
      <c r="I945" s="58">
        <v>61472</v>
      </c>
      <c r="J945" s="234" t="s">
        <v>4063</v>
      </c>
      <c r="K945" s="58">
        <v>0.99</v>
      </c>
      <c r="L945" s="58">
        <v>0</v>
      </c>
      <c r="M945" s="58">
        <v>0</v>
      </c>
      <c r="N945" s="58">
        <v>1</v>
      </c>
      <c r="O945" s="224">
        <f t="shared" si="6"/>
        <v>0.99</v>
      </c>
      <c r="P945" s="227">
        <f t="shared" si="7"/>
        <v>0.99</v>
      </c>
    </row>
    <row r="946" spans="1:16" ht="14.25">
      <c r="A946" s="224">
        <v>945</v>
      </c>
      <c r="B946" s="58">
        <v>23515</v>
      </c>
      <c r="C946" s="57" t="s">
        <v>4064</v>
      </c>
      <c r="D946" s="57" t="s">
        <v>2582</v>
      </c>
      <c r="E946" s="57" t="s">
        <v>2860</v>
      </c>
      <c r="F946" s="233">
        <v>45782.241666666669</v>
      </c>
      <c r="G946" s="57">
        <v>5</v>
      </c>
      <c r="H946" s="57" t="s">
        <v>2557</v>
      </c>
      <c r="I946" s="58">
        <v>61484</v>
      </c>
      <c r="J946" s="234" t="s">
        <v>4065</v>
      </c>
      <c r="K946" s="58">
        <v>66.099999999999994</v>
      </c>
      <c r="L946" s="58">
        <v>0</v>
      </c>
      <c r="M946" s="58">
        <v>0</v>
      </c>
      <c r="N946" s="58">
        <v>7.2713599999999996</v>
      </c>
      <c r="O946" s="224">
        <f t="shared" si="6"/>
        <v>66.099999999999994</v>
      </c>
      <c r="P946" s="227">
        <f t="shared" si="7"/>
        <v>9.090459006293182</v>
      </c>
    </row>
    <row r="947" spans="1:16" ht="14.25">
      <c r="A947" s="224">
        <v>946</v>
      </c>
      <c r="B947" s="58">
        <v>20047</v>
      </c>
      <c r="C947" s="57" t="s">
        <v>4066</v>
      </c>
      <c r="D947" s="57" t="s">
        <v>2582</v>
      </c>
      <c r="E947" s="57" t="s">
        <v>2860</v>
      </c>
      <c r="F947" s="233">
        <v>45782.388888888891</v>
      </c>
      <c r="G947" s="57">
        <v>5</v>
      </c>
      <c r="H947" s="57" t="s">
        <v>2557</v>
      </c>
      <c r="I947" s="58">
        <v>59744</v>
      </c>
      <c r="J947" s="234" t="s">
        <v>4067</v>
      </c>
      <c r="K947" s="58">
        <v>111.11</v>
      </c>
      <c r="L947" s="58">
        <v>0</v>
      </c>
      <c r="M947" s="58">
        <v>0</v>
      </c>
      <c r="N947" s="58">
        <v>7.2713599999999996</v>
      </c>
      <c r="O947" s="224">
        <f t="shared" si="6"/>
        <v>111.11</v>
      </c>
      <c r="P947" s="227">
        <f t="shared" si="7"/>
        <v>15.280497733573913</v>
      </c>
    </row>
    <row r="948" spans="1:16" ht="14.25">
      <c r="A948" s="224">
        <v>947</v>
      </c>
      <c r="B948" s="58">
        <v>21905</v>
      </c>
      <c r="C948" s="57" t="s">
        <v>3796</v>
      </c>
      <c r="D948" s="57" t="s">
        <v>2582</v>
      </c>
      <c r="E948" s="57" t="s">
        <v>2860</v>
      </c>
      <c r="F948" s="233">
        <v>45782.494444444441</v>
      </c>
      <c r="G948" s="57">
        <v>5</v>
      </c>
      <c r="H948" s="57" t="s">
        <v>2557</v>
      </c>
      <c r="I948" s="58">
        <v>61628</v>
      </c>
      <c r="J948" s="234" t="s">
        <v>4068</v>
      </c>
      <c r="K948" s="58">
        <v>150.44</v>
      </c>
      <c r="L948" s="58">
        <v>0</v>
      </c>
      <c r="M948" s="58">
        <v>0</v>
      </c>
      <c r="N948" s="58">
        <v>7.2713599999999996</v>
      </c>
      <c r="O948" s="224">
        <f t="shared" si="6"/>
        <v>150.44</v>
      </c>
      <c r="P948" s="227">
        <f t="shared" si="7"/>
        <v>20.689389605245786</v>
      </c>
    </row>
    <row r="949" spans="1:16" ht="14.25">
      <c r="A949" s="224">
        <v>948</v>
      </c>
      <c r="B949" s="58">
        <v>21228</v>
      </c>
      <c r="C949" s="57" t="s">
        <v>3637</v>
      </c>
      <c r="D949" s="57" t="s">
        <v>45</v>
      </c>
      <c r="E949" s="57" t="s">
        <v>2860</v>
      </c>
      <c r="F949" s="233">
        <v>45782.5</v>
      </c>
      <c r="G949" s="57">
        <v>5</v>
      </c>
      <c r="H949" s="57" t="s">
        <v>2557</v>
      </c>
      <c r="I949" s="58">
        <v>59780</v>
      </c>
      <c r="J949" s="234" t="s">
        <v>4069</v>
      </c>
      <c r="K949" s="58">
        <v>31.49</v>
      </c>
      <c r="L949" s="58">
        <v>0</v>
      </c>
      <c r="M949" s="58">
        <v>0</v>
      </c>
      <c r="N949" s="58">
        <v>1</v>
      </c>
      <c r="O949" s="224">
        <f t="shared" si="6"/>
        <v>31.49</v>
      </c>
      <c r="P949" s="227">
        <f t="shared" si="7"/>
        <v>31.49</v>
      </c>
    </row>
    <row r="950" spans="1:16" ht="14.25">
      <c r="A950" s="224">
        <v>949</v>
      </c>
      <c r="B950" s="58">
        <v>7698</v>
      </c>
      <c r="C950" s="57" t="s">
        <v>2710</v>
      </c>
      <c r="D950" s="57" t="s">
        <v>45</v>
      </c>
      <c r="E950" s="57" t="s">
        <v>2874</v>
      </c>
      <c r="F950" s="233">
        <v>45782.763888888891</v>
      </c>
      <c r="G950" s="57">
        <v>5</v>
      </c>
      <c r="H950" s="57" t="s">
        <v>2557</v>
      </c>
      <c r="I950" s="58">
        <v>61148</v>
      </c>
      <c r="J950" s="234" t="s">
        <v>4070</v>
      </c>
      <c r="K950" s="58">
        <v>17.989999999999998</v>
      </c>
      <c r="L950" s="58">
        <v>0</v>
      </c>
      <c r="M950" s="58">
        <v>0</v>
      </c>
      <c r="N950" s="58">
        <v>1</v>
      </c>
      <c r="O950" s="224">
        <f t="shared" si="6"/>
        <v>17.989999999999998</v>
      </c>
      <c r="P950" s="227">
        <f t="shared" si="7"/>
        <v>17.989999999999998</v>
      </c>
    </row>
    <row r="951" spans="1:16" ht="14.25">
      <c r="A951" s="224">
        <v>950</v>
      </c>
      <c r="B951" s="58">
        <v>396</v>
      </c>
      <c r="C951" s="57" t="s">
        <v>2674</v>
      </c>
      <c r="D951" s="57" t="s">
        <v>45</v>
      </c>
      <c r="E951" s="57" t="s">
        <v>9</v>
      </c>
      <c r="F951" s="233">
        <v>45782.793055555558</v>
      </c>
      <c r="G951" s="57">
        <v>5</v>
      </c>
      <c r="H951" s="57" t="s">
        <v>2557</v>
      </c>
      <c r="I951" s="58">
        <v>56527</v>
      </c>
      <c r="J951" s="234" t="s">
        <v>464</v>
      </c>
      <c r="K951" s="58">
        <v>1.0900000000000001</v>
      </c>
      <c r="L951" s="58">
        <v>0.54</v>
      </c>
      <c r="M951" s="58">
        <v>0</v>
      </c>
      <c r="N951" s="58">
        <v>1</v>
      </c>
      <c r="O951" s="224">
        <f t="shared" si="6"/>
        <v>0.55000000000000004</v>
      </c>
      <c r="P951" s="227">
        <f t="shared" si="7"/>
        <v>0.55000000000000004</v>
      </c>
    </row>
    <row r="952" spans="1:16" ht="14.25">
      <c r="A952" s="224">
        <v>951</v>
      </c>
      <c r="B952" s="58">
        <v>21905</v>
      </c>
      <c r="C952" s="57" t="s">
        <v>3796</v>
      </c>
      <c r="D952" s="57" t="s">
        <v>2582</v>
      </c>
      <c r="E952" s="57" t="s">
        <v>2860</v>
      </c>
      <c r="F952" s="233">
        <v>45782.805555555555</v>
      </c>
      <c r="G952" s="57">
        <v>5</v>
      </c>
      <c r="H952" s="57" t="s">
        <v>2557</v>
      </c>
      <c r="I952" s="58">
        <v>61628</v>
      </c>
      <c r="J952" s="234"/>
      <c r="K952" s="58">
        <v>0.01</v>
      </c>
      <c r="L952" s="58">
        <v>0</v>
      </c>
      <c r="M952" s="58">
        <v>0</v>
      </c>
      <c r="N952" s="58">
        <v>7.2713599999999996</v>
      </c>
      <c r="O952" s="224">
        <f t="shared" si="6"/>
        <v>0.01</v>
      </c>
      <c r="P952" s="227">
        <f t="shared" si="7"/>
        <v>1.3752585486071383E-3</v>
      </c>
    </row>
    <row r="953" spans="1:16" ht="14.25">
      <c r="A953" s="224">
        <v>952</v>
      </c>
      <c r="B953" s="58">
        <v>18477</v>
      </c>
      <c r="C953" s="57" t="s">
        <v>2966</v>
      </c>
      <c r="D953" s="57" t="s">
        <v>45</v>
      </c>
      <c r="E953" s="57" t="s">
        <v>2874</v>
      </c>
      <c r="F953" s="233">
        <v>45782.862500000003</v>
      </c>
      <c r="G953" s="57">
        <v>5</v>
      </c>
      <c r="H953" s="57" t="s">
        <v>2557</v>
      </c>
      <c r="I953" s="58">
        <v>61520</v>
      </c>
      <c r="J953" s="234"/>
      <c r="K953" s="58">
        <v>110</v>
      </c>
      <c r="L953" s="58">
        <v>0</v>
      </c>
      <c r="M953" s="58">
        <v>0</v>
      </c>
      <c r="N953" s="58">
        <v>1</v>
      </c>
      <c r="O953" s="224">
        <f t="shared" si="6"/>
        <v>110</v>
      </c>
      <c r="P953" s="227">
        <f t="shared" si="7"/>
        <v>110</v>
      </c>
    </row>
    <row r="954" spans="1:16" ht="14.25">
      <c r="A954" s="224">
        <v>953</v>
      </c>
      <c r="B954" s="58">
        <v>21455</v>
      </c>
      <c r="C954" s="57" t="s">
        <v>3698</v>
      </c>
      <c r="D954" s="57" t="s">
        <v>45</v>
      </c>
      <c r="E954" s="57" t="s">
        <v>2874</v>
      </c>
      <c r="F954" s="233">
        <v>45813.382638888892</v>
      </c>
      <c r="G954" s="57">
        <v>5</v>
      </c>
      <c r="H954" s="57" t="s">
        <v>2557</v>
      </c>
      <c r="I954" s="58">
        <v>61736</v>
      </c>
      <c r="J954" s="234" t="s">
        <v>4071</v>
      </c>
      <c r="K954" s="58">
        <v>0.99</v>
      </c>
      <c r="L954" s="58">
        <v>0</v>
      </c>
      <c r="M954" s="58">
        <v>0</v>
      </c>
      <c r="N954" s="58">
        <v>1</v>
      </c>
      <c r="O954" s="224">
        <f t="shared" si="6"/>
        <v>0.99</v>
      </c>
      <c r="P954" s="227">
        <f t="shared" si="7"/>
        <v>0.99</v>
      </c>
    </row>
    <row r="955" spans="1:16" ht="14.25">
      <c r="A955" s="224">
        <v>954</v>
      </c>
      <c r="B955" s="58">
        <v>4501</v>
      </c>
      <c r="C955" s="57" t="s">
        <v>4072</v>
      </c>
      <c r="D955" s="57" t="s">
        <v>45</v>
      </c>
      <c r="E955" s="57" t="s">
        <v>2860</v>
      </c>
      <c r="F955" s="233">
        <v>45813.42083333333</v>
      </c>
      <c r="G955" s="57">
        <v>5</v>
      </c>
      <c r="H955" s="57" t="s">
        <v>2557</v>
      </c>
      <c r="I955" s="58">
        <v>61748</v>
      </c>
      <c r="J955" s="234" t="s">
        <v>4073</v>
      </c>
      <c r="K955" s="58">
        <v>9.25</v>
      </c>
      <c r="L955" s="58">
        <v>0</v>
      </c>
      <c r="M955" s="58">
        <v>0</v>
      </c>
      <c r="N955" s="58">
        <v>1</v>
      </c>
      <c r="O955" s="224">
        <f t="shared" si="6"/>
        <v>9.25</v>
      </c>
      <c r="P955" s="227">
        <f t="shared" si="7"/>
        <v>9.25</v>
      </c>
    </row>
    <row r="956" spans="1:16" ht="14.25">
      <c r="A956" s="224">
        <v>955</v>
      </c>
      <c r="B956" s="58">
        <v>23506</v>
      </c>
      <c r="C956" s="57" t="s">
        <v>4060</v>
      </c>
      <c r="D956" s="57" t="s">
        <v>2582</v>
      </c>
      <c r="E956" s="57" t="s">
        <v>2860</v>
      </c>
      <c r="F956" s="233">
        <v>45813.467361111114</v>
      </c>
      <c r="G956" s="57">
        <v>5</v>
      </c>
      <c r="H956" s="57" t="s">
        <v>2557</v>
      </c>
      <c r="I956" s="58">
        <v>61760</v>
      </c>
      <c r="J956" s="234" t="s">
        <v>4074</v>
      </c>
      <c r="K956" s="58">
        <v>29.01</v>
      </c>
      <c r="L956" s="58">
        <v>0</v>
      </c>
      <c r="M956" s="58">
        <v>0</v>
      </c>
      <c r="N956" s="58">
        <v>7.2713599999999996</v>
      </c>
      <c r="O956" s="224">
        <f t="shared" si="6"/>
        <v>29.01</v>
      </c>
      <c r="P956" s="227">
        <f t="shared" si="7"/>
        <v>3.989625049509308</v>
      </c>
    </row>
    <row r="957" spans="1:16" ht="14.25">
      <c r="A957" s="224">
        <v>956</v>
      </c>
      <c r="B957" s="58">
        <v>1560</v>
      </c>
      <c r="C957" s="57" t="s">
        <v>2630</v>
      </c>
      <c r="D957" s="57" t="s">
        <v>45</v>
      </c>
      <c r="E957" s="57" t="s">
        <v>2860</v>
      </c>
      <c r="F957" s="233">
        <v>45813.763888888891</v>
      </c>
      <c r="G957" s="57">
        <v>5</v>
      </c>
      <c r="H957" s="57" t="s">
        <v>2557</v>
      </c>
      <c r="I957" s="58">
        <v>60296</v>
      </c>
      <c r="J957" s="234" t="s">
        <v>4075</v>
      </c>
      <c r="K957" s="58">
        <v>8.9700000000000006</v>
      </c>
      <c r="L957" s="58">
        <v>0</v>
      </c>
      <c r="M957" s="58">
        <v>0</v>
      </c>
      <c r="N957" s="58">
        <v>1</v>
      </c>
      <c r="O957" s="224">
        <f t="shared" si="6"/>
        <v>8.9700000000000006</v>
      </c>
      <c r="P957" s="227">
        <f t="shared" si="7"/>
        <v>8.9700000000000006</v>
      </c>
    </row>
    <row r="958" spans="1:16" ht="14.25">
      <c r="A958" s="224">
        <v>957</v>
      </c>
      <c r="B958" s="58">
        <v>1560</v>
      </c>
      <c r="C958" s="57" t="s">
        <v>2630</v>
      </c>
      <c r="D958" s="57" t="s">
        <v>45</v>
      </c>
      <c r="E958" s="57" t="s">
        <v>2860</v>
      </c>
      <c r="F958" s="233">
        <v>45813.765277777777</v>
      </c>
      <c r="G958" s="57">
        <v>5</v>
      </c>
      <c r="H958" s="57" t="s">
        <v>2557</v>
      </c>
      <c r="I958" s="58">
        <v>60668</v>
      </c>
      <c r="J958" s="234" t="s">
        <v>4076</v>
      </c>
      <c r="K958" s="58">
        <v>5.98</v>
      </c>
      <c r="L958" s="58">
        <v>0</v>
      </c>
      <c r="M958" s="58">
        <v>0</v>
      </c>
      <c r="N958" s="58">
        <v>1</v>
      </c>
      <c r="O958" s="224">
        <f t="shared" si="6"/>
        <v>5.98</v>
      </c>
      <c r="P958" s="227">
        <f t="shared" si="7"/>
        <v>5.98</v>
      </c>
    </row>
    <row r="959" spans="1:16" ht="14.25">
      <c r="A959" s="224">
        <v>958</v>
      </c>
      <c r="B959" s="58">
        <v>1560</v>
      </c>
      <c r="C959" s="57" t="s">
        <v>2630</v>
      </c>
      <c r="D959" s="57" t="s">
        <v>45</v>
      </c>
      <c r="E959" s="57" t="s">
        <v>2860</v>
      </c>
      <c r="F959" s="233">
        <v>45813.765277777777</v>
      </c>
      <c r="G959" s="57">
        <v>5</v>
      </c>
      <c r="H959" s="57" t="s">
        <v>2557</v>
      </c>
      <c r="I959" s="58">
        <v>60968</v>
      </c>
      <c r="J959" s="234" t="s">
        <v>4077</v>
      </c>
      <c r="K959" s="58">
        <v>2.99</v>
      </c>
      <c r="L959" s="58">
        <v>0</v>
      </c>
      <c r="M959" s="58">
        <v>0</v>
      </c>
      <c r="N959" s="58">
        <v>1</v>
      </c>
      <c r="O959" s="224">
        <f t="shared" si="6"/>
        <v>2.99</v>
      </c>
      <c r="P959" s="227">
        <f t="shared" si="7"/>
        <v>2.99</v>
      </c>
    </row>
    <row r="960" spans="1:16" ht="14.25">
      <c r="A960" s="224">
        <v>959</v>
      </c>
      <c r="B960" s="58">
        <v>1560</v>
      </c>
      <c r="C960" s="57" t="s">
        <v>2630</v>
      </c>
      <c r="D960" s="57" t="s">
        <v>45</v>
      </c>
      <c r="E960" s="57" t="s">
        <v>2860</v>
      </c>
      <c r="F960" s="233">
        <v>45813.765972222223</v>
      </c>
      <c r="G960" s="57">
        <v>5</v>
      </c>
      <c r="H960" s="57" t="s">
        <v>2557</v>
      </c>
      <c r="I960" s="58">
        <v>59348</v>
      </c>
      <c r="J960" s="234" t="s">
        <v>4078</v>
      </c>
      <c r="K960" s="58">
        <v>3.99</v>
      </c>
      <c r="L960" s="58">
        <v>0</v>
      </c>
      <c r="M960" s="58">
        <v>0</v>
      </c>
      <c r="N960" s="58">
        <v>1</v>
      </c>
      <c r="O960" s="224">
        <f t="shared" si="6"/>
        <v>3.99</v>
      </c>
      <c r="P960" s="227">
        <f t="shared" si="7"/>
        <v>3.99</v>
      </c>
    </row>
    <row r="961" spans="1:16" ht="14.25">
      <c r="A961" s="224">
        <v>960</v>
      </c>
      <c r="B961" s="58">
        <v>1560</v>
      </c>
      <c r="C961" s="57" t="s">
        <v>2630</v>
      </c>
      <c r="D961" s="57" t="s">
        <v>45</v>
      </c>
      <c r="E961" s="57" t="s">
        <v>2860</v>
      </c>
      <c r="F961" s="233">
        <v>45813.771527777775</v>
      </c>
      <c r="G961" s="57">
        <v>5</v>
      </c>
      <c r="H961" s="57" t="s">
        <v>2557</v>
      </c>
      <c r="I961" s="58">
        <v>61772</v>
      </c>
      <c r="J961" s="234" t="s">
        <v>4079</v>
      </c>
      <c r="K961" s="58">
        <v>8.9700000000000006</v>
      </c>
      <c r="L961" s="58">
        <v>0</v>
      </c>
      <c r="M961" s="58">
        <v>0</v>
      </c>
      <c r="N961" s="58">
        <v>1</v>
      </c>
      <c r="O961" s="224">
        <f t="shared" si="6"/>
        <v>8.9700000000000006</v>
      </c>
      <c r="P961" s="227">
        <f t="shared" si="7"/>
        <v>8.9700000000000006</v>
      </c>
    </row>
    <row r="962" spans="1:16" ht="14.25">
      <c r="A962" s="224">
        <v>961</v>
      </c>
      <c r="B962" s="58">
        <v>18125</v>
      </c>
      <c r="C962" s="57" t="s">
        <v>2905</v>
      </c>
      <c r="D962" s="57" t="s">
        <v>45</v>
      </c>
      <c r="E962" s="57" t="s">
        <v>2860</v>
      </c>
      <c r="F962" s="233">
        <v>45813.794444444444</v>
      </c>
      <c r="G962" s="57">
        <v>5</v>
      </c>
      <c r="H962" s="57" t="s">
        <v>2557</v>
      </c>
      <c r="I962" s="58">
        <v>60524</v>
      </c>
      <c r="J962" s="234" t="s">
        <v>4080</v>
      </c>
      <c r="K962" s="58">
        <v>3.99</v>
      </c>
      <c r="L962" s="58">
        <v>0</v>
      </c>
      <c r="M962" s="58">
        <v>0</v>
      </c>
      <c r="N962" s="58">
        <v>1</v>
      </c>
      <c r="O962" s="224">
        <f t="shared" si="6"/>
        <v>3.99</v>
      </c>
      <c r="P962" s="227">
        <f t="shared" si="7"/>
        <v>3.99</v>
      </c>
    </row>
    <row r="963" spans="1:16" ht="14.25">
      <c r="A963" s="224">
        <v>962</v>
      </c>
      <c r="B963" s="58">
        <v>18794</v>
      </c>
      <c r="C963" s="57" t="s">
        <v>3039</v>
      </c>
      <c r="D963" s="57" t="s">
        <v>45</v>
      </c>
      <c r="E963" s="57" t="s">
        <v>2860</v>
      </c>
      <c r="F963" s="233">
        <v>45813.882638888892</v>
      </c>
      <c r="G963" s="57">
        <v>5</v>
      </c>
      <c r="H963" s="57" t="s">
        <v>2557</v>
      </c>
      <c r="I963" s="58">
        <v>60176</v>
      </c>
      <c r="J963" s="234" t="s">
        <v>4081</v>
      </c>
      <c r="K963" s="58">
        <v>3.99</v>
      </c>
      <c r="L963" s="58">
        <v>0</v>
      </c>
      <c r="M963" s="58">
        <v>0</v>
      </c>
      <c r="N963" s="58">
        <v>1</v>
      </c>
      <c r="O963" s="224">
        <f t="shared" si="6"/>
        <v>3.99</v>
      </c>
      <c r="P963" s="227">
        <f t="shared" si="7"/>
        <v>3.99</v>
      </c>
    </row>
    <row r="964" spans="1:16" ht="14.25">
      <c r="A964" s="224">
        <v>963</v>
      </c>
      <c r="B964" s="58">
        <v>21267</v>
      </c>
      <c r="C964" s="57" t="s">
        <v>427</v>
      </c>
      <c r="D964" s="57" t="s">
        <v>45</v>
      </c>
      <c r="E964" s="57" t="s">
        <v>2860</v>
      </c>
      <c r="F964" s="233">
        <v>45813.956250000003</v>
      </c>
      <c r="G964" s="57">
        <v>5</v>
      </c>
      <c r="H964" s="57" t="s">
        <v>2557</v>
      </c>
      <c r="I964" s="58">
        <v>59972</v>
      </c>
      <c r="J964" s="234" t="s">
        <v>4082</v>
      </c>
      <c r="K964" s="58">
        <v>5.59</v>
      </c>
      <c r="L964" s="58">
        <v>0</v>
      </c>
      <c r="M964" s="58">
        <v>0</v>
      </c>
      <c r="N964" s="58">
        <v>1</v>
      </c>
      <c r="O964" s="224">
        <f t="shared" si="6"/>
        <v>5.59</v>
      </c>
      <c r="P964" s="227">
        <f t="shared" si="7"/>
        <v>5.59</v>
      </c>
    </row>
    <row r="965" spans="1:16" ht="14.25">
      <c r="A965" s="224">
        <v>964</v>
      </c>
      <c r="B965" s="58">
        <v>3299</v>
      </c>
      <c r="C965" s="57" t="s">
        <v>3063</v>
      </c>
      <c r="D965" s="57" t="s">
        <v>45</v>
      </c>
      <c r="E965" s="57" t="s">
        <v>2860</v>
      </c>
      <c r="F965" s="233">
        <v>45813.96597222222</v>
      </c>
      <c r="G965" s="57">
        <v>5</v>
      </c>
      <c r="H965" s="57" t="s">
        <v>2557</v>
      </c>
      <c r="I965" s="58">
        <v>59107</v>
      </c>
      <c r="J965" s="234" t="s">
        <v>4083</v>
      </c>
      <c r="K965" s="58">
        <v>42.99</v>
      </c>
      <c r="L965" s="58">
        <v>0</v>
      </c>
      <c r="M965" s="58">
        <v>0</v>
      </c>
      <c r="N965" s="58">
        <v>1</v>
      </c>
      <c r="O965" s="224">
        <f t="shared" si="6"/>
        <v>42.99</v>
      </c>
      <c r="P965" s="227">
        <f t="shared" si="7"/>
        <v>42.99</v>
      </c>
    </row>
    <row r="966" spans="1:16" ht="14.25">
      <c r="A966" s="224">
        <v>965</v>
      </c>
      <c r="B966" s="58">
        <v>22559</v>
      </c>
      <c r="C966" s="57" t="s">
        <v>3891</v>
      </c>
      <c r="D966" s="57" t="s">
        <v>45</v>
      </c>
      <c r="E966" s="57" t="s">
        <v>9</v>
      </c>
      <c r="F966" s="233">
        <v>45843.381944444445</v>
      </c>
      <c r="G966" s="57">
        <v>5</v>
      </c>
      <c r="H966" s="57" t="s">
        <v>2557</v>
      </c>
      <c r="I966" s="58">
        <v>61892</v>
      </c>
      <c r="J966" s="234" t="s">
        <v>467</v>
      </c>
      <c r="K966" s="58">
        <v>18.260000000000002</v>
      </c>
      <c r="L966" s="58">
        <v>1.4</v>
      </c>
      <c r="M966" s="58">
        <v>0</v>
      </c>
      <c r="N966" s="58">
        <v>1</v>
      </c>
      <c r="O966" s="224">
        <f t="shared" si="6"/>
        <v>16.860000000000003</v>
      </c>
      <c r="P966" s="227">
        <f t="shared" si="7"/>
        <v>16.860000000000003</v>
      </c>
    </row>
    <row r="967" spans="1:16" ht="14.25">
      <c r="A967" s="224">
        <v>966</v>
      </c>
      <c r="B967" s="58">
        <v>3272</v>
      </c>
      <c r="C967" s="57" t="s">
        <v>4084</v>
      </c>
      <c r="D967" s="57" t="s">
        <v>45</v>
      </c>
      <c r="E967" s="57" t="s">
        <v>2860</v>
      </c>
      <c r="F967" s="233">
        <v>45843.606944444444</v>
      </c>
      <c r="G967" s="57">
        <v>5</v>
      </c>
      <c r="H967" s="57" t="s">
        <v>2557</v>
      </c>
      <c r="I967" s="58">
        <v>61904</v>
      </c>
      <c r="J967" s="234" t="s">
        <v>4085</v>
      </c>
      <c r="K967" s="58">
        <v>5.99</v>
      </c>
      <c r="L967" s="58">
        <v>0</v>
      </c>
      <c r="M967" s="58">
        <v>0</v>
      </c>
      <c r="N967" s="58">
        <v>1</v>
      </c>
      <c r="O967" s="224">
        <f t="shared" si="6"/>
        <v>5.99</v>
      </c>
      <c r="P967" s="227">
        <f t="shared" si="7"/>
        <v>5.99</v>
      </c>
    </row>
    <row r="968" spans="1:16" ht="14.25">
      <c r="A968" s="224">
        <v>967</v>
      </c>
      <c r="B968" s="58">
        <v>5079</v>
      </c>
      <c r="C968" s="57" t="s">
        <v>2970</v>
      </c>
      <c r="D968" s="57" t="s">
        <v>45</v>
      </c>
      <c r="E968" s="57" t="s">
        <v>2860</v>
      </c>
      <c r="F968" s="233">
        <v>45843.627083333333</v>
      </c>
      <c r="G968" s="57">
        <v>5</v>
      </c>
      <c r="H968" s="57" t="s">
        <v>2557</v>
      </c>
      <c r="I968" s="58">
        <v>61916</v>
      </c>
      <c r="J968" s="234" t="s">
        <v>4086</v>
      </c>
      <c r="K968" s="58">
        <v>3.59</v>
      </c>
      <c r="L968" s="58">
        <v>0</v>
      </c>
      <c r="M968" s="58">
        <v>0</v>
      </c>
      <c r="N968" s="58">
        <v>1</v>
      </c>
      <c r="O968" s="224">
        <f t="shared" si="6"/>
        <v>3.59</v>
      </c>
      <c r="P968" s="227">
        <f t="shared" si="7"/>
        <v>3.59</v>
      </c>
    </row>
    <row r="969" spans="1:16" ht="14.25">
      <c r="A969" s="224">
        <v>968</v>
      </c>
      <c r="B969" s="58">
        <v>23683</v>
      </c>
      <c r="C969" s="57" t="s">
        <v>4087</v>
      </c>
      <c r="D969" s="57" t="s">
        <v>2582</v>
      </c>
      <c r="E969" s="57" t="s">
        <v>2860</v>
      </c>
      <c r="F969" s="233">
        <v>45843.708333333336</v>
      </c>
      <c r="G969" s="57">
        <v>5</v>
      </c>
      <c r="H969" s="57" t="s">
        <v>2557</v>
      </c>
      <c r="I969" s="58">
        <v>61952</v>
      </c>
      <c r="J969" s="234" t="s">
        <v>4088</v>
      </c>
      <c r="K969" s="58">
        <v>7.15</v>
      </c>
      <c r="L969" s="58">
        <v>0</v>
      </c>
      <c r="M969" s="58">
        <v>0</v>
      </c>
      <c r="N969" s="58">
        <v>7.2172200000000002</v>
      </c>
      <c r="O969" s="224">
        <f t="shared" si="6"/>
        <v>7.15</v>
      </c>
      <c r="P969" s="227">
        <f t="shared" si="7"/>
        <v>0.99068616447884372</v>
      </c>
    </row>
    <row r="970" spans="1:16" ht="14.25">
      <c r="A970" s="224">
        <v>969</v>
      </c>
      <c r="B970" s="58">
        <v>23686</v>
      </c>
      <c r="C970" s="57" t="s">
        <v>4089</v>
      </c>
      <c r="D970" s="57" t="s">
        <v>45</v>
      </c>
      <c r="E970" s="57" t="s">
        <v>2860</v>
      </c>
      <c r="F970" s="233">
        <v>45843.881249999999</v>
      </c>
      <c r="G970" s="57">
        <v>5</v>
      </c>
      <c r="H970" s="57" t="s">
        <v>2557</v>
      </c>
      <c r="I970" s="58">
        <v>61964</v>
      </c>
      <c r="J970" s="234" t="s">
        <v>4090</v>
      </c>
      <c r="K970" s="58">
        <v>5.99</v>
      </c>
      <c r="L970" s="58">
        <v>0</v>
      </c>
      <c r="M970" s="58">
        <v>0</v>
      </c>
      <c r="N970" s="58">
        <v>1</v>
      </c>
      <c r="O970" s="224">
        <f t="shared" si="6"/>
        <v>5.99</v>
      </c>
      <c r="P970" s="227">
        <f t="shared" si="7"/>
        <v>5.99</v>
      </c>
    </row>
    <row r="971" spans="1:16" ht="14.25">
      <c r="A971" s="224">
        <v>970</v>
      </c>
      <c r="B971" s="58">
        <v>22541</v>
      </c>
      <c r="C971" s="57" t="s">
        <v>3998</v>
      </c>
      <c r="D971" s="57" t="s">
        <v>2582</v>
      </c>
      <c r="E971" s="57" t="s">
        <v>2860</v>
      </c>
      <c r="F971" s="233">
        <v>45874.009722222225</v>
      </c>
      <c r="G971" s="57">
        <v>5</v>
      </c>
      <c r="H971" s="57" t="s">
        <v>2557</v>
      </c>
      <c r="I971" s="58">
        <v>61976</v>
      </c>
      <c r="J971" s="234" t="s">
        <v>4091</v>
      </c>
      <c r="K971" s="58">
        <v>7.15</v>
      </c>
      <c r="L971" s="58">
        <v>0</v>
      </c>
      <c r="M971" s="58">
        <v>0</v>
      </c>
      <c r="N971" s="58">
        <v>7.2172200000000002</v>
      </c>
      <c r="O971" s="224">
        <f t="shared" si="6"/>
        <v>7.15</v>
      </c>
      <c r="P971" s="227">
        <f t="shared" si="7"/>
        <v>0.99068616447884372</v>
      </c>
    </row>
    <row r="972" spans="1:16" ht="14.25">
      <c r="A972" s="224">
        <v>971</v>
      </c>
      <c r="B972" s="58">
        <v>21281</v>
      </c>
      <c r="C972" s="57" t="s">
        <v>3654</v>
      </c>
      <c r="D972" s="57" t="s">
        <v>45</v>
      </c>
      <c r="E972" s="57" t="s">
        <v>2860</v>
      </c>
      <c r="F972" s="233">
        <v>45874.435416666667</v>
      </c>
      <c r="G972" s="57">
        <v>5</v>
      </c>
      <c r="H972" s="57" t="s">
        <v>2557</v>
      </c>
      <c r="I972" s="58">
        <v>60008</v>
      </c>
      <c r="J972" s="234"/>
      <c r="K972" s="58">
        <v>836</v>
      </c>
      <c r="L972" s="58">
        <v>0</v>
      </c>
      <c r="M972" s="58">
        <v>0</v>
      </c>
      <c r="N972" s="58">
        <v>1</v>
      </c>
      <c r="O972" s="224">
        <f t="shared" si="6"/>
        <v>836</v>
      </c>
      <c r="P972" s="227">
        <f t="shared" si="7"/>
        <v>836</v>
      </c>
    </row>
    <row r="973" spans="1:16" ht="14.25">
      <c r="A973" s="224">
        <v>972</v>
      </c>
      <c r="B973" s="58">
        <v>23753</v>
      </c>
      <c r="C973" s="57" t="s">
        <v>4092</v>
      </c>
      <c r="D973" s="57" t="s">
        <v>45</v>
      </c>
      <c r="E973" s="57" t="s">
        <v>2874</v>
      </c>
      <c r="F973" s="233">
        <v>45874.441666666666</v>
      </c>
      <c r="G973" s="57">
        <v>5</v>
      </c>
      <c r="H973" s="57" t="s">
        <v>2557</v>
      </c>
      <c r="I973" s="58">
        <v>62000</v>
      </c>
      <c r="J973" s="234"/>
      <c r="K973" s="58">
        <v>29.99</v>
      </c>
      <c r="L973" s="58">
        <v>0</v>
      </c>
      <c r="M973" s="58">
        <v>0</v>
      </c>
      <c r="N973" s="58">
        <v>1</v>
      </c>
      <c r="O973" s="224">
        <f t="shared" si="6"/>
        <v>29.99</v>
      </c>
      <c r="P973" s="227">
        <f t="shared" si="7"/>
        <v>29.99</v>
      </c>
    </row>
    <row r="974" spans="1:16" ht="14.25">
      <c r="A974" s="224">
        <v>973</v>
      </c>
      <c r="B974" s="58">
        <v>23762</v>
      </c>
      <c r="C974" s="57" t="s">
        <v>4093</v>
      </c>
      <c r="D974" s="57" t="s">
        <v>45</v>
      </c>
      <c r="E974" s="57" t="s">
        <v>2860</v>
      </c>
      <c r="F974" s="233">
        <v>45874.616666666669</v>
      </c>
      <c r="G974" s="57">
        <v>5</v>
      </c>
      <c r="H974" s="57" t="s">
        <v>2557</v>
      </c>
      <c r="I974" s="58">
        <v>62012</v>
      </c>
      <c r="J974" s="234" t="s">
        <v>4094</v>
      </c>
      <c r="K974" s="58">
        <v>3.99</v>
      </c>
      <c r="L974" s="58">
        <v>0</v>
      </c>
      <c r="M974" s="58">
        <v>0</v>
      </c>
      <c r="N974" s="58">
        <v>1</v>
      </c>
      <c r="O974" s="224">
        <f t="shared" si="6"/>
        <v>3.99</v>
      </c>
      <c r="P974" s="227">
        <f t="shared" si="7"/>
        <v>3.99</v>
      </c>
    </row>
    <row r="975" spans="1:16" ht="14.25">
      <c r="A975" s="224">
        <v>974</v>
      </c>
      <c r="B975" s="58">
        <v>23763</v>
      </c>
      <c r="C975" s="57" t="s">
        <v>4095</v>
      </c>
      <c r="D975" s="57" t="s">
        <v>2582</v>
      </c>
      <c r="E975" s="57" t="s">
        <v>2860</v>
      </c>
      <c r="F975" s="233">
        <v>45874.904166666667</v>
      </c>
      <c r="G975" s="57">
        <v>5</v>
      </c>
      <c r="H975" s="57" t="s">
        <v>2557</v>
      </c>
      <c r="I975" s="58">
        <v>62024</v>
      </c>
      <c r="J975" s="234" t="s">
        <v>4096</v>
      </c>
      <c r="K975" s="58">
        <v>28.83</v>
      </c>
      <c r="L975" s="58">
        <v>0</v>
      </c>
      <c r="M975" s="58">
        <v>0</v>
      </c>
      <c r="N975" s="58">
        <v>7.2252599999999996</v>
      </c>
      <c r="O975" s="224">
        <f t="shared" si="6"/>
        <v>28.83</v>
      </c>
      <c r="P975" s="227">
        <f t="shared" si="7"/>
        <v>3.9901678278705544</v>
      </c>
    </row>
    <row r="976" spans="1:16" ht="14.25">
      <c r="A976" s="224">
        <v>975</v>
      </c>
      <c r="B976" s="58">
        <v>21475</v>
      </c>
      <c r="C976" s="57" t="s">
        <v>3704</v>
      </c>
      <c r="D976" s="57" t="s">
        <v>45</v>
      </c>
      <c r="E976" s="57" t="s">
        <v>2860</v>
      </c>
      <c r="F976" s="233">
        <v>45874.90625</v>
      </c>
      <c r="G976" s="57">
        <v>5</v>
      </c>
      <c r="H976" s="57" t="s">
        <v>2557</v>
      </c>
      <c r="I976" s="58">
        <v>60332</v>
      </c>
      <c r="J976" s="234" t="s">
        <v>4097</v>
      </c>
      <c r="K976" s="58">
        <v>17.989999999999998</v>
      </c>
      <c r="L976" s="58">
        <v>0</v>
      </c>
      <c r="M976" s="58">
        <v>0</v>
      </c>
      <c r="N976" s="58">
        <v>1</v>
      </c>
      <c r="O976" s="224">
        <f t="shared" si="6"/>
        <v>17.989999999999998</v>
      </c>
      <c r="P976" s="227">
        <f t="shared" si="7"/>
        <v>17.989999999999998</v>
      </c>
    </row>
    <row r="977" spans="1:16" ht="14.25">
      <c r="A977" s="224">
        <v>976</v>
      </c>
      <c r="B977" s="58">
        <v>23763</v>
      </c>
      <c r="C977" s="57" t="s">
        <v>4095</v>
      </c>
      <c r="D977" s="57" t="s">
        <v>2582</v>
      </c>
      <c r="E977" s="57" t="s">
        <v>2860</v>
      </c>
      <c r="F977" s="233">
        <v>45874.929861111108</v>
      </c>
      <c r="G977" s="57">
        <v>5</v>
      </c>
      <c r="H977" s="57" t="s">
        <v>2557</v>
      </c>
      <c r="I977" s="58">
        <v>62036</v>
      </c>
      <c r="J977" s="234" t="s">
        <v>4098</v>
      </c>
      <c r="K977" s="58">
        <v>28.83</v>
      </c>
      <c r="L977" s="58">
        <v>0</v>
      </c>
      <c r="M977" s="58">
        <v>0</v>
      </c>
      <c r="N977" s="58">
        <v>7.2252599999999996</v>
      </c>
      <c r="O977" s="224">
        <f t="shared" si="6"/>
        <v>28.83</v>
      </c>
      <c r="P977" s="227">
        <f t="shared" si="7"/>
        <v>3.9901678278705544</v>
      </c>
    </row>
    <row r="978" spans="1:16" ht="14.25">
      <c r="A978" s="224">
        <v>977</v>
      </c>
      <c r="B978" s="58">
        <v>23080</v>
      </c>
      <c r="C978" s="57" t="s">
        <v>4011</v>
      </c>
      <c r="D978" s="57" t="s">
        <v>45</v>
      </c>
      <c r="E978" s="57" t="s">
        <v>2874</v>
      </c>
      <c r="F978" s="233">
        <v>45905.911805555559</v>
      </c>
      <c r="G978" s="57">
        <v>5</v>
      </c>
      <c r="H978" s="57" t="s">
        <v>2557</v>
      </c>
      <c r="I978" s="58">
        <v>62156</v>
      </c>
      <c r="J978" s="234"/>
      <c r="K978" s="58">
        <v>12.99</v>
      </c>
      <c r="L978" s="58">
        <v>0</v>
      </c>
      <c r="M978" s="58">
        <v>0</v>
      </c>
      <c r="N978" s="58">
        <v>1</v>
      </c>
      <c r="O978" s="224">
        <f t="shared" si="6"/>
        <v>12.99</v>
      </c>
      <c r="P978" s="227">
        <f t="shared" si="7"/>
        <v>12.99</v>
      </c>
    </row>
    <row r="979" spans="1:16" ht="14.25">
      <c r="A979" s="224">
        <v>978</v>
      </c>
      <c r="B979" s="58">
        <v>21245</v>
      </c>
      <c r="C979" s="57" t="s">
        <v>3641</v>
      </c>
      <c r="D979" s="57" t="s">
        <v>45</v>
      </c>
      <c r="E979" s="57" t="s">
        <v>2860</v>
      </c>
      <c r="F979" s="233">
        <v>45905.918055555558</v>
      </c>
      <c r="G979" s="57">
        <v>5</v>
      </c>
      <c r="H979" s="57" t="s">
        <v>2557</v>
      </c>
      <c r="I979" s="58">
        <v>62168</v>
      </c>
      <c r="J979" s="234" t="s">
        <v>4099</v>
      </c>
      <c r="K979" s="58">
        <v>16.09</v>
      </c>
      <c r="L979" s="58">
        <v>0</v>
      </c>
      <c r="M979" s="58">
        <v>0</v>
      </c>
      <c r="N979" s="58">
        <v>1</v>
      </c>
      <c r="O979" s="224">
        <f t="shared" si="6"/>
        <v>16.09</v>
      </c>
      <c r="P979" s="227">
        <f t="shared" si="7"/>
        <v>16.09</v>
      </c>
    </row>
    <row r="980" spans="1:16" ht="14.25">
      <c r="A980" s="224">
        <v>979</v>
      </c>
      <c r="B980" s="58">
        <v>21245</v>
      </c>
      <c r="C980" s="57" t="s">
        <v>3641</v>
      </c>
      <c r="D980" s="57" t="s">
        <v>45</v>
      </c>
      <c r="E980" s="57" t="s">
        <v>2860</v>
      </c>
      <c r="F980" s="233">
        <v>45905.918749999997</v>
      </c>
      <c r="G980" s="57">
        <v>5</v>
      </c>
      <c r="H980" s="57" t="s">
        <v>2557</v>
      </c>
      <c r="I980" s="58">
        <v>62168</v>
      </c>
      <c r="J980" s="234" t="s">
        <v>4099</v>
      </c>
      <c r="K980" s="58">
        <v>16.09</v>
      </c>
      <c r="L980" s="58">
        <v>0</v>
      </c>
      <c r="M980" s="58">
        <v>0</v>
      </c>
      <c r="N980" s="58">
        <v>1</v>
      </c>
      <c r="O980" s="224">
        <f t="shared" si="6"/>
        <v>16.09</v>
      </c>
      <c r="P980" s="227">
        <f t="shared" si="7"/>
        <v>16.09</v>
      </c>
    </row>
    <row r="981" spans="1:16" ht="14.25">
      <c r="A981" s="224">
        <v>980</v>
      </c>
      <c r="B981" s="58">
        <v>36</v>
      </c>
      <c r="C981" s="57" t="s">
        <v>2646</v>
      </c>
      <c r="D981" s="57" t="s">
        <v>45</v>
      </c>
      <c r="E981" s="57" t="s">
        <v>2874</v>
      </c>
      <c r="F981" s="233">
        <v>45905.927777777775</v>
      </c>
      <c r="G981" s="57">
        <v>5</v>
      </c>
      <c r="H981" s="57" t="s">
        <v>2557</v>
      </c>
      <c r="I981" s="58">
        <v>60560</v>
      </c>
      <c r="J981" s="234"/>
      <c r="K981" s="58">
        <v>600</v>
      </c>
      <c r="L981" s="58">
        <v>0</v>
      </c>
      <c r="M981" s="58">
        <v>0</v>
      </c>
      <c r="N981" s="58">
        <v>1</v>
      </c>
      <c r="O981" s="224">
        <f t="shared" si="6"/>
        <v>600</v>
      </c>
      <c r="P981" s="227">
        <f t="shared" si="7"/>
        <v>600</v>
      </c>
    </row>
    <row r="982" spans="1:16" ht="14.25">
      <c r="A982" s="224">
        <v>981</v>
      </c>
      <c r="B982" s="58">
        <v>23890</v>
      </c>
      <c r="C982" s="57" t="s">
        <v>4100</v>
      </c>
      <c r="D982" s="57" t="s">
        <v>45</v>
      </c>
      <c r="E982" s="57" t="s">
        <v>2860</v>
      </c>
      <c r="F982" s="233">
        <v>45905.976388888892</v>
      </c>
      <c r="G982" s="57">
        <v>5</v>
      </c>
      <c r="H982" s="57" t="s">
        <v>2557</v>
      </c>
      <c r="I982" s="58">
        <v>62192</v>
      </c>
      <c r="J982" s="234" t="s">
        <v>4101</v>
      </c>
      <c r="K982" s="58">
        <v>1.99</v>
      </c>
      <c r="L982" s="58">
        <v>0</v>
      </c>
      <c r="M982" s="58">
        <v>0</v>
      </c>
      <c r="N982" s="58">
        <v>1</v>
      </c>
      <c r="O982" s="224">
        <f t="shared" si="6"/>
        <v>1.99</v>
      </c>
      <c r="P982" s="227">
        <f t="shared" si="7"/>
        <v>1.99</v>
      </c>
    </row>
    <row r="983" spans="1:16" ht="14.25">
      <c r="A983" s="224">
        <v>982</v>
      </c>
      <c r="B983" s="58">
        <v>23890</v>
      </c>
      <c r="C983" s="57" t="s">
        <v>4100</v>
      </c>
      <c r="D983" s="57" t="s">
        <v>45</v>
      </c>
      <c r="E983" s="57" t="s">
        <v>2860</v>
      </c>
      <c r="F983" s="233">
        <v>45905.990277777775</v>
      </c>
      <c r="G983" s="57">
        <v>5</v>
      </c>
      <c r="H983" s="57" t="s">
        <v>2557</v>
      </c>
      <c r="I983" s="58">
        <v>62204</v>
      </c>
      <c r="J983" s="234" t="s">
        <v>4102</v>
      </c>
      <c r="K983" s="58">
        <v>9.9499999999999993</v>
      </c>
      <c r="L983" s="58">
        <v>0</v>
      </c>
      <c r="M983" s="58">
        <v>0</v>
      </c>
      <c r="N983" s="58">
        <v>1</v>
      </c>
      <c r="O983" s="224">
        <f t="shared" si="6"/>
        <v>9.9499999999999993</v>
      </c>
      <c r="P983" s="227">
        <f t="shared" si="7"/>
        <v>9.9499999999999993</v>
      </c>
    </row>
    <row r="984" spans="1:16" ht="14.25">
      <c r="A984" s="224">
        <v>983</v>
      </c>
      <c r="B984" s="58">
        <v>23890</v>
      </c>
      <c r="C984" s="57" t="s">
        <v>4100</v>
      </c>
      <c r="D984" s="57" t="s">
        <v>45</v>
      </c>
      <c r="E984" s="57" t="s">
        <v>2860</v>
      </c>
      <c r="F984" s="233">
        <v>45905.990277777775</v>
      </c>
      <c r="G984" s="57">
        <v>5</v>
      </c>
      <c r="H984" s="57" t="s">
        <v>2557</v>
      </c>
      <c r="I984" s="58">
        <v>62204</v>
      </c>
      <c r="J984" s="234" t="s">
        <v>4102</v>
      </c>
      <c r="K984" s="58">
        <v>9.9499999999999993</v>
      </c>
      <c r="L984" s="58">
        <v>0</v>
      </c>
      <c r="M984" s="58">
        <v>0</v>
      </c>
      <c r="N984" s="58">
        <v>1</v>
      </c>
      <c r="O984" s="224">
        <f t="shared" si="6"/>
        <v>9.9499999999999993</v>
      </c>
      <c r="P984" s="227">
        <f t="shared" si="7"/>
        <v>9.9499999999999993</v>
      </c>
    </row>
    <row r="985" spans="1:16" ht="14.25">
      <c r="A985" s="224">
        <v>984</v>
      </c>
      <c r="B985" s="58">
        <v>23941</v>
      </c>
      <c r="C985" s="57" t="s">
        <v>4103</v>
      </c>
      <c r="D985" s="57" t="s">
        <v>2582</v>
      </c>
      <c r="E985" s="57" t="s">
        <v>2860</v>
      </c>
      <c r="F985" s="233">
        <v>45935.356249999997</v>
      </c>
      <c r="G985" s="57">
        <v>5</v>
      </c>
      <c r="H985" s="57" t="s">
        <v>2557</v>
      </c>
      <c r="I985" s="58">
        <v>62216</v>
      </c>
      <c r="J985" s="234" t="s">
        <v>4104</v>
      </c>
      <c r="K985" s="58">
        <v>72.3</v>
      </c>
      <c r="L985" s="58">
        <v>0</v>
      </c>
      <c r="M985" s="58">
        <v>0</v>
      </c>
      <c r="N985" s="58">
        <v>7.2376699999999996</v>
      </c>
      <c r="O985" s="224">
        <f t="shared" si="6"/>
        <v>72.3</v>
      </c>
      <c r="P985" s="227">
        <f t="shared" si="7"/>
        <v>9.9894026668803644</v>
      </c>
    </row>
    <row r="986" spans="1:16" ht="14.25">
      <c r="A986" s="224">
        <v>985</v>
      </c>
      <c r="B986" s="58">
        <v>8279</v>
      </c>
      <c r="C986" s="57" t="s">
        <v>2584</v>
      </c>
      <c r="D986" s="57" t="s">
        <v>45</v>
      </c>
      <c r="E986" s="57" t="s">
        <v>2860</v>
      </c>
      <c r="F986" s="233">
        <v>45935.37222222222</v>
      </c>
      <c r="G986" s="57">
        <v>5</v>
      </c>
      <c r="H986" s="57" t="s">
        <v>2557</v>
      </c>
      <c r="I986" s="58">
        <v>61664</v>
      </c>
      <c r="J986" s="234" t="s">
        <v>4105</v>
      </c>
      <c r="K986" s="58">
        <v>1.19</v>
      </c>
      <c r="L986" s="58">
        <v>0</v>
      </c>
      <c r="M986" s="58">
        <v>0</v>
      </c>
      <c r="N986" s="58">
        <v>1</v>
      </c>
      <c r="O986" s="224">
        <f t="shared" si="6"/>
        <v>1.19</v>
      </c>
      <c r="P986" s="227">
        <f t="shared" si="7"/>
        <v>1.19</v>
      </c>
    </row>
    <row r="987" spans="1:16" ht="14.25">
      <c r="A987" s="224">
        <v>986</v>
      </c>
      <c r="B987" s="58">
        <v>23943</v>
      </c>
      <c r="C987" s="57" t="s">
        <v>4106</v>
      </c>
      <c r="D987" s="57" t="s">
        <v>45</v>
      </c>
      <c r="E987" s="57" t="s">
        <v>2860</v>
      </c>
      <c r="F987" s="233">
        <v>45935.413194444445</v>
      </c>
      <c r="G987" s="57">
        <v>5</v>
      </c>
      <c r="H987" s="57" t="s">
        <v>2557</v>
      </c>
      <c r="I987" s="58">
        <v>62240</v>
      </c>
      <c r="J987" s="234" t="s">
        <v>4107</v>
      </c>
      <c r="K987" s="58">
        <v>2.99</v>
      </c>
      <c r="L987" s="58">
        <v>0</v>
      </c>
      <c r="M987" s="58">
        <v>0</v>
      </c>
      <c r="N987" s="58">
        <v>1</v>
      </c>
      <c r="O987" s="224">
        <f t="shared" si="6"/>
        <v>2.99</v>
      </c>
      <c r="P987" s="227">
        <f t="shared" si="7"/>
        <v>2.99</v>
      </c>
    </row>
    <row r="988" spans="1:16" ht="14.25">
      <c r="A988" s="224">
        <v>987</v>
      </c>
      <c r="B988" s="58">
        <v>19972</v>
      </c>
      <c r="C988" s="57" t="s">
        <v>3283</v>
      </c>
      <c r="D988" s="57" t="s">
        <v>45</v>
      </c>
      <c r="E988" s="57" t="s">
        <v>2860</v>
      </c>
      <c r="F988" s="233">
        <v>45935.853472222225</v>
      </c>
      <c r="G988" s="57">
        <v>5</v>
      </c>
      <c r="H988" s="57" t="s">
        <v>2557</v>
      </c>
      <c r="I988" s="58">
        <v>61268</v>
      </c>
      <c r="J988" s="234" t="s">
        <v>4108</v>
      </c>
      <c r="K988" s="58">
        <v>17.989999999999998</v>
      </c>
      <c r="L988" s="58">
        <v>0</v>
      </c>
      <c r="M988" s="58">
        <v>0</v>
      </c>
      <c r="N988" s="58">
        <v>1</v>
      </c>
      <c r="O988" s="224">
        <f t="shared" si="6"/>
        <v>17.989999999999998</v>
      </c>
      <c r="P988" s="227">
        <f t="shared" si="7"/>
        <v>17.989999999999998</v>
      </c>
    </row>
    <row r="989" spans="1:16" ht="14.25">
      <c r="A989" s="224">
        <v>988</v>
      </c>
      <c r="B989" s="58">
        <v>23972</v>
      </c>
      <c r="C989" s="57" t="s">
        <v>4109</v>
      </c>
      <c r="D989" s="57" t="s">
        <v>45</v>
      </c>
      <c r="E989" s="57" t="s">
        <v>2860</v>
      </c>
      <c r="F989" s="233">
        <v>45935.875694444447</v>
      </c>
      <c r="G989" s="57">
        <v>5</v>
      </c>
      <c r="H989" s="57" t="s">
        <v>2557</v>
      </c>
      <c r="I989" s="58">
        <v>62252</v>
      </c>
      <c r="J989" s="234" t="s">
        <v>4110</v>
      </c>
      <c r="K989" s="58">
        <v>20.25</v>
      </c>
      <c r="L989" s="58">
        <v>0</v>
      </c>
      <c r="M989" s="58">
        <v>0</v>
      </c>
      <c r="N989" s="58">
        <v>1</v>
      </c>
      <c r="O989" s="224">
        <f t="shared" si="6"/>
        <v>20.25</v>
      </c>
      <c r="P989" s="227">
        <f t="shared" si="7"/>
        <v>20.25</v>
      </c>
    </row>
    <row r="990" spans="1:16" ht="14.25">
      <c r="A990" s="224">
        <v>989</v>
      </c>
      <c r="B990" s="58">
        <v>23990</v>
      </c>
      <c r="C990" s="57" t="s">
        <v>4111</v>
      </c>
      <c r="D990" s="57" t="s">
        <v>45</v>
      </c>
      <c r="E990" s="57" t="s">
        <v>2874</v>
      </c>
      <c r="F990" s="233">
        <v>45966.136805555558</v>
      </c>
      <c r="G990" s="57">
        <v>5</v>
      </c>
      <c r="H990" s="57" t="s">
        <v>2557</v>
      </c>
      <c r="I990" s="58">
        <v>62264</v>
      </c>
      <c r="J990" s="234" t="s">
        <v>4112</v>
      </c>
      <c r="K990" s="58">
        <v>2.99</v>
      </c>
      <c r="L990" s="58">
        <v>0</v>
      </c>
      <c r="M990" s="58">
        <v>0</v>
      </c>
      <c r="N990" s="58">
        <v>1</v>
      </c>
      <c r="O990" s="224">
        <f t="shared" si="6"/>
        <v>2.99</v>
      </c>
      <c r="P990" s="227">
        <f t="shared" si="7"/>
        <v>2.99</v>
      </c>
    </row>
    <row r="991" spans="1:16" ht="14.25">
      <c r="A991" s="224">
        <v>990</v>
      </c>
      <c r="B991" s="58">
        <v>20196</v>
      </c>
      <c r="C991" s="57" t="s">
        <v>3404</v>
      </c>
      <c r="D991" s="57" t="s">
        <v>45</v>
      </c>
      <c r="E991" s="57" t="s">
        <v>2860</v>
      </c>
      <c r="F991" s="233">
        <v>45966.425000000003</v>
      </c>
      <c r="G991" s="57">
        <v>5</v>
      </c>
      <c r="H991" s="57" t="s">
        <v>2557</v>
      </c>
      <c r="I991" s="58">
        <v>61856</v>
      </c>
      <c r="J991" s="234" t="s">
        <v>4113</v>
      </c>
      <c r="K991" s="58">
        <v>8.99</v>
      </c>
      <c r="L991" s="58">
        <v>0</v>
      </c>
      <c r="M991" s="58">
        <v>0</v>
      </c>
      <c r="N991" s="58">
        <v>1</v>
      </c>
      <c r="O991" s="224">
        <f t="shared" si="6"/>
        <v>8.99</v>
      </c>
      <c r="P991" s="227">
        <f t="shared" si="7"/>
        <v>8.99</v>
      </c>
    </row>
    <row r="992" spans="1:16" ht="14.25">
      <c r="A992" s="224">
        <v>991</v>
      </c>
      <c r="B992" s="58">
        <v>417</v>
      </c>
      <c r="C992" s="57" t="s">
        <v>2682</v>
      </c>
      <c r="D992" s="57" t="s">
        <v>2582</v>
      </c>
      <c r="E992" s="57" t="s">
        <v>2860</v>
      </c>
      <c r="F992" s="233">
        <v>45966.474999999999</v>
      </c>
      <c r="G992" s="57">
        <v>5</v>
      </c>
      <c r="H992" s="57" t="s">
        <v>2557</v>
      </c>
      <c r="I992" s="58">
        <v>62060</v>
      </c>
      <c r="J992" s="234" t="s">
        <v>4114</v>
      </c>
      <c r="K992" s="58">
        <v>7.67</v>
      </c>
      <c r="L992" s="58">
        <v>0</v>
      </c>
      <c r="M992" s="58">
        <v>0</v>
      </c>
      <c r="N992" s="58">
        <v>7.2404900000000003</v>
      </c>
      <c r="O992" s="224">
        <f t="shared" si="6"/>
        <v>7.67</v>
      </c>
      <c r="P992" s="227">
        <f t="shared" si="7"/>
        <v>1.0593205708453433</v>
      </c>
    </row>
    <row r="993" spans="1:16" ht="14.25">
      <c r="A993" s="224">
        <v>992</v>
      </c>
      <c r="B993" s="58">
        <v>22069</v>
      </c>
      <c r="C993" s="57" t="s">
        <v>3839</v>
      </c>
      <c r="D993" s="57" t="s">
        <v>2582</v>
      </c>
      <c r="E993" s="57" t="s">
        <v>2860</v>
      </c>
      <c r="F993" s="233">
        <v>45966.533333333333</v>
      </c>
      <c r="G993" s="57">
        <v>5</v>
      </c>
      <c r="H993" s="57" t="s">
        <v>2557</v>
      </c>
      <c r="I993" s="58">
        <v>61304</v>
      </c>
      <c r="J993" s="234" t="s">
        <v>4115</v>
      </c>
      <c r="K993" s="58">
        <v>40.840000000000003</v>
      </c>
      <c r="L993" s="58">
        <v>0</v>
      </c>
      <c r="M993" s="58">
        <v>0</v>
      </c>
      <c r="N993" s="58">
        <v>7.2404900000000003</v>
      </c>
      <c r="O993" s="224">
        <f t="shared" si="6"/>
        <v>40.840000000000003</v>
      </c>
      <c r="P993" s="227">
        <f t="shared" si="7"/>
        <v>5.6405022312025848</v>
      </c>
    </row>
    <row r="994" spans="1:16" ht="14.25">
      <c r="A994" s="224">
        <v>993</v>
      </c>
      <c r="B994" s="58">
        <v>24037</v>
      </c>
      <c r="C994" s="57" t="s">
        <v>4116</v>
      </c>
      <c r="D994" s="57" t="s">
        <v>45</v>
      </c>
      <c r="E994" s="57" t="s">
        <v>2860</v>
      </c>
      <c r="F994" s="233">
        <v>45966.723611111112</v>
      </c>
      <c r="G994" s="57">
        <v>5</v>
      </c>
      <c r="H994" s="57" t="s">
        <v>2557</v>
      </c>
      <c r="I994" s="58">
        <v>62288</v>
      </c>
      <c r="J994" s="234" t="s">
        <v>4117</v>
      </c>
      <c r="K994" s="58">
        <v>7.19</v>
      </c>
      <c r="L994" s="58">
        <v>0</v>
      </c>
      <c r="M994" s="58">
        <v>0</v>
      </c>
      <c r="N994" s="58">
        <v>1</v>
      </c>
      <c r="O994" s="224">
        <f t="shared" si="6"/>
        <v>7.19</v>
      </c>
      <c r="P994" s="227">
        <f t="shared" si="7"/>
        <v>7.19</v>
      </c>
    </row>
    <row r="995" spans="1:16" ht="14.25">
      <c r="A995" s="224">
        <v>994</v>
      </c>
      <c r="B995" s="58">
        <v>22069</v>
      </c>
      <c r="C995" s="57" t="s">
        <v>3839</v>
      </c>
      <c r="D995" s="57" t="s">
        <v>2582</v>
      </c>
      <c r="E995" s="57" t="s">
        <v>2860</v>
      </c>
      <c r="F995" s="233">
        <v>45966.724305555559</v>
      </c>
      <c r="G995" s="57">
        <v>5</v>
      </c>
      <c r="H995" s="57" t="s">
        <v>2557</v>
      </c>
      <c r="I995" s="58">
        <v>61304</v>
      </c>
      <c r="J995" s="234"/>
      <c r="K995" s="58">
        <v>0.03</v>
      </c>
      <c r="L995" s="58">
        <v>0</v>
      </c>
      <c r="M995" s="58">
        <v>0</v>
      </c>
      <c r="N995" s="58">
        <v>7.2404900000000003</v>
      </c>
      <c r="O995" s="224">
        <f t="shared" si="6"/>
        <v>0.03</v>
      </c>
      <c r="P995" s="227">
        <f t="shared" si="7"/>
        <v>4.1433659876610558E-3</v>
      </c>
    </row>
    <row r="996" spans="1:16" ht="14.25">
      <c r="A996" s="224">
        <v>995</v>
      </c>
      <c r="B996" s="58">
        <v>24044</v>
      </c>
      <c r="C996" s="57" t="s">
        <v>4118</v>
      </c>
      <c r="D996" s="57" t="s">
        <v>2582</v>
      </c>
      <c r="E996" s="57" t="s">
        <v>2860</v>
      </c>
      <c r="F996" s="233">
        <v>45966.965277777781</v>
      </c>
      <c r="G996" s="57">
        <v>5</v>
      </c>
      <c r="H996" s="57" t="s">
        <v>2557</v>
      </c>
      <c r="I996" s="58">
        <v>62300</v>
      </c>
      <c r="J996" s="234" t="s">
        <v>4119</v>
      </c>
      <c r="K996" s="58">
        <v>21.65</v>
      </c>
      <c r="L996" s="58">
        <v>0</v>
      </c>
      <c r="M996" s="58">
        <v>0</v>
      </c>
      <c r="N996" s="58">
        <v>7.2404900000000003</v>
      </c>
      <c r="O996" s="224">
        <f t="shared" si="6"/>
        <v>21.65</v>
      </c>
      <c r="P996" s="227">
        <f t="shared" si="7"/>
        <v>2.9901291210953951</v>
      </c>
    </row>
    <row r="997" spans="1:16" ht="14.25">
      <c r="A997" s="224">
        <v>996</v>
      </c>
      <c r="B997" s="58">
        <v>21915</v>
      </c>
      <c r="C997" s="57" t="s">
        <v>3808</v>
      </c>
      <c r="D997" s="57" t="s">
        <v>45</v>
      </c>
      <c r="E997" s="57" t="s">
        <v>2874</v>
      </c>
      <c r="F997" s="233">
        <v>45996.040972222225</v>
      </c>
      <c r="G997" s="57">
        <v>5</v>
      </c>
      <c r="H997" s="57" t="s">
        <v>2557</v>
      </c>
      <c r="I997" s="58">
        <v>61136</v>
      </c>
      <c r="J997" s="234"/>
      <c r="K997" s="58">
        <v>287.39999999999998</v>
      </c>
      <c r="L997" s="58">
        <v>0</v>
      </c>
      <c r="M997" s="58">
        <v>0</v>
      </c>
      <c r="N997" s="58">
        <v>1</v>
      </c>
      <c r="O997" s="224">
        <f t="shared" si="6"/>
        <v>287.39999999999998</v>
      </c>
      <c r="P997" s="227">
        <f t="shared" si="7"/>
        <v>287.39999999999998</v>
      </c>
    </row>
    <row r="998" spans="1:16" ht="14.25">
      <c r="A998" s="224">
        <v>997</v>
      </c>
      <c r="B998" s="58">
        <v>24054</v>
      </c>
      <c r="C998" s="57" t="s">
        <v>4120</v>
      </c>
      <c r="D998" s="57" t="s">
        <v>2582</v>
      </c>
      <c r="E998" s="57" t="s">
        <v>2860</v>
      </c>
      <c r="F998" s="233">
        <v>45996.45208333333</v>
      </c>
      <c r="G998" s="57">
        <v>5</v>
      </c>
      <c r="H998" s="57" t="s">
        <v>2557</v>
      </c>
      <c r="I998" s="58">
        <v>62372</v>
      </c>
      <c r="J998" s="234" t="s">
        <v>4121</v>
      </c>
      <c r="K998" s="58">
        <v>15.13</v>
      </c>
      <c r="L998" s="58">
        <v>0</v>
      </c>
      <c r="M998" s="58">
        <v>0</v>
      </c>
      <c r="N998" s="58">
        <v>7.2404900000000003</v>
      </c>
      <c r="O998" s="224">
        <f t="shared" si="6"/>
        <v>15.13</v>
      </c>
      <c r="P998" s="227">
        <f t="shared" si="7"/>
        <v>2.0896375797770594</v>
      </c>
    </row>
    <row r="999" spans="1:16" ht="14.25">
      <c r="A999" s="224">
        <v>998</v>
      </c>
      <c r="B999" s="58">
        <v>24054</v>
      </c>
      <c r="C999" s="57" t="s">
        <v>4120</v>
      </c>
      <c r="D999" s="57" t="s">
        <v>2582</v>
      </c>
      <c r="E999" s="57" t="s">
        <v>2860</v>
      </c>
      <c r="F999" s="233">
        <v>45996.48541666667</v>
      </c>
      <c r="G999" s="57">
        <v>5</v>
      </c>
      <c r="H999" s="57" t="s">
        <v>2557</v>
      </c>
      <c r="I999" s="58">
        <v>62372</v>
      </c>
      <c r="J999" s="234"/>
      <c r="K999" s="58">
        <v>0.02</v>
      </c>
      <c r="L999" s="58">
        <v>0</v>
      </c>
      <c r="M999" s="58">
        <v>0</v>
      </c>
      <c r="N999" s="58">
        <v>7.2404900000000003</v>
      </c>
      <c r="O999" s="224">
        <f t="shared" si="6"/>
        <v>0.02</v>
      </c>
      <c r="P999" s="227">
        <f t="shared" si="7"/>
        <v>2.7622439917740372E-3</v>
      </c>
    </row>
    <row r="1000" spans="1:16" ht="14.25">
      <c r="A1000" s="224">
        <v>999</v>
      </c>
      <c r="B1000" s="58">
        <v>24062</v>
      </c>
      <c r="C1000" s="57" t="s">
        <v>4122</v>
      </c>
      <c r="D1000" s="57" t="s">
        <v>2582</v>
      </c>
      <c r="E1000" s="57" t="s">
        <v>2860</v>
      </c>
      <c r="F1000" s="233">
        <v>45996.679166666669</v>
      </c>
      <c r="G1000" s="57">
        <v>5</v>
      </c>
      <c r="H1000" s="57" t="s">
        <v>2557</v>
      </c>
      <c r="I1000" s="58">
        <v>62384</v>
      </c>
      <c r="J1000" s="234" t="s">
        <v>4123</v>
      </c>
      <c r="K1000" s="58">
        <v>20.2</v>
      </c>
      <c r="L1000" s="58">
        <v>0</v>
      </c>
      <c r="M1000" s="58">
        <v>0</v>
      </c>
      <c r="N1000" s="58">
        <v>7.2404900000000003</v>
      </c>
      <c r="O1000" s="224">
        <f t="shared" si="6"/>
        <v>20.2</v>
      </c>
      <c r="P1000" s="227">
        <f t="shared" si="7"/>
        <v>2.7898664316917774</v>
      </c>
    </row>
    <row r="1001" spans="1:16" ht="14.25">
      <c r="A1001" s="224">
        <v>1000</v>
      </c>
      <c r="B1001" s="58">
        <v>24062</v>
      </c>
      <c r="C1001" s="57" t="s">
        <v>4122</v>
      </c>
      <c r="D1001" s="57" t="s">
        <v>2582</v>
      </c>
      <c r="E1001" s="57" t="s">
        <v>2860</v>
      </c>
      <c r="F1001" s="233">
        <v>45996.684027777781</v>
      </c>
      <c r="G1001" s="57">
        <v>5</v>
      </c>
      <c r="H1001" s="57" t="s">
        <v>2557</v>
      </c>
      <c r="I1001" s="58">
        <v>62384</v>
      </c>
      <c r="J1001" s="234"/>
      <c r="K1001" s="58">
        <v>0.02</v>
      </c>
      <c r="L1001" s="58">
        <v>0</v>
      </c>
      <c r="M1001" s="58">
        <v>0</v>
      </c>
      <c r="N1001" s="58">
        <v>7.2404900000000003</v>
      </c>
      <c r="O1001" s="224">
        <f t="shared" si="6"/>
        <v>0.02</v>
      </c>
      <c r="P1001" s="227">
        <f t="shared" si="7"/>
        <v>2.7622439917740372E-3</v>
      </c>
    </row>
    <row r="1002" spans="1:16" ht="14.25">
      <c r="A1002" s="224">
        <v>1001</v>
      </c>
      <c r="B1002" s="58">
        <v>24067</v>
      </c>
      <c r="C1002" s="57" t="s">
        <v>4124</v>
      </c>
      <c r="D1002" s="57" t="s">
        <v>45</v>
      </c>
      <c r="E1002" s="57" t="s">
        <v>2860</v>
      </c>
      <c r="F1002" s="233">
        <v>45996.767361111109</v>
      </c>
      <c r="G1002" s="57">
        <v>5</v>
      </c>
      <c r="H1002" s="57" t="s">
        <v>2557</v>
      </c>
      <c r="I1002" s="58">
        <v>62408</v>
      </c>
      <c r="J1002" s="234" t="s">
        <v>4125</v>
      </c>
      <c r="K1002" s="58">
        <v>0.99</v>
      </c>
      <c r="L1002" s="58">
        <v>0</v>
      </c>
      <c r="M1002" s="58">
        <v>0</v>
      </c>
      <c r="N1002" s="58">
        <v>1</v>
      </c>
      <c r="O1002" s="224">
        <f t="shared" si="6"/>
        <v>0.99</v>
      </c>
      <c r="P1002" s="227">
        <f t="shared" si="7"/>
        <v>0.99</v>
      </c>
    </row>
    <row r="1003" spans="1:16" ht="14.25">
      <c r="A1003" s="224">
        <v>1002</v>
      </c>
      <c r="B1003" s="58">
        <v>24062</v>
      </c>
      <c r="C1003" s="57" t="s">
        <v>4122</v>
      </c>
      <c r="D1003" s="57" t="s">
        <v>2582</v>
      </c>
      <c r="E1003" s="57" t="s">
        <v>2860</v>
      </c>
      <c r="F1003" s="233">
        <v>45996.773611111108</v>
      </c>
      <c r="G1003" s="57">
        <v>5</v>
      </c>
      <c r="H1003" s="57" t="s">
        <v>2557</v>
      </c>
      <c r="I1003" s="58">
        <v>62444</v>
      </c>
      <c r="J1003" s="234" t="s">
        <v>4126</v>
      </c>
      <c r="K1003" s="58">
        <v>15.21</v>
      </c>
      <c r="L1003" s="58">
        <v>0</v>
      </c>
      <c r="M1003" s="58">
        <v>0</v>
      </c>
      <c r="N1003" s="58">
        <v>7.2404900000000003</v>
      </c>
      <c r="O1003" s="224">
        <f t="shared" si="6"/>
        <v>15.21</v>
      </c>
      <c r="P1003" s="227">
        <f t="shared" si="7"/>
        <v>2.1006865557441556</v>
      </c>
    </row>
    <row r="1004" spans="1:16" ht="14.25">
      <c r="A1004" s="224">
        <v>1003</v>
      </c>
      <c r="B1004" s="58">
        <v>24071</v>
      </c>
      <c r="C1004" s="57" t="s">
        <v>4127</v>
      </c>
      <c r="D1004" s="57" t="s">
        <v>45</v>
      </c>
      <c r="E1004" s="57" t="s">
        <v>2860</v>
      </c>
      <c r="F1004" s="233">
        <v>45996.831250000003</v>
      </c>
      <c r="G1004" s="57">
        <v>5</v>
      </c>
      <c r="H1004" s="57" t="s">
        <v>2557</v>
      </c>
      <c r="I1004" s="58">
        <v>62468</v>
      </c>
      <c r="J1004" s="234" t="s">
        <v>4128</v>
      </c>
      <c r="K1004" s="58">
        <v>0.99</v>
      </c>
      <c r="L1004" s="58">
        <v>0</v>
      </c>
      <c r="M1004" s="58">
        <v>0</v>
      </c>
      <c r="N1004" s="58">
        <v>1</v>
      </c>
      <c r="O1004" s="224">
        <f t="shared" si="6"/>
        <v>0.99</v>
      </c>
      <c r="P1004" s="227">
        <f t="shared" si="7"/>
        <v>0.99</v>
      </c>
    </row>
    <row r="1005" spans="1:16" ht="14.25">
      <c r="A1005" s="224">
        <v>1004</v>
      </c>
      <c r="B1005" s="58">
        <v>24072</v>
      </c>
      <c r="C1005" s="57" t="s">
        <v>4129</v>
      </c>
      <c r="D1005" s="57" t="s">
        <v>2582</v>
      </c>
      <c r="E1005" s="57" t="s">
        <v>2860</v>
      </c>
      <c r="F1005" s="233">
        <v>45996.84097222222</v>
      </c>
      <c r="G1005" s="57">
        <v>5</v>
      </c>
      <c r="H1005" s="57" t="s">
        <v>2557</v>
      </c>
      <c r="I1005" s="58">
        <v>62480</v>
      </c>
      <c r="J1005" s="234" t="s">
        <v>4130</v>
      </c>
      <c r="K1005" s="58">
        <v>21.65</v>
      </c>
      <c r="L1005" s="58">
        <v>0</v>
      </c>
      <c r="M1005" s="58">
        <v>0</v>
      </c>
      <c r="N1005" s="58">
        <v>7.2404900000000003</v>
      </c>
      <c r="O1005" s="224">
        <f t="shared" si="6"/>
        <v>21.65</v>
      </c>
      <c r="P1005" s="227">
        <f t="shared" si="7"/>
        <v>2.9901291210953951</v>
      </c>
    </row>
    <row r="1006" spans="1:16" ht="14.25">
      <c r="A1006" s="224">
        <v>1005</v>
      </c>
      <c r="B1006" s="58">
        <v>19314</v>
      </c>
      <c r="C1006" s="57" t="s">
        <v>3119</v>
      </c>
      <c r="D1006" s="57" t="s">
        <v>45</v>
      </c>
      <c r="E1006" s="57" t="s">
        <v>2860</v>
      </c>
      <c r="F1006" s="233">
        <v>45996.844444444447</v>
      </c>
      <c r="G1006" s="57">
        <v>5</v>
      </c>
      <c r="H1006" s="57" t="s">
        <v>2557</v>
      </c>
      <c r="I1006" s="58">
        <v>60836</v>
      </c>
      <c r="J1006" s="234"/>
      <c r="K1006" s="58">
        <v>27.98</v>
      </c>
      <c r="L1006" s="58">
        <v>0</v>
      </c>
      <c r="M1006" s="58">
        <v>0</v>
      </c>
      <c r="N1006" s="58">
        <v>1</v>
      </c>
      <c r="O1006" s="224">
        <f t="shared" si="6"/>
        <v>27.98</v>
      </c>
      <c r="P1006" s="227">
        <f t="shared" si="7"/>
        <v>27.98</v>
      </c>
    </row>
    <row r="1007" spans="1:16" ht="14.25">
      <c r="A1007" s="224">
        <v>1006</v>
      </c>
      <c r="B1007" s="58">
        <v>21990</v>
      </c>
      <c r="C1007" s="57" t="s">
        <v>3821</v>
      </c>
      <c r="D1007" s="57" t="s">
        <v>45</v>
      </c>
      <c r="E1007" s="57" t="s">
        <v>2874</v>
      </c>
      <c r="F1007" s="58" t="s">
        <v>4131</v>
      </c>
      <c r="G1007" s="57">
        <v>5</v>
      </c>
      <c r="H1007" s="57" t="s">
        <v>2557</v>
      </c>
      <c r="I1007" s="58">
        <v>61160</v>
      </c>
      <c r="J1007" s="234" t="s">
        <v>4132</v>
      </c>
      <c r="K1007" s="58">
        <v>16.09</v>
      </c>
      <c r="L1007" s="58">
        <v>0</v>
      </c>
      <c r="M1007" s="58">
        <v>0</v>
      </c>
      <c r="N1007" s="58">
        <v>1</v>
      </c>
      <c r="O1007" s="224">
        <f t="shared" si="6"/>
        <v>16.09</v>
      </c>
      <c r="P1007" s="227">
        <f t="shared" si="7"/>
        <v>16.09</v>
      </c>
    </row>
    <row r="1008" spans="1:16" ht="14.25">
      <c r="A1008" s="224">
        <v>1007</v>
      </c>
      <c r="B1008" s="58">
        <v>24116</v>
      </c>
      <c r="C1008" s="57" t="s">
        <v>4133</v>
      </c>
      <c r="D1008" s="57" t="s">
        <v>2582</v>
      </c>
      <c r="E1008" s="57" t="s">
        <v>2860</v>
      </c>
      <c r="F1008" s="58" t="s">
        <v>4134</v>
      </c>
      <c r="G1008" s="57">
        <v>5</v>
      </c>
      <c r="H1008" s="57" t="s">
        <v>2557</v>
      </c>
      <c r="I1008" s="58">
        <v>62552</v>
      </c>
      <c r="J1008" s="234" t="s">
        <v>4135</v>
      </c>
      <c r="K1008" s="58">
        <v>57.55</v>
      </c>
      <c r="L1008" s="58">
        <v>0</v>
      </c>
      <c r="M1008" s="58">
        <v>0</v>
      </c>
      <c r="N1008" s="58">
        <v>7.20322</v>
      </c>
      <c r="O1008" s="224">
        <f t="shared" si="6"/>
        <v>57.55</v>
      </c>
      <c r="P1008" s="227">
        <f t="shared" si="7"/>
        <v>7.9894824814457976</v>
      </c>
    </row>
    <row r="1009" spans="1:16" ht="14.25">
      <c r="A1009" s="224">
        <v>1008</v>
      </c>
      <c r="B1009" s="58">
        <v>22778</v>
      </c>
      <c r="C1009" s="57" t="s">
        <v>3929</v>
      </c>
      <c r="D1009" s="57" t="s">
        <v>45</v>
      </c>
      <c r="E1009" s="57" t="s">
        <v>2860</v>
      </c>
      <c r="F1009" s="58" t="s">
        <v>4136</v>
      </c>
      <c r="G1009" s="57">
        <v>5</v>
      </c>
      <c r="H1009" s="57" t="s">
        <v>2557</v>
      </c>
      <c r="I1009" s="58">
        <v>62564</v>
      </c>
      <c r="J1009" s="234" t="s">
        <v>4137</v>
      </c>
      <c r="K1009" s="58">
        <v>5.99</v>
      </c>
      <c r="L1009" s="58">
        <v>0</v>
      </c>
      <c r="M1009" s="58">
        <v>0</v>
      </c>
      <c r="N1009" s="58">
        <v>1</v>
      </c>
      <c r="O1009" s="224">
        <f t="shared" si="6"/>
        <v>5.99</v>
      </c>
      <c r="P1009" s="227">
        <f t="shared" si="7"/>
        <v>5.99</v>
      </c>
    </row>
    <row r="1010" spans="1:16" ht="14.25">
      <c r="A1010" s="224">
        <v>1009</v>
      </c>
      <c r="B1010" s="58">
        <v>22706</v>
      </c>
      <c r="C1010" s="57" t="s">
        <v>3915</v>
      </c>
      <c r="D1010" s="57" t="s">
        <v>45</v>
      </c>
      <c r="E1010" s="57" t="s">
        <v>2860</v>
      </c>
      <c r="F1010" s="58" t="s">
        <v>4138</v>
      </c>
      <c r="G1010" s="57">
        <v>5</v>
      </c>
      <c r="H1010" s="57" t="s">
        <v>2557</v>
      </c>
      <c r="I1010" s="58">
        <v>61988</v>
      </c>
      <c r="J1010" s="234" t="s">
        <v>4139</v>
      </c>
      <c r="K1010" s="58">
        <v>1.99</v>
      </c>
      <c r="L1010" s="58">
        <v>0</v>
      </c>
      <c r="M1010" s="58">
        <v>0</v>
      </c>
      <c r="N1010" s="58">
        <v>1</v>
      </c>
      <c r="O1010" s="224">
        <f t="shared" si="6"/>
        <v>1.99</v>
      </c>
      <c r="P1010" s="227">
        <f t="shared" si="7"/>
        <v>1.99</v>
      </c>
    </row>
    <row r="1011" spans="1:16" ht="14.25">
      <c r="A1011" s="224">
        <v>1010</v>
      </c>
      <c r="B1011" s="58">
        <v>24063</v>
      </c>
      <c r="C1011" s="57" t="s">
        <v>4140</v>
      </c>
      <c r="D1011" s="57" t="s">
        <v>2582</v>
      </c>
      <c r="E1011" s="57" t="s">
        <v>2860</v>
      </c>
      <c r="F1011" s="58" t="s">
        <v>4141</v>
      </c>
      <c r="G1011" s="57">
        <v>5</v>
      </c>
      <c r="H1011" s="57" t="s">
        <v>2557</v>
      </c>
      <c r="I1011" s="58">
        <v>62660</v>
      </c>
      <c r="J1011" s="234" t="s">
        <v>4142</v>
      </c>
      <c r="K1011" s="58">
        <v>145.83000000000001</v>
      </c>
      <c r="L1011" s="58">
        <v>0</v>
      </c>
      <c r="M1011" s="58">
        <v>0</v>
      </c>
      <c r="N1011" s="58">
        <v>7.2013100000000003</v>
      </c>
      <c r="O1011" s="224">
        <f t="shared" si="6"/>
        <v>145.83000000000001</v>
      </c>
      <c r="P1011" s="227">
        <f t="shared" si="7"/>
        <v>20.250482203932339</v>
      </c>
    </row>
    <row r="1012" spans="1:16" ht="14.25">
      <c r="A1012" s="224">
        <v>1011</v>
      </c>
      <c r="B1012" s="58">
        <v>24178</v>
      </c>
      <c r="C1012" s="57" t="s">
        <v>4143</v>
      </c>
      <c r="D1012" s="57" t="s">
        <v>2582</v>
      </c>
      <c r="E1012" s="57" t="s">
        <v>2860</v>
      </c>
      <c r="F1012" s="58" t="s">
        <v>4144</v>
      </c>
      <c r="G1012" s="57">
        <v>5</v>
      </c>
      <c r="H1012" s="57" t="s">
        <v>2557</v>
      </c>
      <c r="I1012" s="58">
        <v>62672</v>
      </c>
      <c r="J1012" s="234" t="s">
        <v>4145</v>
      </c>
      <c r="K1012" s="58">
        <v>28.73</v>
      </c>
      <c r="L1012" s="58">
        <v>0</v>
      </c>
      <c r="M1012" s="58">
        <v>0</v>
      </c>
      <c r="N1012" s="58">
        <v>7.2013100000000003</v>
      </c>
      <c r="O1012" s="224">
        <f t="shared" si="6"/>
        <v>28.73</v>
      </c>
      <c r="P1012" s="227">
        <f t="shared" si="7"/>
        <v>3.9895519009735727</v>
      </c>
    </row>
    <row r="1013" spans="1:16" ht="14.25">
      <c r="A1013" s="224">
        <v>1012</v>
      </c>
      <c r="B1013" s="58">
        <v>3747</v>
      </c>
      <c r="C1013" s="57" t="s">
        <v>4039</v>
      </c>
      <c r="D1013" s="57" t="s">
        <v>2582</v>
      </c>
      <c r="E1013" s="57" t="s">
        <v>2860</v>
      </c>
      <c r="F1013" s="58" t="s">
        <v>4146</v>
      </c>
      <c r="G1013" s="57">
        <v>5</v>
      </c>
      <c r="H1013" s="57" t="s">
        <v>2557</v>
      </c>
      <c r="I1013" s="58">
        <v>62684</v>
      </c>
      <c r="J1013" s="234" t="s">
        <v>4147</v>
      </c>
      <c r="K1013" s="58">
        <v>21.53</v>
      </c>
      <c r="L1013" s="58">
        <v>0</v>
      </c>
      <c r="M1013" s="58">
        <v>0</v>
      </c>
      <c r="N1013" s="58">
        <v>7.2013100000000003</v>
      </c>
      <c r="O1013" s="224">
        <f t="shared" si="6"/>
        <v>21.53</v>
      </c>
      <c r="P1013" s="227">
        <f t="shared" si="7"/>
        <v>2.9897338123202584</v>
      </c>
    </row>
    <row r="1014" spans="1:16" ht="14.25">
      <c r="A1014" s="224">
        <v>1013</v>
      </c>
      <c r="B1014" s="58">
        <v>3229</v>
      </c>
      <c r="C1014" s="57" t="s">
        <v>2762</v>
      </c>
      <c r="D1014" s="57" t="s">
        <v>45</v>
      </c>
      <c r="E1014" s="57" t="s">
        <v>9</v>
      </c>
      <c r="F1014" s="58" t="s">
        <v>4148</v>
      </c>
      <c r="G1014" s="57">
        <v>5</v>
      </c>
      <c r="H1014" s="57" t="s">
        <v>2557</v>
      </c>
      <c r="I1014" s="58">
        <v>62756</v>
      </c>
      <c r="J1014" s="234" t="s">
        <v>470</v>
      </c>
      <c r="K1014" s="58">
        <v>5.49</v>
      </c>
      <c r="L1014" s="58">
        <v>0.76</v>
      </c>
      <c r="M1014" s="58">
        <v>0</v>
      </c>
      <c r="N1014" s="58">
        <v>1</v>
      </c>
      <c r="O1014" s="224">
        <f t="shared" si="6"/>
        <v>4.7300000000000004</v>
      </c>
      <c r="P1014" s="227">
        <f t="shared" si="7"/>
        <v>4.7300000000000004</v>
      </c>
    </row>
    <row r="1015" spans="1:16" ht="14.25">
      <c r="A1015" s="224">
        <v>1014</v>
      </c>
      <c r="B1015" s="58">
        <v>19355</v>
      </c>
      <c r="C1015" s="57" t="s">
        <v>4149</v>
      </c>
      <c r="D1015" s="57" t="s">
        <v>45</v>
      </c>
      <c r="E1015" s="57" t="s">
        <v>2860</v>
      </c>
      <c r="F1015" s="58" t="s">
        <v>4150</v>
      </c>
      <c r="G1015" s="57">
        <v>5</v>
      </c>
      <c r="H1015" s="57" t="s">
        <v>2557</v>
      </c>
      <c r="I1015" s="58">
        <v>62768</v>
      </c>
      <c r="J1015" s="234" t="s">
        <v>4151</v>
      </c>
      <c r="K1015" s="58">
        <v>0.99</v>
      </c>
      <c r="L1015" s="58">
        <v>0</v>
      </c>
      <c r="M1015" s="58">
        <v>0</v>
      </c>
      <c r="N1015" s="58">
        <v>1</v>
      </c>
      <c r="O1015" s="224">
        <f t="shared" si="6"/>
        <v>0.99</v>
      </c>
      <c r="P1015" s="227">
        <f t="shared" si="7"/>
        <v>0.99</v>
      </c>
    </row>
    <row r="1016" spans="1:16" ht="14.25">
      <c r="A1016" s="224">
        <v>1015</v>
      </c>
      <c r="B1016" s="58">
        <v>1836</v>
      </c>
      <c r="C1016" s="57" t="s">
        <v>2882</v>
      </c>
      <c r="D1016" s="57" t="s">
        <v>2582</v>
      </c>
      <c r="E1016" s="57" t="s">
        <v>2860</v>
      </c>
      <c r="F1016" s="58" t="s">
        <v>4152</v>
      </c>
      <c r="G1016" s="57">
        <v>5</v>
      </c>
      <c r="H1016" s="57" t="s">
        <v>2557</v>
      </c>
      <c r="I1016" s="58">
        <v>62648</v>
      </c>
      <c r="J1016" s="234" t="s">
        <v>4153</v>
      </c>
      <c r="K1016" s="58">
        <v>69.709999999999994</v>
      </c>
      <c r="L1016" s="58">
        <v>0</v>
      </c>
      <c r="M1016" s="58">
        <v>0</v>
      </c>
      <c r="N1016" s="58">
        <v>7.2013100000000003</v>
      </c>
      <c r="O1016" s="224">
        <f t="shared" si="6"/>
        <v>69.709999999999994</v>
      </c>
      <c r="P1016" s="227">
        <f t="shared" si="7"/>
        <v>9.6801831888920198</v>
      </c>
    </row>
    <row r="1017" spans="1:16" ht="14.25">
      <c r="A1017" s="224">
        <v>1016</v>
      </c>
      <c r="B1017" s="58">
        <v>22559</v>
      </c>
      <c r="C1017" s="57" t="s">
        <v>3891</v>
      </c>
      <c r="D1017" s="57" t="s">
        <v>45</v>
      </c>
      <c r="E1017" s="57" t="s">
        <v>9</v>
      </c>
      <c r="F1017" s="58" t="s">
        <v>4154</v>
      </c>
      <c r="G1017" s="57">
        <v>5</v>
      </c>
      <c r="H1017" s="57" t="s">
        <v>2557</v>
      </c>
      <c r="I1017" s="58">
        <v>62816</v>
      </c>
      <c r="J1017" s="234" t="s">
        <v>471</v>
      </c>
      <c r="K1017" s="58">
        <v>5.99</v>
      </c>
      <c r="L1017" s="58">
        <v>0.79</v>
      </c>
      <c r="M1017" s="58">
        <v>0</v>
      </c>
      <c r="N1017" s="58">
        <v>1</v>
      </c>
      <c r="O1017" s="224">
        <f t="shared" si="6"/>
        <v>5.2</v>
      </c>
      <c r="P1017" s="227">
        <f t="shared" si="7"/>
        <v>5.2</v>
      </c>
    </row>
    <row r="1018" spans="1:16" ht="14.25">
      <c r="A1018" s="224">
        <v>1017</v>
      </c>
      <c r="B1018" s="58">
        <v>24194</v>
      </c>
      <c r="C1018" s="57" t="s">
        <v>4155</v>
      </c>
      <c r="D1018" s="57" t="s">
        <v>45</v>
      </c>
      <c r="E1018" s="57" t="s">
        <v>2860</v>
      </c>
      <c r="F1018" s="58" t="s">
        <v>4156</v>
      </c>
      <c r="G1018" s="57">
        <v>5</v>
      </c>
      <c r="H1018" s="57" t="s">
        <v>2557</v>
      </c>
      <c r="I1018" s="58">
        <v>62828</v>
      </c>
      <c r="J1018" s="234" t="s">
        <v>4157</v>
      </c>
      <c r="K1018" s="58">
        <v>3.99</v>
      </c>
      <c r="L1018" s="58">
        <v>0</v>
      </c>
      <c r="M1018" s="58">
        <v>0</v>
      </c>
      <c r="N1018" s="58">
        <v>1</v>
      </c>
      <c r="O1018" s="224">
        <f t="shared" si="6"/>
        <v>3.99</v>
      </c>
      <c r="P1018" s="227">
        <f t="shared" si="7"/>
        <v>3.99</v>
      </c>
    </row>
    <row r="1019" spans="1:16" ht="14.25">
      <c r="A1019" s="224">
        <v>1018</v>
      </c>
      <c r="B1019" s="58">
        <v>3265</v>
      </c>
      <c r="C1019" s="57" t="s">
        <v>288</v>
      </c>
      <c r="D1019" s="57" t="s">
        <v>45</v>
      </c>
      <c r="E1019" s="57" t="s">
        <v>9</v>
      </c>
      <c r="F1019" s="58" t="s">
        <v>4158</v>
      </c>
      <c r="G1019" s="57">
        <v>5</v>
      </c>
      <c r="H1019" s="57" t="s">
        <v>2557</v>
      </c>
      <c r="I1019" s="58">
        <v>61808</v>
      </c>
      <c r="J1019" s="234" t="s">
        <v>472</v>
      </c>
      <c r="K1019" s="58">
        <v>1.0900000000000001</v>
      </c>
      <c r="L1019" s="58">
        <v>0.53</v>
      </c>
      <c r="M1019" s="58">
        <v>0</v>
      </c>
      <c r="N1019" s="58">
        <v>1</v>
      </c>
      <c r="O1019" s="224">
        <f t="shared" si="6"/>
        <v>0.56000000000000005</v>
      </c>
      <c r="P1019" s="227">
        <f t="shared" si="7"/>
        <v>0.56000000000000005</v>
      </c>
    </row>
    <row r="1020" spans="1:16" ht="14.25">
      <c r="A1020" s="224">
        <v>1019</v>
      </c>
      <c r="B1020" s="58">
        <v>24205</v>
      </c>
      <c r="C1020" s="57" t="s">
        <v>4159</v>
      </c>
      <c r="D1020" s="57" t="s">
        <v>45</v>
      </c>
      <c r="E1020" s="57" t="s">
        <v>2860</v>
      </c>
      <c r="F1020" s="58" t="s">
        <v>4160</v>
      </c>
      <c r="G1020" s="57">
        <v>5</v>
      </c>
      <c r="H1020" s="57" t="s">
        <v>2557</v>
      </c>
      <c r="I1020" s="58">
        <v>62852</v>
      </c>
      <c r="J1020" s="234" t="s">
        <v>4161</v>
      </c>
      <c r="K1020" s="58">
        <v>0.99</v>
      </c>
      <c r="L1020" s="58">
        <v>0</v>
      </c>
      <c r="M1020" s="58">
        <v>0</v>
      </c>
      <c r="N1020" s="58">
        <v>1</v>
      </c>
      <c r="O1020" s="224">
        <f t="shared" si="6"/>
        <v>0.99</v>
      </c>
      <c r="P1020" s="227">
        <f t="shared" si="7"/>
        <v>0.99</v>
      </c>
    </row>
    <row r="1021" spans="1:16" ht="14.25">
      <c r="A1021" s="224">
        <v>1020</v>
      </c>
      <c r="B1021" s="58">
        <v>24197</v>
      </c>
      <c r="C1021" s="57" t="s">
        <v>4162</v>
      </c>
      <c r="D1021" s="57" t="s">
        <v>2582</v>
      </c>
      <c r="E1021" s="57" t="s">
        <v>2860</v>
      </c>
      <c r="F1021" s="58" t="s">
        <v>4163</v>
      </c>
      <c r="G1021" s="57">
        <v>5</v>
      </c>
      <c r="H1021" s="57" t="s">
        <v>2557</v>
      </c>
      <c r="I1021" s="58">
        <v>62864</v>
      </c>
      <c r="J1021" s="234" t="s">
        <v>4164</v>
      </c>
      <c r="K1021" s="58">
        <v>136.75</v>
      </c>
      <c r="L1021" s="58">
        <v>0</v>
      </c>
      <c r="M1021" s="58">
        <v>0</v>
      </c>
      <c r="N1021" s="58">
        <v>7.2013100000000003</v>
      </c>
      <c r="O1021" s="224">
        <f t="shared" si="6"/>
        <v>136.75</v>
      </c>
      <c r="P1021" s="227">
        <f t="shared" si="7"/>
        <v>18.989600503241771</v>
      </c>
    </row>
    <row r="1022" spans="1:16" ht="14.25">
      <c r="A1022" s="224">
        <v>1021</v>
      </c>
      <c r="B1022" s="58">
        <v>24062</v>
      </c>
      <c r="C1022" s="57" t="s">
        <v>4122</v>
      </c>
      <c r="D1022" s="57" t="s">
        <v>2582</v>
      </c>
      <c r="E1022" s="57" t="s">
        <v>2860</v>
      </c>
      <c r="F1022" s="58" t="s">
        <v>4165</v>
      </c>
      <c r="G1022" s="57">
        <v>5</v>
      </c>
      <c r="H1022" s="57" t="s">
        <v>2557</v>
      </c>
      <c r="I1022" s="58">
        <v>62948</v>
      </c>
      <c r="J1022" s="234" t="s">
        <v>4166</v>
      </c>
      <c r="K1022" s="58">
        <v>45.32</v>
      </c>
      <c r="L1022" s="58">
        <v>0</v>
      </c>
      <c r="M1022" s="58">
        <v>0</v>
      </c>
      <c r="N1022" s="58">
        <v>7.2047400000000001</v>
      </c>
      <c r="O1022" s="224">
        <f t="shared" ref="O1022:O1276" si="8">K1022-L1022-M1022</f>
        <v>45.32</v>
      </c>
      <c r="P1022" s="227">
        <f t="shared" ref="P1022:P1276" si="9">IF(D1022="USD",O1022,O1022/N1022)</f>
        <v>6.2903033280867868</v>
      </c>
    </row>
    <row r="1023" spans="1:16" ht="14.25">
      <c r="A1023" s="224">
        <v>1022</v>
      </c>
      <c r="B1023" s="58">
        <v>269</v>
      </c>
      <c r="C1023" s="57" t="s">
        <v>4167</v>
      </c>
      <c r="D1023" s="57" t="s">
        <v>45</v>
      </c>
      <c r="E1023" s="57" t="s">
        <v>2860</v>
      </c>
      <c r="F1023" s="58" t="s">
        <v>4168</v>
      </c>
      <c r="G1023" s="57">
        <v>5</v>
      </c>
      <c r="H1023" s="57" t="s">
        <v>2557</v>
      </c>
      <c r="I1023" s="58">
        <v>57931</v>
      </c>
      <c r="J1023" s="234" t="s">
        <v>4169</v>
      </c>
      <c r="K1023" s="58">
        <v>2.99</v>
      </c>
      <c r="L1023" s="58">
        <v>0</v>
      </c>
      <c r="M1023" s="58">
        <v>0</v>
      </c>
      <c r="N1023" s="58">
        <v>1</v>
      </c>
      <c r="O1023" s="224">
        <f t="shared" si="8"/>
        <v>2.99</v>
      </c>
      <c r="P1023" s="227">
        <f t="shared" si="9"/>
        <v>2.99</v>
      </c>
    </row>
    <row r="1024" spans="1:16" ht="14.25">
      <c r="A1024" s="224">
        <v>1023</v>
      </c>
      <c r="B1024" s="58">
        <v>24062</v>
      </c>
      <c r="C1024" s="57" t="s">
        <v>4122</v>
      </c>
      <c r="D1024" s="57" t="s">
        <v>2582</v>
      </c>
      <c r="E1024" s="57" t="s">
        <v>2860</v>
      </c>
      <c r="F1024" s="58" t="s">
        <v>4170</v>
      </c>
      <c r="G1024" s="57">
        <v>5</v>
      </c>
      <c r="H1024" s="57" t="s">
        <v>2557</v>
      </c>
      <c r="I1024" s="58">
        <v>62948</v>
      </c>
      <c r="J1024" s="234"/>
      <c r="K1024" s="58">
        <v>0.02</v>
      </c>
      <c r="L1024" s="58">
        <v>0</v>
      </c>
      <c r="M1024" s="58">
        <v>0</v>
      </c>
      <c r="N1024" s="58">
        <v>7.2047400000000001</v>
      </c>
      <c r="O1024" s="224">
        <f t="shared" si="8"/>
        <v>0.02</v>
      </c>
      <c r="P1024" s="227">
        <f t="shared" si="9"/>
        <v>2.7759502771786352E-3</v>
      </c>
    </row>
    <row r="1025" spans="1:16" ht="14.25">
      <c r="A1025" s="224">
        <v>1024</v>
      </c>
      <c r="B1025" s="58">
        <v>24267</v>
      </c>
      <c r="C1025" s="57" t="s">
        <v>4171</v>
      </c>
      <c r="D1025" s="57" t="s">
        <v>45</v>
      </c>
      <c r="E1025" s="57" t="s">
        <v>2860</v>
      </c>
      <c r="F1025" s="58" t="s">
        <v>4172</v>
      </c>
      <c r="G1025" s="57">
        <v>5</v>
      </c>
      <c r="H1025" s="57" t="s">
        <v>2557</v>
      </c>
      <c r="I1025" s="58">
        <v>62996</v>
      </c>
      <c r="J1025" s="234" t="s">
        <v>4173</v>
      </c>
      <c r="K1025" s="58">
        <v>0.99</v>
      </c>
      <c r="L1025" s="58">
        <v>0</v>
      </c>
      <c r="M1025" s="58">
        <v>0</v>
      </c>
      <c r="N1025" s="58">
        <v>1</v>
      </c>
      <c r="O1025" s="224">
        <f t="shared" si="8"/>
        <v>0.99</v>
      </c>
      <c r="P1025" s="227">
        <f t="shared" si="9"/>
        <v>0.99</v>
      </c>
    </row>
    <row r="1026" spans="1:16" ht="14.25">
      <c r="A1026" s="224">
        <v>1025</v>
      </c>
      <c r="B1026" s="58">
        <v>19629</v>
      </c>
      <c r="C1026" s="57" t="s">
        <v>3182</v>
      </c>
      <c r="D1026" s="57" t="s">
        <v>45</v>
      </c>
      <c r="E1026" s="57" t="s">
        <v>9</v>
      </c>
      <c r="F1026" s="58" t="s">
        <v>4174</v>
      </c>
      <c r="G1026" s="57">
        <v>5</v>
      </c>
      <c r="H1026" s="57" t="s">
        <v>2557</v>
      </c>
      <c r="I1026" s="58">
        <v>60476</v>
      </c>
      <c r="J1026" s="234" t="s">
        <v>474</v>
      </c>
      <c r="K1026" s="58">
        <v>4.79</v>
      </c>
      <c r="L1026" s="58">
        <v>0.73</v>
      </c>
      <c r="M1026" s="58">
        <v>0</v>
      </c>
      <c r="N1026" s="58">
        <v>1</v>
      </c>
      <c r="O1026" s="224">
        <f t="shared" si="8"/>
        <v>4.0600000000000005</v>
      </c>
      <c r="P1026" s="227">
        <f t="shared" si="9"/>
        <v>4.0600000000000005</v>
      </c>
    </row>
    <row r="1027" spans="1:16" ht="14.25">
      <c r="A1027" s="224">
        <v>1026</v>
      </c>
      <c r="B1027" s="58">
        <v>21449</v>
      </c>
      <c r="C1027" s="57" t="s">
        <v>3774</v>
      </c>
      <c r="D1027" s="57" t="s">
        <v>45</v>
      </c>
      <c r="E1027" s="57" t="s">
        <v>2860</v>
      </c>
      <c r="F1027" s="58" t="s">
        <v>4175</v>
      </c>
      <c r="G1027" s="57">
        <v>5</v>
      </c>
      <c r="H1027" s="57" t="s">
        <v>2557</v>
      </c>
      <c r="I1027" s="58">
        <v>61028</v>
      </c>
      <c r="J1027" s="234" t="s">
        <v>4176</v>
      </c>
      <c r="K1027" s="58">
        <v>17.989999999999998</v>
      </c>
      <c r="L1027" s="58">
        <v>0</v>
      </c>
      <c r="M1027" s="58">
        <v>0</v>
      </c>
      <c r="N1027" s="58">
        <v>1</v>
      </c>
      <c r="O1027" s="224">
        <f t="shared" si="8"/>
        <v>17.989999999999998</v>
      </c>
      <c r="P1027" s="227">
        <f t="shared" si="9"/>
        <v>17.989999999999998</v>
      </c>
    </row>
    <row r="1028" spans="1:16" ht="14.25">
      <c r="A1028" s="224">
        <v>1027</v>
      </c>
      <c r="B1028" s="58">
        <v>23515</v>
      </c>
      <c r="C1028" s="57" t="s">
        <v>4064</v>
      </c>
      <c r="D1028" s="57" t="s">
        <v>2582</v>
      </c>
      <c r="E1028" s="57" t="s">
        <v>2860</v>
      </c>
      <c r="F1028" s="58" t="s">
        <v>4177</v>
      </c>
      <c r="G1028" s="57">
        <v>5</v>
      </c>
      <c r="H1028" s="57" t="s">
        <v>2557</v>
      </c>
      <c r="I1028" s="58">
        <v>63068</v>
      </c>
      <c r="J1028" s="234" t="s">
        <v>4178</v>
      </c>
      <c r="K1028" s="58">
        <v>367.23</v>
      </c>
      <c r="L1028" s="58">
        <v>0</v>
      </c>
      <c r="M1028" s="58">
        <v>0</v>
      </c>
      <c r="N1028" s="58">
        <v>7.2047400000000001</v>
      </c>
      <c r="O1028" s="224">
        <f t="shared" si="8"/>
        <v>367.23</v>
      </c>
      <c r="P1028" s="227">
        <f t="shared" si="9"/>
        <v>50.97061101441551</v>
      </c>
    </row>
    <row r="1029" spans="1:16" ht="14.25">
      <c r="A1029" s="224">
        <v>1028</v>
      </c>
      <c r="B1029" s="58">
        <v>24205</v>
      </c>
      <c r="C1029" s="57" t="s">
        <v>4159</v>
      </c>
      <c r="D1029" s="57" t="s">
        <v>45</v>
      </c>
      <c r="E1029" s="57" t="s">
        <v>2860</v>
      </c>
      <c r="F1029" s="58" t="s">
        <v>4179</v>
      </c>
      <c r="G1029" s="57">
        <v>5</v>
      </c>
      <c r="H1029" s="57" t="s">
        <v>2557</v>
      </c>
      <c r="I1029" s="58">
        <v>63080</v>
      </c>
      <c r="J1029" s="234" t="s">
        <v>4180</v>
      </c>
      <c r="K1029" s="58">
        <v>10.1</v>
      </c>
      <c r="L1029" s="58">
        <v>0</v>
      </c>
      <c r="M1029" s="58">
        <v>0</v>
      </c>
      <c r="N1029" s="58">
        <v>1</v>
      </c>
      <c r="O1029" s="224">
        <f t="shared" si="8"/>
        <v>10.1</v>
      </c>
      <c r="P1029" s="227">
        <f t="shared" si="9"/>
        <v>10.1</v>
      </c>
    </row>
    <row r="1030" spans="1:16" ht="14.25">
      <c r="A1030" s="224">
        <v>1029</v>
      </c>
      <c r="B1030" s="58">
        <v>351</v>
      </c>
      <c r="C1030" s="57" t="s">
        <v>2707</v>
      </c>
      <c r="D1030" s="57" t="s">
        <v>45</v>
      </c>
      <c r="E1030" s="57" t="s">
        <v>9</v>
      </c>
      <c r="F1030" s="58" t="s">
        <v>4181</v>
      </c>
      <c r="G1030" s="57">
        <v>5</v>
      </c>
      <c r="H1030" s="57" t="s">
        <v>2557</v>
      </c>
      <c r="I1030" s="58">
        <v>59912</v>
      </c>
      <c r="J1030" s="234" t="s">
        <v>476</v>
      </c>
      <c r="K1030" s="58">
        <v>1.0900000000000001</v>
      </c>
      <c r="L1030" s="58">
        <v>0.54</v>
      </c>
      <c r="M1030" s="58">
        <v>0</v>
      </c>
      <c r="N1030" s="58">
        <v>1</v>
      </c>
      <c r="O1030" s="224">
        <f t="shared" si="8"/>
        <v>0.55000000000000004</v>
      </c>
      <c r="P1030" s="227">
        <f t="shared" si="9"/>
        <v>0.55000000000000004</v>
      </c>
    </row>
    <row r="1031" spans="1:16" ht="14.25">
      <c r="A1031" s="224">
        <v>1030</v>
      </c>
      <c r="B1031" s="58">
        <v>6529</v>
      </c>
      <c r="C1031" s="57" t="s">
        <v>2566</v>
      </c>
      <c r="D1031" s="57" t="s">
        <v>45</v>
      </c>
      <c r="E1031" s="57" t="s">
        <v>2860</v>
      </c>
      <c r="F1031" s="58" t="s">
        <v>4182</v>
      </c>
      <c r="G1031" s="57">
        <v>5</v>
      </c>
      <c r="H1031" s="57" t="s">
        <v>2557</v>
      </c>
      <c r="I1031" s="58">
        <v>61688</v>
      </c>
      <c r="J1031" s="234" t="s">
        <v>4183</v>
      </c>
      <c r="K1031" s="58">
        <v>8.99</v>
      </c>
      <c r="L1031" s="58">
        <v>0</v>
      </c>
      <c r="M1031" s="58">
        <v>0</v>
      </c>
      <c r="N1031" s="58">
        <v>1</v>
      </c>
      <c r="O1031" s="224">
        <f t="shared" si="8"/>
        <v>8.99</v>
      </c>
      <c r="P1031" s="227">
        <f t="shared" si="9"/>
        <v>8.99</v>
      </c>
    </row>
    <row r="1032" spans="1:16" ht="14.25">
      <c r="A1032" s="224">
        <v>1031</v>
      </c>
      <c r="B1032" s="58">
        <v>22559</v>
      </c>
      <c r="C1032" s="57" t="s">
        <v>3891</v>
      </c>
      <c r="D1032" s="57" t="s">
        <v>45</v>
      </c>
      <c r="E1032" s="57" t="s">
        <v>9</v>
      </c>
      <c r="F1032" s="58" t="s">
        <v>4184</v>
      </c>
      <c r="G1032" s="57">
        <v>5</v>
      </c>
      <c r="H1032" s="57" t="s">
        <v>2557</v>
      </c>
      <c r="I1032" s="58">
        <v>63152</v>
      </c>
      <c r="J1032" s="234" t="s">
        <v>477</v>
      </c>
      <c r="K1032" s="58">
        <v>19.260000000000002</v>
      </c>
      <c r="L1032" s="58">
        <v>1.45</v>
      </c>
      <c r="M1032" s="58">
        <v>0</v>
      </c>
      <c r="N1032" s="58">
        <v>1</v>
      </c>
      <c r="O1032" s="224">
        <f t="shared" si="8"/>
        <v>17.810000000000002</v>
      </c>
      <c r="P1032" s="227">
        <f t="shared" si="9"/>
        <v>17.810000000000002</v>
      </c>
    </row>
    <row r="1033" spans="1:16" ht="14.25">
      <c r="A1033" s="224">
        <v>1032</v>
      </c>
      <c r="B1033" s="58">
        <v>24378</v>
      </c>
      <c r="C1033" s="57" t="s">
        <v>4185</v>
      </c>
      <c r="D1033" s="57" t="s">
        <v>45</v>
      </c>
      <c r="E1033" s="57" t="s">
        <v>2874</v>
      </c>
      <c r="F1033" s="58" t="s">
        <v>4186</v>
      </c>
      <c r="G1033" s="57">
        <v>5</v>
      </c>
      <c r="H1033" s="57" t="s">
        <v>2557</v>
      </c>
      <c r="I1033" s="58">
        <v>63164</v>
      </c>
      <c r="J1033" s="234" t="s">
        <v>4187</v>
      </c>
      <c r="K1033" s="58">
        <v>3.99</v>
      </c>
      <c r="L1033" s="58">
        <v>0</v>
      </c>
      <c r="M1033" s="58">
        <v>0</v>
      </c>
      <c r="N1033" s="58">
        <v>1</v>
      </c>
      <c r="O1033" s="224">
        <f t="shared" si="8"/>
        <v>3.99</v>
      </c>
      <c r="P1033" s="227">
        <f t="shared" si="9"/>
        <v>3.99</v>
      </c>
    </row>
    <row r="1034" spans="1:16" ht="14.25">
      <c r="A1034" s="224">
        <v>1033</v>
      </c>
      <c r="B1034" s="58">
        <v>19962</v>
      </c>
      <c r="C1034" s="57" t="s">
        <v>3276</v>
      </c>
      <c r="D1034" s="57" t="s">
        <v>2582</v>
      </c>
      <c r="E1034" s="57" t="s">
        <v>2860</v>
      </c>
      <c r="F1034" s="58" t="s">
        <v>4188</v>
      </c>
      <c r="G1034" s="57">
        <v>5</v>
      </c>
      <c r="H1034" s="57" t="s">
        <v>2557</v>
      </c>
      <c r="I1034" s="58">
        <v>61280</v>
      </c>
      <c r="J1034" s="234" t="s">
        <v>4189</v>
      </c>
      <c r="K1034" s="58">
        <v>14.41</v>
      </c>
      <c r="L1034" s="58">
        <v>0</v>
      </c>
      <c r="M1034" s="58">
        <v>0</v>
      </c>
      <c r="N1034" s="58">
        <v>7.2055600000000002</v>
      </c>
      <c r="O1034" s="224">
        <f t="shared" si="8"/>
        <v>14.41</v>
      </c>
      <c r="P1034" s="227">
        <f t="shared" si="9"/>
        <v>1.9998445644752108</v>
      </c>
    </row>
    <row r="1035" spans="1:16" ht="14.25">
      <c r="A1035" s="224">
        <v>1034</v>
      </c>
      <c r="B1035" s="58">
        <v>6034</v>
      </c>
      <c r="C1035" s="57" t="s">
        <v>4190</v>
      </c>
      <c r="D1035" s="57" t="s">
        <v>45</v>
      </c>
      <c r="E1035" s="57" t="s">
        <v>2860</v>
      </c>
      <c r="F1035" s="58" t="s">
        <v>4191</v>
      </c>
      <c r="G1035" s="57">
        <v>5</v>
      </c>
      <c r="H1035" s="57" t="s">
        <v>2557</v>
      </c>
      <c r="I1035" s="58">
        <v>63188</v>
      </c>
      <c r="J1035" s="234" t="s">
        <v>4192</v>
      </c>
      <c r="K1035" s="58">
        <v>25.25</v>
      </c>
      <c r="L1035" s="58">
        <v>0</v>
      </c>
      <c r="M1035" s="58">
        <v>0</v>
      </c>
      <c r="N1035" s="58">
        <v>1</v>
      </c>
      <c r="O1035" s="224">
        <f t="shared" si="8"/>
        <v>25.25</v>
      </c>
      <c r="P1035" s="227">
        <f t="shared" si="9"/>
        <v>25.25</v>
      </c>
    </row>
    <row r="1036" spans="1:16" ht="14.25">
      <c r="A1036" s="224">
        <v>1035</v>
      </c>
      <c r="B1036" s="58">
        <v>24383</v>
      </c>
      <c r="C1036" s="57" t="s">
        <v>4193</v>
      </c>
      <c r="D1036" s="57" t="s">
        <v>45</v>
      </c>
      <c r="E1036" s="57" t="s">
        <v>2860</v>
      </c>
      <c r="F1036" s="58" t="s">
        <v>4194</v>
      </c>
      <c r="G1036" s="57">
        <v>5</v>
      </c>
      <c r="H1036" s="57" t="s">
        <v>2557</v>
      </c>
      <c r="I1036" s="58">
        <v>63212</v>
      </c>
      <c r="J1036" s="234" t="s">
        <v>4195</v>
      </c>
      <c r="K1036" s="58">
        <v>3.99</v>
      </c>
      <c r="L1036" s="58">
        <v>0</v>
      </c>
      <c r="M1036" s="58">
        <v>0</v>
      </c>
      <c r="N1036" s="58">
        <v>1</v>
      </c>
      <c r="O1036" s="224">
        <f t="shared" si="8"/>
        <v>3.99</v>
      </c>
      <c r="P1036" s="227">
        <f t="shared" si="9"/>
        <v>3.99</v>
      </c>
    </row>
    <row r="1037" spans="1:16" ht="14.25">
      <c r="A1037" s="224">
        <v>1036</v>
      </c>
      <c r="B1037" s="58">
        <v>18156</v>
      </c>
      <c r="C1037" s="57" t="s">
        <v>2918</v>
      </c>
      <c r="D1037" s="57" t="s">
        <v>2582</v>
      </c>
      <c r="E1037" s="57" t="s">
        <v>2874</v>
      </c>
      <c r="F1037" s="58" t="s">
        <v>4196</v>
      </c>
      <c r="G1037" s="57">
        <v>5</v>
      </c>
      <c r="H1037" s="57" t="s">
        <v>2557</v>
      </c>
      <c r="I1037" s="58">
        <v>63224</v>
      </c>
      <c r="J1037" s="234" t="s">
        <v>4197</v>
      </c>
      <c r="K1037" s="58">
        <v>720.49</v>
      </c>
      <c r="L1037" s="58">
        <v>0</v>
      </c>
      <c r="M1037" s="58">
        <v>0</v>
      </c>
      <c r="N1037" s="58">
        <v>7.2055600000000002</v>
      </c>
      <c r="O1037" s="224">
        <f t="shared" si="8"/>
        <v>720.49</v>
      </c>
      <c r="P1037" s="227">
        <f t="shared" si="9"/>
        <v>99.990840406574918</v>
      </c>
    </row>
    <row r="1038" spans="1:16" ht="14.25">
      <c r="A1038" s="224">
        <v>1037</v>
      </c>
      <c r="B1038" s="58">
        <v>1559</v>
      </c>
      <c r="C1038" s="57" t="s">
        <v>3541</v>
      </c>
      <c r="D1038" s="57" t="s">
        <v>45</v>
      </c>
      <c r="E1038" s="57" t="s">
        <v>2874</v>
      </c>
      <c r="F1038" s="58" t="s">
        <v>4198</v>
      </c>
      <c r="G1038" s="57">
        <v>5</v>
      </c>
      <c r="H1038" s="57" t="s">
        <v>2557</v>
      </c>
      <c r="I1038" s="58">
        <v>63236</v>
      </c>
      <c r="J1038" s="234"/>
      <c r="K1038" s="58">
        <v>160</v>
      </c>
      <c r="L1038" s="58">
        <v>0</v>
      </c>
      <c r="M1038" s="58">
        <v>0</v>
      </c>
      <c r="N1038" s="58">
        <v>1</v>
      </c>
      <c r="O1038" s="224">
        <f t="shared" si="8"/>
        <v>160</v>
      </c>
      <c r="P1038" s="227">
        <f t="shared" si="9"/>
        <v>160</v>
      </c>
    </row>
    <row r="1039" spans="1:16" ht="14.25">
      <c r="A1039" s="224">
        <v>1038</v>
      </c>
      <c r="B1039" s="58">
        <v>24419</v>
      </c>
      <c r="C1039" s="244">
        <v>45658</v>
      </c>
      <c r="D1039" s="57" t="s">
        <v>2582</v>
      </c>
      <c r="E1039" s="57" t="s">
        <v>2860</v>
      </c>
      <c r="F1039" s="58" t="s">
        <v>4199</v>
      </c>
      <c r="G1039" s="57">
        <v>5</v>
      </c>
      <c r="H1039" s="57" t="s">
        <v>2557</v>
      </c>
      <c r="I1039" s="58">
        <v>63248</v>
      </c>
      <c r="J1039" s="234" t="s">
        <v>4200</v>
      </c>
      <c r="K1039" s="58">
        <v>28.75</v>
      </c>
      <c r="L1039" s="58">
        <v>0</v>
      </c>
      <c r="M1039" s="58">
        <v>0</v>
      </c>
      <c r="N1039" s="58">
        <v>7.2055600000000002</v>
      </c>
      <c r="O1039" s="224">
        <f t="shared" si="8"/>
        <v>28.75</v>
      </c>
      <c r="P1039" s="227">
        <f t="shared" si="9"/>
        <v>3.9899744086510971</v>
      </c>
    </row>
    <row r="1040" spans="1:16" ht="14.25">
      <c r="A1040" s="224">
        <v>1039</v>
      </c>
      <c r="B1040" s="58">
        <v>18477</v>
      </c>
      <c r="C1040" s="57" t="s">
        <v>2966</v>
      </c>
      <c r="D1040" s="57" t="s">
        <v>45</v>
      </c>
      <c r="E1040" s="57" t="s">
        <v>2874</v>
      </c>
      <c r="F1040" s="58" t="s">
        <v>4201</v>
      </c>
      <c r="G1040" s="57">
        <v>5</v>
      </c>
      <c r="H1040" s="57" t="s">
        <v>2557</v>
      </c>
      <c r="I1040" s="58">
        <v>63344</v>
      </c>
      <c r="J1040" s="234"/>
      <c r="K1040" s="58">
        <v>110</v>
      </c>
      <c r="L1040" s="58">
        <v>0</v>
      </c>
      <c r="M1040" s="58">
        <v>0</v>
      </c>
      <c r="N1040" s="58">
        <v>1</v>
      </c>
      <c r="O1040" s="224">
        <f t="shared" si="8"/>
        <v>110</v>
      </c>
      <c r="P1040" s="227">
        <f t="shared" si="9"/>
        <v>110</v>
      </c>
    </row>
    <row r="1041" spans="1:16" ht="14.25">
      <c r="A1041" s="224">
        <v>1040</v>
      </c>
      <c r="B1041" s="58">
        <v>19044</v>
      </c>
      <c r="C1041" s="57" t="s">
        <v>3089</v>
      </c>
      <c r="D1041" s="57" t="s">
        <v>45</v>
      </c>
      <c r="E1041" s="57" t="s">
        <v>2860</v>
      </c>
      <c r="F1041" s="58" t="s">
        <v>4202</v>
      </c>
      <c r="G1041" s="57">
        <v>5</v>
      </c>
      <c r="H1041" s="57" t="s">
        <v>2557</v>
      </c>
      <c r="I1041" s="58">
        <v>63356</v>
      </c>
      <c r="J1041" s="234" t="s">
        <v>4203</v>
      </c>
      <c r="K1041" s="58">
        <v>1.79</v>
      </c>
      <c r="L1041" s="58">
        <v>0</v>
      </c>
      <c r="M1041" s="58">
        <v>0</v>
      </c>
      <c r="N1041" s="58">
        <v>1</v>
      </c>
      <c r="O1041" s="224">
        <f t="shared" si="8"/>
        <v>1.79</v>
      </c>
      <c r="P1041" s="227">
        <f t="shared" si="9"/>
        <v>1.79</v>
      </c>
    </row>
    <row r="1042" spans="1:16" ht="14.25">
      <c r="A1042" s="224">
        <v>1041</v>
      </c>
      <c r="B1042" s="58">
        <v>24452</v>
      </c>
      <c r="C1042" s="57" t="s">
        <v>4204</v>
      </c>
      <c r="D1042" s="57" t="s">
        <v>45</v>
      </c>
      <c r="E1042" s="57" t="s">
        <v>2860</v>
      </c>
      <c r="F1042" s="58" t="s">
        <v>4205</v>
      </c>
      <c r="G1042" s="57">
        <v>5</v>
      </c>
      <c r="H1042" s="57" t="s">
        <v>2557</v>
      </c>
      <c r="I1042" s="58">
        <v>63392</v>
      </c>
      <c r="J1042" s="234" t="s">
        <v>4206</v>
      </c>
      <c r="K1042" s="58">
        <v>7.99</v>
      </c>
      <c r="L1042" s="58">
        <v>0</v>
      </c>
      <c r="M1042" s="58">
        <v>0</v>
      </c>
      <c r="N1042" s="58">
        <v>1</v>
      </c>
      <c r="O1042" s="224">
        <f t="shared" si="8"/>
        <v>7.99</v>
      </c>
      <c r="P1042" s="227">
        <f t="shared" si="9"/>
        <v>7.99</v>
      </c>
    </row>
    <row r="1043" spans="1:16" ht="14.25">
      <c r="A1043" s="224">
        <v>1042</v>
      </c>
      <c r="B1043" s="58">
        <v>45</v>
      </c>
      <c r="C1043" s="57" t="s">
        <v>4207</v>
      </c>
      <c r="D1043" s="57" t="s">
        <v>45</v>
      </c>
      <c r="E1043" s="57" t="s">
        <v>2860</v>
      </c>
      <c r="F1043" s="58" t="s">
        <v>4208</v>
      </c>
      <c r="G1043" s="57">
        <v>5</v>
      </c>
      <c r="H1043" s="57" t="s">
        <v>2557</v>
      </c>
      <c r="I1043" s="58">
        <v>63404</v>
      </c>
      <c r="J1043" s="234" t="s">
        <v>4209</v>
      </c>
      <c r="K1043" s="58">
        <v>1</v>
      </c>
      <c r="L1043" s="58">
        <v>0</v>
      </c>
      <c r="M1043" s="58">
        <v>0</v>
      </c>
      <c r="N1043" s="58">
        <v>1</v>
      </c>
      <c r="O1043" s="224">
        <f t="shared" si="8"/>
        <v>1</v>
      </c>
      <c r="P1043" s="227">
        <f t="shared" si="9"/>
        <v>1</v>
      </c>
    </row>
    <row r="1044" spans="1:16" ht="14.25">
      <c r="A1044" s="224">
        <v>1043</v>
      </c>
      <c r="B1044" s="58">
        <v>24458</v>
      </c>
      <c r="C1044" s="57" t="s">
        <v>4210</v>
      </c>
      <c r="D1044" s="57" t="s">
        <v>45</v>
      </c>
      <c r="E1044" s="57" t="s">
        <v>2860</v>
      </c>
      <c r="F1044" s="58" t="s">
        <v>4211</v>
      </c>
      <c r="G1044" s="57">
        <v>5</v>
      </c>
      <c r="H1044" s="57" t="s">
        <v>2557</v>
      </c>
      <c r="I1044" s="58">
        <v>63416</v>
      </c>
      <c r="J1044" s="234" t="s">
        <v>4212</v>
      </c>
      <c r="K1044" s="58">
        <v>20.25</v>
      </c>
      <c r="L1044" s="58">
        <v>0</v>
      </c>
      <c r="M1044" s="58">
        <v>0</v>
      </c>
      <c r="N1044" s="58">
        <v>1</v>
      </c>
      <c r="O1044" s="224">
        <f t="shared" si="8"/>
        <v>20.25</v>
      </c>
      <c r="P1044" s="227">
        <f t="shared" si="9"/>
        <v>20.25</v>
      </c>
    </row>
    <row r="1045" spans="1:16" ht="14.25">
      <c r="A1045" s="224">
        <v>1044</v>
      </c>
      <c r="B1045" s="58">
        <v>21325</v>
      </c>
      <c r="C1045" s="57" t="s">
        <v>3663</v>
      </c>
      <c r="D1045" s="57" t="s">
        <v>45</v>
      </c>
      <c r="E1045" s="57" t="s">
        <v>2860</v>
      </c>
      <c r="F1045" s="58" t="s">
        <v>4213</v>
      </c>
      <c r="G1045" s="57">
        <v>5</v>
      </c>
      <c r="H1045" s="57" t="s">
        <v>2557</v>
      </c>
      <c r="I1045" s="58">
        <v>63428</v>
      </c>
      <c r="J1045" s="234" t="s">
        <v>4214</v>
      </c>
      <c r="K1045" s="58">
        <v>16.09</v>
      </c>
      <c r="L1045" s="58">
        <v>0</v>
      </c>
      <c r="M1045" s="58">
        <v>0</v>
      </c>
      <c r="N1045" s="58">
        <v>1</v>
      </c>
      <c r="O1045" s="224">
        <f t="shared" si="8"/>
        <v>16.09</v>
      </c>
      <c r="P1045" s="227">
        <f t="shared" si="9"/>
        <v>16.09</v>
      </c>
    </row>
    <row r="1046" spans="1:16" ht="14.25">
      <c r="A1046" s="224">
        <v>1045</v>
      </c>
      <c r="B1046" s="58">
        <v>2300</v>
      </c>
      <c r="C1046" s="57" t="s">
        <v>2962</v>
      </c>
      <c r="D1046" s="57" t="s">
        <v>45</v>
      </c>
      <c r="E1046" s="57" t="s">
        <v>2860</v>
      </c>
      <c r="F1046" s="58" t="s">
        <v>4215</v>
      </c>
      <c r="G1046" s="57">
        <v>5</v>
      </c>
      <c r="H1046" s="57" t="s">
        <v>2557</v>
      </c>
      <c r="I1046" s="58">
        <v>63512</v>
      </c>
      <c r="J1046" s="234" t="s">
        <v>4216</v>
      </c>
      <c r="K1046" s="58">
        <v>17.98</v>
      </c>
      <c r="L1046" s="58">
        <v>0</v>
      </c>
      <c r="M1046" s="58">
        <v>0</v>
      </c>
      <c r="N1046" s="58">
        <v>1</v>
      </c>
      <c r="O1046" s="224">
        <f t="shared" si="8"/>
        <v>17.98</v>
      </c>
      <c r="P1046" s="227">
        <f t="shared" si="9"/>
        <v>17.98</v>
      </c>
    </row>
    <row r="1047" spans="1:16" ht="14.25">
      <c r="A1047" s="224">
        <v>1046</v>
      </c>
      <c r="B1047" s="58">
        <v>224</v>
      </c>
      <c r="C1047" s="57" t="s">
        <v>4217</v>
      </c>
      <c r="D1047" s="57" t="s">
        <v>45</v>
      </c>
      <c r="E1047" s="57" t="s">
        <v>2860</v>
      </c>
      <c r="F1047" s="58" t="s">
        <v>4218</v>
      </c>
      <c r="G1047" s="57">
        <v>5</v>
      </c>
      <c r="H1047" s="57" t="s">
        <v>2557</v>
      </c>
      <c r="I1047" s="58">
        <v>63524</v>
      </c>
      <c r="J1047" s="234" t="s">
        <v>4219</v>
      </c>
      <c r="K1047" s="58">
        <v>1.98</v>
      </c>
      <c r="L1047" s="58">
        <v>0</v>
      </c>
      <c r="M1047" s="58">
        <v>0</v>
      </c>
      <c r="N1047" s="58">
        <v>1</v>
      </c>
      <c r="O1047" s="224">
        <f t="shared" si="8"/>
        <v>1.98</v>
      </c>
      <c r="P1047" s="227">
        <f t="shared" si="9"/>
        <v>1.98</v>
      </c>
    </row>
    <row r="1048" spans="1:16" ht="14.25">
      <c r="A1048" s="224">
        <v>1047</v>
      </c>
      <c r="B1048" s="58">
        <v>24479</v>
      </c>
      <c r="C1048" s="57" t="s">
        <v>4220</v>
      </c>
      <c r="D1048" s="57" t="s">
        <v>45</v>
      </c>
      <c r="E1048" s="57" t="s">
        <v>2860</v>
      </c>
      <c r="F1048" s="58" t="s">
        <v>4221</v>
      </c>
      <c r="G1048" s="57">
        <v>5</v>
      </c>
      <c r="H1048" s="57" t="s">
        <v>2557</v>
      </c>
      <c r="I1048" s="58">
        <v>63572</v>
      </c>
      <c r="J1048" s="234" t="s">
        <v>4222</v>
      </c>
      <c r="K1048" s="58">
        <v>8.39</v>
      </c>
      <c r="L1048" s="58">
        <v>0</v>
      </c>
      <c r="M1048" s="58">
        <v>0</v>
      </c>
      <c r="N1048" s="58">
        <v>1</v>
      </c>
      <c r="O1048" s="224">
        <f t="shared" si="8"/>
        <v>8.39</v>
      </c>
      <c r="P1048" s="227">
        <f t="shared" si="9"/>
        <v>8.39</v>
      </c>
    </row>
    <row r="1049" spans="1:16" ht="14.25">
      <c r="A1049" s="224">
        <v>1048</v>
      </c>
      <c r="B1049" s="58">
        <v>24484</v>
      </c>
      <c r="C1049" s="57" t="s">
        <v>4223</v>
      </c>
      <c r="D1049" s="57" t="s">
        <v>45</v>
      </c>
      <c r="E1049" s="57" t="s">
        <v>2860</v>
      </c>
      <c r="F1049" s="58" t="s">
        <v>4224</v>
      </c>
      <c r="G1049" s="57">
        <v>5</v>
      </c>
      <c r="H1049" s="57" t="s">
        <v>2557</v>
      </c>
      <c r="I1049" s="58">
        <v>63596</v>
      </c>
      <c r="J1049" s="234" t="s">
        <v>4225</v>
      </c>
      <c r="K1049" s="58">
        <v>8.39</v>
      </c>
      <c r="L1049" s="58">
        <v>0</v>
      </c>
      <c r="M1049" s="58">
        <v>0</v>
      </c>
      <c r="N1049" s="58">
        <v>1</v>
      </c>
      <c r="O1049" s="224">
        <f t="shared" si="8"/>
        <v>8.39</v>
      </c>
      <c r="P1049" s="227">
        <f t="shared" si="9"/>
        <v>8.39</v>
      </c>
    </row>
    <row r="1050" spans="1:16" ht="14.25">
      <c r="A1050" s="224">
        <v>1049</v>
      </c>
      <c r="B1050" s="58">
        <v>19889</v>
      </c>
      <c r="C1050" s="57" t="s">
        <v>3227</v>
      </c>
      <c r="D1050" s="57" t="s">
        <v>45</v>
      </c>
      <c r="E1050" s="57" t="s">
        <v>2860</v>
      </c>
      <c r="F1050" s="58" t="s">
        <v>4226</v>
      </c>
      <c r="G1050" s="57">
        <v>5</v>
      </c>
      <c r="H1050" s="57" t="s">
        <v>2557</v>
      </c>
      <c r="I1050" s="58">
        <v>61700</v>
      </c>
      <c r="J1050" s="234" t="s">
        <v>4227</v>
      </c>
      <c r="K1050" s="58">
        <v>6.29</v>
      </c>
      <c r="L1050" s="58">
        <v>0</v>
      </c>
      <c r="M1050" s="58">
        <v>0</v>
      </c>
      <c r="N1050" s="58">
        <v>1</v>
      </c>
      <c r="O1050" s="224">
        <f t="shared" si="8"/>
        <v>6.29</v>
      </c>
      <c r="P1050" s="227">
        <f t="shared" si="9"/>
        <v>6.29</v>
      </c>
    </row>
    <row r="1051" spans="1:16" ht="14.25">
      <c r="A1051" s="224">
        <v>1050</v>
      </c>
      <c r="B1051" s="58">
        <v>19889</v>
      </c>
      <c r="C1051" s="57" t="s">
        <v>3227</v>
      </c>
      <c r="D1051" s="57" t="s">
        <v>45</v>
      </c>
      <c r="E1051" s="57" t="s">
        <v>2860</v>
      </c>
      <c r="F1051" s="58" t="s">
        <v>4228</v>
      </c>
      <c r="G1051" s="57">
        <v>5</v>
      </c>
      <c r="H1051" s="57" t="s">
        <v>2557</v>
      </c>
      <c r="I1051" s="58">
        <v>63608</v>
      </c>
      <c r="J1051" s="234" t="s">
        <v>4229</v>
      </c>
      <c r="K1051" s="58">
        <v>1.99</v>
      </c>
      <c r="L1051" s="58">
        <v>0</v>
      </c>
      <c r="M1051" s="58">
        <v>0</v>
      </c>
      <c r="N1051" s="58">
        <v>1</v>
      </c>
      <c r="O1051" s="224">
        <f t="shared" si="8"/>
        <v>1.99</v>
      </c>
      <c r="P1051" s="227">
        <f t="shared" si="9"/>
        <v>1.99</v>
      </c>
    </row>
    <row r="1052" spans="1:16" ht="14.25">
      <c r="A1052" s="224">
        <v>1051</v>
      </c>
      <c r="B1052" s="58">
        <v>392</v>
      </c>
      <c r="C1052" s="57" t="s">
        <v>2876</v>
      </c>
      <c r="D1052" s="57" t="s">
        <v>2582</v>
      </c>
      <c r="E1052" s="57" t="s">
        <v>2860</v>
      </c>
      <c r="F1052" s="58" t="s">
        <v>4230</v>
      </c>
      <c r="G1052" s="57">
        <v>5</v>
      </c>
      <c r="H1052" s="57" t="s">
        <v>2557</v>
      </c>
      <c r="I1052" s="58">
        <v>61676</v>
      </c>
      <c r="J1052" s="234" t="s">
        <v>4231</v>
      </c>
      <c r="K1052" s="58">
        <v>29.04</v>
      </c>
      <c r="L1052" s="58">
        <v>0</v>
      </c>
      <c r="M1052" s="58">
        <v>0</v>
      </c>
      <c r="N1052" s="58">
        <v>7.2055600000000002</v>
      </c>
      <c r="O1052" s="224">
        <f t="shared" si="8"/>
        <v>29.04</v>
      </c>
      <c r="P1052" s="227">
        <f t="shared" si="9"/>
        <v>4.0302211070340128</v>
      </c>
    </row>
    <row r="1053" spans="1:16" ht="14.25">
      <c r="A1053" s="224">
        <v>1052</v>
      </c>
      <c r="B1053" s="58">
        <v>24481</v>
      </c>
      <c r="C1053" s="57" t="s">
        <v>4232</v>
      </c>
      <c r="D1053" s="57" t="s">
        <v>45</v>
      </c>
      <c r="E1053" s="57" t="s">
        <v>2860</v>
      </c>
      <c r="F1053" s="58" t="s">
        <v>4233</v>
      </c>
      <c r="G1053" s="57">
        <v>5</v>
      </c>
      <c r="H1053" s="57" t="s">
        <v>2557</v>
      </c>
      <c r="I1053" s="58">
        <v>63584</v>
      </c>
      <c r="J1053" s="234" t="s">
        <v>4234</v>
      </c>
      <c r="K1053" s="58">
        <v>8.39</v>
      </c>
      <c r="L1053" s="58">
        <v>0</v>
      </c>
      <c r="M1053" s="58">
        <v>0</v>
      </c>
      <c r="N1053" s="58">
        <v>1</v>
      </c>
      <c r="O1053" s="224">
        <f t="shared" si="8"/>
        <v>8.39</v>
      </c>
      <c r="P1053" s="227">
        <f t="shared" si="9"/>
        <v>8.39</v>
      </c>
    </row>
    <row r="1054" spans="1:16" ht="14.25">
      <c r="A1054" s="224">
        <v>1053</v>
      </c>
      <c r="B1054" s="58">
        <v>24489</v>
      </c>
      <c r="C1054" s="57" t="s">
        <v>4235</v>
      </c>
      <c r="D1054" s="57" t="s">
        <v>45</v>
      </c>
      <c r="E1054" s="57" t="s">
        <v>9</v>
      </c>
      <c r="F1054" s="58" t="s">
        <v>4236</v>
      </c>
      <c r="G1054" s="57">
        <v>5</v>
      </c>
      <c r="H1054" s="57" t="s">
        <v>2557</v>
      </c>
      <c r="I1054" s="58">
        <v>63620</v>
      </c>
      <c r="J1054" s="234" t="s">
        <v>483</v>
      </c>
      <c r="K1054" s="58">
        <v>8.39</v>
      </c>
      <c r="L1054" s="58">
        <v>0.91</v>
      </c>
      <c r="M1054" s="58">
        <v>0</v>
      </c>
      <c r="N1054" s="58">
        <v>1</v>
      </c>
      <c r="O1054" s="224">
        <f t="shared" si="8"/>
        <v>7.48</v>
      </c>
      <c r="P1054" s="227">
        <f t="shared" si="9"/>
        <v>7.48</v>
      </c>
    </row>
    <row r="1055" spans="1:16" ht="14.25">
      <c r="A1055" s="224">
        <v>1054</v>
      </c>
      <c r="B1055" s="58">
        <v>24494</v>
      </c>
      <c r="C1055" s="57" t="s">
        <v>4237</v>
      </c>
      <c r="D1055" s="57" t="s">
        <v>45</v>
      </c>
      <c r="E1055" s="57" t="s">
        <v>2860</v>
      </c>
      <c r="F1055" s="58" t="s">
        <v>4238</v>
      </c>
      <c r="G1055" s="57">
        <v>5</v>
      </c>
      <c r="H1055" s="57" t="s">
        <v>2557</v>
      </c>
      <c r="I1055" s="58">
        <v>63716</v>
      </c>
      <c r="J1055" s="234" t="s">
        <v>4239</v>
      </c>
      <c r="K1055" s="58">
        <v>2.99</v>
      </c>
      <c r="L1055" s="58">
        <v>0</v>
      </c>
      <c r="M1055" s="58">
        <v>0</v>
      </c>
      <c r="N1055" s="58">
        <v>1</v>
      </c>
      <c r="O1055" s="224">
        <f t="shared" si="8"/>
        <v>2.99</v>
      </c>
      <c r="P1055" s="227">
        <f t="shared" si="9"/>
        <v>2.99</v>
      </c>
    </row>
    <row r="1056" spans="1:16" ht="14.25">
      <c r="A1056" s="224">
        <v>1055</v>
      </c>
      <c r="B1056" s="58">
        <v>18666</v>
      </c>
      <c r="C1056" s="57" t="s">
        <v>2991</v>
      </c>
      <c r="D1056" s="57" t="s">
        <v>45</v>
      </c>
      <c r="E1056" s="57" t="s">
        <v>2860</v>
      </c>
      <c r="F1056" s="58" t="s">
        <v>4240</v>
      </c>
      <c r="G1056" s="57">
        <v>5</v>
      </c>
      <c r="H1056" s="57" t="s">
        <v>2557</v>
      </c>
      <c r="I1056" s="58">
        <v>62540</v>
      </c>
      <c r="J1056" s="234" t="s">
        <v>4241</v>
      </c>
      <c r="K1056" s="58">
        <v>6.99</v>
      </c>
      <c r="L1056" s="58">
        <v>0</v>
      </c>
      <c r="M1056" s="58">
        <v>0</v>
      </c>
      <c r="N1056" s="58">
        <v>1</v>
      </c>
      <c r="O1056" s="224">
        <f t="shared" si="8"/>
        <v>6.99</v>
      </c>
      <c r="P1056" s="227">
        <f t="shared" si="9"/>
        <v>6.99</v>
      </c>
    </row>
    <row r="1057" spans="1:16" ht="14.25">
      <c r="A1057" s="224">
        <v>1056</v>
      </c>
      <c r="B1057" s="58">
        <v>392</v>
      </c>
      <c r="C1057" s="57" t="s">
        <v>2876</v>
      </c>
      <c r="D1057" s="57" t="s">
        <v>2582</v>
      </c>
      <c r="E1057" s="57" t="s">
        <v>2860</v>
      </c>
      <c r="F1057" s="58" t="s">
        <v>4242</v>
      </c>
      <c r="G1057" s="57">
        <v>5</v>
      </c>
      <c r="H1057" s="57" t="s">
        <v>2557</v>
      </c>
      <c r="I1057" s="58">
        <v>61676</v>
      </c>
      <c r="J1057" s="234"/>
      <c r="K1057" s="58">
        <v>0.03</v>
      </c>
      <c r="L1057" s="58">
        <v>0</v>
      </c>
      <c r="M1057" s="58">
        <v>0</v>
      </c>
      <c r="N1057" s="58">
        <v>7.2123100000000004</v>
      </c>
      <c r="O1057" s="224">
        <f t="shared" si="8"/>
        <v>0.03</v>
      </c>
      <c r="P1057" s="227">
        <f t="shared" si="9"/>
        <v>4.1595549830775432E-3</v>
      </c>
    </row>
    <row r="1058" spans="1:16" ht="14.25">
      <c r="A1058" s="224">
        <v>1057</v>
      </c>
      <c r="B1058" s="58">
        <v>24523</v>
      </c>
      <c r="C1058" s="57" t="s">
        <v>3712</v>
      </c>
      <c r="D1058" s="57" t="s">
        <v>45</v>
      </c>
      <c r="E1058" s="57" t="s">
        <v>9</v>
      </c>
      <c r="F1058" s="58" t="s">
        <v>4243</v>
      </c>
      <c r="G1058" s="57">
        <v>5</v>
      </c>
      <c r="H1058" s="57" t="s">
        <v>2557</v>
      </c>
      <c r="I1058" s="58">
        <v>63740</v>
      </c>
      <c r="J1058" s="234" t="s">
        <v>486</v>
      </c>
      <c r="K1058" s="58">
        <v>8.39</v>
      </c>
      <c r="L1058" s="58">
        <v>0.91</v>
      </c>
      <c r="M1058" s="58">
        <v>0</v>
      </c>
      <c r="N1058" s="58">
        <v>1</v>
      </c>
      <c r="O1058" s="224">
        <f t="shared" si="8"/>
        <v>7.48</v>
      </c>
      <c r="P1058" s="227">
        <f t="shared" si="9"/>
        <v>7.48</v>
      </c>
    </row>
    <row r="1059" spans="1:16" ht="14.25">
      <c r="A1059" s="224">
        <v>1058</v>
      </c>
      <c r="B1059" s="58">
        <v>24526</v>
      </c>
      <c r="C1059" s="57" t="s">
        <v>4244</v>
      </c>
      <c r="D1059" s="57" t="s">
        <v>45</v>
      </c>
      <c r="E1059" s="57" t="s">
        <v>2860</v>
      </c>
      <c r="F1059" s="58" t="s">
        <v>4245</v>
      </c>
      <c r="G1059" s="57">
        <v>5</v>
      </c>
      <c r="H1059" s="57" t="s">
        <v>2557</v>
      </c>
      <c r="I1059" s="58">
        <v>63752</v>
      </c>
      <c r="J1059" s="234" t="s">
        <v>4246</v>
      </c>
      <c r="K1059" s="58">
        <v>16.989999999999998</v>
      </c>
      <c r="L1059" s="58">
        <v>0</v>
      </c>
      <c r="M1059" s="58">
        <v>0</v>
      </c>
      <c r="N1059" s="58">
        <v>1</v>
      </c>
      <c r="O1059" s="224">
        <f t="shared" si="8"/>
        <v>16.989999999999998</v>
      </c>
      <c r="P1059" s="227">
        <f t="shared" si="9"/>
        <v>16.989999999999998</v>
      </c>
    </row>
    <row r="1060" spans="1:16" ht="14.25">
      <c r="A1060" s="224">
        <v>1059</v>
      </c>
      <c r="B1060" s="58">
        <v>6145</v>
      </c>
      <c r="C1060" s="57" t="s">
        <v>2805</v>
      </c>
      <c r="D1060" s="57" t="s">
        <v>45</v>
      </c>
      <c r="E1060" s="57" t="s">
        <v>2860</v>
      </c>
      <c r="F1060" s="58" t="s">
        <v>4247</v>
      </c>
      <c r="G1060" s="57">
        <v>5</v>
      </c>
      <c r="H1060" s="57" t="s">
        <v>2557</v>
      </c>
      <c r="I1060" s="58">
        <v>62360</v>
      </c>
      <c r="J1060" s="234" t="s">
        <v>4248</v>
      </c>
      <c r="K1060" s="58">
        <v>3.99</v>
      </c>
      <c r="L1060" s="58">
        <v>0</v>
      </c>
      <c r="M1060" s="58">
        <v>0</v>
      </c>
      <c r="N1060" s="58">
        <v>1</v>
      </c>
      <c r="O1060" s="224">
        <f t="shared" si="8"/>
        <v>3.99</v>
      </c>
      <c r="P1060" s="227">
        <f t="shared" si="9"/>
        <v>3.99</v>
      </c>
    </row>
    <row r="1061" spans="1:16" ht="14.25">
      <c r="A1061" s="224">
        <v>1060</v>
      </c>
      <c r="B1061" s="58">
        <v>24483</v>
      </c>
      <c r="C1061" s="57" t="s">
        <v>4249</v>
      </c>
      <c r="D1061" s="57" t="s">
        <v>45</v>
      </c>
      <c r="E1061" s="57" t="s">
        <v>2874</v>
      </c>
      <c r="F1061" s="58" t="s">
        <v>4250</v>
      </c>
      <c r="G1061" s="57">
        <v>5</v>
      </c>
      <c r="H1061" s="57" t="s">
        <v>2557</v>
      </c>
      <c r="I1061" s="58">
        <v>63764</v>
      </c>
      <c r="J1061" s="234" t="s">
        <v>4251</v>
      </c>
      <c r="K1061" s="58">
        <v>8.99</v>
      </c>
      <c r="L1061" s="58">
        <v>0</v>
      </c>
      <c r="M1061" s="58">
        <v>0</v>
      </c>
      <c r="N1061" s="58">
        <v>1</v>
      </c>
      <c r="O1061" s="224">
        <f t="shared" si="8"/>
        <v>8.99</v>
      </c>
      <c r="P1061" s="227">
        <f t="shared" si="9"/>
        <v>8.99</v>
      </c>
    </row>
    <row r="1062" spans="1:16" ht="14.25">
      <c r="A1062" s="224">
        <v>1061</v>
      </c>
      <c r="B1062" s="58">
        <v>24582</v>
      </c>
      <c r="C1062" s="57" t="s">
        <v>4252</v>
      </c>
      <c r="D1062" s="57" t="s">
        <v>45</v>
      </c>
      <c r="E1062" s="57" t="s">
        <v>2860</v>
      </c>
      <c r="F1062" s="58" t="s">
        <v>4253</v>
      </c>
      <c r="G1062" s="57">
        <v>5</v>
      </c>
      <c r="H1062" s="57" t="s">
        <v>2557</v>
      </c>
      <c r="I1062" s="58">
        <v>63848</v>
      </c>
      <c r="J1062" s="234" t="s">
        <v>4254</v>
      </c>
      <c r="K1062" s="58">
        <v>4.99</v>
      </c>
      <c r="L1062" s="58">
        <v>0</v>
      </c>
      <c r="M1062" s="58">
        <v>0</v>
      </c>
      <c r="N1062" s="58">
        <v>1</v>
      </c>
      <c r="O1062" s="224">
        <f t="shared" si="8"/>
        <v>4.99</v>
      </c>
      <c r="P1062" s="227">
        <f t="shared" si="9"/>
        <v>4.99</v>
      </c>
    </row>
    <row r="1063" spans="1:16" ht="14.25">
      <c r="A1063" s="224">
        <v>1062</v>
      </c>
      <c r="B1063" s="58">
        <v>3974</v>
      </c>
      <c r="C1063" s="57" t="s">
        <v>2844</v>
      </c>
      <c r="D1063" s="57" t="s">
        <v>45</v>
      </c>
      <c r="E1063" s="57" t="s">
        <v>2860</v>
      </c>
      <c r="F1063" s="58" t="s">
        <v>4255</v>
      </c>
      <c r="G1063" s="57">
        <v>5</v>
      </c>
      <c r="H1063" s="57" t="s">
        <v>2557</v>
      </c>
      <c r="I1063" s="58">
        <v>63788</v>
      </c>
      <c r="J1063" s="234" t="s">
        <v>4256</v>
      </c>
      <c r="K1063" s="58">
        <v>1.99</v>
      </c>
      <c r="L1063" s="58">
        <v>0</v>
      </c>
      <c r="M1063" s="58">
        <v>0</v>
      </c>
      <c r="N1063" s="58">
        <v>1</v>
      </c>
      <c r="O1063" s="224">
        <f t="shared" si="8"/>
        <v>1.99</v>
      </c>
      <c r="P1063" s="227">
        <f t="shared" si="9"/>
        <v>1.99</v>
      </c>
    </row>
    <row r="1064" spans="1:16" ht="14.25">
      <c r="A1064" s="224">
        <v>1063</v>
      </c>
      <c r="B1064" s="58">
        <v>24583</v>
      </c>
      <c r="C1064" s="57" t="s">
        <v>4257</v>
      </c>
      <c r="D1064" s="57" t="s">
        <v>2582</v>
      </c>
      <c r="E1064" s="57" t="s">
        <v>2860</v>
      </c>
      <c r="F1064" s="58" t="s">
        <v>4258</v>
      </c>
      <c r="G1064" s="57">
        <v>5</v>
      </c>
      <c r="H1064" s="57" t="s">
        <v>2557</v>
      </c>
      <c r="I1064" s="58">
        <v>63860</v>
      </c>
      <c r="J1064" s="234" t="s">
        <v>4259</v>
      </c>
      <c r="K1064" s="58">
        <v>93.78</v>
      </c>
      <c r="L1064" s="58">
        <v>0</v>
      </c>
      <c r="M1064" s="58">
        <v>0</v>
      </c>
      <c r="N1064" s="58">
        <v>7.2194599999999998</v>
      </c>
      <c r="O1064" s="224">
        <f t="shared" si="8"/>
        <v>93.78</v>
      </c>
      <c r="P1064" s="227">
        <f t="shared" si="9"/>
        <v>12.98989121069997</v>
      </c>
    </row>
    <row r="1065" spans="1:16" ht="14.25">
      <c r="A1065" s="224">
        <v>1064</v>
      </c>
      <c r="B1065" s="58">
        <v>24589</v>
      </c>
      <c r="C1065" s="57" t="s">
        <v>4260</v>
      </c>
      <c r="D1065" s="57" t="s">
        <v>45</v>
      </c>
      <c r="E1065" s="57" t="s">
        <v>2860</v>
      </c>
      <c r="F1065" s="58" t="s">
        <v>4261</v>
      </c>
      <c r="G1065" s="57">
        <v>5</v>
      </c>
      <c r="H1065" s="57" t="s">
        <v>2557</v>
      </c>
      <c r="I1065" s="58">
        <v>63872</v>
      </c>
      <c r="J1065" s="234" t="s">
        <v>4262</v>
      </c>
      <c r="K1065" s="58">
        <v>2.99</v>
      </c>
      <c r="L1065" s="58">
        <v>0</v>
      </c>
      <c r="M1065" s="58">
        <v>0</v>
      </c>
      <c r="N1065" s="58">
        <v>1</v>
      </c>
      <c r="O1065" s="224">
        <f t="shared" si="8"/>
        <v>2.99</v>
      </c>
      <c r="P1065" s="227">
        <f t="shared" si="9"/>
        <v>2.99</v>
      </c>
    </row>
    <row r="1066" spans="1:16" ht="14.25">
      <c r="A1066" s="224">
        <v>1065</v>
      </c>
      <c r="B1066" s="58">
        <v>5906</v>
      </c>
      <c r="C1066" s="57" t="s">
        <v>2768</v>
      </c>
      <c r="D1066" s="57" t="s">
        <v>45</v>
      </c>
      <c r="E1066" s="57" t="s">
        <v>9</v>
      </c>
      <c r="F1066" s="58" t="s">
        <v>4263</v>
      </c>
      <c r="G1066" s="57">
        <v>5</v>
      </c>
      <c r="H1066" s="57" t="s">
        <v>2557</v>
      </c>
      <c r="I1066" s="58">
        <v>61820</v>
      </c>
      <c r="J1066" s="234" t="s">
        <v>488</v>
      </c>
      <c r="K1066" s="58">
        <v>4.99</v>
      </c>
      <c r="L1066" s="58">
        <v>0.74</v>
      </c>
      <c r="M1066" s="58">
        <v>0</v>
      </c>
      <c r="N1066" s="58">
        <v>1</v>
      </c>
      <c r="O1066" s="224">
        <f t="shared" si="8"/>
        <v>4.25</v>
      </c>
      <c r="P1066" s="227">
        <f t="shared" si="9"/>
        <v>4.25</v>
      </c>
    </row>
    <row r="1067" spans="1:16" ht="14.25">
      <c r="A1067" s="224">
        <v>1066</v>
      </c>
      <c r="B1067" s="58">
        <v>7191</v>
      </c>
      <c r="C1067" s="57" t="s">
        <v>2650</v>
      </c>
      <c r="D1067" s="57" t="s">
        <v>45</v>
      </c>
      <c r="E1067" s="57" t="s">
        <v>2860</v>
      </c>
      <c r="F1067" s="58" t="s">
        <v>4264</v>
      </c>
      <c r="G1067" s="57">
        <v>5</v>
      </c>
      <c r="H1067" s="57" t="s">
        <v>2557</v>
      </c>
      <c r="I1067" s="58">
        <v>61832</v>
      </c>
      <c r="J1067" s="234" t="s">
        <v>4265</v>
      </c>
      <c r="K1067" s="58">
        <v>1.79</v>
      </c>
      <c r="L1067" s="58">
        <v>0</v>
      </c>
      <c r="M1067" s="58">
        <v>0</v>
      </c>
      <c r="N1067" s="58">
        <v>1</v>
      </c>
      <c r="O1067" s="224">
        <f t="shared" si="8"/>
        <v>1.79</v>
      </c>
      <c r="P1067" s="227">
        <f t="shared" si="9"/>
        <v>1.79</v>
      </c>
    </row>
    <row r="1068" spans="1:16" ht="14.25">
      <c r="A1068" s="224">
        <v>1067</v>
      </c>
      <c r="B1068" s="58">
        <v>24597</v>
      </c>
      <c r="C1068" s="57" t="s">
        <v>4266</v>
      </c>
      <c r="D1068" s="57" t="s">
        <v>45</v>
      </c>
      <c r="E1068" s="57" t="s">
        <v>2860</v>
      </c>
      <c r="F1068" s="58" t="s">
        <v>4267</v>
      </c>
      <c r="G1068" s="57">
        <v>5</v>
      </c>
      <c r="H1068" s="57" t="s">
        <v>2557</v>
      </c>
      <c r="I1068" s="58">
        <v>63884</v>
      </c>
      <c r="J1068" s="234" t="s">
        <v>4268</v>
      </c>
      <c r="K1068" s="58">
        <v>8.39</v>
      </c>
      <c r="L1068" s="58">
        <v>0</v>
      </c>
      <c r="M1068" s="58">
        <v>0</v>
      </c>
      <c r="N1068" s="58">
        <v>1</v>
      </c>
      <c r="O1068" s="224">
        <f t="shared" si="8"/>
        <v>8.39</v>
      </c>
      <c r="P1068" s="227">
        <f t="shared" si="9"/>
        <v>8.39</v>
      </c>
    </row>
    <row r="1069" spans="1:16" ht="14.25">
      <c r="A1069" s="224">
        <v>1068</v>
      </c>
      <c r="B1069" s="58">
        <v>3826</v>
      </c>
      <c r="C1069" s="57" t="s">
        <v>423</v>
      </c>
      <c r="D1069" s="57" t="s">
        <v>45</v>
      </c>
      <c r="E1069" s="57" t="s">
        <v>9</v>
      </c>
      <c r="F1069" s="58" t="s">
        <v>4269</v>
      </c>
      <c r="G1069" s="57">
        <v>5</v>
      </c>
      <c r="H1069" s="57" t="s">
        <v>2557</v>
      </c>
      <c r="I1069" s="58">
        <v>63440</v>
      </c>
      <c r="J1069" s="234" t="s">
        <v>489</v>
      </c>
      <c r="K1069" s="58">
        <v>1.0900000000000001</v>
      </c>
      <c r="L1069" s="58">
        <v>0.54</v>
      </c>
      <c r="M1069" s="58">
        <v>0</v>
      </c>
      <c r="N1069" s="58">
        <v>1</v>
      </c>
      <c r="O1069" s="224">
        <f t="shared" si="8"/>
        <v>0.55000000000000004</v>
      </c>
      <c r="P1069" s="227">
        <f t="shared" si="9"/>
        <v>0.55000000000000004</v>
      </c>
    </row>
    <row r="1070" spans="1:16" ht="14.25">
      <c r="A1070" s="224">
        <v>1069</v>
      </c>
      <c r="B1070" s="58">
        <v>1836</v>
      </c>
      <c r="C1070" s="57" t="s">
        <v>2882</v>
      </c>
      <c r="D1070" s="57" t="s">
        <v>2582</v>
      </c>
      <c r="E1070" s="57" t="s">
        <v>2860</v>
      </c>
      <c r="F1070" s="58" t="s">
        <v>4270</v>
      </c>
      <c r="G1070" s="57">
        <v>5</v>
      </c>
      <c r="H1070" s="57" t="s">
        <v>2557</v>
      </c>
      <c r="I1070" s="58">
        <v>64028</v>
      </c>
      <c r="J1070" s="234" t="s">
        <v>4271</v>
      </c>
      <c r="K1070" s="58">
        <v>86.8</v>
      </c>
      <c r="L1070" s="58">
        <v>0</v>
      </c>
      <c r="M1070" s="58">
        <v>0</v>
      </c>
      <c r="N1070" s="58">
        <v>7.20343</v>
      </c>
      <c r="O1070" s="224">
        <f t="shared" si="8"/>
        <v>86.8</v>
      </c>
      <c r="P1070" s="227">
        <f t="shared" si="9"/>
        <v>12.049815157501357</v>
      </c>
    </row>
    <row r="1071" spans="1:16" ht="14.25">
      <c r="A1071" s="224">
        <v>1070</v>
      </c>
      <c r="B1071" s="58">
        <v>1836</v>
      </c>
      <c r="C1071" s="57" t="s">
        <v>2882</v>
      </c>
      <c r="D1071" s="57" t="s">
        <v>2582</v>
      </c>
      <c r="E1071" s="57" t="s">
        <v>2860</v>
      </c>
      <c r="F1071" s="58" t="s">
        <v>4272</v>
      </c>
      <c r="G1071" s="57">
        <v>5</v>
      </c>
      <c r="H1071" s="57" t="s">
        <v>2557</v>
      </c>
      <c r="I1071" s="58">
        <v>64028</v>
      </c>
      <c r="J1071" s="234"/>
      <c r="K1071" s="58">
        <v>0.01</v>
      </c>
      <c r="L1071" s="58">
        <v>0</v>
      </c>
      <c r="M1071" s="58">
        <v>0</v>
      </c>
      <c r="N1071" s="58">
        <v>7.20343</v>
      </c>
      <c r="O1071" s="224">
        <f t="shared" si="8"/>
        <v>0.01</v>
      </c>
      <c r="P1071" s="227">
        <f t="shared" si="9"/>
        <v>1.3882275527075296E-3</v>
      </c>
    </row>
    <row r="1072" spans="1:16" ht="14.25">
      <c r="A1072" s="224">
        <v>1071</v>
      </c>
      <c r="B1072" s="58">
        <v>24667</v>
      </c>
      <c r="C1072" s="57" t="s">
        <v>4273</v>
      </c>
      <c r="D1072" s="57" t="s">
        <v>2582</v>
      </c>
      <c r="E1072" s="57" t="s">
        <v>2860</v>
      </c>
      <c r="F1072" s="58" t="s">
        <v>4274</v>
      </c>
      <c r="G1072" s="57">
        <v>5</v>
      </c>
      <c r="H1072" s="57" t="s">
        <v>2557</v>
      </c>
      <c r="I1072" s="58">
        <v>64040</v>
      </c>
      <c r="J1072" s="234" t="s">
        <v>4275</v>
      </c>
      <c r="K1072" s="58">
        <v>241.96</v>
      </c>
      <c r="L1072" s="58">
        <v>0</v>
      </c>
      <c r="M1072" s="58">
        <v>0</v>
      </c>
      <c r="N1072" s="58">
        <v>7.20343</v>
      </c>
      <c r="O1072" s="224">
        <f t="shared" si="8"/>
        <v>241.96</v>
      </c>
      <c r="P1072" s="227">
        <f t="shared" si="9"/>
        <v>33.589553865311387</v>
      </c>
    </row>
    <row r="1073" spans="1:16" ht="14.25">
      <c r="A1073" s="224">
        <v>1072</v>
      </c>
      <c r="B1073" s="58">
        <v>24483</v>
      </c>
      <c r="C1073" s="57" t="s">
        <v>4249</v>
      </c>
      <c r="D1073" s="57" t="s">
        <v>45</v>
      </c>
      <c r="E1073" s="57" t="s">
        <v>2874</v>
      </c>
      <c r="F1073" s="58" t="s">
        <v>4276</v>
      </c>
      <c r="G1073" s="57">
        <v>5</v>
      </c>
      <c r="H1073" s="57" t="s">
        <v>2557</v>
      </c>
      <c r="I1073" s="58">
        <v>64052</v>
      </c>
      <c r="J1073" s="234" t="s">
        <v>4277</v>
      </c>
      <c r="K1073" s="58">
        <v>20.69</v>
      </c>
      <c r="L1073" s="58">
        <v>0</v>
      </c>
      <c r="M1073" s="58">
        <v>0</v>
      </c>
      <c r="N1073" s="58">
        <v>1</v>
      </c>
      <c r="O1073" s="224">
        <f t="shared" si="8"/>
        <v>20.69</v>
      </c>
      <c r="P1073" s="227">
        <f t="shared" si="9"/>
        <v>20.69</v>
      </c>
    </row>
    <row r="1074" spans="1:16" ht="14.25">
      <c r="A1074" s="224">
        <v>1073</v>
      </c>
      <c r="B1074" s="58">
        <v>4846</v>
      </c>
      <c r="C1074" s="57" t="s">
        <v>4278</v>
      </c>
      <c r="D1074" s="57" t="s">
        <v>45</v>
      </c>
      <c r="E1074" s="57" t="s">
        <v>2860</v>
      </c>
      <c r="F1074" s="58" t="s">
        <v>4279</v>
      </c>
      <c r="G1074" s="57">
        <v>5</v>
      </c>
      <c r="H1074" s="57" t="s">
        <v>2557</v>
      </c>
      <c r="I1074" s="58">
        <v>64076</v>
      </c>
      <c r="J1074" s="234" t="s">
        <v>4280</v>
      </c>
      <c r="K1074" s="58">
        <v>839.99</v>
      </c>
      <c r="L1074" s="58">
        <v>0</v>
      </c>
      <c r="M1074" s="58">
        <v>0</v>
      </c>
      <c r="N1074" s="58">
        <v>1</v>
      </c>
      <c r="O1074" s="224">
        <f t="shared" si="8"/>
        <v>839.99</v>
      </c>
      <c r="P1074" s="227">
        <f t="shared" si="9"/>
        <v>839.99</v>
      </c>
    </row>
    <row r="1075" spans="1:16" ht="14.25">
      <c r="A1075" s="224">
        <v>1074</v>
      </c>
      <c r="B1075" s="58">
        <v>23409</v>
      </c>
      <c r="C1075" s="57" t="s">
        <v>4054</v>
      </c>
      <c r="D1075" s="57" t="s">
        <v>45</v>
      </c>
      <c r="E1075" s="57" t="s">
        <v>2874</v>
      </c>
      <c r="F1075" s="58" t="s">
        <v>4281</v>
      </c>
      <c r="G1075" s="57">
        <v>5</v>
      </c>
      <c r="H1075" s="57" t="s">
        <v>2557</v>
      </c>
      <c r="I1075" s="58">
        <v>64112</v>
      </c>
      <c r="J1075" s="234"/>
      <c r="K1075" s="58">
        <v>11.69</v>
      </c>
      <c r="L1075" s="58">
        <v>0</v>
      </c>
      <c r="M1075" s="58">
        <v>0</v>
      </c>
      <c r="N1075" s="58">
        <v>1</v>
      </c>
      <c r="O1075" s="224">
        <f t="shared" si="8"/>
        <v>11.69</v>
      </c>
      <c r="P1075" s="227">
        <f t="shared" si="9"/>
        <v>11.69</v>
      </c>
    </row>
    <row r="1076" spans="1:16" ht="14.25">
      <c r="A1076" s="224">
        <v>1075</v>
      </c>
      <c r="B1076" s="58">
        <v>4491</v>
      </c>
      <c r="C1076" s="57" t="s">
        <v>4282</v>
      </c>
      <c r="D1076" s="57" t="s">
        <v>2582</v>
      </c>
      <c r="E1076" s="57" t="s">
        <v>2860</v>
      </c>
      <c r="F1076" s="58" t="s">
        <v>4283</v>
      </c>
      <c r="G1076" s="57">
        <v>5</v>
      </c>
      <c r="H1076" s="57" t="s">
        <v>2557</v>
      </c>
      <c r="I1076" s="58">
        <v>64136</v>
      </c>
      <c r="J1076" s="234" t="s">
        <v>4284</v>
      </c>
      <c r="K1076" s="58">
        <v>130.02000000000001</v>
      </c>
      <c r="L1076" s="58">
        <v>0</v>
      </c>
      <c r="M1076" s="58">
        <v>0</v>
      </c>
      <c r="N1076" s="58">
        <v>7.20343</v>
      </c>
      <c r="O1076" s="224">
        <f t="shared" si="8"/>
        <v>130.02000000000001</v>
      </c>
      <c r="P1076" s="227">
        <f t="shared" si="9"/>
        <v>18.049734640303303</v>
      </c>
    </row>
    <row r="1077" spans="1:16" ht="14.25">
      <c r="A1077" s="224">
        <v>1076</v>
      </c>
      <c r="B1077" s="58">
        <v>3324</v>
      </c>
      <c r="C1077" s="57" t="s">
        <v>2784</v>
      </c>
      <c r="D1077" s="57" t="s">
        <v>45</v>
      </c>
      <c r="E1077" s="57" t="s">
        <v>2860</v>
      </c>
      <c r="F1077" s="58" t="s">
        <v>4285</v>
      </c>
      <c r="G1077" s="57">
        <v>5</v>
      </c>
      <c r="H1077" s="57" t="s">
        <v>2557</v>
      </c>
      <c r="I1077" s="58">
        <v>62144</v>
      </c>
      <c r="J1077" s="234" t="s">
        <v>4286</v>
      </c>
      <c r="K1077" s="58">
        <v>2.99</v>
      </c>
      <c r="L1077" s="58">
        <v>0</v>
      </c>
      <c r="M1077" s="58">
        <v>0</v>
      </c>
      <c r="N1077" s="58">
        <v>1</v>
      </c>
      <c r="O1077" s="224">
        <f t="shared" si="8"/>
        <v>2.99</v>
      </c>
      <c r="P1077" s="227">
        <f t="shared" si="9"/>
        <v>2.99</v>
      </c>
    </row>
    <row r="1078" spans="1:16" ht="14.25">
      <c r="A1078" s="224">
        <v>1077</v>
      </c>
      <c r="B1078" s="58">
        <v>20647</v>
      </c>
      <c r="C1078" s="57" t="s">
        <v>3558</v>
      </c>
      <c r="D1078" s="57" t="s">
        <v>2582</v>
      </c>
      <c r="E1078" s="57" t="s">
        <v>2860</v>
      </c>
      <c r="F1078" s="58" t="s">
        <v>4287</v>
      </c>
      <c r="G1078" s="57">
        <v>5</v>
      </c>
      <c r="H1078" s="57" t="s">
        <v>2557</v>
      </c>
      <c r="I1078" s="58">
        <v>64268</v>
      </c>
      <c r="J1078" s="234" t="s">
        <v>4288</v>
      </c>
      <c r="K1078" s="58">
        <v>50.36</v>
      </c>
      <c r="L1078" s="58">
        <v>0</v>
      </c>
      <c r="M1078" s="58">
        <v>0</v>
      </c>
      <c r="N1078" s="58">
        <v>7.2046200000000002</v>
      </c>
      <c r="O1078" s="224">
        <f t="shared" si="8"/>
        <v>50.36</v>
      </c>
      <c r="P1078" s="227">
        <f t="shared" si="9"/>
        <v>6.9899592206112189</v>
      </c>
    </row>
    <row r="1079" spans="1:16" ht="14.25">
      <c r="A1079" s="224">
        <v>1078</v>
      </c>
      <c r="B1079" s="58">
        <v>18944</v>
      </c>
      <c r="C1079" s="57" t="s">
        <v>3068</v>
      </c>
      <c r="D1079" s="57" t="s">
        <v>45</v>
      </c>
      <c r="E1079" s="57" t="s">
        <v>2860</v>
      </c>
      <c r="F1079" s="58" t="s">
        <v>4289</v>
      </c>
      <c r="G1079" s="57">
        <v>5</v>
      </c>
      <c r="H1079" s="57" t="s">
        <v>2557</v>
      </c>
      <c r="I1079" s="58">
        <v>64280</v>
      </c>
      <c r="J1079" s="234" t="s">
        <v>4290</v>
      </c>
      <c r="K1079" s="58">
        <v>23.99</v>
      </c>
      <c r="L1079" s="58">
        <v>0</v>
      </c>
      <c r="M1079" s="58">
        <v>0</v>
      </c>
      <c r="N1079" s="58">
        <v>1</v>
      </c>
      <c r="O1079" s="224">
        <f t="shared" si="8"/>
        <v>23.99</v>
      </c>
      <c r="P1079" s="227">
        <f t="shared" si="9"/>
        <v>23.99</v>
      </c>
    </row>
    <row r="1080" spans="1:16" ht="14.25">
      <c r="A1080" s="224">
        <v>1079</v>
      </c>
      <c r="B1080" s="58">
        <v>24779</v>
      </c>
      <c r="C1080" s="57" t="s">
        <v>4291</v>
      </c>
      <c r="D1080" s="57" t="s">
        <v>45</v>
      </c>
      <c r="E1080" s="57" t="s">
        <v>9</v>
      </c>
      <c r="F1080" s="58" t="s">
        <v>4292</v>
      </c>
      <c r="G1080" s="57">
        <v>5</v>
      </c>
      <c r="H1080" s="57" t="s">
        <v>2557</v>
      </c>
      <c r="I1080" s="58">
        <v>64424</v>
      </c>
      <c r="J1080" s="234" t="s">
        <v>492</v>
      </c>
      <c r="K1080" s="58">
        <v>86.39</v>
      </c>
      <c r="L1080" s="58">
        <v>4.8</v>
      </c>
      <c r="M1080" s="58">
        <v>0</v>
      </c>
      <c r="N1080" s="58">
        <v>1</v>
      </c>
      <c r="O1080" s="224">
        <f t="shared" si="8"/>
        <v>81.59</v>
      </c>
      <c r="P1080" s="227">
        <f t="shared" si="9"/>
        <v>81.59</v>
      </c>
    </row>
    <row r="1081" spans="1:16" ht="14.25">
      <c r="A1081" s="224">
        <v>1080</v>
      </c>
      <c r="B1081" s="58">
        <v>1836</v>
      </c>
      <c r="C1081" s="57" t="s">
        <v>2882</v>
      </c>
      <c r="D1081" s="57" t="s">
        <v>2582</v>
      </c>
      <c r="E1081" s="57" t="s">
        <v>2860</v>
      </c>
      <c r="F1081" s="58" t="s">
        <v>4293</v>
      </c>
      <c r="G1081" s="57">
        <v>5</v>
      </c>
      <c r="H1081" s="57" t="s">
        <v>2557</v>
      </c>
      <c r="I1081" s="58">
        <v>64340</v>
      </c>
      <c r="J1081" s="234" t="s">
        <v>4294</v>
      </c>
      <c r="K1081" s="58">
        <v>87.08</v>
      </c>
      <c r="L1081" s="58">
        <v>0</v>
      </c>
      <c r="M1081" s="58">
        <v>0</v>
      </c>
      <c r="N1081" s="58">
        <v>7.1849400000000001</v>
      </c>
      <c r="O1081" s="224">
        <f t="shared" si="8"/>
        <v>87.08</v>
      </c>
      <c r="P1081" s="227">
        <f t="shared" si="9"/>
        <v>12.119795015685586</v>
      </c>
    </row>
    <row r="1082" spans="1:16" ht="14.25">
      <c r="A1082" s="224">
        <v>1081</v>
      </c>
      <c r="B1082" s="58">
        <v>1836</v>
      </c>
      <c r="C1082" s="57" t="s">
        <v>2882</v>
      </c>
      <c r="D1082" s="57" t="s">
        <v>2582</v>
      </c>
      <c r="E1082" s="57" t="s">
        <v>2860</v>
      </c>
      <c r="F1082" s="58" t="s">
        <v>4295</v>
      </c>
      <c r="G1082" s="57">
        <v>5</v>
      </c>
      <c r="H1082" s="57" t="s">
        <v>2557</v>
      </c>
      <c r="I1082" s="58">
        <v>64340</v>
      </c>
      <c r="J1082" s="234"/>
      <c r="K1082" s="58">
        <v>0.01</v>
      </c>
      <c r="L1082" s="58">
        <v>0</v>
      </c>
      <c r="M1082" s="58">
        <v>0</v>
      </c>
      <c r="N1082" s="58">
        <v>7.1849400000000001</v>
      </c>
      <c r="O1082" s="224">
        <f t="shared" si="8"/>
        <v>0.01</v>
      </c>
      <c r="P1082" s="227">
        <f t="shared" si="9"/>
        <v>1.3918000707034436E-3</v>
      </c>
    </row>
    <row r="1083" spans="1:16" ht="14.25">
      <c r="A1083" s="224">
        <v>1082</v>
      </c>
      <c r="B1083" s="58">
        <v>6774</v>
      </c>
      <c r="C1083" s="57" t="s">
        <v>2614</v>
      </c>
      <c r="D1083" s="57" t="s">
        <v>45</v>
      </c>
      <c r="E1083" s="57" t="s">
        <v>2860</v>
      </c>
      <c r="F1083" s="58" t="s">
        <v>4296</v>
      </c>
      <c r="G1083" s="57">
        <v>5</v>
      </c>
      <c r="H1083" s="57" t="s">
        <v>2557</v>
      </c>
      <c r="I1083" s="58">
        <v>61580</v>
      </c>
      <c r="J1083" s="234" t="s">
        <v>4297</v>
      </c>
      <c r="K1083" s="58">
        <v>2.99</v>
      </c>
      <c r="L1083" s="58">
        <v>0</v>
      </c>
      <c r="M1083" s="58">
        <v>0</v>
      </c>
      <c r="N1083" s="58">
        <v>1</v>
      </c>
      <c r="O1083" s="224">
        <f t="shared" si="8"/>
        <v>2.99</v>
      </c>
      <c r="P1083" s="227">
        <f t="shared" si="9"/>
        <v>2.99</v>
      </c>
    </row>
    <row r="1084" spans="1:16" ht="14.25">
      <c r="A1084" s="224">
        <v>1083</v>
      </c>
      <c r="B1084" s="58">
        <v>24787</v>
      </c>
      <c r="C1084" s="57" t="s">
        <v>4298</v>
      </c>
      <c r="D1084" s="57" t="s">
        <v>45</v>
      </c>
      <c r="E1084" s="57" t="s">
        <v>2860</v>
      </c>
      <c r="F1084" s="58" t="s">
        <v>4299</v>
      </c>
      <c r="G1084" s="57">
        <v>5</v>
      </c>
      <c r="H1084" s="57" t="s">
        <v>2557</v>
      </c>
      <c r="I1084" s="58">
        <v>64460</v>
      </c>
      <c r="J1084" s="234" t="s">
        <v>4300</v>
      </c>
      <c r="K1084" s="58">
        <v>2.99</v>
      </c>
      <c r="L1084" s="58">
        <v>0</v>
      </c>
      <c r="M1084" s="58">
        <v>0</v>
      </c>
      <c r="N1084" s="58">
        <v>1</v>
      </c>
      <c r="O1084" s="224">
        <f t="shared" si="8"/>
        <v>2.99</v>
      </c>
      <c r="P1084" s="227">
        <f t="shared" si="9"/>
        <v>2.99</v>
      </c>
    </row>
    <row r="1085" spans="1:16" ht="14.25">
      <c r="A1085" s="224">
        <v>1084</v>
      </c>
      <c r="B1085" s="58">
        <v>24787</v>
      </c>
      <c r="C1085" s="57" t="s">
        <v>4298</v>
      </c>
      <c r="D1085" s="57" t="s">
        <v>45</v>
      </c>
      <c r="E1085" s="57" t="s">
        <v>2860</v>
      </c>
      <c r="F1085" s="58" t="s">
        <v>4301</v>
      </c>
      <c r="G1085" s="57">
        <v>5</v>
      </c>
      <c r="H1085" s="57" t="s">
        <v>2557</v>
      </c>
      <c r="I1085" s="58">
        <v>64472</v>
      </c>
      <c r="J1085" s="234" t="s">
        <v>4302</v>
      </c>
      <c r="K1085" s="58">
        <v>2.99</v>
      </c>
      <c r="L1085" s="58">
        <v>0</v>
      </c>
      <c r="M1085" s="58">
        <v>0</v>
      </c>
      <c r="N1085" s="58">
        <v>1</v>
      </c>
      <c r="O1085" s="224">
        <f t="shared" si="8"/>
        <v>2.99</v>
      </c>
      <c r="P1085" s="227">
        <f t="shared" si="9"/>
        <v>2.99</v>
      </c>
    </row>
    <row r="1086" spans="1:16" ht="14.25">
      <c r="A1086" s="224">
        <v>1085</v>
      </c>
      <c r="B1086" s="58">
        <v>24789</v>
      </c>
      <c r="C1086" s="57" t="s">
        <v>4303</v>
      </c>
      <c r="D1086" s="57" t="s">
        <v>45</v>
      </c>
      <c r="E1086" s="57" t="s">
        <v>2860</v>
      </c>
      <c r="F1086" s="58" t="s">
        <v>4304</v>
      </c>
      <c r="G1086" s="57">
        <v>5</v>
      </c>
      <c r="H1086" s="57" t="s">
        <v>2557</v>
      </c>
      <c r="I1086" s="58">
        <v>64484</v>
      </c>
      <c r="J1086" s="234" t="s">
        <v>4305</v>
      </c>
      <c r="K1086" s="58">
        <v>3.99</v>
      </c>
      <c r="L1086" s="58">
        <v>0</v>
      </c>
      <c r="M1086" s="58">
        <v>0</v>
      </c>
      <c r="N1086" s="58">
        <v>1</v>
      </c>
      <c r="O1086" s="224">
        <f t="shared" si="8"/>
        <v>3.99</v>
      </c>
      <c r="P1086" s="227">
        <f t="shared" si="9"/>
        <v>3.99</v>
      </c>
    </row>
    <row r="1087" spans="1:16" ht="14.25">
      <c r="A1087" s="224">
        <v>1086</v>
      </c>
      <c r="B1087" s="58">
        <v>3309</v>
      </c>
      <c r="C1087" s="57" t="s">
        <v>2722</v>
      </c>
      <c r="D1087" s="57" t="s">
        <v>45</v>
      </c>
      <c r="E1087" s="57" t="s">
        <v>2860</v>
      </c>
      <c r="F1087" s="58" t="s">
        <v>4306</v>
      </c>
      <c r="G1087" s="57">
        <v>5</v>
      </c>
      <c r="H1087" s="57" t="s">
        <v>2557</v>
      </c>
      <c r="I1087" s="58">
        <v>64196</v>
      </c>
      <c r="J1087" s="234" t="s">
        <v>4307</v>
      </c>
      <c r="K1087" s="58">
        <v>59.99</v>
      </c>
      <c r="L1087" s="58">
        <v>0</v>
      </c>
      <c r="M1087" s="58">
        <v>0</v>
      </c>
      <c r="N1087" s="58">
        <v>1</v>
      </c>
      <c r="O1087" s="224">
        <f t="shared" si="8"/>
        <v>59.99</v>
      </c>
      <c r="P1087" s="227">
        <f t="shared" si="9"/>
        <v>59.99</v>
      </c>
    </row>
    <row r="1088" spans="1:16" ht="14.25">
      <c r="A1088" s="224">
        <v>1087</v>
      </c>
      <c r="B1088" s="58">
        <v>24797</v>
      </c>
      <c r="C1088" s="57" t="s">
        <v>4308</v>
      </c>
      <c r="D1088" s="57" t="s">
        <v>45</v>
      </c>
      <c r="E1088" s="57" t="s">
        <v>9</v>
      </c>
      <c r="F1088" s="58" t="s">
        <v>4309</v>
      </c>
      <c r="G1088" s="57">
        <v>5</v>
      </c>
      <c r="H1088" s="57" t="s">
        <v>2557</v>
      </c>
      <c r="I1088" s="58">
        <v>64496</v>
      </c>
      <c r="J1088" s="234" t="s">
        <v>495</v>
      </c>
      <c r="K1088" s="58">
        <v>4.79</v>
      </c>
      <c r="L1088" s="58">
        <v>0.66</v>
      </c>
      <c r="M1088" s="58">
        <v>0</v>
      </c>
      <c r="N1088" s="58">
        <v>1</v>
      </c>
      <c r="O1088" s="224">
        <f t="shared" si="8"/>
        <v>4.13</v>
      </c>
      <c r="P1088" s="227">
        <f t="shared" si="9"/>
        <v>4.13</v>
      </c>
    </row>
    <row r="1089" spans="1:16" ht="14.25">
      <c r="A1089" s="224">
        <v>1088</v>
      </c>
      <c r="B1089" s="58">
        <v>24810</v>
      </c>
      <c r="C1089" s="57" t="s">
        <v>4310</v>
      </c>
      <c r="D1089" s="57" t="s">
        <v>45</v>
      </c>
      <c r="E1089" s="57" t="s">
        <v>2860</v>
      </c>
      <c r="F1089" s="58" t="s">
        <v>4311</v>
      </c>
      <c r="G1089" s="57">
        <v>5</v>
      </c>
      <c r="H1089" s="57" t="s">
        <v>2557</v>
      </c>
      <c r="I1089" s="58">
        <v>64520</v>
      </c>
      <c r="J1089" s="234" t="s">
        <v>4312</v>
      </c>
      <c r="K1089" s="58">
        <v>5.99</v>
      </c>
      <c r="L1089" s="58">
        <v>0</v>
      </c>
      <c r="M1089" s="58">
        <v>0</v>
      </c>
      <c r="N1089" s="58">
        <v>1</v>
      </c>
      <c r="O1089" s="224">
        <f t="shared" si="8"/>
        <v>5.99</v>
      </c>
      <c r="P1089" s="227">
        <f t="shared" si="9"/>
        <v>5.99</v>
      </c>
    </row>
    <row r="1090" spans="1:16" ht="14.25">
      <c r="A1090" s="224">
        <v>1089</v>
      </c>
      <c r="B1090" s="58">
        <v>24810</v>
      </c>
      <c r="C1090" s="57" t="s">
        <v>4310</v>
      </c>
      <c r="D1090" s="57" t="s">
        <v>45</v>
      </c>
      <c r="E1090" s="57" t="s">
        <v>2860</v>
      </c>
      <c r="F1090" s="58" t="s">
        <v>4313</v>
      </c>
      <c r="G1090" s="57">
        <v>5</v>
      </c>
      <c r="H1090" s="57" t="s">
        <v>2557</v>
      </c>
      <c r="I1090" s="58">
        <v>64520</v>
      </c>
      <c r="J1090" s="234" t="s">
        <v>4312</v>
      </c>
      <c r="K1090" s="58">
        <v>5.99</v>
      </c>
      <c r="L1090" s="58">
        <v>0</v>
      </c>
      <c r="M1090" s="58">
        <v>0</v>
      </c>
      <c r="N1090" s="58">
        <v>1</v>
      </c>
      <c r="O1090" s="224">
        <f t="shared" si="8"/>
        <v>5.99</v>
      </c>
      <c r="P1090" s="227">
        <f t="shared" si="9"/>
        <v>5.99</v>
      </c>
    </row>
    <row r="1091" spans="1:16" ht="14.25">
      <c r="A1091" s="224">
        <v>1090</v>
      </c>
      <c r="B1091" s="58">
        <v>24845</v>
      </c>
      <c r="C1091" s="57" t="s">
        <v>4314</v>
      </c>
      <c r="D1091" s="57" t="s">
        <v>45</v>
      </c>
      <c r="E1091" s="57" t="s">
        <v>2860</v>
      </c>
      <c r="F1091" s="58" t="s">
        <v>4315</v>
      </c>
      <c r="G1091" s="57">
        <v>5</v>
      </c>
      <c r="H1091" s="57" t="s">
        <v>2557</v>
      </c>
      <c r="I1091" s="58">
        <v>64616</v>
      </c>
      <c r="J1091" s="234" t="s">
        <v>4316</v>
      </c>
      <c r="K1091" s="58">
        <v>2.99</v>
      </c>
      <c r="L1091" s="58">
        <v>0</v>
      </c>
      <c r="M1091" s="58">
        <v>0</v>
      </c>
      <c r="N1091" s="58">
        <v>1</v>
      </c>
      <c r="O1091" s="224">
        <f t="shared" si="8"/>
        <v>2.99</v>
      </c>
      <c r="P1091" s="227">
        <f t="shared" si="9"/>
        <v>2.99</v>
      </c>
    </row>
    <row r="1092" spans="1:16" ht="14.25">
      <c r="A1092" s="224">
        <v>1091</v>
      </c>
      <c r="B1092" s="58">
        <v>97</v>
      </c>
      <c r="C1092" s="57" t="s">
        <v>4317</v>
      </c>
      <c r="D1092" s="57" t="s">
        <v>2582</v>
      </c>
      <c r="E1092" s="57" t="s">
        <v>2860</v>
      </c>
      <c r="F1092" s="58" t="s">
        <v>4318</v>
      </c>
      <c r="G1092" s="57">
        <v>5</v>
      </c>
      <c r="H1092" s="57" t="s">
        <v>2557</v>
      </c>
      <c r="I1092" s="58">
        <v>64628</v>
      </c>
      <c r="J1092" s="234" t="s">
        <v>4319</v>
      </c>
      <c r="K1092" s="58">
        <v>7.26</v>
      </c>
      <c r="L1092" s="58">
        <v>0</v>
      </c>
      <c r="M1092" s="58">
        <v>0</v>
      </c>
      <c r="N1092" s="58">
        <v>7.1849400000000001</v>
      </c>
      <c r="O1092" s="224">
        <f t="shared" si="8"/>
        <v>7.26</v>
      </c>
      <c r="P1092" s="227">
        <f t="shared" si="9"/>
        <v>1.0104468513307001</v>
      </c>
    </row>
    <row r="1093" spans="1:16" ht="14.25">
      <c r="A1093" s="224">
        <v>1092</v>
      </c>
      <c r="B1093" s="58">
        <v>21325</v>
      </c>
      <c r="C1093" s="57" t="s">
        <v>3663</v>
      </c>
      <c r="D1093" s="57" t="s">
        <v>45</v>
      </c>
      <c r="E1093" s="57" t="s">
        <v>2860</v>
      </c>
      <c r="F1093" s="58" t="s">
        <v>4320</v>
      </c>
      <c r="G1093" s="57">
        <v>5</v>
      </c>
      <c r="H1093" s="57" t="s">
        <v>2557</v>
      </c>
      <c r="I1093" s="58">
        <v>64412</v>
      </c>
      <c r="J1093" s="234" t="s">
        <v>4321</v>
      </c>
      <c r="K1093" s="58">
        <v>2.79</v>
      </c>
      <c r="L1093" s="58">
        <v>0</v>
      </c>
      <c r="M1093" s="58">
        <v>0</v>
      </c>
      <c r="N1093" s="58">
        <v>1</v>
      </c>
      <c r="O1093" s="224">
        <f t="shared" si="8"/>
        <v>2.79</v>
      </c>
      <c r="P1093" s="227">
        <f t="shared" si="9"/>
        <v>2.79</v>
      </c>
    </row>
    <row r="1094" spans="1:16" ht="14.25">
      <c r="A1094" s="224">
        <v>1093</v>
      </c>
      <c r="B1094" s="58">
        <v>3499</v>
      </c>
      <c r="C1094" s="57" t="s">
        <v>2641</v>
      </c>
      <c r="D1094" s="57" t="s">
        <v>45</v>
      </c>
      <c r="E1094" s="57" t="s">
        <v>2860</v>
      </c>
      <c r="F1094" s="58" t="s">
        <v>4322</v>
      </c>
      <c r="G1094" s="57">
        <v>5</v>
      </c>
      <c r="H1094" s="57" t="s">
        <v>2557</v>
      </c>
      <c r="I1094" s="58">
        <v>62348</v>
      </c>
      <c r="J1094" s="234" t="s">
        <v>4323</v>
      </c>
      <c r="K1094" s="58">
        <v>1.0900000000000001</v>
      </c>
      <c r="L1094" s="58">
        <v>0</v>
      </c>
      <c r="M1094" s="58">
        <v>0</v>
      </c>
      <c r="N1094" s="58">
        <v>1</v>
      </c>
      <c r="O1094" s="224">
        <f t="shared" si="8"/>
        <v>1.0900000000000001</v>
      </c>
      <c r="P1094" s="227">
        <f t="shared" si="9"/>
        <v>1.0900000000000001</v>
      </c>
    </row>
    <row r="1095" spans="1:16" ht="14.25">
      <c r="A1095" s="224">
        <v>1094</v>
      </c>
      <c r="B1095" s="58">
        <v>24044</v>
      </c>
      <c r="C1095" s="57" t="s">
        <v>4118</v>
      </c>
      <c r="D1095" s="57" t="s">
        <v>2582</v>
      </c>
      <c r="E1095" s="57" t="s">
        <v>2874</v>
      </c>
      <c r="F1095" s="58" t="s">
        <v>4324</v>
      </c>
      <c r="G1095" s="57">
        <v>5</v>
      </c>
      <c r="H1095" s="57" t="s">
        <v>2557</v>
      </c>
      <c r="I1095" s="58">
        <v>64700</v>
      </c>
      <c r="J1095" s="234"/>
      <c r="K1095" s="58">
        <v>64.59</v>
      </c>
      <c r="L1095" s="58">
        <v>0</v>
      </c>
      <c r="M1095" s="58">
        <v>0</v>
      </c>
      <c r="N1095" s="58">
        <v>7.1849400000000001</v>
      </c>
      <c r="O1095" s="224">
        <f t="shared" si="8"/>
        <v>64.59</v>
      </c>
      <c r="P1095" s="227">
        <f t="shared" si="9"/>
        <v>8.9896366566735431</v>
      </c>
    </row>
    <row r="1096" spans="1:16" ht="14.25">
      <c r="A1096" s="224">
        <v>1095</v>
      </c>
      <c r="B1096" s="58">
        <v>24915</v>
      </c>
      <c r="C1096" s="57" t="s">
        <v>4325</v>
      </c>
      <c r="D1096" s="57" t="s">
        <v>45</v>
      </c>
      <c r="E1096" s="57" t="s">
        <v>2860</v>
      </c>
      <c r="F1096" s="58" t="s">
        <v>4326</v>
      </c>
      <c r="G1096" s="57">
        <v>5</v>
      </c>
      <c r="H1096" s="57" t="s">
        <v>2557</v>
      </c>
      <c r="I1096" s="58">
        <v>64724</v>
      </c>
      <c r="J1096" s="234" t="s">
        <v>4327</v>
      </c>
      <c r="K1096" s="58">
        <v>3.99</v>
      </c>
      <c r="L1096" s="58">
        <v>0</v>
      </c>
      <c r="M1096" s="58">
        <v>0</v>
      </c>
      <c r="N1096" s="58">
        <v>1</v>
      </c>
      <c r="O1096" s="224">
        <f t="shared" si="8"/>
        <v>3.99</v>
      </c>
      <c r="P1096" s="227">
        <f t="shared" si="9"/>
        <v>3.99</v>
      </c>
    </row>
    <row r="1097" spans="1:16" ht="14.25">
      <c r="A1097" s="224">
        <v>1096</v>
      </c>
      <c r="B1097" s="58">
        <v>19093</v>
      </c>
      <c r="C1097" s="57" t="s">
        <v>3094</v>
      </c>
      <c r="D1097" s="57" t="s">
        <v>45</v>
      </c>
      <c r="E1097" s="57" t="s">
        <v>2860</v>
      </c>
      <c r="F1097" s="58" t="s">
        <v>4328</v>
      </c>
      <c r="G1097" s="57">
        <v>5</v>
      </c>
      <c r="H1097" s="57" t="s">
        <v>2557</v>
      </c>
      <c r="I1097" s="58">
        <v>63656</v>
      </c>
      <c r="J1097" s="234" t="s">
        <v>4329</v>
      </c>
      <c r="K1097" s="58">
        <v>1.79</v>
      </c>
      <c r="L1097" s="58">
        <v>0</v>
      </c>
      <c r="M1097" s="58">
        <v>0</v>
      </c>
      <c r="N1097" s="58">
        <v>1</v>
      </c>
      <c r="O1097" s="224">
        <f t="shared" si="8"/>
        <v>1.79</v>
      </c>
      <c r="P1097" s="227">
        <f t="shared" si="9"/>
        <v>1.79</v>
      </c>
    </row>
    <row r="1098" spans="1:16" ht="14.25">
      <c r="A1098" s="224">
        <v>1097</v>
      </c>
      <c r="B1098" s="58">
        <v>6034</v>
      </c>
      <c r="C1098" s="57" t="s">
        <v>4190</v>
      </c>
      <c r="D1098" s="57" t="s">
        <v>45</v>
      </c>
      <c r="E1098" s="57" t="s">
        <v>2860</v>
      </c>
      <c r="F1098" s="58" t="s">
        <v>4330</v>
      </c>
      <c r="G1098" s="57">
        <v>5</v>
      </c>
      <c r="H1098" s="57" t="s">
        <v>2557</v>
      </c>
      <c r="I1098" s="58">
        <v>64808</v>
      </c>
      <c r="J1098" s="234" t="s">
        <v>4331</v>
      </c>
      <c r="K1098" s="58">
        <v>2.39</v>
      </c>
      <c r="L1098" s="58">
        <v>0</v>
      </c>
      <c r="M1098" s="58">
        <v>0</v>
      </c>
      <c r="N1098" s="58">
        <v>1</v>
      </c>
      <c r="O1098" s="224">
        <f t="shared" si="8"/>
        <v>2.39</v>
      </c>
      <c r="P1098" s="227">
        <f t="shared" si="9"/>
        <v>2.39</v>
      </c>
    </row>
    <row r="1099" spans="1:16" ht="14.25">
      <c r="A1099" s="224">
        <v>1098</v>
      </c>
      <c r="B1099" s="58">
        <v>1836</v>
      </c>
      <c r="C1099" s="57" t="s">
        <v>2882</v>
      </c>
      <c r="D1099" s="57" t="s">
        <v>2582</v>
      </c>
      <c r="E1099" s="57" t="s">
        <v>2860</v>
      </c>
      <c r="F1099" s="58" t="s">
        <v>4332</v>
      </c>
      <c r="G1099" s="57">
        <v>5</v>
      </c>
      <c r="H1099" s="57" t="s">
        <v>2557</v>
      </c>
      <c r="I1099" s="58">
        <v>64736</v>
      </c>
      <c r="J1099" s="234" t="s">
        <v>4333</v>
      </c>
      <c r="K1099" s="58">
        <v>85.96</v>
      </c>
      <c r="L1099" s="58">
        <v>0</v>
      </c>
      <c r="M1099" s="58">
        <v>0</v>
      </c>
      <c r="N1099" s="58">
        <v>7.1869800000000001</v>
      </c>
      <c r="O1099" s="224">
        <f t="shared" si="8"/>
        <v>85.96</v>
      </c>
      <c r="P1099" s="227">
        <f t="shared" si="9"/>
        <v>11.960517491352416</v>
      </c>
    </row>
    <row r="1100" spans="1:16" ht="14.25">
      <c r="A1100" s="224">
        <v>1099</v>
      </c>
      <c r="B1100" s="58">
        <v>1836</v>
      </c>
      <c r="C1100" s="57" t="s">
        <v>2882</v>
      </c>
      <c r="D1100" s="57" t="s">
        <v>2582</v>
      </c>
      <c r="E1100" s="57" t="s">
        <v>2860</v>
      </c>
      <c r="F1100" s="58" t="s">
        <v>4334</v>
      </c>
      <c r="G1100" s="57">
        <v>5</v>
      </c>
      <c r="H1100" s="57" t="s">
        <v>2557</v>
      </c>
      <c r="I1100" s="58">
        <v>64736</v>
      </c>
      <c r="J1100" s="234"/>
      <c r="K1100" s="58">
        <v>0.01</v>
      </c>
      <c r="L1100" s="58">
        <v>0</v>
      </c>
      <c r="M1100" s="58">
        <v>0</v>
      </c>
      <c r="N1100" s="58">
        <v>7.1869800000000001</v>
      </c>
      <c r="O1100" s="224">
        <f t="shared" si="8"/>
        <v>0.01</v>
      </c>
      <c r="P1100" s="227">
        <f t="shared" si="9"/>
        <v>1.3914050129539806E-3</v>
      </c>
    </row>
    <row r="1101" spans="1:16" ht="14.25">
      <c r="A1101" s="224">
        <v>1100</v>
      </c>
      <c r="B1101" s="58">
        <v>22809</v>
      </c>
      <c r="C1101" s="57" t="s">
        <v>3946</v>
      </c>
      <c r="D1101" s="57" t="s">
        <v>45</v>
      </c>
      <c r="E1101" s="57" t="s">
        <v>2860</v>
      </c>
      <c r="F1101" s="58" t="s">
        <v>4335</v>
      </c>
      <c r="G1101" s="57">
        <v>5</v>
      </c>
      <c r="H1101" s="57" t="s">
        <v>2557</v>
      </c>
      <c r="I1101" s="58">
        <v>62624</v>
      </c>
      <c r="J1101" s="234" t="s">
        <v>4336</v>
      </c>
      <c r="K1101" s="58">
        <v>59.49</v>
      </c>
      <c r="L1101" s="58">
        <v>0</v>
      </c>
      <c r="M1101" s="58">
        <v>0</v>
      </c>
      <c r="N1101" s="58">
        <v>1</v>
      </c>
      <c r="O1101" s="224">
        <f t="shared" si="8"/>
        <v>59.49</v>
      </c>
      <c r="P1101" s="227">
        <f t="shared" si="9"/>
        <v>59.49</v>
      </c>
    </row>
    <row r="1102" spans="1:16" ht="14.25">
      <c r="A1102" s="224">
        <v>1101</v>
      </c>
      <c r="B1102" s="58">
        <v>24959</v>
      </c>
      <c r="C1102" s="57" t="s">
        <v>4337</v>
      </c>
      <c r="D1102" s="57" t="s">
        <v>45</v>
      </c>
      <c r="E1102" s="57" t="s">
        <v>9</v>
      </c>
      <c r="F1102" s="58" t="s">
        <v>4338</v>
      </c>
      <c r="G1102" s="57">
        <v>5</v>
      </c>
      <c r="H1102" s="57" t="s">
        <v>2557</v>
      </c>
      <c r="I1102" s="58">
        <v>64820</v>
      </c>
      <c r="J1102" s="234" t="s">
        <v>498</v>
      </c>
      <c r="K1102" s="58">
        <v>20.25</v>
      </c>
      <c r="L1102" s="58">
        <v>1.5</v>
      </c>
      <c r="M1102" s="58">
        <v>0</v>
      </c>
      <c r="N1102" s="58">
        <v>1</v>
      </c>
      <c r="O1102" s="224">
        <f t="shared" si="8"/>
        <v>18.75</v>
      </c>
      <c r="P1102" s="227">
        <f t="shared" si="9"/>
        <v>18.75</v>
      </c>
    </row>
    <row r="1103" spans="1:16" ht="14.25">
      <c r="A1103" s="224">
        <v>1102</v>
      </c>
      <c r="B1103" s="58">
        <v>23083</v>
      </c>
      <c r="C1103" s="57" t="s">
        <v>4012</v>
      </c>
      <c r="D1103" s="57" t="s">
        <v>45</v>
      </c>
      <c r="E1103" s="57" t="s">
        <v>2860</v>
      </c>
      <c r="F1103" s="58" t="s">
        <v>4339</v>
      </c>
      <c r="G1103" s="57">
        <v>5</v>
      </c>
      <c r="H1103" s="57" t="s">
        <v>2557</v>
      </c>
      <c r="I1103" s="58">
        <v>62636</v>
      </c>
      <c r="J1103" s="234" t="s">
        <v>4340</v>
      </c>
      <c r="K1103" s="58">
        <v>11.69</v>
      </c>
      <c r="L1103" s="58">
        <v>0</v>
      </c>
      <c r="M1103" s="58">
        <v>0</v>
      </c>
      <c r="N1103" s="58">
        <v>1</v>
      </c>
      <c r="O1103" s="224">
        <f t="shared" si="8"/>
        <v>11.69</v>
      </c>
      <c r="P1103" s="227">
        <f t="shared" si="9"/>
        <v>11.69</v>
      </c>
    </row>
    <row r="1104" spans="1:16" ht="14.25">
      <c r="A1104" s="224">
        <v>1103</v>
      </c>
      <c r="B1104" s="58">
        <v>3364</v>
      </c>
      <c r="C1104" s="57" t="s">
        <v>2677</v>
      </c>
      <c r="D1104" s="57" t="s">
        <v>45</v>
      </c>
      <c r="E1104" s="57" t="s">
        <v>2860</v>
      </c>
      <c r="F1104" s="58" t="s">
        <v>4341</v>
      </c>
      <c r="G1104" s="57">
        <v>5</v>
      </c>
      <c r="H1104" s="57" t="s">
        <v>2557</v>
      </c>
      <c r="I1104" s="58">
        <v>62228</v>
      </c>
      <c r="J1104" s="234" t="s">
        <v>4342</v>
      </c>
      <c r="K1104" s="58">
        <v>1.0900000000000001</v>
      </c>
      <c r="L1104" s="58">
        <v>0</v>
      </c>
      <c r="M1104" s="58">
        <v>0</v>
      </c>
      <c r="N1104" s="58">
        <v>1</v>
      </c>
      <c r="O1104" s="224">
        <f t="shared" si="8"/>
        <v>1.0900000000000001</v>
      </c>
      <c r="P1104" s="227">
        <f t="shared" si="9"/>
        <v>1.0900000000000001</v>
      </c>
    </row>
    <row r="1105" spans="1:16" ht="14.25">
      <c r="A1105" s="224">
        <v>1104</v>
      </c>
      <c r="B1105" s="58">
        <v>24963</v>
      </c>
      <c r="C1105" s="57" t="s">
        <v>4343</v>
      </c>
      <c r="D1105" s="57" t="s">
        <v>2582</v>
      </c>
      <c r="E1105" s="57" t="s">
        <v>2860</v>
      </c>
      <c r="F1105" s="58" t="s">
        <v>4344</v>
      </c>
      <c r="G1105" s="57">
        <v>5</v>
      </c>
      <c r="H1105" s="57" t="s">
        <v>2557</v>
      </c>
      <c r="I1105" s="58">
        <v>64856</v>
      </c>
      <c r="J1105" s="234" t="s">
        <v>4345</v>
      </c>
      <c r="K1105" s="58">
        <v>21.49</v>
      </c>
      <c r="L1105" s="58">
        <v>0</v>
      </c>
      <c r="M1105" s="58">
        <v>0</v>
      </c>
      <c r="N1105" s="58">
        <v>7.1869800000000001</v>
      </c>
      <c r="O1105" s="224">
        <f t="shared" si="8"/>
        <v>21.49</v>
      </c>
      <c r="P1105" s="227">
        <f t="shared" si="9"/>
        <v>2.990129372838104</v>
      </c>
    </row>
    <row r="1106" spans="1:16" ht="14.25">
      <c r="A1106" s="224">
        <v>1105</v>
      </c>
      <c r="B1106" s="58">
        <v>22544</v>
      </c>
      <c r="C1106" s="57" t="s">
        <v>3888</v>
      </c>
      <c r="D1106" s="57" t="s">
        <v>45</v>
      </c>
      <c r="E1106" s="57" t="s">
        <v>2860</v>
      </c>
      <c r="F1106" s="58" t="s">
        <v>4346</v>
      </c>
      <c r="G1106" s="57">
        <v>5</v>
      </c>
      <c r="H1106" s="57" t="s">
        <v>2557</v>
      </c>
      <c r="I1106" s="58">
        <v>63476</v>
      </c>
      <c r="J1106" s="234" t="s">
        <v>4347</v>
      </c>
      <c r="K1106" s="58">
        <v>84.99</v>
      </c>
      <c r="L1106" s="58">
        <v>0</v>
      </c>
      <c r="M1106" s="58">
        <v>0</v>
      </c>
      <c r="N1106" s="58">
        <v>1</v>
      </c>
      <c r="O1106" s="224">
        <f t="shared" si="8"/>
        <v>84.99</v>
      </c>
      <c r="P1106" s="227">
        <f t="shared" si="9"/>
        <v>84.99</v>
      </c>
    </row>
    <row r="1107" spans="1:16" ht="14.25">
      <c r="A1107" s="224">
        <v>1106</v>
      </c>
      <c r="B1107" s="58">
        <v>24970</v>
      </c>
      <c r="C1107" s="57" t="s">
        <v>4348</v>
      </c>
      <c r="D1107" s="57" t="s">
        <v>2582</v>
      </c>
      <c r="E1107" s="57" t="s">
        <v>2860</v>
      </c>
      <c r="F1107" s="58" t="s">
        <v>4349</v>
      </c>
      <c r="G1107" s="57">
        <v>5</v>
      </c>
      <c r="H1107" s="57" t="s">
        <v>2557</v>
      </c>
      <c r="I1107" s="58">
        <v>64868</v>
      </c>
      <c r="J1107" s="234" t="s">
        <v>4350</v>
      </c>
      <c r="K1107" s="58">
        <v>148.69999999999999</v>
      </c>
      <c r="L1107" s="58">
        <v>0</v>
      </c>
      <c r="M1107" s="58">
        <v>0</v>
      </c>
      <c r="N1107" s="58">
        <v>7.1869800000000001</v>
      </c>
      <c r="O1107" s="224">
        <f t="shared" si="8"/>
        <v>148.69999999999999</v>
      </c>
      <c r="P1107" s="227">
        <f t="shared" si="9"/>
        <v>20.690192542625692</v>
      </c>
    </row>
    <row r="1108" spans="1:16" ht="14.25">
      <c r="A1108" s="224">
        <v>1107</v>
      </c>
      <c r="B1108" s="58">
        <v>3364</v>
      </c>
      <c r="C1108" s="57" t="s">
        <v>2677</v>
      </c>
      <c r="D1108" s="57" t="s">
        <v>45</v>
      </c>
      <c r="E1108" s="57" t="s">
        <v>2860</v>
      </c>
      <c r="F1108" s="58" t="s">
        <v>4351</v>
      </c>
      <c r="G1108" s="57">
        <v>5</v>
      </c>
      <c r="H1108" s="57" t="s">
        <v>2557</v>
      </c>
      <c r="I1108" s="58">
        <v>64544</v>
      </c>
      <c r="J1108" s="234" t="s">
        <v>4352</v>
      </c>
      <c r="K1108" s="58">
        <v>3.99</v>
      </c>
      <c r="L1108" s="58">
        <v>0</v>
      </c>
      <c r="M1108" s="58">
        <v>0</v>
      </c>
      <c r="N1108" s="58">
        <v>1</v>
      </c>
      <c r="O1108" s="224">
        <f t="shared" si="8"/>
        <v>3.99</v>
      </c>
      <c r="P1108" s="227">
        <f t="shared" si="9"/>
        <v>3.99</v>
      </c>
    </row>
    <row r="1109" spans="1:16" ht="14.25">
      <c r="A1109" s="224">
        <v>1108</v>
      </c>
      <c r="B1109" s="58">
        <v>24970</v>
      </c>
      <c r="C1109" s="57" t="s">
        <v>4348</v>
      </c>
      <c r="D1109" s="57" t="s">
        <v>2582</v>
      </c>
      <c r="E1109" s="57" t="s">
        <v>2860</v>
      </c>
      <c r="F1109" s="58" t="s">
        <v>4353</v>
      </c>
      <c r="G1109" s="57">
        <v>5</v>
      </c>
      <c r="H1109" s="57" t="s">
        <v>2557</v>
      </c>
      <c r="I1109" s="58">
        <v>64868</v>
      </c>
      <c r="J1109" s="234"/>
      <c r="K1109" s="58">
        <v>0.01</v>
      </c>
      <c r="L1109" s="58">
        <v>0</v>
      </c>
      <c r="M1109" s="58">
        <v>0</v>
      </c>
      <c r="N1109" s="58">
        <v>7.1869800000000001</v>
      </c>
      <c r="O1109" s="224">
        <f t="shared" si="8"/>
        <v>0.01</v>
      </c>
      <c r="P1109" s="227">
        <f t="shared" si="9"/>
        <v>1.3914050129539806E-3</v>
      </c>
    </row>
    <row r="1110" spans="1:16" ht="14.25">
      <c r="A1110" s="224">
        <v>1109</v>
      </c>
      <c r="B1110" s="58">
        <v>24984</v>
      </c>
      <c r="C1110" s="57" t="s">
        <v>4354</v>
      </c>
      <c r="D1110" s="57" t="s">
        <v>45</v>
      </c>
      <c r="E1110" s="57" t="s">
        <v>2860</v>
      </c>
      <c r="F1110" s="58" t="s">
        <v>4355</v>
      </c>
      <c r="G1110" s="57">
        <v>5</v>
      </c>
      <c r="H1110" s="57" t="s">
        <v>2557</v>
      </c>
      <c r="I1110" s="58">
        <v>64880</v>
      </c>
      <c r="J1110" s="234" t="s">
        <v>4356</v>
      </c>
      <c r="K1110" s="58">
        <v>10.39</v>
      </c>
      <c r="L1110" s="58">
        <v>0</v>
      </c>
      <c r="M1110" s="58">
        <v>0</v>
      </c>
      <c r="N1110" s="58">
        <v>1</v>
      </c>
      <c r="O1110" s="224">
        <f t="shared" si="8"/>
        <v>10.39</v>
      </c>
      <c r="P1110" s="227">
        <f t="shared" si="9"/>
        <v>10.39</v>
      </c>
    </row>
    <row r="1111" spans="1:16" ht="14.25">
      <c r="A1111" s="224">
        <v>1110</v>
      </c>
      <c r="B1111" s="58">
        <v>1783</v>
      </c>
      <c r="C1111" s="57" t="s">
        <v>4357</v>
      </c>
      <c r="D1111" s="57" t="s">
        <v>2582</v>
      </c>
      <c r="E1111" s="57" t="s">
        <v>2860</v>
      </c>
      <c r="F1111" s="58" t="s">
        <v>4358</v>
      </c>
      <c r="G1111" s="57">
        <v>5</v>
      </c>
      <c r="H1111" s="57" t="s">
        <v>2557</v>
      </c>
      <c r="I1111" s="58">
        <v>64892</v>
      </c>
      <c r="J1111" s="234" t="s">
        <v>4359</v>
      </c>
      <c r="K1111" s="58">
        <v>28.68</v>
      </c>
      <c r="L1111" s="58">
        <v>0</v>
      </c>
      <c r="M1111" s="58">
        <v>0</v>
      </c>
      <c r="N1111" s="58">
        <v>7.1869800000000001</v>
      </c>
      <c r="O1111" s="224">
        <f t="shared" si="8"/>
        <v>28.68</v>
      </c>
      <c r="P1111" s="227">
        <f t="shared" si="9"/>
        <v>3.9905495771520165</v>
      </c>
    </row>
    <row r="1112" spans="1:16" ht="14.25">
      <c r="A1112" s="224">
        <v>1111</v>
      </c>
      <c r="B1112" s="58">
        <v>24452</v>
      </c>
      <c r="C1112" s="57" t="s">
        <v>4204</v>
      </c>
      <c r="D1112" s="57" t="s">
        <v>45</v>
      </c>
      <c r="E1112" s="57" t="s">
        <v>2860</v>
      </c>
      <c r="F1112" s="58" t="s">
        <v>4360</v>
      </c>
      <c r="G1112" s="57">
        <v>5</v>
      </c>
      <c r="H1112" s="57" t="s">
        <v>2557</v>
      </c>
      <c r="I1112" s="58">
        <v>64904</v>
      </c>
      <c r="J1112" s="234" t="s">
        <v>4361</v>
      </c>
      <c r="K1112" s="58">
        <v>3.99</v>
      </c>
      <c r="L1112" s="58">
        <v>0</v>
      </c>
      <c r="M1112" s="58">
        <v>0</v>
      </c>
      <c r="N1112" s="58">
        <v>1</v>
      </c>
      <c r="O1112" s="224">
        <f t="shared" si="8"/>
        <v>3.99</v>
      </c>
      <c r="P1112" s="227">
        <f t="shared" si="9"/>
        <v>3.99</v>
      </c>
    </row>
    <row r="1113" spans="1:16" ht="14.25">
      <c r="A1113" s="224">
        <v>1112</v>
      </c>
      <c r="B1113" s="58">
        <v>18714</v>
      </c>
      <c r="C1113" s="57" t="s">
        <v>3032</v>
      </c>
      <c r="D1113" s="57" t="s">
        <v>2582</v>
      </c>
      <c r="E1113" s="57" t="s">
        <v>2860</v>
      </c>
      <c r="F1113" s="58" t="s">
        <v>4362</v>
      </c>
      <c r="G1113" s="57">
        <v>5</v>
      </c>
      <c r="H1113" s="57" t="s">
        <v>2557</v>
      </c>
      <c r="I1113" s="58">
        <v>64928</v>
      </c>
      <c r="J1113" s="234" t="s">
        <v>4363</v>
      </c>
      <c r="K1113" s="58">
        <v>17.18</v>
      </c>
      <c r="L1113" s="58">
        <v>0</v>
      </c>
      <c r="M1113" s="58">
        <v>0</v>
      </c>
      <c r="N1113" s="58">
        <v>7.1869800000000001</v>
      </c>
      <c r="O1113" s="224">
        <f t="shared" si="8"/>
        <v>17.18</v>
      </c>
      <c r="P1113" s="227">
        <f t="shared" si="9"/>
        <v>2.3904338122549387</v>
      </c>
    </row>
    <row r="1114" spans="1:16" ht="14.25">
      <c r="A1114" s="224">
        <v>1113</v>
      </c>
      <c r="B1114" s="58">
        <v>3272</v>
      </c>
      <c r="C1114" s="57" t="s">
        <v>4084</v>
      </c>
      <c r="D1114" s="57" t="s">
        <v>45</v>
      </c>
      <c r="E1114" s="57" t="s">
        <v>2860</v>
      </c>
      <c r="F1114" s="58" t="s">
        <v>4364</v>
      </c>
      <c r="G1114" s="57">
        <v>5</v>
      </c>
      <c r="H1114" s="57" t="s">
        <v>2557</v>
      </c>
      <c r="I1114" s="58">
        <v>64940</v>
      </c>
      <c r="J1114" s="234" t="s">
        <v>4365</v>
      </c>
      <c r="K1114" s="58">
        <v>3.99</v>
      </c>
      <c r="L1114" s="58">
        <v>0</v>
      </c>
      <c r="M1114" s="58">
        <v>0</v>
      </c>
      <c r="N1114" s="58">
        <v>1</v>
      </c>
      <c r="O1114" s="224">
        <f t="shared" si="8"/>
        <v>3.99</v>
      </c>
      <c r="P1114" s="227">
        <f t="shared" si="9"/>
        <v>3.99</v>
      </c>
    </row>
    <row r="1115" spans="1:16" ht="14.25">
      <c r="A1115" s="224">
        <v>1114</v>
      </c>
      <c r="B1115" s="58">
        <v>25009</v>
      </c>
      <c r="C1115" s="57" t="s">
        <v>4366</v>
      </c>
      <c r="D1115" s="57" t="s">
        <v>2582</v>
      </c>
      <c r="E1115" s="57" t="s">
        <v>2860</v>
      </c>
      <c r="F1115" s="58" t="s">
        <v>4367</v>
      </c>
      <c r="G1115" s="57">
        <v>5</v>
      </c>
      <c r="H1115" s="57" t="s">
        <v>2557</v>
      </c>
      <c r="I1115" s="58">
        <v>64952</v>
      </c>
      <c r="J1115" s="234" t="s">
        <v>4368</v>
      </c>
      <c r="K1115" s="58">
        <v>17.18</v>
      </c>
      <c r="L1115" s="58">
        <v>0</v>
      </c>
      <c r="M1115" s="58">
        <v>0</v>
      </c>
      <c r="N1115" s="58">
        <v>7.1869800000000001</v>
      </c>
      <c r="O1115" s="224">
        <f t="shared" si="8"/>
        <v>17.18</v>
      </c>
      <c r="P1115" s="227">
        <f t="shared" si="9"/>
        <v>2.3904338122549387</v>
      </c>
    </row>
    <row r="1116" spans="1:16" ht="14.25">
      <c r="A1116" s="224">
        <v>1115</v>
      </c>
      <c r="B1116" s="58">
        <v>21553</v>
      </c>
      <c r="C1116" s="57" t="s">
        <v>3714</v>
      </c>
      <c r="D1116" s="57" t="s">
        <v>2582</v>
      </c>
      <c r="E1116" s="57" t="s">
        <v>2860</v>
      </c>
      <c r="F1116" s="58" t="s">
        <v>4369</v>
      </c>
      <c r="G1116" s="57">
        <v>5</v>
      </c>
      <c r="H1116" s="57" t="s">
        <v>2557</v>
      </c>
      <c r="I1116" s="58">
        <v>64964</v>
      </c>
      <c r="J1116" s="234" t="s">
        <v>4370</v>
      </c>
      <c r="K1116" s="58">
        <v>344.98</v>
      </c>
      <c r="L1116" s="58">
        <v>0</v>
      </c>
      <c r="M1116" s="58">
        <v>0</v>
      </c>
      <c r="N1116" s="58">
        <v>7.1869800000000001</v>
      </c>
      <c r="O1116" s="224">
        <f t="shared" si="8"/>
        <v>344.98</v>
      </c>
      <c r="P1116" s="227">
        <f t="shared" si="9"/>
        <v>48.000690136886426</v>
      </c>
    </row>
    <row r="1117" spans="1:16" ht="14.25">
      <c r="A1117" s="224">
        <v>1116</v>
      </c>
      <c r="B1117" s="58">
        <v>25015</v>
      </c>
      <c r="C1117" s="57" t="s">
        <v>4371</v>
      </c>
      <c r="D1117" s="57" t="s">
        <v>45</v>
      </c>
      <c r="E1117" s="57" t="s">
        <v>2860</v>
      </c>
      <c r="F1117" s="58" t="s">
        <v>4372</v>
      </c>
      <c r="G1117" s="57">
        <v>5</v>
      </c>
      <c r="H1117" s="57" t="s">
        <v>2557</v>
      </c>
      <c r="I1117" s="58">
        <v>65036</v>
      </c>
      <c r="J1117" s="234" t="s">
        <v>4373</v>
      </c>
      <c r="K1117" s="58">
        <v>4.99</v>
      </c>
      <c r="L1117" s="58">
        <v>0</v>
      </c>
      <c r="M1117" s="58">
        <v>0</v>
      </c>
      <c r="N1117" s="58">
        <v>1</v>
      </c>
      <c r="O1117" s="224">
        <f t="shared" si="8"/>
        <v>4.99</v>
      </c>
      <c r="P1117" s="227">
        <f t="shared" si="9"/>
        <v>4.99</v>
      </c>
    </row>
    <row r="1118" spans="1:16" ht="14.25">
      <c r="A1118" s="224">
        <v>1117</v>
      </c>
      <c r="B1118" s="58">
        <v>25017</v>
      </c>
      <c r="C1118" s="57" t="s">
        <v>4374</v>
      </c>
      <c r="D1118" s="57" t="s">
        <v>45</v>
      </c>
      <c r="E1118" s="57" t="s">
        <v>2860</v>
      </c>
      <c r="F1118" s="58" t="s">
        <v>4375</v>
      </c>
      <c r="G1118" s="57">
        <v>5</v>
      </c>
      <c r="H1118" s="57" t="s">
        <v>2557</v>
      </c>
      <c r="I1118" s="58">
        <v>65048</v>
      </c>
      <c r="J1118" s="234" t="s">
        <v>4376</v>
      </c>
      <c r="K1118" s="58">
        <v>3.99</v>
      </c>
      <c r="L1118" s="58">
        <v>0</v>
      </c>
      <c r="M1118" s="58">
        <v>0</v>
      </c>
      <c r="N1118" s="58">
        <v>1</v>
      </c>
      <c r="O1118" s="224">
        <f t="shared" si="8"/>
        <v>3.99</v>
      </c>
      <c r="P1118" s="227">
        <f t="shared" si="9"/>
        <v>3.99</v>
      </c>
    </row>
    <row r="1119" spans="1:16" ht="14.25">
      <c r="A1119" s="224">
        <v>1118</v>
      </c>
      <c r="B1119" s="58">
        <v>24960</v>
      </c>
      <c r="C1119" s="57" t="s">
        <v>4377</v>
      </c>
      <c r="D1119" s="57" t="s">
        <v>45</v>
      </c>
      <c r="E1119" s="57" t="s">
        <v>2860</v>
      </c>
      <c r="F1119" s="58" t="s">
        <v>4375</v>
      </c>
      <c r="G1119" s="57">
        <v>5</v>
      </c>
      <c r="H1119" s="57" t="s">
        <v>2557</v>
      </c>
      <c r="I1119" s="58">
        <v>65060</v>
      </c>
      <c r="J1119" s="234" t="s">
        <v>4378</v>
      </c>
      <c r="K1119" s="58">
        <v>165.59</v>
      </c>
      <c r="L1119" s="58">
        <v>0</v>
      </c>
      <c r="M1119" s="58">
        <v>0</v>
      </c>
      <c r="N1119" s="58">
        <v>1</v>
      </c>
      <c r="O1119" s="224">
        <f t="shared" si="8"/>
        <v>165.59</v>
      </c>
      <c r="P1119" s="227">
        <f t="shared" si="9"/>
        <v>165.59</v>
      </c>
    </row>
    <row r="1120" spans="1:16" ht="14.25">
      <c r="A1120" s="224">
        <v>1119</v>
      </c>
      <c r="B1120" s="58">
        <v>1783</v>
      </c>
      <c r="C1120" s="57" t="s">
        <v>4357</v>
      </c>
      <c r="D1120" s="57" t="s">
        <v>2582</v>
      </c>
      <c r="E1120" s="57" t="s">
        <v>2860</v>
      </c>
      <c r="F1120" s="58" t="s">
        <v>4379</v>
      </c>
      <c r="G1120" s="57">
        <v>5</v>
      </c>
      <c r="H1120" s="57" t="s">
        <v>2557</v>
      </c>
      <c r="I1120" s="58">
        <v>64892</v>
      </c>
      <c r="J1120" s="234"/>
      <c r="K1120" s="58">
        <v>0.02</v>
      </c>
      <c r="L1120" s="58">
        <v>0</v>
      </c>
      <c r="M1120" s="58">
        <v>0</v>
      </c>
      <c r="N1120" s="58">
        <v>7.1952299999999996</v>
      </c>
      <c r="O1120" s="224">
        <f t="shared" si="8"/>
        <v>0.02</v>
      </c>
      <c r="P1120" s="227">
        <f t="shared" si="9"/>
        <v>2.7796192755478286E-3</v>
      </c>
    </row>
    <row r="1121" spans="1:16" ht="14.25">
      <c r="A1121" s="224">
        <v>1120</v>
      </c>
      <c r="B1121" s="58">
        <v>24787</v>
      </c>
      <c r="C1121" s="57" t="s">
        <v>4298</v>
      </c>
      <c r="D1121" s="57" t="s">
        <v>45</v>
      </c>
      <c r="E1121" s="57" t="s">
        <v>2860</v>
      </c>
      <c r="F1121" s="58" t="s">
        <v>4380</v>
      </c>
      <c r="G1121" s="57">
        <v>5</v>
      </c>
      <c r="H1121" s="57" t="s">
        <v>2557</v>
      </c>
      <c r="I1121" s="58">
        <v>65072</v>
      </c>
      <c r="J1121" s="234" t="s">
        <v>4381</v>
      </c>
      <c r="K1121" s="58">
        <v>7.99</v>
      </c>
      <c r="L1121" s="58">
        <v>0</v>
      </c>
      <c r="M1121" s="58">
        <v>0</v>
      </c>
      <c r="N1121" s="58">
        <v>1</v>
      </c>
      <c r="O1121" s="224">
        <f t="shared" si="8"/>
        <v>7.99</v>
      </c>
      <c r="P1121" s="227">
        <f t="shared" si="9"/>
        <v>7.99</v>
      </c>
    </row>
    <row r="1122" spans="1:16" ht="14.25">
      <c r="A1122" s="224">
        <v>1121</v>
      </c>
      <c r="B1122" s="58">
        <v>18714</v>
      </c>
      <c r="C1122" s="57" t="s">
        <v>3032</v>
      </c>
      <c r="D1122" s="57" t="s">
        <v>2582</v>
      </c>
      <c r="E1122" s="57" t="s">
        <v>2860</v>
      </c>
      <c r="F1122" s="58" t="s">
        <v>4380</v>
      </c>
      <c r="G1122" s="57">
        <v>5</v>
      </c>
      <c r="H1122" s="57" t="s">
        <v>2557</v>
      </c>
      <c r="I1122" s="58">
        <v>64928</v>
      </c>
      <c r="J1122" s="234"/>
      <c r="K1122" s="58">
        <v>0.01</v>
      </c>
      <c r="L1122" s="58">
        <v>0</v>
      </c>
      <c r="M1122" s="58">
        <v>0</v>
      </c>
      <c r="N1122" s="58">
        <v>7.1952299999999996</v>
      </c>
      <c r="O1122" s="224">
        <f t="shared" si="8"/>
        <v>0.01</v>
      </c>
      <c r="P1122" s="227">
        <f t="shared" si="9"/>
        <v>1.3898096377739143E-3</v>
      </c>
    </row>
    <row r="1123" spans="1:16" ht="14.25">
      <c r="A1123" s="224">
        <v>1122</v>
      </c>
      <c r="B1123" s="58">
        <v>25009</v>
      </c>
      <c r="C1123" s="57" t="s">
        <v>4366</v>
      </c>
      <c r="D1123" s="57" t="s">
        <v>2582</v>
      </c>
      <c r="E1123" s="57" t="s">
        <v>2860</v>
      </c>
      <c r="F1123" s="58" t="s">
        <v>4382</v>
      </c>
      <c r="G1123" s="57">
        <v>5</v>
      </c>
      <c r="H1123" s="57" t="s">
        <v>2557</v>
      </c>
      <c r="I1123" s="58">
        <v>64952</v>
      </c>
      <c r="J1123" s="234"/>
      <c r="K1123" s="58">
        <v>0.01</v>
      </c>
      <c r="L1123" s="58">
        <v>0</v>
      </c>
      <c r="M1123" s="58">
        <v>0</v>
      </c>
      <c r="N1123" s="58">
        <v>7.1952299999999996</v>
      </c>
      <c r="O1123" s="224">
        <f t="shared" si="8"/>
        <v>0.01</v>
      </c>
      <c r="P1123" s="227">
        <f t="shared" si="9"/>
        <v>1.3898096377739143E-3</v>
      </c>
    </row>
    <row r="1124" spans="1:16" ht="14.25">
      <c r="A1124" s="224">
        <v>1123</v>
      </c>
      <c r="B1124" s="58">
        <v>376</v>
      </c>
      <c r="C1124" s="57" t="s">
        <v>4383</v>
      </c>
      <c r="D1124" s="57" t="s">
        <v>45</v>
      </c>
      <c r="E1124" s="57" t="s">
        <v>2860</v>
      </c>
      <c r="F1124" s="58" t="s">
        <v>4384</v>
      </c>
      <c r="G1124" s="57">
        <v>5</v>
      </c>
      <c r="H1124" s="57" t="s">
        <v>2557</v>
      </c>
      <c r="I1124" s="58">
        <v>65084</v>
      </c>
      <c r="J1124" s="234" t="s">
        <v>4385</v>
      </c>
      <c r="K1124" s="58">
        <v>4.99</v>
      </c>
      <c r="L1124" s="58">
        <v>0</v>
      </c>
      <c r="M1124" s="58">
        <v>0</v>
      </c>
      <c r="N1124" s="58">
        <v>1</v>
      </c>
      <c r="O1124" s="224">
        <f t="shared" si="8"/>
        <v>4.99</v>
      </c>
      <c r="P1124" s="227">
        <f t="shared" si="9"/>
        <v>4.99</v>
      </c>
    </row>
    <row r="1125" spans="1:16" ht="14.25">
      <c r="A1125" s="224">
        <v>1124</v>
      </c>
      <c r="B1125" s="58">
        <v>24899</v>
      </c>
      <c r="C1125" s="57" t="s">
        <v>4386</v>
      </c>
      <c r="D1125" s="57" t="s">
        <v>2582</v>
      </c>
      <c r="E1125" s="57" t="s">
        <v>2860</v>
      </c>
      <c r="F1125" s="58" t="s">
        <v>4387</v>
      </c>
      <c r="G1125" s="57">
        <v>5</v>
      </c>
      <c r="H1125" s="57" t="s">
        <v>2557</v>
      </c>
      <c r="I1125" s="58">
        <v>65096</v>
      </c>
      <c r="J1125" s="234" t="s">
        <v>4388</v>
      </c>
      <c r="K1125" s="58">
        <v>992.01</v>
      </c>
      <c r="L1125" s="58">
        <v>0</v>
      </c>
      <c r="M1125" s="58">
        <v>0</v>
      </c>
      <c r="N1125" s="58">
        <v>7.1952299999999996</v>
      </c>
      <c r="O1125" s="224">
        <f t="shared" si="8"/>
        <v>992.01</v>
      </c>
      <c r="P1125" s="227">
        <f t="shared" si="9"/>
        <v>137.87050587681006</v>
      </c>
    </row>
    <row r="1126" spans="1:16" ht="14.25">
      <c r="A1126" s="224">
        <v>1125</v>
      </c>
      <c r="B1126" s="58">
        <v>19044</v>
      </c>
      <c r="C1126" s="57" t="s">
        <v>3089</v>
      </c>
      <c r="D1126" s="57" t="s">
        <v>45</v>
      </c>
      <c r="E1126" s="57" t="s">
        <v>2860</v>
      </c>
      <c r="F1126" s="58" t="s">
        <v>4389</v>
      </c>
      <c r="G1126" s="57">
        <v>5</v>
      </c>
      <c r="H1126" s="57" t="s">
        <v>2557</v>
      </c>
      <c r="I1126" s="58">
        <v>65132</v>
      </c>
      <c r="J1126" s="234" t="s">
        <v>4390</v>
      </c>
      <c r="K1126" s="58">
        <v>14.39</v>
      </c>
      <c r="L1126" s="58">
        <v>0</v>
      </c>
      <c r="M1126" s="58">
        <v>0</v>
      </c>
      <c r="N1126" s="58">
        <v>1</v>
      </c>
      <c r="O1126" s="224">
        <f t="shared" si="8"/>
        <v>14.39</v>
      </c>
      <c r="P1126" s="227">
        <f t="shared" si="9"/>
        <v>14.39</v>
      </c>
    </row>
    <row r="1127" spans="1:16" ht="14.25">
      <c r="A1127" s="224">
        <v>1126</v>
      </c>
      <c r="B1127" s="58">
        <v>4079</v>
      </c>
      <c r="C1127" s="57" t="s">
        <v>3463</v>
      </c>
      <c r="D1127" s="57" t="s">
        <v>45</v>
      </c>
      <c r="E1127" s="57" t="s">
        <v>2860</v>
      </c>
      <c r="F1127" s="58" t="s">
        <v>4391</v>
      </c>
      <c r="G1127" s="57">
        <v>5</v>
      </c>
      <c r="H1127" s="57" t="s">
        <v>2557</v>
      </c>
      <c r="I1127" s="58">
        <v>65144</v>
      </c>
      <c r="J1127" s="234" t="s">
        <v>4392</v>
      </c>
      <c r="K1127" s="58">
        <v>17.989999999999998</v>
      </c>
      <c r="L1127" s="58">
        <v>0</v>
      </c>
      <c r="M1127" s="58">
        <v>0</v>
      </c>
      <c r="N1127" s="58">
        <v>1</v>
      </c>
      <c r="O1127" s="224">
        <f t="shared" si="8"/>
        <v>17.989999999999998</v>
      </c>
      <c r="P1127" s="227">
        <f t="shared" si="9"/>
        <v>17.989999999999998</v>
      </c>
    </row>
    <row r="1128" spans="1:16" ht="14.25">
      <c r="A1128" s="224">
        <v>1127</v>
      </c>
      <c r="B1128" s="58">
        <v>25019</v>
      </c>
      <c r="C1128" s="57" t="s">
        <v>4393</v>
      </c>
      <c r="D1128" s="57" t="s">
        <v>45</v>
      </c>
      <c r="E1128" s="57" t="s">
        <v>2860</v>
      </c>
      <c r="F1128" s="58" t="s">
        <v>4391</v>
      </c>
      <c r="G1128" s="57">
        <v>5</v>
      </c>
      <c r="H1128" s="57" t="s">
        <v>2557</v>
      </c>
      <c r="I1128" s="58">
        <v>65156</v>
      </c>
      <c r="J1128" s="234" t="s">
        <v>4394</v>
      </c>
      <c r="K1128" s="58">
        <v>2.39</v>
      </c>
      <c r="L1128" s="58">
        <v>0</v>
      </c>
      <c r="M1128" s="58">
        <v>0</v>
      </c>
      <c r="N1128" s="58">
        <v>1</v>
      </c>
      <c r="O1128" s="224">
        <f t="shared" si="8"/>
        <v>2.39</v>
      </c>
      <c r="P1128" s="227">
        <f t="shared" si="9"/>
        <v>2.39</v>
      </c>
    </row>
    <row r="1129" spans="1:16" ht="14.25">
      <c r="A1129" s="224">
        <v>1128</v>
      </c>
      <c r="B1129" s="58">
        <v>25028</v>
      </c>
      <c r="C1129" s="57" t="s">
        <v>4395</v>
      </c>
      <c r="D1129" s="57" t="s">
        <v>2582</v>
      </c>
      <c r="E1129" s="57" t="s">
        <v>2860</v>
      </c>
      <c r="F1129" s="58" t="s">
        <v>4396</v>
      </c>
      <c r="G1129" s="57">
        <v>5</v>
      </c>
      <c r="H1129" s="57" t="s">
        <v>2557</v>
      </c>
      <c r="I1129" s="58">
        <v>65180</v>
      </c>
      <c r="J1129" s="234" t="s">
        <v>4397</v>
      </c>
      <c r="K1129" s="58">
        <v>28.71</v>
      </c>
      <c r="L1129" s="58">
        <v>0</v>
      </c>
      <c r="M1129" s="58">
        <v>0</v>
      </c>
      <c r="N1129" s="58">
        <v>7.1952299999999996</v>
      </c>
      <c r="O1129" s="224">
        <f t="shared" si="8"/>
        <v>28.71</v>
      </c>
      <c r="P1129" s="227">
        <f t="shared" si="9"/>
        <v>3.9901434700489076</v>
      </c>
    </row>
    <row r="1130" spans="1:16" ht="14.25">
      <c r="A1130" s="224">
        <v>1129</v>
      </c>
      <c r="B1130" s="58">
        <v>25031</v>
      </c>
      <c r="C1130" s="57" t="s">
        <v>4398</v>
      </c>
      <c r="D1130" s="57" t="s">
        <v>45</v>
      </c>
      <c r="E1130" s="57" t="s">
        <v>2860</v>
      </c>
      <c r="F1130" s="58" t="s">
        <v>4399</v>
      </c>
      <c r="G1130" s="57">
        <v>5</v>
      </c>
      <c r="H1130" s="57" t="s">
        <v>2557</v>
      </c>
      <c r="I1130" s="58">
        <v>65204</v>
      </c>
      <c r="J1130" s="234" t="s">
        <v>4400</v>
      </c>
      <c r="K1130" s="58">
        <v>3.99</v>
      </c>
      <c r="L1130" s="58">
        <v>0</v>
      </c>
      <c r="M1130" s="58">
        <v>0</v>
      </c>
      <c r="N1130" s="58">
        <v>1</v>
      </c>
      <c r="O1130" s="224">
        <f t="shared" si="8"/>
        <v>3.99</v>
      </c>
      <c r="P1130" s="227">
        <f t="shared" si="9"/>
        <v>3.99</v>
      </c>
    </row>
    <row r="1131" spans="1:16" ht="14.25">
      <c r="A1131" s="224">
        <v>1130</v>
      </c>
      <c r="B1131" s="58">
        <v>25028</v>
      </c>
      <c r="C1131" s="57" t="s">
        <v>4395</v>
      </c>
      <c r="D1131" s="57" t="s">
        <v>2582</v>
      </c>
      <c r="E1131" s="57" t="s">
        <v>2860</v>
      </c>
      <c r="F1131" s="58" t="s">
        <v>4401</v>
      </c>
      <c r="G1131" s="57">
        <v>5</v>
      </c>
      <c r="H1131" s="57" t="s">
        <v>2557</v>
      </c>
      <c r="I1131" s="58">
        <v>65180</v>
      </c>
      <c r="J1131" s="234"/>
      <c r="K1131" s="58">
        <v>0.03</v>
      </c>
      <c r="L1131" s="58">
        <v>0</v>
      </c>
      <c r="M1131" s="58">
        <v>0</v>
      </c>
      <c r="N1131" s="58">
        <v>7.1952299999999996</v>
      </c>
      <c r="O1131" s="224">
        <f t="shared" si="8"/>
        <v>0.03</v>
      </c>
      <c r="P1131" s="227">
        <f t="shared" si="9"/>
        <v>4.1694289133217422E-3</v>
      </c>
    </row>
    <row r="1132" spans="1:16" ht="14.25">
      <c r="A1132" s="224">
        <v>1131</v>
      </c>
      <c r="B1132" s="58">
        <v>25037</v>
      </c>
      <c r="C1132" s="57" t="s">
        <v>4402</v>
      </c>
      <c r="D1132" s="57" t="s">
        <v>45</v>
      </c>
      <c r="E1132" s="57" t="s">
        <v>9</v>
      </c>
      <c r="F1132" s="58" t="s">
        <v>4403</v>
      </c>
      <c r="G1132" s="57">
        <v>5</v>
      </c>
      <c r="H1132" s="57" t="s">
        <v>2557</v>
      </c>
      <c r="I1132" s="58">
        <v>65240</v>
      </c>
      <c r="J1132" s="234" t="s">
        <v>500</v>
      </c>
      <c r="K1132" s="58">
        <v>3.19</v>
      </c>
      <c r="L1132" s="58">
        <v>0.65</v>
      </c>
      <c r="M1132" s="58">
        <v>0</v>
      </c>
      <c r="N1132" s="58">
        <v>1</v>
      </c>
      <c r="O1132" s="224">
        <f t="shared" si="8"/>
        <v>2.54</v>
      </c>
      <c r="P1132" s="227">
        <f t="shared" si="9"/>
        <v>2.54</v>
      </c>
    </row>
    <row r="1133" spans="1:16" ht="14.25">
      <c r="A1133" s="224">
        <v>1132</v>
      </c>
      <c r="B1133" s="58">
        <v>25038</v>
      </c>
      <c r="C1133" s="57" t="s">
        <v>4404</v>
      </c>
      <c r="D1133" s="57" t="s">
        <v>45</v>
      </c>
      <c r="E1133" s="57" t="s">
        <v>2860</v>
      </c>
      <c r="F1133" s="58" t="s">
        <v>4405</v>
      </c>
      <c r="G1133" s="57">
        <v>5</v>
      </c>
      <c r="H1133" s="57" t="s">
        <v>2557</v>
      </c>
      <c r="I1133" s="58">
        <v>65252</v>
      </c>
      <c r="J1133" s="234" t="s">
        <v>4406</v>
      </c>
      <c r="K1133" s="58">
        <v>2.99</v>
      </c>
      <c r="L1133" s="58">
        <v>0</v>
      </c>
      <c r="M1133" s="58">
        <v>0</v>
      </c>
      <c r="N1133" s="58">
        <v>1</v>
      </c>
      <c r="O1133" s="224">
        <f t="shared" si="8"/>
        <v>2.99</v>
      </c>
      <c r="P1133" s="227">
        <f t="shared" si="9"/>
        <v>2.99</v>
      </c>
    </row>
    <row r="1134" spans="1:16" ht="14.25">
      <c r="A1134" s="224">
        <v>1133</v>
      </c>
      <c r="B1134" s="58">
        <v>3272</v>
      </c>
      <c r="C1134" s="57" t="s">
        <v>4084</v>
      </c>
      <c r="D1134" s="57" t="s">
        <v>45</v>
      </c>
      <c r="E1134" s="57" t="s">
        <v>2860</v>
      </c>
      <c r="F1134" s="58" t="s">
        <v>4407</v>
      </c>
      <c r="G1134" s="57">
        <v>5</v>
      </c>
      <c r="H1134" s="57" t="s">
        <v>2557</v>
      </c>
      <c r="I1134" s="58">
        <v>65264</v>
      </c>
      <c r="J1134" s="234" t="s">
        <v>4408</v>
      </c>
      <c r="K1134" s="58">
        <v>3.99</v>
      </c>
      <c r="L1134" s="58">
        <v>0</v>
      </c>
      <c r="M1134" s="58">
        <v>0</v>
      </c>
      <c r="N1134" s="58">
        <v>1</v>
      </c>
      <c r="O1134" s="224">
        <f t="shared" si="8"/>
        <v>3.99</v>
      </c>
      <c r="P1134" s="227">
        <f t="shared" si="9"/>
        <v>3.99</v>
      </c>
    </row>
    <row r="1135" spans="1:16" ht="14.25">
      <c r="A1135" s="224">
        <v>1134</v>
      </c>
      <c r="B1135" s="58">
        <v>25019</v>
      </c>
      <c r="C1135" s="57" t="s">
        <v>4393</v>
      </c>
      <c r="D1135" s="57" t="s">
        <v>45</v>
      </c>
      <c r="E1135" s="57" t="s">
        <v>2860</v>
      </c>
      <c r="F1135" s="58" t="s">
        <v>4409</v>
      </c>
      <c r="G1135" s="57">
        <v>5</v>
      </c>
      <c r="H1135" s="57" t="s">
        <v>2557</v>
      </c>
      <c r="I1135" s="58">
        <v>65108</v>
      </c>
      <c r="J1135" s="234" t="s">
        <v>4410</v>
      </c>
      <c r="K1135" s="58">
        <v>165.59</v>
      </c>
      <c r="L1135" s="58">
        <v>0</v>
      </c>
      <c r="M1135" s="58">
        <v>0</v>
      </c>
      <c r="N1135" s="58">
        <v>1</v>
      </c>
      <c r="O1135" s="224">
        <f t="shared" si="8"/>
        <v>165.59</v>
      </c>
      <c r="P1135" s="227">
        <f t="shared" si="9"/>
        <v>165.59</v>
      </c>
    </row>
    <row r="1136" spans="1:16" ht="14.25">
      <c r="A1136" s="224">
        <v>1135</v>
      </c>
      <c r="B1136" s="58">
        <v>25040</v>
      </c>
      <c r="C1136" s="57" t="s">
        <v>4411</v>
      </c>
      <c r="D1136" s="57" t="s">
        <v>45</v>
      </c>
      <c r="E1136" s="57" t="s">
        <v>2860</v>
      </c>
      <c r="F1136" s="58" t="s">
        <v>4412</v>
      </c>
      <c r="G1136" s="57">
        <v>5</v>
      </c>
      <c r="H1136" s="57" t="s">
        <v>2557</v>
      </c>
      <c r="I1136" s="58">
        <v>65288</v>
      </c>
      <c r="J1136" s="234" t="s">
        <v>4413</v>
      </c>
      <c r="K1136" s="58">
        <v>3.99</v>
      </c>
      <c r="L1136" s="58">
        <v>0</v>
      </c>
      <c r="M1136" s="58">
        <v>0</v>
      </c>
      <c r="N1136" s="58">
        <v>1</v>
      </c>
      <c r="O1136" s="224">
        <f t="shared" si="8"/>
        <v>3.99</v>
      </c>
      <c r="P1136" s="227">
        <f t="shared" si="9"/>
        <v>3.99</v>
      </c>
    </row>
    <row r="1137" spans="1:16" ht="14.25">
      <c r="A1137" s="224">
        <v>1136</v>
      </c>
      <c r="B1137" s="58">
        <v>25041</v>
      </c>
      <c r="C1137" s="57" t="s">
        <v>4414</v>
      </c>
      <c r="D1137" s="57" t="s">
        <v>2582</v>
      </c>
      <c r="E1137" s="57" t="s">
        <v>2860</v>
      </c>
      <c r="F1137" s="58" t="s">
        <v>4415</v>
      </c>
      <c r="G1137" s="57">
        <v>5</v>
      </c>
      <c r="H1137" s="57" t="s">
        <v>2557</v>
      </c>
      <c r="I1137" s="58">
        <v>65300</v>
      </c>
      <c r="J1137" s="234" t="s">
        <v>4416</v>
      </c>
      <c r="K1137" s="58">
        <v>64.69</v>
      </c>
      <c r="L1137" s="58">
        <v>0</v>
      </c>
      <c r="M1137" s="58">
        <v>0</v>
      </c>
      <c r="N1137" s="58">
        <v>7.1952299999999996</v>
      </c>
      <c r="O1137" s="224">
        <f t="shared" si="8"/>
        <v>64.69</v>
      </c>
      <c r="P1137" s="227">
        <f t="shared" si="9"/>
        <v>8.990678546759451</v>
      </c>
    </row>
    <row r="1138" spans="1:16" ht="14.25">
      <c r="A1138" s="224">
        <v>1137</v>
      </c>
      <c r="B1138" s="58">
        <v>25041</v>
      </c>
      <c r="C1138" s="57" t="s">
        <v>4414</v>
      </c>
      <c r="D1138" s="57" t="s">
        <v>2582</v>
      </c>
      <c r="E1138" s="57" t="s">
        <v>2860</v>
      </c>
      <c r="F1138" s="58" t="s">
        <v>4415</v>
      </c>
      <c r="G1138" s="57">
        <v>5</v>
      </c>
      <c r="H1138" s="57" t="s">
        <v>2557</v>
      </c>
      <c r="I1138" s="58">
        <v>65300</v>
      </c>
      <c r="J1138" s="234" t="s">
        <v>4416</v>
      </c>
      <c r="K1138" s="58">
        <v>64.69</v>
      </c>
      <c r="L1138" s="58">
        <v>0</v>
      </c>
      <c r="M1138" s="58">
        <v>0</v>
      </c>
      <c r="N1138" s="58">
        <v>7.1952299999999996</v>
      </c>
      <c r="O1138" s="224">
        <f t="shared" si="8"/>
        <v>64.69</v>
      </c>
      <c r="P1138" s="227">
        <f t="shared" si="9"/>
        <v>8.990678546759451</v>
      </c>
    </row>
    <row r="1139" spans="1:16" ht="14.25">
      <c r="A1139" s="224">
        <v>1138</v>
      </c>
      <c r="B1139" s="58">
        <v>20926</v>
      </c>
      <c r="C1139" s="57" t="s">
        <v>3616</v>
      </c>
      <c r="D1139" s="57" t="s">
        <v>2582</v>
      </c>
      <c r="E1139" s="57" t="s">
        <v>2860</v>
      </c>
      <c r="F1139" s="58" t="s">
        <v>4417</v>
      </c>
      <c r="G1139" s="57">
        <v>5</v>
      </c>
      <c r="H1139" s="57" t="s">
        <v>2557</v>
      </c>
      <c r="I1139" s="58">
        <v>65312</v>
      </c>
      <c r="J1139" s="234" t="s">
        <v>4418</v>
      </c>
      <c r="K1139" s="58">
        <v>35.9</v>
      </c>
      <c r="L1139" s="58">
        <v>0</v>
      </c>
      <c r="M1139" s="58">
        <v>0</v>
      </c>
      <c r="N1139" s="58">
        <v>7.1952299999999996</v>
      </c>
      <c r="O1139" s="224">
        <f t="shared" si="8"/>
        <v>35.9</v>
      </c>
      <c r="P1139" s="227">
        <f t="shared" si="9"/>
        <v>4.9894165996083517</v>
      </c>
    </row>
    <row r="1140" spans="1:16" ht="14.25">
      <c r="A1140" s="224">
        <v>1139</v>
      </c>
      <c r="B1140" s="58">
        <v>20926</v>
      </c>
      <c r="C1140" s="57" t="s">
        <v>3616</v>
      </c>
      <c r="D1140" s="57" t="s">
        <v>2582</v>
      </c>
      <c r="E1140" s="57" t="s">
        <v>2860</v>
      </c>
      <c r="F1140" s="58" t="s">
        <v>4419</v>
      </c>
      <c r="G1140" s="57">
        <v>5</v>
      </c>
      <c r="H1140" s="57" t="s">
        <v>2557</v>
      </c>
      <c r="I1140" s="58">
        <v>65312</v>
      </c>
      <c r="J1140" s="234"/>
      <c r="K1140" s="58">
        <v>0.04</v>
      </c>
      <c r="L1140" s="58">
        <v>0</v>
      </c>
      <c r="M1140" s="58">
        <v>0</v>
      </c>
      <c r="N1140" s="58">
        <v>7.1952299999999996</v>
      </c>
      <c r="O1140" s="224">
        <f t="shared" si="8"/>
        <v>0.04</v>
      </c>
      <c r="P1140" s="227">
        <f t="shared" si="9"/>
        <v>5.5592385510956572E-3</v>
      </c>
    </row>
    <row r="1141" spans="1:16" ht="14.25">
      <c r="A1141" s="224">
        <v>1140</v>
      </c>
      <c r="B1141" s="58">
        <v>25045</v>
      </c>
      <c r="C1141" s="57" t="s">
        <v>4420</v>
      </c>
      <c r="D1141" s="57" t="s">
        <v>45</v>
      </c>
      <c r="E1141" s="57" t="s">
        <v>2860</v>
      </c>
      <c r="F1141" s="58" t="s">
        <v>4421</v>
      </c>
      <c r="G1141" s="57">
        <v>5</v>
      </c>
      <c r="H1141" s="57" t="s">
        <v>2557</v>
      </c>
      <c r="I1141" s="58">
        <v>65348</v>
      </c>
      <c r="J1141" s="234" t="s">
        <v>4422</v>
      </c>
      <c r="K1141" s="58">
        <v>3.99</v>
      </c>
      <c r="L1141" s="58">
        <v>0</v>
      </c>
      <c r="M1141" s="58">
        <v>0</v>
      </c>
      <c r="N1141" s="58">
        <v>1</v>
      </c>
      <c r="O1141" s="224">
        <f t="shared" si="8"/>
        <v>3.99</v>
      </c>
      <c r="P1141" s="227">
        <f t="shared" si="9"/>
        <v>3.99</v>
      </c>
    </row>
    <row r="1142" spans="1:16" ht="14.25">
      <c r="A1142" s="224">
        <v>1141</v>
      </c>
      <c r="B1142" s="58">
        <v>25046</v>
      </c>
      <c r="C1142" s="57" t="s">
        <v>4423</v>
      </c>
      <c r="D1142" s="57" t="s">
        <v>45</v>
      </c>
      <c r="E1142" s="57" t="s">
        <v>2860</v>
      </c>
      <c r="F1142" s="58" t="s">
        <v>4424</v>
      </c>
      <c r="G1142" s="57">
        <v>5</v>
      </c>
      <c r="H1142" s="57" t="s">
        <v>2557</v>
      </c>
      <c r="I1142" s="58">
        <v>65372</v>
      </c>
      <c r="J1142" s="234" t="s">
        <v>4425</v>
      </c>
      <c r="K1142" s="58">
        <v>275.99</v>
      </c>
      <c r="L1142" s="58">
        <v>0</v>
      </c>
      <c r="M1142" s="58">
        <v>0</v>
      </c>
      <c r="N1142" s="58">
        <v>1</v>
      </c>
      <c r="O1142" s="224">
        <f t="shared" si="8"/>
        <v>275.99</v>
      </c>
      <c r="P1142" s="227">
        <f t="shared" si="9"/>
        <v>275.99</v>
      </c>
    </row>
    <row r="1143" spans="1:16" ht="14.25">
      <c r="A1143" s="224">
        <v>1142</v>
      </c>
      <c r="B1143" s="58">
        <v>25048</v>
      </c>
      <c r="C1143" s="57" t="s">
        <v>4426</v>
      </c>
      <c r="D1143" s="57" t="s">
        <v>2582</v>
      </c>
      <c r="E1143" s="57" t="s">
        <v>2860</v>
      </c>
      <c r="F1143" s="58" t="s">
        <v>4427</v>
      </c>
      <c r="G1143" s="57">
        <v>5</v>
      </c>
      <c r="H1143" s="57" t="s">
        <v>2557</v>
      </c>
      <c r="I1143" s="58">
        <v>65384</v>
      </c>
      <c r="J1143" s="234" t="s">
        <v>4428</v>
      </c>
      <c r="K1143" s="58">
        <v>35.9</v>
      </c>
      <c r="L1143" s="58">
        <v>0</v>
      </c>
      <c r="M1143" s="58">
        <v>0</v>
      </c>
      <c r="N1143" s="58">
        <v>7.1952299999999996</v>
      </c>
      <c r="O1143" s="224">
        <f t="shared" si="8"/>
        <v>35.9</v>
      </c>
      <c r="P1143" s="227">
        <f t="shared" si="9"/>
        <v>4.9894165996083517</v>
      </c>
    </row>
    <row r="1144" spans="1:16" ht="14.25">
      <c r="A1144" s="224">
        <v>1143</v>
      </c>
      <c r="B1144" s="58">
        <v>25048</v>
      </c>
      <c r="C1144" s="57" t="s">
        <v>4426</v>
      </c>
      <c r="D1144" s="57" t="s">
        <v>2582</v>
      </c>
      <c r="E1144" s="57" t="s">
        <v>2860</v>
      </c>
      <c r="F1144" s="58" t="s">
        <v>4429</v>
      </c>
      <c r="G1144" s="57">
        <v>5</v>
      </c>
      <c r="H1144" s="57" t="s">
        <v>2557</v>
      </c>
      <c r="I1144" s="58">
        <v>65384</v>
      </c>
      <c r="J1144" s="234"/>
      <c r="K1144" s="58">
        <v>0.04</v>
      </c>
      <c r="L1144" s="58">
        <v>0</v>
      </c>
      <c r="M1144" s="58">
        <v>0</v>
      </c>
      <c r="N1144" s="58">
        <v>7.1952299999999996</v>
      </c>
      <c r="O1144" s="224">
        <f t="shared" si="8"/>
        <v>0.04</v>
      </c>
      <c r="P1144" s="227">
        <f t="shared" si="9"/>
        <v>5.5592385510956572E-3</v>
      </c>
    </row>
    <row r="1145" spans="1:16" ht="14.25">
      <c r="A1145" s="224">
        <v>1144</v>
      </c>
      <c r="B1145" s="58">
        <v>25058</v>
      </c>
      <c r="C1145" s="57" t="s">
        <v>4430</v>
      </c>
      <c r="D1145" s="57" t="s">
        <v>45</v>
      </c>
      <c r="E1145" s="57" t="s">
        <v>2860</v>
      </c>
      <c r="F1145" s="58" t="s">
        <v>4431</v>
      </c>
      <c r="G1145" s="57">
        <v>5</v>
      </c>
      <c r="H1145" s="57" t="s">
        <v>2557</v>
      </c>
      <c r="I1145" s="58">
        <v>65420</v>
      </c>
      <c r="J1145" s="234" t="s">
        <v>4432</v>
      </c>
      <c r="K1145" s="58">
        <v>8.39</v>
      </c>
      <c r="L1145" s="58">
        <v>0</v>
      </c>
      <c r="M1145" s="58">
        <v>0</v>
      </c>
      <c r="N1145" s="58">
        <v>1</v>
      </c>
      <c r="O1145" s="224">
        <f t="shared" si="8"/>
        <v>8.39</v>
      </c>
      <c r="P1145" s="227">
        <f t="shared" si="9"/>
        <v>8.39</v>
      </c>
    </row>
    <row r="1146" spans="1:16" ht="14.25">
      <c r="A1146" s="224">
        <v>1145</v>
      </c>
      <c r="B1146" s="58">
        <v>22544</v>
      </c>
      <c r="C1146" s="57" t="s">
        <v>3888</v>
      </c>
      <c r="D1146" s="57" t="s">
        <v>45</v>
      </c>
      <c r="E1146" s="57" t="s">
        <v>2860</v>
      </c>
      <c r="F1146" s="58" t="s">
        <v>4433</v>
      </c>
      <c r="G1146" s="57">
        <v>5</v>
      </c>
      <c r="H1146" s="57" t="s">
        <v>2557</v>
      </c>
      <c r="I1146" s="58">
        <v>65432</v>
      </c>
      <c r="J1146" s="234" t="s">
        <v>4434</v>
      </c>
      <c r="K1146" s="58">
        <v>583.19000000000005</v>
      </c>
      <c r="L1146" s="58">
        <v>0</v>
      </c>
      <c r="M1146" s="58">
        <v>0</v>
      </c>
      <c r="N1146" s="58">
        <v>1</v>
      </c>
      <c r="O1146" s="224">
        <f t="shared" si="8"/>
        <v>583.19000000000005</v>
      </c>
      <c r="P1146" s="227">
        <f t="shared" si="9"/>
        <v>583.19000000000005</v>
      </c>
    </row>
    <row r="1147" spans="1:16" ht="14.25">
      <c r="A1147" s="224">
        <v>1146</v>
      </c>
      <c r="B1147" s="58">
        <v>25060</v>
      </c>
      <c r="C1147" s="57" t="s">
        <v>4435</v>
      </c>
      <c r="D1147" s="57" t="s">
        <v>45</v>
      </c>
      <c r="E1147" s="57" t="s">
        <v>9</v>
      </c>
      <c r="F1147" s="58" t="s">
        <v>4436</v>
      </c>
      <c r="G1147" s="57">
        <v>5</v>
      </c>
      <c r="H1147" s="57" t="s">
        <v>2557</v>
      </c>
      <c r="I1147" s="58">
        <v>65456</v>
      </c>
      <c r="J1147" s="234" t="s">
        <v>503</v>
      </c>
      <c r="K1147" s="58">
        <v>20.25</v>
      </c>
      <c r="L1147" s="58">
        <v>1.5</v>
      </c>
      <c r="M1147" s="58">
        <v>0</v>
      </c>
      <c r="N1147" s="58">
        <v>1</v>
      </c>
      <c r="O1147" s="224">
        <f t="shared" si="8"/>
        <v>18.75</v>
      </c>
      <c r="P1147" s="227">
        <f t="shared" si="9"/>
        <v>18.75</v>
      </c>
    </row>
    <row r="1148" spans="1:16" ht="14.25">
      <c r="A1148" s="224">
        <v>1147</v>
      </c>
      <c r="B1148" s="58">
        <v>25061</v>
      </c>
      <c r="C1148" s="57" t="s">
        <v>4437</v>
      </c>
      <c r="D1148" s="57" t="s">
        <v>2582</v>
      </c>
      <c r="E1148" s="57" t="s">
        <v>2860</v>
      </c>
      <c r="F1148" s="58" t="s">
        <v>4438</v>
      </c>
      <c r="G1148" s="57">
        <v>5</v>
      </c>
      <c r="H1148" s="57" t="s">
        <v>2557</v>
      </c>
      <c r="I1148" s="58">
        <v>65468</v>
      </c>
      <c r="J1148" s="234" t="s">
        <v>4439</v>
      </c>
      <c r="K1148" s="58">
        <v>17.2</v>
      </c>
      <c r="L1148" s="58">
        <v>0</v>
      </c>
      <c r="M1148" s="58">
        <v>0</v>
      </c>
      <c r="N1148" s="58">
        <v>7.1952299999999996</v>
      </c>
      <c r="O1148" s="224">
        <f t="shared" si="8"/>
        <v>17.2</v>
      </c>
      <c r="P1148" s="227">
        <f t="shared" si="9"/>
        <v>2.3904725769711321</v>
      </c>
    </row>
    <row r="1149" spans="1:16" ht="14.25">
      <c r="A1149" s="224">
        <v>1148</v>
      </c>
      <c r="B1149" s="58">
        <v>19314</v>
      </c>
      <c r="C1149" s="57" t="s">
        <v>3119</v>
      </c>
      <c r="D1149" s="57" t="s">
        <v>45</v>
      </c>
      <c r="E1149" s="57" t="s">
        <v>2874</v>
      </c>
      <c r="F1149" s="58" t="s">
        <v>4440</v>
      </c>
      <c r="G1149" s="57">
        <v>5</v>
      </c>
      <c r="H1149" s="57" t="s">
        <v>2557</v>
      </c>
      <c r="I1149" s="58">
        <v>63128</v>
      </c>
      <c r="J1149" s="234"/>
      <c r="K1149" s="58">
        <v>215</v>
      </c>
      <c r="L1149" s="58">
        <v>0</v>
      </c>
      <c r="M1149" s="58">
        <v>0</v>
      </c>
      <c r="N1149" s="58">
        <v>1</v>
      </c>
      <c r="O1149" s="224">
        <f t="shared" si="8"/>
        <v>215</v>
      </c>
      <c r="P1149" s="227">
        <f t="shared" si="9"/>
        <v>215</v>
      </c>
    </row>
    <row r="1150" spans="1:16" ht="14.25">
      <c r="A1150" s="224">
        <v>1149</v>
      </c>
      <c r="B1150" s="58">
        <v>25074</v>
      </c>
      <c r="C1150" s="57" t="s">
        <v>4441</v>
      </c>
      <c r="D1150" s="57" t="s">
        <v>45</v>
      </c>
      <c r="E1150" s="57" t="s">
        <v>2860</v>
      </c>
      <c r="F1150" s="58" t="s">
        <v>4442</v>
      </c>
      <c r="G1150" s="57">
        <v>5</v>
      </c>
      <c r="H1150" s="57" t="s">
        <v>2557</v>
      </c>
      <c r="I1150" s="58">
        <v>65504</v>
      </c>
      <c r="J1150" s="234" t="s">
        <v>4443</v>
      </c>
      <c r="K1150" s="58">
        <v>17.989999999999998</v>
      </c>
      <c r="L1150" s="58">
        <v>0</v>
      </c>
      <c r="M1150" s="58">
        <v>0</v>
      </c>
      <c r="N1150" s="58">
        <v>1</v>
      </c>
      <c r="O1150" s="224">
        <f t="shared" si="8"/>
        <v>17.989999999999998</v>
      </c>
      <c r="P1150" s="227">
        <f t="shared" si="9"/>
        <v>17.989999999999998</v>
      </c>
    </row>
    <row r="1151" spans="1:16" ht="14.25">
      <c r="A1151" s="224">
        <v>1150</v>
      </c>
      <c r="B1151" s="58">
        <v>25061</v>
      </c>
      <c r="C1151" s="57" t="s">
        <v>4437</v>
      </c>
      <c r="D1151" s="57" t="s">
        <v>2582</v>
      </c>
      <c r="E1151" s="57" t="s">
        <v>2860</v>
      </c>
      <c r="F1151" s="58" t="s">
        <v>4444</v>
      </c>
      <c r="G1151" s="57">
        <v>5</v>
      </c>
      <c r="H1151" s="57" t="s">
        <v>2557</v>
      </c>
      <c r="I1151" s="58">
        <v>65468</v>
      </c>
      <c r="J1151" s="234"/>
      <c r="K1151" s="58">
        <v>0.01</v>
      </c>
      <c r="L1151" s="58">
        <v>0</v>
      </c>
      <c r="M1151" s="58">
        <v>0</v>
      </c>
      <c r="N1151" s="58">
        <v>7.1928999999999998</v>
      </c>
      <c r="O1151" s="224">
        <f t="shared" si="8"/>
        <v>0.01</v>
      </c>
      <c r="P1151" s="227">
        <f t="shared" si="9"/>
        <v>1.3902598395640145E-3</v>
      </c>
    </row>
    <row r="1152" spans="1:16" ht="14.25">
      <c r="A1152" s="224">
        <v>1151</v>
      </c>
      <c r="B1152" s="58">
        <v>25107</v>
      </c>
      <c r="C1152" s="57" t="s">
        <v>4445</v>
      </c>
      <c r="D1152" s="57" t="s">
        <v>2582</v>
      </c>
      <c r="E1152" s="57" t="s">
        <v>2860</v>
      </c>
      <c r="F1152" s="58" t="s">
        <v>4446</v>
      </c>
      <c r="G1152" s="57">
        <v>5</v>
      </c>
      <c r="H1152" s="57" t="s">
        <v>2557</v>
      </c>
      <c r="I1152" s="58">
        <v>65636</v>
      </c>
      <c r="J1152" s="234" t="s">
        <v>4447</v>
      </c>
      <c r="K1152" s="58">
        <v>181.62</v>
      </c>
      <c r="L1152" s="58">
        <v>0</v>
      </c>
      <c r="M1152" s="58">
        <v>0</v>
      </c>
      <c r="N1152" s="58">
        <v>7.1928999999999998</v>
      </c>
      <c r="O1152" s="224">
        <f t="shared" si="8"/>
        <v>181.62</v>
      </c>
      <c r="P1152" s="227">
        <f t="shared" si="9"/>
        <v>25.249899206161633</v>
      </c>
    </row>
    <row r="1153" spans="1:16" ht="14.25">
      <c r="A1153" s="224">
        <v>1152</v>
      </c>
      <c r="B1153" s="58">
        <v>25064</v>
      </c>
      <c r="C1153" s="57" t="s">
        <v>4448</v>
      </c>
      <c r="D1153" s="57" t="s">
        <v>45</v>
      </c>
      <c r="E1153" s="57" t="s">
        <v>2860</v>
      </c>
      <c r="F1153" s="58" t="s">
        <v>4449</v>
      </c>
      <c r="G1153" s="57">
        <v>5</v>
      </c>
      <c r="H1153" s="57" t="s">
        <v>2557</v>
      </c>
      <c r="I1153" s="58">
        <v>65648</v>
      </c>
      <c r="J1153" s="234" t="s">
        <v>4450</v>
      </c>
      <c r="K1153" s="58">
        <v>165.59</v>
      </c>
      <c r="L1153" s="58">
        <v>0</v>
      </c>
      <c r="M1153" s="58">
        <v>0</v>
      </c>
      <c r="N1153" s="58">
        <v>1</v>
      </c>
      <c r="O1153" s="224">
        <f t="shared" si="8"/>
        <v>165.59</v>
      </c>
      <c r="P1153" s="227">
        <f t="shared" si="9"/>
        <v>165.59</v>
      </c>
    </row>
    <row r="1154" spans="1:16" ht="14.25">
      <c r="A1154" s="224">
        <v>1153</v>
      </c>
      <c r="B1154" s="58">
        <v>25113</v>
      </c>
      <c r="C1154" s="57" t="s">
        <v>4451</v>
      </c>
      <c r="D1154" s="57" t="s">
        <v>45</v>
      </c>
      <c r="E1154" s="57" t="s">
        <v>2860</v>
      </c>
      <c r="F1154" s="58" t="s">
        <v>4452</v>
      </c>
      <c r="G1154" s="57">
        <v>5</v>
      </c>
      <c r="H1154" s="57" t="s">
        <v>2557</v>
      </c>
      <c r="I1154" s="58">
        <v>65732</v>
      </c>
      <c r="J1154" s="234" t="s">
        <v>4453</v>
      </c>
      <c r="K1154" s="58">
        <v>14.39</v>
      </c>
      <c r="L1154" s="58">
        <v>0</v>
      </c>
      <c r="M1154" s="58">
        <v>0</v>
      </c>
      <c r="N1154" s="58">
        <v>1</v>
      </c>
      <c r="O1154" s="224">
        <f t="shared" si="8"/>
        <v>14.39</v>
      </c>
      <c r="P1154" s="227">
        <f t="shared" si="9"/>
        <v>14.39</v>
      </c>
    </row>
    <row r="1155" spans="1:16" ht="14.25">
      <c r="A1155" s="224">
        <v>1154</v>
      </c>
      <c r="B1155" s="58">
        <v>25107</v>
      </c>
      <c r="C1155" s="57" t="s">
        <v>4445</v>
      </c>
      <c r="D1155" s="57" t="s">
        <v>2582</v>
      </c>
      <c r="E1155" s="57" t="s">
        <v>2860</v>
      </c>
      <c r="F1155" s="58" t="s">
        <v>4454</v>
      </c>
      <c r="G1155" s="57">
        <v>5</v>
      </c>
      <c r="H1155" s="57" t="s">
        <v>4455</v>
      </c>
      <c r="I1155" s="58">
        <v>65636</v>
      </c>
      <c r="J1155" s="234"/>
      <c r="K1155" s="58">
        <v>0</v>
      </c>
      <c r="L1155" s="58">
        <v>0</v>
      </c>
      <c r="M1155" s="58">
        <v>181.62</v>
      </c>
      <c r="N1155" s="58">
        <v>7.1928999999999998</v>
      </c>
      <c r="O1155" s="224">
        <f t="shared" si="8"/>
        <v>-181.62</v>
      </c>
      <c r="P1155" s="227">
        <f t="shared" si="9"/>
        <v>-25.249899206161633</v>
      </c>
    </row>
    <row r="1156" spans="1:16" ht="14.25">
      <c r="A1156" s="224">
        <v>1155</v>
      </c>
      <c r="B1156" s="58">
        <v>25120</v>
      </c>
      <c r="C1156" s="57" t="s">
        <v>4456</v>
      </c>
      <c r="D1156" s="57" t="s">
        <v>45</v>
      </c>
      <c r="E1156" s="57" t="s">
        <v>2860</v>
      </c>
      <c r="F1156" s="58" t="s">
        <v>4457</v>
      </c>
      <c r="G1156" s="57">
        <v>5</v>
      </c>
      <c r="H1156" s="57" t="s">
        <v>2557</v>
      </c>
      <c r="I1156" s="58">
        <v>65816</v>
      </c>
      <c r="J1156" s="234" t="s">
        <v>4458</v>
      </c>
      <c r="K1156" s="58">
        <v>3.99</v>
      </c>
      <c r="L1156" s="58">
        <v>0</v>
      </c>
      <c r="M1156" s="58">
        <v>0</v>
      </c>
      <c r="N1156" s="58">
        <v>1</v>
      </c>
      <c r="O1156" s="224">
        <f t="shared" si="8"/>
        <v>3.99</v>
      </c>
      <c r="P1156" s="227">
        <f t="shared" si="9"/>
        <v>3.99</v>
      </c>
    </row>
    <row r="1157" spans="1:16" ht="14.25">
      <c r="A1157" s="224">
        <v>1156</v>
      </c>
      <c r="B1157" s="58">
        <v>25123</v>
      </c>
      <c r="C1157" s="57" t="s">
        <v>4459</v>
      </c>
      <c r="D1157" s="57" t="s">
        <v>2582</v>
      </c>
      <c r="E1157" s="57" t="s">
        <v>2860</v>
      </c>
      <c r="F1157" s="58" t="s">
        <v>4460</v>
      </c>
      <c r="G1157" s="57">
        <v>5</v>
      </c>
      <c r="H1157" s="57" t="s">
        <v>2557</v>
      </c>
      <c r="I1157" s="58">
        <v>65852</v>
      </c>
      <c r="J1157" s="234" t="s">
        <v>4461</v>
      </c>
      <c r="K1157" s="58">
        <v>28.7</v>
      </c>
      <c r="L1157" s="58">
        <v>0</v>
      </c>
      <c r="M1157" s="58">
        <v>0</v>
      </c>
      <c r="N1157" s="58">
        <v>7.1928999999999998</v>
      </c>
      <c r="O1157" s="224">
        <f t="shared" si="8"/>
        <v>28.7</v>
      </c>
      <c r="P1157" s="227">
        <f t="shared" si="9"/>
        <v>3.9900457395487217</v>
      </c>
    </row>
    <row r="1158" spans="1:16" ht="14.25">
      <c r="A1158" s="224">
        <v>1157</v>
      </c>
      <c r="B1158" s="58">
        <v>25122</v>
      </c>
      <c r="C1158" s="57" t="s">
        <v>4462</v>
      </c>
      <c r="D1158" s="57" t="s">
        <v>45</v>
      </c>
      <c r="E1158" s="57" t="s">
        <v>2860</v>
      </c>
      <c r="F1158" s="58" t="s">
        <v>4463</v>
      </c>
      <c r="G1158" s="57">
        <v>5</v>
      </c>
      <c r="H1158" s="57" t="s">
        <v>2557</v>
      </c>
      <c r="I1158" s="58">
        <v>65840</v>
      </c>
      <c r="J1158" s="234" t="s">
        <v>4464</v>
      </c>
      <c r="K1158" s="58">
        <v>8.98</v>
      </c>
      <c r="L1158" s="58">
        <v>0</v>
      </c>
      <c r="M1158" s="58">
        <v>0</v>
      </c>
      <c r="N1158" s="58">
        <v>1</v>
      </c>
      <c r="O1158" s="224">
        <f t="shared" si="8"/>
        <v>8.98</v>
      </c>
      <c r="P1158" s="227">
        <f t="shared" si="9"/>
        <v>8.98</v>
      </c>
    </row>
    <row r="1159" spans="1:16" ht="14.25">
      <c r="A1159" s="224">
        <v>1158</v>
      </c>
      <c r="B1159" s="58">
        <v>25122</v>
      </c>
      <c r="C1159" s="57" t="s">
        <v>4462</v>
      </c>
      <c r="D1159" s="57" t="s">
        <v>45</v>
      </c>
      <c r="E1159" s="57" t="s">
        <v>2860</v>
      </c>
      <c r="F1159" s="58" t="s">
        <v>4463</v>
      </c>
      <c r="G1159" s="57">
        <v>5</v>
      </c>
      <c r="H1159" s="57" t="s">
        <v>2557</v>
      </c>
      <c r="I1159" s="58">
        <v>65840</v>
      </c>
      <c r="J1159" s="234" t="s">
        <v>4464</v>
      </c>
      <c r="K1159" s="58">
        <v>8.98</v>
      </c>
      <c r="L1159" s="58">
        <v>0</v>
      </c>
      <c r="M1159" s="58">
        <v>0</v>
      </c>
      <c r="N1159" s="58">
        <v>1</v>
      </c>
      <c r="O1159" s="224">
        <f t="shared" si="8"/>
        <v>8.98</v>
      </c>
      <c r="P1159" s="227">
        <f t="shared" si="9"/>
        <v>8.98</v>
      </c>
    </row>
    <row r="1160" spans="1:16" ht="14.25">
      <c r="A1160" s="224">
        <v>1159</v>
      </c>
      <c r="B1160" s="58">
        <v>25123</v>
      </c>
      <c r="C1160" s="57" t="s">
        <v>4459</v>
      </c>
      <c r="D1160" s="57" t="s">
        <v>2582</v>
      </c>
      <c r="E1160" s="57" t="s">
        <v>2860</v>
      </c>
      <c r="F1160" s="58" t="s">
        <v>4465</v>
      </c>
      <c r="G1160" s="57">
        <v>5</v>
      </c>
      <c r="H1160" s="57" t="s">
        <v>2557</v>
      </c>
      <c r="I1160" s="58">
        <v>65852</v>
      </c>
      <c r="J1160" s="234"/>
      <c r="K1160" s="58">
        <v>0.03</v>
      </c>
      <c r="L1160" s="58">
        <v>0</v>
      </c>
      <c r="M1160" s="58">
        <v>0</v>
      </c>
      <c r="N1160" s="58">
        <v>7.1928999999999998</v>
      </c>
      <c r="O1160" s="224">
        <f t="shared" si="8"/>
        <v>0.03</v>
      </c>
      <c r="P1160" s="227">
        <f t="shared" si="9"/>
        <v>4.1707795186920436E-3</v>
      </c>
    </row>
    <row r="1161" spans="1:16" ht="14.25">
      <c r="A1161" s="224">
        <v>1160</v>
      </c>
      <c r="B1161" s="58">
        <v>25124</v>
      </c>
      <c r="C1161" s="57" t="s">
        <v>4466</v>
      </c>
      <c r="D1161" s="57" t="s">
        <v>2582</v>
      </c>
      <c r="E1161" s="57" t="s">
        <v>2860</v>
      </c>
      <c r="F1161" s="58" t="s">
        <v>4467</v>
      </c>
      <c r="G1161" s="57">
        <v>5</v>
      </c>
      <c r="H1161" s="57" t="s">
        <v>2557</v>
      </c>
      <c r="I1161" s="58">
        <v>65864</v>
      </c>
      <c r="J1161" s="234" t="s">
        <v>4468</v>
      </c>
      <c r="K1161" s="58">
        <v>129.4</v>
      </c>
      <c r="L1161" s="58">
        <v>0</v>
      </c>
      <c r="M1161" s="58">
        <v>0</v>
      </c>
      <c r="N1161" s="58">
        <v>7.1928999999999998</v>
      </c>
      <c r="O1161" s="224">
        <f t="shared" si="8"/>
        <v>129.4</v>
      </c>
      <c r="P1161" s="227">
        <f t="shared" si="9"/>
        <v>17.989962323958348</v>
      </c>
    </row>
    <row r="1162" spans="1:16" ht="14.25">
      <c r="A1162" s="224">
        <v>1161</v>
      </c>
      <c r="B1162" s="58">
        <v>25124</v>
      </c>
      <c r="C1162" s="57" t="s">
        <v>4466</v>
      </c>
      <c r="D1162" s="57" t="s">
        <v>2582</v>
      </c>
      <c r="E1162" s="57" t="s">
        <v>2860</v>
      </c>
      <c r="F1162" s="58" t="s">
        <v>4469</v>
      </c>
      <c r="G1162" s="57">
        <v>5</v>
      </c>
      <c r="H1162" s="57" t="s">
        <v>2557</v>
      </c>
      <c r="I1162" s="58">
        <v>65864</v>
      </c>
      <c r="J1162" s="234"/>
      <c r="K1162" s="58">
        <v>0.03</v>
      </c>
      <c r="L1162" s="58">
        <v>0</v>
      </c>
      <c r="M1162" s="58">
        <v>0</v>
      </c>
      <c r="N1162" s="58">
        <v>7.1928999999999998</v>
      </c>
      <c r="O1162" s="224">
        <f t="shared" si="8"/>
        <v>0.03</v>
      </c>
      <c r="P1162" s="227">
        <f t="shared" si="9"/>
        <v>4.1707795186920436E-3</v>
      </c>
    </row>
    <row r="1163" spans="1:16" ht="14.25">
      <c r="A1163" s="224">
        <v>1162</v>
      </c>
      <c r="B1163" s="58">
        <v>3612</v>
      </c>
      <c r="C1163" s="57" t="s">
        <v>4470</v>
      </c>
      <c r="D1163" s="57" t="s">
        <v>45</v>
      </c>
      <c r="E1163" s="57" t="s">
        <v>2860</v>
      </c>
      <c r="F1163" s="58" t="s">
        <v>4471</v>
      </c>
      <c r="G1163" s="57">
        <v>5</v>
      </c>
      <c r="H1163" s="57" t="s">
        <v>2557</v>
      </c>
      <c r="I1163" s="58">
        <v>65876</v>
      </c>
      <c r="J1163" s="234" t="s">
        <v>4472</v>
      </c>
      <c r="K1163" s="58">
        <v>7.19</v>
      </c>
      <c r="L1163" s="58">
        <v>0</v>
      </c>
      <c r="M1163" s="58">
        <v>0</v>
      </c>
      <c r="N1163" s="58">
        <v>1</v>
      </c>
      <c r="O1163" s="224">
        <f t="shared" si="8"/>
        <v>7.19</v>
      </c>
      <c r="P1163" s="227">
        <f t="shared" si="9"/>
        <v>7.19</v>
      </c>
    </row>
    <row r="1164" spans="1:16" ht="14.25">
      <c r="A1164" s="224">
        <v>1163</v>
      </c>
      <c r="B1164" s="58">
        <v>24810</v>
      </c>
      <c r="C1164" s="57" t="s">
        <v>4310</v>
      </c>
      <c r="D1164" s="57" t="s">
        <v>45</v>
      </c>
      <c r="E1164" s="57" t="s">
        <v>2860</v>
      </c>
      <c r="F1164" s="58" t="s">
        <v>4473</v>
      </c>
      <c r="G1164" s="57">
        <v>5</v>
      </c>
      <c r="H1164" s="57" t="s">
        <v>2557</v>
      </c>
      <c r="I1164" s="58">
        <v>65900</v>
      </c>
      <c r="J1164" s="234" t="s">
        <v>4474</v>
      </c>
      <c r="K1164" s="58">
        <v>19.16</v>
      </c>
      <c r="L1164" s="58">
        <v>0</v>
      </c>
      <c r="M1164" s="58">
        <v>0</v>
      </c>
      <c r="N1164" s="58">
        <v>1</v>
      </c>
      <c r="O1164" s="224">
        <f t="shared" si="8"/>
        <v>19.16</v>
      </c>
      <c r="P1164" s="227">
        <f t="shared" si="9"/>
        <v>19.16</v>
      </c>
    </row>
    <row r="1165" spans="1:16" ht="14.25">
      <c r="A1165" s="224">
        <v>1164</v>
      </c>
      <c r="B1165" s="58">
        <v>24810</v>
      </c>
      <c r="C1165" s="57" t="s">
        <v>4310</v>
      </c>
      <c r="D1165" s="57" t="s">
        <v>45</v>
      </c>
      <c r="E1165" s="57" t="s">
        <v>2860</v>
      </c>
      <c r="F1165" s="58" t="s">
        <v>4475</v>
      </c>
      <c r="G1165" s="57">
        <v>5</v>
      </c>
      <c r="H1165" s="57" t="s">
        <v>2557</v>
      </c>
      <c r="I1165" s="58">
        <v>65900</v>
      </c>
      <c r="J1165" s="234" t="s">
        <v>4474</v>
      </c>
      <c r="K1165" s="58">
        <v>19.16</v>
      </c>
      <c r="L1165" s="58">
        <v>0</v>
      </c>
      <c r="M1165" s="58">
        <v>0</v>
      </c>
      <c r="N1165" s="58">
        <v>1</v>
      </c>
      <c r="O1165" s="224">
        <f t="shared" si="8"/>
        <v>19.16</v>
      </c>
      <c r="P1165" s="227">
        <f t="shared" si="9"/>
        <v>19.16</v>
      </c>
    </row>
    <row r="1166" spans="1:16" ht="14.25">
      <c r="A1166" s="224">
        <v>1165</v>
      </c>
      <c r="B1166" s="58">
        <v>25131</v>
      </c>
      <c r="C1166" s="57" t="s">
        <v>4476</v>
      </c>
      <c r="D1166" s="57" t="s">
        <v>45</v>
      </c>
      <c r="E1166" s="57" t="s">
        <v>9</v>
      </c>
      <c r="F1166" s="58" t="s">
        <v>4477</v>
      </c>
      <c r="G1166" s="57">
        <v>5</v>
      </c>
      <c r="H1166" s="57" t="s">
        <v>2557</v>
      </c>
      <c r="I1166" s="58">
        <v>65924</v>
      </c>
      <c r="J1166" s="234" t="s">
        <v>512</v>
      </c>
      <c r="K1166" s="58">
        <v>8.39</v>
      </c>
      <c r="L1166" s="58">
        <v>0.91</v>
      </c>
      <c r="M1166" s="58">
        <v>0</v>
      </c>
      <c r="N1166" s="58">
        <v>1</v>
      </c>
      <c r="O1166" s="224">
        <f t="shared" si="8"/>
        <v>7.48</v>
      </c>
      <c r="P1166" s="227">
        <f t="shared" si="9"/>
        <v>7.48</v>
      </c>
    </row>
    <row r="1167" spans="1:16" ht="14.25">
      <c r="A1167" s="224">
        <v>1166</v>
      </c>
      <c r="B1167" s="58">
        <v>20926</v>
      </c>
      <c r="C1167" s="57" t="s">
        <v>3616</v>
      </c>
      <c r="D1167" s="57" t="s">
        <v>2582</v>
      </c>
      <c r="E1167" s="57" t="s">
        <v>2860</v>
      </c>
      <c r="F1167" s="58" t="s">
        <v>4478</v>
      </c>
      <c r="G1167" s="57">
        <v>5</v>
      </c>
      <c r="H1167" s="57" t="s">
        <v>2557</v>
      </c>
      <c r="I1167" s="58">
        <v>65948</v>
      </c>
      <c r="J1167" s="234" t="s">
        <v>4479</v>
      </c>
      <c r="K1167" s="58">
        <v>7.19</v>
      </c>
      <c r="L1167" s="58">
        <v>0</v>
      </c>
      <c r="M1167" s="58">
        <v>0</v>
      </c>
      <c r="N1167" s="58">
        <v>7.1928999999999998</v>
      </c>
      <c r="O1167" s="224">
        <f t="shared" si="8"/>
        <v>7.19</v>
      </c>
      <c r="P1167" s="227">
        <f t="shared" si="9"/>
        <v>0.99959682464652655</v>
      </c>
    </row>
    <row r="1168" spans="1:16" ht="14.25">
      <c r="A1168" s="224">
        <v>1167</v>
      </c>
      <c r="B1168" s="58">
        <v>19962</v>
      </c>
      <c r="C1168" s="57" t="s">
        <v>3276</v>
      </c>
      <c r="D1168" s="57" t="s">
        <v>2582</v>
      </c>
      <c r="E1168" s="57" t="s">
        <v>2860</v>
      </c>
      <c r="F1168" s="58" t="s">
        <v>4480</v>
      </c>
      <c r="G1168" s="57">
        <v>5</v>
      </c>
      <c r="H1168" s="57" t="s">
        <v>2557</v>
      </c>
      <c r="I1168" s="58">
        <v>65960</v>
      </c>
      <c r="J1168" s="234" t="s">
        <v>4481</v>
      </c>
      <c r="K1168" s="58">
        <v>14.39</v>
      </c>
      <c r="L1168" s="58">
        <v>0</v>
      </c>
      <c r="M1168" s="58">
        <v>0</v>
      </c>
      <c r="N1168" s="58">
        <v>7.1928999999999998</v>
      </c>
      <c r="O1168" s="224">
        <f t="shared" si="8"/>
        <v>14.39</v>
      </c>
      <c r="P1168" s="227">
        <f t="shared" si="9"/>
        <v>2.000583909132617</v>
      </c>
    </row>
    <row r="1169" spans="1:16" ht="14.25">
      <c r="A1169" s="224">
        <v>1168</v>
      </c>
      <c r="B1169" s="58">
        <v>25147</v>
      </c>
      <c r="C1169" s="57" t="s">
        <v>4482</v>
      </c>
      <c r="D1169" s="57" t="s">
        <v>2582</v>
      </c>
      <c r="E1169" s="57" t="s">
        <v>2860</v>
      </c>
      <c r="F1169" s="58" t="s">
        <v>4483</v>
      </c>
      <c r="G1169" s="57">
        <v>5</v>
      </c>
      <c r="H1169" s="57" t="s">
        <v>2557</v>
      </c>
      <c r="I1169" s="58">
        <v>65972</v>
      </c>
      <c r="J1169" s="234" t="s">
        <v>4484</v>
      </c>
      <c r="K1169" s="58">
        <v>60.42</v>
      </c>
      <c r="L1169" s="58">
        <v>0</v>
      </c>
      <c r="M1169" s="58">
        <v>0</v>
      </c>
      <c r="N1169" s="58">
        <v>7.1928999999999998</v>
      </c>
      <c r="O1169" s="224">
        <f t="shared" si="8"/>
        <v>60.42</v>
      </c>
      <c r="P1169" s="227">
        <f t="shared" si="9"/>
        <v>8.3999499506457767</v>
      </c>
    </row>
    <row r="1170" spans="1:16" ht="14.25">
      <c r="A1170" s="224">
        <v>1169</v>
      </c>
      <c r="B1170" s="58">
        <v>25147</v>
      </c>
      <c r="C1170" s="57" t="s">
        <v>4482</v>
      </c>
      <c r="D1170" s="57" t="s">
        <v>2582</v>
      </c>
      <c r="E1170" s="57" t="s">
        <v>2860</v>
      </c>
      <c r="F1170" s="58" t="s">
        <v>4485</v>
      </c>
      <c r="G1170" s="57">
        <v>5</v>
      </c>
      <c r="H1170" s="57" t="s">
        <v>2557</v>
      </c>
      <c r="I1170" s="58">
        <v>65984</v>
      </c>
      <c r="J1170" s="234" t="s">
        <v>4486</v>
      </c>
      <c r="K1170" s="58">
        <v>181.19</v>
      </c>
      <c r="L1170" s="58">
        <v>0</v>
      </c>
      <c r="M1170" s="58">
        <v>0</v>
      </c>
      <c r="N1170" s="58">
        <v>7.1928999999999998</v>
      </c>
      <c r="O1170" s="224">
        <f t="shared" si="8"/>
        <v>181.19</v>
      </c>
      <c r="P1170" s="227">
        <f t="shared" si="9"/>
        <v>25.190118033060379</v>
      </c>
    </row>
    <row r="1171" spans="1:16" ht="14.25">
      <c r="A1171" s="224">
        <v>1170</v>
      </c>
      <c r="B1171" s="58">
        <v>25153</v>
      </c>
      <c r="C1171" s="57" t="s">
        <v>4487</v>
      </c>
      <c r="D1171" s="57" t="s">
        <v>45</v>
      </c>
      <c r="E1171" s="57" t="s">
        <v>2860</v>
      </c>
      <c r="F1171" s="58" t="s">
        <v>4488</v>
      </c>
      <c r="G1171" s="57">
        <v>5</v>
      </c>
      <c r="H1171" s="57" t="s">
        <v>2557</v>
      </c>
      <c r="I1171" s="58">
        <v>65996</v>
      </c>
      <c r="J1171" s="234" t="s">
        <v>4489</v>
      </c>
      <c r="K1171" s="58">
        <v>3.99</v>
      </c>
      <c r="L1171" s="58">
        <v>0</v>
      </c>
      <c r="M1171" s="58">
        <v>0</v>
      </c>
      <c r="N1171" s="58">
        <v>1</v>
      </c>
      <c r="O1171" s="224">
        <f t="shared" si="8"/>
        <v>3.99</v>
      </c>
      <c r="P1171" s="227">
        <f t="shared" si="9"/>
        <v>3.99</v>
      </c>
    </row>
    <row r="1172" spans="1:16" ht="14.25">
      <c r="A1172" s="224">
        <v>1171</v>
      </c>
      <c r="B1172" s="58">
        <v>25147</v>
      </c>
      <c r="C1172" s="57" t="s">
        <v>4482</v>
      </c>
      <c r="D1172" s="57" t="s">
        <v>2582</v>
      </c>
      <c r="E1172" s="57" t="s">
        <v>2860</v>
      </c>
      <c r="F1172" s="58" t="s">
        <v>4490</v>
      </c>
      <c r="G1172" s="57">
        <v>5</v>
      </c>
      <c r="H1172" s="57" t="s">
        <v>2557</v>
      </c>
      <c r="I1172" s="58">
        <v>65984</v>
      </c>
      <c r="J1172" s="234"/>
      <c r="K1172" s="58">
        <v>0.01</v>
      </c>
      <c r="L1172" s="58">
        <v>0</v>
      </c>
      <c r="M1172" s="58">
        <v>0</v>
      </c>
      <c r="N1172" s="58">
        <v>7.1884600000000001</v>
      </c>
      <c r="O1172" s="224">
        <f t="shared" si="8"/>
        <v>0.01</v>
      </c>
      <c r="P1172" s="227">
        <f t="shared" si="9"/>
        <v>1.391118542775504E-3</v>
      </c>
    </row>
    <row r="1173" spans="1:16" ht="14.25">
      <c r="A1173" s="224">
        <v>1172</v>
      </c>
      <c r="B1173" s="58">
        <v>18835</v>
      </c>
      <c r="C1173" s="57" t="s">
        <v>3043</v>
      </c>
      <c r="D1173" s="57" t="s">
        <v>2582</v>
      </c>
      <c r="E1173" s="57" t="s">
        <v>2860</v>
      </c>
      <c r="F1173" s="58" t="s">
        <v>4491</v>
      </c>
      <c r="G1173" s="57">
        <v>5</v>
      </c>
      <c r="H1173" s="57" t="s">
        <v>2557</v>
      </c>
      <c r="I1173" s="58">
        <v>63104</v>
      </c>
      <c r="J1173" s="234" t="s">
        <v>4492</v>
      </c>
      <c r="K1173" s="58">
        <v>37.67</v>
      </c>
      <c r="L1173" s="58">
        <v>0</v>
      </c>
      <c r="M1173" s="58">
        <v>0</v>
      </c>
      <c r="N1173" s="58">
        <v>7.1884600000000001</v>
      </c>
      <c r="O1173" s="224">
        <f t="shared" si="8"/>
        <v>37.67</v>
      </c>
      <c r="P1173" s="227">
        <f t="shared" si="9"/>
        <v>5.2403435506353242</v>
      </c>
    </row>
    <row r="1174" spans="1:16" ht="14.25">
      <c r="A1174" s="224">
        <v>1173</v>
      </c>
      <c r="B1174" s="58">
        <v>25113</v>
      </c>
      <c r="C1174" s="57" t="s">
        <v>4451</v>
      </c>
      <c r="D1174" s="57" t="s">
        <v>45</v>
      </c>
      <c r="E1174" s="57" t="s">
        <v>2860</v>
      </c>
      <c r="F1174" s="58" t="s">
        <v>4493</v>
      </c>
      <c r="G1174" s="57">
        <v>5</v>
      </c>
      <c r="H1174" s="57" t="s">
        <v>2557</v>
      </c>
      <c r="I1174" s="58">
        <v>66044</v>
      </c>
      <c r="J1174" s="234" t="s">
        <v>4494</v>
      </c>
      <c r="K1174" s="58">
        <v>1</v>
      </c>
      <c r="L1174" s="58">
        <v>0</v>
      </c>
      <c r="M1174" s="58">
        <v>0</v>
      </c>
      <c r="N1174" s="58">
        <v>1</v>
      </c>
      <c r="O1174" s="224">
        <f t="shared" si="8"/>
        <v>1</v>
      </c>
      <c r="P1174" s="227">
        <f t="shared" si="9"/>
        <v>1</v>
      </c>
    </row>
    <row r="1175" spans="1:16" ht="14.25">
      <c r="A1175" s="224">
        <v>1174</v>
      </c>
      <c r="B1175" s="58">
        <v>25156</v>
      </c>
      <c r="C1175" s="57" t="s">
        <v>4495</v>
      </c>
      <c r="D1175" s="57" t="s">
        <v>45</v>
      </c>
      <c r="E1175" s="57" t="s">
        <v>2860</v>
      </c>
      <c r="F1175" s="58" t="s">
        <v>4496</v>
      </c>
      <c r="G1175" s="57">
        <v>5</v>
      </c>
      <c r="H1175" s="57" t="s">
        <v>2557</v>
      </c>
      <c r="I1175" s="58">
        <v>66056</v>
      </c>
      <c r="J1175" s="234" t="s">
        <v>4497</v>
      </c>
      <c r="K1175" s="58">
        <v>20.25</v>
      </c>
      <c r="L1175" s="58">
        <v>0</v>
      </c>
      <c r="M1175" s="58">
        <v>0</v>
      </c>
      <c r="N1175" s="58">
        <v>1</v>
      </c>
      <c r="O1175" s="224">
        <f t="shared" si="8"/>
        <v>20.25</v>
      </c>
      <c r="P1175" s="227">
        <f t="shared" si="9"/>
        <v>20.25</v>
      </c>
    </row>
    <row r="1176" spans="1:16" ht="14.25">
      <c r="A1176" s="224">
        <v>1175</v>
      </c>
      <c r="B1176" s="58">
        <v>124</v>
      </c>
      <c r="C1176" s="57" t="s">
        <v>4498</v>
      </c>
      <c r="D1176" s="57" t="s">
        <v>2582</v>
      </c>
      <c r="E1176" s="57" t="s">
        <v>2860</v>
      </c>
      <c r="F1176" s="58" t="s">
        <v>4499</v>
      </c>
      <c r="G1176" s="57">
        <v>5</v>
      </c>
      <c r="H1176" s="57" t="s">
        <v>2557</v>
      </c>
      <c r="I1176" s="58">
        <v>66080</v>
      </c>
      <c r="J1176" s="234" t="s">
        <v>4500</v>
      </c>
      <c r="K1176" s="58">
        <v>7.26</v>
      </c>
      <c r="L1176" s="58">
        <v>0</v>
      </c>
      <c r="M1176" s="58">
        <v>0</v>
      </c>
      <c r="N1176" s="58">
        <v>7.1884600000000001</v>
      </c>
      <c r="O1176" s="224">
        <f t="shared" si="8"/>
        <v>7.26</v>
      </c>
      <c r="P1176" s="227">
        <f t="shared" si="9"/>
        <v>1.009952062055016</v>
      </c>
    </row>
    <row r="1177" spans="1:16" ht="14.25">
      <c r="A1177" s="224">
        <v>1176</v>
      </c>
      <c r="B1177" s="58">
        <v>161</v>
      </c>
      <c r="C1177" s="57" t="s">
        <v>4501</v>
      </c>
      <c r="D1177" s="57" t="s">
        <v>2582</v>
      </c>
      <c r="E1177" s="57" t="s">
        <v>2860</v>
      </c>
      <c r="F1177" s="58" t="s">
        <v>4502</v>
      </c>
      <c r="G1177" s="57">
        <v>5</v>
      </c>
      <c r="H1177" s="57" t="s">
        <v>2557</v>
      </c>
      <c r="I1177" s="58">
        <v>66092</v>
      </c>
      <c r="J1177" s="234" t="s">
        <v>4503</v>
      </c>
      <c r="K1177" s="58">
        <v>14.38</v>
      </c>
      <c r="L1177" s="58">
        <v>0</v>
      </c>
      <c r="M1177" s="58">
        <v>0</v>
      </c>
      <c r="N1177" s="58">
        <v>7.1884600000000001</v>
      </c>
      <c r="O1177" s="224">
        <f t="shared" si="8"/>
        <v>14.38</v>
      </c>
      <c r="P1177" s="227">
        <f t="shared" si="9"/>
        <v>2.0004284645111747</v>
      </c>
    </row>
    <row r="1178" spans="1:16" ht="14.25">
      <c r="A1178" s="224">
        <v>1177</v>
      </c>
      <c r="B1178" s="58">
        <v>161</v>
      </c>
      <c r="C1178" s="57" t="s">
        <v>4501</v>
      </c>
      <c r="D1178" s="57" t="s">
        <v>2582</v>
      </c>
      <c r="E1178" s="57" t="s">
        <v>2860</v>
      </c>
      <c r="F1178" s="58" t="s">
        <v>4504</v>
      </c>
      <c r="G1178" s="57">
        <v>5</v>
      </c>
      <c r="H1178" s="57" t="s">
        <v>2557</v>
      </c>
      <c r="I1178" s="58">
        <v>66092</v>
      </c>
      <c r="J1178" s="234"/>
      <c r="K1178" s="58">
        <v>0.01</v>
      </c>
      <c r="L1178" s="58">
        <v>0</v>
      </c>
      <c r="M1178" s="58">
        <v>0</v>
      </c>
      <c r="N1178" s="58">
        <v>7.1884600000000001</v>
      </c>
      <c r="O1178" s="224">
        <f t="shared" si="8"/>
        <v>0.01</v>
      </c>
      <c r="P1178" s="227">
        <f t="shared" si="9"/>
        <v>1.391118542775504E-3</v>
      </c>
    </row>
    <row r="1179" spans="1:16" ht="14.25">
      <c r="A1179" s="224">
        <v>1178</v>
      </c>
      <c r="B1179" s="58">
        <v>25147</v>
      </c>
      <c r="C1179" s="57" t="s">
        <v>4482</v>
      </c>
      <c r="D1179" s="57" t="s">
        <v>2582</v>
      </c>
      <c r="E1179" s="57" t="s">
        <v>2860</v>
      </c>
      <c r="F1179" s="58" t="s">
        <v>4505</v>
      </c>
      <c r="G1179" s="57">
        <v>5</v>
      </c>
      <c r="H1179" s="57" t="s">
        <v>4506</v>
      </c>
      <c r="I1179" s="58">
        <v>65972</v>
      </c>
      <c r="J1179" s="234"/>
      <c r="K1179" s="58">
        <v>0</v>
      </c>
      <c r="L1179" s="58">
        <v>0</v>
      </c>
      <c r="M1179" s="58">
        <v>60.39</v>
      </c>
      <c r="N1179" s="58">
        <v>7.1928999999999998</v>
      </c>
      <c r="O1179" s="224">
        <f t="shared" si="8"/>
        <v>-60.39</v>
      </c>
      <c r="P1179" s="227">
        <f t="shared" si="9"/>
        <v>-8.3957791711270833</v>
      </c>
    </row>
    <row r="1180" spans="1:16" ht="14.25">
      <c r="A1180" s="224">
        <v>1179</v>
      </c>
      <c r="B1180" s="58">
        <v>25147</v>
      </c>
      <c r="C1180" s="57" t="s">
        <v>4482</v>
      </c>
      <c r="D1180" s="57" t="s">
        <v>2582</v>
      </c>
      <c r="E1180" s="57" t="s">
        <v>2860</v>
      </c>
      <c r="F1180" s="58" t="s">
        <v>4507</v>
      </c>
      <c r="G1180" s="57">
        <v>5</v>
      </c>
      <c r="H1180" s="57" t="s">
        <v>4508</v>
      </c>
      <c r="I1180" s="58">
        <v>65984</v>
      </c>
      <c r="J1180" s="234"/>
      <c r="K1180" s="58">
        <v>0</v>
      </c>
      <c r="L1180" s="58">
        <v>0</v>
      </c>
      <c r="M1180" s="58">
        <v>0.01</v>
      </c>
      <c r="N1180" s="58">
        <v>7.1884600000000001</v>
      </c>
      <c r="O1180" s="224">
        <f t="shared" si="8"/>
        <v>-0.01</v>
      </c>
      <c r="P1180" s="227">
        <f t="shared" si="9"/>
        <v>-1.391118542775504E-3</v>
      </c>
    </row>
    <row r="1181" spans="1:16" ht="14.25">
      <c r="A1181" s="224">
        <v>1180</v>
      </c>
      <c r="B1181" s="58">
        <v>25147</v>
      </c>
      <c r="C1181" s="57" t="s">
        <v>4482</v>
      </c>
      <c r="D1181" s="57" t="s">
        <v>2582</v>
      </c>
      <c r="E1181" s="57" t="s">
        <v>2860</v>
      </c>
      <c r="F1181" s="58" t="s">
        <v>4509</v>
      </c>
      <c r="G1181" s="57">
        <v>5</v>
      </c>
      <c r="H1181" s="57" t="s">
        <v>4510</v>
      </c>
      <c r="I1181" s="58">
        <v>65984</v>
      </c>
      <c r="J1181" s="234"/>
      <c r="K1181" s="58">
        <v>0</v>
      </c>
      <c r="L1181" s="58">
        <v>0</v>
      </c>
      <c r="M1181" s="58">
        <v>181.19</v>
      </c>
      <c r="N1181" s="58">
        <v>7.1928999999999998</v>
      </c>
      <c r="O1181" s="224">
        <f t="shared" si="8"/>
        <v>-181.19</v>
      </c>
      <c r="P1181" s="227">
        <f t="shared" si="9"/>
        <v>-25.190118033060379</v>
      </c>
    </row>
    <row r="1182" spans="1:16" ht="14.25">
      <c r="A1182" s="224">
        <v>1181</v>
      </c>
      <c r="B1182" s="58">
        <v>19314</v>
      </c>
      <c r="C1182" s="57" t="s">
        <v>3119</v>
      </c>
      <c r="D1182" s="57" t="s">
        <v>45</v>
      </c>
      <c r="E1182" s="57" t="s">
        <v>2874</v>
      </c>
      <c r="F1182" s="58" t="s">
        <v>4511</v>
      </c>
      <c r="G1182" s="57">
        <v>5</v>
      </c>
      <c r="H1182" s="57" t="s">
        <v>2557</v>
      </c>
      <c r="I1182" s="58">
        <v>66116</v>
      </c>
      <c r="J1182" s="234"/>
      <c r="K1182" s="58">
        <v>17</v>
      </c>
      <c r="L1182" s="58">
        <v>0</v>
      </c>
      <c r="M1182" s="58">
        <v>0</v>
      </c>
      <c r="N1182" s="58">
        <v>1</v>
      </c>
      <c r="O1182" s="224">
        <f t="shared" si="8"/>
        <v>17</v>
      </c>
      <c r="P1182" s="227">
        <f t="shared" si="9"/>
        <v>17</v>
      </c>
    </row>
    <row r="1183" spans="1:16" ht="14.25">
      <c r="A1183" s="224">
        <v>1182</v>
      </c>
      <c r="B1183" s="58">
        <v>19314</v>
      </c>
      <c r="C1183" s="57" t="s">
        <v>3119</v>
      </c>
      <c r="D1183" s="57" t="s">
        <v>45</v>
      </c>
      <c r="E1183" s="57" t="s">
        <v>2874</v>
      </c>
      <c r="F1183" s="58" t="s">
        <v>4512</v>
      </c>
      <c r="G1183" s="57">
        <v>5</v>
      </c>
      <c r="H1183" s="57" t="s">
        <v>2557</v>
      </c>
      <c r="I1183" s="58">
        <v>66128</v>
      </c>
      <c r="J1183" s="234"/>
      <c r="K1183" s="58">
        <v>17</v>
      </c>
      <c r="L1183" s="58">
        <v>0</v>
      </c>
      <c r="M1183" s="58">
        <v>0</v>
      </c>
      <c r="N1183" s="58">
        <v>1</v>
      </c>
      <c r="O1183" s="224">
        <f t="shared" si="8"/>
        <v>17</v>
      </c>
      <c r="P1183" s="227">
        <f t="shared" si="9"/>
        <v>17</v>
      </c>
    </row>
    <row r="1184" spans="1:16" ht="14.25">
      <c r="A1184" s="224">
        <v>1183</v>
      </c>
      <c r="B1184" s="58">
        <v>25138</v>
      </c>
      <c r="C1184" s="57" t="s">
        <v>4513</v>
      </c>
      <c r="D1184" s="57" t="s">
        <v>2582</v>
      </c>
      <c r="E1184" s="57" t="s">
        <v>2860</v>
      </c>
      <c r="F1184" s="58" t="s">
        <v>4514</v>
      </c>
      <c r="G1184" s="57">
        <v>5</v>
      </c>
      <c r="H1184" s="57" t="s">
        <v>2557</v>
      </c>
      <c r="I1184" s="58">
        <v>66140</v>
      </c>
      <c r="J1184" s="234" t="s">
        <v>4515</v>
      </c>
      <c r="K1184" s="58">
        <v>143.69999999999999</v>
      </c>
      <c r="L1184" s="58">
        <v>0</v>
      </c>
      <c r="M1184" s="58">
        <v>0</v>
      </c>
      <c r="N1184" s="58">
        <v>7.1884600000000001</v>
      </c>
      <c r="O1184" s="224">
        <f t="shared" si="8"/>
        <v>143.69999999999999</v>
      </c>
      <c r="P1184" s="227">
        <f t="shared" si="9"/>
        <v>19.99037345968399</v>
      </c>
    </row>
    <row r="1185" spans="1:16" ht="14.25">
      <c r="A1185" s="224">
        <v>1184</v>
      </c>
      <c r="B1185" s="58">
        <v>25160</v>
      </c>
      <c r="C1185" s="57" t="s">
        <v>4516</v>
      </c>
      <c r="D1185" s="57" t="s">
        <v>45</v>
      </c>
      <c r="E1185" s="57" t="s">
        <v>2860</v>
      </c>
      <c r="F1185" s="58" t="s">
        <v>4517</v>
      </c>
      <c r="G1185" s="57">
        <v>5</v>
      </c>
      <c r="H1185" s="57" t="s">
        <v>2557</v>
      </c>
      <c r="I1185" s="58">
        <v>66152</v>
      </c>
      <c r="J1185" s="234" t="s">
        <v>4518</v>
      </c>
      <c r="K1185" s="58">
        <v>14.39</v>
      </c>
      <c r="L1185" s="58">
        <v>0</v>
      </c>
      <c r="M1185" s="58">
        <v>0</v>
      </c>
      <c r="N1185" s="58">
        <v>1</v>
      </c>
      <c r="O1185" s="224">
        <f t="shared" si="8"/>
        <v>14.39</v>
      </c>
      <c r="P1185" s="227">
        <f t="shared" si="9"/>
        <v>14.39</v>
      </c>
    </row>
    <row r="1186" spans="1:16" ht="14.25">
      <c r="A1186" s="224">
        <v>1185</v>
      </c>
      <c r="B1186" s="58">
        <v>24810</v>
      </c>
      <c r="C1186" s="57" t="s">
        <v>4310</v>
      </c>
      <c r="D1186" s="57" t="s">
        <v>45</v>
      </c>
      <c r="E1186" s="57" t="s">
        <v>2860</v>
      </c>
      <c r="F1186" s="58" t="s">
        <v>4519</v>
      </c>
      <c r="G1186" s="57">
        <v>5</v>
      </c>
      <c r="H1186" s="57" t="s">
        <v>2557</v>
      </c>
      <c r="I1186" s="58">
        <v>65912</v>
      </c>
      <c r="J1186" s="234" t="s">
        <v>4520</v>
      </c>
      <c r="K1186" s="58">
        <v>4.16</v>
      </c>
      <c r="L1186" s="58">
        <v>0</v>
      </c>
      <c r="M1186" s="58">
        <v>0</v>
      </c>
      <c r="N1186" s="58">
        <v>1</v>
      </c>
      <c r="O1186" s="224">
        <f t="shared" si="8"/>
        <v>4.16</v>
      </c>
      <c r="P1186" s="227">
        <f t="shared" si="9"/>
        <v>4.16</v>
      </c>
    </row>
    <row r="1187" spans="1:16" ht="14.25">
      <c r="A1187" s="224">
        <v>1186</v>
      </c>
      <c r="B1187" s="58">
        <v>7254</v>
      </c>
      <c r="C1187" s="57" t="s">
        <v>4521</v>
      </c>
      <c r="D1187" s="57" t="s">
        <v>45</v>
      </c>
      <c r="E1187" s="57" t="s">
        <v>2860</v>
      </c>
      <c r="F1187" s="58" t="s">
        <v>4522</v>
      </c>
      <c r="G1187" s="57">
        <v>5</v>
      </c>
      <c r="H1187" s="57" t="s">
        <v>2557</v>
      </c>
      <c r="I1187" s="58">
        <v>66176</v>
      </c>
      <c r="J1187" s="234" t="s">
        <v>4523</v>
      </c>
      <c r="K1187" s="58">
        <v>2.39</v>
      </c>
      <c r="L1187" s="58">
        <v>0</v>
      </c>
      <c r="M1187" s="58">
        <v>0</v>
      </c>
      <c r="N1187" s="58">
        <v>1</v>
      </c>
      <c r="O1187" s="224">
        <f t="shared" si="8"/>
        <v>2.39</v>
      </c>
      <c r="P1187" s="227">
        <f t="shared" si="9"/>
        <v>2.39</v>
      </c>
    </row>
    <row r="1188" spans="1:16" ht="14.25">
      <c r="A1188" s="224">
        <v>1187</v>
      </c>
      <c r="B1188" s="58">
        <v>25170</v>
      </c>
      <c r="C1188" s="57" t="s">
        <v>4524</v>
      </c>
      <c r="D1188" s="57" t="s">
        <v>2582</v>
      </c>
      <c r="E1188" s="57" t="s">
        <v>2860</v>
      </c>
      <c r="F1188" s="58" t="s">
        <v>4525</v>
      </c>
      <c r="G1188" s="57">
        <v>5</v>
      </c>
      <c r="H1188" s="57" t="s">
        <v>2557</v>
      </c>
      <c r="I1188" s="58">
        <v>66188</v>
      </c>
      <c r="J1188" s="234" t="s">
        <v>4526</v>
      </c>
      <c r="K1188" s="58">
        <v>31.56</v>
      </c>
      <c r="L1188" s="58">
        <v>0</v>
      </c>
      <c r="M1188" s="58">
        <v>0</v>
      </c>
      <c r="N1188" s="58">
        <v>7.1884600000000001</v>
      </c>
      <c r="O1188" s="224">
        <f t="shared" si="8"/>
        <v>31.56</v>
      </c>
      <c r="P1188" s="227">
        <f t="shared" si="9"/>
        <v>4.3903701209994903</v>
      </c>
    </row>
    <row r="1189" spans="1:16" ht="14.25">
      <c r="A1189" s="224">
        <v>1188</v>
      </c>
      <c r="B1189" s="58">
        <v>25173</v>
      </c>
      <c r="C1189" s="57" t="s">
        <v>4527</v>
      </c>
      <c r="D1189" s="57" t="s">
        <v>45</v>
      </c>
      <c r="E1189" s="57" t="s">
        <v>2860</v>
      </c>
      <c r="F1189" s="58" t="s">
        <v>4528</v>
      </c>
      <c r="G1189" s="57">
        <v>5</v>
      </c>
      <c r="H1189" s="57" t="s">
        <v>2557</v>
      </c>
      <c r="I1189" s="58">
        <v>66200</v>
      </c>
      <c r="J1189" s="234" t="s">
        <v>4529</v>
      </c>
      <c r="K1189" s="58">
        <v>3.99</v>
      </c>
      <c r="L1189" s="58">
        <v>0</v>
      </c>
      <c r="M1189" s="58">
        <v>0</v>
      </c>
      <c r="N1189" s="58">
        <v>1</v>
      </c>
      <c r="O1189" s="224">
        <f t="shared" si="8"/>
        <v>3.99</v>
      </c>
      <c r="P1189" s="227">
        <f t="shared" si="9"/>
        <v>3.99</v>
      </c>
    </row>
    <row r="1190" spans="1:16" ht="14.25">
      <c r="A1190" s="224">
        <v>1189</v>
      </c>
      <c r="B1190" s="58">
        <v>25170</v>
      </c>
      <c r="C1190" s="57" t="s">
        <v>4524</v>
      </c>
      <c r="D1190" s="57" t="s">
        <v>2582</v>
      </c>
      <c r="E1190" s="57" t="s">
        <v>2860</v>
      </c>
      <c r="F1190" s="58" t="s">
        <v>4530</v>
      </c>
      <c r="G1190" s="57">
        <v>5</v>
      </c>
      <c r="H1190" s="57" t="s">
        <v>2557</v>
      </c>
      <c r="I1190" s="58">
        <v>66188</v>
      </c>
      <c r="J1190" s="234"/>
      <c r="K1190" s="58">
        <v>0.01</v>
      </c>
      <c r="L1190" s="58">
        <v>0</v>
      </c>
      <c r="M1190" s="58">
        <v>0</v>
      </c>
      <c r="N1190" s="58">
        <v>7.1884600000000001</v>
      </c>
      <c r="O1190" s="224">
        <f t="shared" si="8"/>
        <v>0.01</v>
      </c>
      <c r="P1190" s="227">
        <f t="shared" si="9"/>
        <v>1.391118542775504E-3</v>
      </c>
    </row>
    <row r="1191" spans="1:16" ht="14.25">
      <c r="A1191" s="224">
        <v>1190</v>
      </c>
      <c r="B1191" s="58">
        <v>25163</v>
      </c>
      <c r="C1191" s="57" t="s">
        <v>4531</v>
      </c>
      <c r="D1191" s="57" t="s">
        <v>45</v>
      </c>
      <c r="E1191" s="57" t="s">
        <v>2860</v>
      </c>
      <c r="F1191" s="58" t="s">
        <v>4532</v>
      </c>
      <c r="G1191" s="57">
        <v>5</v>
      </c>
      <c r="H1191" s="57" t="s">
        <v>2557</v>
      </c>
      <c r="I1191" s="58">
        <v>66164</v>
      </c>
      <c r="J1191" s="234" t="s">
        <v>4533</v>
      </c>
      <c r="K1191" s="58">
        <v>18.989999999999998</v>
      </c>
      <c r="L1191" s="58">
        <v>0</v>
      </c>
      <c r="M1191" s="58">
        <v>0</v>
      </c>
      <c r="N1191" s="58">
        <v>1</v>
      </c>
      <c r="O1191" s="224">
        <f t="shared" si="8"/>
        <v>18.989999999999998</v>
      </c>
      <c r="P1191" s="227">
        <f t="shared" si="9"/>
        <v>18.989999999999998</v>
      </c>
    </row>
    <row r="1192" spans="1:16" ht="14.25">
      <c r="A1192" s="224">
        <v>1191</v>
      </c>
      <c r="B1192" s="58">
        <v>25183</v>
      </c>
      <c r="C1192" s="244">
        <v>45719</v>
      </c>
      <c r="D1192" s="57" t="s">
        <v>2582</v>
      </c>
      <c r="E1192" s="57" t="s">
        <v>2860</v>
      </c>
      <c r="F1192" s="58" t="s">
        <v>4534</v>
      </c>
      <c r="G1192" s="57">
        <v>5</v>
      </c>
      <c r="H1192" s="57" t="s">
        <v>2557</v>
      </c>
      <c r="I1192" s="58">
        <v>66272</v>
      </c>
      <c r="J1192" s="234" t="s">
        <v>4535</v>
      </c>
      <c r="K1192" s="58">
        <v>21.49</v>
      </c>
      <c r="L1192" s="58">
        <v>0</v>
      </c>
      <c r="M1192" s="58">
        <v>0</v>
      </c>
      <c r="N1192" s="58">
        <v>7.1884600000000001</v>
      </c>
      <c r="O1192" s="224">
        <f t="shared" si="8"/>
        <v>21.49</v>
      </c>
      <c r="P1192" s="227">
        <f t="shared" si="9"/>
        <v>2.989513748424558</v>
      </c>
    </row>
    <row r="1193" spans="1:16" ht="14.25">
      <c r="A1193" s="224">
        <v>1192</v>
      </c>
      <c r="B1193" s="58">
        <v>25187</v>
      </c>
      <c r="C1193" s="57" t="s">
        <v>4536</v>
      </c>
      <c r="D1193" s="57" t="s">
        <v>45</v>
      </c>
      <c r="E1193" s="57" t="s">
        <v>9</v>
      </c>
      <c r="F1193" s="58" t="s">
        <v>4537</v>
      </c>
      <c r="G1193" s="57">
        <v>5</v>
      </c>
      <c r="H1193" s="57" t="s">
        <v>2557</v>
      </c>
      <c r="I1193" s="58">
        <v>66308</v>
      </c>
      <c r="J1193" s="234" t="s">
        <v>515</v>
      </c>
      <c r="K1193" s="58">
        <v>8.39</v>
      </c>
      <c r="L1193" s="58">
        <v>0.91</v>
      </c>
      <c r="M1193" s="58">
        <v>0</v>
      </c>
      <c r="N1193" s="58">
        <v>1</v>
      </c>
      <c r="O1193" s="224">
        <f t="shared" si="8"/>
        <v>7.48</v>
      </c>
      <c r="P1193" s="227">
        <f t="shared" si="9"/>
        <v>7.48</v>
      </c>
    </row>
    <row r="1194" spans="1:16" ht="14.25">
      <c r="A1194" s="224">
        <v>1193</v>
      </c>
      <c r="B1194" s="58">
        <v>25191</v>
      </c>
      <c r="C1194" s="57" t="s">
        <v>4538</v>
      </c>
      <c r="D1194" s="57" t="s">
        <v>45</v>
      </c>
      <c r="E1194" s="57" t="s">
        <v>2860</v>
      </c>
      <c r="F1194" s="58" t="s">
        <v>4539</v>
      </c>
      <c r="G1194" s="57">
        <v>5</v>
      </c>
      <c r="H1194" s="57" t="s">
        <v>2557</v>
      </c>
      <c r="I1194" s="58">
        <v>66332</v>
      </c>
      <c r="J1194" s="234" t="s">
        <v>4540</v>
      </c>
      <c r="K1194" s="58">
        <v>4.99</v>
      </c>
      <c r="L1194" s="58">
        <v>0</v>
      </c>
      <c r="M1194" s="58">
        <v>0</v>
      </c>
      <c r="N1194" s="58">
        <v>1</v>
      </c>
      <c r="O1194" s="224">
        <f t="shared" si="8"/>
        <v>4.99</v>
      </c>
      <c r="P1194" s="227">
        <f t="shared" si="9"/>
        <v>4.99</v>
      </c>
    </row>
    <row r="1195" spans="1:16" ht="14.25">
      <c r="A1195" s="224">
        <v>1194</v>
      </c>
      <c r="B1195" s="58">
        <v>25197</v>
      </c>
      <c r="C1195" s="57" t="s">
        <v>4541</v>
      </c>
      <c r="D1195" s="57" t="s">
        <v>45</v>
      </c>
      <c r="E1195" s="57" t="s">
        <v>2860</v>
      </c>
      <c r="F1195" s="58" t="s">
        <v>4542</v>
      </c>
      <c r="G1195" s="57">
        <v>5</v>
      </c>
      <c r="H1195" s="57" t="s">
        <v>2557</v>
      </c>
      <c r="I1195" s="58">
        <v>66344</v>
      </c>
      <c r="J1195" s="234" t="s">
        <v>4543</v>
      </c>
      <c r="K1195" s="58">
        <v>2.99</v>
      </c>
      <c r="L1195" s="58">
        <v>0</v>
      </c>
      <c r="M1195" s="58">
        <v>0</v>
      </c>
      <c r="N1195" s="58">
        <v>1</v>
      </c>
      <c r="O1195" s="224">
        <f t="shared" si="8"/>
        <v>2.99</v>
      </c>
      <c r="P1195" s="227">
        <f t="shared" si="9"/>
        <v>2.99</v>
      </c>
    </row>
    <row r="1196" spans="1:16" ht="14.25">
      <c r="A1196" s="224">
        <v>1195</v>
      </c>
      <c r="B1196" s="58">
        <v>25205</v>
      </c>
      <c r="C1196" s="57" t="s">
        <v>4544</v>
      </c>
      <c r="D1196" s="57" t="s">
        <v>45</v>
      </c>
      <c r="E1196" s="57" t="s">
        <v>2860</v>
      </c>
      <c r="F1196" s="58" t="s">
        <v>4545</v>
      </c>
      <c r="G1196" s="57">
        <v>5</v>
      </c>
      <c r="H1196" s="57" t="s">
        <v>2557</v>
      </c>
      <c r="I1196" s="58">
        <v>66356</v>
      </c>
      <c r="J1196" s="234" t="s">
        <v>4546</v>
      </c>
      <c r="K1196" s="58">
        <v>4.99</v>
      </c>
      <c r="L1196" s="58">
        <v>0</v>
      </c>
      <c r="M1196" s="58">
        <v>0</v>
      </c>
      <c r="N1196" s="58">
        <v>1</v>
      </c>
      <c r="O1196" s="224">
        <f t="shared" si="8"/>
        <v>4.99</v>
      </c>
      <c r="P1196" s="227">
        <f t="shared" si="9"/>
        <v>4.99</v>
      </c>
    </row>
    <row r="1197" spans="1:16" ht="14.25">
      <c r="A1197" s="224">
        <v>1196</v>
      </c>
      <c r="B1197" s="58">
        <v>3747</v>
      </c>
      <c r="C1197" s="57" t="s">
        <v>4039</v>
      </c>
      <c r="D1197" s="57" t="s">
        <v>2582</v>
      </c>
      <c r="E1197" s="57" t="s">
        <v>2860</v>
      </c>
      <c r="F1197" s="58" t="s">
        <v>4547</v>
      </c>
      <c r="G1197" s="57">
        <v>5</v>
      </c>
      <c r="H1197" s="57" t="s">
        <v>2557</v>
      </c>
      <c r="I1197" s="58">
        <v>63320</v>
      </c>
      <c r="J1197" s="234" t="s">
        <v>4548</v>
      </c>
      <c r="K1197" s="58">
        <v>52.09</v>
      </c>
      <c r="L1197" s="58">
        <v>0</v>
      </c>
      <c r="M1197" s="58">
        <v>0</v>
      </c>
      <c r="N1197" s="58">
        <v>7.1942899999999996</v>
      </c>
      <c r="O1197" s="224">
        <f t="shared" si="8"/>
        <v>52.09</v>
      </c>
      <c r="P1197" s="227">
        <f t="shared" si="9"/>
        <v>7.2404643126701878</v>
      </c>
    </row>
    <row r="1198" spans="1:16" ht="14.25">
      <c r="A1198" s="224">
        <v>1197</v>
      </c>
      <c r="B1198" s="58">
        <v>3747</v>
      </c>
      <c r="C1198" s="57" t="s">
        <v>4039</v>
      </c>
      <c r="D1198" s="57" t="s">
        <v>2582</v>
      </c>
      <c r="E1198" s="57" t="s">
        <v>2860</v>
      </c>
      <c r="F1198" s="58" t="s">
        <v>4549</v>
      </c>
      <c r="G1198" s="57">
        <v>5</v>
      </c>
      <c r="H1198" s="57" t="s">
        <v>2557</v>
      </c>
      <c r="I1198" s="58">
        <v>63320</v>
      </c>
      <c r="J1198" s="234"/>
      <c r="K1198" s="58">
        <v>0.03</v>
      </c>
      <c r="L1198" s="58">
        <v>0</v>
      </c>
      <c r="M1198" s="58">
        <v>0</v>
      </c>
      <c r="N1198" s="58">
        <v>7.1942899999999996</v>
      </c>
      <c r="O1198" s="224">
        <f t="shared" si="8"/>
        <v>0.03</v>
      </c>
      <c r="P1198" s="227">
        <f t="shared" si="9"/>
        <v>4.1699736874660324E-3</v>
      </c>
    </row>
    <row r="1199" spans="1:16" ht="14.25">
      <c r="A1199" s="224">
        <v>1198</v>
      </c>
      <c r="B1199" s="58">
        <v>58</v>
      </c>
      <c r="C1199" s="57" t="s">
        <v>4550</v>
      </c>
      <c r="D1199" s="57" t="s">
        <v>45</v>
      </c>
      <c r="E1199" s="57" t="s">
        <v>2860</v>
      </c>
      <c r="F1199" s="58" t="s">
        <v>4551</v>
      </c>
      <c r="G1199" s="57">
        <v>5</v>
      </c>
      <c r="H1199" s="57" t="s">
        <v>2557</v>
      </c>
      <c r="I1199" s="58">
        <v>66500</v>
      </c>
      <c r="J1199" s="234" t="s">
        <v>4552</v>
      </c>
      <c r="K1199" s="58">
        <v>1</v>
      </c>
      <c r="L1199" s="58">
        <v>0</v>
      </c>
      <c r="M1199" s="58">
        <v>0</v>
      </c>
      <c r="N1199" s="58">
        <v>1</v>
      </c>
      <c r="O1199" s="224">
        <f t="shared" si="8"/>
        <v>1</v>
      </c>
      <c r="P1199" s="227">
        <f t="shared" si="9"/>
        <v>1</v>
      </c>
    </row>
    <row r="1200" spans="1:16" ht="14.25">
      <c r="A1200" s="224">
        <v>1199</v>
      </c>
      <c r="B1200" s="58">
        <v>25239</v>
      </c>
      <c r="C1200" s="57" t="s">
        <v>4553</v>
      </c>
      <c r="D1200" s="57" t="s">
        <v>45</v>
      </c>
      <c r="E1200" s="57" t="s">
        <v>2860</v>
      </c>
      <c r="F1200" s="58" t="s">
        <v>4554</v>
      </c>
      <c r="G1200" s="57">
        <v>5</v>
      </c>
      <c r="H1200" s="57" t="s">
        <v>2557</v>
      </c>
      <c r="I1200" s="58">
        <v>66524</v>
      </c>
      <c r="J1200" s="234" t="s">
        <v>4555</v>
      </c>
      <c r="K1200" s="58">
        <v>3.99</v>
      </c>
      <c r="L1200" s="58">
        <v>0</v>
      </c>
      <c r="M1200" s="58">
        <v>0</v>
      </c>
      <c r="N1200" s="58">
        <v>1</v>
      </c>
      <c r="O1200" s="224">
        <f t="shared" si="8"/>
        <v>3.99</v>
      </c>
      <c r="P1200" s="227">
        <f t="shared" si="9"/>
        <v>3.99</v>
      </c>
    </row>
    <row r="1201" spans="1:16" ht="14.25">
      <c r="A1201" s="224">
        <v>1200</v>
      </c>
      <c r="B1201" s="58">
        <v>25191</v>
      </c>
      <c r="C1201" s="57" t="s">
        <v>4538</v>
      </c>
      <c r="D1201" s="57" t="s">
        <v>45</v>
      </c>
      <c r="E1201" s="57" t="s">
        <v>2860</v>
      </c>
      <c r="F1201" s="58" t="s">
        <v>4556</v>
      </c>
      <c r="G1201" s="57">
        <v>5</v>
      </c>
      <c r="H1201" s="57" t="s">
        <v>4557</v>
      </c>
      <c r="I1201" s="58">
        <v>66332</v>
      </c>
      <c r="J1201" s="234"/>
      <c r="K1201" s="58">
        <v>0</v>
      </c>
      <c r="L1201" s="58">
        <v>0</v>
      </c>
      <c r="M1201" s="58">
        <v>4.49</v>
      </c>
      <c r="N1201" s="58">
        <v>1</v>
      </c>
      <c r="O1201" s="224">
        <f t="shared" si="8"/>
        <v>-4.49</v>
      </c>
      <c r="P1201" s="227">
        <f t="shared" si="9"/>
        <v>-4.49</v>
      </c>
    </row>
    <row r="1202" spans="1:16" ht="14.25">
      <c r="A1202" s="224">
        <v>1201</v>
      </c>
      <c r="B1202" s="58">
        <v>25242</v>
      </c>
      <c r="C1202" s="57" t="s">
        <v>4558</v>
      </c>
      <c r="D1202" s="57" t="s">
        <v>2582</v>
      </c>
      <c r="E1202" s="57" t="s">
        <v>9</v>
      </c>
      <c r="F1202" s="58" t="s">
        <v>4559</v>
      </c>
      <c r="G1202" s="57">
        <v>5</v>
      </c>
      <c r="H1202" s="57" t="s">
        <v>2557</v>
      </c>
      <c r="I1202" s="58">
        <v>66536</v>
      </c>
      <c r="J1202" s="234" t="s">
        <v>518</v>
      </c>
      <c r="K1202" s="58">
        <v>181.66</v>
      </c>
      <c r="L1202" s="58">
        <v>12.59</v>
      </c>
      <c r="M1202" s="58">
        <v>0</v>
      </c>
      <c r="N1202" s="58">
        <v>7.1942899999999996</v>
      </c>
      <c r="O1202" s="224">
        <f t="shared" si="8"/>
        <v>169.07</v>
      </c>
      <c r="P1202" s="227">
        <f t="shared" si="9"/>
        <v>23.500581711329403</v>
      </c>
    </row>
    <row r="1203" spans="1:16" ht="14.25">
      <c r="A1203" s="224">
        <v>1202</v>
      </c>
      <c r="B1203" s="58">
        <v>7899</v>
      </c>
      <c r="C1203" s="57" t="s">
        <v>2714</v>
      </c>
      <c r="D1203" s="57" t="s">
        <v>45</v>
      </c>
      <c r="E1203" s="57" t="s">
        <v>2874</v>
      </c>
      <c r="F1203" s="58" t="s">
        <v>4560</v>
      </c>
      <c r="G1203" s="57">
        <v>5</v>
      </c>
      <c r="H1203" s="57" t="s">
        <v>2557</v>
      </c>
      <c r="I1203" s="58">
        <v>66548</v>
      </c>
      <c r="J1203" s="234" t="s">
        <v>4561</v>
      </c>
      <c r="K1203" s="58">
        <v>23.98</v>
      </c>
      <c r="L1203" s="58">
        <v>0</v>
      </c>
      <c r="M1203" s="58">
        <v>0</v>
      </c>
      <c r="N1203" s="58">
        <v>1</v>
      </c>
      <c r="O1203" s="224">
        <f t="shared" si="8"/>
        <v>23.98</v>
      </c>
      <c r="P1203" s="227">
        <f t="shared" si="9"/>
        <v>23.98</v>
      </c>
    </row>
    <row r="1204" spans="1:16" ht="14.25">
      <c r="A1204" s="224">
        <v>1203</v>
      </c>
      <c r="B1204" s="58">
        <v>25245</v>
      </c>
      <c r="C1204" s="57" t="s">
        <v>4562</v>
      </c>
      <c r="D1204" s="57" t="s">
        <v>45</v>
      </c>
      <c r="E1204" s="57" t="s">
        <v>2860</v>
      </c>
      <c r="F1204" s="58" t="s">
        <v>4563</v>
      </c>
      <c r="G1204" s="57">
        <v>5</v>
      </c>
      <c r="H1204" s="57" t="s">
        <v>2557</v>
      </c>
      <c r="I1204" s="58">
        <v>66560</v>
      </c>
      <c r="J1204" s="234" t="s">
        <v>4564</v>
      </c>
      <c r="K1204" s="58">
        <v>4.79</v>
      </c>
      <c r="L1204" s="58">
        <v>0</v>
      </c>
      <c r="M1204" s="58">
        <v>0</v>
      </c>
      <c r="N1204" s="58">
        <v>1</v>
      </c>
      <c r="O1204" s="224">
        <f t="shared" si="8"/>
        <v>4.79</v>
      </c>
      <c r="P1204" s="227">
        <f t="shared" si="9"/>
        <v>4.79</v>
      </c>
    </row>
    <row r="1205" spans="1:16" ht="14.25">
      <c r="A1205" s="224">
        <v>1204</v>
      </c>
      <c r="B1205" s="58">
        <v>23127</v>
      </c>
      <c r="C1205" s="57" t="s">
        <v>4019</v>
      </c>
      <c r="D1205" s="57" t="s">
        <v>45</v>
      </c>
      <c r="E1205" s="57" t="s">
        <v>2860</v>
      </c>
      <c r="F1205" s="58" t="s">
        <v>4565</v>
      </c>
      <c r="G1205" s="57">
        <v>5</v>
      </c>
      <c r="H1205" s="57" t="s">
        <v>2557</v>
      </c>
      <c r="I1205" s="58">
        <v>62912</v>
      </c>
      <c r="J1205" s="234" t="s">
        <v>4566</v>
      </c>
      <c r="K1205" s="58">
        <v>0.99</v>
      </c>
      <c r="L1205" s="58">
        <v>0</v>
      </c>
      <c r="M1205" s="58">
        <v>0</v>
      </c>
      <c r="N1205" s="58">
        <v>1</v>
      </c>
      <c r="O1205" s="224">
        <f t="shared" si="8"/>
        <v>0.99</v>
      </c>
      <c r="P1205" s="227">
        <f t="shared" si="9"/>
        <v>0.99</v>
      </c>
    </row>
    <row r="1206" spans="1:16" ht="14.25">
      <c r="A1206" s="224">
        <v>1205</v>
      </c>
      <c r="B1206" s="58">
        <v>25255</v>
      </c>
      <c r="C1206" s="57" t="s">
        <v>4567</v>
      </c>
      <c r="D1206" s="57" t="s">
        <v>45</v>
      </c>
      <c r="E1206" s="57" t="s">
        <v>9</v>
      </c>
      <c r="F1206" s="58" t="s">
        <v>4568</v>
      </c>
      <c r="G1206" s="57">
        <v>5</v>
      </c>
      <c r="H1206" s="57" t="s">
        <v>2557</v>
      </c>
      <c r="I1206" s="58">
        <v>66572</v>
      </c>
      <c r="J1206" s="234" t="s">
        <v>520</v>
      </c>
      <c r="K1206" s="58">
        <v>25.25</v>
      </c>
      <c r="L1206" s="58">
        <v>1.75</v>
      </c>
      <c r="M1206" s="58">
        <v>0</v>
      </c>
      <c r="N1206" s="58">
        <v>1</v>
      </c>
      <c r="O1206" s="224">
        <f t="shared" si="8"/>
        <v>23.5</v>
      </c>
      <c r="P1206" s="227">
        <f t="shared" si="9"/>
        <v>23.5</v>
      </c>
    </row>
    <row r="1207" spans="1:16" ht="14.25">
      <c r="A1207" s="224">
        <v>1206</v>
      </c>
      <c r="B1207" s="58">
        <v>20521</v>
      </c>
      <c r="C1207" s="57" t="s">
        <v>3564</v>
      </c>
      <c r="D1207" s="57" t="s">
        <v>2582</v>
      </c>
      <c r="E1207" s="57" t="s">
        <v>2860</v>
      </c>
      <c r="F1207" s="58" t="s">
        <v>4569</v>
      </c>
      <c r="G1207" s="57">
        <v>5</v>
      </c>
      <c r="H1207" s="57" t="s">
        <v>2557</v>
      </c>
      <c r="I1207" s="58">
        <v>66584</v>
      </c>
      <c r="J1207" s="234" t="s">
        <v>4570</v>
      </c>
      <c r="K1207" s="58">
        <v>17.190000000000001</v>
      </c>
      <c r="L1207" s="58">
        <v>0</v>
      </c>
      <c r="M1207" s="58">
        <v>0</v>
      </c>
      <c r="N1207" s="58">
        <v>7.1942899999999996</v>
      </c>
      <c r="O1207" s="224">
        <f t="shared" si="8"/>
        <v>17.190000000000001</v>
      </c>
      <c r="P1207" s="227">
        <f t="shared" si="9"/>
        <v>2.3893949229180369</v>
      </c>
    </row>
    <row r="1208" spans="1:16" ht="14.25">
      <c r="A1208" s="224">
        <v>1207</v>
      </c>
      <c r="B1208" s="58">
        <v>20521</v>
      </c>
      <c r="C1208" s="57" t="s">
        <v>3564</v>
      </c>
      <c r="D1208" s="57" t="s">
        <v>2582</v>
      </c>
      <c r="E1208" s="57" t="s">
        <v>2860</v>
      </c>
      <c r="F1208" s="233">
        <v>45663.063888888886</v>
      </c>
      <c r="G1208" s="57">
        <v>6</v>
      </c>
      <c r="H1208" s="57" t="s">
        <v>2557</v>
      </c>
      <c r="I1208" s="58">
        <v>66584</v>
      </c>
      <c r="J1208" s="234"/>
      <c r="K1208" s="58">
        <v>0.02</v>
      </c>
      <c r="L1208" s="58">
        <v>0</v>
      </c>
      <c r="M1208" s="58">
        <v>0</v>
      </c>
      <c r="N1208" s="58">
        <v>7.1942899999999996</v>
      </c>
      <c r="O1208" s="224">
        <f t="shared" si="8"/>
        <v>0.02</v>
      </c>
      <c r="P1208" s="227">
        <f t="shared" si="9"/>
        <v>2.7799824583106883E-3</v>
      </c>
    </row>
    <row r="1209" spans="1:16" ht="14.25">
      <c r="A1209" s="224">
        <v>1208</v>
      </c>
      <c r="B1209" s="58">
        <v>25262</v>
      </c>
      <c r="C1209" s="57" t="s">
        <v>4571</v>
      </c>
      <c r="D1209" s="57" t="s">
        <v>2582</v>
      </c>
      <c r="E1209" s="57" t="s">
        <v>2860</v>
      </c>
      <c r="F1209" s="233">
        <v>45663.111805555556</v>
      </c>
      <c r="G1209" s="57">
        <v>6</v>
      </c>
      <c r="H1209" s="57" t="s">
        <v>2557</v>
      </c>
      <c r="I1209" s="58">
        <v>66596</v>
      </c>
      <c r="J1209" s="234" t="s">
        <v>4572</v>
      </c>
      <c r="K1209" s="58">
        <v>46.48</v>
      </c>
      <c r="L1209" s="58">
        <v>0</v>
      </c>
      <c r="M1209" s="58">
        <v>0</v>
      </c>
      <c r="N1209" s="58">
        <v>7.1942899999999996</v>
      </c>
      <c r="O1209" s="224">
        <f t="shared" si="8"/>
        <v>46.48</v>
      </c>
      <c r="P1209" s="227">
        <f t="shared" si="9"/>
        <v>6.460679233114039</v>
      </c>
    </row>
    <row r="1210" spans="1:16" ht="14.25">
      <c r="A1210" s="224">
        <v>1209</v>
      </c>
      <c r="B1210" s="58">
        <v>25274</v>
      </c>
      <c r="C1210" s="57" t="s">
        <v>4573</v>
      </c>
      <c r="D1210" s="57" t="s">
        <v>2582</v>
      </c>
      <c r="E1210" s="57" t="s">
        <v>2860</v>
      </c>
      <c r="F1210" s="233">
        <v>45663.291666666664</v>
      </c>
      <c r="G1210" s="57">
        <v>6</v>
      </c>
      <c r="H1210" s="57" t="s">
        <v>2557</v>
      </c>
      <c r="I1210" s="58">
        <v>66608</v>
      </c>
      <c r="J1210" s="234" t="s">
        <v>4574</v>
      </c>
      <c r="K1210" s="58">
        <v>21.51</v>
      </c>
      <c r="L1210" s="58">
        <v>0</v>
      </c>
      <c r="M1210" s="58">
        <v>0</v>
      </c>
      <c r="N1210" s="58">
        <v>7.1942899999999996</v>
      </c>
      <c r="O1210" s="224">
        <f t="shared" si="8"/>
        <v>21.51</v>
      </c>
      <c r="P1210" s="227">
        <f t="shared" si="9"/>
        <v>2.9898711339131454</v>
      </c>
    </row>
    <row r="1211" spans="1:16" ht="14.25">
      <c r="A1211" s="224">
        <v>1210</v>
      </c>
      <c r="B1211" s="58">
        <v>25191</v>
      </c>
      <c r="C1211" s="57" t="s">
        <v>4538</v>
      </c>
      <c r="D1211" s="57" t="s">
        <v>45</v>
      </c>
      <c r="E1211" s="57" t="s">
        <v>2860</v>
      </c>
      <c r="F1211" s="233">
        <v>45663.395138888889</v>
      </c>
      <c r="G1211" s="57">
        <v>6</v>
      </c>
      <c r="H1211" s="57" t="s">
        <v>2557</v>
      </c>
      <c r="I1211" s="58">
        <v>66692</v>
      </c>
      <c r="J1211" s="234" t="s">
        <v>4575</v>
      </c>
      <c r="K1211" s="58">
        <v>29.99</v>
      </c>
      <c r="L1211" s="58">
        <v>0</v>
      </c>
      <c r="M1211" s="58">
        <v>0</v>
      </c>
      <c r="N1211" s="58">
        <v>1</v>
      </c>
      <c r="O1211" s="224">
        <f t="shared" si="8"/>
        <v>29.99</v>
      </c>
      <c r="P1211" s="227">
        <f t="shared" si="9"/>
        <v>29.99</v>
      </c>
    </row>
    <row r="1212" spans="1:16" ht="14.25">
      <c r="A1212" s="224">
        <v>1211</v>
      </c>
      <c r="B1212" s="56">
        <v>7899</v>
      </c>
      <c r="C1212" s="56" t="s">
        <v>2714</v>
      </c>
      <c r="D1212" s="56" t="s">
        <v>45</v>
      </c>
      <c r="E1212" s="56" t="s">
        <v>2874</v>
      </c>
      <c r="F1212" s="245">
        <v>45663.44027777778</v>
      </c>
      <c r="G1212" s="56">
        <v>6</v>
      </c>
      <c r="H1212" s="56" t="s">
        <v>2557</v>
      </c>
      <c r="I1212" s="56">
        <v>66704</v>
      </c>
      <c r="J1212" s="246" t="s">
        <v>4576</v>
      </c>
      <c r="K1212" s="56">
        <v>23.98</v>
      </c>
      <c r="L1212" s="56">
        <v>0</v>
      </c>
      <c r="M1212" s="56">
        <v>0</v>
      </c>
      <c r="N1212" s="56">
        <v>1</v>
      </c>
      <c r="O1212" s="181">
        <f t="shared" si="8"/>
        <v>23.98</v>
      </c>
      <c r="P1212" s="247">
        <f t="shared" si="9"/>
        <v>23.98</v>
      </c>
    </row>
    <row r="1213" spans="1:16" ht="14.25">
      <c r="A1213" s="224">
        <v>1212</v>
      </c>
      <c r="B1213" s="58">
        <v>25274</v>
      </c>
      <c r="C1213" s="57" t="s">
        <v>4573</v>
      </c>
      <c r="D1213" s="57" t="s">
        <v>2582</v>
      </c>
      <c r="E1213" s="57" t="s">
        <v>2860</v>
      </c>
      <c r="F1213" s="233">
        <v>45663.463194444441</v>
      </c>
      <c r="G1213" s="57">
        <v>6</v>
      </c>
      <c r="H1213" s="57" t="s">
        <v>2557</v>
      </c>
      <c r="I1213" s="58">
        <v>66716</v>
      </c>
      <c r="J1213" s="234" t="s">
        <v>4577</v>
      </c>
      <c r="K1213" s="58">
        <v>115.11</v>
      </c>
      <c r="L1213" s="58">
        <v>0</v>
      </c>
      <c r="M1213" s="58">
        <v>0</v>
      </c>
      <c r="N1213" s="58">
        <v>7.1942899999999996</v>
      </c>
      <c r="O1213" s="224">
        <f t="shared" si="8"/>
        <v>115.11</v>
      </c>
      <c r="P1213" s="227">
        <f t="shared" si="9"/>
        <v>16.000189038807164</v>
      </c>
    </row>
    <row r="1214" spans="1:16" ht="14.25">
      <c r="A1214" s="224">
        <v>1213</v>
      </c>
      <c r="B1214" s="56">
        <v>19275</v>
      </c>
      <c r="C1214" s="56" t="s">
        <v>3112</v>
      </c>
      <c r="D1214" s="56" t="s">
        <v>45</v>
      </c>
      <c r="E1214" s="56" t="s">
        <v>2874</v>
      </c>
      <c r="F1214" s="245">
        <v>45663.472916666666</v>
      </c>
      <c r="G1214" s="56">
        <v>6</v>
      </c>
      <c r="H1214" s="56" t="s">
        <v>2557</v>
      </c>
      <c r="I1214" s="56">
        <v>66728</v>
      </c>
      <c r="J1214" s="246" t="s">
        <v>4578</v>
      </c>
      <c r="K1214" s="56">
        <v>119.98</v>
      </c>
      <c r="L1214" s="56">
        <v>0</v>
      </c>
      <c r="M1214" s="56">
        <v>0</v>
      </c>
      <c r="N1214" s="56">
        <v>1</v>
      </c>
      <c r="O1214" s="181">
        <f t="shared" si="8"/>
        <v>119.98</v>
      </c>
      <c r="P1214" s="247">
        <f t="shared" si="9"/>
        <v>119.98</v>
      </c>
    </row>
    <row r="1215" spans="1:16" ht="14.25">
      <c r="A1215" s="224">
        <v>1214</v>
      </c>
      <c r="B1215" s="58">
        <v>1836</v>
      </c>
      <c r="C1215" s="57" t="s">
        <v>2882</v>
      </c>
      <c r="D1215" s="57" t="s">
        <v>2582</v>
      </c>
      <c r="E1215" s="57" t="s">
        <v>2860</v>
      </c>
      <c r="F1215" s="233">
        <v>45663.529861111114</v>
      </c>
      <c r="G1215" s="57">
        <v>6</v>
      </c>
      <c r="H1215" s="57" t="s">
        <v>2557</v>
      </c>
      <c r="I1215" s="58">
        <v>66380</v>
      </c>
      <c r="J1215" s="234" t="s">
        <v>4579</v>
      </c>
      <c r="K1215" s="58">
        <v>572.88</v>
      </c>
      <c r="L1215" s="58">
        <v>0</v>
      </c>
      <c r="M1215" s="58">
        <v>0</v>
      </c>
      <c r="N1215" s="58">
        <v>7.1942899999999996</v>
      </c>
      <c r="O1215" s="224">
        <f t="shared" si="8"/>
        <v>572.88</v>
      </c>
      <c r="P1215" s="227">
        <f t="shared" si="9"/>
        <v>79.629817535851359</v>
      </c>
    </row>
    <row r="1216" spans="1:16" ht="14.25">
      <c r="A1216" s="224">
        <v>1215</v>
      </c>
      <c r="B1216" s="58">
        <v>1836</v>
      </c>
      <c r="C1216" s="57" t="s">
        <v>2882</v>
      </c>
      <c r="D1216" s="57" t="s">
        <v>2582</v>
      </c>
      <c r="E1216" s="57" t="s">
        <v>2860</v>
      </c>
      <c r="F1216" s="233">
        <v>45663.534722222219</v>
      </c>
      <c r="G1216" s="57">
        <v>6</v>
      </c>
      <c r="H1216" s="57" t="s">
        <v>2557</v>
      </c>
      <c r="I1216" s="58">
        <v>66380</v>
      </c>
      <c r="J1216" s="234"/>
      <c r="K1216" s="58">
        <v>0.03</v>
      </c>
      <c r="L1216" s="58">
        <v>0</v>
      </c>
      <c r="M1216" s="58">
        <v>0</v>
      </c>
      <c r="N1216" s="58">
        <v>7.1942899999999996</v>
      </c>
      <c r="O1216" s="224">
        <f t="shared" si="8"/>
        <v>0.03</v>
      </c>
      <c r="P1216" s="227">
        <f t="shared" si="9"/>
        <v>4.1699736874660324E-3</v>
      </c>
    </row>
    <row r="1217" spans="1:16" ht="14.25">
      <c r="A1217" s="224">
        <v>1216</v>
      </c>
      <c r="B1217" s="58">
        <v>20719</v>
      </c>
      <c r="C1217" s="57" t="s">
        <v>3593</v>
      </c>
      <c r="D1217" s="57" t="s">
        <v>2582</v>
      </c>
      <c r="E1217" s="57" t="s">
        <v>2860</v>
      </c>
      <c r="F1217" s="233">
        <v>45663.575694444444</v>
      </c>
      <c r="G1217" s="57">
        <v>6</v>
      </c>
      <c r="H1217" s="57" t="s">
        <v>2557</v>
      </c>
      <c r="I1217" s="58">
        <v>66740</v>
      </c>
      <c r="J1217" s="234" t="s">
        <v>4580</v>
      </c>
      <c r="K1217" s="58">
        <v>35.9</v>
      </c>
      <c r="L1217" s="58">
        <v>0</v>
      </c>
      <c r="M1217" s="58">
        <v>0</v>
      </c>
      <c r="N1217" s="58">
        <v>7.1942899999999996</v>
      </c>
      <c r="O1217" s="224">
        <f t="shared" si="8"/>
        <v>35.9</v>
      </c>
      <c r="P1217" s="227">
        <f t="shared" si="9"/>
        <v>4.9900685126676851</v>
      </c>
    </row>
    <row r="1218" spans="1:16" ht="14.25">
      <c r="A1218" s="224">
        <v>1217</v>
      </c>
      <c r="B1218" s="58">
        <v>20719</v>
      </c>
      <c r="C1218" s="57" t="s">
        <v>3593</v>
      </c>
      <c r="D1218" s="57" t="s">
        <v>2582</v>
      </c>
      <c r="E1218" s="57" t="s">
        <v>2860</v>
      </c>
      <c r="F1218" s="233">
        <v>45663.586805555555</v>
      </c>
      <c r="G1218" s="57">
        <v>6</v>
      </c>
      <c r="H1218" s="57" t="s">
        <v>2557</v>
      </c>
      <c r="I1218" s="58">
        <v>66740</v>
      </c>
      <c r="J1218" s="234"/>
      <c r="K1218" s="58">
        <v>0.03</v>
      </c>
      <c r="L1218" s="58">
        <v>0</v>
      </c>
      <c r="M1218" s="58">
        <v>0</v>
      </c>
      <c r="N1218" s="58">
        <v>7.1942899999999996</v>
      </c>
      <c r="O1218" s="224">
        <f t="shared" si="8"/>
        <v>0.03</v>
      </c>
      <c r="P1218" s="227">
        <f t="shared" si="9"/>
        <v>4.1699736874660324E-3</v>
      </c>
    </row>
    <row r="1219" spans="1:16" ht="14.25">
      <c r="A1219" s="224">
        <v>1218</v>
      </c>
      <c r="B1219" s="58">
        <v>318</v>
      </c>
      <c r="C1219" s="57" t="s">
        <v>2877</v>
      </c>
      <c r="D1219" s="57" t="s">
        <v>45</v>
      </c>
      <c r="E1219" s="57" t="s">
        <v>2860</v>
      </c>
      <c r="F1219" s="233">
        <v>45663.602777777778</v>
      </c>
      <c r="G1219" s="57">
        <v>6</v>
      </c>
      <c r="H1219" s="57" t="s">
        <v>2557</v>
      </c>
      <c r="I1219" s="58">
        <v>63644</v>
      </c>
      <c r="J1219" s="234" t="s">
        <v>4581</v>
      </c>
      <c r="K1219" s="58">
        <v>1.0900000000000001</v>
      </c>
      <c r="L1219" s="58">
        <v>0</v>
      </c>
      <c r="M1219" s="58">
        <v>0</v>
      </c>
      <c r="N1219" s="58">
        <v>1</v>
      </c>
      <c r="O1219" s="224">
        <f t="shared" si="8"/>
        <v>1.0900000000000001</v>
      </c>
      <c r="P1219" s="227">
        <f t="shared" si="9"/>
        <v>1.0900000000000001</v>
      </c>
    </row>
    <row r="1220" spans="1:16" ht="14.25">
      <c r="A1220" s="224">
        <v>1219</v>
      </c>
      <c r="B1220" s="58">
        <v>392</v>
      </c>
      <c r="C1220" s="57" t="s">
        <v>2876</v>
      </c>
      <c r="D1220" s="57" t="s">
        <v>2582</v>
      </c>
      <c r="E1220" s="57" t="s">
        <v>2860</v>
      </c>
      <c r="F1220" s="233">
        <v>45663.675000000003</v>
      </c>
      <c r="G1220" s="57">
        <v>6</v>
      </c>
      <c r="H1220" s="57" t="s">
        <v>2557</v>
      </c>
      <c r="I1220" s="58">
        <v>66752</v>
      </c>
      <c r="J1220" s="234" t="s">
        <v>4582</v>
      </c>
      <c r="K1220" s="58">
        <v>138.49</v>
      </c>
      <c r="L1220" s="58">
        <v>0</v>
      </c>
      <c r="M1220" s="58">
        <v>0</v>
      </c>
      <c r="N1220" s="58">
        <v>7.1942899999999996</v>
      </c>
      <c r="O1220" s="224">
        <f t="shared" si="8"/>
        <v>138.49</v>
      </c>
      <c r="P1220" s="227">
        <f t="shared" si="9"/>
        <v>19.249988532572363</v>
      </c>
    </row>
    <row r="1221" spans="1:16" ht="14.25">
      <c r="A1221" s="224">
        <v>1220</v>
      </c>
      <c r="B1221" s="58">
        <v>25286</v>
      </c>
      <c r="C1221" s="57" t="s">
        <v>4583</v>
      </c>
      <c r="D1221" s="57" t="s">
        <v>2582</v>
      </c>
      <c r="E1221" s="57" t="s">
        <v>2860</v>
      </c>
      <c r="F1221" s="233">
        <v>45663.688194444447</v>
      </c>
      <c r="G1221" s="57">
        <v>6</v>
      </c>
      <c r="H1221" s="57" t="s">
        <v>2557</v>
      </c>
      <c r="I1221" s="58">
        <v>66764</v>
      </c>
      <c r="J1221" s="234" t="s">
        <v>4584</v>
      </c>
      <c r="K1221" s="58">
        <v>143.81</v>
      </c>
      <c r="L1221" s="58">
        <v>0</v>
      </c>
      <c r="M1221" s="58">
        <v>0</v>
      </c>
      <c r="N1221" s="58">
        <v>7.1942899999999996</v>
      </c>
      <c r="O1221" s="224">
        <f t="shared" si="8"/>
        <v>143.81</v>
      </c>
      <c r="P1221" s="227">
        <f t="shared" si="9"/>
        <v>19.989463866483003</v>
      </c>
    </row>
    <row r="1222" spans="1:16" ht="14.25">
      <c r="A1222" s="224">
        <v>1221</v>
      </c>
      <c r="B1222" s="58">
        <v>25285</v>
      </c>
      <c r="C1222" s="57" t="s">
        <v>4585</v>
      </c>
      <c r="D1222" s="57" t="s">
        <v>45</v>
      </c>
      <c r="E1222" s="57" t="s">
        <v>2860</v>
      </c>
      <c r="F1222" s="233">
        <v>45663.699305555558</v>
      </c>
      <c r="G1222" s="57">
        <v>6</v>
      </c>
      <c r="H1222" s="57" t="s">
        <v>2557</v>
      </c>
      <c r="I1222" s="58">
        <v>66776</v>
      </c>
      <c r="J1222" s="234" t="s">
        <v>4586</v>
      </c>
      <c r="K1222" s="58">
        <v>29.99</v>
      </c>
      <c r="L1222" s="58">
        <v>0</v>
      </c>
      <c r="M1222" s="58">
        <v>0</v>
      </c>
      <c r="N1222" s="58">
        <v>1</v>
      </c>
      <c r="O1222" s="224">
        <f t="shared" si="8"/>
        <v>29.99</v>
      </c>
      <c r="P1222" s="227">
        <f t="shared" si="9"/>
        <v>29.99</v>
      </c>
    </row>
    <row r="1223" spans="1:16" ht="14.25">
      <c r="A1223" s="224">
        <v>1222</v>
      </c>
      <c r="B1223" s="58">
        <v>25287</v>
      </c>
      <c r="C1223" s="57" t="s">
        <v>4587</v>
      </c>
      <c r="D1223" s="57" t="s">
        <v>45</v>
      </c>
      <c r="E1223" s="57" t="s">
        <v>2860</v>
      </c>
      <c r="F1223" s="233">
        <v>45663.745833333334</v>
      </c>
      <c r="G1223" s="57">
        <v>6</v>
      </c>
      <c r="H1223" s="57" t="s">
        <v>2557</v>
      </c>
      <c r="I1223" s="58">
        <v>66788</v>
      </c>
      <c r="J1223" s="234" t="s">
        <v>4588</v>
      </c>
      <c r="K1223" s="58">
        <v>11.69</v>
      </c>
      <c r="L1223" s="58">
        <v>0</v>
      </c>
      <c r="M1223" s="58">
        <v>0</v>
      </c>
      <c r="N1223" s="58">
        <v>1</v>
      </c>
      <c r="O1223" s="224">
        <f t="shared" si="8"/>
        <v>11.69</v>
      </c>
      <c r="P1223" s="227">
        <f t="shared" si="9"/>
        <v>11.69</v>
      </c>
    </row>
    <row r="1224" spans="1:16" ht="14.25">
      <c r="A1224" s="224">
        <v>1223</v>
      </c>
      <c r="B1224" s="56">
        <v>25288</v>
      </c>
      <c r="C1224" s="56" t="s">
        <v>4589</v>
      </c>
      <c r="D1224" s="56" t="s">
        <v>45</v>
      </c>
      <c r="E1224" s="56" t="s">
        <v>2874</v>
      </c>
      <c r="F1224" s="245">
        <v>45663.763194444444</v>
      </c>
      <c r="G1224" s="56">
        <v>6</v>
      </c>
      <c r="H1224" s="56" t="s">
        <v>2557</v>
      </c>
      <c r="I1224" s="56">
        <v>66800</v>
      </c>
      <c r="J1224" s="246" t="s">
        <v>4590</v>
      </c>
      <c r="K1224" s="56">
        <v>10.39</v>
      </c>
      <c r="L1224" s="56">
        <v>0</v>
      </c>
      <c r="M1224" s="56">
        <v>0</v>
      </c>
      <c r="N1224" s="56">
        <v>1</v>
      </c>
      <c r="O1224" s="181">
        <f t="shared" si="8"/>
        <v>10.39</v>
      </c>
      <c r="P1224" s="247">
        <f t="shared" si="9"/>
        <v>10.39</v>
      </c>
    </row>
    <row r="1225" spans="1:16" ht="14.25">
      <c r="A1225" s="224">
        <v>1224</v>
      </c>
      <c r="B1225" s="58">
        <v>25274</v>
      </c>
      <c r="C1225" s="57" t="s">
        <v>4573</v>
      </c>
      <c r="D1225" s="57" t="s">
        <v>2582</v>
      </c>
      <c r="E1225" s="57" t="s">
        <v>2860</v>
      </c>
      <c r="F1225" s="233">
        <v>45663.768055555556</v>
      </c>
      <c r="G1225" s="57">
        <v>6</v>
      </c>
      <c r="H1225" s="57" t="s">
        <v>2557</v>
      </c>
      <c r="I1225" s="58">
        <v>66812</v>
      </c>
      <c r="J1225" s="234" t="s">
        <v>4591</v>
      </c>
      <c r="K1225" s="58">
        <v>296.98</v>
      </c>
      <c r="L1225" s="58">
        <v>0</v>
      </c>
      <c r="M1225" s="58">
        <v>0</v>
      </c>
      <c r="N1225" s="58">
        <v>7.1942899999999996</v>
      </c>
      <c r="O1225" s="224">
        <f t="shared" si="8"/>
        <v>296.98</v>
      </c>
      <c r="P1225" s="227">
        <f t="shared" si="9"/>
        <v>41.27995952345541</v>
      </c>
    </row>
    <row r="1226" spans="1:16" ht="14.25">
      <c r="A1226" s="224">
        <v>1225</v>
      </c>
      <c r="B1226" s="58">
        <v>24044</v>
      </c>
      <c r="C1226" s="57" t="s">
        <v>4118</v>
      </c>
      <c r="D1226" s="57" t="s">
        <v>2582</v>
      </c>
      <c r="E1226" s="57" t="s">
        <v>2860</v>
      </c>
      <c r="F1226" s="233">
        <v>45663.803472222222</v>
      </c>
      <c r="G1226" s="57">
        <v>6</v>
      </c>
      <c r="H1226" s="57" t="s">
        <v>2557</v>
      </c>
      <c r="I1226" s="58">
        <v>66824</v>
      </c>
      <c r="J1226" s="234" t="s">
        <v>4592</v>
      </c>
      <c r="K1226" s="58">
        <v>73.17</v>
      </c>
      <c r="L1226" s="58">
        <v>0</v>
      </c>
      <c r="M1226" s="58">
        <v>0</v>
      </c>
      <c r="N1226" s="58">
        <v>7.1942899999999996</v>
      </c>
      <c r="O1226" s="224">
        <f t="shared" si="8"/>
        <v>73.17</v>
      </c>
      <c r="P1226" s="227">
        <f t="shared" si="9"/>
        <v>10.170565823729653</v>
      </c>
    </row>
    <row r="1227" spans="1:16" ht="14.25">
      <c r="A1227" s="224">
        <v>1226</v>
      </c>
      <c r="B1227" s="58">
        <v>21475</v>
      </c>
      <c r="C1227" s="57" t="s">
        <v>3704</v>
      </c>
      <c r="D1227" s="57" t="s">
        <v>45</v>
      </c>
      <c r="E1227" s="57" t="s">
        <v>2860</v>
      </c>
      <c r="F1227" s="233">
        <v>45663.854166666664</v>
      </c>
      <c r="G1227" s="57">
        <v>6</v>
      </c>
      <c r="H1227" s="57" t="s">
        <v>2557</v>
      </c>
      <c r="I1227" s="58">
        <v>64556</v>
      </c>
      <c r="J1227" s="234" t="s">
        <v>4593</v>
      </c>
      <c r="K1227" s="58">
        <v>17.989999999999998</v>
      </c>
      <c r="L1227" s="58">
        <v>0</v>
      </c>
      <c r="M1227" s="58">
        <v>0</v>
      </c>
      <c r="N1227" s="58">
        <v>1</v>
      </c>
      <c r="O1227" s="224">
        <f t="shared" si="8"/>
        <v>17.989999999999998</v>
      </c>
      <c r="P1227" s="227">
        <f t="shared" si="9"/>
        <v>17.989999999999998</v>
      </c>
    </row>
    <row r="1228" spans="1:16" ht="14.25">
      <c r="A1228" s="224">
        <v>1227</v>
      </c>
      <c r="B1228" s="58">
        <v>25291</v>
      </c>
      <c r="C1228" s="57" t="s">
        <v>4594</v>
      </c>
      <c r="D1228" s="57" t="s">
        <v>45</v>
      </c>
      <c r="E1228" s="57" t="s">
        <v>2860</v>
      </c>
      <c r="F1228" s="233">
        <v>45663.86041666667</v>
      </c>
      <c r="G1228" s="57">
        <v>6</v>
      </c>
      <c r="H1228" s="57" t="s">
        <v>2557</v>
      </c>
      <c r="I1228" s="58">
        <v>66836</v>
      </c>
      <c r="J1228" s="234" t="s">
        <v>4595</v>
      </c>
      <c r="K1228" s="58">
        <v>2.99</v>
      </c>
      <c r="L1228" s="58">
        <v>0</v>
      </c>
      <c r="M1228" s="58">
        <v>0</v>
      </c>
      <c r="N1228" s="58">
        <v>1</v>
      </c>
      <c r="O1228" s="224">
        <f t="shared" si="8"/>
        <v>2.99</v>
      </c>
      <c r="P1228" s="227">
        <f t="shared" si="9"/>
        <v>2.99</v>
      </c>
    </row>
    <row r="1229" spans="1:16" ht="14.25">
      <c r="A1229" s="224">
        <v>1228</v>
      </c>
      <c r="B1229" s="58">
        <v>9573</v>
      </c>
      <c r="C1229" s="57" t="s">
        <v>2800</v>
      </c>
      <c r="D1229" s="57" t="s">
        <v>2582</v>
      </c>
      <c r="E1229" s="57" t="s">
        <v>2860</v>
      </c>
      <c r="F1229" s="233">
        <v>45694.161111111112</v>
      </c>
      <c r="G1229" s="57">
        <v>6</v>
      </c>
      <c r="H1229" s="57" t="s">
        <v>2557</v>
      </c>
      <c r="I1229" s="58">
        <v>66884</v>
      </c>
      <c r="J1229" s="234" t="s">
        <v>4596</v>
      </c>
      <c r="K1229" s="58">
        <v>7.19</v>
      </c>
      <c r="L1229" s="58">
        <v>0</v>
      </c>
      <c r="M1229" s="58">
        <v>0</v>
      </c>
      <c r="N1229" s="58">
        <v>7.1942899999999996</v>
      </c>
      <c r="O1229" s="224">
        <f t="shared" si="8"/>
        <v>7.19</v>
      </c>
      <c r="P1229" s="227">
        <f t="shared" si="9"/>
        <v>0.99940369376269245</v>
      </c>
    </row>
    <row r="1230" spans="1:16" ht="14.25">
      <c r="A1230" s="224">
        <v>1229</v>
      </c>
      <c r="B1230" s="58">
        <v>25296</v>
      </c>
      <c r="C1230" s="57" t="s">
        <v>4597</v>
      </c>
      <c r="D1230" s="57" t="s">
        <v>45</v>
      </c>
      <c r="E1230" s="57" t="s">
        <v>2860</v>
      </c>
      <c r="F1230" s="233">
        <v>45694.239583333336</v>
      </c>
      <c r="G1230" s="57">
        <v>6</v>
      </c>
      <c r="H1230" s="57" t="s">
        <v>2557</v>
      </c>
      <c r="I1230" s="58">
        <v>66860</v>
      </c>
      <c r="J1230" s="234" t="s">
        <v>4598</v>
      </c>
      <c r="K1230" s="58">
        <v>11.49</v>
      </c>
      <c r="L1230" s="58">
        <v>0</v>
      </c>
      <c r="M1230" s="58">
        <v>0</v>
      </c>
      <c r="N1230" s="58">
        <v>1</v>
      </c>
      <c r="O1230" s="224">
        <f t="shared" si="8"/>
        <v>11.49</v>
      </c>
      <c r="P1230" s="227">
        <f t="shared" si="9"/>
        <v>11.49</v>
      </c>
    </row>
    <row r="1231" spans="1:16" ht="14.25">
      <c r="A1231" s="224">
        <v>1230</v>
      </c>
      <c r="B1231" s="58">
        <v>20956</v>
      </c>
      <c r="C1231" s="57" t="s">
        <v>3627</v>
      </c>
      <c r="D1231" s="57" t="s">
        <v>45</v>
      </c>
      <c r="E1231" s="57" t="s">
        <v>2860</v>
      </c>
      <c r="F1231" s="233">
        <v>45694.400000000001</v>
      </c>
      <c r="G1231" s="57">
        <v>6</v>
      </c>
      <c r="H1231" s="57" t="s">
        <v>2557</v>
      </c>
      <c r="I1231" s="58">
        <v>63464</v>
      </c>
      <c r="J1231" s="234" t="s">
        <v>4599</v>
      </c>
      <c r="K1231" s="58">
        <v>3.99</v>
      </c>
      <c r="L1231" s="58">
        <v>0</v>
      </c>
      <c r="M1231" s="58">
        <v>0</v>
      </c>
      <c r="N1231" s="58">
        <v>1</v>
      </c>
      <c r="O1231" s="224">
        <f t="shared" si="8"/>
        <v>3.99</v>
      </c>
      <c r="P1231" s="227">
        <f t="shared" si="9"/>
        <v>3.99</v>
      </c>
    </row>
    <row r="1232" spans="1:16" ht="14.25">
      <c r="A1232" s="224">
        <v>1231</v>
      </c>
      <c r="B1232" s="56">
        <v>6798</v>
      </c>
      <c r="C1232" s="56" t="s">
        <v>2921</v>
      </c>
      <c r="D1232" s="56" t="s">
        <v>45</v>
      </c>
      <c r="E1232" s="56" t="s">
        <v>4600</v>
      </c>
      <c r="F1232" s="245">
        <v>45694.518750000003</v>
      </c>
      <c r="G1232" s="56">
        <v>6</v>
      </c>
      <c r="H1232" s="56" t="s">
        <v>2557</v>
      </c>
      <c r="I1232" s="56">
        <v>63284</v>
      </c>
      <c r="J1232" s="246"/>
      <c r="K1232" s="56">
        <v>1162</v>
      </c>
      <c r="L1232" s="56">
        <v>0</v>
      </c>
      <c r="M1232" s="56">
        <v>0</v>
      </c>
      <c r="N1232" s="56">
        <v>1</v>
      </c>
      <c r="O1232" s="181">
        <f t="shared" si="8"/>
        <v>1162</v>
      </c>
      <c r="P1232" s="247">
        <f t="shared" si="9"/>
        <v>1162</v>
      </c>
    </row>
    <row r="1233" spans="1:16" ht="14.25">
      <c r="A1233" s="224">
        <v>1232</v>
      </c>
      <c r="B1233" s="58">
        <v>25323</v>
      </c>
      <c r="C1233" s="57" t="s">
        <v>4601</v>
      </c>
      <c r="D1233" s="57" t="s">
        <v>45</v>
      </c>
      <c r="E1233" s="57" t="s">
        <v>2860</v>
      </c>
      <c r="F1233" s="233">
        <v>45694.558333333334</v>
      </c>
      <c r="G1233" s="57">
        <v>6</v>
      </c>
      <c r="H1233" s="57" t="s">
        <v>2557</v>
      </c>
      <c r="I1233" s="58">
        <v>66944</v>
      </c>
      <c r="J1233" s="234" t="s">
        <v>4602</v>
      </c>
      <c r="K1233" s="58">
        <v>28.79</v>
      </c>
      <c r="L1233" s="58">
        <v>0</v>
      </c>
      <c r="M1233" s="58">
        <v>0</v>
      </c>
      <c r="N1233" s="58">
        <v>1</v>
      </c>
      <c r="O1233" s="224">
        <f t="shared" si="8"/>
        <v>28.79</v>
      </c>
      <c r="P1233" s="227">
        <f t="shared" si="9"/>
        <v>28.79</v>
      </c>
    </row>
    <row r="1234" spans="1:16" ht="14.25">
      <c r="A1234" s="224">
        <v>1233</v>
      </c>
      <c r="B1234" s="58">
        <v>25309</v>
      </c>
      <c r="C1234" s="57" t="s">
        <v>4603</v>
      </c>
      <c r="D1234" s="57" t="s">
        <v>2582</v>
      </c>
      <c r="E1234" s="57" t="s">
        <v>2860</v>
      </c>
      <c r="F1234" s="233">
        <v>45694.643750000003</v>
      </c>
      <c r="G1234" s="57">
        <v>6</v>
      </c>
      <c r="H1234" s="57" t="s">
        <v>2557</v>
      </c>
      <c r="I1234" s="58">
        <v>66968</v>
      </c>
      <c r="J1234" s="234" t="s">
        <v>4604</v>
      </c>
      <c r="K1234" s="58">
        <v>14.6</v>
      </c>
      <c r="L1234" s="58">
        <v>0</v>
      </c>
      <c r="M1234" s="58">
        <v>0</v>
      </c>
      <c r="N1234" s="58">
        <v>7.1942899999999996</v>
      </c>
      <c r="O1234" s="224">
        <f t="shared" si="8"/>
        <v>14.6</v>
      </c>
      <c r="P1234" s="227">
        <f t="shared" si="9"/>
        <v>2.0293871945668025</v>
      </c>
    </row>
    <row r="1235" spans="1:16" ht="14.25">
      <c r="A1235" s="224">
        <v>1234</v>
      </c>
      <c r="B1235" s="58">
        <v>25325</v>
      </c>
      <c r="C1235" s="57" t="s">
        <v>4605</v>
      </c>
      <c r="D1235" s="57" t="s">
        <v>45</v>
      </c>
      <c r="E1235" s="57" t="s">
        <v>2860</v>
      </c>
      <c r="F1235" s="233">
        <v>45694.690972222219</v>
      </c>
      <c r="G1235" s="57">
        <v>6</v>
      </c>
      <c r="H1235" s="57" t="s">
        <v>2557</v>
      </c>
      <c r="I1235" s="58">
        <v>66992</v>
      </c>
      <c r="J1235" s="234" t="s">
        <v>4606</v>
      </c>
      <c r="K1235" s="58">
        <v>4.99</v>
      </c>
      <c r="L1235" s="58">
        <v>0</v>
      </c>
      <c r="M1235" s="58">
        <v>0</v>
      </c>
      <c r="N1235" s="58">
        <v>1</v>
      </c>
      <c r="O1235" s="224">
        <f t="shared" si="8"/>
        <v>4.99</v>
      </c>
      <c r="P1235" s="227">
        <f t="shared" si="9"/>
        <v>4.99</v>
      </c>
    </row>
    <row r="1236" spans="1:16" ht="14.25">
      <c r="A1236" s="224">
        <v>1235</v>
      </c>
      <c r="B1236" s="58">
        <v>25331</v>
      </c>
      <c r="C1236" s="57" t="s">
        <v>4607</v>
      </c>
      <c r="D1236" s="57" t="s">
        <v>45</v>
      </c>
      <c r="E1236" s="57" t="s">
        <v>2860</v>
      </c>
      <c r="F1236" s="233">
        <v>45694.784722222219</v>
      </c>
      <c r="G1236" s="57">
        <v>6</v>
      </c>
      <c r="H1236" s="57" t="s">
        <v>2557</v>
      </c>
      <c r="I1236" s="58">
        <v>67016</v>
      </c>
      <c r="J1236" s="234" t="s">
        <v>4608</v>
      </c>
      <c r="K1236" s="58">
        <v>3.99</v>
      </c>
      <c r="L1236" s="58">
        <v>0</v>
      </c>
      <c r="M1236" s="58">
        <v>0</v>
      </c>
      <c r="N1236" s="58">
        <v>1</v>
      </c>
      <c r="O1236" s="224">
        <f t="shared" si="8"/>
        <v>3.99</v>
      </c>
      <c r="P1236" s="227">
        <f t="shared" si="9"/>
        <v>3.99</v>
      </c>
    </row>
    <row r="1237" spans="1:16" ht="14.25">
      <c r="A1237" s="224">
        <v>1236</v>
      </c>
      <c r="B1237" s="58">
        <v>25339</v>
      </c>
      <c r="C1237" s="57" t="s">
        <v>4609</v>
      </c>
      <c r="D1237" s="57" t="s">
        <v>2582</v>
      </c>
      <c r="E1237" s="57" t="s">
        <v>2860</v>
      </c>
      <c r="F1237" s="233">
        <v>45694.822222222225</v>
      </c>
      <c r="G1237" s="57">
        <v>6</v>
      </c>
      <c r="H1237" s="57" t="s">
        <v>2557</v>
      </c>
      <c r="I1237" s="58">
        <v>67088</v>
      </c>
      <c r="J1237" s="234" t="s">
        <v>4610</v>
      </c>
      <c r="K1237" s="58">
        <v>28.71</v>
      </c>
      <c r="L1237" s="58">
        <v>0</v>
      </c>
      <c r="M1237" s="58">
        <v>0</v>
      </c>
      <c r="N1237" s="58">
        <v>7.1942899999999996</v>
      </c>
      <c r="O1237" s="224">
        <f t="shared" si="8"/>
        <v>28.71</v>
      </c>
      <c r="P1237" s="227">
        <f t="shared" si="9"/>
        <v>3.9906648189049929</v>
      </c>
    </row>
    <row r="1238" spans="1:16" ht="14.25">
      <c r="A1238" s="224">
        <v>1237</v>
      </c>
      <c r="B1238" s="58">
        <v>25340</v>
      </c>
      <c r="C1238" s="57" t="s">
        <v>4611</v>
      </c>
      <c r="D1238" s="57" t="s">
        <v>45</v>
      </c>
      <c r="E1238" s="57" t="s">
        <v>2860</v>
      </c>
      <c r="F1238" s="233">
        <v>45694.822916666664</v>
      </c>
      <c r="G1238" s="57">
        <v>6</v>
      </c>
      <c r="H1238" s="57" t="s">
        <v>2557</v>
      </c>
      <c r="I1238" s="58">
        <v>67076</v>
      </c>
      <c r="J1238" s="234" t="s">
        <v>4612</v>
      </c>
      <c r="K1238" s="58">
        <v>3.99</v>
      </c>
      <c r="L1238" s="58">
        <v>0</v>
      </c>
      <c r="M1238" s="58">
        <v>0</v>
      </c>
      <c r="N1238" s="58">
        <v>1</v>
      </c>
      <c r="O1238" s="224">
        <f t="shared" si="8"/>
        <v>3.99</v>
      </c>
      <c r="P1238" s="227">
        <f t="shared" si="9"/>
        <v>3.99</v>
      </c>
    </row>
    <row r="1239" spans="1:16" ht="14.25">
      <c r="A1239" s="224">
        <v>1238</v>
      </c>
      <c r="B1239" s="58">
        <v>25344</v>
      </c>
      <c r="C1239" s="57" t="s">
        <v>4613</v>
      </c>
      <c r="D1239" s="57" t="s">
        <v>45</v>
      </c>
      <c r="E1239" s="57" t="s">
        <v>2860</v>
      </c>
      <c r="F1239" s="233">
        <v>45694.856944444444</v>
      </c>
      <c r="G1239" s="57">
        <v>6</v>
      </c>
      <c r="H1239" s="57" t="s">
        <v>2557</v>
      </c>
      <c r="I1239" s="58">
        <v>67112</v>
      </c>
      <c r="J1239" s="234" t="s">
        <v>4614</v>
      </c>
      <c r="K1239" s="58">
        <v>3.99</v>
      </c>
      <c r="L1239" s="58">
        <v>0</v>
      </c>
      <c r="M1239" s="58">
        <v>0</v>
      </c>
      <c r="N1239" s="58">
        <v>1</v>
      </c>
      <c r="O1239" s="224">
        <f t="shared" si="8"/>
        <v>3.99</v>
      </c>
      <c r="P1239" s="227">
        <f t="shared" si="9"/>
        <v>3.99</v>
      </c>
    </row>
    <row r="1240" spans="1:16" ht="14.25">
      <c r="A1240" s="224">
        <v>1239</v>
      </c>
      <c r="B1240" s="58">
        <v>25355</v>
      </c>
      <c r="C1240" s="57" t="s">
        <v>4615</v>
      </c>
      <c r="D1240" s="57" t="s">
        <v>45</v>
      </c>
      <c r="E1240" s="57" t="s">
        <v>2860</v>
      </c>
      <c r="F1240" s="233">
        <v>45694.99722222222</v>
      </c>
      <c r="G1240" s="57">
        <v>6</v>
      </c>
      <c r="H1240" s="57" t="s">
        <v>2557</v>
      </c>
      <c r="I1240" s="58">
        <v>67136</v>
      </c>
      <c r="J1240" s="234" t="s">
        <v>4616</v>
      </c>
      <c r="K1240" s="58">
        <v>3.99</v>
      </c>
      <c r="L1240" s="58">
        <v>0</v>
      </c>
      <c r="M1240" s="58">
        <v>0</v>
      </c>
      <c r="N1240" s="58">
        <v>1</v>
      </c>
      <c r="O1240" s="224">
        <f t="shared" si="8"/>
        <v>3.99</v>
      </c>
      <c r="P1240" s="227">
        <f t="shared" si="9"/>
        <v>3.99</v>
      </c>
    </row>
    <row r="1241" spans="1:16" ht="14.25">
      <c r="A1241" s="224">
        <v>1240</v>
      </c>
      <c r="B1241" s="58">
        <v>25355</v>
      </c>
      <c r="C1241" s="57" t="s">
        <v>4615</v>
      </c>
      <c r="D1241" s="57" t="s">
        <v>45</v>
      </c>
      <c r="E1241" s="57" t="s">
        <v>2860</v>
      </c>
      <c r="F1241" s="233">
        <v>45722.123611111114</v>
      </c>
      <c r="G1241" s="57">
        <v>6</v>
      </c>
      <c r="H1241" s="57" t="s">
        <v>2557</v>
      </c>
      <c r="I1241" s="58">
        <v>67148</v>
      </c>
      <c r="J1241" s="234" t="s">
        <v>4617</v>
      </c>
      <c r="K1241" s="58">
        <v>4.99</v>
      </c>
      <c r="L1241" s="58">
        <v>0</v>
      </c>
      <c r="M1241" s="58">
        <v>0</v>
      </c>
      <c r="N1241" s="58">
        <v>1</v>
      </c>
      <c r="O1241" s="224">
        <f t="shared" si="8"/>
        <v>4.99</v>
      </c>
      <c r="P1241" s="227">
        <f t="shared" si="9"/>
        <v>4.99</v>
      </c>
    </row>
    <row r="1242" spans="1:16" ht="14.25">
      <c r="A1242" s="224">
        <v>1241</v>
      </c>
      <c r="B1242" s="58">
        <v>3299</v>
      </c>
      <c r="C1242" s="57" t="s">
        <v>3063</v>
      </c>
      <c r="D1242" s="57" t="s">
        <v>45</v>
      </c>
      <c r="E1242" s="57" t="s">
        <v>2860</v>
      </c>
      <c r="F1242" s="233">
        <v>45722.40625</v>
      </c>
      <c r="G1242" s="57">
        <v>6</v>
      </c>
      <c r="H1242" s="57" t="s">
        <v>2557</v>
      </c>
      <c r="I1242" s="58">
        <v>64184</v>
      </c>
      <c r="J1242" s="234" t="s">
        <v>4618</v>
      </c>
      <c r="K1242" s="58">
        <v>42.99</v>
      </c>
      <c r="L1242" s="58">
        <v>0</v>
      </c>
      <c r="M1242" s="58">
        <v>0</v>
      </c>
      <c r="N1242" s="58">
        <v>1</v>
      </c>
      <c r="O1242" s="224">
        <f t="shared" si="8"/>
        <v>42.99</v>
      </c>
      <c r="P1242" s="227">
        <f t="shared" si="9"/>
        <v>42.99</v>
      </c>
    </row>
    <row r="1243" spans="1:16" ht="14.25">
      <c r="A1243" s="224">
        <v>1242</v>
      </c>
      <c r="B1243" s="58">
        <v>23506</v>
      </c>
      <c r="C1243" s="57" t="s">
        <v>4060</v>
      </c>
      <c r="D1243" s="57" t="s">
        <v>2582</v>
      </c>
      <c r="E1243" s="57" t="s">
        <v>2860</v>
      </c>
      <c r="F1243" s="233">
        <v>45722.473611111112</v>
      </c>
      <c r="G1243" s="57">
        <v>6</v>
      </c>
      <c r="H1243" s="57" t="s">
        <v>2557</v>
      </c>
      <c r="I1243" s="58">
        <v>67232</v>
      </c>
      <c r="J1243" s="234" t="s">
        <v>4619</v>
      </c>
      <c r="K1243" s="58">
        <v>35.93</v>
      </c>
      <c r="L1243" s="58">
        <v>0</v>
      </c>
      <c r="M1243" s="58">
        <v>0</v>
      </c>
      <c r="N1243" s="58">
        <v>7.1997499999999999</v>
      </c>
      <c r="O1243" s="224">
        <f t="shared" si="8"/>
        <v>35.93</v>
      </c>
      <c r="P1243" s="227">
        <f t="shared" si="9"/>
        <v>4.9904510573283796</v>
      </c>
    </row>
    <row r="1244" spans="1:16" ht="14.25">
      <c r="A1244" s="224">
        <v>1243</v>
      </c>
      <c r="B1244" s="58">
        <v>23506</v>
      </c>
      <c r="C1244" s="57" t="s">
        <v>4060</v>
      </c>
      <c r="D1244" s="57" t="s">
        <v>2582</v>
      </c>
      <c r="E1244" s="57" t="s">
        <v>2860</v>
      </c>
      <c r="F1244" s="233">
        <v>45722.480555555558</v>
      </c>
      <c r="G1244" s="57">
        <v>6</v>
      </c>
      <c r="H1244" s="57" t="s">
        <v>2557</v>
      </c>
      <c r="I1244" s="58">
        <v>67232</v>
      </c>
      <c r="J1244" s="234"/>
      <c r="K1244" s="58">
        <v>0.03</v>
      </c>
      <c r="L1244" s="58">
        <v>0</v>
      </c>
      <c r="M1244" s="58">
        <v>0</v>
      </c>
      <c r="N1244" s="58">
        <v>7.1997499999999999</v>
      </c>
      <c r="O1244" s="224">
        <f t="shared" si="8"/>
        <v>0.03</v>
      </c>
      <c r="P1244" s="227">
        <f t="shared" si="9"/>
        <v>4.1668113476162364E-3</v>
      </c>
    </row>
    <row r="1245" spans="1:16" ht="14.25">
      <c r="A1245" s="224">
        <v>1244</v>
      </c>
      <c r="B1245" s="58">
        <v>22809</v>
      </c>
      <c r="C1245" s="57" t="s">
        <v>3946</v>
      </c>
      <c r="D1245" s="57" t="s">
        <v>45</v>
      </c>
      <c r="E1245" s="57" t="s">
        <v>2860</v>
      </c>
      <c r="F1245" s="233">
        <v>45722.648611111108</v>
      </c>
      <c r="G1245" s="57">
        <v>6</v>
      </c>
      <c r="H1245" s="57" t="s">
        <v>2557</v>
      </c>
      <c r="I1245" s="58">
        <v>67244</v>
      </c>
      <c r="J1245" s="234" t="s">
        <v>4620</v>
      </c>
      <c r="K1245" s="58">
        <v>11.99</v>
      </c>
      <c r="L1245" s="58">
        <v>0</v>
      </c>
      <c r="M1245" s="58">
        <v>0</v>
      </c>
      <c r="N1245" s="58">
        <v>1</v>
      </c>
      <c r="O1245" s="224">
        <f t="shared" si="8"/>
        <v>11.99</v>
      </c>
      <c r="P1245" s="227">
        <f t="shared" si="9"/>
        <v>11.99</v>
      </c>
    </row>
    <row r="1246" spans="1:16" ht="14.25">
      <c r="A1246" s="224">
        <v>1245</v>
      </c>
      <c r="B1246" s="58">
        <v>25407</v>
      </c>
      <c r="C1246" s="57" t="s">
        <v>522</v>
      </c>
      <c r="D1246" s="57" t="s">
        <v>45</v>
      </c>
      <c r="E1246" s="57" t="s">
        <v>9</v>
      </c>
      <c r="F1246" s="233">
        <v>45722.779861111114</v>
      </c>
      <c r="G1246" s="57">
        <v>6</v>
      </c>
      <c r="H1246" s="57" t="s">
        <v>2557</v>
      </c>
      <c r="I1246" s="58">
        <v>67292</v>
      </c>
      <c r="J1246" s="234" t="s">
        <v>523</v>
      </c>
      <c r="K1246" s="58">
        <v>5.99</v>
      </c>
      <c r="L1246" s="58">
        <v>0.7</v>
      </c>
      <c r="M1246" s="58">
        <v>0</v>
      </c>
      <c r="N1246" s="58">
        <v>1</v>
      </c>
      <c r="O1246" s="224">
        <f t="shared" si="8"/>
        <v>5.29</v>
      </c>
      <c r="P1246" s="227">
        <f t="shared" si="9"/>
        <v>5.29</v>
      </c>
    </row>
    <row r="1247" spans="1:16" ht="14.25">
      <c r="A1247" s="224">
        <v>1246</v>
      </c>
      <c r="B1247" s="58">
        <v>21267</v>
      </c>
      <c r="C1247" s="57" t="s">
        <v>427</v>
      </c>
      <c r="D1247" s="57" t="s">
        <v>45</v>
      </c>
      <c r="E1247" s="57" t="s">
        <v>9</v>
      </c>
      <c r="F1247" s="233">
        <v>45722.806944444441</v>
      </c>
      <c r="G1247" s="57">
        <v>6</v>
      </c>
      <c r="H1247" s="57" t="s">
        <v>2557</v>
      </c>
      <c r="I1247" s="58">
        <v>64220</v>
      </c>
      <c r="J1247" s="234" t="s">
        <v>524</v>
      </c>
      <c r="K1247" s="58">
        <v>2.79</v>
      </c>
      <c r="L1247" s="58">
        <v>0.63</v>
      </c>
      <c r="M1247" s="58">
        <v>0</v>
      </c>
      <c r="N1247" s="58">
        <v>1</v>
      </c>
      <c r="O1247" s="224">
        <f t="shared" si="8"/>
        <v>2.16</v>
      </c>
      <c r="P1247" s="227">
        <f t="shared" si="9"/>
        <v>2.16</v>
      </c>
    </row>
    <row r="1248" spans="1:16" ht="14.25">
      <c r="A1248" s="224">
        <v>1247</v>
      </c>
      <c r="B1248" s="58">
        <v>25412</v>
      </c>
      <c r="C1248" s="57" t="s">
        <v>4621</v>
      </c>
      <c r="D1248" s="57" t="s">
        <v>45</v>
      </c>
      <c r="E1248" s="57" t="s">
        <v>2860</v>
      </c>
      <c r="F1248" s="233">
        <v>45722.875</v>
      </c>
      <c r="G1248" s="57">
        <v>6</v>
      </c>
      <c r="H1248" s="57" t="s">
        <v>2557</v>
      </c>
      <c r="I1248" s="58">
        <v>67316</v>
      </c>
      <c r="J1248" s="234" t="s">
        <v>4622</v>
      </c>
      <c r="K1248" s="58">
        <v>8.99</v>
      </c>
      <c r="L1248" s="58">
        <v>0</v>
      </c>
      <c r="M1248" s="58">
        <v>0</v>
      </c>
      <c r="N1248" s="58">
        <v>1</v>
      </c>
      <c r="O1248" s="224">
        <f t="shared" si="8"/>
        <v>8.99</v>
      </c>
      <c r="P1248" s="227">
        <f t="shared" si="9"/>
        <v>8.99</v>
      </c>
    </row>
    <row r="1249" spans="1:16" ht="14.25">
      <c r="A1249" s="224">
        <v>1248</v>
      </c>
      <c r="B1249" s="58">
        <v>24480</v>
      </c>
      <c r="C1249" s="57" t="s">
        <v>4623</v>
      </c>
      <c r="D1249" s="57" t="s">
        <v>45</v>
      </c>
      <c r="E1249" s="57" t="s">
        <v>2860</v>
      </c>
      <c r="F1249" s="233">
        <v>45722.900694444441</v>
      </c>
      <c r="G1249" s="57">
        <v>6</v>
      </c>
      <c r="H1249" s="57" t="s">
        <v>2557</v>
      </c>
      <c r="I1249" s="58">
        <v>67328</v>
      </c>
      <c r="J1249" s="234" t="s">
        <v>4624</v>
      </c>
      <c r="K1249" s="58">
        <v>2.39</v>
      </c>
      <c r="L1249" s="58">
        <v>0</v>
      </c>
      <c r="M1249" s="58">
        <v>0</v>
      </c>
      <c r="N1249" s="58">
        <v>1</v>
      </c>
      <c r="O1249" s="224">
        <f t="shared" si="8"/>
        <v>2.39</v>
      </c>
      <c r="P1249" s="227">
        <f t="shared" si="9"/>
        <v>2.39</v>
      </c>
    </row>
    <row r="1250" spans="1:16" ht="14.25">
      <c r="A1250" s="224">
        <v>1249</v>
      </c>
      <c r="B1250" s="58">
        <v>21385</v>
      </c>
      <c r="C1250" s="57" t="s">
        <v>3654</v>
      </c>
      <c r="D1250" s="57" t="s">
        <v>45</v>
      </c>
      <c r="E1250" s="57" t="s">
        <v>2860</v>
      </c>
      <c r="F1250" s="233">
        <v>45753.431944444441</v>
      </c>
      <c r="G1250" s="57">
        <v>6</v>
      </c>
      <c r="H1250" s="57" t="s">
        <v>2557</v>
      </c>
      <c r="I1250" s="58">
        <v>64352</v>
      </c>
      <c r="J1250" s="234" t="s">
        <v>4625</v>
      </c>
      <c r="K1250" s="58">
        <v>13.99</v>
      </c>
      <c r="L1250" s="58">
        <v>0</v>
      </c>
      <c r="M1250" s="58">
        <v>0</v>
      </c>
      <c r="N1250" s="58">
        <v>1</v>
      </c>
      <c r="O1250" s="224">
        <f t="shared" si="8"/>
        <v>13.99</v>
      </c>
      <c r="P1250" s="227">
        <f t="shared" si="9"/>
        <v>13.99</v>
      </c>
    </row>
    <row r="1251" spans="1:16" ht="14.25">
      <c r="A1251" s="224">
        <v>1250</v>
      </c>
      <c r="B1251" s="58">
        <v>25451</v>
      </c>
      <c r="C1251" s="57" t="s">
        <v>4626</v>
      </c>
      <c r="D1251" s="57" t="s">
        <v>2582</v>
      </c>
      <c r="E1251" s="57" t="s">
        <v>2860</v>
      </c>
      <c r="F1251" s="233">
        <v>45753.487500000003</v>
      </c>
      <c r="G1251" s="57">
        <v>6</v>
      </c>
      <c r="H1251" s="57" t="s">
        <v>2557</v>
      </c>
      <c r="I1251" s="58">
        <v>67364</v>
      </c>
      <c r="J1251" s="234" t="s">
        <v>4627</v>
      </c>
      <c r="K1251" s="58">
        <v>57.43</v>
      </c>
      <c r="L1251" s="58">
        <v>0</v>
      </c>
      <c r="M1251" s="58">
        <v>0</v>
      </c>
      <c r="N1251" s="58">
        <v>7.1878599999999997</v>
      </c>
      <c r="O1251" s="224">
        <f t="shared" si="8"/>
        <v>57.43</v>
      </c>
      <c r="P1251" s="227">
        <f t="shared" si="9"/>
        <v>7.9898606817606357</v>
      </c>
    </row>
    <row r="1252" spans="1:16" ht="14.25">
      <c r="A1252" s="224">
        <v>1251</v>
      </c>
      <c r="B1252" s="58">
        <v>25464</v>
      </c>
      <c r="C1252" s="57" t="s">
        <v>4628</v>
      </c>
      <c r="D1252" s="57" t="s">
        <v>2582</v>
      </c>
      <c r="E1252" s="57" t="s">
        <v>2860</v>
      </c>
      <c r="F1252" s="233">
        <v>45753.605555555558</v>
      </c>
      <c r="G1252" s="57">
        <v>6</v>
      </c>
      <c r="H1252" s="57" t="s">
        <v>2557</v>
      </c>
      <c r="I1252" s="58">
        <v>67388</v>
      </c>
      <c r="J1252" s="234" t="s">
        <v>4629</v>
      </c>
      <c r="K1252" s="58">
        <v>115.65</v>
      </c>
      <c r="L1252" s="58">
        <v>0</v>
      </c>
      <c r="M1252" s="58">
        <v>0</v>
      </c>
      <c r="N1252" s="58">
        <v>7.1878599999999997</v>
      </c>
      <c r="O1252" s="224">
        <f t="shared" si="8"/>
        <v>115.65</v>
      </c>
      <c r="P1252" s="227">
        <f t="shared" si="9"/>
        <v>16.089628902065428</v>
      </c>
    </row>
    <row r="1253" spans="1:16" ht="14.25">
      <c r="A1253" s="224">
        <v>1252</v>
      </c>
      <c r="B1253" s="58">
        <v>25464</v>
      </c>
      <c r="C1253" s="57" t="s">
        <v>4628</v>
      </c>
      <c r="D1253" s="57" t="s">
        <v>2582</v>
      </c>
      <c r="E1253" s="57" t="s">
        <v>2860</v>
      </c>
      <c r="F1253" s="233">
        <v>45753.618055555555</v>
      </c>
      <c r="G1253" s="57">
        <v>6</v>
      </c>
      <c r="H1253" s="57" t="s">
        <v>2557</v>
      </c>
      <c r="I1253" s="58">
        <v>67388</v>
      </c>
      <c r="J1253" s="234"/>
      <c r="K1253" s="58">
        <v>0.02</v>
      </c>
      <c r="L1253" s="58">
        <v>0</v>
      </c>
      <c r="M1253" s="58">
        <v>0</v>
      </c>
      <c r="N1253" s="58">
        <v>7.1878599999999997</v>
      </c>
      <c r="O1253" s="224">
        <f t="shared" si="8"/>
        <v>0.02</v>
      </c>
      <c r="P1253" s="227">
        <f t="shared" si="9"/>
        <v>2.7824693302318077E-3</v>
      </c>
    </row>
    <row r="1254" spans="1:16" ht="14.25">
      <c r="A1254" s="224">
        <v>1253</v>
      </c>
      <c r="B1254" s="58">
        <v>24970</v>
      </c>
      <c r="C1254" s="57" t="s">
        <v>4348</v>
      </c>
      <c r="D1254" s="57" t="s">
        <v>2582</v>
      </c>
      <c r="E1254" s="57" t="s">
        <v>2860</v>
      </c>
      <c r="F1254" s="233">
        <v>45753.86041666667</v>
      </c>
      <c r="G1254" s="57">
        <v>6</v>
      </c>
      <c r="H1254" s="57" t="s">
        <v>2557</v>
      </c>
      <c r="I1254" s="58">
        <v>67400</v>
      </c>
      <c r="J1254" s="234" t="s">
        <v>4630</v>
      </c>
      <c r="K1254" s="58">
        <v>1190.24</v>
      </c>
      <c r="L1254" s="58">
        <v>0</v>
      </c>
      <c r="M1254" s="58">
        <v>0</v>
      </c>
      <c r="N1254" s="58">
        <v>7.1878599999999997</v>
      </c>
      <c r="O1254" s="224">
        <f t="shared" si="8"/>
        <v>1190.24</v>
      </c>
      <c r="P1254" s="227">
        <f t="shared" si="9"/>
        <v>165.59031478075534</v>
      </c>
    </row>
    <row r="1255" spans="1:16" ht="14.25">
      <c r="A1255" s="224">
        <v>1254</v>
      </c>
      <c r="B1255" s="58">
        <v>24970</v>
      </c>
      <c r="C1255" s="57" t="s">
        <v>4348</v>
      </c>
      <c r="D1255" s="57" t="s">
        <v>2582</v>
      </c>
      <c r="E1255" s="57" t="s">
        <v>2860</v>
      </c>
      <c r="F1255" s="233">
        <v>45753.863888888889</v>
      </c>
      <c r="G1255" s="57">
        <v>6</v>
      </c>
      <c r="H1255" s="57" t="s">
        <v>2557</v>
      </c>
      <c r="I1255" s="58">
        <v>67400</v>
      </c>
      <c r="J1255" s="234"/>
      <c r="K1255" s="58">
        <v>0.03</v>
      </c>
      <c r="L1255" s="58">
        <v>0</v>
      </c>
      <c r="M1255" s="58">
        <v>0</v>
      </c>
      <c r="N1255" s="58">
        <v>7.1878599999999997</v>
      </c>
      <c r="O1255" s="224">
        <f t="shared" si="8"/>
        <v>0.03</v>
      </c>
      <c r="P1255" s="227">
        <f t="shared" si="9"/>
        <v>4.1737039953477113E-3</v>
      </c>
    </row>
    <row r="1256" spans="1:16" ht="14.25">
      <c r="A1256" s="224">
        <v>1255</v>
      </c>
      <c r="B1256" s="58">
        <v>25170</v>
      </c>
      <c r="C1256" s="57" t="s">
        <v>4524</v>
      </c>
      <c r="D1256" s="57" t="s">
        <v>2582</v>
      </c>
      <c r="E1256" s="57" t="s">
        <v>2860</v>
      </c>
      <c r="F1256" s="233">
        <v>45753.893750000003</v>
      </c>
      <c r="G1256" s="57">
        <v>6</v>
      </c>
      <c r="H1256" s="57" t="s">
        <v>2557</v>
      </c>
      <c r="I1256" s="58">
        <v>67412</v>
      </c>
      <c r="J1256" s="234" t="s">
        <v>4631</v>
      </c>
      <c r="K1256" s="58">
        <v>28.68</v>
      </c>
      <c r="L1256" s="58">
        <v>0</v>
      </c>
      <c r="M1256" s="58">
        <v>0</v>
      </c>
      <c r="N1256" s="58">
        <v>7.1878599999999997</v>
      </c>
      <c r="O1256" s="224">
        <f t="shared" si="8"/>
        <v>28.68</v>
      </c>
      <c r="P1256" s="227">
        <f t="shared" si="9"/>
        <v>3.990061019552412</v>
      </c>
    </row>
    <row r="1257" spans="1:16" ht="14.25">
      <c r="A1257" s="224">
        <v>1256</v>
      </c>
      <c r="B1257" s="58">
        <v>25163</v>
      </c>
      <c r="C1257" s="57" t="s">
        <v>4531</v>
      </c>
      <c r="D1257" s="57" t="s">
        <v>45</v>
      </c>
      <c r="E1257" s="57" t="s">
        <v>2860</v>
      </c>
      <c r="F1257" s="233">
        <v>45753.929166666669</v>
      </c>
      <c r="G1257" s="57">
        <v>6</v>
      </c>
      <c r="H1257" s="57" t="s">
        <v>2557</v>
      </c>
      <c r="I1257" s="58">
        <v>67424</v>
      </c>
      <c r="J1257" s="234" t="s">
        <v>4632</v>
      </c>
      <c r="K1257" s="58">
        <v>19.989999999999998</v>
      </c>
      <c r="L1257" s="58">
        <v>0</v>
      </c>
      <c r="M1257" s="58">
        <v>0</v>
      </c>
      <c r="N1257" s="58">
        <v>1</v>
      </c>
      <c r="O1257" s="224">
        <f t="shared" si="8"/>
        <v>19.989999999999998</v>
      </c>
      <c r="P1257" s="227">
        <f t="shared" si="9"/>
        <v>19.989999999999998</v>
      </c>
    </row>
    <row r="1258" spans="1:16" ht="14.25">
      <c r="A1258" s="224">
        <v>1257</v>
      </c>
      <c r="B1258" s="58">
        <v>25170</v>
      </c>
      <c r="C1258" s="57" t="s">
        <v>4524</v>
      </c>
      <c r="D1258" s="57" t="s">
        <v>2582</v>
      </c>
      <c r="E1258" s="57" t="s">
        <v>2860</v>
      </c>
      <c r="F1258" s="233">
        <v>45753.975694444445</v>
      </c>
      <c r="G1258" s="57">
        <v>6</v>
      </c>
      <c r="H1258" s="57" t="s">
        <v>2557</v>
      </c>
      <c r="I1258" s="58">
        <v>67412</v>
      </c>
      <c r="J1258" s="234"/>
      <c r="K1258" s="58">
        <v>0.03</v>
      </c>
      <c r="L1258" s="58">
        <v>0</v>
      </c>
      <c r="M1258" s="58">
        <v>0</v>
      </c>
      <c r="N1258" s="58">
        <v>7.1878599999999997</v>
      </c>
      <c r="O1258" s="224">
        <f t="shared" si="8"/>
        <v>0.03</v>
      </c>
      <c r="P1258" s="227">
        <f t="shared" si="9"/>
        <v>4.1737039953477113E-3</v>
      </c>
    </row>
    <row r="1259" spans="1:16" ht="14.25">
      <c r="A1259" s="224">
        <v>1258</v>
      </c>
      <c r="B1259" s="56">
        <v>23080</v>
      </c>
      <c r="C1259" s="56" t="s">
        <v>4011</v>
      </c>
      <c r="D1259" s="56" t="s">
        <v>45</v>
      </c>
      <c r="E1259" s="56" t="s">
        <v>2874</v>
      </c>
      <c r="F1259" s="245">
        <v>45753.978472222225</v>
      </c>
      <c r="G1259" s="56">
        <v>6</v>
      </c>
      <c r="H1259" s="56" t="s">
        <v>2557</v>
      </c>
      <c r="I1259" s="56">
        <v>67436</v>
      </c>
      <c r="J1259" s="246" t="s">
        <v>4633</v>
      </c>
      <c r="K1259" s="56">
        <v>93.59</v>
      </c>
      <c r="L1259" s="56">
        <v>0</v>
      </c>
      <c r="M1259" s="56">
        <v>0</v>
      </c>
      <c r="N1259" s="56">
        <v>1</v>
      </c>
      <c r="O1259" s="181">
        <f t="shared" si="8"/>
        <v>93.59</v>
      </c>
      <c r="P1259" s="247">
        <f t="shared" si="9"/>
        <v>93.59</v>
      </c>
    </row>
    <row r="1260" spans="1:16" ht="14.25">
      <c r="A1260" s="224">
        <v>1259</v>
      </c>
      <c r="B1260" s="58">
        <v>25493</v>
      </c>
      <c r="C1260" s="57" t="s">
        <v>4634</v>
      </c>
      <c r="D1260" s="57" t="s">
        <v>45</v>
      </c>
      <c r="E1260" s="57" t="s">
        <v>2860</v>
      </c>
      <c r="F1260" s="233">
        <v>45753.986805555556</v>
      </c>
      <c r="G1260" s="57">
        <v>6</v>
      </c>
      <c r="H1260" s="57" t="s">
        <v>2557</v>
      </c>
      <c r="I1260" s="58">
        <v>67448</v>
      </c>
      <c r="J1260" s="234" t="s">
        <v>4635</v>
      </c>
      <c r="K1260" s="58">
        <v>2.79</v>
      </c>
      <c r="L1260" s="58">
        <v>0</v>
      </c>
      <c r="M1260" s="58">
        <v>0</v>
      </c>
      <c r="N1260" s="58">
        <v>1</v>
      </c>
      <c r="O1260" s="224">
        <f t="shared" si="8"/>
        <v>2.79</v>
      </c>
      <c r="P1260" s="227">
        <f t="shared" si="9"/>
        <v>2.79</v>
      </c>
    </row>
    <row r="1261" spans="1:16" ht="14.25">
      <c r="A1261" s="224">
        <v>1260</v>
      </c>
      <c r="B1261" s="56">
        <v>18477</v>
      </c>
      <c r="C1261" s="56" t="s">
        <v>2966</v>
      </c>
      <c r="D1261" s="56" t="s">
        <v>45</v>
      </c>
      <c r="E1261" s="56" t="s">
        <v>2874</v>
      </c>
      <c r="F1261" s="245">
        <v>45783</v>
      </c>
      <c r="G1261" s="56">
        <v>6</v>
      </c>
      <c r="H1261" s="56" t="s">
        <v>2557</v>
      </c>
      <c r="I1261" s="56">
        <v>63932</v>
      </c>
      <c r="J1261" s="246" t="s">
        <v>4636</v>
      </c>
      <c r="K1261" s="56">
        <v>110</v>
      </c>
      <c r="L1261" s="56">
        <v>0</v>
      </c>
      <c r="M1261" s="56">
        <v>0</v>
      </c>
      <c r="N1261" s="56">
        <v>1</v>
      </c>
      <c r="O1261" s="181">
        <f t="shared" si="8"/>
        <v>110</v>
      </c>
      <c r="P1261" s="247">
        <f t="shared" si="9"/>
        <v>110</v>
      </c>
    </row>
    <row r="1262" spans="1:16" ht="14.25">
      <c r="A1262" s="224">
        <v>1261</v>
      </c>
      <c r="B1262" s="58">
        <v>21228</v>
      </c>
      <c r="C1262" s="57" t="s">
        <v>3637</v>
      </c>
      <c r="D1262" s="57" t="s">
        <v>45</v>
      </c>
      <c r="E1262" s="57" t="s">
        <v>2860</v>
      </c>
      <c r="F1262" s="233">
        <v>45783.396527777775</v>
      </c>
      <c r="G1262" s="57">
        <v>6</v>
      </c>
      <c r="H1262" s="57" t="s">
        <v>2557</v>
      </c>
      <c r="I1262" s="58">
        <v>63968</v>
      </c>
      <c r="J1262" s="234" t="s">
        <v>4637</v>
      </c>
      <c r="K1262" s="58">
        <v>31.49</v>
      </c>
      <c r="L1262" s="58">
        <v>0</v>
      </c>
      <c r="M1262" s="58">
        <v>0</v>
      </c>
      <c r="N1262" s="58">
        <v>1</v>
      </c>
      <c r="O1262" s="224">
        <f t="shared" si="8"/>
        <v>31.49</v>
      </c>
      <c r="P1262" s="227">
        <f t="shared" si="9"/>
        <v>31.49</v>
      </c>
    </row>
    <row r="1263" spans="1:16" ht="14.25">
      <c r="A1263" s="224">
        <v>1262</v>
      </c>
      <c r="B1263" s="58">
        <v>20047</v>
      </c>
      <c r="C1263" s="57" t="s">
        <v>4066</v>
      </c>
      <c r="D1263" s="57" t="s">
        <v>2582</v>
      </c>
      <c r="E1263" s="57" t="s">
        <v>2860</v>
      </c>
      <c r="F1263" s="233">
        <v>45783.405555555553</v>
      </c>
      <c r="G1263" s="57">
        <v>6</v>
      </c>
      <c r="H1263" s="57" t="s">
        <v>2557</v>
      </c>
      <c r="I1263" s="58">
        <v>63956</v>
      </c>
      <c r="J1263" s="234" t="s">
        <v>4638</v>
      </c>
      <c r="K1263" s="58">
        <v>111.06</v>
      </c>
      <c r="L1263" s="58">
        <v>0</v>
      </c>
      <c r="M1263" s="58">
        <v>0</v>
      </c>
      <c r="N1263" s="58">
        <v>7.1886000000000001</v>
      </c>
      <c r="O1263" s="224">
        <f t="shared" si="8"/>
        <v>111.06</v>
      </c>
      <c r="P1263" s="227">
        <f t="shared" si="9"/>
        <v>15.449461647608715</v>
      </c>
    </row>
    <row r="1264" spans="1:16" ht="14.25">
      <c r="A1264" s="224">
        <v>1263</v>
      </c>
      <c r="B1264" s="56">
        <v>23753</v>
      </c>
      <c r="C1264" s="56" t="s">
        <v>4092</v>
      </c>
      <c r="D1264" s="56" t="s">
        <v>45</v>
      </c>
      <c r="E1264" s="56" t="s">
        <v>2874</v>
      </c>
      <c r="F1264" s="245">
        <v>45783.411805555559</v>
      </c>
      <c r="G1264" s="56">
        <v>6</v>
      </c>
      <c r="H1264" s="56" t="s">
        <v>2557</v>
      </c>
      <c r="I1264" s="56">
        <v>64604</v>
      </c>
      <c r="J1264" s="246"/>
      <c r="K1264" s="56">
        <v>29.97</v>
      </c>
      <c r="L1264" s="56">
        <v>0</v>
      </c>
      <c r="M1264" s="56">
        <v>0</v>
      </c>
      <c r="N1264" s="56">
        <v>1</v>
      </c>
      <c r="O1264" s="181">
        <f t="shared" si="8"/>
        <v>29.97</v>
      </c>
      <c r="P1264" s="247">
        <f t="shared" si="9"/>
        <v>29.97</v>
      </c>
    </row>
    <row r="1265" spans="1:16" ht="14.25">
      <c r="A1265" s="224">
        <v>1264</v>
      </c>
      <c r="B1265" s="58">
        <v>20047</v>
      </c>
      <c r="C1265" s="57" t="s">
        <v>4066</v>
      </c>
      <c r="D1265" s="57" t="s">
        <v>2582</v>
      </c>
      <c r="E1265" s="57" t="s">
        <v>2860</v>
      </c>
      <c r="F1265" s="233">
        <v>45783.414583333331</v>
      </c>
      <c r="G1265" s="57">
        <v>6</v>
      </c>
      <c r="H1265" s="57" t="s">
        <v>2557</v>
      </c>
      <c r="I1265" s="58">
        <v>63956</v>
      </c>
      <c r="J1265" s="234"/>
      <c r="K1265" s="58">
        <v>0.03</v>
      </c>
      <c r="L1265" s="58">
        <v>0</v>
      </c>
      <c r="M1265" s="58">
        <v>0</v>
      </c>
      <c r="N1265" s="58">
        <v>7.1886000000000001</v>
      </c>
      <c r="O1265" s="224">
        <f t="shared" si="8"/>
        <v>0.03</v>
      </c>
      <c r="P1265" s="227">
        <f t="shared" si="9"/>
        <v>4.1732743510558383E-3</v>
      </c>
    </row>
    <row r="1266" spans="1:16" ht="14.25">
      <c r="A1266" s="224">
        <v>1265</v>
      </c>
      <c r="B1266" s="58">
        <v>21339</v>
      </c>
      <c r="C1266" s="57" t="s">
        <v>3675</v>
      </c>
      <c r="D1266" s="57" t="s">
        <v>45</v>
      </c>
      <c r="E1266" s="57" t="s">
        <v>2860</v>
      </c>
      <c r="F1266" s="233">
        <v>45783.481944444444</v>
      </c>
      <c r="G1266" s="57">
        <v>6</v>
      </c>
      <c r="H1266" s="57" t="s">
        <v>2557</v>
      </c>
      <c r="I1266" s="58">
        <v>64388</v>
      </c>
      <c r="J1266" s="234" t="s">
        <v>4639</v>
      </c>
      <c r="K1266" s="58">
        <v>14.98</v>
      </c>
      <c r="L1266" s="58">
        <v>0</v>
      </c>
      <c r="M1266" s="58">
        <v>0</v>
      </c>
      <c r="N1266" s="58">
        <v>1</v>
      </c>
      <c r="O1266" s="224">
        <f t="shared" si="8"/>
        <v>14.98</v>
      </c>
      <c r="P1266" s="227">
        <f t="shared" si="9"/>
        <v>14.98</v>
      </c>
    </row>
    <row r="1267" spans="1:16" ht="14.25">
      <c r="A1267" s="224">
        <v>1266</v>
      </c>
      <c r="B1267" s="56">
        <v>21455</v>
      </c>
      <c r="C1267" s="56" t="s">
        <v>3698</v>
      </c>
      <c r="D1267" s="56" t="s">
        <v>45</v>
      </c>
      <c r="E1267" s="56" t="s">
        <v>2874</v>
      </c>
      <c r="F1267" s="245">
        <v>45783.522916666669</v>
      </c>
      <c r="G1267" s="56">
        <v>6</v>
      </c>
      <c r="H1267" s="56" t="s">
        <v>2557</v>
      </c>
      <c r="I1267" s="56">
        <v>64244</v>
      </c>
      <c r="J1267" s="246" t="s">
        <v>4640</v>
      </c>
      <c r="K1267" s="56">
        <v>0.99</v>
      </c>
      <c r="L1267" s="56">
        <v>0</v>
      </c>
      <c r="M1267" s="56">
        <v>0</v>
      </c>
      <c r="N1267" s="56">
        <v>1</v>
      </c>
      <c r="O1267" s="181">
        <f t="shared" si="8"/>
        <v>0.99</v>
      </c>
      <c r="P1267" s="247">
        <f t="shared" si="9"/>
        <v>0.99</v>
      </c>
    </row>
    <row r="1268" spans="1:16" ht="14.25">
      <c r="A1268" s="224">
        <v>1267</v>
      </c>
      <c r="B1268" s="56">
        <v>21455</v>
      </c>
      <c r="C1268" s="56" t="s">
        <v>3698</v>
      </c>
      <c r="D1268" s="56" t="s">
        <v>45</v>
      </c>
      <c r="E1268" s="56" t="s">
        <v>2874</v>
      </c>
      <c r="F1268" s="245">
        <v>45783.545138888891</v>
      </c>
      <c r="G1268" s="56">
        <v>6</v>
      </c>
      <c r="H1268" s="56" t="s">
        <v>2557</v>
      </c>
      <c r="I1268" s="56">
        <v>67556</v>
      </c>
      <c r="J1268" s="246" t="s">
        <v>4641</v>
      </c>
      <c r="K1268" s="56">
        <v>1.4</v>
      </c>
      <c r="L1268" s="56">
        <v>0</v>
      </c>
      <c r="M1268" s="56">
        <v>0</v>
      </c>
      <c r="N1268" s="56">
        <v>1</v>
      </c>
      <c r="O1268" s="181">
        <f t="shared" si="8"/>
        <v>1.4</v>
      </c>
      <c r="P1268" s="247">
        <f t="shared" si="9"/>
        <v>1.4</v>
      </c>
    </row>
    <row r="1269" spans="1:16" ht="14.25">
      <c r="A1269" s="224">
        <v>1268</v>
      </c>
      <c r="B1269" s="58">
        <v>24912</v>
      </c>
      <c r="C1269" s="57" t="s">
        <v>4642</v>
      </c>
      <c r="D1269" s="57" t="s">
        <v>45</v>
      </c>
      <c r="E1269" s="57" t="s">
        <v>2860</v>
      </c>
      <c r="F1269" s="233">
        <v>45783.561111111114</v>
      </c>
      <c r="G1269" s="57">
        <v>6</v>
      </c>
      <c r="H1269" s="57" t="s">
        <v>2557</v>
      </c>
      <c r="I1269" s="58">
        <v>67568</v>
      </c>
      <c r="J1269" s="234" t="s">
        <v>4643</v>
      </c>
      <c r="K1269" s="58">
        <v>8.39</v>
      </c>
      <c r="L1269" s="58">
        <v>0</v>
      </c>
      <c r="M1269" s="58">
        <v>0</v>
      </c>
      <c r="N1269" s="58">
        <v>1</v>
      </c>
      <c r="O1269" s="224">
        <f t="shared" si="8"/>
        <v>8.39</v>
      </c>
      <c r="P1269" s="227">
        <f t="shared" si="9"/>
        <v>8.39</v>
      </c>
    </row>
    <row r="1270" spans="1:16" ht="14.25">
      <c r="A1270" s="224">
        <v>1269</v>
      </c>
      <c r="B1270" s="58">
        <v>25536</v>
      </c>
      <c r="C1270" s="57" t="s">
        <v>4644</v>
      </c>
      <c r="D1270" s="57" t="s">
        <v>45</v>
      </c>
      <c r="E1270" s="57" t="s">
        <v>2860</v>
      </c>
      <c r="F1270" s="233">
        <v>45783.632638888892</v>
      </c>
      <c r="G1270" s="57">
        <v>6</v>
      </c>
      <c r="H1270" s="57" t="s">
        <v>2557</v>
      </c>
      <c r="I1270" s="58">
        <v>67580</v>
      </c>
      <c r="J1270" s="234" t="s">
        <v>4645</v>
      </c>
      <c r="K1270" s="58">
        <v>14.39</v>
      </c>
      <c r="L1270" s="58">
        <v>0</v>
      </c>
      <c r="M1270" s="58">
        <v>0</v>
      </c>
      <c r="N1270" s="58">
        <v>1</v>
      </c>
      <c r="O1270" s="224">
        <f t="shared" si="8"/>
        <v>14.39</v>
      </c>
      <c r="P1270" s="227">
        <f t="shared" si="9"/>
        <v>14.39</v>
      </c>
    </row>
    <row r="1271" spans="1:16" ht="14.25">
      <c r="A1271" s="224">
        <v>1270</v>
      </c>
      <c r="B1271" s="56">
        <v>7899</v>
      </c>
      <c r="C1271" s="56" t="s">
        <v>2714</v>
      </c>
      <c r="D1271" s="56" t="s">
        <v>45</v>
      </c>
      <c r="E1271" s="56" t="s">
        <v>2874</v>
      </c>
      <c r="F1271" s="245">
        <v>45783.635416666664</v>
      </c>
      <c r="G1271" s="56">
        <v>6</v>
      </c>
      <c r="H1271" s="56" t="s">
        <v>2557</v>
      </c>
      <c r="I1271" s="56">
        <v>67592</v>
      </c>
      <c r="J1271" s="246" t="s">
        <v>4646</v>
      </c>
      <c r="K1271" s="56">
        <v>14</v>
      </c>
      <c r="L1271" s="56">
        <v>0</v>
      </c>
      <c r="M1271" s="56">
        <v>0</v>
      </c>
      <c r="N1271" s="56">
        <v>1</v>
      </c>
      <c r="O1271" s="181">
        <f t="shared" si="8"/>
        <v>14</v>
      </c>
      <c r="P1271" s="247">
        <f t="shared" si="9"/>
        <v>14</v>
      </c>
    </row>
    <row r="1272" spans="1:16" ht="14.25">
      <c r="A1272" s="224">
        <v>1271</v>
      </c>
      <c r="B1272" s="58">
        <v>1836</v>
      </c>
      <c r="C1272" s="57" t="s">
        <v>2882</v>
      </c>
      <c r="D1272" s="57" t="s">
        <v>2582</v>
      </c>
      <c r="E1272" s="57" t="s">
        <v>2860</v>
      </c>
      <c r="F1272" s="233">
        <v>45783.646527777775</v>
      </c>
      <c r="G1272" s="57">
        <v>6</v>
      </c>
      <c r="H1272" s="57" t="s">
        <v>2557</v>
      </c>
      <c r="I1272" s="58">
        <v>67340</v>
      </c>
      <c r="J1272" s="234" t="s">
        <v>4647</v>
      </c>
      <c r="K1272" s="58">
        <v>87.34</v>
      </c>
      <c r="L1272" s="58">
        <v>0</v>
      </c>
      <c r="M1272" s="58">
        <v>0</v>
      </c>
      <c r="N1272" s="58">
        <v>7.1886000000000001</v>
      </c>
      <c r="O1272" s="224">
        <f t="shared" si="8"/>
        <v>87.34</v>
      </c>
      <c r="P1272" s="227">
        <f t="shared" si="9"/>
        <v>12.149792727373898</v>
      </c>
    </row>
    <row r="1273" spans="1:16" ht="14.25">
      <c r="A1273" s="224">
        <v>1272</v>
      </c>
      <c r="B1273" s="58">
        <v>21325</v>
      </c>
      <c r="C1273" s="57" t="s">
        <v>3663</v>
      </c>
      <c r="D1273" s="57" t="s">
        <v>45</v>
      </c>
      <c r="E1273" s="57" t="s">
        <v>2860</v>
      </c>
      <c r="F1273" s="233">
        <v>45783.714583333334</v>
      </c>
      <c r="G1273" s="57">
        <v>6</v>
      </c>
      <c r="H1273" s="57" t="s">
        <v>2557</v>
      </c>
      <c r="I1273" s="58">
        <v>67532</v>
      </c>
      <c r="J1273" s="234" t="s">
        <v>4648</v>
      </c>
      <c r="K1273" s="58">
        <v>16.09</v>
      </c>
      <c r="L1273" s="58">
        <v>0</v>
      </c>
      <c r="M1273" s="58">
        <v>0</v>
      </c>
      <c r="N1273" s="58">
        <v>1</v>
      </c>
      <c r="O1273" s="224">
        <f t="shared" si="8"/>
        <v>16.09</v>
      </c>
      <c r="P1273" s="227">
        <f t="shared" si="9"/>
        <v>16.09</v>
      </c>
    </row>
    <row r="1274" spans="1:16" ht="14.25">
      <c r="A1274" s="224">
        <v>1273</v>
      </c>
      <c r="B1274" s="58">
        <v>25412</v>
      </c>
      <c r="C1274" s="57" t="s">
        <v>4621</v>
      </c>
      <c r="D1274" s="57" t="s">
        <v>45</v>
      </c>
      <c r="E1274" s="57" t="s">
        <v>2860</v>
      </c>
      <c r="F1274" s="233">
        <v>45783.720833333333</v>
      </c>
      <c r="G1274" s="57">
        <v>6</v>
      </c>
      <c r="H1274" s="57" t="s">
        <v>2557</v>
      </c>
      <c r="I1274" s="58">
        <v>67604</v>
      </c>
      <c r="J1274" s="234" t="s">
        <v>4649</v>
      </c>
      <c r="K1274" s="58">
        <v>8.99</v>
      </c>
      <c r="L1274" s="58">
        <v>0</v>
      </c>
      <c r="M1274" s="58">
        <v>0</v>
      </c>
      <c r="N1274" s="58">
        <v>1</v>
      </c>
      <c r="O1274" s="224">
        <f t="shared" si="8"/>
        <v>8.99</v>
      </c>
      <c r="P1274" s="227">
        <f t="shared" si="9"/>
        <v>8.99</v>
      </c>
    </row>
    <row r="1275" spans="1:16" ht="14.25">
      <c r="A1275" s="224">
        <v>1274</v>
      </c>
      <c r="B1275" s="58">
        <v>396</v>
      </c>
      <c r="C1275" s="57" t="s">
        <v>2674</v>
      </c>
      <c r="D1275" s="57" t="s">
        <v>45</v>
      </c>
      <c r="E1275" s="57" t="s">
        <v>9</v>
      </c>
      <c r="F1275" s="233">
        <v>45783.796527777777</v>
      </c>
      <c r="G1275" s="57">
        <v>6</v>
      </c>
      <c r="H1275" s="57" t="s">
        <v>2557</v>
      </c>
      <c r="I1275" s="58">
        <v>61556</v>
      </c>
      <c r="J1275" s="234" t="s">
        <v>527</v>
      </c>
      <c r="K1275" s="58">
        <v>1.0900000000000001</v>
      </c>
      <c r="L1275" s="58">
        <v>0.54</v>
      </c>
      <c r="M1275" s="58">
        <v>0</v>
      </c>
      <c r="N1275" s="58">
        <v>1</v>
      </c>
      <c r="O1275" s="224">
        <f t="shared" si="8"/>
        <v>0.55000000000000004</v>
      </c>
      <c r="P1275" s="227">
        <f t="shared" si="9"/>
        <v>0.55000000000000004</v>
      </c>
    </row>
    <row r="1276" spans="1:16" ht="14.25">
      <c r="A1276" s="224">
        <v>1275</v>
      </c>
      <c r="B1276" s="58">
        <v>25490</v>
      </c>
      <c r="C1276" s="57" t="s">
        <v>4650</v>
      </c>
      <c r="D1276" s="57" t="s">
        <v>2582</v>
      </c>
      <c r="E1276" s="57" t="s">
        <v>2860</v>
      </c>
      <c r="F1276" s="233">
        <v>45783.895833333336</v>
      </c>
      <c r="G1276" s="57">
        <v>6</v>
      </c>
      <c r="H1276" s="57" t="s">
        <v>2557</v>
      </c>
      <c r="I1276" s="58">
        <v>67616</v>
      </c>
      <c r="J1276" s="234" t="s">
        <v>4651</v>
      </c>
      <c r="K1276" s="58">
        <v>68.94</v>
      </c>
      <c r="L1276" s="58">
        <v>0</v>
      </c>
      <c r="M1276" s="58">
        <v>0</v>
      </c>
      <c r="N1276" s="58">
        <v>7.1886000000000001</v>
      </c>
      <c r="O1276" s="224">
        <f t="shared" si="8"/>
        <v>68.94</v>
      </c>
      <c r="P1276" s="227">
        <f t="shared" si="9"/>
        <v>9.5901844587263163</v>
      </c>
    </row>
    <row r="1277" spans="1:16" ht="14.25">
      <c r="A1277" s="224">
        <v>1276</v>
      </c>
      <c r="B1277" s="58">
        <v>25490</v>
      </c>
      <c r="C1277" s="57" t="s">
        <v>4650</v>
      </c>
      <c r="D1277" s="57" t="s">
        <v>2582</v>
      </c>
      <c r="E1277" s="57" t="s">
        <v>2860</v>
      </c>
      <c r="F1277" s="233">
        <v>45783.9</v>
      </c>
      <c r="G1277" s="57">
        <v>6</v>
      </c>
      <c r="H1277" s="57" t="s">
        <v>2557</v>
      </c>
      <c r="I1277" s="58">
        <v>67616</v>
      </c>
      <c r="J1277" s="234"/>
      <c r="K1277" s="58">
        <v>0.01</v>
      </c>
      <c r="L1277" s="58">
        <v>0</v>
      </c>
      <c r="M1277" s="58">
        <v>0</v>
      </c>
      <c r="N1277" s="58">
        <v>7.1886000000000001</v>
      </c>
      <c r="O1277" s="224">
        <f t="shared" ref="O1277:O1531" si="10">K1277-L1277-M1277</f>
        <v>0.01</v>
      </c>
      <c r="P1277" s="227">
        <f t="shared" ref="P1277:P1531" si="11">IF(D1277="USD",O1277,O1277/N1277)</f>
        <v>1.3910914503519462E-3</v>
      </c>
    </row>
    <row r="1278" spans="1:16" ht="14.25">
      <c r="A1278" s="224">
        <v>1277</v>
      </c>
      <c r="B1278" s="58">
        <v>24787</v>
      </c>
      <c r="C1278" s="57" t="s">
        <v>4298</v>
      </c>
      <c r="D1278" s="57" t="s">
        <v>45</v>
      </c>
      <c r="E1278" s="57" t="s">
        <v>2860</v>
      </c>
      <c r="F1278" s="233">
        <v>45783.948611111111</v>
      </c>
      <c r="G1278" s="57">
        <v>6</v>
      </c>
      <c r="H1278" s="57" t="s">
        <v>2557</v>
      </c>
      <c r="I1278" s="58">
        <v>67640</v>
      </c>
      <c r="J1278" s="234" t="s">
        <v>4652</v>
      </c>
      <c r="K1278" s="58">
        <v>7.99</v>
      </c>
      <c r="L1278" s="58">
        <v>0</v>
      </c>
      <c r="M1278" s="58">
        <v>0</v>
      </c>
      <c r="N1278" s="58">
        <v>1</v>
      </c>
      <c r="O1278" s="224">
        <f t="shared" si="10"/>
        <v>7.99</v>
      </c>
      <c r="P1278" s="227">
        <f t="shared" si="11"/>
        <v>7.99</v>
      </c>
    </row>
    <row r="1279" spans="1:16" ht="14.25">
      <c r="A1279" s="224">
        <v>1278</v>
      </c>
      <c r="B1279" s="58">
        <v>25552</v>
      </c>
      <c r="C1279" s="57" t="s">
        <v>4653</v>
      </c>
      <c r="D1279" s="57" t="s">
        <v>2582</v>
      </c>
      <c r="E1279" s="57" t="s">
        <v>2860</v>
      </c>
      <c r="F1279" s="233">
        <v>45783.993055555555</v>
      </c>
      <c r="G1279" s="57">
        <v>6</v>
      </c>
      <c r="H1279" s="57" t="s">
        <v>2557</v>
      </c>
      <c r="I1279" s="58">
        <v>67652</v>
      </c>
      <c r="J1279" s="234" t="s">
        <v>4654</v>
      </c>
      <c r="K1279" s="58">
        <v>28.75</v>
      </c>
      <c r="L1279" s="58">
        <v>0</v>
      </c>
      <c r="M1279" s="58">
        <v>0</v>
      </c>
      <c r="N1279" s="58">
        <v>7.1886000000000001</v>
      </c>
      <c r="O1279" s="224">
        <f t="shared" si="10"/>
        <v>28.75</v>
      </c>
      <c r="P1279" s="227">
        <f t="shared" si="11"/>
        <v>3.9993879197618449</v>
      </c>
    </row>
    <row r="1280" spans="1:16" ht="14.25">
      <c r="A1280" s="224">
        <v>1279</v>
      </c>
      <c r="B1280" s="58">
        <v>25552</v>
      </c>
      <c r="C1280" s="57" t="s">
        <v>4653</v>
      </c>
      <c r="D1280" s="57" t="s">
        <v>2582</v>
      </c>
      <c r="E1280" s="57" t="s">
        <v>2860</v>
      </c>
      <c r="F1280" s="233">
        <v>45814.015972222223</v>
      </c>
      <c r="G1280" s="57">
        <v>6</v>
      </c>
      <c r="H1280" s="57" t="s">
        <v>2557</v>
      </c>
      <c r="I1280" s="58">
        <v>67688</v>
      </c>
      <c r="J1280" s="234" t="s">
        <v>4655</v>
      </c>
      <c r="K1280" s="58">
        <v>103.44</v>
      </c>
      <c r="L1280" s="58">
        <v>0</v>
      </c>
      <c r="M1280" s="58">
        <v>0</v>
      </c>
      <c r="N1280" s="58">
        <v>7.1886000000000001</v>
      </c>
      <c r="O1280" s="224">
        <f t="shared" si="10"/>
        <v>103.44</v>
      </c>
      <c r="P1280" s="227">
        <f t="shared" si="11"/>
        <v>14.38944996244053</v>
      </c>
    </row>
    <row r="1281" spans="1:16" ht="14.25">
      <c r="A1281" s="224">
        <v>1280</v>
      </c>
      <c r="B1281" s="58">
        <v>25552</v>
      </c>
      <c r="C1281" s="57" t="s">
        <v>4653</v>
      </c>
      <c r="D1281" s="57" t="s">
        <v>2582</v>
      </c>
      <c r="E1281" s="57" t="s">
        <v>2860</v>
      </c>
      <c r="F1281" s="233">
        <v>45814.024305555555</v>
      </c>
      <c r="G1281" s="57">
        <v>6</v>
      </c>
      <c r="H1281" s="57" t="s">
        <v>2557</v>
      </c>
      <c r="I1281" s="58">
        <v>67700</v>
      </c>
      <c r="J1281" s="234" t="s">
        <v>4656</v>
      </c>
      <c r="K1281" s="58">
        <v>60.38</v>
      </c>
      <c r="L1281" s="58">
        <v>0</v>
      </c>
      <c r="M1281" s="58">
        <v>0</v>
      </c>
      <c r="N1281" s="58">
        <v>7.1886000000000001</v>
      </c>
      <c r="O1281" s="224">
        <f t="shared" si="10"/>
        <v>60.38</v>
      </c>
      <c r="P1281" s="227">
        <f t="shared" si="11"/>
        <v>8.3994101772250502</v>
      </c>
    </row>
    <row r="1282" spans="1:16" ht="14.25">
      <c r="A1282" s="224">
        <v>1281</v>
      </c>
      <c r="B1282" s="58">
        <v>18156</v>
      </c>
      <c r="C1282" s="57" t="s">
        <v>2918</v>
      </c>
      <c r="D1282" s="57" t="s">
        <v>2582</v>
      </c>
      <c r="E1282" s="57" t="s">
        <v>2860</v>
      </c>
      <c r="F1282" s="233">
        <v>45814.036111111112</v>
      </c>
      <c r="G1282" s="57">
        <v>6</v>
      </c>
      <c r="H1282" s="57" t="s">
        <v>2557</v>
      </c>
      <c r="I1282" s="58">
        <v>67676</v>
      </c>
      <c r="J1282" s="234" t="s">
        <v>4657</v>
      </c>
      <c r="K1282" s="58">
        <v>499.97</v>
      </c>
      <c r="L1282" s="58">
        <v>0</v>
      </c>
      <c r="M1282" s="58">
        <v>0</v>
      </c>
      <c r="N1282" s="58">
        <v>7.1886000000000001</v>
      </c>
      <c r="O1282" s="224">
        <f t="shared" si="10"/>
        <v>499.97</v>
      </c>
      <c r="P1282" s="227">
        <f t="shared" si="11"/>
        <v>69.550399243246247</v>
      </c>
    </row>
    <row r="1283" spans="1:16" ht="14.25">
      <c r="A1283" s="224">
        <v>1282</v>
      </c>
      <c r="B1283" s="58">
        <v>25490</v>
      </c>
      <c r="C1283" s="57" t="s">
        <v>4650</v>
      </c>
      <c r="D1283" s="57" t="s">
        <v>2582</v>
      </c>
      <c r="E1283" s="57" t="s">
        <v>2860</v>
      </c>
      <c r="F1283" s="233">
        <v>45814.058333333334</v>
      </c>
      <c r="G1283" s="57">
        <v>6</v>
      </c>
      <c r="H1283" s="57" t="s">
        <v>2557</v>
      </c>
      <c r="I1283" s="58">
        <v>67724</v>
      </c>
      <c r="J1283" s="234" t="s">
        <v>4658</v>
      </c>
      <c r="K1283" s="58">
        <v>103.37</v>
      </c>
      <c r="L1283" s="58">
        <v>0</v>
      </c>
      <c r="M1283" s="58">
        <v>0</v>
      </c>
      <c r="N1283" s="58">
        <v>7.1886000000000001</v>
      </c>
      <c r="O1283" s="224">
        <f t="shared" si="10"/>
        <v>103.37</v>
      </c>
      <c r="P1283" s="227">
        <f t="shared" si="11"/>
        <v>14.379712322288068</v>
      </c>
    </row>
    <row r="1284" spans="1:16" ht="14.25">
      <c r="A1284" s="224">
        <v>1283</v>
      </c>
      <c r="B1284" s="58">
        <v>25490</v>
      </c>
      <c r="C1284" s="57" t="s">
        <v>4650</v>
      </c>
      <c r="D1284" s="57" t="s">
        <v>2582</v>
      </c>
      <c r="E1284" s="57" t="s">
        <v>2860</v>
      </c>
      <c r="F1284" s="233">
        <v>45814.063194444447</v>
      </c>
      <c r="G1284" s="57">
        <v>6</v>
      </c>
      <c r="H1284" s="57" t="s">
        <v>2557</v>
      </c>
      <c r="I1284" s="58">
        <v>67724</v>
      </c>
      <c r="J1284" s="234"/>
      <c r="K1284" s="58">
        <v>0.02</v>
      </c>
      <c r="L1284" s="58">
        <v>0</v>
      </c>
      <c r="M1284" s="58">
        <v>0</v>
      </c>
      <c r="N1284" s="58">
        <v>7.1886000000000001</v>
      </c>
      <c r="O1284" s="224">
        <f t="shared" si="10"/>
        <v>0.02</v>
      </c>
      <c r="P1284" s="227">
        <f t="shared" si="11"/>
        <v>2.7821829007038923E-3</v>
      </c>
    </row>
    <row r="1285" spans="1:16" ht="14.25">
      <c r="A1285" s="224">
        <v>1284</v>
      </c>
      <c r="B1285" s="58">
        <v>18156</v>
      </c>
      <c r="C1285" s="57" t="s">
        <v>2918</v>
      </c>
      <c r="D1285" s="57" t="s">
        <v>2582</v>
      </c>
      <c r="E1285" s="57" t="s">
        <v>2860</v>
      </c>
      <c r="F1285" s="233">
        <v>45814.06527777778</v>
      </c>
      <c r="G1285" s="57">
        <v>6</v>
      </c>
      <c r="H1285" s="57" t="s">
        <v>2557</v>
      </c>
      <c r="I1285" s="58">
        <v>67676</v>
      </c>
      <c r="J1285" s="234"/>
      <c r="K1285" s="58">
        <v>0.03</v>
      </c>
      <c r="L1285" s="58">
        <v>0</v>
      </c>
      <c r="M1285" s="58">
        <v>0</v>
      </c>
      <c r="N1285" s="58">
        <v>7.1886000000000001</v>
      </c>
      <c r="O1285" s="224">
        <f t="shared" si="10"/>
        <v>0.03</v>
      </c>
      <c r="P1285" s="227">
        <f t="shared" si="11"/>
        <v>4.1732743510558383E-3</v>
      </c>
    </row>
    <row r="1286" spans="1:16" ht="14.25">
      <c r="A1286" s="224">
        <v>1285</v>
      </c>
      <c r="B1286" s="56">
        <v>18156</v>
      </c>
      <c r="C1286" s="56" t="s">
        <v>2918</v>
      </c>
      <c r="D1286" s="56" t="s">
        <v>2582</v>
      </c>
      <c r="E1286" s="56" t="s">
        <v>2874</v>
      </c>
      <c r="F1286" s="245">
        <v>45814.067361111112</v>
      </c>
      <c r="G1286" s="56">
        <v>6</v>
      </c>
      <c r="H1286" s="56" t="s">
        <v>2557</v>
      </c>
      <c r="I1286" s="56">
        <v>67736</v>
      </c>
      <c r="J1286" s="246"/>
      <c r="K1286" s="56">
        <v>501.48</v>
      </c>
      <c r="L1286" s="56">
        <v>0</v>
      </c>
      <c r="M1286" s="56">
        <v>0</v>
      </c>
      <c r="N1286" s="56">
        <v>7.1886000000000001</v>
      </c>
      <c r="O1286" s="181">
        <f t="shared" si="10"/>
        <v>501.48</v>
      </c>
      <c r="P1286" s="247">
        <f t="shared" si="11"/>
        <v>69.760454052249401</v>
      </c>
    </row>
    <row r="1287" spans="1:16" ht="14.25">
      <c r="A1287" s="224">
        <v>1286</v>
      </c>
      <c r="B1287" s="58">
        <v>21339</v>
      </c>
      <c r="C1287" s="57" t="s">
        <v>3675</v>
      </c>
      <c r="D1287" s="57" t="s">
        <v>45</v>
      </c>
      <c r="E1287" s="57" t="s">
        <v>2860</v>
      </c>
      <c r="F1287" s="233">
        <v>45814.474999999999</v>
      </c>
      <c r="G1287" s="57">
        <v>6</v>
      </c>
      <c r="H1287" s="57" t="s">
        <v>2557</v>
      </c>
      <c r="I1287" s="58">
        <v>67892</v>
      </c>
      <c r="J1287" s="234" t="s">
        <v>4659</v>
      </c>
      <c r="K1287" s="58">
        <v>14.88</v>
      </c>
      <c r="L1287" s="58">
        <v>0</v>
      </c>
      <c r="M1287" s="58">
        <v>0</v>
      </c>
      <c r="N1287" s="58">
        <v>1</v>
      </c>
      <c r="O1287" s="224">
        <f t="shared" si="10"/>
        <v>14.88</v>
      </c>
      <c r="P1287" s="227">
        <f t="shared" si="11"/>
        <v>14.88</v>
      </c>
    </row>
    <row r="1288" spans="1:16" ht="14.25">
      <c r="A1288" s="224">
        <v>1287</v>
      </c>
      <c r="B1288" s="58">
        <v>25285</v>
      </c>
      <c r="C1288" s="57" t="s">
        <v>4585</v>
      </c>
      <c r="D1288" s="57" t="s">
        <v>45</v>
      </c>
      <c r="E1288" s="57" t="s">
        <v>2860</v>
      </c>
      <c r="F1288" s="233">
        <v>45814.475694444445</v>
      </c>
      <c r="G1288" s="57">
        <v>6</v>
      </c>
      <c r="H1288" s="57" t="s">
        <v>2557</v>
      </c>
      <c r="I1288" s="58">
        <v>67904</v>
      </c>
      <c r="J1288" s="234" t="s">
        <v>4660</v>
      </c>
      <c r="K1288" s="58">
        <v>1.99</v>
      </c>
      <c r="L1288" s="58">
        <v>0</v>
      </c>
      <c r="M1288" s="58">
        <v>0</v>
      </c>
      <c r="N1288" s="58">
        <v>1</v>
      </c>
      <c r="O1288" s="224">
        <f t="shared" si="10"/>
        <v>1.99</v>
      </c>
      <c r="P1288" s="227">
        <f t="shared" si="11"/>
        <v>1.99</v>
      </c>
    </row>
    <row r="1289" spans="1:16" ht="14.25">
      <c r="A1289" s="224">
        <v>1288</v>
      </c>
      <c r="B1289" s="58">
        <v>20647</v>
      </c>
      <c r="C1289" s="57" t="s">
        <v>3558</v>
      </c>
      <c r="D1289" s="57" t="s">
        <v>2582</v>
      </c>
      <c r="E1289" s="57" t="s">
        <v>2860</v>
      </c>
      <c r="F1289" s="233">
        <v>45814.592361111114</v>
      </c>
      <c r="G1289" s="57">
        <v>6</v>
      </c>
      <c r="H1289" s="57" t="s">
        <v>2557</v>
      </c>
      <c r="I1289" s="58">
        <v>67928</v>
      </c>
      <c r="J1289" s="234" t="s">
        <v>4661</v>
      </c>
      <c r="K1289" s="58">
        <v>50.18</v>
      </c>
      <c r="L1289" s="58">
        <v>0</v>
      </c>
      <c r="M1289" s="58">
        <v>0</v>
      </c>
      <c r="N1289" s="58">
        <v>7.1791999999999998</v>
      </c>
      <c r="O1289" s="224">
        <f t="shared" si="10"/>
        <v>50.18</v>
      </c>
      <c r="P1289" s="227">
        <f t="shared" si="11"/>
        <v>6.9896367283262757</v>
      </c>
    </row>
    <row r="1290" spans="1:16" ht="14.25">
      <c r="A1290" s="224">
        <v>1289</v>
      </c>
      <c r="B1290" s="58">
        <v>19972</v>
      </c>
      <c r="C1290" s="57" t="s">
        <v>3283</v>
      </c>
      <c r="D1290" s="57" t="s">
        <v>45</v>
      </c>
      <c r="E1290" s="57" t="s">
        <v>2860</v>
      </c>
      <c r="F1290" s="233">
        <v>45814.718055555553</v>
      </c>
      <c r="G1290" s="57">
        <v>6</v>
      </c>
      <c r="H1290" s="57" t="s">
        <v>2557</v>
      </c>
      <c r="I1290" s="58">
        <v>67184</v>
      </c>
      <c r="J1290" s="234" t="s">
        <v>4662</v>
      </c>
      <c r="K1290" s="58">
        <v>17.989999999999998</v>
      </c>
      <c r="L1290" s="58">
        <v>0</v>
      </c>
      <c r="M1290" s="58">
        <v>0</v>
      </c>
      <c r="N1290" s="58">
        <v>1</v>
      </c>
      <c r="O1290" s="224">
        <f t="shared" si="10"/>
        <v>17.989999999999998</v>
      </c>
      <c r="P1290" s="227">
        <f t="shared" si="11"/>
        <v>17.989999999999998</v>
      </c>
    </row>
    <row r="1291" spans="1:16" ht="14.25">
      <c r="A1291" s="224">
        <v>1290</v>
      </c>
      <c r="B1291" s="58">
        <v>3239</v>
      </c>
      <c r="C1291" s="57" t="s">
        <v>4663</v>
      </c>
      <c r="D1291" s="57" t="s">
        <v>45</v>
      </c>
      <c r="E1291" s="57" t="s">
        <v>2860</v>
      </c>
      <c r="F1291" s="233">
        <v>45814.879861111112</v>
      </c>
      <c r="G1291" s="57">
        <v>6</v>
      </c>
      <c r="H1291" s="57" t="s">
        <v>2557</v>
      </c>
      <c r="I1291" s="58">
        <v>67976</v>
      </c>
      <c r="J1291" s="234" t="s">
        <v>4664</v>
      </c>
      <c r="K1291" s="58">
        <v>2.39</v>
      </c>
      <c r="L1291" s="58">
        <v>0</v>
      </c>
      <c r="M1291" s="58">
        <v>0</v>
      </c>
      <c r="N1291" s="58">
        <v>1</v>
      </c>
      <c r="O1291" s="224">
        <f t="shared" si="10"/>
        <v>2.39</v>
      </c>
      <c r="P1291" s="227">
        <f t="shared" si="11"/>
        <v>2.39</v>
      </c>
    </row>
    <row r="1292" spans="1:16" ht="14.25">
      <c r="A1292" s="224">
        <v>1291</v>
      </c>
      <c r="B1292" s="58">
        <v>6355</v>
      </c>
      <c r="C1292" s="57" t="s">
        <v>4665</v>
      </c>
      <c r="D1292" s="57" t="s">
        <v>45</v>
      </c>
      <c r="E1292" s="57" t="s">
        <v>2860</v>
      </c>
      <c r="F1292" s="233">
        <v>45814.962500000001</v>
      </c>
      <c r="G1292" s="57">
        <v>6</v>
      </c>
      <c r="H1292" s="57" t="s">
        <v>2557</v>
      </c>
      <c r="I1292" s="58">
        <v>63668</v>
      </c>
      <c r="J1292" s="234" t="s">
        <v>4666</v>
      </c>
      <c r="K1292" s="58">
        <v>2.2000000000000002</v>
      </c>
      <c r="L1292" s="58">
        <v>0</v>
      </c>
      <c r="M1292" s="58">
        <v>0</v>
      </c>
      <c r="N1292" s="58">
        <v>1</v>
      </c>
      <c r="O1292" s="224">
        <f t="shared" si="10"/>
        <v>2.2000000000000002</v>
      </c>
      <c r="P1292" s="227">
        <f t="shared" si="11"/>
        <v>2.2000000000000002</v>
      </c>
    </row>
    <row r="1293" spans="1:16" ht="14.25">
      <c r="A1293" s="224">
        <v>1292</v>
      </c>
      <c r="B1293" s="58">
        <v>25604</v>
      </c>
      <c r="C1293" s="57" t="s">
        <v>4667</v>
      </c>
      <c r="D1293" s="57" t="s">
        <v>45</v>
      </c>
      <c r="E1293" s="57" t="s">
        <v>2860</v>
      </c>
      <c r="F1293" s="233">
        <v>45814.989583333336</v>
      </c>
      <c r="G1293" s="57">
        <v>6</v>
      </c>
      <c r="H1293" s="57" t="s">
        <v>2557</v>
      </c>
      <c r="I1293" s="58">
        <v>67988</v>
      </c>
      <c r="J1293" s="234" t="s">
        <v>4668</v>
      </c>
      <c r="K1293" s="58">
        <v>19.989999999999998</v>
      </c>
      <c r="L1293" s="58">
        <v>0</v>
      </c>
      <c r="M1293" s="58">
        <v>0</v>
      </c>
      <c r="N1293" s="58">
        <v>1</v>
      </c>
      <c r="O1293" s="224">
        <f t="shared" si="10"/>
        <v>19.989999999999998</v>
      </c>
      <c r="P1293" s="227">
        <f t="shared" si="11"/>
        <v>19.989999999999998</v>
      </c>
    </row>
    <row r="1294" spans="1:16" ht="14.25">
      <c r="A1294" s="224">
        <v>1293</v>
      </c>
      <c r="B1294" s="56">
        <v>7698</v>
      </c>
      <c r="C1294" s="56" t="s">
        <v>2710</v>
      </c>
      <c r="D1294" s="56" t="s">
        <v>45</v>
      </c>
      <c r="E1294" s="56" t="s">
        <v>2874</v>
      </c>
      <c r="F1294" s="245">
        <v>45844.03402777778</v>
      </c>
      <c r="G1294" s="56">
        <v>6</v>
      </c>
      <c r="H1294" s="56" t="s">
        <v>2557</v>
      </c>
      <c r="I1294" s="56">
        <v>66920</v>
      </c>
      <c r="J1294" s="246" t="s">
        <v>4669</v>
      </c>
      <c r="K1294" s="56">
        <v>17.989999999999998</v>
      </c>
      <c r="L1294" s="56">
        <v>0</v>
      </c>
      <c r="M1294" s="56">
        <v>0</v>
      </c>
      <c r="N1294" s="56">
        <v>1</v>
      </c>
      <c r="O1294" s="181">
        <f t="shared" si="10"/>
        <v>17.989999999999998</v>
      </c>
      <c r="P1294" s="247">
        <f t="shared" si="11"/>
        <v>17.989999999999998</v>
      </c>
    </row>
    <row r="1295" spans="1:16" ht="14.25">
      <c r="A1295" s="224">
        <v>1294</v>
      </c>
      <c r="B1295" s="58">
        <v>25593</v>
      </c>
      <c r="C1295" s="57" t="s">
        <v>4670</v>
      </c>
      <c r="D1295" s="57" t="s">
        <v>2582</v>
      </c>
      <c r="E1295" s="57" t="s">
        <v>2860</v>
      </c>
      <c r="F1295" s="233">
        <v>45844.071527777778</v>
      </c>
      <c r="G1295" s="57">
        <v>6</v>
      </c>
      <c r="H1295" s="57" t="s">
        <v>2557</v>
      </c>
      <c r="I1295" s="58">
        <v>68000</v>
      </c>
      <c r="J1295" s="234" t="s">
        <v>4671</v>
      </c>
      <c r="K1295" s="58">
        <v>28.65</v>
      </c>
      <c r="L1295" s="58">
        <v>0</v>
      </c>
      <c r="M1295" s="58">
        <v>0</v>
      </c>
      <c r="N1295" s="58">
        <v>7.1791999999999998</v>
      </c>
      <c r="O1295" s="224">
        <f t="shared" si="10"/>
        <v>28.65</v>
      </c>
      <c r="P1295" s="227">
        <f t="shared" si="11"/>
        <v>3.9906953420993982</v>
      </c>
    </row>
    <row r="1296" spans="1:16" ht="14.25">
      <c r="A1296" s="224">
        <v>1295</v>
      </c>
      <c r="B1296" s="58">
        <v>25581</v>
      </c>
      <c r="C1296" s="57" t="s">
        <v>4672</v>
      </c>
      <c r="D1296" s="57" t="s">
        <v>45</v>
      </c>
      <c r="E1296" s="57" t="s">
        <v>2860</v>
      </c>
      <c r="F1296" s="233">
        <v>45844.431944444441</v>
      </c>
      <c r="G1296" s="57">
        <v>6</v>
      </c>
      <c r="H1296" s="57" t="s">
        <v>2557</v>
      </c>
      <c r="I1296" s="58">
        <v>67940</v>
      </c>
      <c r="J1296" s="234" t="s">
        <v>4673</v>
      </c>
      <c r="K1296" s="58">
        <v>1.49</v>
      </c>
      <c r="L1296" s="58">
        <v>0</v>
      </c>
      <c r="M1296" s="58">
        <v>0</v>
      </c>
      <c r="N1296" s="58">
        <v>1</v>
      </c>
      <c r="O1296" s="224">
        <f t="shared" si="10"/>
        <v>1.49</v>
      </c>
      <c r="P1296" s="227">
        <f t="shared" si="11"/>
        <v>1.49</v>
      </c>
    </row>
    <row r="1297" spans="1:16" ht="14.25">
      <c r="A1297" s="224">
        <v>1296</v>
      </c>
      <c r="B1297" s="58">
        <v>25672</v>
      </c>
      <c r="C1297" s="57" t="s">
        <v>4674</v>
      </c>
      <c r="D1297" s="57" t="s">
        <v>2582</v>
      </c>
      <c r="E1297" s="57" t="s">
        <v>2860</v>
      </c>
      <c r="F1297" s="233">
        <v>45844.669444444444</v>
      </c>
      <c r="G1297" s="57">
        <v>6</v>
      </c>
      <c r="H1297" s="57" t="s">
        <v>2557</v>
      </c>
      <c r="I1297" s="58">
        <v>68132</v>
      </c>
      <c r="J1297" s="234" t="s">
        <v>4675</v>
      </c>
      <c r="K1297" s="58">
        <v>57.38</v>
      </c>
      <c r="L1297" s="58">
        <v>0</v>
      </c>
      <c r="M1297" s="58">
        <v>0</v>
      </c>
      <c r="N1297" s="58">
        <v>7.1821000000000002</v>
      </c>
      <c r="O1297" s="224">
        <f t="shared" si="10"/>
        <v>57.38</v>
      </c>
      <c r="P1297" s="227">
        <f t="shared" si="11"/>
        <v>7.9893067487225187</v>
      </c>
    </row>
    <row r="1298" spans="1:16" ht="14.25">
      <c r="A1298" s="224">
        <v>1297</v>
      </c>
      <c r="B1298" s="56">
        <v>25673</v>
      </c>
      <c r="C1298" s="56" t="s">
        <v>4676</v>
      </c>
      <c r="D1298" s="56" t="s">
        <v>45</v>
      </c>
      <c r="E1298" s="56" t="s">
        <v>2874</v>
      </c>
      <c r="F1298" s="245">
        <v>45844.702777777777</v>
      </c>
      <c r="G1298" s="56">
        <v>6</v>
      </c>
      <c r="H1298" s="56" t="s">
        <v>2557</v>
      </c>
      <c r="I1298" s="56">
        <v>68144</v>
      </c>
      <c r="J1298" s="246" t="s">
        <v>4677</v>
      </c>
      <c r="K1298" s="56">
        <v>7.99</v>
      </c>
      <c r="L1298" s="56">
        <v>0</v>
      </c>
      <c r="M1298" s="56">
        <v>0</v>
      </c>
      <c r="N1298" s="56">
        <v>1</v>
      </c>
      <c r="O1298" s="181">
        <f t="shared" si="10"/>
        <v>7.99</v>
      </c>
      <c r="P1298" s="247">
        <f t="shared" si="11"/>
        <v>7.99</v>
      </c>
    </row>
    <row r="1299" spans="1:16" ht="14.25">
      <c r="A1299" s="224">
        <v>1298</v>
      </c>
      <c r="B1299" s="58">
        <v>25412</v>
      </c>
      <c r="C1299" s="57" t="s">
        <v>4621</v>
      </c>
      <c r="D1299" s="57" t="s">
        <v>45</v>
      </c>
      <c r="E1299" s="57" t="s">
        <v>2860</v>
      </c>
      <c r="F1299" s="233">
        <v>45844.772222222222</v>
      </c>
      <c r="G1299" s="57">
        <v>6</v>
      </c>
      <c r="H1299" s="57" t="s">
        <v>2557</v>
      </c>
      <c r="I1299" s="58">
        <v>68156</v>
      </c>
      <c r="J1299" s="234" t="s">
        <v>4678</v>
      </c>
      <c r="K1299" s="58">
        <v>64.790000000000006</v>
      </c>
      <c r="L1299" s="58">
        <v>0</v>
      </c>
      <c r="M1299" s="58">
        <v>0</v>
      </c>
      <c r="N1299" s="58">
        <v>1</v>
      </c>
      <c r="O1299" s="224">
        <f t="shared" si="10"/>
        <v>64.790000000000006</v>
      </c>
      <c r="P1299" s="227">
        <f t="shared" si="11"/>
        <v>64.790000000000006</v>
      </c>
    </row>
    <row r="1300" spans="1:16" ht="14.25">
      <c r="A1300" s="224">
        <v>1299</v>
      </c>
      <c r="B1300" s="58">
        <v>24205</v>
      </c>
      <c r="C1300" s="57" t="s">
        <v>4159</v>
      </c>
      <c r="D1300" s="57" t="s">
        <v>45</v>
      </c>
      <c r="E1300" s="57" t="s">
        <v>2860</v>
      </c>
      <c r="F1300" s="233">
        <v>45844.848611111112</v>
      </c>
      <c r="G1300" s="57">
        <v>6</v>
      </c>
      <c r="H1300" s="57" t="s">
        <v>2557</v>
      </c>
      <c r="I1300" s="58">
        <v>66428</v>
      </c>
      <c r="J1300" s="234" t="s">
        <v>4679</v>
      </c>
      <c r="K1300" s="58">
        <v>11.69</v>
      </c>
      <c r="L1300" s="58">
        <v>0</v>
      </c>
      <c r="M1300" s="58">
        <v>0</v>
      </c>
      <c r="N1300" s="58">
        <v>1</v>
      </c>
      <c r="O1300" s="224">
        <f t="shared" si="10"/>
        <v>11.69</v>
      </c>
      <c r="P1300" s="227">
        <f t="shared" si="11"/>
        <v>11.69</v>
      </c>
    </row>
    <row r="1301" spans="1:16" ht="14.25">
      <c r="A1301" s="224">
        <v>1300</v>
      </c>
      <c r="B1301" s="56">
        <v>25684</v>
      </c>
      <c r="C1301" s="56" t="s">
        <v>4680</v>
      </c>
      <c r="D1301" s="56" t="s">
        <v>45</v>
      </c>
      <c r="E1301" s="56" t="s">
        <v>2874</v>
      </c>
      <c r="F1301" s="245">
        <v>45844.904166666667</v>
      </c>
      <c r="G1301" s="56">
        <v>6</v>
      </c>
      <c r="H1301" s="56" t="s">
        <v>2557</v>
      </c>
      <c r="I1301" s="56">
        <v>68168</v>
      </c>
      <c r="J1301" s="246" t="s">
        <v>4681</v>
      </c>
      <c r="K1301" s="56">
        <v>20.25</v>
      </c>
      <c r="L1301" s="56">
        <v>0</v>
      </c>
      <c r="M1301" s="56">
        <v>0</v>
      </c>
      <c r="N1301" s="56">
        <v>1</v>
      </c>
      <c r="O1301" s="181">
        <f t="shared" si="10"/>
        <v>20.25</v>
      </c>
      <c r="P1301" s="247">
        <f t="shared" si="11"/>
        <v>20.25</v>
      </c>
    </row>
    <row r="1302" spans="1:16" ht="14.25">
      <c r="A1302" s="224">
        <v>1301</v>
      </c>
      <c r="B1302" s="58">
        <v>25716</v>
      </c>
      <c r="C1302" s="57" t="s">
        <v>4682</v>
      </c>
      <c r="D1302" s="57" t="s">
        <v>2582</v>
      </c>
      <c r="E1302" s="57" t="s">
        <v>2860</v>
      </c>
      <c r="F1302" s="233">
        <v>45875.563888888886</v>
      </c>
      <c r="G1302" s="57">
        <v>6</v>
      </c>
      <c r="H1302" s="57" t="s">
        <v>2557</v>
      </c>
      <c r="I1302" s="58">
        <v>68240</v>
      </c>
      <c r="J1302" s="234" t="s">
        <v>4683</v>
      </c>
      <c r="K1302" s="58">
        <v>64.569999999999993</v>
      </c>
      <c r="L1302" s="58">
        <v>0</v>
      </c>
      <c r="M1302" s="58">
        <v>0</v>
      </c>
      <c r="N1302" s="58">
        <v>7.1821000000000002</v>
      </c>
      <c r="O1302" s="224">
        <f t="shared" si="10"/>
        <v>64.569999999999993</v>
      </c>
      <c r="P1302" s="227">
        <f t="shared" si="11"/>
        <v>8.9904067055596535</v>
      </c>
    </row>
    <row r="1303" spans="1:16" ht="14.25">
      <c r="A1303" s="224">
        <v>1302</v>
      </c>
      <c r="B1303" s="58">
        <v>23857</v>
      </c>
      <c r="C1303" s="57" t="s">
        <v>4684</v>
      </c>
      <c r="D1303" s="57" t="s">
        <v>2582</v>
      </c>
      <c r="E1303" s="57" t="s">
        <v>2860</v>
      </c>
      <c r="F1303" s="233">
        <v>45875.724305555559</v>
      </c>
      <c r="G1303" s="57">
        <v>6</v>
      </c>
      <c r="H1303" s="57" t="s">
        <v>2557</v>
      </c>
      <c r="I1303" s="58">
        <v>68264</v>
      </c>
      <c r="J1303" s="234" t="s">
        <v>4685</v>
      </c>
      <c r="K1303" s="58">
        <v>7.11</v>
      </c>
      <c r="L1303" s="58">
        <v>0</v>
      </c>
      <c r="M1303" s="58">
        <v>0</v>
      </c>
      <c r="N1303" s="58">
        <v>7.1821000000000002</v>
      </c>
      <c r="O1303" s="224">
        <f t="shared" si="10"/>
        <v>7.11</v>
      </c>
      <c r="P1303" s="227">
        <f t="shared" si="11"/>
        <v>0.98996115342309354</v>
      </c>
    </row>
    <row r="1304" spans="1:16" ht="14.25">
      <c r="A1304" s="224">
        <v>1303</v>
      </c>
      <c r="B1304" s="58">
        <v>25732</v>
      </c>
      <c r="C1304" s="57" t="s">
        <v>4686</v>
      </c>
      <c r="D1304" s="57" t="s">
        <v>2582</v>
      </c>
      <c r="E1304" s="57" t="s">
        <v>2860</v>
      </c>
      <c r="F1304" s="233">
        <v>45875.75</v>
      </c>
      <c r="G1304" s="57">
        <v>6</v>
      </c>
      <c r="H1304" s="57" t="s">
        <v>2557</v>
      </c>
      <c r="I1304" s="58">
        <v>68276</v>
      </c>
      <c r="J1304" s="234" t="s">
        <v>4687</v>
      </c>
      <c r="K1304" s="58">
        <v>14.29</v>
      </c>
      <c r="L1304" s="58">
        <v>0</v>
      </c>
      <c r="M1304" s="58">
        <v>0</v>
      </c>
      <c r="N1304" s="58">
        <v>7.1821000000000002</v>
      </c>
      <c r="O1304" s="224">
        <f t="shared" si="10"/>
        <v>14.29</v>
      </c>
      <c r="P1304" s="227">
        <f t="shared" si="11"/>
        <v>1.9896687598334748</v>
      </c>
    </row>
    <row r="1305" spans="1:16" ht="14.25">
      <c r="A1305" s="224">
        <v>1304</v>
      </c>
      <c r="B1305" s="58">
        <v>25732</v>
      </c>
      <c r="C1305" s="57" t="s">
        <v>4686</v>
      </c>
      <c r="D1305" s="57" t="s">
        <v>2582</v>
      </c>
      <c r="E1305" s="57" t="s">
        <v>2860</v>
      </c>
      <c r="F1305" s="233">
        <v>45875.773611111108</v>
      </c>
      <c r="G1305" s="57">
        <v>6</v>
      </c>
      <c r="H1305" s="57" t="s">
        <v>2557</v>
      </c>
      <c r="I1305" s="58">
        <v>68288</v>
      </c>
      <c r="J1305" s="234" t="s">
        <v>4688</v>
      </c>
      <c r="K1305" s="58">
        <v>11.42</v>
      </c>
      <c r="L1305" s="58">
        <v>0</v>
      </c>
      <c r="M1305" s="58">
        <v>0</v>
      </c>
      <c r="N1305" s="58">
        <v>7.1821000000000002</v>
      </c>
      <c r="O1305" s="224">
        <f t="shared" si="10"/>
        <v>11.42</v>
      </c>
      <c r="P1305" s="227">
        <f t="shared" si="11"/>
        <v>1.5900641873546735</v>
      </c>
    </row>
    <row r="1306" spans="1:16" ht="14.25">
      <c r="A1306" s="224">
        <v>1305</v>
      </c>
      <c r="B1306" s="58">
        <v>275</v>
      </c>
      <c r="C1306" s="57" t="s">
        <v>4689</v>
      </c>
      <c r="D1306" s="57" t="s">
        <v>45</v>
      </c>
      <c r="E1306" s="57" t="s">
        <v>2860</v>
      </c>
      <c r="F1306" s="233">
        <v>45875.817361111112</v>
      </c>
      <c r="G1306" s="57">
        <v>6</v>
      </c>
      <c r="H1306" s="57" t="s">
        <v>2557</v>
      </c>
      <c r="I1306" s="58">
        <v>68300</v>
      </c>
      <c r="J1306" s="234" t="s">
        <v>4690</v>
      </c>
      <c r="K1306" s="58">
        <v>3.99</v>
      </c>
      <c r="L1306" s="58">
        <v>0</v>
      </c>
      <c r="M1306" s="58">
        <v>0</v>
      </c>
      <c r="N1306" s="58">
        <v>1</v>
      </c>
      <c r="O1306" s="224">
        <f t="shared" si="10"/>
        <v>3.99</v>
      </c>
      <c r="P1306" s="227">
        <f t="shared" si="11"/>
        <v>3.99</v>
      </c>
    </row>
    <row r="1307" spans="1:16" ht="14.25">
      <c r="A1307" s="224">
        <v>1306</v>
      </c>
      <c r="B1307" s="58">
        <v>25732</v>
      </c>
      <c r="C1307" s="57" t="s">
        <v>4686</v>
      </c>
      <c r="D1307" s="57" t="s">
        <v>2582</v>
      </c>
      <c r="E1307" s="57" t="s">
        <v>9</v>
      </c>
      <c r="F1307" s="233">
        <v>45875.841666666667</v>
      </c>
      <c r="G1307" s="57">
        <v>6</v>
      </c>
      <c r="H1307" s="57" t="s">
        <v>2557</v>
      </c>
      <c r="I1307" s="58">
        <v>68312</v>
      </c>
      <c r="J1307" s="234" t="s">
        <v>532</v>
      </c>
      <c r="K1307" s="58">
        <v>0.02</v>
      </c>
      <c r="L1307" s="58">
        <v>0.14000000000000001</v>
      </c>
      <c r="M1307" s="58">
        <v>0</v>
      </c>
      <c r="N1307" s="58">
        <v>7.1821000000000002</v>
      </c>
      <c r="O1307" s="224">
        <f t="shared" si="10"/>
        <v>-0.12000000000000001</v>
      </c>
      <c r="P1307" s="227">
        <f t="shared" si="11"/>
        <v>-1.670820512106487E-2</v>
      </c>
    </row>
    <row r="1308" spans="1:16" ht="14.25">
      <c r="A1308" s="224">
        <v>1307</v>
      </c>
      <c r="B1308" s="58">
        <v>25736</v>
      </c>
      <c r="C1308" s="57" t="s">
        <v>4691</v>
      </c>
      <c r="D1308" s="57" t="s">
        <v>45</v>
      </c>
      <c r="E1308" s="57" t="s">
        <v>2860</v>
      </c>
      <c r="F1308" s="233">
        <v>45875.887499999997</v>
      </c>
      <c r="G1308" s="57">
        <v>6</v>
      </c>
      <c r="H1308" s="57" t="s">
        <v>2557</v>
      </c>
      <c r="I1308" s="58">
        <v>68324</v>
      </c>
      <c r="J1308" s="234" t="s">
        <v>4692</v>
      </c>
      <c r="K1308" s="58">
        <v>15.99</v>
      </c>
      <c r="L1308" s="58">
        <v>0</v>
      </c>
      <c r="M1308" s="58">
        <v>0</v>
      </c>
      <c r="N1308" s="58">
        <v>1</v>
      </c>
      <c r="O1308" s="224">
        <f t="shared" si="10"/>
        <v>15.99</v>
      </c>
      <c r="P1308" s="227">
        <f t="shared" si="11"/>
        <v>15.99</v>
      </c>
    </row>
    <row r="1309" spans="1:16" ht="14.25">
      <c r="A1309" s="224">
        <v>1308</v>
      </c>
      <c r="B1309" s="58">
        <v>25736</v>
      </c>
      <c r="C1309" s="57" t="s">
        <v>4691</v>
      </c>
      <c r="D1309" s="57" t="s">
        <v>45</v>
      </c>
      <c r="E1309" s="57" t="s">
        <v>2860</v>
      </c>
      <c r="F1309" s="233">
        <v>45875.915972222225</v>
      </c>
      <c r="G1309" s="57">
        <v>6</v>
      </c>
      <c r="H1309" s="57" t="s">
        <v>2557</v>
      </c>
      <c r="I1309" s="58">
        <v>68336</v>
      </c>
      <c r="J1309" s="234" t="s">
        <v>4693</v>
      </c>
      <c r="K1309" s="58">
        <v>2.39</v>
      </c>
      <c r="L1309" s="58">
        <v>0</v>
      </c>
      <c r="M1309" s="58">
        <v>0</v>
      </c>
      <c r="N1309" s="58">
        <v>1</v>
      </c>
      <c r="O1309" s="224">
        <f t="shared" si="10"/>
        <v>2.39</v>
      </c>
      <c r="P1309" s="227">
        <f t="shared" si="11"/>
        <v>2.39</v>
      </c>
    </row>
    <row r="1310" spans="1:16" ht="14.25">
      <c r="A1310" s="224">
        <v>1309</v>
      </c>
      <c r="B1310" s="58">
        <v>25593</v>
      </c>
      <c r="C1310" s="57" t="s">
        <v>4670</v>
      </c>
      <c r="D1310" s="57" t="s">
        <v>2582</v>
      </c>
      <c r="E1310" s="57" t="s">
        <v>2860</v>
      </c>
      <c r="F1310" s="233">
        <v>45906.046527777777</v>
      </c>
      <c r="G1310" s="57">
        <v>6</v>
      </c>
      <c r="H1310" s="57" t="s">
        <v>4694</v>
      </c>
      <c r="I1310" s="58">
        <v>68000</v>
      </c>
      <c r="J1310" s="234"/>
      <c r="K1310" s="58">
        <v>0</v>
      </c>
      <c r="L1310" s="58">
        <v>0</v>
      </c>
      <c r="M1310" s="58">
        <v>28.65</v>
      </c>
      <c r="N1310" s="58">
        <v>7.1791999999999998</v>
      </c>
      <c r="O1310" s="224">
        <f t="shared" si="10"/>
        <v>-28.65</v>
      </c>
      <c r="P1310" s="227">
        <f t="shared" si="11"/>
        <v>-3.9906953420993982</v>
      </c>
    </row>
    <row r="1311" spans="1:16" ht="14.25">
      <c r="A1311" s="224">
        <v>1310</v>
      </c>
      <c r="B1311" s="58">
        <v>25753</v>
      </c>
      <c r="C1311" s="57" t="s">
        <v>4695</v>
      </c>
      <c r="D1311" s="57" t="s">
        <v>2582</v>
      </c>
      <c r="E1311" s="57" t="s">
        <v>2860</v>
      </c>
      <c r="F1311" s="233">
        <v>45906.085416666669</v>
      </c>
      <c r="G1311" s="57">
        <v>6</v>
      </c>
      <c r="H1311" s="57" t="s">
        <v>2557</v>
      </c>
      <c r="I1311" s="58">
        <v>68384</v>
      </c>
      <c r="J1311" s="234" t="s">
        <v>4696</v>
      </c>
      <c r="K1311" s="58">
        <v>21.47</v>
      </c>
      <c r="L1311" s="58">
        <v>0</v>
      </c>
      <c r="M1311" s="58">
        <v>0</v>
      </c>
      <c r="N1311" s="58">
        <v>7.1821000000000002</v>
      </c>
      <c r="O1311" s="224">
        <f t="shared" si="10"/>
        <v>21.47</v>
      </c>
      <c r="P1311" s="227">
        <f t="shared" si="11"/>
        <v>2.9893763662438562</v>
      </c>
    </row>
    <row r="1312" spans="1:16" ht="14.25">
      <c r="A1312" s="224">
        <v>1311</v>
      </c>
      <c r="B1312" s="58">
        <v>79</v>
      </c>
      <c r="C1312" s="57" t="s">
        <v>4697</v>
      </c>
      <c r="D1312" s="57" t="s">
        <v>45</v>
      </c>
      <c r="E1312" s="57" t="s">
        <v>2860</v>
      </c>
      <c r="F1312" s="233">
        <v>45906.447222222225</v>
      </c>
      <c r="G1312" s="57">
        <v>6</v>
      </c>
      <c r="H1312" s="57" t="s">
        <v>2557</v>
      </c>
      <c r="I1312" s="58">
        <v>68480</v>
      </c>
      <c r="J1312" s="234" t="s">
        <v>4698</v>
      </c>
      <c r="K1312" s="58">
        <v>1</v>
      </c>
      <c r="L1312" s="58">
        <v>0</v>
      </c>
      <c r="M1312" s="58">
        <v>0</v>
      </c>
      <c r="N1312" s="58">
        <v>1</v>
      </c>
      <c r="O1312" s="224">
        <f t="shared" si="10"/>
        <v>1</v>
      </c>
      <c r="P1312" s="227">
        <f t="shared" si="11"/>
        <v>1</v>
      </c>
    </row>
    <row r="1313" spans="1:16" ht="14.25">
      <c r="A1313" s="224">
        <v>1312</v>
      </c>
      <c r="B1313" s="58">
        <v>132</v>
      </c>
      <c r="C1313" s="57" t="s">
        <v>4699</v>
      </c>
      <c r="D1313" s="57" t="s">
        <v>2582</v>
      </c>
      <c r="E1313" s="57" t="s">
        <v>9</v>
      </c>
      <c r="F1313" s="233">
        <v>45906.545138888891</v>
      </c>
      <c r="G1313" s="57">
        <v>6</v>
      </c>
      <c r="H1313" s="57" t="s">
        <v>2557</v>
      </c>
      <c r="I1313" s="58">
        <v>68492</v>
      </c>
      <c r="J1313" s="234" t="s">
        <v>534</v>
      </c>
      <c r="K1313" s="58">
        <v>7.26</v>
      </c>
      <c r="L1313" s="58">
        <v>3.88</v>
      </c>
      <c r="M1313" s="58">
        <v>0</v>
      </c>
      <c r="N1313" s="58">
        <v>7.1821000000000002</v>
      </c>
      <c r="O1313" s="224">
        <f t="shared" si="10"/>
        <v>3.38</v>
      </c>
      <c r="P1313" s="227">
        <f t="shared" si="11"/>
        <v>0.47061444424332716</v>
      </c>
    </row>
    <row r="1314" spans="1:16" ht="14.25">
      <c r="A1314" s="224">
        <v>1313</v>
      </c>
      <c r="B1314" s="58">
        <v>25296</v>
      </c>
      <c r="C1314" s="57" t="s">
        <v>4597</v>
      </c>
      <c r="D1314" s="57" t="s">
        <v>45</v>
      </c>
      <c r="E1314" s="57" t="s">
        <v>2860</v>
      </c>
      <c r="F1314" s="233">
        <v>45906.560416666667</v>
      </c>
      <c r="G1314" s="57">
        <v>6</v>
      </c>
      <c r="H1314" s="57" t="s">
        <v>4700</v>
      </c>
      <c r="I1314" s="58">
        <v>66860</v>
      </c>
      <c r="J1314" s="234"/>
      <c r="K1314" s="58">
        <v>0</v>
      </c>
      <c r="L1314" s="58">
        <v>0</v>
      </c>
      <c r="M1314" s="58">
        <v>8.49</v>
      </c>
      <c r="N1314" s="58">
        <v>1</v>
      </c>
      <c r="O1314" s="224">
        <f t="shared" si="10"/>
        <v>-8.49</v>
      </c>
      <c r="P1314" s="227">
        <f t="shared" si="11"/>
        <v>-8.49</v>
      </c>
    </row>
    <row r="1315" spans="1:16" ht="14.25">
      <c r="A1315" s="224">
        <v>1314</v>
      </c>
      <c r="B1315" s="58">
        <v>25163</v>
      </c>
      <c r="C1315" s="57" t="s">
        <v>4531</v>
      </c>
      <c r="D1315" s="57" t="s">
        <v>45</v>
      </c>
      <c r="E1315" s="57" t="s">
        <v>2860</v>
      </c>
      <c r="F1315" s="233">
        <v>45906.73333333333</v>
      </c>
      <c r="G1315" s="57">
        <v>6</v>
      </c>
      <c r="H1315" s="57" t="s">
        <v>2557</v>
      </c>
      <c r="I1315" s="58">
        <v>68504</v>
      </c>
      <c r="J1315" s="234" t="s">
        <v>4701</v>
      </c>
      <c r="K1315" s="58">
        <v>17.09</v>
      </c>
      <c r="L1315" s="58">
        <v>0</v>
      </c>
      <c r="M1315" s="58">
        <v>0</v>
      </c>
      <c r="N1315" s="58">
        <v>1</v>
      </c>
      <c r="O1315" s="224">
        <f t="shared" si="10"/>
        <v>17.09</v>
      </c>
      <c r="P1315" s="227">
        <f t="shared" si="11"/>
        <v>17.09</v>
      </c>
    </row>
    <row r="1316" spans="1:16" ht="14.25">
      <c r="A1316" s="224">
        <v>1315</v>
      </c>
      <c r="B1316" s="56">
        <v>25787</v>
      </c>
      <c r="C1316" s="56" t="s">
        <v>4702</v>
      </c>
      <c r="D1316" s="56" t="s">
        <v>2582</v>
      </c>
      <c r="E1316" s="56" t="s">
        <v>2874</v>
      </c>
      <c r="F1316" s="245">
        <v>45906.741666666669</v>
      </c>
      <c r="G1316" s="56">
        <v>6</v>
      </c>
      <c r="H1316" s="56" t="s">
        <v>2557</v>
      </c>
      <c r="I1316" s="56">
        <v>68516</v>
      </c>
      <c r="J1316" s="246" t="s">
        <v>4703</v>
      </c>
      <c r="K1316" s="56">
        <v>50.2</v>
      </c>
      <c r="L1316" s="56">
        <v>0</v>
      </c>
      <c r="M1316" s="56">
        <v>0</v>
      </c>
      <c r="N1316" s="56">
        <v>7.1821000000000002</v>
      </c>
      <c r="O1316" s="181">
        <f t="shared" si="10"/>
        <v>50.2</v>
      </c>
      <c r="P1316" s="247">
        <f t="shared" si="11"/>
        <v>6.9895991423121373</v>
      </c>
    </row>
    <row r="1317" spans="1:16" ht="14.25">
      <c r="A1317" s="224">
        <v>1316</v>
      </c>
      <c r="B1317" s="58">
        <v>23941</v>
      </c>
      <c r="C1317" s="57" t="s">
        <v>4103</v>
      </c>
      <c r="D1317" s="57" t="s">
        <v>2582</v>
      </c>
      <c r="E1317" s="57" t="s">
        <v>2860</v>
      </c>
      <c r="F1317" s="233">
        <v>45906.897222222222</v>
      </c>
      <c r="G1317" s="57">
        <v>6</v>
      </c>
      <c r="H1317" s="57" t="s">
        <v>2557</v>
      </c>
      <c r="I1317" s="58">
        <v>64772</v>
      </c>
      <c r="J1317" s="234" t="s">
        <v>4704</v>
      </c>
      <c r="K1317" s="58">
        <v>72.319999999999993</v>
      </c>
      <c r="L1317" s="58">
        <v>0</v>
      </c>
      <c r="M1317" s="58">
        <v>0</v>
      </c>
      <c r="N1317" s="58">
        <v>7.1821000000000002</v>
      </c>
      <c r="O1317" s="224">
        <f t="shared" si="10"/>
        <v>72.319999999999993</v>
      </c>
      <c r="P1317" s="227">
        <f t="shared" si="11"/>
        <v>10.069478286295094</v>
      </c>
    </row>
    <row r="1318" spans="1:16" ht="14.25">
      <c r="A1318" s="224">
        <v>1317</v>
      </c>
      <c r="B1318" s="58">
        <v>25407</v>
      </c>
      <c r="C1318" s="57" t="s">
        <v>522</v>
      </c>
      <c r="D1318" s="57" t="s">
        <v>45</v>
      </c>
      <c r="E1318" s="57" t="s">
        <v>9</v>
      </c>
      <c r="F1318" s="233">
        <v>45906.902777777781</v>
      </c>
      <c r="G1318" s="57">
        <v>6</v>
      </c>
      <c r="H1318" s="57" t="s">
        <v>2557</v>
      </c>
      <c r="I1318" s="58">
        <v>68540</v>
      </c>
      <c r="J1318" s="234" t="s">
        <v>535</v>
      </c>
      <c r="K1318" s="58">
        <v>0.8</v>
      </c>
      <c r="L1318" s="58">
        <v>0.52</v>
      </c>
      <c r="M1318" s="58">
        <v>0</v>
      </c>
      <c r="N1318" s="58">
        <v>1</v>
      </c>
      <c r="O1318" s="224">
        <f t="shared" si="10"/>
        <v>0.28000000000000003</v>
      </c>
      <c r="P1318" s="227">
        <f t="shared" si="11"/>
        <v>0.28000000000000003</v>
      </c>
    </row>
    <row r="1319" spans="1:16" ht="14.25">
      <c r="A1319" s="224">
        <v>1318</v>
      </c>
      <c r="B1319" s="56">
        <v>25797</v>
      </c>
      <c r="C1319" s="56" t="s">
        <v>4705</v>
      </c>
      <c r="D1319" s="56" t="s">
        <v>45</v>
      </c>
      <c r="E1319" s="56" t="s">
        <v>2874</v>
      </c>
      <c r="F1319" s="245">
        <v>45936.105555555558</v>
      </c>
      <c r="G1319" s="56">
        <v>6</v>
      </c>
      <c r="H1319" s="56" t="s">
        <v>2557</v>
      </c>
      <c r="I1319" s="56">
        <v>68552</v>
      </c>
      <c r="J1319" s="246" t="s">
        <v>4706</v>
      </c>
      <c r="K1319" s="56">
        <v>2.39</v>
      </c>
      <c r="L1319" s="56">
        <v>0</v>
      </c>
      <c r="M1319" s="56">
        <v>0</v>
      </c>
      <c r="N1319" s="56">
        <v>1</v>
      </c>
      <c r="O1319" s="181">
        <f t="shared" si="10"/>
        <v>2.39</v>
      </c>
      <c r="P1319" s="247">
        <f t="shared" si="11"/>
        <v>2.39</v>
      </c>
    </row>
    <row r="1320" spans="1:16" ht="14.25">
      <c r="A1320" s="224">
        <v>1319</v>
      </c>
      <c r="B1320" s="58">
        <v>25830</v>
      </c>
      <c r="C1320" s="57" t="s">
        <v>4707</v>
      </c>
      <c r="D1320" s="57" t="s">
        <v>2582</v>
      </c>
      <c r="E1320" s="57" t="s">
        <v>2860</v>
      </c>
      <c r="F1320" s="233">
        <v>45936.46875</v>
      </c>
      <c r="G1320" s="57">
        <v>6</v>
      </c>
      <c r="H1320" s="57" t="s">
        <v>2557</v>
      </c>
      <c r="I1320" s="58">
        <v>68588</v>
      </c>
      <c r="J1320" s="234" t="s">
        <v>4708</v>
      </c>
      <c r="K1320" s="58">
        <v>22.91</v>
      </c>
      <c r="L1320" s="58">
        <v>0</v>
      </c>
      <c r="M1320" s="58">
        <v>0</v>
      </c>
      <c r="N1320" s="58">
        <v>7.1816800000000001</v>
      </c>
      <c r="O1320" s="224">
        <f t="shared" si="10"/>
        <v>22.91</v>
      </c>
      <c r="P1320" s="227">
        <f t="shared" si="11"/>
        <v>3.1900613783961411</v>
      </c>
    </row>
    <row r="1321" spans="1:16" ht="14.25">
      <c r="A1321" s="224">
        <v>1320</v>
      </c>
      <c r="B1321" s="58">
        <v>25831</v>
      </c>
      <c r="C1321" s="57" t="s">
        <v>4709</v>
      </c>
      <c r="D1321" s="57" t="s">
        <v>2582</v>
      </c>
      <c r="E1321" s="57" t="s">
        <v>2860</v>
      </c>
      <c r="F1321" s="233">
        <v>45936.506249999999</v>
      </c>
      <c r="G1321" s="57">
        <v>6</v>
      </c>
      <c r="H1321" s="57" t="s">
        <v>2557</v>
      </c>
      <c r="I1321" s="58">
        <v>68600</v>
      </c>
      <c r="J1321" s="234" t="s">
        <v>4710</v>
      </c>
      <c r="K1321" s="58">
        <v>145.43</v>
      </c>
      <c r="L1321" s="58">
        <v>0</v>
      </c>
      <c r="M1321" s="58">
        <v>0</v>
      </c>
      <c r="N1321" s="58">
        <v>7.1816800000000001</v>
      </c>
      <c r="O1321" s="224">
        <f t="shared" si="10"/>
        <v>145.43</v>
      </c>
      <c r="P1321" s="227">
        <f t="shared" si="11"/>
        <v>20.25013645832173</v>
      </c>
    </row>
    <row r="1322" spans="1:16" ht="14.25">
      <c r="A1322" s="224">
        <v>1321</v>
      </c>
      <c r="B1322" s="58">
        <v>1836</v>
      </c>
      <c r="C1322" s="57" t="s">
        <v>2882</v>
      </c>
      <c r="D1322" s="57" t="s">
        <v>2582</v>
      </c>
      <c r="E1322" s="57" t="s">
        <v>2860</v>
      </c>
      <c r="F1322" s="233">
        <v>45936.523611111108</v>
      </c>
      <c r="G1322" s="57">
        <v>6</v>
      </c>
      <c r="H1322" s="57" t="s">
        <v>2557</v>
      </c>
      <c r="I1322" s="58">
        <v>66032</v>
      </c>
      <c r="J1322" s="234" t="s">
        <v>4711</v>
      </c>
      <c r="K1322" s="58">
        <v>527.35</v>
      </c>
      <c r="L1322" s="58">
        <v>0</v>
      </c>
      <c r="M1322" s="58">
        <v>0</v>
      </c>
      <c r="N1322" s="58">
        <v>7.1816800000000001</v>
      </c>
      <c r="O1322" s="224">
        <f t="shared" si="10"/>
        <v>527.35</v>
      </c>
      <c r="P1322" s="227">
        <f t="shared" si="11"/>
        <v>73.429893840995419</v>
      </c>
    </row>
    <row r="1323" spans="1:16" ht="14.25">
      <c r="A1323" s="224">
        <v>1322</v>
      </c>
      <c r="B1323" s="58">
        <v>25833</v>
      </c>
      <c r="C1323" s="57" t="s">
        <v>4712</v>
      </c>
      <c r="D1323" s="57" t="s">
        <v>45</v>
      </c>
      <c r="E1323" s="57" t="s">
        <v>2860</v>
      </c>
      <c r="F1323" s="233">
        <v>45936.629861111112</v>
      </c>
      <c r="G1323" s="57">
        <v>6</v>
      </c>
      <c r="H1323" s="57" t="s">
        <v>2557</v>
      </c>
      <c r="I1323" s="58">
        <v>68612</v>
      </c>
      <c r="J1323" s="234" t="s">
        <v>4713</v>
      </c>
      <c r="K1323" s="58">
        <v>20.25</v>
      </c>
      <c r="L1323" s="58">
        <v>0</v>
      </c>
      <c r="M1323" s="58">
        <v>0</v>
      </c>
      <c r="N1323" s="58">
        <v>1</v>
      </c>
      <c r="O1323" s="224">
        <f t="shared" si="10"/>
        <v>20.25</v>
      </c>
      <c r="P1323" s="227">
        <f t="shared" si="11"/>
        <v>20.25</v>
      </c>
    </row>
    <row r="1324" spans="1:16" ht="14.25">
      <c r="A1324" s="224">
        <v>1323</v>
      </c>
      <c r="B1324" s="58">
        <v>25285</v>
      </c>
      <c r="C1324" s="57" t="s">
        <v>4585</v>
      </c>
      <c r="D1324" s="57" t="s">
        <v>45</v>
      </c>
      <c r="E1324" s="57" t="s">
        <v>2860</v>
      </c>
      <c r="F1324" s="233">
        <v>45936.64166666667</v>
      </c>
      <c r="G1324" s="57">
        <v>6</v>
      </c>
      <c r="H1324" s="57" t="s">
        <v>2557</v>
      </c>
      <c r="I1324" s="58">
        <v>68624</v>
      </c>
      <c r="J1324" s="234" t="s">
        <v>4714</v>
      </c>
      <c r="K1324" s="58">
        <v>4.99</v>
      </c>
      <c r="L1324" s="58">
        <v>0</v>
      </c>
      <c r="M1324" s="58">
        <v>0</v>
      </c>
      <c r="N1324" s="58">
        <v>1</v>
      </c>
      <c r="O1324" s="224">
        <f t="shared" si="10"/>
        <v>4.99</v>
      </c>
      <c r="P1324" s="227">
        <f t="shared" si="11"/>
        <v>4.99</v>
      </c>
    </row>
    <row r="1325" spans="1:16" ht="14.25">
      <c r="A1325" s="224">
        <v>1324</v>
      </c>
      <c r="B1325" s="56">
        <v>36</v>
      </c>
      <c r="C1325" s="56" t="s">
        <v>2646</v>
      </c>
      <c r="D1325" s="56" t="s">
        <v>45</v>
      </c>
      <c r="E1325" s="56" t="s">
        <v>2874</v>
      </c>
      <c r="F1325" s="245">
        <v>45936.690972222219</v>
      </c>
      <c r="G1325" s="56">
        <v>6</v>
      </c>
      <c r="H1325" s="56" t="s">
        <v>2557</v>
      </c>
      <c r="I1325" s="56">
        <v>64976</v>
      </c>
      <c r="J1325" s="246"/>
      <c r="K1325" s="56">
        <v>600</v>
      </c>
      <c r="L1325" s="56">
        <v>0</v>
      </c>
      <c r="M1325" s="56">
        <v>0</v>
      </c>
      <c r="N1325" s="56">
        <v>1</v>
      </c>
      <c r="O1325" s="181">
        <f t="shared" si="10"/>
        <v>600</v>
      </c>
      <c r="P1325" s="247">
        <f t="shared" si="11"/>
        <v>600</v>
      </c>
    </row>
    <row r="1326" spans="1:16" ht="14.25">
      <c r="A1326" s="224">
        <v>1325</v>
      </c>
      <c r="B1326" s="58">
        <v>19629</v>
      </c>
      <c r="C1326" s="57" t="s">
        <v>3182</v>
      </c>
      <c r="D1326" s="57" t="s">
        <v>45</v>
      </c>
      <c r="E1326" s="57" t="s">
        <v>9</v>
      </c>
      <c r="F1326" s="233">
        <v>45936.779166666667</v>
      </c>
      <c r="G1326" s="57">
        <v>6</v>
      </c>
      <c r="H1326" s="57" t="s">
        <v>2557</v>
      </c>
      <c r="I1326" s="58">
        <v>60476</v>
      </c>
      <c r="J1326" s="234" t="s">
        <v>536</v>
      </c>
      <c r="K1326" s="58">
        <v>4.79</v>
      </c>
      <c r="L1326" s="58">
        <v>0.73</v>
      </c>
      <c r="M1326" s="58">
        <v>0</v>
      </c>
      <c r="N1326" s="58">
        <v>1</v>
      </c>
      <c r="O1326" s="224">
        <f t="shared" si="10"/>
        <v>4.0600000000000005</v>
      </c>
      <c r="P1326" s="227">
        <f t="shared" si="11"/>
        <v>4.0600000000000005</v>
      </c>
    </row>
    <row r="1327" spans="1:16" ht="14.25">
      <c r="A1327" s="224">
        <v>1326</v>
      </c>
      <c r="B1327" s="58">
        <v>25843</v>
      </c>
      <c r="C1327" s="57" t="s">
        <v>4715</v>
      </c>
      <c r="D1327" s="57" t="s">
        <v>2582</v>
      </c>
      <c r="E1327" s="57" t="s">
        <v>2860</v>
      </c>
      <c r="F1327" s="233">
        <v>45936.856944444444</v>
      </c>
      <c r="G1327" s="57">
        <v>6</v>
      </c>
      <c r="H1327" s="57" t="s">
        <v>2557</v>
      </c>
      <c r="I1327" s="58">
        <v>68648</v>
      </c>
      <c r="J1327" s="234" t="s">
        <v>4716</v>
      </c>
      <c r="K1327" s="58">
        <v>21.47</v>
      </c>
      <c r="L1327" s="58">
        <v>0</v>
      </c>
      <c r="M1327" s="58">
        <v>0</v>
      </c>
      <c r="N1327" s="58">
        <v>7.1816800000000001</v>
      </c>
      <c r="O1327" s="224">
        <f t="shared" si="10"/>
        <v>21.47</v>
      </c>
      <c r="P1327" s="227">
        <f t="shared" si="11"/>
        <v>2.9895511913646944</v>
      </c>
    </row>
    <row r="1328" spans="1:16" ht="14.25">
      <c r="A1328" s="224">
        <v>1327</v>
      </c>
      <c r="B1328" s="58">
        <v>3990</v>
      </c>
      <c r="C1328" s="57" t="s">
        <v>4717</v>
      </c>
      <c r="D1328" s="57" t="s">
        <v>45</v>
      </c>
      <c r="E1328" s="57" t="s">
        <v>2860</v>
      </c>
      <c r="F1328" s="233">
        <v>45936.861111111109</v>
      </c>
      <c r="G1328" s="57">
        <v>6</v>
      </c>
      <c r="H1328" s="57" t="s">
        <v>2557</v>
      </c>
      <c r="I1328" s="58">
        <v>68660</v>
      </c>
      <c r="J1328" s="234" t="s">
        <v>4718</v>
      </c>
      <c r="K1328" s="58">
        <v>17.989999999999998</v>
      </c>
      <c r="L1328" s="58">
        <v>0</v>
      </c>
      <c r="M1328" s="58">
        <v>0</v>
      </c>
      <c r="N1328" s="58">
        <v>1</v>
      </c>
      <c r="O1328" s="224">
        <f t="shared" si="10"/>
        <v>17.989999999999998</v>
      </c>
      <c r="P1328" s="227">
        <f t="shared" si="11"/>
        <v>17.989999999999998</v>
      </c>
    </row>
    <row r="1329" spans="1:16" ht="14.25">
      <c r="A1329" s="224">
        <v>1328</v>
      </c>
      <c r="B1329" s="56">
        <v>7899</v>
      </c>
      <c r="C1329" s="56" t="s">
        <v>2714</v>
      </c>
      <c r="D1329" s="56" t="s">
        <v>45</v>
      </c>
      <c r="E1329" s="56" t="s">
        <v>2874</v>
      </c>
      <c r="F1329" s="245">
        <v>45936.894444444442</v>
      </c>
      <c r="G1329" s="56">
        <v>6</v>
      </c>
      <c r="H1329" s="56" t="s">
        <v>2557</v>
      </c>
      <c r="I1329" s="56">
        <v>68672</v>
      </c>
      <c r="J1329" s="246" t="s">
        <v>4719</v>
      </c>
      <c r="K1329" s="56">
        <v>14</v>
      </c>
      <c r="L1329" s="56">
        <v>0</v>
      </c>
      <c r="M1329" s="56">
        <v>0</v>
      </c>
      <c r="N1329" s="56">
        <v>1</v>
      </c>
      <c r="O1329" s="181">
        <f t="shared" si="10"/>
        <v>14</v>
      </c>
      <c r="P1329" s="247">
        <f t="shared" si="11"/>
        <v>14</v>
      </c>
    </row>
    <row r="1330" spans="1:16" ht="14.25">
      <c r="A1330" s="224">
        <v>1329</v>
      </c>
      <c r="B1330" s="56">
        <v>24483</v>
      </c>
      <c r="C1330" s="56" t="s">
        <v>4249</v>
      </c>
      <c r="D1330" s="56" t="s">
        <v>45</v>
      </c>
      <c r="E1330" s="56" t="s">
        <v>2874</v>
      </c>
      <c r="F1330" s="245">
        <v>45936.915277777778</v>
      </c>
      <c r="G1330" s="56">
        <v>6</v>
      </c>
      <c r="H1330" s="56" t="s">
        <v>2557</v>
      </c>
      <c r="I1330" s="56">
        <v>68204</v>
      </c>
      <c r="J1330" s="246" t="s">
        <v>4720</v>
      </c>
      <c r="K1330" s="56">
        <v>20.69</v>
      </c>
      <c r="L1330" s="56">
        <v>0</v>
      </c>
      <c r="M1330" s="56">
        <v>0</v>
      </c>
      <c r="N1330" s="56">
        <v>1</v>
      </c>
      <c r="O1330" s="181">
        <f t="shared" si="10"/>
        <v>20.69</v>
      </c>
      <c r="P1330" s="247">
        <f t="shared" si="11"/>
        <v>20.69</v>
      </c>
    </row>
    <row r="1331" spans="1:16" ht="14.25">
      <c r="A1331" s="224">
        <v>1330</v>
      </c>
      <c r="B1331" s="58">
        <v>25861</v>
      </c>
      <c r="C1331" s="57" t="s">
        <v>4721</v>
      </c>
      <c r="D1331" s="57" t="s">
        <v>45</v>
      </c>
      <c r="E1331" s="57" t="s">
        <v>9</v>
      </c>
      <c r="F1331" s="233">
        <v>45936.993055555555</v>
      </c>
      <c r="G1331" s="57">
        <v>6</v>
      </c>
      <c r="H1331" s="57" t="s">
        <v>2557</v>
      </c>
      <c r="I1331" s="58">
        <v>68684</v>
      </c>
      <c r="J1331" s="234" t="s">
        <v>538</v>
      </c>
      <c r="K1331" s="58">
        <v>3.19</v>
      </c>
      <c r="L1331" s="58">
        <v>0.65</v>
      </c>
      <c r="M1331" s="58">
        <v>0</v>
      </c>
      <c r="N1331" s="58">
        <v>1</v>
      </c>
      <c r="O1331" s="224">
        <f t="shared" si="10"/>
        <v>2.54</v>
      </c>
      <c r="P1331" s="227">
        <f t="shared" si="11"/>
        <v>2.54</v>
      </c>
    </row>
    <row r="1332" spans="1:16" ht="14.25">
      <c r="A1332" s="224">
        <v>1331</v>
      </c>
      <c r="B1332" s="58">
        <v>25593</v>
      </c>
      <c r="C1332" s="57" t="s">
        <v>4670</v>
      </c>
      <c r="D1332" s="57" t="s">
        <v>2582</v>
      </c>
      <c r="E1332" s="57" t="s">
        <v>2860</v>
      </c>
      <c r="F1332" s="233">
        <v>45967.009722222225</v>
      </c>
      <c r="G1332" s="57">
        <v>6</v>
      </c>
      <c r="H1332" s="57" t="s">
        <v>2557</v>
      </c>
      <c r="I1332" s="58">
        <v>68696</v>
      </c>
      <c r="J1332" s="234" t="s">
        <v>4722</v>
      </c>
      <c r="K1332" s="58">
        <v>50.2</v>
      </c>
      <c r="L1332" s="58">
        <v>0</v>
      </c>
      <c r="M1332" s="58">
        <v>0</v>
      </c>
      <c r="N1332" s="58">
        <v>7.1816800000000001</v>
      </c>
      <c r="O1332" s="224">
        <f t="shared" si="10"/>
        <v>50.2</v>
      </c>
      <c r="P1332" s="227">
        <f t="shared" si="11"/>
        <v>6.9900079090129337</v>
      </c>
    </row>
    <row r="1333" spans="1:16" ht="14.25">
      <c r="A1333" s="224">
        <v>1332</v>
      </c>
      <c r="B1333" s="58">
        <v>25830</v>
      </c>
      <c r="C1333" s="57" t="s">
        <v>4707</v>
      </c>
      <c r="D1333" s="57" t="s">
        <v>2582</v>
      </c>
      <c r="E1333" s="57" t="s">
        <v>2860</v>
      </c>
      <c r="F1333" s="233">
        <v>45967.440972222219</v>
      </c>
      <c r="G1333" s="57">
        <v>6</v>
      </c>
      <c r="H1333" s="57" t="s">
        <v>2557</v>
      </c>
      <c r="I1333" s="58">
        <v>68588</v>
      </c>
      <c r="J1333" s="234"/>
      <c r="K1333" s="58">
        <v>0.01</v>
      </c>
      <c r="L1333" s="58">
        <v>0</v>
      </c>
      <c r="M1333" s="58">
        <v>0</v>
      </c>
      <c r="N1333" s="58">
        <v>7.1847899999999996</v>
      </c>
      <c r="O1333" s="224">
        <f t="shared" si="10"/>
        <v>0.01</v>
      </c>
      <c r="P1333" s="227">
        <f t="shared" si="11"/>
        <v>1.3918291279216234E-3</v>
      </c>
    </row>
    <row r="1334" spans="1:16" ht="14.25">
      <c r="A1334" s="224">
        <v>1333</v>
      </c>
      <c r="B1334" s="58">
        <v>25904</v>
      </c>
      <c r="C1334" s="57" t="s">
        <v>4723</v>
      </c>
      <c r="D1334" s="57" t="s">
        <v>45</v>
      </c>
      <c r="E1334" s="57" t="s">
        <v>2860</v>
      </c>
      <c r="F1334" s="233">
        <v>45967.440972222219</v>
      </c>
      <c r="G1334" s="57">
        <v>6</v>
      </c>
      <c r="H1334" s="57" t="s">
        <v>2557</v>
      </c>
      <c r="I1334" s="58">
        <v>68720</v>
      </c>
      <c r="J1334" s="234" t="s">
        <v>4724</v>
      </c>
      <c r="K1334" s="58">
        <v>11.69</v>
      </c>
      <c r="L1334" s="58">
        <v>0</v>
      </c>
      <c r="M1334" s="58">
        <v>0</v>
      </c>
      <c r="N1334" s="58">
        <v>1</v>
      </c>
      <c r="O1334" s="224">
        <f t="shared" si="10"/>
        <v>11.69</v>
      </c>
      <c r="P1334" s="227">
        <f t="shared" si="11"/>
        <v>11.69</v>
      </c>
    </row>
    <row r="1335" spans="1:16" ht="14.25">
      <c r="A1335" s="224">
        <v>1334</v>
      </c>
      <c r="B1335" s="58">
        <v>25909</v>
      </c>
      <c r="C1335" s="57" t="s">
        <v>4725</v>
      </c>
      <c r="D1335" s="57" t="s">
        <v>45</v>
      </c>
      <c r="E1335" s="57" t="s">
        <v>2860</v>
      </c>
      <c r="F1335" s="233">
        <v>45967.488888888889</v>
      </c>
      <c r="G1335" s="57">
        <v>6</v>
      </c>
      <c r="H1335" s="57" t="s">
        <v>2557</v>
      </c>
      <c r="I1335" s="58">
        <v>68732</v>
      </c>
      <c r="J1335" s="234" t="s">
        <v>4726</v>
      </c>
      <c r="K1335" s="58">
        <v>2.39</v>
      </c>
      <c r="L1335" s="58">
        <v>0</v>
      </c>
      <c r="M1335" s="58">
        <v>0</v>
      </c>
      <c r="N1335" s="58">
        <v>1</v>
      </c>
      <c r="O1335" s="224">
        <f t="shared" si="10"/>
        <v>2.39</v>
      </c>
      <c r="P1335" s="227">
        <f t="shared" si="11"/>
        <v>2.39</v>
      </c>
    </row>
    <row r="1336" spans="1:16" ht="14.25">
      <c r="A1336" s="224">
        <v>1335</v>
      </c>
      <c r="B1336" s="58">
        <v>25918</v>
      </c>
      <c r="C1336" s="57" t="s">
        <v>4727</v>
      </c>
      <c r="D1336" s="57" t="s">
        <v>2582</v>
      </c>
      <c r="E1336" s="57" t="s">
        <v>2860</v>
      </c>
      <c r="F1336" s="233">
        <v>45967.5625</v>
      </c>
      <c r="G1336" s="57">
        <v>6</v>
      </c>
      <c r="H1336" s="57" t="s">
        <v>2557</v>
      </c>
      <c r="I1336" s="58">
        <v>68744</v>
      </c>
      <c r="J1336" s="234" t="s">
        <v>4728</v>
      </c>
      <c r="K1336" s="58">
        <v>83.99</v>
      </c>
      <c r="L1336" s="58">
        <v>0</v>
      </c>
      <c r="M1336" s="58">
        <v>0</v>
      </c>
      <c r="N1336" s="58">
        <v>7.1847899999999996</v>
      </c>
      <c r="O1336" s="224">
        <f t="shared" si="10"/>
        <v>83.99</v>
      </c>
      <c r="P1336" s="227">
        <f t="shared" si="11"/>
        <v>11.689972845413715</v>
      </c>
    </row>
    <row r="1337" spans="1:16" ht="14.25">
      <c r="A1337" s="224">
        <v>1336</v>
      </c>
      <c r="B1337" s="58">
        <v>25918</v>
      </c>
      <c r="C1337" s="57" t="s">
        <v>4727</v>
      </c>
      <c r="D1337" s="57" t="s">
        <v>2582</v>
      </c>
      <c r="E1337" s="57" t="s">
        <v>2860</v>
      </c>
      <c r="F1337" s="233">
        <v>45967.614583333336</v>
      </c>
      <c r="G1337" s="57">
        <v>6</v>
      </c>
      <c r="H1337" s="57" t="s">
        <v>2557</v>
      </c>
      <c r="I1337" s="58">
        <v>68744</v>
      </c>
      <c r="J1337" s="234"/>
      <c r="K1337" s="58">
        <v>0.01</v>
      </c>
      <c r="L1337" s="58">
        <v>0</v>
      </c>
      <c r="M1337" s="58">
        <v>0</v>
      </c>
      <c r="N1337" s="58">
        <v>7.1847899999999996</v>
      </c>
      <c r="O1337" s="224">
        <f t="shared" si="10"/>
        <v>0.01</v>
      </c>
      <c r="P1337" s="227">
        <f t="shared" si="11"/>
        <v>1.3918291279216234E-3</v>
      </c>
    </row>
    <row r="1338" spans="1:16" ht="14.25">
      <c r="A1338" s="224">
        <v>1337</v>
      </c>
      <c r="B1338" s="58">
        <v>25593</v>
      </c>
      <c r="C1338" s="57" t="s">
        <v>4670</v>
      </c>
      <c r="D1338" s="57" t="s">
        <v>2582</v>
      </c>
      <c r="E1338" s="57" t="s">
        <v>2860</v>
      </c>
      <c r="F1338" s="233">
        <v>45967.620138888888</v>
      </c>
      <c r="G1338" s="57">
        <v>6</v>
      </c>
      <c r="H1338" s="57" t="s">
        <v>4729</v>
      </c>
      <c r="I1338" s="58">
        <v>68696</v>
      </c>
      <c r="J1338" s="234"/>
      <c r="K1338" s="58">
        <v>0</v>
      </c>
      <c r="L1338" s="58">
        <v>0</v>
      </c>
      <c r="M1338" s="58">
        <v>50.2</v>
      </c>
      <c r="N1338" s="58">
        <v>7.1816800000000001</v>
      </c>
      <c r="O1338" s="224">
        <f t="shared" si="10"/>
        <v>-50.2</v>
      </c>
      <c r="P1338" s="227">
        <f t="shared" si="11"/>
        <v>-6.9900079090129337</v>
      </c>
    </row>
    <row r="1339" spans="1:16" ht="14.25">
      <c r="A1339" s="224">
        <v>1338</v>
      </c>
      <c r="B1339" s="58">
        <v>22778</v>
      </c>
      <c r="C1339" s="57" t="s">
        <v>3929</v>
      </c>
      <c r="D1339" s="57" t="s">
        <v>45</v>
      </c>
      <c r="E1339" s="57" t="s">
        <v>2860</v>
      </c>
      <c r="F1339" s="233">
        <v>45967.628472222219</v>
      </c>
      <c r="G1339" s="57">
        <v>6</v>
      </c>
      <c r="H1339" s="57" t="s">
        <v>2557</v>
      </c>
      <c r="I1339" s="58">
        <v>66020</v>
      </c>
      <c r="J1339" s="234" t="s">
        <v>4730</v>
      </c>
      <c r="K1339" s="58">
        <v>5.99</v>
      </c>
      <c r="L1339" s="58">
        <v>0</v>
      </c>
      <c r="M1339" s="58">
        <v>0</v>
      </c>
      <c r="N1339" s="58">
        <v>1</v>
      </c>
      <c r="O1339" s="224">
        <f t="shared" si="10"/>
        <v>5.99</v>
      </c>
      <c r="P1339" s="227">
        <f t="shared" si="11"/>
        <v>5.99</v>
      </c>
    </row>
    <row r="1340" spans="1:16" ht="14.25">
      <c r="A1340" s="224">
        <v>1339</v>
      </c>
      <c r="B1340" s="58">
        <v>23857</v>
      </c>
      <c r="C1340" s="57" t="s">
        <v>4684</v>
      </c>
      <c r="D1340" s="57" t="s">
        <v>2582</v>
      </c>
      <c r="E1340" s="57" t="s">
        <v>2860</v>
      </c>
      <c r="F1340" s="233">
        <v>45967.630555555559</v>
      </c>
      <c r="G1340" s="57">
        <v>6</v>
      </c>
      <c r="H1340" s="57" t="s">
        <v>2557</v>
      </c>
      <c r="I1340" s="58">
        <v>68756</v>
      </c>
      <c r="J1340" s="234" t="s">
        <v>4731</v>
      </c>
      <c r="K1340" s="58">
        <v>427.42</v>
      </c>
      <c r="L1340" s="58">
        <v>0</v>
      </c>
      <c r="M1340" s="58">
        <v>0</v>
      </c>
      <c r="N1340" s="58">
        <v>7.1847899999999996</v>
      </c>
      <c r="O1340" s="224">
        <f t="shared" si="10"/>
        <v>427.42</v>
      </c>
      <c r="P1340" s="227">
        <f t="shared" si="11"/>
        <v>59.48956058562603</v>
      </c>
    </row>
    <row r="1341" spans="1:16" ht="14.25">
      <c r="A1341" s="224">
        <v>1340</v>
      </c>
      <c r="B1341" s="58">
        <v>23857</v>
      </c>
      <c r="C1341" s="57" t="s">
        <v>4684</v>
      </c>
      <c r="D1341" s="57" t="s">
        <v>2582</v>
      </c>
      <c r="E1341" s="57" t="s">
        <v>2860</v>
      </c>
      <c r="F1341" s="233">
        <v>45967.632638888892</v>
      </c>
      <c r="G1341" s="57">
        <v>6</v>
      </c>
      <c r="H1341" s="57" t="s">
        <v>2557</v>
      </c>
      <c r="I1341" s="58">
        <v>68756</v>
      </c>
      <c r="J1341" s="234"/>
      <c r="K1341" s="58">
        <v>0.01</v>
      </c>
      <c r="L1341" s="58">
        <v>0</v>
      </c>
      <c r="M1341" s="58">
        <v>0</v>
      </c>
      <c r="N1341" s="58">
        <v>7.1847899999999996</v>
      </c>
      <c r="O1341" s="224">
        <f t="shared" si="10"/>
        <v>0.01</v>
      </c>
      <c r="P1341" s="227">
        <f t="shared" si="11"/>
        <v>1.3918291279216234E-3</v>
      </c>
    </row>
    <row r="1342" spans="1:16" ht="14.25">
      <c r="A1342" s="224">
        <v>1341</v>
      </c>
      <c r="B1342" s="58">
        <v>25918</v>
      </c>
      <c r="C1342" s="57" t="s">
        <v>4727</v>
      </c>
      <c r="D1342" s="57" t="s">
        <v>2582</v>
      </c>
      <c r="E1342" s="57" t="s">
        <v>2860</v>
      </c>
      <c r="F1342" s="233">
        <v>45967.666666666664</v>
      </c>
      <c r="G1342" s="57">
        <v>6</v>
      </c>
      <c r="H1342" s="57" t="s">
        <v>4732</v>
      </c>
      <c r="I1342" s="58">
        <v>68744</v>
      </c>
      <c r="J1342" s="234"/>
      <c r="K1342" s="58">
        <v>0</v>
      </c>
      <c r="L1342" s="58">
        <v>0</v>
      </c>
      <c r="M1342" s="58">
        <v>83.99</v>
      </c>
      <c r="N1342" s="58">
        <v>7.1847899999999996</v>
      </c>
      <c r="O1342" s="224">
        <f t="shared" si="10"/>
        <v>-83.99</v>
      </c>
      <c r="P1342" s="227">
        <f t="shared" si="11"/>
        <v>-11.689972845413715</v>
      </c>
    </row>
    <row r="1343" spans="1:16" ht="14.25">
      <c r="A1343" s="224">
        <v>1342</v>
      </c>
      <c r="B1343" s="58">
        <v>25918</v>
      </c>
      <c r="C1343" s="57" t="s">
        <v>4727</v>
      </c>
      <c r="D1343" s="57" t="s">
        <v>2582</v>
      </c>
      <c r="E1343" s="57" t="s">
        <v>2860</v>
      </c>
      <c r="F1343" s="233">
        <v>45967.667361111111</v>
      </c>
      <c r="G1343" s="57">
        <v>6</v>
      </c>
      <c r="H1343" s="57" t="s">
        <v>4508</v>
      </c>
      <c r="I1343" s="58">
        <v>68744</v>
      </c>
      <c r="J1343" s="234"/>
      <c r="K1343" s="58">
        <v>0</v>
      </c>
      <c r="L1343" s="58">
        <v>0</v>
      </c>
      <c r="M1343" s="58">
        <v>0.01</v>
      </c>
      <c r="N1343" s="58">
        <v>7.1847899999999996</v>
      </c>
      <c r="O1343" s="224">
        <f t="shared" si="10"/>
        <v>-0.01</v>
      </c>
      <c r="P1343" s="227">
        <f t="shared" si="11"/>
        <v>-1.3918291279216234E-3</v>
      </c>
    </row>
    <row r="1344" spans="1:16" ht="14.25">
      <c r="A1344" s="224">
        <v>1343</v>
      </c>
      <c r="B1344" s="58">
        <v>8817</v>
      </c>
      <c r="C1344" s="57" t="s">
        <v>2775</v>
      </c>
      <c r="D1344" s="57" t="s">
        <v>45</v>
      </c>
      <c r="E1344" s="57" t="s">
        <v>2860</v>
      </c>
      <c r="F1344" s="233">
        <v>45967.676388888889</v>
      </c>
      <c r="G1344" s="57">
        <v>6</v>
      </c>
      <c r="H1344" s="57" t="s">
        <v>2557</v>
      </c>
      <c r="I1344" s="58">
        <v>68780</v>
      </c>
      <c r="J1344" s="234" t="s">
        <v>4733</v>
      </c>
      <c r="K1344" s="58">
        <v>136.79</v>
      </c>
      <c r="L1344" s="58">
        <v>0</v>
      </c>
      <c r="M1344" s="58">
        <v>0</v>
      </c>
      <c r="N1344" s="58">
        <v>1</v>
      </c>
      <c r="O1344" s="224">
        <f t="shared" si="10"/>
        <v>136.79</v>
      </c>
      <c r="P1344" s="227">
        <f t="shared" si="11"/>
        <v>136.79</v>
      </c>
    </row>
    <row r="1345" spans="1:16" ht="14.25">
      <c r="A1345" s="224">
        <v>1344</v>
      </c>
      <c r="B1345" s="58">
        <v>25924</v>
      </c>
      <c r="C1345" s="57" t="s">
        <v>4734</v>
      </c>
      <c r="D1345" s="57" t="s">
        <v>45</v>
      </c>
      <c r="E1345" s="57" t="s">
        <v>2860</v>
      </c>
      <c r="F1345" s="233">
        <v>45967.683333333334</v>
      </c>
      <c r="G1345" s="57">
        <v>6</v>
      </c>
      <c r="H1345" s="57" t="s">
        <v>2557</v>
      </c>
      <c r="I1345" s="58">
        <v>68768</v>
      </c>
      <c r="J1345" s="234" t="s">
        <v>4735</v>
      </c>
      <c r="K1345" s="58">
        <v>148.79</v>
      </c>
      <c r="L1345" s="58">
        <v>0</v>
      </c>
      <c r="M1345" s="58">
        <v>0</v>
      </c>
      <c r="N1345" s="58">
        <v>1</v>
      </c>
      <c r="O1345" s="224">
        <f t="shared" si="10"/>
        <v>148.79</v>
      </c>
      <c r="P1345" s="227">
        <f t="shared" si="11"/>
        <v>148.79</v>
      </c>
    </row>
    <row r="1346" spans="1:16" ht="14.25">
      <c r="A1346" s="224">
        <v>1345</v>
      </c>
      <c r="B1346" s="58">
        <v>25924</v>
      </c>
      <c r="C1346" s="57" t="s">
        <v>4734</v>
      </c>
      <c r="D1346" s="57" t="s">
        <v>45</v>
      </c>
      <c r="E1346" s="57" t="s">
        <v>2860</v>
      </c>
      <c r="F1346" s="233">
        <v>45967.683333333334</v>
      </c>
      <c r="G1346" s="57">
        <v>6</v>
      </c>
      <c r="H1346" s="57" t="s">
        <v>2557</v>
      </c>
      <c r="I1346" s="58">
        <v>68768</v>
      </c>
      <c r="J1346" s="234" t="s">
        <v>4735</v>
      </c>
      <c r="K1346" s="58">
        <v>148.79</v>
      </c>
      <c r="L1346" s="58">
        <v>0</v>
      </c>
      <c r="M1346" s="58">
        <v>0</v>
      </c>
      <c r="N1346" s="58">
        <v>1</v>
      </c>
      <c r="O1346" s="224">
        <f t="shared" si="10"/>
        <v>148.79</v>
      </c>
      <c r="P1346" s="227">
        <f t="shared" si="11"/>
        <v>148.79</v>
      </c>
    </row>
    <row r="1347" spans="1:16" ht="14.25">
      <c r="A1347" s="224">
        <v>1346</v>
      </c>
      <c r="B1347" s="58">
        <v>22778</v>
      </c>
      <c r="C1347" s="57" t="s">
        <v>3929</v>
      </c>
      <c r="D1347" s="57" t="s">
        <v>45</v>
      </c>
      <c r="E1347" s="57" t="s">
        <v>2860</v>
      </c>
      <c r="F1347" s="233">
        <v>45967.73541666667</v>
      </c>
      <c r="G1347" s="57">
        <v>6</v>
      </c>
      <c r="H1347" s="57" t="s">
        <v>2557</v>
      </c>
      <c r="I1347" s="58">
        <v>68792</v>
      </c>
      <c r="J1347" s="234" t="s">
        <v>4736</v>
      </c>
      <c r="K1347" s="58">
        <v>6.99</v>
      </c>
      <c r="L1347" s="58">
        <v>0</v>
      </c>
      <c r="M1347" s="58">
        <v>0</v>
      </c>
      <c r="N1347" s="58">
        <v>1</v>
      </c>
      <c r="O1347" s="224">
        <f t="shared" si="10"/>
        <v>6.99</v>
      </c>
      <c r="P1347" s="227">
        <f t="shared" si="11"/>
        <v>6.99</v>
      </c>
    </row>
    <row r="1348" spans="1:16" ht="14.25">
      <c r="A1348" s="224">
        <v>1347</v>
      </c>
      <c r="B1348" s="58">
        <v>25929</v>
      </c>
      <c r="C1348" s="57" t="s">
        <v>4737</v>
      </c>
      <c r="D1348" s="57" t="s">
        <v>2582</v>
      </c>
      <c r="E1348" s="57" t="s">
        <v>2860</v>
      </c>
      <c r="F1348" s="233">
        <v>45967.775694444441</v>
      </c>
      <c r="G1348" s="57">
        <v>6</v>
      </c>
      <c r="H1348" s="57" t="s">
        <v>2557</v>
      </c>
      <c r="I1348" s="58">
        <v>68804</v>
      </c>
      <c r="J1348" s="234" t="s">
        <v>4738</v>
      </c>
      <c r="K1348" s="58">
        <v>15.02</v>
      </c>
      <c r="L1348" s="58">
        <v>0</v>
      </c>
      <c r="M1348" s="58">
        <v>0</v>
      </c>
      <c r="N1348" s="58">
        <v>7.1847899999999996</v>
      </c>
      <c r="O1348" s="224">
        <f t="shared" si="10"/>
        <v>15.02</v>
      </c>
      <c r="P1348" s="227">
        <f t="shared" si="11"/>
        <v>2.0905273501382782</v>
      </c>
    </row>
    <row r="1349" spans="1:16" ht="14.25">
      <c r="A1349" s="224">
        <v>1348</v>
      </c>
      <c r="B1349" s="58">
        <v>25929</v>
      </c>
      <c r="C1349" s="57" t="s">
        <v>4737</v>
      </c>
      <c r="D1349" s="57" t="s">
        <v>2582</v>
      </c>
      <c r="E1349" s="57" t="s">
        <v>2860</v>
      </c>
      <c r="F1349" s="233">
        <v>45967.867361111108</v>
      </c>
      <c r="G1349" s="57">
        <v>6</v>
      </c>
      <c r="H1349" s="57" t="s">
        <v>2557</v>
      </c>
      <c r="I1349" s="58">
        <v>68804</v>
      </c>
      <c r="J1349" s="234"/>
      <c r="K1349" s="58">
        <v>0.01</v>
      </c>
      <c r="L1349" s="58">
        <v>0</v>
      </c>
      <c r="M1349" s="58">
        <v>0</v>
      </c>
      <c r="N1349" s="58">
        <v>7.1847899999999996</v>
      </c>
      <c r="O1349" s="224">
        <f t="shared" si="10"/>
        <v>0.01</v>
      </c>
      <c r="P1349" s="227">
        <f t="shared" si="11"/>
        <v>1.3918291279216234E-3</v>
      </c>
    </row>
    <row r="1350" spans="1:16" ht="14.25">
      <c r="A1350" s="224">
        <v>1349</v>
      </c>
      <c r="B1350" s="58">
        <v>24062</v>
      </c>
      <c r="C1350" s="57" t="s">
        <v>4122</v>
      </c>
      <c r="D1350" s="57" t="s">
        <v>2582</v>
      </c>
      <c r="E1350" s="57" t="s">
        <v>2860</v>
      </c>
      <c r="F1350" s="233">
        <v>45967.87222222222</v>
      </c>
      <c r="G1350" s="57">
        <v>6</v>
      </c>
      <c r="H1350" s="57" t="s">
        <v>2557</v>
      </c>
      <c r="I1350" s="58">
        <v>65600</v>
      </c>
      <c r="J1350" s="234" t="s">
        <v>4739</v>
      </c>
      <c r="K1350" s="58">
        <v>35.42</v>
      </c>
      <c r="L1350" s="58">
        <v>0</v>
      </c>
      <c r="M1350" s="58">
        <v>0</v>
      </c>
      <c r="N1350" s="58">
        <v>7.1847899999999996</v>
      </c>
      <c r="O1350" s="224">
        <f t="shared" si="10"/>
        <v>35.42</v>
      </c>
      <c r="P1350" s="227">
        <f t="shared" si="11"/>
        <v>4.9298587710983908</v>
      </c>
    </row>
    <row r="1351" spans="1:16" ht="14.25">
      <c r="A1351" s="224">
        <v>1350</v>
      </c>
      <c r="B1351" s="58">
        <v>24062</v>
      </c>
      <c r="C1351" s="57" t="s">
        <v>4122</v>
      </c>
      <c r="D1351" s="57" t="s">
        <v>2582</v>
      </c>
      <c r="E1351" s="57" t="s">
        <v>2860</v>
      </c>
      <c r="F1351" s="233">
        <v>45967.874305555553</v>
      </c>
      <c r="G1351" s="57">
        <v>6</v>
      </c>
      <c r="H1351" s="57" t="s">
        <v>2557</v>
      </c>
      <c r="I1351" s="58">
        <v>66680</v>
      </c>
      <c r="J1351" s="234" t="s">
        <v>4740</v>
      </c>
      <c r="K1351" s="58">
        <v>45.34</v>
      </c>
      <c r="L1351" s="58">
        <v>0</v>
      </c>
      <c r="M1351" s="58">
        <v>0</v>
      </c>
      <c r="N1351" s="58">
        <v>7.1847899999999996</v>
      </c>
      <c r="O1351" s="224">
        <f t="shared" si="10"/>
        <v>45.34</v>
      </c>
      <c r="P1351" s="227">
        <f t="shared" si="11"/>
        <v>6.3105532659966412</v>
      </c>
    </row>
    <row r="1352" spans="1:16" ht="14.25">
      <c r="A1352" s="224">
        <v>1351</v>
      </c>
      <c r="B1352" s="58">
        <v>1221</v>
      </c>
      <c r="C1352" s="57" t="s">
        <v>4741</v>
      </c>
      <c r="D1352" s="57" t="s">
        <v>45</v>
      </c>
      <c r="E1352" s="57" t="s">
        <v>2860</v>
      </c>
      <c r="F1352" s="233">
        <v>45997</v>
      </c>
      <c r="G1352" s="57">
        <v>6</v>
      </c>
      <c r="H1352" s="57" t="s">
        <v>2557</v>
      </c>
      <c r="I1352" s="58">
        <v>68924</v>
      </c>
      <c r="J1352" s="234"/>
      <c r="K1352" s="58">
        <v>0</v>
      </c>
      <c r="L1352" s="58">
        <v>0</v>
      </c>
      <c r="M1352" s="58">
        <v>0</v>
      </c>
      <c r="N1352" s="58">
        <v>1</v>
      </c>
      <c r="O1352" s="224">
        <f t="shared" si="10"/>
        <v>0</v>
      </c>
      <c r="P1352" s="227">
        <f t="shared" si="11"/>
        <v>0</v>
      </c>
    </row>
    <row r="1353" spans="1:16" ht="14.25">
      <c r="A1353" s="224">
        <v>1352</v>
      </c>
      <c r="B1353" s="58">
        <v>20196</v>
      </c>
      <c r="C1353" s="57" t="s">
        <v>3404</v>
      </c>
      <c r="D1353" s="57" t="s">
        <v>45</v>
      </c>
      <c r="E1353" s="57" t="s">
        <v>2860</v>
      </c>
      <c r="F1353" s="233">
        <v>45997.336805555555</v>
      </c>
      <c r="G1353" s="57">
        <v>6</v>
      </c>
      <c r="H1353" s="57" t="s">
        <v>2557</v>
      </c>
      <c r="I1353" s="58">
        <v>68072</v>
      </c>
      <c r="J1353" s="234" t="s">
        <v>4742</v>
      </c>
      <c r="K1353" s="58">
        <v>8.99</v>
      </c>
      <c r="L1353" s="58">
        <v>0</v>
      </c>
      <c r="M1353" s="58">
        <v>0</v>
      </c>
      <c r="N1353" s="58">
        <v>1</v>
      </c>
      <c r="O1353" s="224">
        <f t="shared" si="10"/>
        <v>8.99</v>
      </c>
      <c r="P1353" s="227">
        <f t="shared" si="11"/>
        <v>8.99</v>
      </c>
    </row>
    <row r="1354" spans="1:16" ht="14.25">
      <c r="A1354" s="224">
        <v>1353</v>
      </c>
      <c r="B1354" s="58">
        <v>74</v>
      </c>
      <c r="C1354" s="57" t="s">
        <v>4743</v>
      </c>
      <c r="D1354" s="57" t="s">
        <v>45</v>
      </c>
      <c r="E1354" s="57" t="s">
        <v>2860</v>
      </c>
      <c r="F1354" s="233">
        <v>45997.455555555556</v>
      </c>
      <c r="G1354" s="57">
        <v>6</v>
      </c>
      <c r="H1354" s="57" t="s">
        <v>2557</v>
      </c>
      <c r="I1354" s="58">
        <v>68852</v>
      </c>
      <c r="J1354" s="234" t="s">
        <v>4744</v>
      </c>
      <c r="K1354" s="58">
        <v>1</v>
      </c>
      <c r="L1354" s="58">
        <v>0</v>
      </c>
      <c r="M1354" s="58">
        <v>0</v>
      </c>
      <c r="N1354" s="58">
        <v>1</v>
      </c>
      <c r="O1354" s="224">
        <f t="shared" si="10"/>
        <v>1</v>
      </c>
      <c r="P1354" s="227">
        <f t="shared" si="11"/>
        <v>1</v>
      </c>
    </row>
    <row r="1355" spans="1:16" ht="14.25">
      <c r="A1355" s="224">
        <v>1354</v>
      </c>
      <c r="B1355" s="58">
        <v>19314</v>
      </c>
      <c r="C1355" s="57" t="s">
        <v>3119</v>
      </c>
      <c r="D1355" s="57" t="s">
        <v>45</v>
      </c>
      <c r="E1355" s="57" t="s">
        <v>2860</v>
      </c>
      <c r="F1355" s="233">
        <v>45997.616666666669</v>
      </c>
      <c r="G1355" s="57">
        <v>6</v>
      </c>
      <c r="H1355" s="57" t="s">
        <v>2557</v>
      </c>
      <c r="I1355" s="58">
        <v>66008</v>
      </c>
      <c r="J1355" s="234"/>
      <c r="K1355" s="58">
        <v>34.979999999999997</v>
      </c>
      <c r="L1355" s="58">
        <v>0</v>
      </c>
      <c r="M1355" s="58">
        <v>0</v>
      </c>
      <c r="N1355" s="58">
        <v>1</v>
      </c>
      <c r="O1355" s="224">
        <f t="shared" si="10"/>
        <v>34.979999999999997</v>
      </c>
      <c r="P1355" s="227">
        <f t="shared" si="11"/>
        <v>34.979999999999997</v>
      </c>
    </row>
    <row r="1356" spans="1:16" ht="14.25">
      <c r="A1356" s="224">
        <v>1355</v>
      </c>
      <c r="B1356" s="58">
        <v>19314</v>
      </c>
      <c r="C1356" s="57" t="s">
        <v>3119</v>
      </c>
      <c r="D1356" s="57" t="s">
        <v>45</v>
      </c>
      <c r="E1356" s="57" t="s">
        <v>2860</v>
      </c>
      <c r="F1356" s="233">
        <v>45997.634722222225</v>
      </c>
      <c r="G1356" s="57">
        <v>6</v>
      </c>
      <c r="H1356" s="57" t="s">
        <v>2557</v>
      </c>
      <c r="I1356" s="58">
        <v>68876</v>
      </c>
      <c r="J1356" s="234"/>
      <c r="K1356" s="58">
        <v>20.02</v>
      </c>
      <c r="L1356" s="58">
        <v>0</v>
      </c>
      <c r="M1356" s="58">
        <v>0</v>
      </c>
      <c r="N1356" s="58">
        <v>1</v>
      </c>
      <c r="O1356" s="224">
        <f t="shared" si="10"/>
        <v>20.02</v>
      </c>
      <c r="P1356" s="227">
        <f t="shared" si="11"/>
        <v>20.02</v>
      </c>
    </row>
    <row r="1357" spans="1:16" ht="14.25">
      <c r="A1357" s="224">
        <v>1356</v>
      </c>
      <c r="B1357" s="58">
        <v>22778</v>
      </c>
      <c r="C1357" s="57" t="s">
        <v>3929</v>
      </c>
      <c r="D1357" s="57" t="s">
        <v>45</v>
      </c>
      <c r="E1357" s="57" t="s">
        <v>2860</v>
      </c>
      <c r="F1357" s="233">
        <v>45997.737500000003</v>
      </c>
      <c r="G1357" s="57">
        <v>6</v>
      </c>
      <c r="H1357" s="57" t="s">
        <v>2557</v>
      </c>
      <c r="I1357" s="58">
        <v>68888</v>
      </c>
      <c r="J1357" s="234" t="s">
        <v>4745</v>
      </c>
      <c r="K1357" s="58">
        <v>5.99</v>
      </c>
      <c r="L1357" s="58">
        <v>0</v>
      </c>
      <c r="M1357" s="58">
        <v>0</v>
      </c>
      <c r="N1357" s="58">
        <v>1</v>
      </c>
      <c r="O1357" s="224">
        <f t="shared" si="10"/>
        <v>5.99</v>
      </c>
      <c r="P1357" s="227">
        <f t="shared" si="11"/>
        <v>5.99</v>
      </c>
    </row>
    <row r="1358" spans="1:16" ht="14.25">
      <c r="A1358" s="224">
        <v>1357</v>
      </c>
      <c r="B1358" s="58">
        <v>5970</v>
      </c>
      <c r="C1358" s="57" t="s">
        <v>4746</v>
      </c>
      <c r="D1358" s="57" t="s">
        <v>45</v>
      </c>
      <c r="E1358" s="57" t="s">
        <v>2860</v>
      </c>
      <c r="F1358" s="233">
        <v>45997.916666666664</v>
      </c>
      <c r="G1358" s="57">
        <v>6</v>
      </c>
      <c r="H1358" s="57" t="s">
        <v>2557</v>
      </c>
      <c r="I1358" s="58">
        <v>68900</v>
      </c>
      <c r="J1358" s="234" t="s">
        <v>4747</v>
      </c>
      <c r="K1358" s="58">
        <v>4.99</v>
      </c>
      <c r="L1358" s="58">
        <v>0</v>
      </c>
      <c r="M1358" s="58">
        <v>0</v>
      </c>
      <c r="N1358" s="58">
        <v>1</v>
      </c>
      <c r="O1358" s="224">
        <f t="shared" si="10"/>
        <v>4.99</v>
      </c>
      <c r="P1358" s="227">
        <f t="shared" si="11"/>
        <v>4.99</v>
      </c>
    </row>
    <row r="1359" spans="1:16" ht="14.25">
      <c r="A1359" s="224">
        <v>1358</v>
      </c>
      <c r="B1359" s="58">
        <v>2518</v>
      </c>
      <c r="C1359" s="57" t="s">
        <v>4748</v>
      </c>
      <c r="D1359" s="57" t="s">
        <v>45</v>
      </c>
      <c r="E1359" s="57" t="s">
        <v>2860</v>
      </c>
      <c r="F1359" s="233">
        <v>45997.992361111108</v>
      </c>
      <c r="G1359" s="57">
        <v>6</v>
      </c>
      <c r="H1359" s="57" t="s">
        <v>2557</v>
      </c>
      <c r="I1359" s="58">
        <v>68936</v>
      </c>
      <c r="J1359" s="234" t="s">
        <v>4749</v>
      </c>
      <c r="K1359" s="58">
        <v>3.99</v>
      </c>
      <c r="L1359" s="58">
        <v>0</v>
      </c>
      <c r="M1359" s="58">
        <v>0</v>
      </c>
      <c r="N1359" s="58">
        <v>1</v>
      </c>
      <c r="O1359" s="224">
        <f t="shared" si="10"/>
        <v>3.99</v>
      </c>
      <c r="P1359" s="227">
        <f t="shared" si="11"/>
        <v>3.99</v>
      </c>
    </row>
    <row r="1360" spans="1:16" ht="14.25">
      <c r="A1360" s="224">
        <v>1359</v>
      </c>
      <c r="B1360" s="58">
        <v>26027</v>
      </c>
      <c r="C1360" s="57" t="s">
        <v>4750</v>
      </c>
      <c r="D1360" s="57" t="s">
        <v>45</v>
      </c>
      <c r="E1360" s="57" t="s">
        <v>2860</v>
      </c>
      <c r="F1360" s="58" t="s">
        <v>4751</v>
      </c>
      <c r="G1360" s="57">
        <v>6</v>
      </c>
      <c r="H1360" s="57" t="s">
        <v>2557</v>
      </c>
      <c r="I1360" s="58">
        <v>68960</v>
      </c>
      <c r="J1360" s="234" t="s">
        <v>4752</v>
      </c>
      <c r="K1360" s="58">
        <v>12.99</v>
      </c>
      <c r="L1360" s="58">
        <v>0</v>
      </c>
      <c r="M1360" s="58">
        <v>0</v>
      </c>
      <c r="N1360" s="58">
        <v>1</v>
      </c>
      <c r="O1360" s="224">
        <f t="shared" si="10"/>
        <v>12.99</v>
      </c>
      <c r="P1360" s="227">
        <f t="shared" si="11"/>
        <v>12.99</v>
      </c>
    </row>
    <row r="1361" spans="1:16" ht="14.25">
      <c r="A1361" s="224">
        <v>1360</v>
      </c>
      <c r="B1361" s="58">
        <v>40</v>
      </c>
      <c r="C1361" s="57" t="s">
        <v>4753</v>
      </c>
      <c r="D1361" s="57" t="s">
        <v>45</v>
      </c>
      <c r="E1361" s="57" t="s">
        <v>9</v>
      </c>
      <c r="F1361" s="58" t="s">
        <v>4754</v>
      </c>
      <c r="G1361" s="57">
        <v>6</v>
      </c>
      <c r="H1361" s="57" t="s">
        <v>2557</v>
      </c>
      <c r="I1361" s="58">
        <v>68972</v>
      </c>
      <c r="J1361" s="234" t="s">
        <v>540</v>
      </c>
      <c r="K1361" s="58">
        <v>1</v>
      </c>
      <c r="L1361" s="58">
        <v>0.54</v>
      </c>
      <c r="M1361" s="58">
        <v>0</v>
      </c>
      <c r="N1361" s="58">
        <v>1</v>
      </c>
      <c r="O1361" s="224">
        <f t="shared" si="10"/>
        <v>0.45999999999999996</v>
      </c>
      <c r="P1361" s="227">
        <f t="shared" si="11"/>
        <v>0.45999999999999996</v>
      </c>
    </row>
    <row r="1362" spans="1:16" ht="14.25">
      <c r="A1362" s="224">
        <v>1361</v>
      </c>
      <c r="B1362" s="58">
        <v>21990</v>
      </c>
      <c r="C1362" s="57" t="s">
        <v>3821</v>
      </c>
      <c r="D1362" s="57" t="s">
        <v>45</v>
      </c>
      <c r="E1362" s="57" t="s">
        <v>2860</v>
      </c>
      <c r="F1362" s="58" t="s">
        <v>4755</v>
      </c>
      <c r="G1362" s="57">
        <v>6</v>
      </c>
      <c r="H1362" s="57" t="s">
        <v>2557</v>
      </c>
      <c r="I1362" s="58">
        <v>66932</v>
      </c>
      <c r="J1362" s="234" t="s">
        <v>4756</v>
      </c>
      <c r="K1362" s="58">
        <v>16.09</v>
      </c>
      <c r="L1362" s="58">
        <v>0</v>
      </c>
      <c r="M1362" s="58">
        <v>0</v>
      </c>
      <c r="N1362" s="58">
        <v>1</v>
      </c>
      <c r="O1362" s="224">
        <f t="shared" si="10"/>
        <v>16.09</v>
      </c>
      <c r="P1362" s="227">
        <f t="shared" si="11"/>
        <v>16.09</v>
      </c>
    </row>
    <row r="1363" spans="1:16" ht="14.25">
      <c r="A1363" s="224">
        <v>1362</v>
      </c>
      <c r="B1363" s="58">
        <v>25732</v>
      </c>
      <c r="C1363" s="57" t="s">
        <v>4686</v>
      </c>
      <c r="D1363" s="57" t="s">
        <v>2582</v>
      </c>
      <c r="E1363" s="57" t="s">
        <v>2860</v>
      </c>
      <c r="F1363" s="58" t="s">
        <v>4757</v>
      </c>
      <c r="G1363" s="57">
        <v>6</v>
      </c>
      <c r="H1363" s="57" t="s">
        <v>2557</v>
      </c>
      <c r="I1363" s="58">
        <v>69032</v>
      </c>
      <c r="J1363" s="234" t="s">
        <v>4758</v>
      </c>
      <c r="K1363" s="58">
        <v>28.63</v>
      </c>
      <c r="L1363" s="58">
        <v>0</v>
      </c>
      <c r="M1363" s="58">
        <v>0</v>
      </c>
      <c r="N1363" s="58">
        <v>7.1762100000000002</v>
      </c>
      <c r="O1363" s="224">
        <f t="shared" si="10"/>
        <v>28.63</v>
      </c>
      <c r="P1363" s="227">
        <f t="shared" si="11"/>
        <v>3.989571096720971</v>
      </c>
    </row>
    <row r="1364" spans="1:16" ht="14.25">
      <c r="A1364" s="224">
        <v>1363</v>
      </c>
      <c r="B1364" s="58">
        <v>26089</v>
      </c>
      <c r="C1364" s="57" t="s">
        <v>4759</v>
      </c>
      <c r="D1364" s="57" t="s">
        <v>2582</v>
      </c>
      <c r="E1364" s="57" t="s">
        <v>2860</v>
      </c>
      <c r="F1364" s="58" t="s">
        <v>4760</v>
      </c>
      <c r="G1364" s="57">
        <v>6</v>
      </c>
      <c r="H1364" s="57" t="s">
        <v>2557</v>
      </c>
      <c r="I1364" s="58">
        <v>69056</v>
      </c>
      <c r="J1364" s="234" t="s">
        <v>4761</v>
      </c>
      <c r="K1364" s="58">
        <v>143.44999999999999</v>
      </c>
      <c r="L1364" s="58">
        <v>0</v>
      </c>
      <c r="M1364" s="58">
        <v>0</v>
      </c>
      <c r="N1364" s="58">
        <v>7.1762100000000002</v>
      </c>
      <c r="O1364" s="224">
        <f t="shared" si="10"/>
        <v>143.44999999999999</v>
      </c>
      <c r="P1364" s="227">
        <f t="shared" si="11"/>
        <v>19.989660280287225</v>
      </c>
    </row>
    <row r="1365" spans="1:16" ht="14.25">
      <c r="A1365" s="224">
        <v>1364</v>
      </c>
      <c r="B1365" s="58">
        <v>25732</v>
      </c>
      <c r="C1365" s="57" t="s">
        <v>4686</v>
      </c>
      <c r="D1365" s="57" t="s">
        <v>2582</v>
      </c>
      <c r="E1365" s="57" t="s">
        <v>9</v>
      </c>
      <c r="F1365" s="58" t="s">
        <v>4762</v>
      </c>
      <c r="G1365" s="57">
        <v>6</v>
      </c>
      <c r="H1365" s="57" t="s">
        <v>2557</v>
      </c>
      <c r="I1365" s="58">
        <v>69032</v>
      </c>
      <c r="J1365" s="234" t="s">
        <v>542</v>
      </c>
      <c r="K1365" s="58">
        <v>0.14000000000000001</v>
      </c>
      <c r="L1365" s="58">
        <v>0.14000000000000001</v>
      </c>
      <c r="M1365" s="58">
        <v>0</v>
      </c>
      <c r="N1365" s="58">
        <v>7.1822400000000002</v>
      </c>
      <c r="O1365" s="224">
        <f t="shared" si="10"/>
        <v>0</v>
      </c>
      <c r="P1365" s="227">
        <f t="shared" si="11"/>
        <v>0</v>
      </c>
    </row>
    <row r="1366" spans="1:16" ht="14.25">
      <c r="A1366" s="224">
        <v>1365</v>
      </c>
      <c r="B1366" s="58">
        <v>3324</v>
      </c>
      <c r="C1366" s="57" t="s">
        <v>2784</v>
      </c>
      <c r="D1366" s="57" t="s">
        <v>45</v>
      </c>
      <c r="E1366" s="57" t="s">
        <v>2860</v>
      </c>
      <c r="F1366" s="58" t="s">
        <v>4763</v>
      </c>
      <c r="G1366" s="57">
        <v>6</v>
      </c>
      <c r="H1366" s="57" t="s">
        <v>2557</v>
      </c>
      <c r="I1366" s="58">
        <v>68456</v>
      </c>
      <c r="J1366" s="234" t="s">
        <v>4764</v>
      </c>
      <c r="K1366" s="58">
        <v>2.99</v>
      </c>
      <c r="L1366" s="58">
        <v>0</v>
      </c>
      <c r="M1366" s="58">
        <v>0</v>
      </c>
      <c r="N1366" s="58">
        <v>1</v>
      </c>
      <c r="O1366" s="224">
        <f t="shared" si="10"/>
        <v>2.99</v>
      </c>
      <c r="P1366" s="227">
        <f t="shared" si="11"/>
        <v>2.99</v>
      </c>
    </row>
    <row r="1367" spans="1:16" ht="14.25">
      <c r="A1367" s="224">
        <v>1366</v>
      </c>
      <c r="B1367" s="58">
        <v>25163</v>
      </c>
      <c r="C1367" s="57" t="s">
        <v>4531</v>
      </c>
      <c r="D1367" s="57" t="s">
        <v>45</v>
      </c>
      <c r="E1367" s="57" t="s">
        <v>2860</v>
      </c>
      <c r="F1367" s="58" t="s">
        <v>4765</v>
      </c>
      <c r="G1367" s="57">
        <v>6</v>
      </c>
      <c r="H1367" s="57" t="s">
        <v>2557</v>
      </c>
      <c r="I1367" s="58">
        <v>69080</v>
      </c>
      <c r="J1367" s="234" t="s">
        <v>4766</v>
      </c>
      <c r="K1367" s="58">
        <v>17.09</v>
      </c>
      <c r="L1367" s="58">
        <v>0</v>
      </c>
      <c r="M1367" s="58">
        <v>0</v>
      </c>
      <c r="N1367" s="58">
        <v>1</v>
      </c>
      <c r="O1367" s="224">
        <f t="shared" si="10"/>
        <v>17.09</v>
      </c>
      <c r="P1367" s="227">
        <f t="shared" si="11"/>
        <v>17.09</v>
      </c>
    </row>
    <row r="1368" spans="1:16" ht="14.25">
      <c r="A1368" s="224">
        <v>1367</v>
      </c>
      <c r="B1368" s="58">
        <v>22069</v>
      </c>
      <c r="C1368" s="57" t="s">
        <v>3839</v>
      </c>
      <c r="D1368" s="57" t="s">
        <v>2582</v>
      </c>
      <c r="E1368" s="57" t="s">
        <v>2860</v>
      </c>
      <c r="F1368" s="58" t="s">
        <v>4767</v>
      </c>
      <c r="G1368" s="57">
        <v>6</v>
      </c>
      <c r="H1368" s="57" t="s">
        <v>2557</v>
      </c>
      <c r="I1368" s="58">
        <v>67196</v>
      </c>
      <c r="J1368" s="234" t="s">
        <v>4768</v>
      </c>
      <c r="K1368" s="58">
        <v>40.869999999999997</v>
      </c>
      <c r="L1368" s="58">
        <v>0</v>
      </c>
      <c r="M1368" s="58">
        <v>0</v>
      </c>
      <c r="N1368" s="58">
        <v>7.1822400000000002</v>
      </c>
      <c r="O1368" s="224">
        <f t="shared" si="10"/>
        <v>40.869999999999997</v>
      </c>
      <c r="P1368" s="227">
        <f t="shared" si="11"/>
        <v>5.6904252712245755</v>
      </c>
    </row>
    <row r="1369" spans="1:16" ht="14.25">
      <c r="A1369" s="224">
        <v>1368</v>
      </c>
      <c r="B1369" s="58">
        <v>24205</v>
      </c>
      <c r="C1369" s="57" t="s">
        <v>4159</v>
      </c>
      <c r="D1369" s="57" t="s">
        <v>45</v>
      </c>
      <c r="E1369" s="57" t="s">
        <v>2860</v>
      </c>
      <c r="F1369" s="58" t="s">
        <v>4769</v>
      </c>
      <c r="G1369" s="57">
        <v>6</v>
      </c>
      <c r="H1369" s="57" t="s">
        <v>2557</v>
      </c>
      <c r="I1369" s="58">
        <v>66428</v>
      </c>
      <c r="J1369" s="234" t="s">
        <v>4770</v>
      </c>
      <c r="K1369" s="58">
        <v>11.69</v>
      </c>
      <c r="L1369" s="58">
        <v>0</v>
      </c>
      <c r="M1369" s="58">
        <v>0</v>
      </c>
      <c r="N1369" s="58">
        <v>1</v>
      </c>
      <c r="O1369" s="224">
        <f t="shared" si="10"/>
        <v>11.69</v>
      </c>
      <c r="P1369" s="227">
        <f t="shared" si="11"/>
        <v>11.69</v>
      </c>
    </row>
    <row r="1370" spans="1:16" ht="14.25">
      <c r="A1370" s="224">
        <v>1369</v>
      </c>
      <c r="B1370" s="58">
        <v>24062</v>
      </c>
      <c r="C1370" s="57" t="s">
        <v>4122</v>
      </c>
      <c r="D1370" s="57" t="s">
        <v>2582</v>
      </c>
      <c r="E1370" s="57" t="s">
        <v>2860</v>
      </c>
      <c r="F1370" s="58" t="s">
        <v>4771</v>
      </c>
      <c r="G1370" s="57">
        <v>6</v>
      </c>
      <c r="H1370" s="57" t="s">
        <v>2557</v>
      </c>
      <c r="I1370" s="58">
        <v>65600</v>
      </c>
      <c r="J1370" s="234"/>
      <c r="K1370" s="58">
        <v>0.01</v>
      </c>
      <c r="L1370" s="58">
        <v>0</v>
      </c>
      <c r="M1370" s="58">
        <v>0</v>
      </c>
      <c r="N1370" s="58">
        <v>7.1822400000000002</v>
      </c>
      <c r="O1370" s="224">
        <f t="shared" si="10"/>
        <v>0.01</v>
      </c>
      <c r="P1370" s="227">
        <f t="shared" si="11"/>
        <v>1.3923232863284991E-3</v>
      </c>
    </row>
    <row r="1371" spans="1:16" ht="14.25">
      <c r="A1371" s="224">
        <v>1370</v>
      </c>
      <c r="B1371" s="58">
        <v>25736</v>
      </c>
      <c r="C1371" s="57" t="s">
        <v>4691</v>
      </c>
      <c r="D1371" s="57" t="s">
        <v>45</v>
      </c>
      <c r="E1371" s="57" t="s">
        <v>4772</v>
      </c>
      <c r="F1371" s="58" t="s">
        <v>4773</v>
      </c>
      <c r="G1371" s="57">
        <v>6</v>
      </c>
      <c r="H1371" s="57" t="s">
        <v>2557</v>
      </c>
      <c r="I1371" s="58">
        <v>69608</v>
      </c>
      <c r="J1371" s="234" t="s">
        <v>1133</v>
      </c>
      <c r="K1371" s="58">
        <v>18.39</v>
      </c>
      <c r="L1371" s="58">
        <v>0.54</v>
      </c>
      <c r="M1371" s="58">
        <v>0</v>
      </c>
      <c r="N1371" s="58">
        <v>1</v>
      </c>
      <c r="O1371" s="224">
        <f t="shared" si="10"/>
        <v>17.850000000000001</v>
      </c>
      <c r="P1371" s="227">
        <f t="shared" si="11"/>
        <v>17.850000000000001</v>
      </c>
    </row>
    <row r="1372" spans="1:16" ht="14.25">
      <c r="A1372" s="224">
        <v>1371</v>
      </c>
      <c r="B1372" s="58">
        <v>22134</v>
      </c>
      <c r="C1372" s="57" t="s">
        <v>3866</v>
      </c>
      <c r="D1372" s="57" t="s">
        <v>2582</v>
      </c>
      <c r="E1372" s="57" t="s">
        <v>2860</v>
      </c>
      <c r="F1372" s="58" t="s">
        <v>4774</v>
      </c>
      <c r="G1372" s="57">
        <v>6</v>
      </c>
      <c r="H1372" s="57" t="s">
        <v>2557</v>
      </c>
      <c r="I1372" s="58">
        <v>67520</v>
      </c>
      <c r="J1372" s="234" t="s">
        <v>4775</v>
      </c>
      <c r="K1372" s="58">
        <v>145.87</v>
      </c>
      <c r="L1372" s="58">
        <v>0</v>
      </c>
      <c r="M1372" s="58">
        <v>0</v>
      </c>
      <c r="N1372" s="58">
        <v>7.1822400000000002</v>
      </c>
      <c r="O1372" s="224">
        <f t="shared" si="10"/>
        <v>145.87</v>
      </c>
      <c r="P1372" s="227">
        <f t="shared" si="11"/>
        <v>20.309819777673816</v>
      </c>
    </row>
    <row r="1373" spans="1:16" ht="14.25">
      <c r="A1373" s="224">
        <v>1372</v>
      </c>
      <c r="B1373" s="58">
        <v>22134</v>
      </c>
      <c r="C1373" s="57" t="s">
        <v>3866</v>
      </c>
      <c r="D1373" s="57" t="s">
        <v>2582</v>
      </c>
      <c r="E1373" s="57" t="s">
        <v>2860</v>
      </c>
      <c r="F1373" s="58" t="s">
        <v>4776</v>
      </c>
      <c r="G1373" s="57">
        <v>6</v>
      </c>
      <c r="H1373" s="57" t="s">
        <v>2557</v>
      </c>
      <c r="I1373" s="58">
        <v>67520</v>
      </c>
      <c r="J1373" s="234"/>
      <c r="K1373" s="58">
        <v>0.01</v>
      </c>
      <c r="L1373" s="58">
        <v>0</v>
      </c>
      <c r="M1373" s="58">
        <v>0</v>
      </c>
      <c r="N1373" s="58">
        <v>7.1822400000000002</v>
      </c>
      <c r="O1373" s="224">
        <f t="shared" si="10"/>
        <v>0.01</v>
      </c>
      <c r="P1373" s="227">
        <f t="shared" si="11"/>
        <v>1.3923232863284991E-3</v>
      </c>
    </row>
    <row r="1374" spans="1:16" ht="14.25">
      <c r="A1374" s="224">
        <v>1373</v>
      </c>
      <c r="B1374" s="58">
        <v>6774</v>
      </c>
      <c r="C1374" s="57" t="s">
        <v>2614</v>
      </c>
      <c r="D1374" s="57" t="s">
        <v>45</v>
      </c>
      <c r="E1374" s="57" t="s">
        <v>2860</v>
      </c>
      <c r="F1374" s="58" t="s">
        <v>4777</v>
      </c>
      <c r="G1374" s="57">
        <v>6</v>
      </c>
      <c r="H1374" s="57" t="s">
        <v>2557</v>
      </c>
      <c r="I1374" s="58">
        <v>68564</v>
      </c>
      <c r="J1374" s="234" t="s">
        <v>4778</v>
      </c>
      <c r="K1374" s="58">
        <v>2.99</v>
      </c>
      <c r="L1374" s="58">
        <v>0</v>
      </c>
      <c r="M1374" s="58">
        <v>0</v>
      </c>
      <c r="N1374" s="58">
        <v>1</v>
      </c>
      <c r="O1374" s="224">
        <f t="shared" si="10"/>
        <v>2.99</v>
      </c>
      <c r="P1374" s="227">
        <f t="shared" si="11"/>
        <v>2.99</v>
      </c>
    </row>
    <row r="1375" spans="1:16" ht="14.25">
      <c r="A1375" s="224">
        <v>1374</v>
      </c>
      <c r="B1375" s="58">
        <v>26213</v>
      </c>
      <c r="C1375" s="57" t="s">
        <v>4779</v>
      </c>
      <c r="D1375" s="57" t="s">
        <v>45</v>
      </c>
      <c r="E1375" s="57" t="s">
        <v>4772</v>
      </c>
      <c r="F1375" s="58" t="s">
        <v>4780</v>
      </c>
      <c r="G1375" s="57">
        <v>6</v>
      </c>
      <c r="H1375" s="57" t="s">
        <v>2557</v>
      </c>
      <c r="I1375" s="58">
        <v>69620</v>
      </c>
      <c r="J1375" s="234" t="s">
        <v>1129</v>
      </c>
      <c r="K1375" s="58">
        <v>14.39</v>
      </c>
      <c r="L1375" s="58">
        <v>0.42</v>
      </c>
      <c r="M1375" s="58">
        <v>0</v>
      </c>
      <c r="N1375" s="58">
        <v>1</v>
      </c>
      <c r="O1375" s="224">
        <f t="shared" si="10"/>
        <v>13.97</v>
      </c>
      <c r="P1375" s="227">
        <f t="shared" si="11"/>
        <v>13.97</v>
      </c>
    </row>
    <row r="1376" spans="1:16" ht="14.25">
      <c r="A1376" s="224">
        <v>1375</v>
      </c>
      <c r="B1376" s="58">
        <v>26215</v>
      </c>
      <c r="C1376" s="57" t="s">
        <v>4781</v>
      </c>
      <c r="D1376" s="57" t="s">
        <v>45</v>
      </c>
      <c r="E1376" s="57" t="s">
        <v>4772</v>
      </c>
      <c r="F1376" s="58" t="s">
        <v>4782</v>
      </c>
      <c r="G1376" s="57">
        <v>6</v>
      </c>
      <c r="H1376" s="57" t="s">
        <v>2557</v>
      </c>
      <c r="I1376" s="58">
        <v>69644</v>
      </c>
      <c r="J1376" s="234" t="s">
        <v>1123</v>
      </c>
      <c r="K1376" s="58">
        <v>13.99</v>
      </c>
      <c r="L1376" s="58">
        <v>0.41</v>
      </c>
      <c r="M1376" s="58">
        <v>0</v>
      </c>
      <c r="N1376" s="58">
        <v>1</v>
      </c>
      <c r="O1376" s="224">
        <f t="shared" si="10"/>
        <v>13.58</v>
      </c>
      <c r="P1376" s="227">
        <f t="shared" si="11"/>
        <v>13.58</v>
      </c>
    </row>
    <row r="1377" spans="1:16" ht="14.25">
      <c r="A1377" s="224">
        <v>1376</v>
      </c>
      <c r="B1377" s="58">
        <v>1836</v>
      </c>
      <c r="C1377" s="57" t="s">
        <v>2882</v>
      </c>
      <c r="D1377" s="57" t="s">
        <v>2582</v>
      </c>
      <c r="E1377" s="57" t="s">
        <v>2860</v>
      </c>
      <c r="F1377" s="58" t="s">
        <v>4783</v>
      </c>
      <c r="G1377" s="57">
        <v>6</v>
      </c>
      <c r="H1377" s="57" t="s">
        <v>2557</v>
      </c>
      <c r="I1377" s="58">
        <v>69536</v>
      </c>
      <c r="J1377" s="234" t="s">
        <v>4784</v>
      </c>
      <c r="K1377" s="58">
        <v>69.67</v>
      </c>
      <c r="L1377" s="58">
        <v>0</v>
      </c>
      <c r="M1377" s="58">
        <v>0</v>
      </c>
      <c r="N1377" s="58">
        <v>7.1822400000000002</v>
      </c>
      <c r="O1377" s="224">
        <f t="shared" si="10"/>
        <v>69.67</v>
      </c>
      <c r="P1377" s="227">
        <f t="shared" si="11"/>
        <v>9.700316335850653</v>
      </c>
    </row>
    <row r="1378" spans="1:16" ht="14.25">
      <c r="A1378" s="224">
        <v>1377</v>
      </c>
      <c r="B1378" s="58">
        <v>351</v>
      </c>
      <c r="C1378" s="57" t="s">
        <v>2707</v>
      </c>
      <c r="D1378" s="57" t="s">
        <v>45</v>
      </c>
      <c r="E1378" s="57" t="s">
        <v>9</v>
      </c>
      <c r="F1378" s="58" t="s">
        <v>4785</v>
      </c>
      <c r="G1378" s="57">
        <v>6</v>
      </c>
      <c r="H1378" s="57" t="s">
        <v>2557</v>
      </c>
      <c r="I1378" s="58">
        <v>64208</v>
      </c>
      <c r="J1378" s="234" t="s">
        <v>546</v>
      </c>
      <c r="K1378" s="58">
        <v>1.0900000000000001</v>
      </c>
      <c r="L1378" s="58">
        <v>0.54</v>
      </c>
      <c r="M1378" s="58">
        <v>0</v>
      </c>
      <c r="N1378" s="58">
        <v>1</v>
      </c>
      <c r="O1378" s="224">
        <f t="shared" si="10"/>
        <v>0.55000000000000004</v>
      </c>
      <c r="P1378" s="227">
        <f t="shared" si="11"/>
        <v>0.55000000000000004</v>
      </c>
    </row>
    <row r="1379" spans="1:16" ht="14.25">
      <c r="A1379" s="224">
        <v>1378</v>
      </c>
      <c r="B1379" s="58">
        <v>26237</v>
      </c>
      <c r="C1379" s="57" t="s">
        <v>4786</v>
      </c>
      <c r="D1379" s="57" t="s">
        <v>45</v>
      </c>
      <c r="E1379" s="57" t="s">
        <v>4772</v>
      </c>
      <c r="F1379" s="58" t="s">
        <v>4787</v>
      </c>
      <c r="G1379" s="57">
        <v>6</v>
      </c>
      <c r="H1379" s="57" t="s">
        <v>2557</v>
      </c>
      <c r="I1379" s="58">
        <v>69836</v>
      </c>
      <c r="J1379" s="234" t="s">
        <v>1144</v>
      </c>
      <c r="K1379" s="58">
        <v>56.79</v>
      </c>
      <c r="L1379" s="58">
        <v>1.65</v>
      </c>
      <c r="M1379" s="58">
        <v>0</v>
      </c>
      <c r="N1379" s="58">
        <v>1</v>
      </c>
      <c r="O1379" s="224">
        <f t="shared" si="10"/>
        <v>55.14</v>
      </c>
      <c r="P1379" s="227">
        <f t="shared" si="11"/>
        <v>55.14</v>
      </c>
    </row>
    <row r="1380" spans="1:16" ht="14.25">
      <c r="A1380" s="224">
        <v>1379</v>
      </c>
      <c r="B1380" s="58">
        <v>25604</v>
      </c>
      <c r="C1380" s="57" t="s">
        <v>4667</v>
      </c>
      <c r="D1380" s="57" t="s">
        <v>45</v>
      </c>
      <c r="E1380" s="57" t="s">
        <v>4772</v>
      </c>
      <c r="F1380" s="58" t="s">
        <v>4788</v>
      </c>
      <c r="G1380" s="57">
        <v>6</v>
      </c>
      <c r="H1380" s="57" t="s">
        <v>2557</v>
      </c>
      <c r="I1380" s="58">
        <v>69848</v>
      </c>
      <c r="J1380" s="234" t="s">
        <v>1141</v>
      </c>
      <c r="K1380" s="58">
        <v>7.99</v>
      </c>
      <c r="L1380" s="58">
        <v>0.24</v>
      </c>
      <c r="M1380" s="58">
        <v>0</v>
      </c>
      <c r="N1380" s="58">
        <v>1</v>
      </c>
      <c r="O1380" s="224">
        <f t="shared" si="10"/>
        <v>7.75</v>
      </c>
      <c r="P1380" s="227">
        <f t="shared" si="11"/>
        <v>7.75</v>
      </c>
    </row>
    <row r="1381" spans="1:16" ht="14.25">
      <c r="A1381" s="224">
        <v>1380</v>
      </c>
      <c r="B1381" s="58">
        <v>19303</v>
      </c>
      <c r="C1381" s="57" t="s">
        <v>4789</v>
      </c>
      <c r="D1381" s="57" t="s">
        <v>2582</v>
      </c>
      <c r="E1381" s="57" t="s">
        <v>4772</v>
      </c>
      <c r="F1381" s="58" t="s">
        <v>4790</v>
      </c>
      <c r="G1381" s="57">
        <v>6</v>
      </c>
      <c r="H1381" s="57" t="s">
        <v>2557</v>
      </c>
      <c r="I1381" s="58">
        <v>69860</v>
      </c>
      <c r="J1381" s="234" t="s">
        <v>1137</v>
      </c>
      <c r="K1381" s="58">
        <v>206.81</v>
      </c>
      <c r="L1381" s="58">
        <v>0.84</v>
      </c>
      <c r="M1381" s="58">
        <v>0</v>
      </c>
      <c r="N1381" s="58">
        <v>7.1822400000000002</v>
      </c>
      <c r="O1381" s="224">
        <f t="shared" si="10"/>
        <v>205.97</v>
      </c>
      <c r="P1381" s="227">
        <f t="shared" si="11"/>
        <v>28.677682728508096</v>
      </c>
    </row>
    <row r="1382" spans="1:16" ht="14.25">
      <c r="A1382" s="224">
        <v>1381</v>
      </c>
      <c r="B1382" s="58">
        <v>25163</v>
      </c>
      <c r="C1382" s="57" t="s">
        <v>4531</v>
      </c>
      <c r="D1382" s="57" t="s">
        <v>45</v>
      </c>
      <c r="E1382" s="57" t="s">
        <v>4772</v>
      </c>
      <c r="F1382" s="58" t="s">
        <v>4791</v>
      </c>
      <c r="G1382" s="57">
        <v>6</v>
      </c>
      <c r="H1382" s="57" t="s">
        <v>2557</v>
      </c>
      <c r="I1382" s="58">
        <v>70124</v>
      </c>
      <c r="J1382" s="234" t="s">
        <v>1158</v>
      </c>
      <c r="K1382" s="58">
        <v>5.99</v>
      </c>
      <c r="L1382" s="58">
        <v>0.18</v>
      </c>
      <c r="M1382" s="58">
        <v>0</v>
      </c>
      <c r="N1382" s="58">
        <v>1</v>
      </c>
      <c r="O1382" s="224">
        <f t="shared" si="10"/>
        <v>5.8100000000000005</v>
      </c>
      <c r="P1382" s="227">
        <f t="shared" si="11"/>
        <v>5.8100000000000005</v>
      </c>
    </row>
    <row r="1383" spans="1:16" ht="14.25">
      <c r="A1383" s="224">
        <v>1382</v>
      </c>
      <c r="B1383" s="58">
        <v>6529</v>
      </c>
      <c r="C1383" s="57" t="s">
        <v>2566</v>
      </c>
      <c r="D1383" s="57" t="s">
        <v>45</v>
      </c>
      <c r="E1383" s="57" t="s">
        <v>2860</v>
      </c>
      <c r="F1383" s="58" t="s">
        <v>4792</v>
      </c>
      <c r="G1383" s="57">
        <v>6</v>
      </c>
      <c r="H1383" s="57" t="s">
        <v>2557</v>
      </c>
      <c r="I1383" s="58">
        <v>67820</v>
      </c>
      <c r="J1383" s="234" t="s">
        <v>4793</v>
      </c>
      <c r="K1383" s="58">
        <v>8.99</v>
      </c>
      <c r="L1383" s="58">
        <v>0</v>
      </c>
      <c r="M1383" s="58">
        <v>0</v>
      </c>
      <c r="N1383" s="58">
        <v>1</v>
      </c>
      <c r="O1383" s="224">
        <f t="shared" si="10"/>
        <v>8.99</v>
      </c>
      <c r="P1383" s="227">
        <f t="shared" si="11"/>
        <v>8.99</v>
      </c>
    </row>
    <row r="1384" spans="1:16" ht="14.25">
      <c r="A1384" s="224">
        <v>1383</v>
      </c>
      <c r="B1384" s="58">
        <v>19889</v>
      </c>
      <c r="C1384" s="57" t="s">
        <v>3227</v>
      </c>
      <c r="D1384" s="57" t="s">
        <v>45</v>
      </c>
      <c r="E1384" s="57" t="s">
        <v>2860</v>
      </c>
      <c r="F1384" s="58" t="s">
        <v>4794</v>
      </c>
      <c r="G1384" s="57">
        <v>6</v>
      </c>
      <c r="H1384" s="57" t="s">
        <v>2557</v>
      </c>
      <c r="I1384" s="58">
        <v>67832</v>
      </c>
      <c r="J1384" s="234" t="s">
        <v>4795</v>
      </c>
      <c r="K1384" s="58">
        <v>6.29</v>
      </c>
      <c r="L1384" s="58">
        <v>0</v>
      </c>
      <c r="M1384" s="58">
        <v>0</v>
      </c>
      <c r="N1384" s="58">
        <v>1</v>
      </c>
      <c r="O1384" s="224">
        <f t="shared" si="10"/>
        <v>6.29</v>
      </c>
      <c r="P1384" s="227">
        <f t="shared" si="11"/>
        <v>6.29</v>
      </c>
    </row>
    <row r="1385" spans="1:16" ht="14.25">
      <c r="A1385" s="224">
        <v>1384</v>
      </c>
      <c r="B1385" s="58">
        <v>26388</v>
      </c>
      <c r="C1385" s="57" t="s">
        <v>4796</v>
      </c>
      <c r="D1385" s="57" t="s">
        <v>45</v>
      </c>
      <c r="E1385" s="57" t="s">
        <v>4772</v>
      </c>
      <c r="F1385" s="58" t="s">
        <v>4797</v>
      </c>
      <c r="G1385" s="57">
        <v>6</v>
      </c>
      <c r="H1385" s="57" t="s">
        <v>2557</v>
      </c>
      <c r="I1385" s="58">
        <v>70148</v>
      </c>
      <c r="J1385" s="234" t="s">
        <v>1155</v>
      </c>
      <c r="K1385" s="58">
        <v>3.19</v>
      </c>
      <c r="L1385" s="58">
        <v>0.1</v>
      </c>
      <c r="M1385" s="58">
        <v>0</v>
      </c>
      <c r="N1385" s="58">
        <v>1</v>
      </c>
      <c r="O1385" s="224">
        <f t="shared" si="10"/>
        <v>3.09</v>
      </c>
      <c r="P1385" s="227">
        <f t="shared" si="11"/>
        <v>3.09</v>
      </c>
    </row>
    <row r="1386" spans="1:16" ht="14.25">
      <c r="A1386" s="224">
        <v>1385</v>
      </c>
      <c r="B1386" s="58">
        <v>25977</v>
      </c>
      <c r="C1386" s="57" t="s">
        <v>4798</v>
      </c>
      <c r="D1386" s="57" t="s">
        <v>2582</v>
      </c>
      <c r="E1386" s="57" t="s">
        <v>4772</v>
      </c>
      <c r="F1386" s="58" t="s">
        <v>4799</v>
      </c>
      <c r="G1386" s="57">
        <v>6</v>
      </c>
      <c r="H1386" s="57" t="s">
        <v>2557</v>
      </c>
      <c r="I1386" s="58">
        <v>70172</v>
      </c>
      <c r="J1386" s="234" t="s">
        <v>1151</v>
      </c>
      <c r="K1386" s="58">
        <v>145.4</v>
      </c>
      <c r="L1386" s="58">
        <v>0.59</v>
      </c>
      <c r="M1386" s="58">
        <v>0</v>
      </c>
      <c r="N1386" s="58">
        <v>7.1800600000000001</v>
      </c>
      <c r="O1386" s="224">
        <f t="shared" si="10"/>
        <v>144.81</v>
      </c>
      <c r="P1386" s="227">
        <f t="shared" si="11"/>
        <v>20.168355139093546</v>
      </c>
    </row>
    <row r="1387" spans="1:16" ht="14.25">
      <c r="A1387" s="224">
        <v>1386</v>
      </c>
      <c r="B1387" s="58">
        <v>19040</v>
      </c>
      <c r="C1387" s="57" t="s">
        <v>3084</v>
      </c>
      <c r="D1387" s="57" t="s">
        <v>45</v>
      </c>
      <c r="E1387" s="57" t="s">
        <v>4772</v>
      </c>
      <c r="F1387" s="58" t="s">
        <v>4800</v>
      </c>
      <c r="G1387" s="57">
        <v>6</v>
      </c>
      <c r="H1387" s="57" t="s">
        <v>2557</v>
      </c>
      <c r="I1387" s="58">
        <v>70593</v>
      </c>
      <c r="J1387" s="234" t="s">
        <v>1168</v>
      </c>
      <c r="K1387" s="58">
        <v>1</v>
      </c>
      <c r="L1387" s="58">
        <v>0</v>
      </c>
      <c r="M1387" s="58">
        <v>0</v>
      </c>
      <c r="N1387" s="58">
        <v>1</v>
      </c>
      <c r="O1387" s="224">
        <f t="shared" si="10"/>
        <v>1</v>
      </c>
      <c r="P1387" s="227">
        <f t="shared" si="11"/>
        <v>1</v>
      </c>
    </row>
    <row r="1388" spans="1:16" ht="14.25">
      <c r="A1388" s="224">
        <v>1387</v>
      </c>
      <c r="B1388" s="58">
        <v>26458</v>
      </c>
      <c r="C1388" s="57" t="s">
        <v>4801</v>
      </c>
      <c r="D1388" s="57" t="s">
        <v>45</v>
      </c>
      <c r="E1388" s="57" t="s">
        <v>4772</v>
      </c>
      <c r="F1388" s="58" t="s">
        <v>4802</v>
      </c>
      <c r="G1388" s="57">
        <v>6</v>
      </c>
      <c r="H1388" s="57" t="s">
        <v>2557</v>
      </c>
      <c r="I1388" s="58">
        <v>70196</v>
      </c>
      <c r="J1388" s="234" t="s">
        <v>1147</v>
      </c>
      <c r="K1388" s="58">
        <v>165.59</v>
      </c>
      <c r="L1388" s="58">
        <v>4.8099999999999996</v>
      </c>
      <c r="M1388" s="58">
        <v>0</v>
      </c>
      <c r="N1388" s="58">
        <v>1</v>
      </c>
      <c r="O1388" s="224">
        <f t="shared" si="10"/>
        <v>160.78</v>
      </c>
      <c r="P1388" s="227">
        <f t="shared" si="11"/>
        <v>160.78</v>
      </c>
    </row>
    <row r="1389" spans="1:16" ht="14.25">
      <c r="A1389" s="224">
        <v>1388</v>
      </c>
      <c r="B1389" s="58">
        <v>24452</v>
      </c>
      <c r="C1389" s="57" t="s">
        <v>4204</v>
      </c>
      <c r="D1389" s="57" t="s">
        <v>45</v>
      </c>
      <c r="E1389" s="57" t="s">
        <v>4772</v>
      </c>
      <c r="F1389" s="58" t="s">
        <v>4803</v>
      </c>
      <c r="G1389" s="57">
        <v>6</v>
      </c>
      <c r="H1389" s="57" t="s">
        <v>2557</v>
      </c>
      <c r="I1389" s="58">
        <v>70328</v>
      </c>
      <c r="J1389" s="234" t="s">
        <v>1203</v>
      </c>
      <c r="K1389" s="58">
        <v>3.99</v>
      </c>
      <c r="L1389" s="58">
        <v>0.12</v>
      </c>
      <c r="M1389" s="58">
        <v>0</v>
      </c>
      <c r="N1389" s="58">
        <v>1</v>
      </c>
      <c r="O1389" s="224">
        <f t="shared" si="10"/>
        <v>3.87</v>
      </c>
      <c r="P1389" s="227">
        <f t="shared" si="11"/>
        <v>3.87</v>
      </c>
    </row>
    <row r="1390" spans="1:16" ht="14.25">
      <c r="A1390" s="224">
        <v>1389</v>
      </c>
      <c r="B1390" s="58">
        <v>19044</v>
      </c>
      <c r="C1390" s="57" t="s">
        <v>3089</v>
      </c>
      <c r="D1390" s="57" t="s">
        <v>45</v>
      </c>
      <c r="E1390" s="57" t="s">
        <v>2860</v>
      </c>
      <c r="F1390" s="58" t="s">
        <v>4804</v>
      </c>
      <c r="G1390" s="57">
        <v>6</v>
      </c>
      <c r="H1390" s="57" t="s">
        <v>2557</v>
      </c>
      <c r="I1390" s="58">
        <v>70268</v>
      </c>
      <c r="J1390" s="234" t="s">
        <v>4805</v>
      </c>
      <c r="K1390" s="58">
        <v>1.79</v>
      </c>
      <c r="L1390" s="58">
        <v>0</v>
      </c>
      <c r="M1390" s="58">
        <v>0</v>
      </c>
      <c r="N1390" s="58">
        <v>1</v>
      </c>
      <c r="O1390" s="224">
        <f t="shared" si="10"/>
        <v>1.79</v>
      </c>
      <c r="P1390" s="227">
        <f t="shared" si="11"/>
        <v>1.79</v>
      </c>
    </row>
    <row r="1391" spans="1:16" ht="14.25">
      <c r="A1391" s="224">
        <v>1390</v>
      </c>
      <c r="B1391" s="58">
        <v>26513</v>
      </c>
      <c r="C1391" s="57" t="s">
        <v>4806</v>
      </c>
      <c r="D1391" s="57" t="s">
        <v>2582</v>
      </c>
      <c r="E1391" s="57" t="s">
        <v>4772</v>
      </c>
      <c r="F1391" s="58" t="s">
        <v>4807</v>
      </c>
      <c r="G1391" s="57">
        <v>6</v>
      </c>
      <c r="H1391" s="57" t="s">
        <v>2557</v>
      </c>
      <c r="I1391" s="58">
        <v>70340</v>
      </c>
      <c r="J1391" s="234" t="s">
        <v>1196</v>
      </c>
      <c r="K1391" s="58">
        <v>28.66</v>
      </c>
      <c r="L1391" s="58">
        <v>0.12</v>
      </c>
      <c r="M1391" s="58">
        <v>0</v>
      </c>
      <c r="N1391" s="58">
        <v>7.18283</v>
      </c>
      <c r="O1391" s="224">
        <f t="shared" si="10"/>
        <v>28.54</v>
      </c>
      <c r="P1391" s="227">
        <f t="shared" si="11"/>
        <v>3.9733642589341525</v>
      </c>
    </row>
    <row r="1392" spans="1:16" ht="14.25">
      <c r="A1392" s="224">
        <v>1391</v>
      </c>
      <c r="B1392" s="58">
        <v>26470</v>
      </c>
      <c r="C1392" s="57" t="s">
        <v>4808</v>
      </c>
      <c r="D1392" s="57" t="s">
        <v>45</v>
      </c>
      <c r="E1392" s="57" t="s">
        <v>4772</v>
      </c>
      <c r="F1392" s="58" t="s">
        <v>4809</v>
      </c>
      <c r="G1392" s="57">
        <v>6</v>
      </c>
      <c r="H1392" s="57" t="s">
        <v>2557</v>
      </c>
      <c r="I1392" s="58">
        <v>70208</v>
      </c>
      <c r="J1392" s="234" t="s">
        <v>1198</v>
      </c>
      <c r="K1392" s="58">
        <v>20.69</v>
      </c>
      <c r="L1392" s="58">
        <v>0.6</v>
      </c>
      <c r="M1392" s="58">
        <v>0</v>
      </c>
      <c r="N1392" s="58">
        <v>1</v>
      </c>
      <c r="O1392" s="224">
        <f t="shared" si="10"/>
        <v>20.09</v>
      </c>
      <c r="P1392" s="227">
        <f t="shared" si="11"/>
        <v>20.09</v>
      </c>
    </row>
    <row r="1393" spans="1:16" ht="14.25">
      <c r="A1393" s="224">
        <v>1392</v>
      </c>
      <c r="B1393" s="58">
        <v>26513</v>
      </c>
      <c r="C1393" s="57" t="s">
        <v>4806</v>
      </c>
      <c r="D1393" s="57" t="s">
        <v>2582</v>
      </c>
      <c r="E1393" s="57" t="s">
        <v>4772</v>
      </c>
      <c r="F1393" s="58" t="s">
        <v>4810</v>
      </c>
      <c r="G1393" s="57">
        <v>6</v>
      </c>
      <c r="H1393" s="57" t="s">
        <v>4811</v>
      </c>
      <c r="I1393" s="58">
        <v>70340</v>
      </c>
      <c r="J1393" s="234"/>
      <c r="K1393" s="58">
        <v>0</v>
      </c>
      <c r="L1393" s="58">
        <v>-0.12</v>
      </c>
      <c r="M1393" s="58">
        <v>28.66</v>
      </c>
      <c r="N1393" s="58">
        <v>7.18283</v>
      </c>
      <c r="O1393" s="224">
        <f t="shared" si="10"/>
        <v>-28.54</v>
      </c>
      <c r="P1393" s="227">
        <f t="shared" si="11"/>
        <v>-3.9733642589341525</v>
      </c>
    </row>
    <row r="1394" spans="1:16" ht="14.25">
      <c r="A1394" s="224">
        <v>1393</v>
      </c>
      <c r="B1394" s="58">
        <v>25019</v>
      </c>
      <c r="C1394" s="57" t="s">
        <v>4393</v>
      </c>
      <c r="D1394" s="57" t="s">
        <v>45</v>
      </c>
      <c r="E1394" s="57" t="s">
        <v>4772</v>
      </c>
      <c r="F1394" s="58" t="s">
        <v>4812</v>
      </c>
      <c r="G1394" s="57">
        <v>6</v>
      </c>
      <c r="H1394" s="57" t="s">
        <v>2557</v>
      </c>
      <c r="I1394" s="58">
        <v>70364</v>
      </c>
      <c r="J1394" s="234" t="s">
        <v>1190</v>
      </c>
      <c r="K1394" s="58">
        <v>14.39</v>
      </c>
      <c r="L1394" s="58">
        <v>0.42</v>
      </c>
      <c r="M1394" s="58">
        <v>0</v>
      </c>
      <c r="N1394" s="58">
        <v>1</v>
      </c>
      <c r="O1394" s="224">
        <f t="shared" si="10"/>
        <v>13.97</v>
      </c>
      <c r="P1394" s="227">
        <f t="shared" si="11"/>
        <v>13.97</v>
      </c>
    </row>
    <row r="1395" spans="1:16" ht="14.25">
      <c r="A1395" s="224">
        <v>1394</v>
      </c>
      <c r="B1395" s="58">
        <v>6361</v>
      </c>
      <c r="C1395" s="57" t="s">
        <v>3065</v>
      </c>
      <c r="D1395" s="57" t="s">
        <v>45</v>
      </c>
      <c r="E1395" s="57" t="s">
        <v>4772</v>
      </c>
      <c r="F1395" s="58" t="s">
        <v>4813</v>
      </c>
      <c r="G1395" s="57">
        <v>6</v>
      </c>
      <c r="H1395" s="57" t="s">
        <v>2557</v>
      </c>
      <c r="I1395" s="58">
        <v>70376</v>
      </c>
      <c r="J1395" s="234" t="s">
        <v>1186</v>
      </c>
      <c r="K1395" s="58">
        <v>14.39</v>
      </c>
      <c r="L1395" s="58">
        <v>0.42</v>
      </c>
      <c r="M1395" s="58">
        <v>0</v>
      </c>
      <c r="N1395" s="58">
        <v>1</v>
      </c>
      <c r="O1395" s="224">
        <f t="shared" si="10"/>
        <v>13.97</v>
      </c>
      <c r="P1395" s="227">
        <f t="shared" si="11"/>
        <v>13.97</v>
      </c>
    </row>
    <row r="1396" spans="1:16" ht="14.25">
      <c r="A1396" s="224">
        <v>1395</v>
      </c>
      <c r="B1396" s="58">
        <v>26539</v>
      </c>
      <c r="C1396" s="57" t="s">
        <v>4734</v>
      </c>
      <c r="D1396" s="57" t="s">
        <v>45</v>
      </c>
      <c r="E1396" s="57" t="s">
        <v>4772</v>
      </c>
      <c r="F1396" s="58" t="s">
        <v>4814</v>
      </c>
      <c r="G1396" s="57">
        <v>6</v>
      </c>
      <c r="H1396" s="57" t="s">
        <v>2557</v>
      </c>
      <c r="I1396" s="58">
        <v>70388</v>
      </c>
      <c r="J1396" s="234" t="s">
        <v>1183</v>
      </c>
      <c r="K1396" s="58">
        <v>2.39</v>
      </c>
      <c r="L1396" s="58">
        <v>7.0000000000000007E-2</v>
      </c>
      <c r="M1396" s="58">
        <v>0</v>
      </c>
      <c r="N1396" s="58">
        <v>1</v>
      </c>
      <c r="O1396" s="224">
        <f t="shared" si="10"/>
        <v>2.3200000000000003</v>
      </c>
      <c r="P1396" s="227">
        <f t="shared" si="11"/>
        <v>2.3200000000000003</v>
      </c>
    </row>
    <row r="1397" spans="1:16" ht="14.25">
      <c r="A1397" s="224">
        <v>1396</v>
      </c>
      <c r="B1397" s="58">
        <v>5079</v>
      </c>
      <c r="C1397" s="57" t="s">
        <v>2970</v>
      </c>
      <c r="D1397" s="57" t="s">
        <v>45</v>
      </c>
      <c r="E1397" s="57" t="s">
        <v>2860</v>
      </c>
      <c r="F1397" s="58" t="s">
        <v>4815</v>
      </c>
      <c r="G1397" s="57">
        <v>6</v>
      </c>
      <c r="H1397" s="57" t="s">
        <v>2557</v>
      </c>
      <c r="I1397" s="58">
        <v>70256</v>
      </c>
      <c r="J1397" s="234" t="s">
        <v>4816</v>
      </c>
      <c r="K1397" s="58">
        <v>3.59</v>
      </c>
      <c r="L1397" s="58">
        <v>0</v>
      </c>
      <c r="M1397" s="58">
        <v>0</v>
      </c>
      <c r="N1397" s="58">
        <v>1</v>
      </c>
      <c r="O1397" s="224">
        <f t="shared" si="10"/>
        <v>3.59</v>
      </c>
      <c r="P1397" s="227">
        <f t="shared" si="11"/>
        <v>3.59</v>
      </c>
    </row>
    <row r="1398" spans="1:16" ht="14.25">
      <c r="A1398" s="224">
        <v>1397</v>
      </c>
      <c r="B1398" s="58">
        <v>1045</v>
      </c>
      <c r="C1398" s="57" t="s">
        <v>4817</v>
      </c>
      <c r="D1398" s="57" t="s">
        <v>2582</v>
      </c>
      <c r="E1398" s="57" t="s">
        <v>4772</v>
      </c>
      <c r="F1398" s="58" t="s">
        <v>4818</v>
      </c>
      <c r="G1398" s="57">
        <v>6</v>
      </c>
      <c r="H1398" s="57" t="s">
        <v>2557</v>
      </c>
      <c r="I1398" s="58">
        <v>69104</v>
      </c>
      <c r="J1398" s="234" t="s">
        <v>1180</v>
      </c>
      <c r="K1398" s="58">
        <v>3000</v>
      </c>
      <c r="L1398" s="58">
        <v>12.12</v>
      </c>
      <c r="M1398" s="58">
        <v>0</v>
      </c>
      <c r="N1398" s="58">
        <v>7.18283</v>
      </c>
      <c r="O1398" s="224">
        <f t="shared" si="10"/>
        <v>2987.88</v>
      </c>
      <c r="P1398" s="227">
        <f t="shared" si="11"/>
        <v>415.97531892025847</v>
      </c>
    </row>
    <row r="1399" spans="1:16" ht="14.25">
      <c r="A1399" s="224">
        <v>1398</v>
      </c>
      <c r="B1399" s="58">
        <v>392</v>
      </c>
      <c r="C1399" s="57" t="s">
        <v>2876</v>
      </c>
      <c r="D1399" s="57" t="s">
        <v>2582</v>
      </c>
      <c r="E1399" s="57" t="s">
        <v>4772</v>
      </c>
      <c r="F1399" s="58" t="s">
        <v>4819</v>
      </c>
      <c r="G1399" s="57">
        <v>6</v>
      </c>
      <c r="H1399" s="57" t="s">
        <v>2557</v>
      </c>
      <c r="I1399" s="58">
        <v>67808</v>
      </c>
      <c r="J1399" s="234" t="s">
        <v>1177</v>
      </c>
      <c r="K1399" s="58">
        <v>29.06</v>
      </c>
      <c r="L1399" s="58">
        <v>0.12</v>
      </c>
      <c r="M1399" s="58">
        <v>0</v>
      </c>
      <c r="N1399" s="58">
        <v>7.18283</v>
      </c>
      <c r="O1399" s="224">
        <f t="shared" si="10"/>
        <v>28.939999999999998</v>
      </c>
      <c r="P1399" s="227">
        <f t="shared" si="11"/>
        <v>4.0290526157517297</v>
      </c>
    </row>
    <row r="1400" spans="1:16" ht="14.25">
      <c r="A1400" s="224">
        <v>1399</v>
      </c>
      <c r="B1400" s="58">
        <v>19040</v>
      </c>
      <c r="C1400" s="57" t="s">
        <v>3084</v>
      </c>
      <c r="D1400" s="57" t="s">
        <v>45</v>
      </c>
      <c r="E1400" s="57" t="s">
        <v>2860</v>
      </c>
      <c r="F1400" s="58" t="s">
        <v>4820</v>
      </c>
      <c r="G1400" s="57">
        <v>6</v>
      </c>
      <c r="H1400" s="57" t="s">
        <v>2557</v>
      </c>
      <c r="I1400" s="58">
        <v>59372</v>
      </c>
      <c r="J1400" s="234" t="s">
        <v>4821</v>
      </c>
      <c r="K1400" s="58">
        <v>1.79</v>
      </c>
      <c r="L1400" s="58">
        <v>0</v>
      </c>
      <c r="M1400" s="58">
        <v>0</v>
      </c>
      <c r="N1400" s="58">
        <v>1</v>
      </c>
      <c r="O1400" s="224">
        <f t="shared" si="10"/>
        <v>1.79</v>
      </c>
      <c r="P1400" s="227">
        <f t="shared" si="11"/>
        <v>1.79</v>
      </c>
    </row>
    <row r="1401" spans="1:16" ht="14.25">
      <c r="A1401" s="224">
        <v>1400</v>
      </c>
      <c r="B1401" s="58">
        <v>26064</v>
      </c>
      <c r="C1401" s="57" t="s">
        <v>2733</v>
      </c>
      <c r="D1401" s="57" t="s">
        <v>2582</v>
      </c>
      <c r="E1401" s="57" t="s">
        <v>4772</v>
      </c>
      <c r="F1401" s="58" t="s">
        <v>4822</v>
      </c>
      <c r="G1401" s="57">
        <v>6</v>
      </c>
      <c r="H1401" s="57" t="s">
        <v>2557</v>
      </c>
      <c r="I1401" s="58">
        <v>70448</v>
      </c>
      <c r="J1401" s="234"/>
      <c r="K1401" s="58">
        <v>443.9</v>
      </c>
      <c r="L1401" s="58">
        <v>0</v>
      </c>
      <c r="M1401" s="58">
        <v>0</v>
      </c>
      <c r="N1401" s="58">
        <v>7.18283</v>
      </c>
      <c r="O1401" s="224">
        <f t="shared" si="10"/>
        <v>443.9</v>
      </c>
      <c r="P1401" s="227">
        <f t="shared" si="11"/>
        <v>61.800153978306597</v>
      </c>
    </row>
    <row r="1402" spans="1:16" ht="14.25">
      <c r="A1402" s="224">
        <v>1401</v>
      </c>
      <c r="B1402" s="58">
        <v>26652</v>
      </c>
      <c r="C1402" s="57" t="s">
        <v>4823</v>
      </c>
      <c r="D1402" s="57" t="s">
        <v>45</v>
      </c>
      <c r="E1402" s="57" t="s">
        <v>4772</v>
      </c>
      <c r="F1402" s="58" t="s">
        <v>4824</v>
      </c>
      <c r="G1402" s="57">
        <v>6</v>
      </c>
      <c r="H1402" s="57" t="s">
        <v>2557</v>
      </c>
      <c r="I1402" s="58">
        <v>70533</v>
      </c>
      <c r="J1402" s="234"/>
      <c r="K1402" s="58">
        <v>22.99</v>
      </c>
      <c r="L1402" s="58">
        <v>0</v>
      </c>
      <c r="M1402" s="58">
        <v>0</v>
      </c>
      <c r="N1402" s="58">
        <v>1</v>
      </c>
      <c r="O1402" s="224">
        <f t="shared" si="10"/>
        <v>22.99</v>
      </c>
      <c r="P1402" s="227">
        <f t="shared" si="11"/>
        <v>22.99</v>
      </c>
    </row>
    <row r="1403" spans="1:16" ht="14.25">
      <c r="A1403" s="224">
        <v>1402</v>
      </c>
      <c r="B1403" s="58">
        <v>1560</v>
      </c>
      <c r="C1403" s="57" t="s">
        <v>2630</v>
      </c>
      <c r="D1403" s="57" t="s">
        <v>45</v>
      </c>
      <c r="E1403" s="57" t="s">
        <v>2860</v>
      </c>
      <c r="F1403" s="58" t="s">
        <v>4825</v>
      </c>
      <c r="G1403" s="57">
        <v>6</v>
      </c>
      <c r="H1403" s="57" t="s">
        <v>2557</v>
      </c>
      <c r="I1403" s="58">
        <v>65540</v>
      </c>
      <c r="J1403" s="234" t="s">
        <v>4826</v>
      </c>
      <c r="K1403" s="58">
        <v>5.98</v>
      </c>
      <c r="L1403" s="58">
        <v>0</v>
      </c>
      <c r="M1403" s="58">
        <v>0</v>
      </c>
      <c r="N1403" s="58">
        <v>1</v>
      </c>
      <c r="O1403" s="224">
        <f t="shared" si="10"/>
        <v>5.98</v>
      </c>
      <c r="P1403" s="227">
        <f t="shared" si="11"/>
        <v>5.98</v>
      </c>
    </row>
    <row r="1404" spans="1:16" ht="14.25">
      <c r="A1404" s="224">
        <v>1403</v>
      </c>
      <c r="B1404" s="58">
        <v>19040</v>
      </c>
      <c r="C1404" s="57" t="s">
        <v>3084</v>
      </c>
      <c r="D1404" s="57" t="s">
        <v>45</v>
      </c>
      <c r="E1404" s="57" t="s">
        <v>2860</v>
      </c>
      <c r="F1404" s="58" t="s">
        <v>4827</v>
      </c>
      <c r="G1404" s="57">
        <v>6</v>
      </c>
      <c r="H1404" s="57" t="s">
        <v>2557</v>
      </c>
      <c r="I1404" s="58">
        <v>70521</v>
      </c>
      <c r="J1404" s="234" t="s">
        <v>4828</v>
      </c>
      <c r="K1404" s="58">
        <v>61.8</v>
      </c>
      <c r="L1404" s="58">
        <v>0</v>
      </c>
      <c r="M1404" s="58">
        <v>0</v>
      </c>
      <c r="N1404" s="58">
        <v>1</v>
      </c>
      <c r="O1404" s="224">
        <f t="shared" si="10"/>
        <v>61.8</v>
      </c>
      <c r="P1404" s="227">
        <f t="shared" si="11"/>
        <v>61.8</v>
      </c>
    </row>
    <row r="1405" spans="1:16" ht="14.25">
      <c r="A1405" s="224">
        <v>1404</v>
      </c>
      <c r="B1405" s="58">
        <v>26064</v>
      </c>
      <c r="C1405" s="57" t="s">
        <v>2733</v>
      </c>
      <c r="D1405" s="57" t="s">
        <v>2582</v>
      </c>
      <c r="E1405" s="57" t="s">
        <v>4772</v>
      </c>
      <c r="F1405" s="58" t="s">
        <v>4829</v>
      </c>
      <c r="G1405" s="57">
        <v>6</v>
      </c>
      <c r="H1405" s="57" t="s">
        <v>2557</v>
      </c>
      <c r="I1405" s="58">
        <v>70448</v>
      </c>
      <c r="J1405" s="234" t="s">
        <v>1174</v>
      </c>
      <c r="K1405" s="58">
        <v>443.9</v>
      </c>
      <c r="L1405" s="58">
        <v>1.8</v>
      </c>
      <c r="M1405" s="58">
        <v>0</v>
      </c>
      <c r="N1405" s="58">
        <v>7.18283</v>
      </c>
      <c r="O1405" s="224">
        <f t="shared" si="10"/>
        <v>442.09999999999997</v>
      </c>
      <c r="P1405" s="227">
        <f t="shared" si="11"/>
        <v>61.549556372627499</v>
      </c>
    </row>
    <row r="1406" spans="1:16" ht="14.25">
      <c r="A1406" s="224">
        <v>1405</v>
      </c>
      <c r="B1406" s="58">
        <v>25163</v>
      </c>
      <c r="C1406" s="57" t="s">
        <v>4531</v>
      </c>
      <c r="D1406" s="57" t="s">
        <v>45</v>
      </c>
      <c r="E1406" s="57" t="s">
        <v>4772</v>
      </c>
      <c r="F1406" s="58" t="s">
        <v>4830</v>
      </c>
      <c r="G1406" s="57">
        <v>6</v>
      </c>
      <c r="H1406" s="57" t="s">
        <v>2557</v>
      </c>
      <c r="I1406" s="58">
        <v>70617</v>
      </c>
      <c r="J1406" s="234" t="s">
        <v>1165</v>
      </c>
      <c r="K1406" s="58">
        <v>17.989999999999998</v>
      </c>
      <c r="L1406" s="58">
        <v>0.53</v>
      </c>
      <c r="M1406" s="58">
        <v>0</v>
      </c>
      <c r="N1406" s="58">
        <v>1</v>
      </c>
      <c r="O1406" s="224">
        <f t="shared" si="10"/>
        <v>17.459999999999997</v>
      </c>
      <c r="P1406" s="227">
        <f t="shared" si="11"/>
        <v>17.459999999999997</v>
      </c>
    </row>
    <row r="1407" spans="1:16" ht="14.25">
      <c r="A1407" s="224">
        <v>1406</v>
      </c>
      <c r="B1407" s="56">
        <v>21915</v>
      </c>
      <c r="C1407" s="56" t="s">
        <v>3808</v>
      </c>
      <c r="D1407" s="56" t="s">
        <v>45</v>
      </c>
      <c r="E1407" s="56" t="s">
        <v>2874</v>
      </c>
      <c r="F1407" s="56" t="s">
        <v>4831</v>
      </c>
      <c r="G1407" s="56">
        <v>6</v>
      </c>
      <c r="H1407" s="56" t="s">
        <v>2557</v>
      </c>
      <c r="I1407" s="56">
        <v>66908</v>
      </c>
      <c r="J1407" s="246" t="s">
        <v>4832</v>
      </c>
      <c r="K1407" s="56">
        <v>283.08</v>
      </c>
      <c r="L1407" s="56">
        <v>0</v>
      </c>
      <c r="M1407" s="56">
        <v>0</v>
      </c>
      <c r="N1407" s="56">
        <v>1</v>
      </c>
      <c r="O1407" s="181">
        <f t="shared" si="10"/>
        <v>283.08</v>
      </c>
      <c r="P1407" s="247">
        <f t="shared" si="11"/>
        <v>283.08</v>
      </c>
    </row>
    <row r="1408" spans="1:16" ht="14.25">
      <c r="A1408" s="224">
        <v>1407</v>
      </c>
      <c r="B1408" s="58">
        <v>26517</v>
      </c>
      <c r="C1408" s="57" t="s">
        <v>4833</v>
      </c>
      <c r="D1408" s="57" t="s">
        <v>45</v>
      </c>
      <c r="E1408" s="57" t="s">
        <v>9</v>
      </c>
      <c r="F1408" s="58" t="s">
        <v>4834</v>
      </c>
      <c r="G1408" s="57">
        <v>6</v>
      </c>
      <c r="H1408" s="57" t="s">
        <v>2557</v>
      </c>
      <c r="I1408" s="58">
        <v>70352</v>
      </c>
      <c r="J1408" s="234" t="s">
        <v>549</v>
      </c>
      <c r="K1408" s="58">
        <v>20</v>
      </c>
      <c r="L1408" s="58">
        <v>1.19</v>
      </c>
      <c r="M1408" s="58">
        <v>0</v>
      </c>
      <c r="N1408" s="58">
        <v>1</v>
      </c>
      <c r="O1408" s="224">
        <f t="shared" si="10"/>
        <v>18.809999999999999</v>
      </c>
      <c r="P1408" s="227">
        <f t="shared" si="11"/>
        <v>18.809999999999999</v>
      </c>
    </row>
    <row r="1409" spans="1:16" ht="14.25">
      <c r="A1409" s="224">
        <v>1408</v>
      </c>
      <c r="B1409" s="58">
        <v>26652</v>
      </c>
      <c r="C1409" s="57" t="s">
        <v>4823</v>
      </c>
      <c r="D1409" s="57" t="s">
        <v>45</v>
      </c>
      <c r="E1409" s="57" t="s">
        <v>4772</v>
      </c>
      <c r="F1409" s="58" t="s">
        <v>4835</v>
      </c>
      <c r="G1409" s="57">
        <v>6</v>
      </c>
      <c r="H1409" s="57" t="s">
        <v>2557</v>
      </c>
      <c r="I1409" s="58">
        <v>70533</v>
      </c>
      <c r="J1409" s="234" t="s">
        <v>1171</v>
      </c>
      <c r="K1409" s="58">
        <v>22.99</v>
      </c>
      <c r="L1409" s="58">
        <v>0.67</v>
      </c>
      <c r="M1409" s="58">
        <v>0</v>
      </c>
      <c r="N1409" s="58">
        <v>1</v>
      </c>
      <c r="O1409" s="224">
        <f t="shared" si="10"/>
        <v>22.319999999999997</v>
      </c>
      <c r="P1409" s="227">
        <f t="shared" si="11"/>
        <v>22.319999999999997</v>
      </c>
    </row>
    <row r="1410" spans="1:16" ht="14.25">
      <c r="A1410" s="224">
        <v>1409</v>
      </c>
      <c r="B1410" s="58">
        <v>26700</v>
      </c>
      <c r="C1410" s="57" t="s">
        <v>4836</v>
      </c>
      <c r="D1410" s="57" t="s">
        <v>45</v>
      </c>
      <c r="E1410" s="57" t="s">
        <v>4772</v>
      </c>
      <c r="F1410" s="58" t="s">
        <v>4837</v>
      </c>
      <c r="G1410" s="57">
        <v>6</v>
      </c>
      <c r="H1410" s="57" t="s">
        <v>2557</v>
      </c>
      <c r="I1410" s="58">
        <v>70641</v>
      </c>
      <c r="J1410" s="234" t="s">
        <v>1162</v>
      </c>
      <c r="K1410" s="58">
        <v>4.79</v>
      </c>
      <c r="L1410" s="58">
        <v>0.14000000000000001</v>
      </c>
      <c r="M1410" s="58">
        <v>0</v>
      </c>
      <c r="N1410" s="58">
        <v>1</v>
      </c>
      <c r="O1410" s="224">
        <f t="shared" si="10"/>
        <v>4.6500000000000004</v>
      </c>
      <c r="P1410" s="227">
        <f t="shared" si="11"/>
        <v>4.6500000000000004</v>
      </c>
    </row>
    <row r="1411" spans="1:16" ht="14.25">
      <c r="A1411" s="224">
        <v>1410</v>
      </c>
      <c r="B1411" s="58">
        <v>111</v>
      </c>
      <c r="C1411" s="57" t="s">
        <v>4838</v>
      </c>
      <c r="D1411" s="57" t="s">
        <v>45</v>
      </c>
      <c r="E1411" s="57" t="s">
        <v>2860</v>
      </c>
      <c r="F1411" s="58" t="s">
        <v>4839</v>
      </c>
      <c r="G1411" s="57">
        <v>6</v>
      </c>
      <c r="H1411" s="57" t="s">
        <v>2557</v>
      </c>
      <c r="I1411" s="58">
        <v>70749</v>
      </c>
      <c r="J1411" s="234" t="s">
        <v>4840</v>
      </c>
      <c r="K1411" s="58">
        <v>1.88</v>
      </c>
      <c r="L1411" s="58">
        <v>0</v>
      </c>
      <c r="M1411" s="58">
        <v>0</v>
      </c>
      <c r="N1411" s="58">
        <v>1</v>
      </c>
      <c r="O1411" s="224">
        <f t="shared" si="10"/>
        <v>1.88</v>
      </c>
      <c r="P1411" s="227">
        <f t="shared" si="11"/>
        <v>1.88</v>
      </c>
    </row>
    <row r="1412" spans="1:16" ht="14.25">
      <c r="A1412" s="224">
        <v>1411</v>
      </c>
      <c r="B1412" s="56">
        <v>24483</v>
      </c>
      <c r="C1412" s="56" t="s">
        <v>4249</v>
      </c>
      <c r="D1412" s="56" t="s">
        <v>45</v>
      </c>
      <c r="E1412" s="56" t="s">
        <v>2874</v>
      </c>
      <c r="F1412" s="56" t="s">
        <v>4841</v>
      </c>
      <c r="G1412" s="56">
        <v>6</v>
      </c>
      <c r="H1412" s="56" t="s">
        <v>2557</v>
      </c>
      <c r="I1412" s="56">
        <v>70893</v>
      </c>
      <c r="J1412" s="246" t="s">
        <v>4842</v>
      </c>
      <c r="K1412" s="56">
        <v>381.59</v>
      </c>
      <c r="L1412" s="56">
        <v>0</v>
      </c>
      <c r="M1412" s="56">
        <v>0</v>
      </c>
      <c r="N1412" s="56">
        <v>1</v>
      </c>
      <c r="O1412" s="181">
        <f t="shared" si="10"/>
        <v>381.59</v>
      </c>
      <c r="P1412" s="247">
        <f t="shared" si="11"/>
        <v>381.59</v>
      </c>
    </row>
    <row r="1413" spans="1:16" ht="14.25">
      <c r="A1413" s="224">
        <v>1412</v>
      </c>
      <c r="B1413" s="58">
        <v>26744</v>
      </c>
      <c r="C1413" s="57" t="s">
        <v>4843</v>
      </c>
      <c r="D1413" s="57" t="s">
        <v>45</v>
      </c>
      <c r="E1413" s="57" t="s">
        <v>4772</v>
      </c>
      <c r="F1413" s="58" t="s">
        <v>4844</v>
      </c>
      <c r="G1413" s="57">
        <v>6</v>
      </c>
      <c r="H1413" s="57" t="s">
        <v>2557</v>
      </c>
      <c r="I1413" s="58">
        <v>70917</v>
      </c>
      <c r="J1413" s="234" t="s">
        <v>1212</v>
      </c>
      <c r="K1413" s="58">
        <v>3.99</v>
      </c>
      <c r="L1413" s="58">
        <v>0.12</v>
      </c>
      <c r="M1413" s="58">
        <v>0</v>
      </c>
      <c r="N1413" s="58">
        <v>1</v>
      </c>
      <c r="O1413" s="224">
        <f t="shared" si="10"/>
        <v>3.87</v>
      </c>
      <c r="P1413" s="227">
        <f t="shared" si="11"/>
        <v>3.87</v>
      </c>
    </row>
    <row r="1414" spans="1:16" ht="14.25">
      <c r="A1414" s="224">
        <v>1413</v>
      </c>
      <c r="B1414" s="58">
        <v>1783</v>
      </c>
      <c r="C1414" s="57" t="s">
        <v>4357</v>
      </c>
      <c r="D1414" s="57" t="s">
        <v>2582</v>
      </c>
      <c r="E1414" s="57" t="s">
        <v>4772</v>
      </c>
      <c r="F1414" s="58" t="s">
        <v>4845</v>
      </c>
      <c r="G1414" s="57">
        <v>6</v>
      </c>
      <c r="H1414" s="57" t="s">
        <v>2557</v>
      </c>
      <c r="I1414" s="58">
        <v>70929</v>
      </c>
      <c r="J1414" s="234" t="s">
        <v>1209</v>
      </c>
      <c r="K1414" s="58">
        <v>148.72999999999999</v>
      </c>
      <c r="L1414" s="58">
        <v>0.6</v>
      </c>
      <c r="M1414" s="58">
        <v>0</v>
      </c>
      <c r="N1414" s="58">
        <v>7.1882999999999999</v>
      </c>
      <c r="O1414" s="224">
        <f t="shared" si="10"/>
        <v>148.13</v>
      </c>
      <c r="P1414" s="227">
        <f t="shared" si="11"/>
        <v>20.607097644783885</v>
      </c>
    </row>
    <row r="1415" spans="1:16" ht="14.25">
      <c r="A1415" s="224">
        <v>1414</v>
      </c>
      <c r="B1415" s="56">
        <v>24483</v>
      </c>
      <c r="C1415" s="56" t="s">
        <v>4249</v>
      </c>
      <c r="D1415" s="56" t="s">
        <v>45</v>
      </c>
      <c r="E1415" s="56" t="s">
        <v>2874</v>
      </c>
      <c r="F1415" s="56" t="s">
        <v>4846</v>
      </c>
      <c r="G1415" s="56">
        <v>6</v>
      </c>
      <c r="H1415" s="56" t="s">
        <v>2557</v>
      </c>
      <c r="I1415" s="56">
        <v>70941</v>
      </c>
      <c r="J1415" s="246" t="s">
        <v>4847</v>
      </c>
      <c r="K1415" s="56">
        <v>122.4</v>
      </c>
      <c r="L1415" s="56">
        <v>0</v>
      </c>
      <c r="M1415" s="56">
        <v>0</v>
      </c>
      <c r="N1415" s="56">
        <v>1</v>
      </c>
      <c r="O1415" s="181">
        <f t="shared" si="10"/>
        <v>122.4</v>
      </c>
      <c r="P1415" s="247">
        <f t="shared" si="11"/>
        <v>122.4</v>
      </c>
    </row>
    <row r="1416" spans="1:16" ht="14.25">
      <c r="A1416" s="224">
        <v>1415</v>
      </c>
      <c r="B1416" s="56">
        <v>18477</v>
      </c>
      <c r="C1416" s="56" t="s">
        <v>2966</v>
      </c>
      <c r="D1416" s="56" t="s">
        <v>45</v>
      </c>
      <c r="E1416" s="56" t="s">
        <v>2874</v>
      </c>
      <c r="F1416" s="56" t="s">
        <v>4848</v>
      </c>
      <c r="G1416" s="56">
        <v>6</v>
      </c>
      <c r="H1416" s="56" t="s">
        <v>2557</v>
      </c>
      <c r="I1416" s="56">
        <v>67472</v>
      </c>
      <c r="J1416" s="246"/>
      <c r="K1416" s="56">
        <v>110</v>
      </c>
      <c r="L1416" s="56">
        <v>0</v>
      </c>
      <c r="M1416" s="56">
        <v>0</v>
      </c>
      <c r="N1416" s="56">
        <v>1</v>
      </c>
      <c r="O1416" s="181">
        <f t="shared" si="10"/>
        <v>110</v>
      </c>
      <c r="P1416" s="247">
        <f t="shared" si="11"/>
        <v>110</v>
      </c>
    </row>
    <row r="1417" spans="1:16" ht="14.25">
      <c r="A1417" s="224">
        <v>1416</v>
      </c>
      <c r="B1417" s="56">
        <v>26760</v>
      </c>
      <c r="C1417" s="56" t="s">
        <v>4849</v>
      </c>
      <c r="D1417" s="56" t="s">
        <v>45</v>
      </c>
      <c r="E1417" s="56" t="s">
        <v>2874</v>
      </c>
      <c r="F1417" s="56" t="s">
        <v>4850</v>
      </c>
      <c r="G1417" s="56">
        <v>6</v>
      </c>
      <c r="H1417" s="56" t="s">
        <v>2557</v>
      </c>
      <c r="I1417" s="56">
        <v>70953</v>
      </c>
      <c r="J1417" s="246" t="s">
        <v>4851</v>
      </c>
      <c r="K1417" s="56">
        <v>25.25</v>
      </c>
      <c r="L1417" s="56">
        <v>0</v>
      </c>
      <c r="M1417" s="56">
        <v>0</v>
      </c>
      <c r="N1417" s="56">
        <v>1</v>
      </c>
      <c r="O1417" s="181">
        <f t="shared" si="10"/>
        <v>25.25</v>
      </c>
      <c r="P1417" s="247">
        <f t="shared" si="11"/>
        <v>25.25</v>
      </c>
    </row>
    <row r="1418" spans="1:16" ht="14.25">
      <c r="A1418" s="224">
        <v>1417</v>
      </c>
      <c r="B1418" s="56">
        <v>7899</v>
      </c>
      <c r="C1418" s="56" t="s">
        <v>2714</v>
      </c>
      <c r="D1418" s="56" t="s">
        <v>45</v>
      </c>
      <c r="E1418" s="56" t="s">
        <v>2874</v>
      </c>
      <c r="F1418" s="56" t="s">
        <v>4852</v>
      </c>
      <c r="G1418" s="56">
        <v>6</v>
      </c>
      <c r="H1418" s="56" t="s">
        <v>2557</v>
      </c>
      <c r="I1418" s="56">
        <v>66896</v>
      </c>
      <c r="J1418" s="246" t="s">
        <v>4853</v>
      </c>
      <c r="K1418" s="56">
        <v>69.989999999999995</v>
      </c>
      <c r="L1418" s="56">
        <v>0</v>
      </c>
      <c r="M1418" s="56">
        <v>0</v>
      </c>
      <c r="N1418" s="56">
        <v>1</v>
      </c>
      <c r="O1418" s="181">
        <f t="shared" si="10"/>
        <v>69.989999999999995</v>
      </c>
      <c r="P1418" s="247">
        <f t="shared" si="11"/>
        <v>69.989999999999995</v>
      </c>
    </row>
    <row r="1419" spans="1:16" ht="14.25">
      <c r="A1419" s="224">
        <v>1418</v>
      </c>
      <c r="B1419" s="58">
        <v>26787</v>
      </c>
      <c r="C1419" s="57" t="s">
        <v>4854</v>
      </c>
      <c r="D1419" s="57" t="s">
        <v>2582</v>
      </c>
      <c r="E1419" s="57" t="s">
        <v>4772</v>
      </c>
      <c r="F1419" s="58" t="s">
        <v>4855</v>
      </c>
      <c r="G1419" s="57">
        <v>6</v>
      </c>
      <c r="H1419" s="57" t="s">
        <v>2557</v>
      </c>
      <c r="I1419" s="58">
        <v>70965</v>
      </c>
      <c r="J1419" s="234" t="s">
        <v>1206</v>
      </c>
      <c r="K1419" s="58">
        <v>93.38</v>
      </c>
      <c r="L1419" s="58">
        <v>0.38</v>
      </c>
      <c r="M1419" s="58">
        <v>0</v>
      </c>
      <c r="N1419" s="58">
        <v>7.1882999999999999</v>
      </c>
      <c r="O1419" s="224">
        <f t="shared" si="10"/>
        <v>93</v>
      </c>
      <c r="P1419" s="227">
        <f t="shared" si="11"/>
        <v>12.937690413588749</v>
      </c>
    </row>
    <row r="1420" spans="1:16" ht="14.25">
      <c r="A1420" s="224">
        <v>1419</v>
      </c>
      <c r="B1420" s="58">
        <v>3499</v>
      </c>
      <c r="C1420" s="57" t="s">
        <v>2641</v>
      </c>
      <c r="D1420" s="57" t="s">
        <v>45</v>
      </c>
      <c r="E1420" s="57" t="s">
        <v>2860</v>
      </c>
      <c r="F1420" s="58" t="s">
        <v>4856</v>
      </c>
      <c r="G1420" s="57">
        <v>6</v>
      </c>
      <c r="H1420" s="57" t="s">
        <v>2557</v>
      </c>
      <c r="I1420" s="58">
        <v>68948</v>
      </c>
      <c r="J1420" s="234" t="s">
        <v>4857</v>
      </c>
      <c r="K1420" s="58">
        <v>1.0900000000000001</v>
      </c>
      <c r="L1420" s="58">
        <v>0</v>
      </c>
      <c r="M1420" s="58">
        <v>0</v>
      </c>
      <c r="N1420" s="58">
        <v>1</v>
      </c>
      <c r="O1420" s="224">
        <f t="shared" si="10"/>
        <v>1.0900000000000001</v>
      </c>
      <c r="P1420" s="227">
        <f t="shared" si="11"/>
        <v>1.0900000000000001</v>
      </c>
    </row>
    <row r="1421" spans="1:16" ht="14.25">
      <c r="A1421" s="224">
        <v>1420</v>
      </c>
      <c r="B1421" s="56">
        <v>22810</v>
      </c>
      <c r="C1421" s="56" t="s">
        <v>3949</v>
      </c>
      <c r="D1421" s="56" t="s">
        <v>45</v>
      </c>
      <c r="E1421" s="56" t="s">
        <v>2874</v>
      </c>
      <c r="F1421" s="56" t="s">
        <v>4858</v>
      </c>
      <c r="G1421" s="56">
        <v>6</v>
      </c>
      <c r="H1421" s="56" t="s">
        <v>2557</v>
      </c>
      <c r="I1421" s="56">
        <v>70977</v>
      </c>
      <c r="J1421" s="246" t="s">
        <v>4859</v>
      </c>
      <c r="K1421" s="56">
        <v>25.25</v>
      </c>
      <c r="L1421" s="56">
        <v>0</v>
      </c>
      <c r="M1421" s="56">
        <v>0</v>
      </c>
      <c r="N1421" s="56">
        <v>1</v>
      </c>
      <c r="O1421" s="181">
        <f t="shared" si="10"/>
        <v>25.25</v>
      </c>
      <c r="P1421" s="247">
        <f t="shared" si="11"/>
        <v>25.25</v>
      </c>
    </row>
    <row r="1422" spans="1:16" ht="14.25">
      <c r="A1422" s="224">
        <v>1421</v>
      </c>
      <c r="B1422" s="58">
        <v>98</v>
      </c>
      <c r="C1422" s="57" t="s">
        <v>4860</v>
      </c>
      <c r="D1422" s="57" t="s">
        <v>45</v>
      </c>
      <c r="E1422" s="57" t="s">
        <v>9</v>
      </c>
      <c r="F1422" s="58" t="s">
        <v>4861</v>
      </c>
      <c r="G1422" s="57">
        <v>6</v>
      </c>
      <c r="H1422" s="57" t="s">
        <v>2557</v>
      </c>
      <c r="I1422" s="58">
        <v>70653</v>
      </c>
      <c r="J1422" s="234" t="s">
        <v>552</v>
      </c>
      <c r="K1422" s="58">
        <v>1.88</v>
      </c>
      <c r="L1422" s="58">
        <v>0.56000000000000005</v>
      </c>
      <c r="M1422" s="58">
        <v>0</v>
      </c>
      <c r="N1422" s="58">
        <v>1</v>
      </c>
      <c r="O1422" s="224">
        <f t="shared" si="10"/>
        <v>1.3199999999999998</v>
      </c>
      <c r="P1422" s="227">
        <f t="shared" si="11"/>
        <v>1.3199999999999998</v>
      </c>
    </row>
    <row r="1423" spans="1:16" ht="14.25">
      <c r="A1423" s="224">
        <v>1422</v>
      </c>
      <c r="B1423" s="58">
        <v>122</v>
      </c>
      <c r="C1423" s="57" t="s">
        <v>4862</v>
      </c>
      <c r="D1423" s="57" t="s">
        <v>2582</v>
      </c>
      <c r="E1423" s="57" t="s">
        <v>4772</v>
      </c>
      <c r="F1423" s="58" t="s">
        <v>4863</v>
      </c>
      <c r="G1423" s="57">
        <v>6</v>
      </c>
      <c r="H1423" s="57" t="s">
        <v>2557</v>
      </c>
      <c r="I1423" s="58">
        <v>71013</v>
      </c>
      <c r="J1423" s="234" t="s">
        <v>1233</v>
      </c>
      <c r="K1423" s="58">
        <v>174.31</v>
      </c>
      <c r="L1423" s="58">
        <v>0.71</v>
      </c>
      <c r="M1423" s="58">
        <v>0</v>
      </c>
      <c r="N1423" s="58">
        <v>7.1873100000000001</v>
      </c>
      <c r="O1423" s="224">
        <f t="shared" si="10"/>
        <v>173.6</v>
      </c>
      <c r="P1423" s="227">
        <f t="shared" si="11"/>
        <v>24.153681975593091</v>
      </c>
    </row>
    <row r="1424" spans="1:16" ht="14.25">
      <c r="A1424" s="224">
        <v>1423</v>
      </c>
      <c r="B1424" s="58">
        <v>26925</v>
      </c>
      <c r="C1424" s="57" t="s">
        <v>4864</v>
      </c>
      <c r="D1424" s="57" t="s">
        <v>45</v>
      </c>
      <c r="E1424" s="57" t="s">
        <v>4772</v>
      </c>
      <c r="F1424" s="58" t="s">
        <v>4865</v>
      </c>
      <c r="G1424" s="57">
        <v>6</v>
      </c>
      <c r="H1424" s="57" t="s">
        <v>2557</v>
      </c>
      <c r="I1424" s="58">
        <v>71097</v>
      </c>
      <c r="J1424" s="234" t="s">
        <v>1230</v>
      </c>
      <c r="K1424" s="58">
        <v>2.99</v>
      </c>
      <c r="L1424" s="58">
        <v>0.09</v>
      </c>
      <c r="M1424" s="58">
        <v>0</v>
      </c>
      <c r="N1424" s="58">
        <v>1</v>
      </c>
      <c r="O1424" s="224">
        <f t="shared" si="10"/>
        <v>2.9000000000000004</v>
      </c>
      <c r="P1424" s="227">
        <f t="shared" si="11"/>
        <v>2.9000000000000004</v>
      </c>
    </row>
    <row r="1425" spans="1:16" ht="14.25">
      <c r="A1425" s="224">
        <v>1424</v>
      </c>
      <c r="B1425" s="58">
        <v>8279</v>
      </c>
      <c r="C1425" s="57" t="s">
        <v>2584</v>
      </c>
      <c r="D1425" s="57" t="s">
        <v>45</v>
      </c>
      <c r="E1425" s="57" t="s">
        <v>4772</v>
      </c>
      <c r="F1425" s="58" t="s">
        <v>4866</v>
      </c>
      <c r="G1425" s="57">
        <v>6</v>
      </c>
      <c r="H1425" s="57" t="s">
        <v>2557</v>
      </c>
      <c r="I1425" s="58">
        <v>71109</v>
      </c>
      <c r="J1425" s="234" t="s">
        <v>1227</v>
      </c>
      <c r="K1425" s="58">
        <v>1</v>
      </c>
      <c r="L1425" s="58">
        <v>0.03</v>
      </c>
      <c r="M1425" s="58">
        <v>0</v>
      </c>
      <c r="N1425" s="58">
        <v>1</v>
      </c>
      <c r="O1425" s="224">
        <f t="shared" si="10"/>
        <v>0.97</v>
      </c>
      <c r="P1425" s="227">
        <f t="shared" si="11"/>
        <v>0.97</v>
      </c>
    </row>
    <row r="1426" spans="1:16" ht="14.25">
      <c r="A1426" s="224">
        <v>1425</v>
      </c>
      <c r="B1426" s="58">
        <v>21403</v>
      </c>
      <c r="C1426" s="57" t="s">
        <v>3690</v>
      </c>
      <c r="D1426" s="57" t="s">
        <v>45</v>
      </c>
      <c r="E1426" s="57" t="s">
        <v>2860</v>
      </c>
      <c r="F1426" s="58" t="s">
        <v>4867</v>
      </c>
      <c r="G1426" s="57">
        <v>6</v>
      </c>
      <c r="H1426" s="57" t="s">
        <v>2557</v>
      </c>
      <c r="I1426" s="58">
        <v>71121</v>
      </c>
      <c r="J1426" s="234" t="s">
        <v>4868</v>
      </c>
      <c r="K1426" s="58">
        <v>1.19</v>
      </c>
      <c r="L1426" s="58">
        <v>0</v>
      </c>
      <c r="M1426" s="58">
        <v>0</v>
      </c>
      <c r="N1426" s="58">
        <v>1</v>
      </c>
      <c r="O1426" s="224">
        <f t="shared" si="10"/>
        <v>1.19</v>
      </c>
      <c r="P1426" s="227">
        <f t="shared" si="11"/>
        <v>1.19</v>
      </c>
    </row>
    <row r="1427" spans="1:16" ht="14.25">
      <c r="A1427" s="224">
        <v>1426</v>
      </c>
      <c r="B1427" s="58">
        <v>97</v>
      </c>
      <c r="C1427" s="57" t="s">
        <v>4317</v>
      </c>
      <c r="D1427" s="57" t="s">
        <v>2582</v>
      </c>
      <c r="E1427" s="57" t="s">
        <v>2860</v>
      </c>
      <c r="F1427" s="58" t="s">
        <v>4869</v>
      </c>
      <c r="G1427" s="57">
        <v>6</v>
      </c>
      <c r="H1427" s="57" t="s">
        <v>2557</v>
      </c>
      <c r="I1427" s="58">
        <v>70665</v>
      </c>
      <c r="J1427" s="234" t="s">
        <v>4870</v>
      </c>
      <c r="K1427" s="58">
        <v>7.26</v>
      </c>
      <c r="L1427" s="58">
        <v>0</v>
      </c>
      <c r="M1427" s="58">
        <v>0</v>
      </c>
      <c r="N1427" s="58">
        <v>7.1873100000000001</v>
      </c>
      <c r="O1427" s="224">
        <f t="shared" si="10"/>
        <v>7.26</v>
      </c>
      <c r="P1427" s="227">
        <f t="shared" si="11"/>
        <v>1.0101136586567157</v>
      </c>
    </row>
    <row r="1428" spans="1:16" ht="14.25">
      <c r="A1428" s="224">
        <v>1427</v>
      </c>
      <c r="B1428" s="58">
        <v>25736</v>
      </c>
      <c r="C1428" s="57" t="s">
        <v>4691</v>
      </c>
      <c r="D1428" s="57" t="s">
        <v>45</v>
      </c>
      <c r="E1428" s="57" t="s">
        <v>2860</v>
      </c>
      <c r="F1428" s="58" t="s">
        <v>4871</v>
      </c>
      <c r="G1428" s="57">
        <v>6</v>
      </c>
      <c r="H1428" s="57" t="s">
        <v>2557</v>
      </c>
      <c r="I1428" s="58">
        <v>71133</v>
      </c>
      <c r="J1428" s="234" t="s">
        <v>4872</v>
      </c>
      <c r="K1428" s="58">
        <v>37.090000000000003</v>
      </c>
      <c r="L1428" s="58">
        <v>0</v>
      </c>
      <c r="M1428" s="58">
        <v>0</v>
      </c>
      <c r="N1428" s="58">
        <v>1</v>
      </c>
      <c r="O1428" s="224">
        <f t="shared" si="10"/>
        <v>37.090000000000003</v>
      </c>
      <c r="P1428" s="227">
        <f t="shared" si="11"/>
        <v>37.090000000000003</v>
      </c>
    </row>
    <row r="1429" spans="1:16" ht="14.25">
      <c r="A1429" s="224">
        <v>1428</v>
      </c>
      <c r="B1429" s="58">
        <v>25716</v>
      </c>
      <c r="C1429" s="57" t="s">
        <v>4682</v>
      </c>
      <c r="D1429" s="57" t="s">
        <v>2582</v>
      </c>
      <c r="E1429" s="57" t="s">
        <v>4772</v>
      </c>
      <c r="F1429" s="58" t="s">
        <v>4873</v>
      </c>
      <c r="G1429" s="57">
        <v>6</v>
      </c>
      <c r="H1429" s="57" t="s">
        <v>2557</v>
      </c>
      <c r="I1429" s="58">
        <v>71145</v>
      </c>
      <c r="J1429" s="234" t="s">
        <v>1224</v>
      </c>
      <c r="K1429" s="58">
        <v>148.72</v>
      </c>
      <c r="L1429" s="58">
        <v>0.6</v>
      </c>
      <c r="M1429" s="58">
        <v>0</v>
      </c>
      <c r="N1429" s="58">
        <v>7.1873100000000001</v>
      </c>
      <c r="O1429" s="224">
        <f t="shared" si="10"/>
        <v>148.12</v>
      </c>
      <c r="P1429" s="227">
        <f t="shared" si="11"/>
        <v>20.608544782401204</v>
      </c>
    </row>
    <row r="1430" spans="1:16" ht="14.25">
      <c r="A1430" s="224">
        <v>1429</v>
      </c>
      <c r="B1430" s="58">
        <v>168</v>
      </c>
      <c r="C1430" s="57" t="s">
        <v>4874</v>
      </c>
      <c r="D1430" s="57" t="s">
        <v>45</v>
      </c>
      <c r="E1430" s="57" t="s">
        <v>4772</v>
      </c>
      <c r="F1430" s="58" t="s">
        <v>4875</v>
      </c>
      <c r="G1430" s="57">
        <v>6</v>
      </c>
      <c r="H1430" s="57" t="s">
        <v>2557</v>
      </c>
      <c r="I1430" s="58">
        <v>71169</v>
      </c>
      <c r="J1430" s="234" t="s">
        <v>1221</v>
      </c>
      <c r="K1430" s="58">
        <v>1.98</v>
      </c>
      <c r="L1430" s="58">
        <v>0.06</v>
      </c>
      <c r="M1430" s="58">
        <v>0</v>
      </c>
      <c r="N1430" s="58">
        <v>1</v>
      </c>
      <c r="O1430" s="224">
        <f t="shared" si="10"/>
        <v>1.92</v>
      </c>
      <c r="P1430" s="227">
        <f t="shared" si="11"/>
        <v>1.92</v>
      </c>
    </row>
    <row r="1431" spans="1:16" ht="14.25">
      <c r="A1431" s="224">
        <v>1430</v>
      </c>
      <c r="B1431" s="58">
        <v>171</v>
      </c>
      <c r="C1431" s="57" t="s">
        <v>4876</v>
      </c>
      <c r="D1431" s="57" t="s">
        <v>45</v>
      </c>
      <c r="E1431" s="57" t="s">
        <v>4772</v>
      </c>
      <c r="F1431" s="58" t="s">
        <v>4877</v>
      </c>
      <c r="G1431" s="57">
        <v>6</v>
      </c>
      <c r="H1431" s="57" t="s">
        <v>2557</v>
      </c>
      <c r="I1431" s="58">
        <v>71181</v>
      </c>
      <c r="J1431" s="234" t="s">
        <v>1218</v>
      </c>
      <c r="K1431" s="58">
        <v>1.98</v>
      </c>
      <c r="L1431" s="58">
        <v>0.06</v>
      </c>
      <c r="M1431" s="58">
        <v>0</v>
      </c>
      <c r="N1431" s="58">
        <v>1</v>
      </c>
      <c r="O1431" s="224">
        <f t="shared" si="10"/>
        <v>1.92</v>
      </c>
      <c r="P1431" s="227">
        <f t="shared" si="11"/>
        <v>1.92</v>
      </c>
    </row>
    <row r="1432" spans="1:16" ht="14.25">
      <c r="A1432" s="224">
        <v>1431</v>
      </c>
      <c r="B1432" s="58">
        <v>24899</v>
      </c>
      <c r="C1432" s="57" t="s">
        <v>4878</v>
      </c>
      <c r="D1432" s="57" t="s">
        <v>2582</v>
      </c>
      <c r="E1432" s="57" t="s">
        <v>4772</v>
      </c>
      <c r="F1432" s="58" t="s">
        <v>4879</v>
      </c>
      <c r="G1432" s="57">
        <v>6</v>
      </c>
      <c r="H1432" s="57" t="s">
        <v>2557</v>
      </c>
      <c r="I1432" s="58">
        <v>71193</v>
      </c>
      <c r="J1432" s="234" t="s">
        <v>1215</v>
      </c>
      <c r="K1432" s="58">
        <v>7.19</v>
      </c>
      <c r="L1432" s="58">
        <v>0.03</v>
      </c>
      <c r="M1432" s="58">
        <v>0</v>
      </c>
      <c r="N1432" s="58">
        <v>7.1873100000000001</v>
      </c>
      <c r="O1432" s="224">
        <f t="shared" si="10"/>
        <v>7.16</v>
      </c>
      <c r="P1432" s="227">
        <f t="shared" si="11"/>
        <v>0.99620024738045254</v>
      </c>
    </row>
    <row r="1433" spans="1:16" ht="14.25">
      <c r="A1433" s="224">
        <v>1432</v>
      </c>
      <c r="B1433" s="58">
        <v>25407</v>
      </c>
      <c r="C1433" s="57" t="s">
        <v>522</v>
      </c>
      <c r="D1433" s="57" t="s">
        <v>45</v>
      </c>
      <c r="E1433" s="57" t="s">
        <v>9</v>
      </c>
      <c r="F1433" s="58" t="s">
        <v>4880</v>
      </c>
      <c r="G1433" s="57">
        <v>6</v>
      </c>
      <c r="H1433" s="57" t="s">
        <v>2557</v>
      </c>
      <c r="I1433" s="58">
        <v>70857</v>
      </c>
      <c r="J1433" s="234" t="s">
        <v>554</v>
      </c>
      <c r="K1433" s="58">
        <v>6.99</v>
      </c>
      <c r="L1433" s="58">
        <v>0.73</v>
      </c>
      <c r="M1433" s="58">
        <v>0</v>
      </c>
      <c r="N1433" s="58">
        <v>1</v>
      </c>
      <c r="O1433" s="224">
        <f t="shared" si="10"/>
        <v>6.26</v>
      </c>
      <c r="P1433" s="227">
        <f t="shared" si="11"/>
        <v>6.26</v>
      </c>
    </row>
    <row r="1434" spans="1:16" ht="14.25">
      <c r="A1434" s="224">
        <v>1433</v>
      </c>
      <c r="B1434" s="58">
        <v>3974</v>
      </c>
      <c r="C1434" s="57" t="s">
        <v>2844</v>
      </c>
      <c r="D1434" s="57" t="s">
        <v>45</v>
      </c>
      <c r="E1434" s="57" t="s">
        <v>2860</v>
      </c>
      <c r="F1434" s="58" t="s">
        <v>4881</v>
      </c>
      <c r="G1434" s="57">
        <v>6</v>
      </c>
      <c r="H1434" s="57" t="s">
        <v>2557</v>
      </c>
      <c r="I1434" s="58">
        <v>71001</v>
      </c>
      <c r="J1434" s="234" t="s">
        <v>4882</v>
      </c>
      <c r="K1434" s="58">
        <v>1.99</v>
      </c>
      <c r="L1434" s="58">
        <v>0</v>
      </c>
      <c r="M1434" s="58">
        <v>0</v>
      </c>
      <c r="N1434" s="58">
        <v>1</v>
      </c>
      <c r="O1434" s="224">
        <f t="shared" si="10"/>
        <v>1.99</v>
      </c>
      <c r="P1434" s="227">
        <f t="shared" si="11"/>
        <v>1.99</v>
      </c>
    </row>
    <row r="1435" spans="1:16" ht="14.25">
      <c r="A1435" s="224">
        <v>1434</v>
      </c>
      <c r="B1435" s="58">
        <v>6145</v>
      </c>
      <c r="C1435" s="57" t="s">
        <v>2805</v>
      </c>
      <c r="D1435" s="57" t="s">
        <v>45</v>
      </c>
      <c r="E1435" s="57" t="s">
        <v>2860</v>
      </c>
      <c r="F1435" s="58" t="s">
        <v>4883</v>
      </c>
      <c r="G1435" s="57">
        <v>6</v>
      </c>
      <c r="H1435" s="57" t="s">
        <v>2557</v>
      </c>
      <c r="I1435" s="58">
        <v>69068</v>
      </c>
      <c r="J1435" s="234" t="s">
        <v>4884</v>
      </c>
      <c r="K1435" s="58">
        <v>3.99</v>
      </c>
      <c r="L1435" s="58">
        <v>0</v>
      </c>
      <c r="M1435" s="58">
        <v>0</v>
      </c>
      <c r="N1435" s="58">
        <v>1</v>
      </c>
      <c r="O1435" s="224">
        <f t="shared" si="10"/>
        <v>3.99</v>
      </c>
      <c r="P1435" s="227">
        <f t="shared" si="11"/>
        <v>3.99</v>
      </c>
    </row>
    <row r="1436" spans="1:16" ht="14.25">
      <c r="A1436" s="224">
        <v>1435</v>
      </c>
      <c r="B1436" s="58">
        <v>24845</v>
      </c>
      <c r="C1436" s="57" t="s">
        <v>4314</v>
      </c>
      <c r="D1436" s="57" t="s">
        <v>45</v>
      </c>
      <c r="E1436" s="57" t="s">
        <v>4772</v>
      </c>
      <c r="F1436" s="58" t="s">
        <v>4885</v>
      </c>
      <c r="G1436" s="57">
        <v>6</v>
      </c>
      <c r="H1436" s="57" t="s">
        <v>2557</v>
      </c>
      <c r="I1436" s="58">
        <v>68828</v>
      </c>
      <c r="J1436" s="234" t="s">
        <v>1245</v>
      </c>
      <c r="K1436" s="58">
        <v>2.99</v>
      </c>
      <c r="L1436" s="58">
        <v>0.09</v>
      </c>
      <c r="M1436" s="58">
        <v>0</v>
      </c>
      <c r="N1436" s="58">
        <v>1</v>
      </c>
      <c r="O1436" s="224">
        <f t="shared" si="10"/>
        <v>2.9000000000000004</v>
      </c>
      <c r="P1436" s="227">
        <f t="shared" si="11"/>
        <v>2.9000000000000004</v>
      </c>
    </row>
    <row r="1437" spans="1:16" ht="14.25">
      <c r="A1437" s="224">
        <v>1436</v>
      </c>
      <c r="B1437" s="58">
        <v>21547</v>
      </c>
      <c r="C1437" s="57" t="s">
        <v>4886</v>
      </c>
      <c r="D1437" s="57" t="s">
        <v>45</v>
      </c>
      <c r="E1437" s="57" t="s">
        <v>2860</v>
      </c>
      <c r="F1437" s="58" t="s">
        <v>4887</v>
      </c>
      <c r="G1437" s="57">
        <v>6</v>
      </c>
      <c r="H1437" s="57" t="s">
        <v>2557</v>
      </c>
      <c r="I1437" s="58">
        <v>71205</v>
      </c>
      <c r="J1437" s="234" t="s">
        <v>4888</v>
      </c>
      <c r="K1437" s="58">
        <v>1.98</v>
      </c>
      <c r="L1437" s="58">
        <v>0</v>
      </c>
      <c r="M1437" s="58">
        <v>0</v>
      </c>
      <c r="N1437" s="58">
        <v>1</v>
      </c>
      <c r="O1437" s="224">
        <f t="shared" si="10"/>
        <v>1.98</v>
      </c>
      <c r="P1437" s="227">
        <f t="shared" si="11"/>
        <v>1.98</v>
      </c>
    </row>
    <row r="1438" spans="1:16" ht="14.25">
      <c r="A1438" s="224">
        <v>1437</v>
      </c>
      <c r="B1438" s="58">
        <v>1836</v>
      </c>
      <c r="C1438" s="57" t="s">
        <v>2882</v>
      </c>
      <c r="D1438" s="57" t="s">
        <v>2582</v>
      </c>
      <c r="E1438" s="57" t="s">
        <v>2860</v>
      </c>
      <c r="F1438" s="58" t="s">
        <v>4889</v>
      </c>
      <c r="G1438" s="57">
        <v>6</v>
      </c>
      <c r="H1438" s="57" t="s">
        <v>2557</v>
      </c>
      <c r="I1438" s="58">
        <v>71301</v>
      </c>
      <c r="J1438" s="234" t="s">
        <v>4890</v>
      </c>
      <c r="K1438" s="58">
        <v>86.84</v>
      </c>
      <c r="L1438" s="58">
        <v>0</v>
      </c>
      <c r="M1438" s="58">
        <v>0</v>
      </c>
      <c r="N1438" s="58">
        <v>7.17699</v>
      </c>
      <c r="O1438" s="224">
        <f t="shared" si="10"/>
        <v>86.84</v>
      </c>
      <c r="P1438" s="227">
        <f t="shared" si="11"/>
        <v>12.099779991333415</v>
      </c>
    </row>
    <row r="1439" spans="1:16" ht="14.25">
      <c r="A1439" s="224">
        <v>1438</v>
      </c>
      <c r="B1439" s="58">
        <v>2300</v>
      </c>
      <c r="C1439" s="57" t="s">
        <v>2962</v>
      </c>
      <c r="D1439" s="57" t="s">
        <v>45</v>
      </c>
      <c r="E1439" s="57" t="s">
        <v>2860</v>
      </c>
      <c r="F1439" s="58" t="s">
        <v>4891</v>
      </c>
      <c r="G1439" s="57">
        <v>6</v>
      </c>
      <c r="H1439" s="57" t="s">
        <v>2557</v>
      </c>
      <c r="I1439" s="58">
        <v>68060</v>
      </c>
      <c r="J1439" s="234" t="s">
        <v>4892</v>
      </c>
      <c r="K1439" s="58">
        <v>8.99</v>
      </c>
      <c r="L1439" s="58">
        <v>0</v>
      </c>
      <c r="M1439" s="58">
        <v>0</v>
      </c>
      <c r="N1439" s="58">
        <v>1</v>
      </c>
      <c r="O1439" s="224">
        <f t="shared" si="10"/>
        <v>8.99</v>
      </c>
      <c r="P1439" s="227">
        <f t="shared" si="11"/>
        <v>8.99</v>
      </c>
    </row>
    <row r="1440" spans="1:16" ht="14.25">
      <c r="A1440" s="224">
        <v>1439</v>
      </c>
      <c r="B1440" s="58">
        <v>20647</v>
      </c>
      <c r="C1440" s="57" t="s">
        <v>3558</v>
      </c>
      <c r="D1440" s="57" t="s">
        <v>2582</v>
      </c>
      <c r="E1440" s="57" t="s">
        <v>4772</v>
      </c>
      <c r="F1440" s="58" t="s">
        <v>4893</v>
      </c>
      <c r="G1440" s="57">
        <v>6</v>
      </c>
      <c r="H1440" s="57" t="s">
        <v>2557</v>
      </c>
      <c r="I1440" s="58">
        <v>71313</v>
      </c>
      <c r="J1440" s="234" t="s">
        <v>1242</v>
      </c>
      <c r="K1440" s="58">
        <v>50.17</v>
      </c>
      <c r="L1440" s="58">
        <v>0.21</v>
      </c>
      <c r="M1440" s="58">
        <v>0</v>
      </c>
      <c r="N1440" s="58">
        <v>7.17699</v>
      </c>
      <c r="O1440" s="224">
        <f t="shared" si="10"/>
        <v>49.96</v>
      </c>
      <c r="P1440" s="227">
        <f t="shared" si="11"/>
        <v>6.9611355178145713</v>
      </c>
    </row>
    <row r="1441" spans="1:16" ht="14.25">
      <c r="A1441" s="224">
        <v>1440</v>
      </c>
      <c r="B1441" s="58">
        <v>5906</v>
      </c>
      <c r="C1441" s="57" t="s">
        <v>2768</v>
      </c>
      <c r="D1441" s="57" t="s">
        <v>45</v>
      </c>
      <c r="E1441" s="57" t="s">
        <v>9</v>
      </c>
      <c r="F1441" s="58" t="s">
        <v>4894</v>
      </c>
      <c r="G1441" s="57">
        <v>6</v>
      </c>
      <c r="H1441" s="57" t="s">
        <v>2557</v>
      </c>
      <c r="I1441" s="58">
        <v>68036</v>
      </c>
      <c r="J1441" s="234" t="s">
        <v>556</v>
      </c>
      <c r="K1441" s="58">
        <v>4.99</v>
      </c>
      <c r="L1441" s="58">
        <v>0.74</v>
      </c>
      <c r="M1441" s="58">
        <v>0</v>
      </c>
      <c r="N1441" s="58">
        <v>1</v>
      </c>
      <c r="O1441" s="224">
        <f t="shared" si="10"/>
        <v>4.25</v>
      </c>
      <c r="P1441" s="227">
        <f t="shared" si="11"/>
        <v>4.25</v>
      </c>
    </row>
    <row r="1442" spans="1:16" ht="14.25">
      <c r="A1442" s="224">
        <v>1441</v>
      </c>
      <c r="B1442" s="58">
        <v>27052</v>
      </c>
      <c r="C1442" s="57" t="s">
        <v>4895</v>
      </c>
      <c r="D1442" s="57" t="s">
        <v>2582</v>
      </c>
      <c r="E1442" s="57" t="s">
        <v>4772</v>
      </c>
      <c r="F1442" s="58" t="s">
        <v>4896</v>
      </c>
      <c r="G1442" s="57">
        <v>6</v>
      </c>
      <c r="H1442" s="57" t="s">
        <v>2557</v>
      </c>
      <c r="I1442" s="58">
        <v>71325</v>
      </c>
      <c r="J1442" s="234" t="s">
        <v>1239</v>
      </c>
      <c r="K1442" s="58">
        <v>143.47</v>
      </c>
      <c r="L1442" s="58">
        <v>0.57999999999999996</v>
      </c>
      <c r="M1442" s="58">
        <v>0</v>
      </c>
      <c r="N1442" s="58">
        <v>7.17699</v>
      </c>
      <c r="O1442" s="224">
        <f t="shared" si="10"/>
        <v>142.88999999999999</v>
      </c>
      <c r="P1442" s="227">
        <f t="shared" si="11"/>
        <v>19.909460651331546</v>
      </c>
    </row>
    <row r="1443" spans="1:16" ht="14.25">
      <c r="A1443" s="224">
        <v>1442</v>
      </c>
      <c r="B1443" s="58">
        <v>3826</v>
      </c>
      <c r="C1443" s="57" t="s">
        <v>423</v>
      </c>
      <c r="D1443" s="57" t="s">
        <v>45</v>
      </c>
      <c r="E1443" s="57" t="s">
        <v>9</v>
      </c>
      <c r="F1443" s="58" t="s">
        <v>4897</v>
      </c>
      <c r="G1443" s="57">
        <v>6</v>
      </c>
      <c r="H1443" s="57" t="s">
        <v>2557</v>
      </c>
      <c r="I1443" s="58">
        <v>70232</v>
      </c>
      <c r="J1443" s="234" t="s">
        <v>557</v>
      </c>
      <c r="K1443" s="58">
        <v>1.0900000000000001</v>
      </c>
      <c r="L1443" s="58">
        <v>0.54</v>
      </c>
      <c r="M1443" s="58">
        <v>0</v>
      </c>
      <c r="N1443" s="58">
        <v>1</v>
      </c>
      <c r="O1443" s="224">
        <f t="shared" si="10"/>
        <v>0.55000000000000004</v>
      </c>
      <c r="P1443" s="227">
        <f t="shared" si="11"/>
        <v>0.55000000000000004</v>
      </c>
    </row>
    <row r="1444" spans="1:16" ht="14.25">
      <c r="A1444" s="224">
        <v>1443</v>
      </c>
      <c r="B1444" s="58">
        <v>27111</v>
      </c>
      <c r="C1444" s="57" t="s">
        <v>4898</v>
      </c>
      <c r="D1444" s="57" t="s">
        <v>45</v>
      </c>
      <c r="E1444" s="57" t="s">
        <v>4772</v>
      </c>
      <c r="F1444" s="58" t="s">
        <v>4899</v>
      </c>
      <c r="G1444" s="57">
        <v>6</v>
      </c>
      <c r="H1444" s="57" t="s">
        <v>2557</v>
      </c>
      <c r="I1444" s="58">
        <v>71337</v>
      </c>
      <c r="J1444" s="234" t="s">
        <v>1236</v>
      </c>
      <c r="K1444" s="58">
        <v>2.99</v>
      </c>
      <c r="L1444" s="58">
        <v>0.09</v>
      </c>
      <c r="M1444" s="58">
        <v>0</v>
      </c>
      <c r="N1444" s="58">
        <v>1</v>
      </c>
      <c r="O1444" s="224">
        <f t="shared" si="10"/>
        <v>2.9000000000000004</v>
      </c>
      <c r="P1444" s="227">
        <f t="shared" si="11"/>
        <v>2.9000000000000004</v>
      </c>
    </row>
    <row r="1445" spans="1:16" ht="14.25">
      <c r="A1445" s="224">
        <v>1444</v>
      </c>
      <c r="B1445" s="58">
        <v>27117</v>
      </c>
      <c r="C1445" s="57" t="s">
        <v>4900</v>
      </c>
      <c r="D1445" s="57" t="s">
        <v>45</v>
      </c>
      <c r="E1445" s="57" t="s">
        <v>2860</v>
      </c>
      <c r="F1445" s="58" t="s">
        <v>4901</v>
      </c>
      <c r="G1445" s="57">
        <v>6</v>
      </c>
      <c r="H1445" s="57" t="s">
        <v>2557</v>
      </c>
      <c r="I1445" s="58">
        <v>71505</v>
      </c>
      <c r="J1445" s="234" t="s">
        <v>4902</v>
      </c>
      <c r="K1445" s="58">
        <v>18.39</v>
      </c>
      <c r="L1445" s="58">
        <v>0</v>
      </c>
      <c r="M1445" s="58">
        <v>0</v>
      </c>
      <c r="N1445" s="58">
        <v>1</v>
      </c>
      <c r="O1445" s="224">
        <f t="shared" si="10"/>
        <v>18.39</v>
      </c>
      <c r="P1445" s="227">
        <f t="shared" si="11"/>
        <v>18.39</v>
      </c>
    </row>
    <row r="1446" spans="1:16" ht="14.25">
      <c r="A1446" s="224">
        <v>1445</v>
      </c>
      <c r="B1446" s="58">
        <v>7191</v>
      </c>
      <c r="C1446" s="57" t="s">
        <v>2650</v>
      </c>
      <c r="D1446" s="57" t="s">
        <v>45</v>
      </c>
      <c r="E1446" s="57" t="s">
        <v>2860</v>
      </c>
      <c r="F1446" s="58" t="s">
        <v>4903</v>
      </c>
      <c r="G1446" s="57">
        <v>6</v>
      </c>
      <c r="H1446" s="57" t="s">
        <v>2557</v>
      </c>
      <c r="I1446" s="58">
        <v>68048</v>
      </c>
      <c r="J1446" s="234" t="s">
        <v>4904</v>
      </c>
      <c r="K1446" s="58">
        <v>1.79</v>
      </c>
      <c r="L1446" s="58">
        <v>0</v>
      </c>
      <c r="M1446" s="58">
        <v>0</v>
      </c>
      <c r="N1446" s="58">
        <v>1</v>
      </c>
      <c r="O1446" s="224">
        <f t="shared" si="10"/>
        <v>1.79</v>
      </c>
      <c r="P1446" s="227">
        <f t="shared" si="11"/>
        <v>1.79</v>
      </c>
    </row>
    <row r="1447" spans="1:16" ht="14.25">
      <c r="A1447" s="224">
        <v>1446</v>
      </c>
      <c r="B1447" s="58">
        <v>27123</v>
      </c>
      <c r="C1447" s="57" t="s">
        <v>4905</v>
      </c>
      <c r="D1447" s="57" t="s">
        <v>45</v>
      </c>
      <c r="E1447" s="57" t="s">
        <v>9</v>
      </c>
      <c r="F1447" s="58" t="s">
        <v>4906</v>
      </c>
      <c r="G1447" s="57">
        <v>6</v>
      </c>
      <c r="H1447" s="57" t="s">
        <v>2557</v>
      </c>
      <c r="I1447" s="58">
        <v>71517</v>
      </c>
      <c r="J1447" s="234" t="s">
        <v>562</v>
      </c>
      <c r="K1447" s="58">
        <v>20.25</v>
      </c>
      <c r="L1447" s="58">
        <v>1.5</v>
      </c>
      <c r="M1447" s="58">
        <v>0</v>
      </c>
      <c r="N1447" s="58">
        <v>1</v>
      </c>
      <c r="O1447" s="224">
        <f t="shared" si="10"/>
        <v>18.75</v>
      </c>
      <c r="P1447" s="227">
        <f t="shared" si="11"/>
        <v>18.75</v>
      </c>
    </row>
    <row r="1448" spans="1:16" ht="14.25">
      <c r="A1448" s="224">
        <v>1447</v>
      </c>
      <c r="B1448" s="58">
        <v>2676</v>
      </c>
      <c r="C1448" s="57" t="s">
        <v>4907</v>
      </c>
      <c r="D1448" s="57" t="s">
        <v>45</v>
      </c>
      <c r="E1448" s="57" t="s">
        <v>4772</v>
      </c>
      <c r="F1448" s="58" t="s">
        <v>4908</v>
      </c>
      <c r="G1448" s="57">
        <v>6</v>
      </c>
      <c r="H1448" s="57" t="s">
        <v>2557</v>
      </c>
      <c r="I1448" s="58">
        <v>71541</v>
      </c>
      <c r="J1448" s="234" t="s">
        <v>1248</v>
      </c>
      <c r="K1448" s="58">
        <v>5.49</v>
      </c>
      <c r="L1448" s="58">
        <v>0.16</v>
      </c>
      <c r="M1448" s="58">
        <v>0</v>
      </c>
      <c r="N1448" s="58">
        <v>1</v>
      </c>
      <c r="O1448" s="224">
        <f t="shared" si="10"/>
        <v>5.33</v>
      </c>
      <c r="P1448" s="227">
        <f t="shared" si="11"/>
        <v>5.33</v>
      </c>
    </row>
    <row r="1449" spans="1:16" ht="14.25">
      <c r="A1449" s="224">
        <v>1448</v>
      </c>
      <c r="B1449" s="58">
        <v>417</v>
      </c>
      <c r="C1449" s="57" t="s">
        <v>2682</v>
      </c>
      <c r="D1449" s="57" t="s">
        <v>2582</v>
      </c>
      <c r="E1449" s="57" t="s">
        <v>2860</v>
      </c>
      <c r="F1449" s="58" t="s">
        <v>4909</v>
      </c>
      <c r="G1449" s="57">
        <v>6</v>
      </c>
      <c r="H1449" s="57" t="s">
        <v>2557</v>
      </c>
      <c r="I1449" s="58">
        <v>68420</v>
      </c>
      <c r="J1449" s="234" t="s">
        <v>4910</v>
      </c>
      <c r="K1449" s="58">
        <v>7.75</v>
      </c>
      <c r="L1449" s="58">
        <v>0</v>
      </c>
      <c r="M1449" s="58">
        <v>0</v>
      </c>
      <c r="N1449" s="58">
        <v>7.17699</v>
      </c>
      <c r="O1449" s="224">
        <f t="shared" si="10"/>
        <v>7.75</v>
      </c>
      <c r="P1449" s="227">
        <f t="shared" si="11"/>
        <v>1.0798398771629889</v>
      </c>
    </row>
    <row r="1450" spans="1:16" ht="14.25">
      <c r="A1450" s="224">
        <v>1449</v>
      </c>
      <c r="B1450" s="58">
        <v>134</v>
      </c>
      <c r="C1450" s="57" t="s">
        <v>4911</v>
      </c>
      <c r="D1450" s="57" t="s">
        <v>45</v>
      </c>
      <c r="E1450" s="57" t="s">
        <v>9</v>
      </c>
      <c r="F1450" s="58" t="s">
        <v>4912</v>
      </c>
      <c r="G1450" s="57">
        <v>6</v>
      </c>
      <c r="H1450" s="57" t="s">
        <v>2557</v>
      </c>
      <c r="I1450" s="58">
        <v>71769</v>
      </c>
      <c r="J1450" s="234" t="s">
        <v>564</v>
      </c>
      <c r="K1450" s="58">
        <v>1.98</v>
      </c>
      <c r="L1450" s="58">
        <v>0.59</v>
      </c>
      <c r="M1450" s="58">
        <v>0</v>
      </c>
      <c r="N1450" s="58">
        <v>1</v>
      </c>
      <c r="O1450" s="224">
        <f t="shared" si="10"/>
        <v>1.3900000000000001</v>
      </c>
      <c r="P1450" s="227">
        <f t="shared" si="11"/>
        <v>1.3900000000000001</v>
      </c>
    </row>
    <row r="1451" spans="1:16" ht="14.25">
      <c r="A1451" s="224">
        <v>1450</v>
      </c>
      <c r="B1451" s="56">
        <v>392</v>
      </c>
      <c r="C1451" s="56" t="s">
        <v>2876</v>
      </c>
      <c r="D1451" s="56" t="s">
        <v>2582</v>
      </c>
      <c r="E1451" s="56" t="s">
        <v>2874</v>
      </c>
      <c r="F1451" s="56" t="s">
        <v>4913</v>
      </c>
      <c r="G1451" s="56">
        <v>6</v>
      </c>
      <c r="H1451" s="56" t="s">
        <v>2557</v>
      </c>
      <c r="I1451" s="56">
        <v>71829</v>
      </c>
      <c r="J1451" s="246"/>
      <c r="K1451" s="56">
        <v>116.21</v>
      </c>
      <c r="L1451" s="56">
        <v>0</v>
      </c>
      <c r="M1451" s="56">
        <v>0</v>
      </c>
      <c r="N1451" s="56">
        <v>7.17699</v>
      </c>
      <c r="O1451" s="181">
        <f t="shared" si="10"/>
        <v>116.21</v>
      </c>
      <c r="P1451" s="247">
        <f t="shared" si="11"/>
        <v>16.192024790336895</v>
      </c>
    </row>
    <row r="1452" spans="1:16" ht="14.25">
      <c r="A1452" s="224">
        <v>1451</v>
      </c>
      <c r="B1452" s="58">
        <v>25287</v>
      </c>
      <c r="C1452" s="57" t="s">
        <v>4587</v>
      </c>
      <c r="D1452" s="57" t="s">
        <v>45</v>
      </c>
      <c r="E1452" s="57" t="s">
        <v>4772</v>
      </c>
      <c r="F1452" s="58" t="s">
        <v>4914</v>
      </c>
      <c r="G1452" s="57">
        <v>6</v>
      </c>
      <c r="H1452" s="57" t="s">
        <v>2557</v>
      </c>
      <c r="I1452" s="58">
        <v>71841</v>
      </c>
      <c r="J1452" s="234" t="s">
        <v>1257</v>
      </c>
      <c r="K1452" s="58">
        <v>5.49</v>
      </c>
      <c r="L1452" s="58">
        <v>0.16</v>
      </c>
      <c r="M1452" s="58">
        <v>0</v>
      </c>
      <c r="N1452" s="58">
        <v>1</v>
      </c>
      <c r="O1452" s="224">
        <f t="shared" si="10"/>
        <v>5.33</v>
      </c>
      <c r="P1452" s="227">
        <f t="shared" si="11"/>
        <v>5.33</v>
      </c>
    </row>
    <row r="1453" spans="1:16" ht="14.25">
      <c r="A1453" s="224">
        <v>1452</v>
      </c>
      <c r="B1453" s="58">
        <v>133</v>
      </c>
      <c r="C1453" s="57" t="s">
        <v>4915</v>
      </c>
      <c r="D1453" s="57" t="s">
        <v>45</v>
      </c>
      <c r="E1453" s="57" t="s">
        <v>4772</v>
      </c>
      <c r="F1453" s="58" t="s">
        <v>4916</v>
      </c>
      <c r="G1453" s="57">
        <v>6</v>
      </c>
      <c r="H1453" s="57" t="s">
        <v>2557</v>
      </c>
      <c r="I1453" s="58">
        <v>71805</v>
      </c>
      <c r="J1453" s="234" t="s">
        <v>1254</v>
      </c>
      <c r="K1453" s="58">
        <v>1.98</v>
      </c>
      <c r="L1453" s="58">
        <v>0.06</v>
      </c>
      <c r="M1453" s="58">
        <v>0</v>
      </c>
      <c r="N1453" s="58">
        <v>1</v>
      </c>
      <c r="O1453" s="224">
        <f t="shared" si="10"/>
        <v>1.92</v>
      </c>
      <c r="P1453" s="227">
        <f t="shared" si="11"/>
        <v>1.92</v>
      </c>
    </row>
    <row r="1454" spans="1:16" ht="14.25">
      <c r="A1454" s="224">
        <v>1453</v>
      </c>
      <c r="B1454" s="58">
        <v>27167</v>
      </c>
      <c r="C1454" s="57" t="s">
        <v>4917</v>
      </c>
      <c r="D1454" s="57" t="s">
        <v>45</v>
      </c>
      <c r="E1454" s="57" t="s">
        <v>4772</v>
      </c>
      <c r="F1454" s="58" t="s">
        <v>4918</v>
      </c>
      <c r="G1454" s="57">
        <v>6</v>
      </c>
      <c r="H1454" s="57" t="s">
        <v>2557</v>
      </c>
      <c r="I1454" s="58">
        <v>71853</v>
      </c>
      <c r="J1454" s="234" t="s">
        <v>1251</v>
      </c>
      <c r="K1454" s="58">
        <v>20.25</v>
      </c>
      <c r="L1454" s="58">
        <v>0.59</v>
      </c>
      <c r="M1454" s="58">
        <v>0</v>
      </c>
      <c r="N1454" s="58">
        <v>1</v>
      </c>
      <c r="O1454" s="224">
        <f t="shared" si="10"/>
        <v>19.66</v>
      </c>
      <c r="P1454" s="227">
        <f t="shared" si="11"/>
        <v>19.66</v>
      </c>
    </row>
    <row r="1455" spans="1:16" ht="14.25">
      <c r="A1455" s="224">
        <v>1454</v>
      </c>
      <c r="B1455" s="58">
        <v>21325</v>
      </c>
      <c r="C1455" s="57" t="s">
        <v>3663</v>
      </c>
      <c r="D1455" s="57" t="s">
        <v>45</v>
      </c>
      <c r="E1455" s="57" t="s">
        <v>2860</v>
      </c>
      <c r="F1455" s="58" t="s">
        <v>4919</v>
      </c>
      <c r="G1455" s="57">
        <v>6</v>
      </c>
      <c r="H1455" s="57" t="s">
        <v>2557</v>
      </c>
      <c r="I1455" s="58">
        <v>71757</v>
      </c>
      <c r="J1455" s="234" t="s">
        <v>4920</v>
      </c>
      <c r="K1455" s="58">
        <v>2.79</v>
      </c>
      <c r="L1455" s="58">
        <v>0</v>
      </c>
      <c r="M1455" s="58">
        <v>0</v>
      </c>
      <c r="N1455" s="58">
        <v>1</v>
      </c>
      <c r="O1455" s="224">
        <f t="shared" si="10"/>
        <v>2.79</v>
      </c>
      <c r="P1455" s="227">
        <f t="shared" si="11"/>
        <v>2.79</v>
      </c>
    </row>
    <row r="1456" spans="1:16" ht="14.25">
      <c r="A1456" s="224">
        <v>1455</v>
      </c>
      <c r="B1456" s="58">
        <v>25286</v>
      </c>
      <c r="C1456" s="57" t="s">
        <v>4583</v>
      </c>
      <c r="D1456" s="57" t="s">
        <v>2582</v>
      </c>
      <c r="E1456" s="57" t="s">
        <v>2860</v>
      </c>
      <c r="F1456" s="58" t="s">
        <v>4921</v>
      </c>
      <c r="G1456" s="57">
        <v>6</v>
      </c>
      <c r="H1456" s="57" t="s">
        <v>2557</v>
      </c>
      <c r="I1456" s="58">
        <v>70052</v>
      </c>
      <c r="J1456" s="234" t="s">
        <v>4922</v>
      </c>
      <c r="K1456" s="58">
        <v>143.83000000000001</v>
      </c>
      <c r="L1456" s="58">
        <v>0</v>
      </c>
      <c r="M1456" s="58">
        <v>0</v>
      </c>
      <c r="N1456" s="58">
        <v>7.17699</v>
      </c>
      <c r="O1456" s="224">
        <f t="shared" si="10"/>
        <v>143.83000000000001</v>
      </c>
      <c r="P1456" s="227">
        <f t="shared" si="11"/>
        <v>20.040434778368091</v>
      </c>
    </row>
    <row r="1457" spans="1:16" ht="14.25">
      <c r="A1457" s="224">
        <v>1456</v>
      </c>
      <c r="B1457" s="58">
        <v>70</v>
      </c>
      <c r="C1457" s="57" t="s">
        <v>4923</v>
      </c>
      <c r="D1457" s="57" t="s">
        <v>45</v>
      </c>
      <c r="E1457" s="57" t="s">
        <v>9</v>
      </c>
      <c r="F1457" s="58" t="s">
        <v>4924</v>
      </c>
      <c r="G1457" s="57">
        <v>6</v>
      </c>
      <c r="H1457" s="57" t="s">
        <v>2557</v>
      </c>
      <c r="I1457" s="58">
        <v>69404</v>
      </c>
      <c r="J1457" s="234" t="s">
        <v>567</v>
      </c>
      <c r="K1457" s="58">
        <v>1</v>
      </c>
      <c r="L1457" s="58">
        <v>0.54</v>
      </c>
      <c r="M1457" s="58">
        <v>0</v>
      </c>
      <c r="N1457" s="58">
        <v>1</v>
      </c>
      <c r="O1457" s="224">
        <f t="shared" si="10"/>
        <v>0.45999999999999996</v>
      </c>
      <c r="P1457" s="227">
        <f t="shared" si="11"/>
        <v>0.45999999999999996</v>
      </c>
    </row>
    <row r="1458" spans="1:16" ht="14.25">
      <c r="A1458" s="224">
        <v>1457</v>
      </c>
      <c r="B1458" s="58">
        <v>25285</v>
      </c>
      <c r="C1458" s="57" t="s">
        <v>4585</v>
      </c>
      <c r="D1458" s="57" t="s">
        <v>45</v>
      </c>
      <c r="E1458" s="57" t="s">
        <v>4772</v>
      </c>
      <c r="F1458" s="58" t="s">
        <v>4925</v>
      </c>
      <c r="G1458" s="57">
        <v>6</v>
      </c>
      <c r="H1458" s="57" t="s">
        <v>2557</v>
      </c>
      <c r="I1458" s="58">
        <v>72273</v>
      </c>
      <c r="J1458" s="234" t="s">
        <v>1266</v>
      </c>
      <c r="K1458" s="58">
        <v>20.25</v>
      </c>
      <c r="L1458" s="58">
        <v>0.59</v>
      </c>
      <c r="M1458" s="58">
        <v>0</v>
      </c>
      <c r="N1458" s="58">
        <v>1</v>
      </c>
      <c r="O1458" s="224">
        <f t="shared" si="10"/>
        <v>19.66</v>
      </c>
      <c r="P1458" s="227">
        <f t="shared" si="11"/>
        <v>19.66</v>
      </c>
    </row>
    <row r="1459" spans="1:16" ht="14.25">
      <c r="A1459" s="224">
        <v>1458</v>
      </c>
      <c r="B1459" s="58">
        <v>1560</v>
      </c>
      <c r="C1459" s="57" t="s">
        <v>2630</v>
      </c>
      <c r="D1459" s="57" t="s">
        <v>45</v>
      </c>
      <c r="E1459" s="57" t="s">
        <v>4772</v>
      </c>
      <c r="F1459" s="58" t="s">
        <v>4926</v>
      </c>
      <c r="G1459" s="57">
        <v>6</v>
      </c>
      <c r="H1459" s="57" t="s">
        <v>2557</v>
      </c>
      <c r="I1459" s="58">
        <v>72285</v>
      </c>
      <c r="J1459" s="234" t="s">
        <v>1263</v>
      </c>
      <c r="K1459" s="58">
        <v>2.99</v>
      </c>
      <c r="L1459" s="58">
        <v>0.09</v>
      </c>
      <c r="M1459" s="58">
        <v>0</v>
      </c>
      <c r="N1459" s="58">
        <v>1</v>
      </c>
      <c r="O1459" s="224">
        <f t="shared" si="10"/>
        <v>2.9000000000000004</v>
      </c>
      <c r="P1459" s="227">
        <f t="shared" si="11"/>
        <v>2.9000000000000004</v>
      </c>
    </row>
    <row r="1460" spans="1:16" ht="14.25">
      <c r="A1460" s="224">
        <v>1459</v>
      </c>
      <c r="B1460" s="58">
        <v>1836</v>
      </c>
      <c r="C1460" s="57" t="s">
        <v>2882</v>
      </c>
      <c r="D1460" s="57" t="s">
        <v>2582</v>
      </c>
      <c r="E1460" s="57" t="s">
        <v>2860</v>
      </c>
      <c r="F1460" s="58" t="s">
        <v>4927</v>
      </c>
      <c r="G1460" s="57">
        <v>6</v>
      </c>
      <c r="H1460" s="57" t="s">
        <v>2557</v>
      </c>
      <c r="I1460" s="58">
        <v>71589</v>
      </c>
      <c r="J1460" s="234" t="s">
        <v>4928</v>
      </c>
      <c r="K1460" s="58">
        <v>87.1</v>
      </c>
      <c r="L1460" s="58">
        <v>0</v>
      </c>
      <c r="M1460" s="58">
        <v>0</v>
      </c>
      <c r="N1460" s="58">
        <v>7.1863700000000001</v>
      </c>
      <c r="O1460" s="224">
        <f t="shared" si="10"/>
        <v>87.1</v>
      </c>
      <c r="P1460" s="227">
        <f t="shared" si="11"/>
        <v>12.120166370504162</v>
      </c>
    </row>
    <row r="1461" spans="1:16" ht="14.25">
      <c r="A1461" s="224">
        <v>1460</v>
      </c>
      <c r="B1461" s="58">
        <v>185</v>
      </c>
      <c r="C1461" s="57" t="s">
        <v>4929</v>
      </c>
      <c r="D1461" s="57" t="s">
        <v>45</v>
      </c>
      <c r="E1461" s="57" t="s">
        <v>4772</v>
      </c>
      <c r="F1461" s="58" t="s">
        <v>4930</v>
      </c>
      <c r="G1461" s="57">
        <v>6</v>
      </c>
      <c r="H1461" s="57" t="s">
        <v>2557</v>
      </c>
      <c r="I1461" s="58">
        <v>72297</v>
      </c>
      <c r="J1461" s="234" t="s">
        <v>1260</v>
      </c>
      <c r="K1461" s="58">
        <v>1.98</v>
      </c>
      <c r="L1461" s="58">
        <v>0.06</v>
      </c>
      <c r="M1461" s="58">
        <v>0</v>
      </c>
      <c r="N1461" s="58">
        <v>1</v>
      </c>
      <c r="O1461" s="224">
        <f t="shared" si="10"/>
        <v>1.92</v>
      </c>
      <c r="P1461" s="227">
        <f t="shared" si="11"/>
        <v>1.92</v>
      </c>
    </row>
    <row r="1462" spans="1:16" ht="14.25">
      <c r="A1462" s="224">
        <v>1461</v>
      </c>
      <c r="B1462" s="58">
        <v>27123</v>
      </c>
      <c r="C1462" s="57" t="s">
        <v>4905</v>
      </c>
      <c r="D1462" s="57" t="s">
        <v>45</v>
      </c>
      <c r="E1462" s="57" t="s">
        <v>9</v>
      </c>
      <c r="F1462" s="58" t="s">
        <v>4931</v>
      </c>
      <c r="G1462" s="57">
        <v>6</v>
      </c>
      <c r="H1462" s="57" t="s">
        <v>4932</v>
      </c>
      <c r="I1462" s="58">
        <v>71517</v>
      </c>
      <c r="J1462" s="234"/>
      <c r="K1462" s="58">
        <v>0</v>
      </c>
      <c r="L1462" s="58">
        <v>-1.5</v>
      </c>
      <c r="M1462" s="58">
        <v>20.25</v>
      </c>
      <c r="N1462" s="58">
        <v>1</v>
      </c>
      <c r="O1462" s="224">
        <f t="shared" si="10"/>
        <v>-18.75</v>
      </c>
      <c r="P1462" s="227">
        <f t="shared" si="11"/>
        <v>-18.75</v>
      </c>
    </row>
    <row r="1463" spans="1:16" ht="14.25">
      <c r="A1463" s="224">
        <v>1462</v>
      </c>
      <c r="B1463" s="58">
        <v>25285</v>
      </c>
      <c r="C1463" s="57" t="s">
        <v>4585</v>
      </c>
      <c r="D1463" s="57" t="s">
        <v>45</v>
      </c>
      <c r="E1463" s="57" t="s">
        <v>4772</v>
      </c>
      <c r="F1463" s="58" t="s">
        <v>4933</v>
      </c>
      <c r="G1463" s="57">
        <v>6</v>
      </c>
      <c r="H1463" s="57" t="s">
        <v>4934</v>
      </c>
      <c r="I1463" s="58">
        <v>72273</v>
      </c>
      <c r="J1463" s="234"/>
      <c r="K1463" s="58">
        <v>0</v>
      </c>
      <c r="L1463" s="58">
        <v>-0.59</v>
      </c>
      <c r="M1463" s="58">
        <v>20.25</v>
      </c>
      <c r="N1463" s="58">
        <v>1</v>
      </c>
      <c r="O1463" s="224">
        <f t="shared" si="10"/>
        <v>-19.66</v>
      </c>
      <c r="P1463" s="227">
        <f t="shared" si="11"/>
        <v>-19.66</v>
      </c>
    </row>
    <row r="1464" spans="1:16" ht="14.25">
      <c r="A1464" s="224">
        <v>1463</v>
      </c>
      <c r="B1464" s="58">
        <v>153</v>
      </c>
      <c r="C1464" s="57" t="s">
        <v>4935</v>
      </c>
      <c r="D1464" s="57" t="s">
        <v>45</v>
      </c>
      <c r="E1464" s="57" t="s">
        <v>2860</v>
      </c>
      <c r="F1464" s="58" t="s">
        <v>4936</v>
      </c>
      <c r="G1464" s="57">
        <v>6</v>
      </c>
      <c r="H1464" s="57" t="s">
        <v>2557</v>
      </c>
      <c r="I1464" s="58">
        <v>71913</v>
      </c>
      <c r="J1464" s="234" t="s">
        <v>4937</v>
      </c>
      <c r="K1464" s="58">
        <v>1.98</v>
      </c>
      <c r="L1464" s="58">
        <v>0</v>
      </c>
      <c r="M1464" s="58">
        <v>0</v>
      </c>
      <c r="N1464" s="58">
        <v>1</v>
      </c>
      <c r="O1464" s="224">
        <f t="shared" si="10"/>
        <v>1.98</v>
      </c>
      <c r="P1464" s="227">
        <f t="shared" si="11"/>
        <v>1.98</v>
      </c>
    </row>
    <row r="1465" spans="1:16" ht="14.25">
      <c r="A1465" s="224">
        <v>1464</v>
      </c>
      <c r="B1465" s="58">
        <v>25045</v>
      </c>
      <c r="C1465" s="57" t="s">
        <v>4420</v>
      </c>
      <c r="D1465" s="57" t="s">
        <v>45</v>
      </c>
      <c r="E1465" s="57" t="s">
        <v>2860</v>
      </c>
      <c r="F1465" s="58" t="s">
        <v>4938</v>
      </c>
      <c r="G1465" s="57">
        <v>6</v>
      </c>
      <c r="H1465" s="57" t="s">
        <v>2557</v>
      </c>
      <c r="I1465" s="58">
        <v>72405</v>
      </c>
      <c r="J1465" s="234" t="s">
        <v>4939</v>
      </c>
      <c r="K1465" s="58">
        <v>27.94</v>
      </c>
      <c r="L1465" s="58">
        <v>0</v>
      </c>
      <c r="M1465" s="58">
        <v>0</v>
      </c>
      <c r="N1465" s="58">
        <v>1</v>
      </c>
      <c r="O1465" s="224">
        <f t="shared" si="10"/>
        <v>27.94</v>
      </c>
      <c r="P1465" s="227">
        <f t="shared" si="11"/>
        <v>27.94</v>
      </c>
    </row>
    <row r="1466" spans="1:16" ht="14.25">
      <c r="A1466" s="224">
        <v>1465</v>
      </c>
      <c r="B1466" s="58">
        <v>7254</v>
      </c>
      <c r="C1466" s="57" t="s">
        <v>4521</v>
      </c>
      <c r="D1466" s="57" t="s">
        <v>45</v>
      </c>
      <c r="E1466" s="57" t="s">
        <v>2860</v>
      </c>
      <c r="F1466" s="58" t="s">
        <v>4940</v>
      </c>
      <c r="G1466" s="57">
        <v>6</v>
      </c>
      <c r="H1466" s="57" t="s">
        <v>2557</v>
      </c>
      <c r="I1466" s="58">
        <v>69788</v>
      </c>
      <c r="J1466" s="234" t="s">
        <v>4941</v>
      </c>
      <c r="K1466" s="58">
        <v>2.39</v>
      </c>
      <c r="L1466" s="58">
        <v>0</v>
      </c>
      <c r="M1466" s="58">
        <v>0</v>
      </c>
      <c r="N1466" s="58">
        <v>1</v>
      </c>
      <c r="O1466" s="224">
        <f t="shared" si="10"/>
        <v>2.39</v>
      </c>
      <c r="P1466" s="227">
        <f t="shared" si="11"/>
        <v>2.39</v>
      </c>
    </row>
    <row r="1467" spans="1:16" ht="14.25">
      <c r="A1467" s="224">
        <v>1466</v>
      </c>
      <c r="B1467" s="58">
        <v>22706</v>
      </c>
      <c r="C1467" s="57" t="s">
        <v>3915</v>
      </c>
      <c r="D1467" s="57" t="s">
        <v>45</v>
      </c>
      <c r="E1467" s="57" t="s">
        <v>2860</v>
      </c>
      <c r="F1467" s="58" t="s">
        <v>4942</v>
      </c>
      <c r="G1467" s="57">
        <v>6</v>
      </c>
      <c r="H1467" s="57" t="s">
        <v>2557</v>
      </c>
      <c r="I1467" s="58">
        <v>68192</v>
      </c>
      <c r="J1467" s="234" t="s">
        <v>4943</v>
      </c>
      <c r="K1467" s="58">
        <v>1.99</v>
      </c>
      <c r="L1467" s="58">
        <v>0</v>
      </c>
      <c r="M1467" s="58">
        <v>0</v>
      </c>
      <c r="N1467" s="58">
        <v>1</v>
      </c>
      <c r="O1467" s="224">
        <f t="shared" si="10"/>
        <v>1.99</v>
      </c>
      <c r="P1467" s="227">
        <f t="shared" si="11"/>
        <v>1.99</v>
      </c>
    </row>
    <row r="1468" spans="1:16" ht="14.25">
      <c r="A1468" s="224">
        <v>1467</v>
      </c>
      <c r="B1468" s="58">
        <v>26944</v>
      </c>
      <c r="C1468" s="57" t="s">
        <v>4944</v>
      </c>
      <c r="D1468" s="57" t="s">
        <v>45</v>
      </c>
      <c r="E1468" s="57" t="s">
        <v>4772</v>
      </c>
      <c r="F1468" s="58" t="s">
        <v>4945</v>
      </c>
      <c r="G1468" s="57">
        <v>6</v>
      </c>
      <c r="H1468" s="57" t="s">
        <v>2557</v>
      </c>
      <c r="I1468" s="58">
        <v>72429</v>
      </c>
      <c r="J1468" s="234" t="s">
        <v>1275</v>
      </c>
      <c r="K1468" s="58">
        <v>2.99</v>
      </c>
      <c r="L1468" s="58">
        <v>0.09</v>
      </c>
      <c r="M1468" s="58">
        <v>0</v>
      </c>
      <c r="N1468" s="58">
        <v>1</v>
      </c>
      <c r="O1468" s="224">
        <f t="shared" si="10"/>
        <v>2.9000000000000004</v>
      </c>
      <c r="P1468" s="227">
        <f t="shared" si="11"/>
        <v>2.9000000000000004</v>
      </c>
    </row>
    <row r="1469" spans="1:16" ht="14.25">
      <c r="A1469" s="224">
        <v>1468</v>
      </c>
      <c r="B1469" s="58">
        <v>21568</v>
      </c>
      <c r="C1469" s="57" t="s">
        <v>3720</v>
      </c>
      <c r="D1469" s="57" t="s">
        <v>45</v>
      </c>
      <c r="E1469" s="57" t="s">
        <v>4772</v>
      </c>
      <c r="F1469" s="58" t="s">
        <v>4946</v>
      </c>
      <c r="G1469" s="57">
        <v>6</v>
      </c>
      <c r="H1469" s="57" t="s">
        <v>2557</v>
      </c>
      <c r="I1469" s="58">
        <v>72441</v>
      </c>
      <c r="J1469" s="234" t="s">
        <v>1272</v>
      </c>
      <c r="K1469" s="58">
        <v>20.25</v>
      </c>
      <c r="L1469" s="58">
        <v>0.59</v>
      </c>
      <c r="M1469" s="58">
        <v>0</v>
      </c>
      <c r="N1469" s="58">
        <v>1</v>
      </c>
      <c r="O1469" s="224">
        <f t="shared" si="10"/>
        <v>19.66</v>
      </c>
      <c r="P1469" s="227">
        <f t="shared" si="11"/>
        <v>19.66</v>
      </c>
    </row>
    <row r="1470" spans="1:16" ht="14.25">
      <c r="A1470" s="224">
        <v>1469</v>
      </c>
      <c r="B1470" s="58">
        <v>27429</v>
      </c>
      <c r="C1470" s="57" t="s">
        <v>4947</v>
      </c>
      <c r="D1470" s="57" t="s">
        <v>45</v>
      </c>
      <c r="E1470" s="57" t="s">
        <v>4772</v>
      </c>
      <c r="F1470" s="58" t="s">
        <v>4948</v>
      </c>
      <c r="G1470" s="57">
        <v>6</v>
      </c>
      <c r="H1470" s="57" t="s">
        <v>2557</v>
      </c>
      <c r="I1470" s="58">
        <v>72453</v>
      </c>
      <c r="J1470" s="234" t="s">
        <v>1269</v>
      </c>
      <c r="K1470" s="58">
        <v>7.99</v>
      </c>
      <c r="L1470" s="58">
        <v>0.24</v>
      </c>
      <c r="M1470" s="58">
        <v>0</v>
      </c>
      <c r="N1470" s="58">
        <v>1</v>
      </c>
      <c r="O1470" s="224">
        <f t="shared" si="10"/>
        <v>7.75</v>
      </c>
      <c r="P1470" s="227">
        <f t="shared" si="11"/>
        <v>7.75</v>
      </c>
    </row>
    <row r="1471" spans="1:16" ht="14.25">
      <c r="A1471" s="224">
        <v>1470</v>
      </c>
      <c r="B1471" s="58">
        <v>20956</v>
      </c>
      <c r="C1471" s="57" t="s">
        <v>3627</v>
      </c>
      <c r="D1471" s="57" t="s">
        <v>45</v>
      </c>
      <c r="E1471" s="57" t="s">
        <v>2860</v>
      </c>
      <c r="F1471" s="58" t="s">
        <v>4949</v>
      </c>
      <c r="G1471" s="57">
        <v>6</v>
      </c>
      <c r="H1471" s="57" t="s">
        <v>2557</v>
      </c>
      <c r="I1471" s="58">
        <v>70280</v>
      </c>
      <c r="J1471" s="234" t="s">
        <v>4950</v>
      </c>
      <c r="K1471" s="58">
        <v>3.99</v>
      </c>
      <c r="L1471" s="58">
        <v>0</v>
      </c>
      <c r="M1471" s="58">
        <v>0</v>
      </c>
      <c r="N1471" s="58">
        <v>1</v>
      </c>
      <c r="O1471" s="224">
        <f t="shared" si="10"/>
        <v>3.99</v>
      </c>
      <c r="P1471" s="227">
        <f t="shared" si="11"/>
        <v>3.99</v>
      </c>
    </row>
    <row r="1472" spans="1:16" ht="14.25">
      <c r="A1472" s="224">
        <v>1471</v>
      </c>
      <c r="B1472" s="58">
        <v>27310</v>
      </c>
      <c r="C1472" s="57" t="s">
        <v>4951</v>
      </c>
      <c r="D1472" s="57" t="s">
        <v>45</v>
      </c>
      <c r="E1472" s="57" t="s">
        <v>4772</v>
      </c>
      <c r="F1472" s="58" t="s">
        <v>4952</v>
      </c>
      <c r="G1472" s="57">
        <v>6</v>
      </c>
      <c r="H1472" s="57" t="s">
        <v>2557</v>
      </c>
      <c r="I1472" s="58">
        <v>72741</v>
      </c>
      <c r="J1472" s="234" t="s">
        <v>1291</v>
      </c>
      <c r="K1472" s="58">
        <v>2.99</v>
      </c>
      <c r="L1472" s="58">
        <v>0.09</v>
      </c>
      <c r="M1472" s="58">
        <v>0</v>
      </c>
      <c r="N1472" s="58">
        <v>1</v>
      </c>
      <c r="O1472" s="224">
        <f t="shared" si="10"/>
        <v>2.9000000000000004</v>
      </c>
      <c r="P1472" s="227">
        <f t="shared" si="11"/>
        <v>2.9000000000000004</v>
      </c>
    </row>
    <row r="1473" spans="1:16" ht="14.25">
      <c r="A1473" s="224">
        <v>1472</v>
      </c>
      <c r="B1473" s="58">
        <v>219</v>
      </c>
      <c r="C1473" s="57" t="s">
        <v>4953</v>
      </c>
      <c r="D1473" s="57" t="s">
        <v>2582</v>
      </c>
      <c r="E1473" s="57" t="s">
        <v>4772</v>
      </c>
      <c r="F1473" s="58" t="s">
        <v>4954</v>
      </c>
      <c r="G1473" s="57">
        <v>6</v>
      </c>
      <c r="H1473" s="57" t="s">
        <v>2557</v>
      </c>
      <c r="I1473" s="58">
        <v>72753</v>
      </c>
      <c r="J1473" s="234" t="s">
        <v>1288</v>
      </c>
      <c r="K1473" s="58">
        <v>14.39</v>
      </c>
      <c r="L1473" s="58">
        <v>0.06</v>
      </c>
      <c r="M1473" s="58">
        <v>0</v>
      </c>
      <c r="N1473" s="58">
        <v>7.1745099999999997</v>
      </c>
      <c r="O1473" s="224">
        <f t="shared" si="10"/>
        <v>14.33</v>
      </c>
      <c r="P1473" s="227">
        <f t="shared" si="11"/>
        <v>1.9973489478723983</v>
      </c>
    </row>
    <row r="1474" spans="1:16" ht="14.25">
      <c r="A1474" s="224">
        <v>1473</v>
      </c>
      <c r="B1474" s="58">
        <v>1560</v>
      </c>
      <c r="C1474" s="57" t="s">
        <v>2630</v>
      </c>
      <c r="D1474" s="57" t="s">
        <v>45</v>
      </c>
      <c r="E1474" s="57" t="s">
        <v>2860</v>
      </c>
      <c r="F1474" s="58" t="s">
        <v>4955</v>
      </c>
      <c r="G1474" s="57">
        <v>6</v>
      </c>
      <c r="H1474" s="57" t="s">
        <v>2557</v>
      </c>
      <c r="I1474" s="58">
        <v>64532</v>
      </c>
      <c r="J1474" s="234" t="s">
        <v>4956</v>
      </c>
      <c r="K1474" s="58">
        <v>8.9700000000000006</v>
      </c>
      <c r="L1474" s="58">
        <v>0</v>
      </c>
      <c r="M1474" s="58">
        <v>0</v>
      </c>
      <c r="N1474" s="58">
        <v>1</v>
      </c>
      <c r="O1474" s="224">
        <f t="shared" si="10"/>
        <v>8.9700000000000006</v>
      </c>
      <c r="P1474" s="227">
        <f t="shared" si="11"/>
        <v>8.9700000000000006</v>
      </c>
    </row>
    <row r="1475" spans="1:16" ht="14.25">
      <c r="A1475" s="224">
        <v>1474</v>
      </c>
      <c r="B1475" s="58">
        <v>25736</v>
      </c>
      <c r="C1475" s="57" t="s">
        <v>4691</v>
      </c>
      <c r="D1475" s="57" t="s">
        <v>45</v>
      </c>
      <c r="E1475" s="57" t="s">
        <v>2860</v>
      </c>
      <c r="F1475" s="58" t="s">
        <v>4957</v>
      </c>
      <c r="G1475" s="57">
        <v>6</v>
      </c>
      <c r="H1475" s="57" t="s">
        <v>2557</v>
      </c>
      <c r="I1475" s="58">
        <v>72765</v>
      </c>
      <c r="J1475" s="234" t="s">
        <v>4958</v>
      </c>
      <c r="K1475" s="58">
        <v>13.99</v>
      </c>
      <c r="L1475" s="58">
        <v>0</v>
      </c>
      <c r="M1475" s="58">
        <v>0</v>
      </c>
      <c r="N1475" s="58">
        <v>1</v>
      </c>
      <c r="O1475" s="224">
        <f t="shared" si="10"/>
        <v>13.99</v>
      </c>
      <c r="P1475" s="227">
        <f t="shared" si="11"/>
        <v>13.99</v>
      </c>
    </row>
    <row r="1476" spans="1:16" ht="14.25">
      <c r="A1476" s="224">
        <v>1475</v>
      </c>
      <c r="B1476" s="58">
        <v>26470</v>
      </c>
      <c r="C1476" s="57" t="s">
        <v>4808</v>
      </c>
      <c r="D1476" s="57" t="s">
        <v>45</v>
      </c>
      <c r="E1476" s="57" t="s">
        <v>4772</v>
      </c>
      <c r="F1476" s="58" t="s">
        <v>4959</v>
      </c>
      <c r="G1476" s="57">
        <v>6</v>
      </c>
      <c r="H1476" s="57" t="s">
        <v>2557</v>
      </c>
      <c r="I1476" s="58">
        <v>72789</v>
      </c>
      <c r="J1476" s="234" t="s">
        <v>1285</v>
      </c>
      <c r="K1476" s="58">
        <v>587.99</v>
      </c>
      <c r="L1476" s="58">
        <v>17.059999999999999</v>
      </c>
      <c r="M1476" s="58">
        <v>0</v>
      </c>
      <c r="N1476" s="58">
        <v>1</v>
      </c>
      <c r="O1476" s="224">
        <f t="shared" si="10"/>
        <v>570.93000000000006</v>
      </c>
      <c r="P1476" s="227">
        <f t="shared" si="11"/>
        <v>570.93000000000006</v>
      </c>
    </row>
    <row r="1477" spans="1:16" ht="14.25">
      <c r="A1477" s="224">
        <v>1476</v>
      </c>
      <c r="B1477" s="58">
        <v>24044</v>
      </c>
      <c r="C1477" s="57" t="s">
        <v>4118</v>
      </c>
      <c r="D1477" s="57" t="s">
        <v>2582</v>
      </c>
      <c r="E1477" s="57" t="s">
        <v>4772</v>
      </c>
      <c r="F1477" s="58" t="s">
        <v>4960</v>
      </c>
      <c r="G1477" s="57">
        <v>6</v>
      </c>
      <c r="H1477" s="57" t="s">
        <v>2557</v>
      </c>
      <c r="I1477" s="58">
        <v>69128</v>
      </c>
      <c r="J1477" s="234" t="s">
        <v>1282</v>
      </c>
      <c r="K1477" s="58">
        <v>148.86000000000001</v>
      </c>
      <c r="L1477" s="58">
        <v>0.61</v>
      </c>
      <c r="M1477" s="58">
        <v>0</v>
      </c>
      <c r="N1477" s="58">
        <v>7.1745099999999997</v>
      </c>
      <c r="O1477" s="224">
        <f t="shared" si="10"/>
        <v>148.25</v>
      </c>
      <c r="P1477" s="227">
        <f t="shared" si="11"/>
        <v>20.663432067137688</v>
      </c>
    </row>
    <row r="1478" spans="1:16" ht="14.25">
      <c r="A1478" s="224">
        <v>1477</v>
      </c>
      <c r="B1478" s="56">
        <v>27659</v>
      </c>
      <c r="C1478" s="56" t="s">
        <v>4961</v>
      </c>
      <c r="D1478" s="56" t="s">
        <v>45</v>
      </c>
      <c r="E1478" s="56" t="s">
        <v>2874</v>
      </c>
      <c r="F1478" s="56" t="s">
        <v>4962</v>
      </c>
      <c r="G1478" s="56">
        <v>6</v>
      </c>
      <c r="H1478" s="56" t="s">
        <v>2557</v>
      </c>
      <c r="I1478" s="56">
        <v>73005</v>
      </c>
      <c r="J1478" s="246" t="s">
        <v>4963</v>
      </c>
      <c r="K1478" s="56">
        <v>11.69</v>
      </c>
      <c r="L1478" s="56">
        <v>0</v>
      </c>
      <c r="M1478" s="56">
        <v>0</v>
      </c>
      <c r="N1478" s="56">
        <v>1</v>
      </c>
      <c r="O1478" s="181">
        <f t="shared" si="10"/>
        <v>11.69</v>
      </c>
      <c r="P1478" s="247">
        <f t="shared" si="11"/>
        <v>11.69</v>
      </c>
    </row>
    <row r="1479" spans="1:16" ht="14.25">
      <c r="A1479" s="224">
        <v>1478</v>
      </c>
      <c r="B1479" s="56">
        <v>21385</v>
      </c>
      <c r="C1479" s="56" t="s">
        <v>3654</v>
      </c>
      <c r="D1479" s="56" t="s">
        <v>45</v>
      </c>
      <c r="E1479" s="56" t="s">
        <v>2874</v>
      </c>
      <c r="F1479" s="56" t="s">
        <v>4964</v>
      </c>
      <c r="G1479" s="56">
        <v>6</v>
      </c>
      <c r="H1479" s="56" t="s">
        <v>2557</v>
      </c>
      <c r="I1479" s="56">
        <v>71709</v>
      </c>
      <c r="J1479" s="246" t="s">
        <v>4965</v>
      </c>
      <c r="K1479" s="56">
        <v>13.99</v>
      </c>
      <c r="L1479" s="56">
        <v>0</v>
      </c>
      <c r="M1479" s="56">
        <v>0</v>
      </c>
      <c r="N1479" s="56">
        <v>1</v>
      </c>
      <c r="O1479" s="181">
        <f t="shared" si="10"/>
        <v>13.99</v>
      </c>
      <c r="P1479" s="247">
        <f t="shared" si="11"/>
        <v>13.99</v>
      </c>
    </row>
    <row r="1480" spans="1:16" ht="14.25">
      <c r="A1480" s="224">
        <v>1479</v>
      </c>
      <c r="B1480" s="58">
        <v>19275</v>
      </c>
      <c r="C1480" s="57" t="s">
        <v>3112</v>
      </c>
      <c r="D1480" s="57" t="s">
        <v>45</v>
      </c>
      <c r="E1480" s="57" t="s">
        <v>4772</v>
      </c>
      <c r="F1480" s="58" t="s">
        <v>4966</v>
      </c>
      <c r="G1480" s="57">
        <v>6</v>
      </c>
      <c r="H1480" s="57" t="s">
        <v>2557</v>
      </c>
      <c r="I1480" s="58">
        <v>73089</v>
      </c>
      <c r="J1480" s="234" t="s">
        <v>1297</v>
      </c>
      <c r="K1480" s="58">
        <v>119.98</v>
      </c>
      <c r="L1480" s="58">
        <v>3.48</v>
      </c>
      <c r="M1480" s="58">
        <v>0</v>
      </c>
      <c r="N1480" s="58">
        <v>1</v>
      </c>
      <c r="O1480" s="224">
        <f t="shared" si="10"/>
        <v>116.5</v>
      </c>
      <c r="P1480" s="227">
        <f t="shared" si="11"/>
        <v>116.5</v>
      </c>
    </row>
    <row r="1481" spans="1:16" ht="14.25">
      <c r="A1481" s="224">
        <v>1480</v>
      </c>
      <c r="B1481" s="58">
        <v>27786</v>
      </c>
      <c r="C1481" s="57" t="s">
        <v>4967</v>
      </c>
      <c r="D1481" s="57" t="s">
        <v>2582</v>
      </c>
      <c r="E1481" s="57" t="s">
        <v>2860</v>
      </c>
      <c r="F1481" s="58" t="s">
        <v>4968</v>
      </c>
      <c r="G1481" s="57">
        <v>6</v>
      </c>
      <c r="H1481" s="57" t="s">
        <v>2557</v>
      </c>
      <c r="I1481" s="58">
        <v>73101</v>
      </c>
      <c r="J1481" s="234" t="s">
        <v>4969</v>
      </c>
      <c r="K1481" s="58">
        <v>145.22999999999999</v>
      </c>
      <c r="L1481" s="58">
        <v>0</v>
      </c>
      <c r="M1481" s="58">
        <v>0</v>
      </c>
      <c r="N1481" s="58">
        <v>7.1718200000000003</v>
      </c>
      <c r="O1481" s="224">
        <f t="shared" si="10"/>
        <v>145.22999999999999</v>
      </c>
      <c r="P1481" s="227">
        <f t="shared" si="11"/>
        <v>20.25008993533022</v>
      </c>
    </row>
    <row r="1482" spans="1:16" ht="14.25">
      <c r="A1482" s="224">
        <v>1481</v>
      </c>
      <c r="B1482" s="58">
        <v>25134</v>
      </c>
      <c r="C1482" s="57" t="s">
        <v>4970</v>
      </c>
      <c r="D1482" s="57" t="s">
        <v>45</v>
      </c>
      <c r="E1482" s="57" t="s">
        <v>4772</v>
      </c>
      <c r="F1482" s="58" t="s">
        <v>4971</v>
      </c>
      <c r="G1482" s="57">
        <v>6</v>
      </c>
      <c r="H1482" s="57" t="s">
        <v>2557</v>
      </c>
      <c r="I1482" s="58">
        <v>73113</v>
      </c>
      <c r="J1482" s="234" t="s">
        <v>1294</v>
      </c>
      <c r="K1482" s="58">
        <v>1</v>
      </c>
      <c r="L1482" s="58">
        <v>0.03</v>
      </c>
      <c r="M1482" s="58">
        <v>0</v>
      </c>
      <c r="N1482" s="58">
        <v>1</v>
      </c>
      <c r="O1482" s="224">
        <f t="shared" si="10"/>
        <v>0.97</v>
      </c>
      <c r="P1482" s="227">
        <f t="shared" si="11"/>
        <v>0.97</v>
      </c>
    </row>
    <row r="1483" spans="1:16" ht="14.25">
      <c r="A1483" s="224">
        <v>1482</v>
      </c>
      <c r="B1483" s="58">
        <v>25464</v>
      </c>
      <c r="C1483" s="57" t="s">
        <v>4628</v>
      </c>
      <c r="D1483" s="57" t="s">
        <v>2582</v>
      </c>
      <c r="E1483" s="57" t="s">
        <v>2860</v>
      </c>
      <c r="F1483" s="58" t="s">
        <v>4972</v>
      </c>
      <c r="G1483" s="57">
        <v>6</v>
      </c>
      <c r="H1483" s="57" t="s">
        <v>2557</v>
      </c>
      <c r="I1483" s="58">
        <v>71085</v>
      </c>
      <c r="J1483" s="234" t="s">
        <v>4973</v>
      </c>
      <c r="K1483" s="58">
        <v>115.68</v>
      </c>
      <c r="L1483" s="58">
        <v>0</v>
      </c>
      <c r="M1483" s="58">
        <v>0</v>
      </c>
      <c r="N1483" s="58">
        <v>7.1718200000000003</v>
      </c>
      <c r="O1483" s="224">
        <f t="shared" si="10"/>
        <v>115.68</v>
      </c>
      <c r="P1483" s="227">
        <f t="shared" si="11"/>
        <v>16.12979689953178</v>
      </c>
    </row>
    <row r="1484" spans="1:16" ht="14.25">
      <c r="A1484" s="224">
        <v>1483</v>
      </c>
      <c r="B1484" s="58">
        <v>209</v>
      </c>
      <c r="C1484" s="57" t="s">
        <v>4974</v>
      </c>
      <c r="D1484" s="57" t="s">
        <v>45</v>
      </c>
      <c r="E1484" s="57" t="s">
        <v>2860</v>
      </c>
      <c r="F1484" s="58" t="s">
        <v>4975</v>
      </c>
      <c r="G1484" s="57">
        <v>6</v>
      </c>
      <c r="H1484" s="57" t="s">
        <v>2557</v>
      </c>
      <c r="I1484" s="58">
        <v>72885</v>
      </c>
      <c r="J1484" s="234" t="s">
        <v>4976</v>
      </c>
      <c r="K1484" s="58">
        <v>1.98</v>
      </c>
      <c r="L1484" s="58">
        <v>0</v>
      </c>
      <c r="M1484" s="58">
        <v>0</v>
      </c>
      <c r="N1484" s="58">
        <v>1</v>
      </c>
      <c r="O1484" s="224">
        <f t="shared" si="10"/>
        <v>1.98</v>
      </c>
      <c r="P1484" s="227">
        <f t="shared" si="11"/>
        <v>1.98</v>
      </c>
    </row>
    <row r="1485" spans="1:16" ht="14.25">
      <c r="A1485" s="224">
        <v>1484</v>
      </c>
      <c r="B1485" s="58">
        <v>193</v>
      </c>
      <c r="C1485" s="57" t="s">
        <v>4977</v>
      </c>
      <c r="D1485" s="57" t="s">
        <v>2582</v>
      </c>
      <c r="E1485" s="57" t="s">
        <v>2860</v>
      </c>
      <c r="F1485" s="58" t="s">
        <v>4978</v>
      </c>
      <c r="G1485" s="57">
        <v>6</v>
      </c>
      <c r="H1485" s="57" t="s">
        <v>2557</v>
      </c>
      <c r="I1485" s="58">
        <v>72549</v>
      </c>
      <c r="J1485" s="234" t="s">
        <v>4979</v>
      </c>
      <c r="K1485" s="58">
        <v>14.42</v>
      </c>
      <c r="L1485" s="58">
        <v>0</v>
      </c>
      <c r="M1485" s="58">
        <v>0</v>
      </c>
      <c r="N1485" s="58">
        <v>7.1718200000000003</v>
      </c>
      <c r="O1485" s="224">
        <f t="shared" si="10"/>
        <v>14.42</v>
      </c>
      <c r="P1485" s="227">
        <f t="shared" si="11"/>
        <v>2.0106472276214404</v>
      </c>
    </row>
    <row r="1486" spans="1:16" ht="14.25">
      <c r="A1486" s="224">
        <v>1485</v>
      </c>
      <c r="B1486" s="58">
        <v>26787</v>
      </c>
      <c r="C1486" s="57" t="s">
        <v>4854</v>
      </c>
      <c r="D1486" s="57" t="s">
        <v>2582</v>
      </c>
      <c r="E1486" s="57" t="s">
        <v>4772</v>
      </c>
      <c r="F1486" s="58" t="s">
        <v>4980</v>
      </c>
      <c r="G1486" s="57">
        <v>6</v>
      </c>
      <c r="H1486" s="57" t="s">
        <v>2557</v>
      </c>
      <c r="I1486" s="58">
        <v>73185</v>
      </c>
      <c r="J1486" s="234" t="s">
        <v>1303</v>
      </c>
      <c r="K1486" s="58">
        <v>93.38</v>
      </c>
      <c r="L1486" s="58">
        <v>0.38</v>
      </c>
      <c r="M1486" s="58">
        <v>0</v>
      </c>
      <c r="N1486" s="58">
        <v>7.1718200000000003</v>
      </c>
      <c r="O1486" s="224">
        <f t="shared" si="10"/>
        <v>93</v>
      </c>
      <c r="P1486" s="227">
        <f t="shared" si="11"/>
        <v>12.967419706573784</v>
      </c>
    </row>
    <row r="1487" spans="1:16" ht="14.25">
      <c r="A1487" s="224">
        <v>1486</v>
      </c>
      <c r="B1487" s="56">
        <v>19314</v>
      </c>
      <c r="C1487" s="56" t="s">
        <v>3119</v>
      </c>
      <c r="D1487" s="56" t="s">
        <v>45</v>
      </c>
      <c r="E1487" s="56" t="s">
        <v>2874</v>
      </c>
      <c r="F1487" s="56" t="s">
        <v>4981</v>
      </c>
      <c r="G1487" s="56">
        <v>6</v>
      </c>
      <c r="H1487" s="56" t="s">
        <v>2557</v>
      </c>
      <c r="I1487" s="56">
        <v>69728</v>
      </c>
      <c r="J1487" s="246"/>
      <c r="K1487" s="56">
        <v>34</v>
      </c>
      <c r="L1487" s="56">
        <v>0</v>
      </c>
      <c r="M1487" s="56">
        <v>0</v>
      </c>
      <c r="N1487" s="56">
        <v>1</v>
      </c>
      <c r="O1487" s="181">
        <f t="shared" si="10"/>
        <v>34</v>
      </c>
      <c r="P1487" s="247">
        <f t="shared" si="11"/>
        <v>34</v>
      </c>
    </row>
    <row r="1488" spans="1:16" ht="14.25">
      <c r="A1488" s="224">
        <v>1487</v>
      </c>
      <c r="B1488" s="58">
        <v>19314</v>
      </c>
      <c r="C1488" s="57" t="s">
        <v>3119</v>
      </c>
      <c r="D1488" s="57" t="s">
        <v>45</v>
      </c>
      <c r="E1488" s="57" t="s">
        <v>2860</v>
      </c>
      <c r="F1488" s="58" t="s">
        <v>4981</v>
      </c>
      <c r="G1488" s="57">
        <v>6</v>
      </c>
      <c r="H1488" s="57" t="s">
        <v>2557</v>
      </c>
      <c r="I1488" s="58">
        <v>69824</v>
      </c>
      <c r="J1488" s="234"/>
      <c r="K1488" s="58">
        <v>213</v>
      </c>
      <c r="L1488" s="58">
        <v>0</v>
      </c>
      <c r="M1488" s="58">
        <v>0</v>
      </c>
      <c r="N1488" s="58">
        <v>1</v>
      </c>
      <c r="O1488" s="224">
        <f t="shared" si="10"/>
        <v>213</v>
      </c>
      <c r="P1488" s="227">
        <f t="shared" si="11"/>
        <v>213</v>
      </c>
    </row>
    <row r="1489" spans="1:16" ht="14.25">
      <c r="A1489" s="224">
        <v>1488</v>
      </c>
      <c r="B1489" s="58">
        <v>1836</v>
      </c>
      <c r="C1489" s="57" t="s">
        <v>2882</v>
      </c>
      <c r="D1489" s="57" t="s">
        <v>2582</v>
      </c>
      <c r="E1489" s="57" t="s">
        <v>4772</v>
      </c>
      <c r="F1489" s="58" t="s">
        <v>4982</v>
      </c>
      <c r="G1489" s="57">
        <v>6</v>
      </c>
      <c r="H1489" s="57" t="s">
        <v>2557</v>
      </c>
      <c r="I1489" s="58">
        <v>73209</v>
      </c>
      <c r="J1489" s="234" t="s">
        <v>1300</v>
      </c>
      <c r="K1489" s="58">
        <v>613.26</v>
      </c>
      <c r="L1489" s="58">
        <v>2.48</v>
      </c>
      <c r="M1489" s="58">
        <v>0</v>
      </c>
      <c r="N1489" s="58">
        <v>7.1718200000000003</v>
      </c>
      <c r="O1489" s="224">
        <f t="shared" si="10"/>
        <v>610.78</v>
      </c>
      <c r="P1489" s="227">
        <f t="shared" si="11"/>
        <v>85.163877509474574</v>
      </c>
    </row>
    <row r="1490" spans="1:16" ht="14.25">
      <c r="A1490" s="224">
        <v>1489</v>
      </c>
      <c r="B1490" s="58">
        <v>24984</v>
      </c>
      <c r="C1490" s="57" t="s">
        <v>4354</v>
      </c>
      <c r="D1490" s="57" t="s">
        <v>45</v>
      </c>
      <c r="E1490" s="57" t="s">
        <v>2860</v>
      </c>
      <c r="F1490" s="58" t="s">
        <v>4983</v>
      </c>
      <c r="G1490" s="57">
        <v>6</v>
      </c>
      <c r="H1490" s="57" t="s">
        <v>2557</v>
      </c>
      <c r="I1490" s="58">
        <v>69476</v>
      </c>
      <c r="J1490" s="234" t="s">
        <v>4984</v>
      </c>
      <c r="K1490" s="58">
        <v>10.39</v>
      </c>
      <c r="L1490" s="58">
        <v>0</v>
      </c>
      <c r="M1490" s="58">
        <v>0</v>
      </c>
      <c r="N1490" s="58">
        <v>1</v>
      </c>
      <c r="O1490" s="224">
        <f t="shared" si="10"/>
        <v>10.39</v>
      </c>
      <c r="P1490" s="227">
        <f t="shared" si="11"/>
        <v>10.39</v>
      </c>
    </row>
    <row r="1491" spans="1:16" ht="14.25">
      <c r="A1491" s="224">
        <v>1490</v>
      </c>
      <c r="B1491" s="58">
        <v>25464</v>
      </c>
      <c r="C1491" s="57" t="s">
        <v>4628</v>
      </c>
      <c r="D1491" s="57" t="s">
        <v>2582</v>
      </c>
      <c r="E1491" s="57" t="s">
        <v>2860</v>
      </c>
      <c r="F1491" s="58" t="s">
        <v>4985</v>
      </c>
      <c r="G1491" s="57">
        <v>6</v>
      </c>
      <c r="H1491" s="57" t="s">
        <v>2557</v>
      </c>
      <c r="I1491" s="58">
        <v>73221</v>
      </c>
      <c r="J1491" s="234" t="s">
        <v>4986</v>
      </c>
      <c r="K1491" s="58">
        <v>150.32</v>
      </c>
      <c r="L1491" s="58">
        <v>0</v>
      </c>
      <c r="M1491" s="58">
        <v>0</v>
      </c>
      <c r="N1491" s="58">
        <v>7.1718200000000003</v>
      </c>
      <c r="O1491" s="224">
        <f t="shared" si="10"/>
        <v>150.32</v>
      </c>
      <c r="P1491" s="227">
        <f t="shared" si="11"/>
        <v>20.959812153679259</v>
      </c>
    </row>
    <row r="1492" spans="1:16" ht="14.25">
      <c r="A1492" s="224">
        <v>1491</v>
      </c>
      <c r="B1492" s="58">
        <v>25464</v>
      </c>
      <c r="C1492" s="57" t="s">
        <v>4628</v>
      </c>
      <c r="D1492" s="57" t="s">
        <v>2582</v>
      </c>
      <c r="E1492" s="57" t="s">
        <v>2860</v>
      </c>
      <c r="F1492" s="58" t="s">
        <v>4987</v>
      </c>
      <c r="G1492" s="57">
        <v>6</v>
      </c>
      <c r="H1492" s="57" t="s">
        <v>2557</v>
      </c>
      <c r="I1492" s="58">
        <v>73221</v>
      </c>
      <c r="J1492" s="234"/>
      <c r="K1492" s="58">
        <v>0.01</v>
      </c>
      <c r="L1492" s="58">
        <v>0</v>
      </c>
      <c r="M1492" s="58">
        <v>0</v>
      </c>
      <c r="N1492" s="58">
        <v>7.1718200000000003</v>
      </c>
      <c r="O1492" s="224">
        <f t="shared" si="10"/>
        <v>0.01</v>
      </c>
      <c r="P1492" s="227">
        <f t="shared" si="11"/>
        <v>1.3943462050079339E-3</v>
      </c>
    </row>
    <row r="1493" spans="1:16" ht="14.25">
      <c r="A1493" s="224">
        <v>1492</v>
      </c>
      <c r="B1493" s="58">
        <v>3747</v>
      </c>
      <c r="C1493" s="57" t="s">
        <v>4039</v>
      </c>
      <c r="D1493" s="57" t="s">
        <v>2582</v>
      </c>
      <c r="E1493" s="57" t="s">
        <v>9</v>
      </c>
      <c r="F1493" s="58" t="s">
        <v>4988</v>
      </c>
      <c r="G1493" s="57">
        <v>6</v>
      </c>
      <c r="H1493" s="57" t="s">
        <v>2557</v>
      </c>
      <c r="I1493" s="58">
        <v>70100</v>
      </c>
      <c r="J1493" s="234" t="s">
        <v>575</v>
      </c>
      <c r="K1493" s="58">
        <v>52.12</v>
      </c>
      <c r="L1493" s="58">
        <v>5.31</v>
      </c>
      <c r="M1493" s="58">
        <v>0</v>
      </c>
      <c r="N1493" s="58">
        <v>7.1718200000000003</v>
      </c>
      <c r="O1493" s="224">
        <f t="shared" si="10"/>
        <v>46.809999999999995</v>
      </c>
      <c r="P1493" s="227">
        <f t="shared" si="11"/>
        <v>6.5269345856421372</v>
      </c>
    </row>
    <row r="1494" spans="1:16" ht="14.25">
      <c r="A1494" s="224">
        <v>1493</v>
      </c>
      <c r="B1494" s="58">
        <v>130</v>
      </c>
      <c r="C1494" s="57" t="s">
        <v>4989</v>
      </c>
      <c r="D1494" s="57" t="s">
        <v>45</v>
      </c>
      <c r="E1494" s="57" t="s">
        <v>9</v>
      </c>
      <c r="F1494" s="58" t="s">
        <v>4990</v>
      </c>
      <c r="G1494" s="57">
        <v>6</v>
      </c>
      <c r="H1494" s="57" t="s">
        <v>2557</v>
      </c>
      <c r="I1494" s="58">
        <v>71793</v>
      </c>
      <c r="J1494" s="234" t="s">
        <v>577</v>
      </c>
      <c r="K1494" s="58">
        <v>1.98</v>
      </c>
      <c r="L1494" s="58">
        <v>0.56000000000000005</v>
      </c>
      <c r="M1494" s="58">
        <v>0</v>
      </c>
      <c r="N1494" s="58">
        <v>1</v>
      </c>
      <c r="O1494" s="224">
        <f t="shared" si="10"/>
        <v>1.42</v>
      </c>
      <c r="P1494" s="227">
        <f t="shared" si="11"/>
        <v>1.42</v>
      </c>
    </row>
    <row r="1495" spans="1:16" ht="14.25">
      <c r="A1495" s="224">
        <v>1494</v>
      </c>
      <c r="B1495" s="58">
        <v>25163</v>
      </c>
      <c r="C1495" s="57" t="s">
        <v>4531</v>
      </c>
      <c r="D1495" s="57" t="s">
        <v>45</v>
      </c>
      <c r="E1495" s="57" t="s">
        <v>4772</v>
      </c>
      <c r="F1495" s="58" t="s">
        <v>4991</v>
      </c>
      <c r="G1495" s="57">
        <v>6</v>
      </c>
      <c r="H1495" s="57" t="s">
        <v>2557</v>
      </c>
      <c r="I1495" s="58">
        <v>69776</v>
      </c>
      <c r="J1495" s="234" t="s">
        <v>1322</v>
      </c>
      <c r="K1495" s="58">
        <v>18.989999999999998</v>
      </c>
      <c r="L1495" s="58">
        <v>0.55000000000000004</v>
      </c>
      <c r="M1495" s="58">
        <v>0</v>
      </c>
      <c r="N1495" s="58">
        <v>1</v>
      </c>
      <c r="O1495" s="224">
        <f t="shared" si="10"/>
        <v>18.439999999999998</v>
      </c>
      <c r="P1495" s="227">
        <f t="shared" si="11"/>
        <v>18.439999999999998</v>
      </c>
    </row>
    <row r="1496" spans="1:16" ht="14.25">
      <c r="A1496" s="224">
        <v>1495</v>
      </c>
      <c r="B1496" s="58">
        <v>26470</v>
      </c>
      <c r="C1496" s="57" t="s">
        <v>4808</v>
      </c>
      <c r="D1496" s="57" t="s">
        <v>45</v>
      </c>
      <c r="E1496" s="57" t="s">
        <v>4772</v>
      </c>
      <c r="F1496" s="58" t="s">
        <v>4992</v>
      </c>
      <c r="G1496" s="57">
        <v>6</v>
      </c>
      <c r="H1496" s="57" t="s">
        <v>2557</v>
      </c>
      <c r="I1496" s="58">
        <v>73329</v>
      </c>
      <c r="J1496" s="234" t="s">
        <v>1319</v>
      </c>
      <c r="K1496" s="58">
        <v>18.600000000000001</v>
      </c>
      <c r="L1496" s="58">
        <v>0.54</v>
      </c>
      <c r="M1496" s="58">
        <v>0</v>
      </c>
      <c r="N1496" s="58">
        <v>1</v>
      </c>
      <c r="O1496" s="224">
        <f t="shared" si="10"/>
        <v>18.060000000000002</v>
      </c>
      <c r="P1496" s="227">
        <f t="shared" si="11"/>
        <v>18.060000000000002</v>
      </c>
    </row>
    <row r="1497" spans="1:16" ht="14.25">
      <c r="A1497" s="224">
        <v>1496</v>
      </c>
      <c r="B1497" s="58">
        <v>25285</v>
      </c>
      <c r="C1497" s="57" t="s">
        <v>4585</v>
      </c>
      <c r="D1497" s="57" t="s">
        <v>45</v>
      </c>
      <c r="E1497" s="57" t="s">
        <v>4772</v>
      </c>
      <c r="F1497" s="58" t="s">
        <v>4993</v>
      </c>
      <c r="G1497" s="57">
        <v>6</v>
      </c>
      <c r="H1497" s="57" t="s">
        <v>2557</v>
      </c>
      <c r="I1497" s="58">
        <v>73341</v>
      </c>
      <c r="J1497" s="234" t="s">
        <v>1316</v>
      </c>
      <c r="K1497" s="58">
        <v>28.79</v>
      </c>
      <c r="L1497" s="58">
        <v>0.84</v>
      </c>
      <c r="M1497" s="58">
        <v>0</v>
      </c>
      <c r="N1497" s="58">
        <v>1</v>
      </c>
      <c r="O1497" s="224">
        <f t="shared" si="10"/>
        <v>27.95</v>
      </c>
      <c r="P1497" s="227">
        <f t="shared" si="11"/>
        <v>27.95</v>
      </c>
    </row>
    <row r="1498" spans="1:16" ht="14.25">
      <c r="A1498" s="224">
        <v>1497</v>
      </c>
      <c r="B1498" s="58">
        <v>25274</v>
      </c>
      <c r="C1498" s="57" t="s">
        <v>4573</v>
      </c>
      <c r="D1498" s="57" t="s">
        <v>2582</v>
      </c>
      <c r="E1498" s="57" t="s">
        <v>4772</v>
      </c>
      <c r="F1498" s="58" t="s">
        <v>4994</v>
      </c>
      <c r="G1498" s="57">
        <v>6</v>
      </c>
      <c r="H1498" s="57" t="s">
        <v>2557</v>
      </c>
      <c r="I1498" s="58">
        <v>73365</v>
      </c>
      <c r="J1498" s="234" t="s">
        <v>1313</v>
      </c>
      <c r="K1498" s="58">
        <v>214.99</v>
      </c>
      <c r="L1498" s="58">
        <v>0.87</v>
      </c>
      <c r="M1498" s="58">
        <v>0</v>
      </c>
      <c r="N1498" s="58">
        <v>7.1718200000000003</v>
      </c>
      <c r="O1498" s="224">
        <f t="shared" si="10"/>
        <v>214.12</v>
      </c>
      <c r="P1498" s="227">
        <f t="shared" si="11"/>
        <v>29.855740941629879</v>
      </c>
    </row>
    <row r="1499" spans="1:16" ht="14.25">
      <c r="A1499" s="224">
        <v>1498</v>
      </c>
      <c r="B1499" s="58">
        <v>21339</v>
      </c>
      <c r="C1499" s="57" t="s">
        <v>3675</v>
      </c>
      <c r="D1499" s="57" t="s">
        <v>45</v>
      </c>
      <c r="E1499" s="57" t="s">
        <v>2860</v>
      </c>
      <c r="F1499" s="58" t="s">
        <v>4995</v>
      </c>
      <c r="G1499" s="57">
        <v>6</v>
      </c>
      <c r="H1499" s="57" t="s">
        <v>2557</v>
      </c>
      <c r="I1499" s="58">
        <v>71733</v>
      </c>
      <c r="J1499" s="234" t="s">
        <v>4996</v>
      </c>
      <c r="K1499" s="58">
        <v>28.68</v>
      </c>
      <c r="L1499" s="58">
        <v>0</v>
      </c>
      <c r="M1499" s="58">
        <v>0</v>
      </c>
      <c r="N1499" s="58">
        <v>1</v>
      </c>
      <c r="O1499" s="224">
        <f t="shared" si="10"/>
        <v>28.68</v>
      </c>
      <c r="P1499" s="227">
        <f t="shared" si="11"/>
        <v>28.68</v>
      </c>
    </row>
    <row r="1500" spans="1:16" ht="14.25">
      <c r="A1500" s="224">
        <v>1499</v>
      </c>
      <c r="B1500" s="58">
        <v>36</v>
      </c>
      <c r="C1500" s="57" t="s">
        <v>2646</v>
      </c>
      <c r="D1500" s="57" t="s">
        <v>45</v>
      </c>
      <c r="E1500" s="57" t="s">
        <v>4772</v>
      </c>
      <c r="F1500" s="58" t="s">
        <v>4997</v>
      </c>
      <c r="G1500" s="57">
        <v>6</v>
      </c>
      <c r="H1500" s="57" t="s">
        <v>2557</v>
      </c>
      <c r="I1500" s="58">
        <v>73377</v>
      </c>
      <c r="J1500" s="234" t="s">
        <v>1310</v>
      </c>
      <c r="K1500" s="58">
        <v>32.950000000000003</v>
      </c>
      <c r="L1500" s="58">
        <v>0.96</v>
      </c>
      <c r="M1500" s="58">
        <v>0</v>
      </c>
      <c r="N1500" s="58">
        <v>1</v>
      </c>
      <c r="O1500" s="224">
        <f t="shared" si="10"/>
        <v>31.990000000000002</v>
      </c>
      <c r="P1500" s="227">
        <f t="shared" si="11"/>
        <v>31.990000000000002</v>
      </c>
    </row>
    <row r="1501" spans="1:16" ht="14.25">
      <c r="A1501" s="224">
        <v>1500</v>
      </c>
      <c r="B1501" s="58">
        <v>27880</v>
      </c>
      <c r="C1501" s="57" t="s">
        <v>4998</v>
      </c>
      <c r="D1501" s="57" t="s">
        <v>45</v>
      </c>
      <c r="E1501" s="57" t="s">
        <v>4772</v>
      </c>
      <c r="F1501" s="58" t="s">
        <v>4999</v>
      </c>
      <c r="G1501" s="57">
        <v>6</v>
      </c>
      <c r="H1501" s="57" t="s">
        <v>2557</v>
      </c>
      <c r="I1501" s="58">
        <v>73389</v>
      </c>
      <c r="J1501" s="234" t="s">
        <v>1306</v>
      </c>
      <c r="K1501" s="58">
        <v>9.99</v>
      </c>
      <c r="L1501" s="58">
        <v>0.28999999999999998</v>
      </c>
      <c r="M1501" s="58">
        <v>0</v>
      </c>
      <c r="N1501" s="58">
        <v>1</v>
      </c>
      <c r="O1501" s="224">
        <f t="shared" si="10"/>
        <v>9.7000000000000011</v>
      </c>
      <c r="P1501" s="227">
        <f t="shared" si="11"/>
        <v>9.7000000000000011</v>
      </c>
    </row>
    <row r="1502" spans="1:16" ht="14.25">
      <c r="A1502" s="224">
        <v>1501</v>
      </c>
      <c r="B1502" s="58">
        <v>226</v>
      </c>
      <c r="C1502" s="57" t="s">
        <v>2847</v>
      </c>
      <c r="D1502" s="57" t="s">
        <v>2582</v>
      </c>
      <c r="E1502" s="57" t="s">
        <v>2860</v>
      </c>
      <c r="F1502" s="58" t="s">
        <v>5000</v>
      </c>
      <c r="G1502" s="57">
        <v>6</v>
      </c>
      <c r="H1502" s="57" t="s">
        <v>2557</v>
      </c>
      <c r="I1502" s="58">
        <v>73077</v>
      </c>
      <c r="J1502" s="234" t="s">
        <v>5001</v>
      </c>
      <c r="K1502" s="58">
        <v>14.42</v>
      </c>
      <c r="L1502" s="58">
        <v>0</v>
      </c>
      <c r="M1502" s="58">
        <v>0</v>
      </c>
      <c r="N1502" s="58">
        <v>7.1718200000000003</v>
      </c>
      <c r="O1502" s="224">
        <f t="shared" si="10"/>
        <v>14.42</v>
      </c>
      <c r="P1502" s="227">
        <f t="shared" si="11"/>
        <v>2.0106472276214404</v>
      </c>
    </row>
    <row r="1503" spans="1:16" ht="14.25">
      <c r="A1503" s="224">
        <v>1502</v>
      </c>
      <c r="B1503" s="248">
        <v>18946</v>
      </c>
      <c r="C1503" s="248" t="s">
        <v>3070</v>
      </c>
      <c r="D1503" s="248" t="s">
        <v>2582</v>
      </c>
      <c r="E1503" s="248" t="s">
        <v>9</v>
      </c>
      <c r="F1503" s="249">
        <v>45664.361805555556</v>
      </c>
      <c r="G1503" s="248">
        <v>7</v>
      </c>
      <c r="H1503" s="248" t="s">
        <v>2557</v>
      </c>
      <c r="I1503" s="248">
        <v>69980</v>
      </c>
      <c r="J1503" s="250" t="s">
        <v>581</v>
      </c>
      <c r="K1503" s="248">
        <v>8.66</v>
      </c>
      <c r="L1503" s="248">
        <v>3.94</v>
      </c>
      <c r="M1503" s="248">
        <v>0</v>
      </c>
      <c r="N1503" s="248">
        <v>7.1718200000000003</v>
      </c>
      <c r="O1503" s="181">
        <f t="shared" si="10"/>
        <v>4.7200000000000006</v>
      </c>
      <c r="P1503" s="247">
        <f t="shared" si="11"/>
        <v>0.65813140876374487</v>
      </c>
    </row>
    <row r="1504" spans="1:16" ht="14.25">
      <c r="A1504" s="224">
        <v>1503</v>
      </c>
      <c r="B1504" s="248">
        <v>148</v>
      </c>
      <c r="C1504" s="248" t="s">
        <v>5002</v>
      </c>
      <c r="D1504" s="248" t="s">
        <v>45</v>
      </c>
      <c r="E1504" s="248" t="s">
        <v>9</v>
      </c>
      <c r="F1504" s="249">
        <v>45664.39166666667</v>
      </c>
      <c r="G1504" s="248">
        <v>7</v>
      </c>
      <c r="H1504" s="248" t="s">
        <v>2557</v>
      </c>
      <c r="I1504" s="248">
        <v>71901</v>
      </c>
      <c r="J1504" s="250" t="s">
        <v>583</v>
      </c>
      <c r="K1504" s="248">
        <v>1.98</v>
      </c>
      <c r="L1504" s="248">
        <v>0.56000000000000005</v>
      </c>
      <c r="M1504" s="248">
        <v>0</v>
      </c>
      <c r="N1504" s="248">
        <v>1</v>
      </c>
      <c r="O1504" s="181">
        <f t="shared" si="10"/>
        <v>1.42</v>
      </c>
      <c r="P1504" s="247">
        <f t="shared" si="11"/>
        <v>1.42</v>
      </c>
    </row>
    <row r="1505" spans="1:16" ht="14.25">
      <c r="A1505" s="224">
        <v>1504</v>
      </c>
      <c r="B1505" s="248">
        <v>24062</v>
      </c>
      <c r="C1505" s="248" t="s">
        <v>4122</v>
      </c>
      <c r="D1505" s="248" t="s">
        <v>2582</v>
      </c>
      <c r="E1505" s="248" t="s">
        <v>2860</v>
      </c>
      <c r="F1505" s="249">
        <v>45664.607638888891</v>
      </c>
      <c r="G1505" s="248">
        <v>7</v>
      </c>
      <c r="H1505" s="248" t="s">
        <v>2557</v>
      </c>
      <c r="I1505" s="248">
        <v>73425</v>
      </c>
      <c r="J1505" s="250" t="s">
        <v>5003</v>
      </c>
      <c r="K1505" s="248">
        <v>45.35</v>
      </c>
      <c r="L1505" s="248">
        <v>0</v>
      </c>
      <c r="M1505" s="248">
        <v>0</v>
      </c>
      <c r="N1505" s="248">
        <v>7.1646799999999997</v>
      </c>
      <c r="O1505" s="181">
        <f t="shared" si="10"/>
        <v>45.35</v>
      </c>
      <c r="P1505" s="247">
        <f t="shared" si="11"/>
        <v>6.329661617825221</v>
      </c>
    </row>
    <row r="1506" spans="1:16" ht="14.25">
      <c r="A1506" s="224">
        <v>1505</v>
      </c>
      <c r="B1506" s="248">
        <v>27952</v>
      </c>
      <c r="C1506" s="248" t="s">
        <v>5004</v>
      </c>
      <c r="D1506" s="248" t="s">
        <v>45</v>
      </c>
      <c r="E1506" s="248" t="s">
        <v>4772</v>
      </c>
      <c r="F1506" s="249">
        <v>45664.646527777775</v>
      </c>
      <c r="G1506" s="248">
        <v>7</v>
      </c>
      <c r="H1506" s="248" t="s">
        <v>2557</v>
      </c>
      <c r="I1506" s="248">
        <v>73461</v>
      </c>
      <c r="J1506" s="250" t="s">
        <v>1342</v>
      </c>
      <c r="K1506" s="248">
        <v>1.99</v>
      </c>
      <c r="L1506" s="248">
        <v>0.06</v>
      </c>
      <c r="M1506" s="248">
        <v>0</v>
      </c>
      <c r="N1506" s="248">
        <v>1</v>
      </c>
      <c r="O1506" s="181">
        <f t="shared" si="10"/>
        <v>1.93</v>
      </c>
      <c r="P1506" s="247">
        <f t="shared" si="11"/>
        <v>1.93</v>
      </c>
    </row>
    <row r="1507" spans="1:16" ht="14.25">
      <c r="A1507" s="224">
        <v>1506</v>
      </c>
      <c r="B1507" s="248">
        <v>27949</v>
      </c>
      <c r="C1507" s="248" t="s">
        <v>5005</v>
      </c>
      <c r="D1507" s="248" t="s">
        <v>2582</v>
      </c>
      <c r="E1507" s="248" t="s">
        <v>4772</v>
      </c>
      <c r="F1507" s="249">
        <v>45664.679166666669</v>
      </c>
      <c r="G1507" s="248">
        <v>7</v>
      </c>
      <c r="H1507" s="248" t="s">
        <v>2557</v>
      </c>
      <c r="I1507" s="248">
        <v>73485</v>
      </c>
      <c r="J1507" s="250" t="s">
        <v>1340</v>
      </c>
      <c r="K1507" s="248">
        <v>180.91</v>
      </c>
      <c r="L1507" s="248">
        <v>0.74</v>
      </c>
      <c r="M1507" s="248">
        <v>0</v>
      </c>
      <c r="N1507" s="248">
        <v>7.1646799999999997</v>
      </c>
      <c r="O1507" s="181">
        <f t="shared" si="10"/>
        <v>180.17</v>
      </c>
      <c r="P1507" s="247">
        <f t="shared" si="11"/>
        <v>25.14697097427938</v>
      </c>
    </row>
    <row r="1508" spans="1:16" ht="14.25">
      <c r="A1508" s="224">
        <v>1507</v>
      </c>
      <c r="B1508" s="248">
        <v>9903</v>
      </c>
      <c r="C1508" s="248" t="s">
        <v>5006</v>
      </c>
      <c r="D1508" s="248" t="s">
        <v>45</v>
      </c>
      <c r="E1508" s="248" t="s">
        <v>4772</v>
      </c>
      <c r="F1508" s="249">
        <v>45664.71597222222</v>
      </c>
      <c r="G1508" s="248">
        <v>7</v>
      </c>
      <c r="H1508" s="248" t="s">
        <v>2557</v>
      </c>
      <c r="I1508" s="248">
        <v>70869</v>
      </c>
      <c r="J1508" s="250" t="s">
        <v>1338</v>
      </c>
      <c r="K1508" s="248">
        <v>1.88</v>
      </c>
      <c r="L1508" s="248">
        <v>0.06</v>
      </c>
      <c r="M1508" s="248">
        <v>0</v>
      </c>
      <c r="N1508" s="248">
        <v>1</v>
      </c>
      <c r="O1508" s="181">
        <f t="shared" si="10"/>
        <v>1.8199999999999998</v>
      </c>
      <c r="P1508" s="247">
        <f t="shared" si="11"/>
        <v>1.8199999999999998</v>
      </c>
    </row>
    <row r="1509" spans="1:16" ht="14.25">
      <c r="A1509" s="224">
        <v>1508</v>
      </c>
      <c r="B1509" s="248">
        <v>27966</v>
      </c>
      <c r="C1509" s="248" t="s">
        <v>5007</v>
      </c>
      <c r="D1509" s="248" t="s">
        <v>2582</v>
      </c>
      <c r="E1509" s="248" t="s">
        <v>4772</v>
      </c>
      <c r="F1509" s="249">
        <v>45664.738888888889</v>
      </c>
      <c r="G1509" s="248">
        <v>7</v>
      </c>
      <c r="H1509" s="248" t="s">
        <v>2557</v>
      </c>
      <c r="I1509" s="248">
        <v>73497</v>
      </c>
      <c r="J1509" s="250" t="s">
        <v>1336</v>
      </c>
      <c r="K1509" s="248">
        <v>143.22</v>
      </c>
      <c r="L1509" s="248">
        <v>0.57999999999999996</v>
      </c>
      <c r="M1509" s="248">
        <v>0</v>
      </c>
      <c r="N1509" s="248">
        <v>7.1646799999999997</v>
      </c>
      <c r="O1509" s="181">
        <f t="shared" si="10"/>
        <v>142.63999999999999</v>
      </c>
      <c r="P1509" s="247">
        <f t="shared" si="11"/>
        <v>19.908774711501419</v>
      </c>
    </row>
    <row r="1510" spans="1:16" ht="14.25">
      <c r="A1510" s="224">
        <v>1509</v>
      </c>
      <c r="B1510" s="248">
        <v>27952</v>
      </c>
      <c r="C1510" s="248" t="s">
        <v>5004</v>
      </c>
      <c r="D1510" s="248" t="s">
        <v>45</v>
      </c>
      <c r="E1510" s="248" t="s">
        <v>4772</v>
      </c>
      <c r="F1510" s="249">
        <v>45664.835416666669</v>
      </c>
      <c r="G1510" s="248">
        <v>7</v>
      </c>
      <c r="H1510" s="248" t="s">
        <v>2557</v>
      </c>
      <c r="I1510" s="248">
        <v>73521</v>
      </c>
      <c r="J1510" s="250" t="s">
        <v>1334</v>
      </c>
      <c r="K1510" s="248">
        <v>2.99</v>
      </c>
      <c r="L1510" s="248">
        <v>0.09</v>
      </c>
      <c r="M1510" s="248">
        <v>0</v>
      </c>
      <c r="N1510" s="248">
        <v>1</v>
      </c>
      <c r="O1510" s="181">
        <f t="shared" si="10"/>
        <v>2.9000000000000004</v>
      </c>
      <c r="P1510" s="247">
        <f t="shared" si="11"/>
        <v>2.9000000000000004</v>
      </c>
    </row>
    <row r="1511" spans="1:16" ht="14.25">
      <c r="A1511" s="224">
        <v>1510</v>
      </c>
      <c r="B1511" s="248">
        <v>3309</v>
      </c>
      <c r="C1511" s="248" t="s">
        <v>2722</v>
      </c>
      <c r="D1511" s="248" t="s">
        <v>45</v>
      </c>
      <c r="E1511" s="248" t="s">
        <v>2860</v>
      </c>
      <c r="F1511" s="249">
        <v>45664.969444444447</v>
      </c>
      <c r="G1511" s="248">
        <v>7</v>
      </c>
      <c r="H1511" s="248" t="s">
        <v>2557</v>
      </c>
      <c r="I1511" s="248">
        <v>71361</v>
      </c>
      <c r="J1511" s="250" t="s">
        <v>5008</v>
      </c>
      <c r="K1511" s="248">
        <v>59.99</v>
      </c>
      <c r="L1511" s="248">
        <v>0</v>
      </c>
      <c r="M1511" s="248">
        <v>0</v>
      </c>
      <c r="N1511" s="248">
        <v>1</v>
      </c>
      <c r="O1511" s="181">
        <f t="shared" si="10"/>
        <v>59.99</v>
      </c>
      <c r="P1511" s="247">
        <f t="shared" si="11"/>
        <v>59.99</v>
      </c>
    </row>
    <row r="1512" spans="1:16" ht="14.25">
      <c r="A1512" s="224">
        <v>1511</v>
      </c>
      <c r="B1512" s="248">
        <v>25262</v>
      </c>
      <c r="C1512" s="248" t="s">
        <v>4571</v>
      </c>
      <c r="D1512" s="248" t="s">
        <v>2582</v>
      </c>
      <c r="E1512" s="248" t="s">
        <v>2860</v>
      </c>
      <c r="F1512" s="249">
        <v>45664.984722222223</v>
      </c>
      <c r="G1512" s="248">
        <v>7</v>
      </c>
      <c r="H1512" s="248" t="s">
        <v>2557</v>
      </c>
      <c r="I1512" s="248">
        <v>70076</v>
      </c>
      <c r="J1512" s="250" t="s">
        <v>5009</v>
      </c>
      <c r="K1512" s="248">
        <v>46.43</v>
      </c>
      <c r="L1512" s="248">
        <v>0</v>
      </c>
      <c r="M1512" s="248">
        <v>0</v>
      </c>
      <c r="N1512" s="248">
        <v>7.1646799999999997</v>
      </c>
      <c r="O1512" s="181">
        <f t="shared" si="10"/>
        <v>46.43</v>
      </c>
      <c r="P1512" s="247">
        <f t="shared" si="11"/>
        <v>6.4804010786245865</v>
      </c>
    </row>
    <row r="1513" spans="1:16" ht="14.25">
      <c r="A1513" s="224">
        <v>1512</v>
      </c>
      <c r="B1513" s="248">
        <v>27978</v>
      </c>
      <c r="C1513" s="248" t="s">
        <v>5010</v>
      </c>
      <c r="D1513" s="248" t="s">
        <v>45</v>
      </c>
      <c r="E1513" s="248" t="s">
        <v>4772</v>
      </c>
      <c r="F1513" s="249">
        <v>45695.073611111111</v>
      </c>
      <c r="G1513" s="248">
        <v>7</v>
      </c>
      <c r="H1513" s="248" t="s">
        <v>2557</v>
      </c>
      <c r="I1513" s="248">
        <v>73533</v>
      </c>
      <c r="J1513" s="250" t="s">
        <v>1332</v>
      </c>
      <c r="K1513" s="248">
        <v>2.99</v>
      </c>
      <c r="L1513" s="248">
        <v>0.09</v>
      </c>
      <c r="M1513" s="248">
        <v>0</v>
      </c>
      <c r="N1513" s="248">
        <v>1</v>
      </c>
      <c r="O1513" s="181">
        <f t="shared" si="10"/>
        <v>2.9000000000000004</v>
      </c>
      <c r="P1513" s="247">
        <f t="shared" si="11"/>
        <v>2.9000000000000004</v>
      </c>
    </row>
    <row r="1514" spans="1:16" ht="14.25">
      <c r="A1514" s="224">
        <v>1513</v>
      </c>
      <c r="B1514" s="248">
        <v>27984</v>
      </c>
      <c r="C1514" s="248" t="s">
        <v>2569</v>
      </c>
      <c r="D1514" s="248" t="s">
        <v>45</v>
      </c>
      <c r="E1514" s="248" t="s">
        <v>4772</v>
      </c>
      <c r="F1514" s="249">
        <v>45695.122916666667</v>
      </c>
      <c r="G1514" s="248">
        <v>7</v>
      </c>
      <c r="H1514" s="248" t="s">
        <v>2557</v>
      </c>
      <c r="I1514" s="248">
        <v>73545</v>
      </c>
      <c r="J1514" s="250" t="s">
        <v>1330</v>
      </c>
      <c r="K1514" s="248">
        <v>17.989999999999998</v>
      </c>
      <c r="L1514" s="248">
        <v>0.53</v>
      </c>
      <c r="M1514" s="248">
        <v>0</v>
      </c>
      <c r="N1514" s="248">
        <v>1</v>
      </c>
      <c r="O1514" s="181">
        <f t="shared" si="10"/>
        <v>17.459999999999997</v>
      </c>
      <c r="P1514" s="247">
        <f t="shared" si="11"/>
        <v>17.459999999999997</v>
      </c>
    </row>
    <row r="1515" spans="1:16" ht="14.25">
      <c r="A1515" s="224">
        <v>1514</v>
      </c>
      <c r="B1515" s="248">
        <v>113</v>
      </c>
      <c r="C1515" s="248" t="s">
        <v>5011</v>
      </c>
      <c r="D1515" s="248" t="s">
        <v>45</v>
      </c>
      <c r="E1515" s="248" t="s">
        <v>4772</v>
      </c>
      <c r="F1515" s="249">
        <v>45695.242361111108</v>
      </c>
      <c r="G1515" s="248">
        <v>7</v>
      </c>
      <c r="H1515" s="248" t="s">
        <v>2557</v>
      </c>
      <c r="I1515" s="248">
        <v>70677</v>
      </c>
      <c r="J1515" s="250" t="s">
        <v>1327</v>
      </c>
      <c r="K1515" s="248">
        <v>1.88</v>
      </c>
      <c r="L1515" s="248">
        <v>0.06</v>
      </c>
      <c r="M1515" s="248">
        <v>0</v>
      </c>
      <c r="N1515" s="248">
        <v>1</v>
      </c>
      <c r="O1515" s="181">
        <f t="shared" si="10"/>
        <v>1.8199999999999998</v>
      </c>
      <c r="P1515" s="247">
        <f t="shared" si="11"/>
        <v>1.8199999999999998</v>
      </c>
    </row>
    <row r="1516" spans="1:16" ht="14.25">
      <c r="A1516" s="224">
        <v>1515</v>
      </c>
      <c r="B1516" s="248">
        <v>27977</v>
      </c>
      <c r="C1516" s="248" t="s">
        <v>5012</v>
      </c>
      <c r="D1516" s="248" t="s">
        <v>45</v>
      </c>
      <c r="E1516" s="248" t="s">
        <v>2874</v>
      </c>
      <c r="F1516" s="249">
        <v>45695.336805555555</v>
      </c>
      <c r="G1516" s="248">
        <v>7</v>
      </c>
      <c r="H1516" s="248" t="s">
        <v>2557</v>
      </c>
      <c r="I1516" s="248">
        <v>73569</v>
      </c>
      <c r="J1516" s="250" t="s">
        <v>5013</v>
      </c>
      <c r="K1516" s="248">
        <v>12.99</v>
      </c>
      <c r="L1516" s="248">
        <v>0</v>
      </c>
      <c r="M1516" s="248">
        <v>0</v>
      </c>
      <c r="N1516" s="248">
        <v>1</v>
      </c>
      <c r="O1516" s="181">
        <f t="shared" si="10"/>
        <v>12.99</v>
      </c>
      <c r="P1516" s="247">
        <f t="shared" si="11"/>
        <v>12.99</v>
      </c>
    </row>
    <row r="1517" spans="1:16" ht="14.25">
      <c r="A1517" s="224">
        <v>1516</v>
      </c>
      <c r="B1517" s="248">
        <v>3299</v>
      </c>
      <c r="C1517" s="248" t="s">
        <v>3063</v>
      </c>
      <c r="D1517" s="248" t="s">
        <v>45</v>
      </c>
      <c r="E1517" s="248" t="s">
        <v>2860</v>
      </c>
      <c r="F1517" s="249">
        <v>45695.37777777778</v>
      </c>
      <c r="G1517" s="248">
        <v>7</v>
      </c>
      <c r="H1517" s="248" t="s">
        <v>2557</v>
      </c>
      <c r="I1517" s="248">
        <v>71349</v>
      </c>
      <c r="J1517" s="250" t="s">
        <v>5014</v>
      </c>
      <c r="K1517" s="248">
        <v>42.99</v>
      </c>
      <c r="L1517" s="248">
        <v>0</v>
      </c>
      <c r="M1517" s="248">
        <v>0</v>
      </c>
      <c r="N1517" s="248">
        <v>1</v>
      </c>
      <c r="O1517" s="181">
        <f t="shared" si="10"/>
        <v>42.99</v>
      </c>
      <c r="P1517" s="247">
        <f t="shared" si="11"/>
        <v>42.99</v>
      </c>
    </row>
    <row r="1518" spans="1:16" ht="14.25">
      <c r="A1518" s="224">
        <v>1517</v>
      </c>
      <c r="B1518" s="248">
        <v>27977</v>
      </c>
      <c r="C1518" s="248" t="s">
        <v>5012</v>
      </c>
      <c r="D1518" s="248" t="s">
        <v>45</v>
      </c>
      <c r="E1518" s="248" t="s">
        <v>2874</v>
      </c>
      <c r="F1518" s="249">
        <v>45695.40347222222</v>
      </c>
      <c r="G1518" s="248">
        <v>7</v>
      </c>
      <c r="H1518" s="248" t="s">
        <v>2557</v>
      </c>
      <c r="I1518" s="248">
        <v>73701</v>
      </c>
      <c r="J1518" s="250" t="s">
        <v>5015</v>
      </c>
      <c r="K1518" s="248">
        <v>6.49</v>
      </c>
      <c r="L1518" s="248">
        <v>0</v>
      </c>
      <c r="M1518" s="248">
        <v>0</v>
      </c>
      <c r="N1518" s="248">
        <v>1</v>
      </c>
      <c r="O1518" s="181">
        <f t="shared" si="10"/>
        <v>6.49</v>
      </c>
      <c r="P1518" s="247">
        <f t="shared" si="11"/>
        <v>6.49</v>
      </c>
    </row>
    <row r="1519" spans="1:16" ht="14.25">
      <c r="A1519" s="224">
        <v>1518</v>
      </c>
      <c r="B1519" s="248">
        <v>26237</v>
      </c>
      <c r="C1519" s="248" t="s">
        <v>4786</v>
      </c>
      <c r="D1519" s="248" t="s">
        <v>45</v>
      </c>
      <c r="E1519" s="248" t="s">
        <v>4772</v>
      </c>
      <c r="F1519" s="249">
        <v>45695.512499999997</v>
      </c>
      <c r="G1519" s="248">
        <v>7</v>
      </c>
      <c r="H1519" s="248" t="s">
        <v>2557</v>
      </c>
      <c r="I1519" s="248">
        <v>73689</v>
      </c>
      <c r="J1519" s="250" t="s">
        <v>1358</v>
      </c>
      <c r="K1519" s="248">
        <v>56.79</v>
      </c>
      <c r="L1519" s="248">
        <v>1.65</v>
      </c>
      <c r="M1519" s="248">
        <v>0</v>
      </c>
      <c r="N1519" s="248">
        <v>1</v>
      </c>
      <c r="O1519" s="181">
        <f t="shared" si="10"/>
        <v>55.14</v>
      </c>
      <c r="P1519" s="247">
        <f t="shared" si="11"/>
        <v>55.14</v>
      </c>
    </row>
    <row r="1520" spans="1:16" ht="14.25">
      <c r="A1520" s="224">
        <v>1519</v>
      </c>
      <c r="B1520" s="248">
        <v>3299</v>
      </c>
      <c r="C1520" s="248" t="s">
        <v>3063</v>
      </c>
      <c r="D1520" s="248" t="s">
        <v>45</v>
      </c>
      <c r="E1520" s="248" t="s">
        <v>2860</v>
      </c>
      <c r="F1520" s="249">
        <v>45695.61041666667</v>
      </c>
      <c r="G1520" s="248">
        <v>7</v>
      </c>
      <c r="H1520" s="248" t="s">
        <v>5016</v>
      </c>
      <c r="I1520" s="248">
        <v>71349</v>
      </c>
      <c r="J1520" s="250"/>
      <c r="K1520" s="248">
        <v>0</v>
      </c>
      <c r="L1520" s="248">
        <v>0</v>
      </c>
      <c r="M1520" s="248">
        <v>42.99</v>
      </c>
      <c r="N1520" s="248">
        <v>1</v>
      </c>
      <c r="O1520" s="181">
        <f t="shared" si="10"/>
        <v>-42.99</v>
      </c>
      <c r="P1520" s="247">
        <f t="shared" si="11"/>
        <v>-42.99</v>
      </c>
    </row>
    <row r="1521" spans="1:16" ht="14.25">
      <c r="A1521" s="224">
        <v>1520</v>
      </c>
      <c r="B1521" s="248">
        <v>19625</v>
      </c>
      <c r="C1521" s="248" t="s">
        <v>5017</v>
      </c>
      <c r="D1521" s="248" t="s">
        <v>2582</v>
      </c>
      <c r="E1521" s="248" t="s">
        <v>4772</v>
      </c>
      <c r="F1521" s="249">
        <v>45695.617361111108</v>
      </c>
      <c r="G1521" s="248">
        <v>7</v>
      </c>
      <c r="H1521" s="248" t="s">
        <v>2557</v>
      </c>
      <c r="I1521" s="248">
        <v>73737</v>
      </c>
      <c r="J1521" s="250" t="s">
        <v>1356</v>
      </c>
      <c r="K1521" s="248">
        <v>93.04</v>
      </c>
      <c r="L1521" s="248">
        <v>0.38</v>
      </c>
      <c r="M1521" s="248">
        <v>0</v>
      </c>
      <c r="N1521" s="248">
        <v>7.1620699999999999</v>
      </c>
      <c r="O1521" s="181">
        <f t="shared" si="10"/>
        <v>92.660000000000011</v>
      </c>
      <c r="P1521" s="247">
        <f t="shared" si="11"/>
        <v>12.937600442330222</v>
      </c>
    </row>
    <row r="1522" spans="1:16" ht="14.25">
      <c r="A1522" s="224">
        <v>1521</v>
      </c>
      <c r="B1522" s="248">
        <v>26089</v>
      </c>
      <c r="C1522" s="248" t="s">
        <v>4759</v>
      </c>
      <c r="D1522" s="248" t="s">
        <v>2582</v>
      </c>
      <c r="E1522" s="248" t="s">
        <v>4772</v>
      </c>
      <c r="F1522" s="249">
        <v>45695.71597222222</v>
      </c>
      <c r="G1522" s="248">
        <v>7</v>
      </c>
      <c r="H1522" s="248" t="s">
        <v>2557</v>
      </c>
      <c r="I1522" s="248">
        <v>73749</v>
      </c>
      <c r="J1522" s="250" t="s">
        <v>1354</v>
      </c>
      <c r="K1522" s="248">
        <v>393.84</v>
      </c>
      <c r="L1522" s="248">
        <v>1.6</v>
      </c>
      <c r="M1522" s="248">
        <v>0</v>
      </c>
      <c r="N1522" s="248">
        <v>7.1620699999999999</v>
      </c>
      <c r="O1522" s="181">
        <f t="shared" si="10"/>
        <v>392.23999999999995</v>
      </c>
      <c r="P1522" s="247">
        <f t="shared" si="11"/>
        <v>54.766289634142076</v>
      </c>
    </row>
    <row r="1523" spans="1:16" ht="14.25">
      <c r="A1523" s="224">
        <v>1522</v>
      </c>
      <c r="B1523" s="248">
        <v>26787</v>
      </c>
      <c r="C1523" s="248" t="s">
        <v>4854</v>
      </c>
      <c r="D1523" s="248" t="s">
        <v>2582</v>
      </c>
      <c r="E1523" s="248" t="s">
        <v>4772</v>
      </c>
      <c r="F1523" s="249">
        <v>45695.848611111112</v>
      </c>
      <c r="G1523" s="248">
        <v>7</v>
      </c>
      <c r="H1523" s="248" t="s">
        <v>2557</v>
      </c>
      <c r="I1523" s="248">
        <v>73761</v>
      </c>
      <c r="J1523" s="250" t="s">
        <v>1352</v>
      </c>
      <c r="K1523" s="248">
        <v>84</v>
      </c>
      <c r="L1523" s="248">
        <v>0.34</v>
      </c>
      <c r="M1523" s="248">
        <v>0</v>
      </c>
      <c r="N1523" s="248">
        <v>7.1620699999999999</v>
      </c>
      <c r="O1523" s="181">
        <f t="shared" si="10"/>
        <v>83.66</v>
      </c>
      <c r="P1523" s="247">
        <f t="shared" si="11"/>
        <v>11.680980498654717</v>
      </c>
    </row>
    <row r="1524" spans="1:16" ht="14.25">
      <c r="A1524" s="224">
        <v>1523</v>
      </c>
      <c r="B1524" s="248">
        <v>24901</v>
      </c>
      <c r="C1524" s="248" t="s">
        <v>5018</v>
      </c>
      <c r="D1524" s="248" t="s">
        <v>2582</v>
      </c>
      <c r="E1524" s="248" t="s">
        <v>4772</v>
      </c>
      <c r="F1524" s="249">
        <v>45695.88958333333</v>
      </c>
      <c r="G1524" s="248">
        <v>7</v>
      </c>
      <c r="H1524" s="248" t="s">
        <v>2557</v>
      </c>
      <c r="I1524" s="248">
        <v>73773</v>
      </c>
      <c r="J1524" s="250" t="s">
        <v>1350</v>
      </c>
      <c r="K1524" s="248">
        <v>426.08</v>
      </c>
      <c r="L1524" s="248">
        <v>1.73</v>
      </c>
      <c r="M1524" s="248">
        <v>0</v>
      </c>
      <c r="N1524" s="248">
        <v>7.1620699999999999</v>
      </c>
      <c r="O1524" s="181">
        <f t="shared" si="10"/>
        <v>424.34999999999997</v>
      </c>
      <c r="P1524" s="247">
        <f t="shared" si="11"/>
        <v>59.249630344299895</v>
      </c>
    </row>
    <row r="1525" spans="1:16" ht="14.25">
      <c r="A1525" s="224">
        <v>1524</v>
      </c>
      <c r="B1525" s="248">
        <v>28013</v>
      </c>
      <c r="C1525" s="248" t="s">
        <v>5019</v>
      </c>
      <c r="D1525" s="248" t="s">
        <v>2582</v>
      </c>
      <c r="E1525" s="248" t="s">
        <v>4772</v>
      </c>
      <c r="F1525" s="249">
        <v>45695.977083333331</v>
      </c>
      <c r="G1525" s="248">
        <v>7</v>
      </c>
      <c r="H1525" s="248" t="s">
        <v>2557</v>
      </c>
      <c r="I1525" s="248">
        <v>73785</v>
      </c>
      <c r="J1525" s="250" t="s">
        <v>1348</v>
      </c>
      <c r="K1525" s="248">
        <v>17.829999999999998</v>
      </c>
      <c r="L1525" s="248">
        <v>0.08</v>
      </c>
      <c r="M1525" s="248">
        <v>0</v>
      </c>
      <c r="N1525" s="248">
        <v>7.1620699999999999</v>
      </c>
      <c r="O1525" s="181">
        <f t="shared" si="10"/>
        <v>17.75</v>
      </c>
      <c r="P1525" s="247">
        <f t="shared" si="11"/>
        <v>2.4783337778044614</v>
      </c>
    </row>
    <row r="1526" spans="1:16" ht="14.25">
      <c r="A1526" s="224">
        <v>1525</v>
      </c>
      <c r="B1526" s="248">
        <v>20283</v>
      </c>
      <c r="C1526" s="248" t="s">
        <v>3444</v>
      </c>
      <c r="D1526" s="248" t="s">
        <v>45</v>
      </c>
      <c r="E1526" s="248" t="s">
        <v>4772</v>
      </c>
      <c r="F1526" s="249">
        <v>45695.986111111109</v>
      </c>
      <c r="G1526" s="248">
        <v>7</v>
      </c>
      <c r="H1526" s="248" t="s">
        <v>2557</v>
      </c>
      <c r="I1526" s="248">
        <v>73797</v>
      </c>
      <c r="J1526" s="250" t="s">
        <v>1346</v>
      </c>
      <c r="K1526" s="248">
        <v>20.69</v>
      </c>
      <c r="L1526" s="248">
        <v>0.6</v>
      </c>
      <c r="M1526" s="248">
        <v>0</v>
      </c>
      <c r="N1526" s="248">
        <v>1</v>
      </c>
      <c r="O1526" s="181">
        <f t="shared" si="10"/>
        <v>20.09</v>
      </c>
      <c r="P1526" s="247">
        <f t="shared" si="11"/>
        <v>20.09</v>
      </c>
    </row>
    <row r="1527" spans="1:16" ht="14.25">
      <c r="A1527" s="224">
        <v>1526</v>
      </c>
      <c r="B1527" s="248">
        <v>28023</v>
      </c>
      <c r="C1527" s="248" t="s">
        <v>5020</v>
      </c>
      <c r="D1527" s="248" t="s">
        <v>45</v>
      </c>
      <c r="E1527" s="248" t="s">
        <v>4772</v>
      </c>
      <c r="F1527" s="249">
        <v>45723.303472222222</v>
      </c>
      <c r="G1527" s="248">
        <v>7</v>
      </c>
      <c r="H1527" s="248" t="s">
        <v>2557</v>
      </c>
      <c r="I1527" s="248">
        <v>73809</v>
      </c>
      <c r="J1527" s="250" t="s">
        <v>1344</v>
      </c>
      <c r="K1527" s="248">
        <v>9.99</v>
      </c>
      <c r="L1527" s="248">
        <v>0.28999999999999998</v>
      </c>
      <c r="M1527" s="248">
        <v>0</v>
      </c>
      <c r="N1527" s="248">
        <v>1</v>
      </c>
      <c r="O1527" s="181">
        <f t="shared" si="10"/>
        <v>9.7000000000000011</v>
      </c>
      <c r="P1527" s="247">
        <f t="shared" si="11"/>
        <v>9.7000000000000011</v>
      </c>
    </row>
    <row r="1528" spans="1:16" ht="14.25">
      <c r="A1528" s="224">
        <v>1527</v>
      </c>
      <c r="B1528" s="248">
        <v>24062</v>
      </c>
      <c r="C1528" s="248" t="s">
        <v>4122</v>
      </c>
      <c r="D1528" s="248" t="s">
        <v>2582</v>
      </c>
      <c r="E1528" s="248" t="s">
        <v>2860</v>
      </c>
      <c r="F1528" s="249">
        <v>45723.466666666667</v>
      </c>
      <c r="G1528" s="248">
        <v>7</v>
      </c>
      <c r="H1528" s="248" t="s">
        <v>2557</v>
      </c>
      <c r="I1528" s="248">
        <v>73641</v>
      </c>
      <c r="J1528" s="250" t="s">
        <v>5021</v>
      </c>
      <c r="K1528" s="248">
        <v>35.42</v>
      </c>
      <c r="L1528" s="248">
        <v>0</v>
      </c>
      <c r="M1528" s="248">
        <v>0</v>
      </c>
      <c r="N1528" s="248">
        <v>7.1692900000000002</v>
      </c>
      <c r="O1528" s="181">
        <f t="shared" si="10"/>
        <v>35.42</v>
      </c>
      <c r="P1528" s="247">
        <f t="shared" si="11"/>
        <v>4.9405171223370798</v>
      </c>
    </row>
    <row r="1529" spans="1:16" ht="14.25">
      <c r="A1529" s="224">
        <v>1528</v>
      </c>
      <c r="B1529" s="248">
        <v>28028</v>
      </c>
      <c r="C1529" s="248" t="s">
        <v>5022</v>
      </c>
      <c r="D1529" s="248" t="s">
        <v>45</v>
      </c>
      <c r="E1529" s="248" t="s">
        <v>4772</v>
      </c>
      <c r="F1529" s="249">
        <v>45723.750694444447</v>
      </c>
      <c r="G1529" s="248">
        <v>7</v>
      </c>
      <c r="H1529" s="248" t="s">
        <v>2557</v>
      </c>
      <c r="I1529" s="248">
        <v>73917</v>
      </c>
      <c r="J1529" s="250" t="s">
        <v>1362</v>
      </c>
      <c r="K1529" s="248">
        <v>8.7899999999999991</v>
      </c>
      <c r="L1529" s="248">
        <v>0.26</v>
      </c>
      <c r="M1529" s="248">
        <v>0</v>
      </c>
      <c r="N1529" s="248">
        <v>1</v>
      </c>
      <c r="O1529" s="181">
        <f t="shared" si="10"/>
        <v>8.5299999999999994</v>
      </c>
      <c r="P1529" s="247">
        <f t="shared" si="11"/>
        <v>8.5299999999999994</v>
      </c>
    </row>
    <row r="1530" spans="1:16" ht="14.25">
      <c r="A1530" s="224">
        <v>1529</v>
      </c>
      <c r="B1530" s="248">
        <v>25163</v>
      </c>
      <c r="C1530" s="248" t="s">
        <v>4531</v>
      </c>
      <c r="D1530" s="248" t="s">
        <v>45</v>
      </c>
      <c r="E1530" s="248" t="s">
        <v>2860</v>
      </c>
      <c r="F1530" s="249">
        <v>45723.881944444445</v>
      </c>
      <c r="G1530" s="248">
        <v>7</v>
      </c>
      <c r="H1530" s="248" t="s">
        <v>2557</v>
      </c>
      <c r="I1530" s="248">
        <v>71061</v>
      </c>
      <c r="J1530" s="250" t="s">
        <v>5023</v>
      </c>
      <c r="K1530" s="248">
        <v>19.989999999999998</v>
      </c>
      <c r="L1530" s="248">
        <v>0</v>
      </c>
      <c r="M1530" s="248">
        <v>0</v>
      </c>
      <c r="N1530" s="248">
        <v>1</v>
      </c>
      <c r="O1530" s="181">
        <f t="shared" si="10"/>
        <v>19.989999999999998</v>
      </c>
      <c r="P1530" s="247">
        <f t="shared" si="11"/>
        <v>19.989999999999998</v>
      </c>
    </row>
    <row r="1531" spans="1:16" ht="14.25">
      <c r="A1531" s="224">
        <v>1530</v>
      </c>
      <c r="B1531" s="248">
        <v>28037</v>
      </c>
      <c r="C1531" s="248" t="s">
        <v>5024</v>
      </c>
      <c r="D1531" s="248" t="s">
        <v>45</v>
      </c>
      <c r="E1531" s="248" t="s">
        <v>9</v>
      </c>
      <c r="F1531" s="249">
        <v>45723.923611111109</v>
      </c>
      <c r="G1531" s="248">
        <v>7</v>
      </c>
      <c r="H1531" s="248" t="s">
        <v>2557</v>
      </c>
      <c r="I1531" s="248">
        <v>73929</v>
      </c>
      <c r="J1531" s="250" t="s">
        <v>585</v>
      </c>
      <c r="K1531" s="248">
        <v>8.99</v>
      </c>
      <c r="L1531" s="248">
        <v>0.8</v>
      </c>
      <c r="M1531" s="248">
        <v>0</v>
      </c>
      <c r="N1531" s="248">
        <v>1</v>
      </c>
      <c r="O1531" s="181">
        <f t="shared" si="10"/>
        <v>8.19</v>
      </c>
      <c r="P1531" s="247">
        <f t="shared" si="11"/>
        <v>8.19</v>
      </c>
    </row>
    <row r="1532" spans="1:16" ht="14.25">
      <c r="A1532" s="224">
        <v>1531</v>
      </c>
      <c r="B1532" s="248">
        <v>19889</v>
      </c>
      <c r="C1532" s="248" t="s">
        <v>3227</v>
      </c>
      <c r="D1532" s="248" t="s">
        <v>45</v>
      </c>
      <c r="E1532" s="248" t="s">
        <v>2860</v>
      </c>
      <c r="F1532" s="249">
        <v>45754.050694444442</v>
      </c>
      <c r="G1532" s="248">
        <v>7</v>
      </c>
      <c r="H1532" s="248" t="s">
        <v>2557</v>
      </c>
      <c r="I1532" s="248">
        <v>73293</v>
      </c>
      <c r="J1532" s="250" t="s">
        <v>5025</v>
      </c>
      <c r="K1532" s="248">
        <v>1.99</v>
      </c>
      <c r="L1532" s="248">
        <v>0</v>
      </c>
      <c r="M1532" s="248">
        <v>0</v>
      </c>
      <c r="N1532" s="248">
        <v>1</v>
      </c>
      <c r="O1532" s="181">
        <f t="shared" ref="O1532:O1786" si="12">K1532-L1532-M1532</f>
        <v>1.99</v>
      </c>
      <c r="P1532" s="247">
        <f t="shared" ref="P1532:P1786" si="13">IF(D1532="USD",O1532,O1532/N1532)</f>
        <v>1.99</v>
      </c>
    </row>
    <row r="1533" spans="1:16" ht="14.25">
      <c r="A1533" s="224">
        <v>1532</v>
      </c>
      <c r="B1533" s="248">
        <v>19889</v>
      </c>
      <c r="C1533" s="248" t="s">
        <v>3227</v>
      </c>
      <c r="D1533" s="248" t="s">
        <v>45</v>
      </c>
      <c r="E1533" s="248" t="s">
        <v>2860</v>
      </c>
      <c r="F1533" s="249">
        <v>45754.050694444442</v>
      </c>
      <c r="G1533" s="248">
        <v>7</v>
      </c>
      <c r="H1533" s="248" t="s">
        <v>2557</v>
      </c>
      <c r="I1533" s="248">
        <v>73293</v>
      </c>
      <c r="J1533" s="250" t="s">
        <v>5025</v>
      </c>
      <c r="K1533" s="248">
        <v>1.99</v>
      </c>
      <c r="L1533" s="248">
        <v>0</v>
      </c>
      <c r="M1533" s="248">
        <v>0</v>
      </c>
      <c r="N1533" s="248">
        <v>1</v>
      </c>
      <c r="O1533" s="181">
        <f t="shared" si="12"/>
        <v>1.99</v>
      </c>
      <c r="P1533" s="247">
        <f t="shared" si="13"/>
        <v>1.99</v>
      </c>
    </row>
    <row r="1534" spans="1:16" ht="14.25">
      <c r="A1534" s="224">
        <v>1533</v>
      </c>
      <c r="B1534" s="248">
        <v>19889</v>
      </c>
      <c r="C1534" s="248" t="s">
        <v>3227</v>
      </c>
      <c r="D1534" s="248" t="s">
        <v>45</v>
      </c>
      <c r="E1534" s="248" t="s">
        <v>4772</v>
      </c>
      <c r="F1534" s="249">
        <v>45754.053472222222</v>
      </c>
      <c r="G1534" s="248">
        <v>7</v>
      </c>
      <c r="H1534" s="248" t="s">
        <v>2557</v>
      </c>
      <c r="I1534" s="248">
        <v>73930</v>
      </c>
      <c r="J1534" s="250" t="s">
        <v>1360</v>
      </c>
      <c r="K1534" s="248">
        <v>4.3</v>
      </c>
      <c r="L1534" s="248">
        <v>0.13</v>
      </c>
      <c r="M1534" s="248">
        <v>0</v>
      </c>
      <c r="N1534" s="248">
        <v>1</v>
      </c>
      <c r="O1534" s="181">
        <f t="shared" si="12"/>
        <v>4.17</v>
      </c>
      <c r="P1534" s="247">
        <f t="shared" si="13"/>
        <v>4.17</v>
      </c>
    </row>
    <row r="1535" spans="1:16" ht="14.25">
      <c r="A1535" s="224">
        <v>1534</v>
      </c>
      <c r="B1535" s="248">
        <v>19962</v>
      </c>
      <c r="C1535" s="248" t="s">
        <v>3276</v>
      </c>
      <c r="D1535" s="248" t="s">
        <v>2582</v>
      </c>
      <c r="E1535" s="248" t="s">
        <v>2860</v>
      </c>
      <c r="F1535" s="249">
        <v>45754.379166666666</v>
      </c>
      <c r="G1535" s="248">
        <v>7</v>
      </c>
      <c r="H1535" s="248" t="s">
        <v>2557</v>
      </c>
      <c r="I1535" s="248">
        <v>73845</v>
      </c>
      <c r="J1535" s="250" t="s">
        <v>5026</v>
      </c>
      <c r="K1535" s="248">
        <v>14.39</v>
      </c>
      <c r="L1535" s="248">
        <v>0</v>
      </c>
      <c r="M1535" s="248">
        <v>0</v>
      </c>
      <c r="N1535" s="248">
        <v>7.1615200000000003</v>
      </c>
      <c r="O1535" s="181">
        <f t="shared" si="12"/>
        <v>14.39</v>
      </c>
      <c r="P1535" s="247">
        <f t="shared" si="13"/>
        <v>2.0093499703973459</v>
      </c>
    </row>
    <row r="1536" spans="1:16" ht="14.25">
      <c r="A1536" s="224">
        <v>1535</v>
      </c>
      <c r="B1536" s="248">
        <v>216</v>
      </c>
      <c r="C1536" s="248" t="s">
        <v>5027</v>
      </c>
      <c r="D1536" s="248" t="s">
        <v>45</v>
      </c>
      <c r="E1536" s="248" t="s">
        <v>2860</v>
      </c>
      <c r="F1536" s="249">
        <v>45754.393055555556</v>
      </c>
      <c r="G1536" s="248">
        <v>7</v>
      </c>
      <c r="H1536" s="248" t="s">
        <v>2557</v>
      </c>
      <c r="I1536" s="248">
        <v>72993</v>
      </c>
      <c r="J1536" s="250" t="s">
        <v>5028</v>
      </c>
      <c r="K1536" s="248">
        <v>1.98</v>
      </c>
      <c r="L1536" s="248">
        <v>0</v>
      </c>
      <c r="M1536" s="248">
        <v>0</v>
      </c>
      <c r="N1536" s="248">
        <v>1</v>
      </c>
      <c r="O1536" s="181">
        <f t="shared" si="12"/>
        <v>1.98</v>
      </c>
      <c r="P1536" s="247">
        <f t="shared" si="13"/>
        <v>1.98</v>
      </c>
    </row>
    <row r="1537" spans="1:16" ht="14.25">
      <c r="A1537" s="224">
        <v>1536</v>
      </c>
      <c r="B1537" s="248">
        <v>75</v>
      </c>
      <c r="C1537" s="248" t="s">
        <v>5029</v>
      </c>
      <c r="D1537" s="248" t="s">
        <v>45</v>
      </c>
      <c r="E1537" s="248" t="s">
        <v>9</v>
      </c>
      <c r="F1537" s="249">
        <v>45754.467361111114</v>
      </c>
      <c r="G1537" s="248">
        <v>7</v>
      </c>
      <c r="H1537" s="248" t="s">
        <v>2557</v>
      </c>
      <c r="I1537" s="248">
        <v>70881</v>
      </c>
      <c r="J1537" s="250"/>
      <c r="K1537" s="248">
        <v>1.88</v>
      </c>
      <c r="L1537" s="248">
        <v>0</v>
      </c>
      <c r="M1537" s="248">
        <v>0</v>
      </c>
      <c r="N1537" s="248">
        <v>1</v>
      </c>
      <c r="O1537" s="181">
        <f t="shared" si="12"/>
        <v>1.88</v>
      </c>
      <c r="P1537" s="247">
        <f t="shared" si="13"/>
        <v>1.88</v>
      </c>
    </row>
    <row r="1538" spans="1:16" ht="14.25">
      <c r="A1538" s="224">
        <v>1537</v>
      </c>
      <c r="B1538" s="248">
        <v>19962</v>
      </c>
      <c r="C1538" s="248" t="s">
        <v>3276</v>
      </c>
      <c r="D1538" s="248" t="s">
        <v>2582</v>
      </c>
      <c r="E1538" s="248" t="s">
        <v>2860</v>
      </c>
      <c r="F1538" s="249">
        <v>45754.615277777775</v>
      </c>
      <c r="G1538" s="248">
        <v>7</v>
      </c>
      <c r="H1538" s="248" t="s">
        <v>2557</v>
      </c>
      <c r="I1538" s="248">
        <v>73845</v>
      </c>
      <c r="J1538" s="250"/>
      <c r="K1538" s="248">
        <v>0.01</v>
      </c>
      <c r="L1538" s="248">
        <v>0</v>
      </c>
      <c r="M1538" s="248">
        <v>0</v>
      </c>
      <c r="N1538" s="248">
        <v>7.1615200000000003</v>
      </c>
      <c r="O1538" s="181">
        <f t="shared" si="12"/>
        <v>0.01</v>
      </c>
      <c r="P1538" s="247">
        <f t="shared" si="13"/>
        <v>1.396351612506842E-3</v>
      </c>
    </row>
    <row r="1539" spans="1:16" ht="14.25">
      <c r="A1539" s="224">
        <v>1538</v>
      </c>
      <c r="B1539" s="248">
        <v>18946</v>
      </c>
      <c r="C1539" s="248" t="s">
        <v>3070</v>
      </c>
      <c r="D1539" s="248" t="s">
        <v>2582</v>
      </c>
      <c r="E1539" s="248" t="s">
        <v>9</v>
      </c>
      <c r="F1539" s="249">
        <v>45754.677083333336</v>
      </c>
      <c r="G1539" s="248">
        <v>7</v>
      </c>
      <c r="H1539" s="248" t="s">
        <v>2557</v>
      </c>
      <c r="I1539" s="248">
        <v>74098</v>
      </c>
      <c r="J1539" s="250" t="s">
        <v>586</v>
      </c>
      <c r="K1539" s="248">
        <v>64.430000000000007</v>
      </c>
      <c r="L1539" s="248">
        <v>6.73</v>
      </c>
      <c r="M1539" s="248">
        <v>0</v>
      </c>
      <c r="N1539" s="248">
        <v>7.1615200000000003</v>
      </c>
      <c r="O1539" s="181">
        <f t="shared" si="12"/>
        <v>57.7</v>
      </c>
      <c r="P1539" s="247">
        <f t="shared" si="13"/>
        <v>8.0569488041644792</v>
      </c>
    </row>
    <row r="1540" spans="1:16" ht="14.25">
      <c r="A1540" s="224">
        <v>1539</v>
      </c>
      <c r="B1540" s="248">
        <v>28070</v>
      </c>
      <c r="C1540" s="248" t="s">
        <v>5030</v>
      </c>
      <c r="D1540" s="248" t="s">
        <v>2582</v>
      </c>
      <c r="E1540" s="248" t="s">
        <v>4772</v>
      </c>
      <c r="F1540" s="249">
        <v>45754.865972222222</v>
      </c>
      <c r="G1540" s="248">
        <v>7</v>
      </c>
      <c r="H1540" s="248" t="s">
        <v>2557</v>
      </c>
      <c r="I1540" s="248">
        <v>74122</v>
      </c>
      <c r="J1540" s="250" t="s">
        <v>1376</v>
      </c>
      <c r="K1540" s="248">
        <v>32.159999999999997</v>
      </c>
      <c r="L1540" s="248">
        <v>0.13</v>
      </c>
      <c r="M1540" s="248">
        <v>0</v>
      </c>
      <c r="N1540" s="248">
        <v>7.1615200000000003</v>
      </c>
      <c r="O1540" s="181">
        <f t="shared" si="12"/>
        <v>32.029999999999994</v>
      </c>
      <c r="P1540" s="247">
        <f t="shared" si="13"/>
        <v>4.4725142148594141</v>
      </c>
    </row>
    <row r="1541" spans="1:16" ht="14.25">
      <c r="A1541" s="224">
        <v>1540</v>
      </c>
      <c r="B1541" s="248">
        <v>25285</v>
      </c>
      <c r="C1541" s="248" t="s">
        <v>4585</v>
      </c>
      <c r="D1541" s="248" t="s">
        <v>45</v>
      </c>
      <c r="E1541" s="248" t="s">
        <v>4772</v>
      </c>
      <c r="F1541" s="249">
        <v>45754.890277777777</v>
      </c>
      <c r="G1541" s="248">
        <v>7</v>
      </c>
      <c r="H1541" s="248" t="s">
        <v>2557</v>
      </c>
      <c r="I1541" s="248">
        <v>74134</v>
      </c>
      <c r="J1541" s="250" t="s">
        <v>1374</v>
      </c>
      <c r="K1541" s="248">
        <v>5.44</v>
      </c>
      <c r="L1541" s="248">
        <v>0.16</v>
      </c>
      <c r="M1541" s="248">
        <v>0</v>
      </c>
      <c r="N1541" s="248">
        <v>1</v>
      </c>
      <c r="O1541" s="181">
        <f t="shared" si="12"/>
        <v>5.28</v>
      </c>
      <c r="P1541" s="247">
        <f t="shared" si="13"/>
        <v>5.28</v>
      </c>
    </row>
    <row r="1542" spans="1:16" ht="14.25">
      <c r="A1542" s="224">
        <v>1541</v>
      </c>
      <c r="B1542" s="248">
        <v>28028</v>
      </c>
      <c r="C1542" s="248" t="s">
        <v>5022</v>
      </c>
      <c r="D1542" s="248" t="s">
        <v>45</v>
      </c>
      <c r="E1542" s="248" t="s">
        <v>4772</v>
      </c>
      <c r="F1542" s="249">
        <v>45754.928472222222</v>
      </c>
      <c r="G1542" s="248">
        <v>7</v>
      </c>
      <c r="H1542" s="248" t="s">
        <v>2557</v>
      </c>
      <c r="I1542" s="248">
        <v>74146</v>
      </c>
      <c r="J1542" s="250" t="s">
        <v>1372</v>
      </c>
      <c r="K1542" s="248">
        <v>7.59</v>
      </c>
      <c r="L1542" s="248">
        <v>0.22</v>
      </c>
      <c r="M1542" s="248">
        <v>0</v>
      </c>
      <c r="N1542" s="248">
        <v>1</v>
      </c>
      <c r="O1542" s="181">
        <f t="shared" si="12"/>
        <v>7.37</v>
      </c>
      <c r="P1542" s="247">
        <f t="shared" si="13"/>
        <v>7.37</v>
      </c>
    </row>
    <row r="1543" spans="1:16" ht="14.25">
      <c r="A1543" s="224">
        <v>1542</v>
      </c>
      <c r="B1543" s="248">
        <v>26089</v>
      </c>
      <c r="C1543" s="248" t="s">
        <v>4759</v>
      </c>
      <c r="D1543" s="248" t="s">
        <v>2582</v>
      </c>
      <c r="E1543" s="248" t="s">
        <v>4772</v>
      </c>
      <c r="F1543" s="249">
        <v>45754.936805555553</v>
      </c>
      <c r="G1543" s="248">
        <v>7</v>
      </c>
      <c r="H1543" s="248" t="s">
        <v>2557</v>
      </c>
      <c r="I1543" s="248">
        <v>74158</v>
      </c>
      <c r="J1543" s="250" t="s">
        <v>1370</v>
      </c>
      <c r="K1543" s="248">
        <v>17.829999999999998</v>
      </c>
      <c r="L1543" s="248">
        <v>0.08</v>
      </c>
      <c r="M1543" s="248">
        <v>0</v>
      </c>
      <c r="N1543" s="248">
        <v>7.1615200000000003</v>
      </c>
      <c r="O1543" s="181">
        <f t="shared" si="12"/>
        <v>17.75</v>
      </c>
      <c r="P1543" s="247">
        <f t="shared" si="13"/>
        <v>2.4785241121996449</v>
      </c>
    </row>
    <row r="1544" spans="1:16" ht="14.25">
      <c r="A1544" s="224">
        <v>1543</v>
      </c>
      <c r="B1544" s="248">
        <v>26089</v>
      </c>
      <c r="C1544" s="248" t="s">
        <v>4759</v>
      </c>
      <c r="D1544" s="248" t="s">
        <v>2582</v>
      </c>
      <c r="E1544" s="248" t="s">
        <v>4772</v>
      </c>
      <c r="F1544" s="249">
        <v>45754.979861111111</v>
      </c>
      <c r="G1544" s="248">
        <v>7</v>
      </c>
      <c r="H1544" s="248" t="s">
        <v>2557</v>
      </c>
      <c r="I1544" s="248">
        <v>74170</v>
      </c>
      <c r="J1544" s="250" t="s">
        <v>1368</v>
      </c>
      <c r="K1544" s="248">
        <v>17.829999999999998</v>
      </c>
      <c r="L1544" s="248">
        <v>0.08</v>
      </c>
      <c r="M1544" s="248">
        <v>0</v>
      </c>
      <c r="N1544" s="248">
        <v>7.1615200000000003</v>
      </c>
      <c r="O1544" s="181">
        <f t="shared" si="12"/>
        <v>17.75</v>
      </c>
      <c r="P1544" s="247">
        <f t="shared" si="13"/>
        <v>2.4785241121996449</v>
      </c>
    </row>
    <row r="1545" spans="1:16" ht="14.25">
      <c r="A1545" s="224">
        <v>1544</v>
      </c>
      <c r="B1545" s="248">
        <v>26089</v>
      </c>
      <c r="C1545" s="248" t="s">
        <v>4759</v>
      </c>
      <c r="D1545" s="248" t="s">
        <v>2582</v>
      </c>
      <c r="E1545" s="248" t="s">
        <v>4772</v>
      </c>
      <c r="F1545" s="249">
        <v>45754.986805555556</v>
      </c>
      <c r="G1545" s="248">
        <v>7</v>
      </c>
      <c r="H1545" s="248" t="s">
        <v>2557</v>
      </c>
      <c r="I1545" s="248">
        <v>74182</v>
      </c>
      <c r="J1545" s="250" t="s">
        <v>1366</v>
      </c>
      <c r="K1545" s="248">
        <v>21.41</v>
      </c>
      <c r="L1545" s="248">
        <v>0.09</v>
      </c>
      <c r="M1545" s="248">
        <v>0</v>
      </c>
      <c r="N1545" s="248">
        <v>7.1615200000000003</v>
      </c>
      <c r="O1545" s="181">
        <f t="shared" si="12"/>
        <v>21.32</v>
      </c>
      <c r="P1545" s="247">
        <f t="shared" si="13"/>
        <v>2.9770216378645875</v>
      </c>
    </row>
    <row r="1546" spans="1:16" ht="14.25">
      <c r="A1546" s="224">
        <v>1545</v>
      </c>
      <c r="B1546" s="248">
        <v>26481</v>
      </c>
      <c r="C1546" s="248" t="s">
        <v>5031</v>
      </c>
      <c r="D1546" s="248" t="s">
        <v>2582</v>
      </c>
      <c r="E1546" s="248" t="s">
        <v>9</v>
      </c>
      <c r="F1546" s="249">
        <v>45784.013888888891</v>
      </c>
      <c r="G1546" s="248">
        <v>7</v>
      </c>
      <c r="H1546" s="248" t="s">
        <v>2557</v>
      </c>
      <c r="I1546" s="248">
        <v>74194</v>
      </c>
      <c r="J1546" s="250" t="s">
        <v>588</v>
      </c>
      <c r="K1546" s="248">
        <v>64.430000000000007</v>
      </c>
      <c r="L1546" s="248">
        <v>6.73</v>
      </c>
      <c r="M1546" s="248">
        <v>0</v>
      </c>
      <c r="N1546" s="248">
        <v>7.1615200000000003</v>
      </c>
      <c r="O1546" s="181">
        <f t="shared" si="12"/>
        <v>57.7</v>
      </c>
      <c r="P1546" s="247">
        <f t="shared" si="13"/>
        <v>8.0569488041644792</v>
      </c>
    </row>
    <row r="1547" spans="1:16" ht="14.25">
      <c r="A1547" s="224">
        <v>1546</v>
      </c>
      <c r="B1547" s="248">
        <v>24787</v>
      </c>
      <c r="C1547" s="248" t="s">
        <v>4298</v>
      </c>
      <c r="D1547" s="248" t="s">
        <v>45</v>
      </c>
      <c r="E1547" s="248" t="s">
        <v>4772</v>
      </c>
      <c r="F1547" s="249">
        <v>45784.198611111111</v>
      </c>
      <c r="G1547" s="248">
        <v>7</v>
      </c>
      <c r="H1547" s="248" t="s">
        <v>2557</v>
      </c>
      <c r="I1547" s="248">
        <v>74230</v>
      </c>
      <c r="J1547" s="250" t="s">
        <v>1364</v>
      </c>
      <c r="K1547" s="248">
        <v>7.99</v>
      </c>
      <c r="L1547" s="248">
        <v>0.24</v>
      </c>
      <c r="M1547" s="248">
        <v>0</v>
      </c>
      <c r="N1547" s="248">
        <v>1</v>
      </c>
      <c r="O1547" s="181">
        <f t="shared" si="12"/>
        <v>7.75</v>
      </c>
      <c r="P1547" s="247">
        <f t="shared" si="13"/>
        <v>7.75</v>
      </c>
    </row>
    <row r="1548" spans="1:16" ht="14.25">
      <c r="A1548" s="224">
        <v>1547</v>
      </c>
      <c r="B1548" s="248">
        <v>27977</v>
      </c>
      <c r="C1548" s="248" t="s">
        <v>5012</v>
      </c>
      <c r="D1548" s="248" t="s">
        <v>45</v>
      </c>
      <c r="E1548" s="248" t="s">
        <v>2874</v>
      </c>
      <c r="F1548" s="249">
        <v>45784.263194444444</v>
      </c>
      <c r="G1548" s="248">
        <v>7</v>
      </c>
      <c r="H1548" s="248" t="s">
        <v>2557</v>
      </c>
      <c r="I1548" s="248">
        <v>74242</v>
      </c>
      <c r="J1548" s="250" t="s">
        <v>5032</v>
      </c>
      <c r="K1548" s="248">
        <v>51.48</v>
      </c>
      <c r="L1548" s="248">
        <v>0</v>
      </c>
      <c r="M1548" s="248">
        <v>0</v>
      </c>
      <c r="N1548" s="248">
        <v>1</v>
      </c>
      <c r="O1548" s="181">
        <f t="shared" si="12"/>
        <v>51.48</v>
      </c>
      <c r="P1548" s="247">
        <f t="shared" si="13"/>
        <v>51.48</v>
      </c>
    </row>
    <row r="1549" spans="1:16" ht="14.25">
      <c r="A1549" s="224">
        <v>1548</v>
      </c>
      <c r="B1549" s="248">
        <v>27977</v>
      </c>
      <c r="C1549" s="248" t="s">
        <v>5012</v>
      </c>
      <c r="D1549" s="248" t="s">
        <v>45</v>
      </c>
      <c r="E1549" s="248" t="s">
        <v>2874</v>
      </c>
      <c r="F1549" s="249">
        <v>45784.272916666669</v>
      </c>
      <c r="G1549" s="248">
        <v>7</v>
      </c>
      <c r="H1549" s="248" t="s">
        <v>2557</v>
      </c>
      <c r="I1549" s="248">
        <v>74254</v>
      </c>
      <c r="J1549" s="250" t="s">
        <v>5033</v>
      </c>
      <c r="K1549" s="248">
        <v>8.58</v>
      </c>
      <c r="L1549" s="248">
        <v>0</v>
      </c>
      <c r="M1549" s="248">
        <v>0</v>
      </c>
      <c r="N1549" s="248">
        <v>1</v>
      </c>
      <c r="O1549" s="181">
        <f t="shared" si="12"/>
        <v>8.58</v>
      </c>
      <c r="P1549" s="247">
        <f t="shared" si="13"/>
        <v>8.58</v>
      </c>
    </row>
    <row r="1550" spans="1:16" ht="14.25">
      <c r="A1550" s="224">
        <v>1549</v>
      </c>
      <c r="B1550" s="248">
        <v>18477</v>
      </c>
      <c r="C1550" s="248" t="s">
        <v>2966</v>
      </c>
      <c r="D1550" s="248" t="s">
        <v>45</v>
      </c>
      <c r="E1550" s="248" t="s">
        <v>2874</v>
      </c>
      <c r="F1550" s="249">
        <v>45784.46875</v>
      </c>
      <c r="G1550" s="248">
        <v>7</v>
      </c>
      <c r="H1550" s="248" t="s">
        <v>2557</v>
      </c>
      <c r="I1550" s="248">
        <v>71217</v>
      </c>
      <c r="J1550" s="250"/>
      <c r="K1550" s="248">
        <v>110</v>
      </c>
      <c r="L1550" s="248">
        <v>0</v>
      </c>
      <c r="M1550" s="248">
        <v>0</v>
      </c>
      <c r="N1550" s="248">
        <v>1</v>
      </c>
      <c r="O1550" s="181">
        <f t="shared" si="12"/>
        <v>110</v>
      </c>
      <c r="P1550" s="247">
        <f t="shared" si="13"/>
        <v>110</v>
      </c>
    </row>
    <row r="1551" spans="1:16" ht="14.25">
      <c r="A1551" s="224">
        <v>1550</v>
      </c>
      <c r="B1551" s="248">
        <v>21228</v>
      </c>
      <c r="C1551" s="248" t="s">
        <v>3637</v>
      </c>
      <c r="D1551" s="248" t="s">
        <v>45</v>
      </c>
      <c r="E1551" s="248" t="s">
        <v>2860</v>
      </c>
      <c r="F1551" s="249">
        <v>45784.474305555559</v>
      </c>
      <c r="G1551" s="248">
        <v>7</v>
      </c>
      <c r="H1551" s="248" t="s">
        <v>2557</v>
      </c>
      <c r="I1551" s="248">
        <v>71241</v>
      </c>
      <c r="J1551" s="250" t="s">
        <v>5034</v>
      </c>
      <c r="K1551" s="248">
        <v>31.49</v>
      </c>
      <c r="L1551" s="248">
        <v>0</v>
      </c>
      <c r="M1551" s="248">
        <v>0</v>
      </c>
      <c r="N1551" s="248">
        <v>1</v>
      </c>
      <c r="O1551" s="181">
        <f t="shared" si="12"/>
        <v>31.49</v>
      </c>
      <c r="P1551" s="247">
        <f t="shared" si="13"/>
        <v>31.49</v>
      </c>
    </row>
    <row r="1552" spans="1:16" ht="14.25">
      <c r="A1552" s="224">
        <v>1551</v>
      </c>
      <c r="B1552" s="248">
        <v>27952</v>
      </c>
      <c r="C1552" s="248" t="s">
        <v>5004</v>
      </c>
      <c r="D1552" s="248" t="s">
        <v>45</v>
      </c>
      <c r="E1552" s="248" t="s">
        <v>4772</v>
      </c>
      <c r="F1552" s="249">
        <v>45784.550694444442</v>
      </c>
      <c r="G1552" s="248">
        <v>7</v>
      </c>
      <c r="H1552" s="248" t="s">
        <v>5035</v>
      </c>
      <c r="I1552" s="248">
        <v>73521</v>
      </c>
      <c r="J1552" s="250"/>
      <c r="K1552" s="248">
        <v>0</v>
      </c>
      <c r="L1552" s="248">
        <v>-0.09</v>
      </c>
      <c r="M1552" s="248">
        <v>2.99</v>
      </c>
      <c r="N1552" s="248">
        <v>1</v>
      </c>
      <c r="O1552" s="181">
        <f t="shared" si="12"/>
        <v>-2.9000000000000004</v>
      </c>
      <c r="P1552" s="247">
        <f t="shared" si="13"/>
        <v>-2.9000000000000004</v>
      </c>
    </row>
    <row r="1553" spans="1:16" ht="14.25">
      <c r="A1553" s="224">
        <v>1552</v>
      </c>
      <c r="B1553" s="248">
        <v>27952</v>
      </c>
      <c r="C1553" s="248" t="s">
        <v>5004</v>
      </c>
      <c r="D1553" s="248" t="s">
        <v>45</v>
      </c>
      <c r="E1553" s="248" t="s">
        <v>4772</v>
      </c>
      <c r="F1553" s="249">
        <v>45784.550694444442</v>
      </c>
      <c r="G1553" s="248">
        <v>7</v>
      </c>
      <c r="H1553" s="248" t="s">
        <v>5036</v>
      </c>
      <c r="I1553" s="248">
        <v>73461</v>
      </c>
      <c r="J1553" s="250"/>
      <c r="K1553" s="248">
        <v>0</v>
      </c>
      <c r="L1553" s="248">
        <v>-0.06</v>
      </c>
      <c r="M1553" s="248">
        <v>1.99</v>
      </c>
      <c r="N1553" s="248">
        <v>1</v>
      </c>
      <c r="O1553" s="181">
        <f t="shared" si="12"/>
        <v>-1.93</v>
      </c>
      <c r="P1553" s="247">
        <f t="shared" si="13"/>
        <v>-1.93</v>
      </c>
    </row>
    <row r="1554" spans="1:16" ht="14.25">
      <c r="A1554" s="224">
        <v>1553</v>
      </c>
      <c r="B1554" s="248">
        <v>20647</v>
      </c>
      <c r="C1554" s="248" t="s">
        <v>3558</v>
      </c>
      <c r="D1554" s="248" t="s">
        <v>2582</v>
      </c>
      <c r="E1554" s="248" t="s">
        <v>4772</v>
      </c>
      <c r="F1554" s="249">
        <v>45784.663194444445</v>
      </c>
      <c r="G1554" s="248">
        <v>7</v>
      </c>
      <c r="H1554" s="248" t="s">
        <v>2557</v>
      </c>
      <c r="I1554" s="248">
        <v>74338</v>
      </c>
      <c r="J1554" s="250" t="s">
        <v>1378</v>
      </c>
      <c r="K1554" s="248">
        <v>57.23</v>
      </c>
      <c r="L1554" s="248">
        <v>0.24</v>
      </c>
      <c r="M1554" s="248">
        <v>0</v>
      </c>
      <c r="N1554" s="248">
        <v>7.1628299999999996</v>
      </c>
      <c r="O1554" s="181">
        <f t="shared" si="12"/>
        <v>56.989999999999995</v>
      </c>
      <c r="P1554" s="247">
        <f t="shared" si="13"/>
        <v>7.9563524472868963</v>
      </c>
    </row>
    <row r="1555" spans="1:16" ht="14.25">
      <c r="A1555" s="224">
        <v>1554</v>
      </c>
      <c r="B1555" s="248">
        <v>396</v>
      </c>
      <c r="C1555" s="248" t="s">
        <v>2674</v>
      </c>
      <c r="D1555" s="248" t="s">
        <v>45</v>
      </c>
      <c r="E1555" s="248" t="s">
        <v>9</v>
      </c>
      <c r="F1555" s="249">
        <v>45784.772222222222</v>
      </c>
      <c r="G1555" s="248">
        <v>7</v>
      </c>
      <c r="H1555" s="248" t="s">
        <v>2557</v>
      </c>
      <c r="I1555" s="248">
        <v>61556</v>
      </c>
      <c r="J1555" s="250" t="s">
        <v>589</v>
      </c>
      <c r="K1555" s="248">
        <v>1.0900000000000001</v>
      </c>
      <c r="L1555" s="248">
        <v>0.54</v>
      </c>
      <c r="M1555" s="248">
        <v>0</v>
      </c>
      <c r="N1555" s="248">
        <v>1</v>
      </c>
      <c r="O1555" s="181">
        <f t="shared" si="12"/>
        <v>0.55000000000000004</v>
      </c>
      <c r="P1555" s="247">
        <f t="shared" si="13"/>
        <v>0.55000000000000004</v>
      </c>
    </row>
    <row r="1556" spans="1:16" ht="14.25">
      <c r="A1556" s="224">
        <v>1555</v>
      </c>
      <c r="B1556" s="248">
        <v>28149</v>
      </c>
      <c r="C1556" s="248" t="s">
        <v>5037</v>
      </c>
      <c r="D1556" s="248" t="s">
        <v>45</v>
      </c>
      <c r="E1556" s="248" t="s">
        <v>2860</v>
      </c>
      <c r="F1556" s="249">
        <v>45815.541666666664</v>
      </c>
      <c r="G1556" s="248">
        <v>7</v>
      </c>
      <c r="H1556" s="248" t="s">
        <v>2557</v>
      </c>
      <c r="I1556" s="248">
        <v>74458</v>
      </c>
      <c r="J1556" s="250" t="s">
        <v>5038</v>
      </c>
      <c r="K1556" s="248">
        <v>11.69</v>
      </c>
      <c r="L1556" s="248">
        <v>0</v>
      </c>
      <c r="M1556" s="248">
        <v>0</v>
      </c>
      <c r="N1556" s="248">
        <v>1</v>
      </c>
      <c r="O1556" s="181">
        <f t="shared" si="12"/>
        <v>11.69</v>
      </c>
      <c r="P1556" s="247">
        <f t="shared" si="13"/>
        <v>11.69</v>
      </c>
    </row>
    <row r="1557" spans="1:16" ht="14.25">
      <c r="A1557" s="224">
        <v>1556</v>
      </c>
      <c r="B1557" s="248">
        <v>28070</v>
      </c>
      <c r="C1557" s="248" t="s">
        <v>5030</v>
      </c>
      <c r="D1557" s="248" t="s">
        <v>2582</v>
      </c>
      <c r="E1557" s="248" t="s">
        <v>4772</v>
      </c>
      <c r="F1557" s="249">
        <v>45815.584722222222</v>
      </c>
      <c r="G1557" s="248">
        <v>7</v>
      </c>
      <c r="H1557" s="248" t="s">
        <v>5039</v>
      </c>
      <c r="I1557" s="248">
        <v>74122</v>
      </c>
      <c r="J1557" s="250"/>
      <c r="K1557" s="248">
        <v>0</v>
      </c>
      <c r="L1557" s="248">
        <v>-0.13</v>
      </c>
      <c r="M1557" s="248">
        <v>32.159999999999997</v>
      </c>
      <c r="N1557" s="248">
        <v>7.1615200000000003</v>
      </c>
      <c r="O1557" s="181">
        <f t="shared" si="12"/>
        <v>-32.029999999999994</v>
      </c>
      <c r="P1557" s="247">
        <f t="shared" si="13"/>
        <v>-4.4725142148594141</v>
      </c>
    </row>
    <row r="1558" spans="1:16" ht="14.25">
      <c r="A1558" s="224">
        <v>1557</v>
      </c>
      <c r="B1558" s="248">
        <v>28151</v>
      </c>
      <c r="C1558" s="248" t="s">
        <v>5040</v>
      </c>
      <c r="D1558" s="248" t="s">
        <v>2582</v>
      </c>
      <c r="E1558" s="248" t="s">
        <v>4772</v>
      </c>
      <c r="F1558" s="249">
        <v>45815.643055555556</v>
      </c>
      <c r="G1558" s="248">
        <v>7</v>
      </c>
      <c r="H1558" s="248" t="s">
        <v>2557</v>
      </c>
      <c r="I1558" s="248">
        <v>74470</v>
      </c>
      <c r="J1558" s="250" t="s">
        <v>1384</v>
      </c>
      <c r="K1558" s="248">
        <v>21.42</v>
      </c>
      <c r="L1558" s="248">
        <v>0.09</v>
      </c>
      <c r="M1558" s="248">
        <v>0</v>
      </c>
      <c r="N1558" s="248">
        <v>7.1628299999999996</v>
      </c>
      <c r="O1558" s="181">
        <f t="shared" si="12"/>
        <v>21.330000000000002</v>
      </c>
      <c r="P1558" s="247">
        <f t="shared" si="13"/>
        <v>2.9778732707603006</v>
      </c>
    </row>
    <row r="1559" spans="1:16" ht="14.25">
      <c r="A1559" s="224">
        <v>1558</v>
      </c>
      <c r="B1559" s="248">
        <v>19972</v>
      </c>
      <c r="C1559" s="248" t="s">
        <v>3283</v>
      </c>
      <c r="D1559" s="248" t="s">
        <v>45</v>
      </c>
      <c r="E1559" s="248" t="s">
        <v>2860</v>
      </c>
      <c r="F1559" s="249">
        <v>45815.646527777775</v>
      </c>
      <c r="G1559" s="248">
        <v>7</v>
      </c>
      <c r="H1559" s="248" t="s">
        <v>2557</v>
      </c>
      <c r="I1559" s="248">
        <v>73833</v>
      </c>
      <c r="J1559" s="250" t="s">
        <v>5041</v>
      </c>
      <c r="K1559" s="248">
        <v>17.989999999999998</v>
      </c>
      <c r="L1559" s="248">
        <v>0</v>
      </c>
      <c r="M1559" s="248">
        <v>0</v>
      </c>
      <c r="N1559" s="248">
        <v>1</v>
      </c>
      <c r="O1559" s="181">
        <f t="shared" si="12"/>
        <v>17.989999999999998</v>
      </c>
      <c r="P1559" s="247">
        <f t="shared" si="13"/>
        <v>17.989999999999998</v>
      </c>
    </row>
    <row r="1560" spans="1:16" ht="14.25">
      <c r="A1560" s="224">
        <v>1559</v>
      </c>
      <c r="B1560" s="248">
        <v>392</v>
      </c>
      <c r="C1560" s="248" t="s">
        <v>2876</v>
      </c>
      <c r="D1560" s="248" t="s">
        <v>2582</v>
      </c>
      <c r="E1560" s="248" t="s">
        <v>2860</v>
      </c>
      <c r="F1560" s="249">
        <v>45815.663888888892</v>
      </c>
      <c r="G1560" s="248">
        <v>7</v>
      </c>
      <c r="H1560" s="248" t="s">
        <v>2557</v>
      </c>
      <c r="I1560" s="248">
        <v>73053</v>
      </c>
      <c r="J1560" s="250" t="s">
        <v>5042</v>
      </c>
      <c r="K1560" s="248">
        <v>7.74</v>
      </c>
      <c r="L1560" s="248">
        <v>0</v>
      </c>
      <c r="M1560" s="248">
        <v>0</v>
      </c>
      <c r="N1560" s="248">
        <v>7.1628299999999996</v>
      </c>
      <c r="O1560" s="181">
        <f t="shared" si="12"/>
        <v>7.74</v>
      </c>
      <c r="P1560" s="247">
        <f t="shared" si="13"/>
        <v>1.0805784864362271</v>
      </c>
    </row>
    <row r="1561" spans="1:16" ht="14.25">
      <c r="A1561" s="224">
        <v>1560</v>
      </c>
      <c r="B1561" s="248">
        <v>392</v>
      </c>
      <c r="C1561" s="248" t="s">
        <v>2876</v>
      </c>
      <c r="D1561" s="248" t="s">
        <v>2582</v>
      </c>
      <c r="E1561" s="248" t="s">
        <v>2860</v>
      </c>
      <c r="F1561" s="249">
        <v>45815.665277777778</v>
      </c>
      <c r="G1561" s="248">
        <v>7</v>
      </c>
      <c r="H1561" s="248" t="s">
        <v>2557</v>
      </c>
      <c r="I1561" s="248">
        <v>73281</v>
      </c>
      <c r="J1561" s="250" t="s">
        <v>5043</v>
      </c>
      <c r="K1561" s="248">
        <v>14.54</v>
      </c>
      <c r="L1561" s="248">
        <v>0</v>
      </c>
      <c r="M1561" s="248">
        <v>0</v>
      </c>
      <c r="N1561" s="248">
        <v>7.1628299999999996</v>
      </c>
      <c r="O1561" s="181">
        <f t="shared" si="12"/>
        <v>14.54</v>
      </c>
      <c r="P1561" s="247">
        <f t="shared" si="13"/>
        <v>2.0299239267161164</v>
      </c>
    </row>
    <row r="1562" spans="1:16" ht="14.25">
      <c r="A1562" s="224">
        <v>1561</v>
      </c>
      <c r="B1562" s="248">
        <v>1836</v>
      </c>
      <c r="C1562" s="248" t="s">
        <v>2882</v>
      </c>
      <c r="D1562" s="248" t="s">
        <v>2582</v>
      </c>
      <c r="E1562" s="248" t="s">
        <v>2860</v>
      </c>
      <c r="F1562" s="249">
        <v>45815.8</v>
      </c>
      <c r="G1562" s="248">
        <v>7</v>
      </c>
      <c r="H1562" s="248" t="s">
        <v>2557</v>
      </c>
      <c r="I1562" s="248">
        <v>74494</v>
      </c>
      <c r="J1562" s="250" t="s">
        <v>5044</v>
      </c>
      <c r="K1562" s="248">
        <v>660.27</v>
      </c>
      <c r="L1562" s="248">
        <v>0</v>
      </c>
      <c r="M1562" s="248">
        <v>0</v>
      </c>
      <c r="N1562" s="248">
        <v>7.1628299999999996</v>
      </c>
      <c r="O1562" s="181">
        <f t="shared" si="12"/>
        <v>660.27</v>
      </c>
      <c r="P1562" s="247">
        <f t="shared" si="13"/>
        <v>92.18004615494155</v>
      </c>
    </row>
    <row r="1563" spans="1:16" ht="14.25">
      <c r="A1563" s="224">
        <v>1562</v>
      </c>
      <c r="B1563" s="248">
        <v>21403</v>
      </c>
      <c r="C1563" s="248" t="s">
        <v>3690</v>
      </c>
      <c r="D1563" s="248" t="s">
        <v>45</v>
      </c>
      <c r="E1563" s="248" t="s">
        <v>2860</v>
      </c>
      <c r="F1563" s="249">
        <v>45815.814583333333</v>
      </c>
      <c r="G1563" s="248">
        <v>7</v>
      </c>
      <c r="H1563" s="248" t="s">
        <v>2557</v>
      </c>
      <c r="I1563" s="248">
        <v>74362</v>
      </c>
      <c r="J1563" s="250" t="s">
        <v>5045</v>
      </c>
      <c r="K1563" s="248">
        <v>1.19</v>
      </c>
      <c r="L1563" s="248">
        <v>0</v>
      </c>
      <c r="M1563" s="248">
        <v>0</v>
      </c>
      <c r="N1563" s="248">
        <v>1</v>
      </c>
      <c r="O1563" s="181">
        <f t="shared" si="12"/>
        <v>1.19</v>
      </c>
      <c r="P1563" s="247">
        <f t="shared" si="13"/>
        <v>1.19</v>
      </c>
    </row>
    <row r="1564" spans="1:16" ht="14.25">
      <c r="A1564" s="224">
        <v>1563</v>
      </c>
      <c r="B1564" s="248">
        <v>158</v>
      </c>
      <c r="C1564" s="248" t="s">
        <v>5046</v>
      </c>
      <c r="D1564" s="248" t="s">
        <v>45</v>
      </c>
      <c r="E1564" s="248" t="s">
        <v>2874</v>
      </c>
      <c r="F1564" s="249">
        <v>45845.366666666669</v>
      </c>
      <c r="G1564" s="248">
        <v>7</v>
      </c>
      <c r="H1564" s="248" t="s">
        <v>2557</v>
      </c>
      <c r="I1564" s="248">
        <v>71949</v>
      </c>
      <c r="J1564" s="250" t="s">
        <v>5047</v>
      </c>
      <c r="K1564" s="248">
        <v>1.98</v>
      </c>
      <c r="L1564" s="248">
        <v>0</v>
      </c>
      <c r="M1564" s="248">
        <v>0</v>
      </c>
      <c r="N1564" s="248">
        <v>1</v>
      </c>
      <c r="O1564" s="181">
        <f t="shared" si="12"/>
        <v>1.98</v>
      </c>
      <c r="P1564" s="247">
        <f t="shared" si="13"/>
        <v>1.98</v>
      </c>
    </row>
    <row r="1565" spans="1:16" ht="14.25">
      <c r="A1565" s="224">
        <v>1564</v>
      </c>
      <c r="B1565" s="248">
        <v>1560</v>
      </c>
      <c r="C1565" s="248" t="s">
        <v>2630</v>
      </c>
      <c r="D1565" s="248" t="s">
        <v>45</v>
      </c>
      <c r="E1565" s="248" t="s">
        <v>2860</v>
      </c>
      <c r="F1565" s="249">
        <v>45845.388888888891</v>
      </c>
      <c r="G1565" s="248">
        <v>7</v>
      </c>
      <c r="H1565" s="248" t="s">
        <v>2557</v>
      </c>
      <c r="I1565" s="248">
        <v>62576</v>
      </c>
      <c r="J1565" s="250" t="s">
        <v>5048</v>
      </c>
      <c r="K1565" s="248">
        <v>8.9700000000000006</v>
      </c>
      <c r="L1565" s="248">
        <v>0</v>
      </c>
      <c r="M1565" s="248">
        <v>0</v>
      </c>
      <c r="N1565" s="248">
        <v>1</v>
      </c>
      <c r="O1565" s="181">
        <f t="shared" si="12"/>
        <v>8.9700000000000006</v>
      </c>
      <c r="P1565" s="247">
        <f t="shared" si="13"/>
        <v>8.9700000000000006</v>
      </c>
    </row>
    <row r="1566" spans="1:16" ht="14.25">
      <c r="A1566" s="224">
        <v>1565</v>
      </c>
      <c r="B1566" s="248">
        <v>20047</v>
      </c>
      <c r="C1566" s="248" t="s">
        <v>4066</v>
      </c>
      <c r="D1566" s="248" t="s">
        <v>2582</v>
      </c>
      <c r="E1566" s="248" t="s">
        <v>2860</v>
      </c>
      <c r="F1566" s="249">
        <v>45845.432638888888</v>
      </c>
      <c r="G1566" s="248">
        <v>7</v>
      </c>
      <c r="H1566" s="248" t="s">
        <v>2557</v>
      </c>
      <c r="I1566" s="248">
        <v>71697</v>
      </c>
      <c r="J1566" s="250" t="s">
        <v>5049</v>
      </c>
      <c r="K1566" s="248">
        <v>111.1</v>
      </c>
      <c r="L1566" s="248">
        <v>0</v>
      </c>
      <c r="M1566" s="248">
        <v>0</v>
      </c>
      <c r="N1566" s="248">
        <v>7.1628299999999996</v>
      </c>
      <c r="O1566" s="181">
        <f t="shared" si="12"/>
        <v>111.1</v>
      </c>
      <c r="P1566" s="247">
        <f t="shared" si="13"/>
        <v>15.510629178690545</v>
      </c>
    </row>
    <row r="1567" spans="1:16" ht="14.25">
      <c r="A1567" s="224">
        <v>1566</v>
      </c>
      <c r="B1567" s="248">
        <v>26470</v>
      </c>
      <c r="C1567" s="248" t="s">
        <v>4808</v>
      </c>
      <c r="D1567" s="248" t="s">
        <v>45</v>
      </c>
      <c r="E1567" s="248" t="s">
        <v>2860</v>
      </c>
      <c r="F1567" s="249">
        <v>45845.488888888889</v>
      </c>
      <c r="G1567" s="248">
        <v>7</v>
      </c>
      <c r="H1567" s="248" t="s">
        <v>2557</v>
      </c>
      <c r="I1567" s="248">
        <v>74590</v>
      </c>
      <c r="J1567" s="250" t="s">
        <v>5050</v>
      </c>
      <c r="K1567" s="248">
        <v>59.49</v>
      </c>
      <c r="L1567" s="248">
        <v>0</v>
      </c>
      <c r="M1567" s="248">
        <v>0</v>
      </c>
      <c r="N1567" s="248">
        <v>1</v>
      </c>
      <c r="O1567" s="181">
        <f t="shared" si="12"/>
        <v>59.49</v>
      </c>
      <c r="P1567" s="247">
        <f t="shared" si="13"/>
        <v>59.49</v>
      </c>
    </row>
    <row r="1568" spans="1:16" ht="14.25">
      <c r="A1568" s="224">
        <v>1567</v>
      </c>
      <c r="B1568" s="248">
        <v>28149</v>
      </c>
      <c r="C1568" s="248" t="s">
        <v>5037</v>
      </c>
      <c r="D1568" s="248" t="s">
        <v>45</v>
      </c>
      <c r="E1568" s="248" t="s">
        <v>2860</v>
      </c>
      <c r="F1568" s="249">
        <v>45845.65625</v>
      </c>
      <c r="G1568" s="248">
        <v>7</v>
      </c>
      <c r="H1568" s="248" t="s">
        <v>2557</v>
      </c>
      <c r="I1568" s="248">
        <v>74602</v>
      </c>
      <c r="J1568" s="250" t="s">
        <v>5051</v>
      </c>
      <c r="K1568" s="248">
        <v>9.84</v>
      </c>
      <c r="L1568" s="248">
        <v>0</v>
      </c>
      <c r="M1568" s="248">
        <v>0</v>
      </c>
      <c r="N1568" s="248">
        <v>1</v>
      </c>
      <c r="O1568" s="181">
        <f t="shared" si="12"/>
        <v>9.84</v>
      </c>
      <c r="P1568" s="247">
        <f t="shared" si="13"/>
        <v>9.84</v>
      </c>
    </row>
    <row r="1569" spans="1:16" ht="14.25">
      <c r="A1569" s="224">
        <v>1568</v>
      </c>
      <c r="B1569" s="248">
        <v>27977</v>
      </c>
      <c r="C1569" s="248" t="s">
        <v>5012</v>
      </c>
      <c r="D1569" s="248" t="s">
        <v>45</v>
      </c>
      <c r="E1569" s="248" t="s">
        <v>2874</v>
      </c>
      <c r="F1569" s="249">
        <v>45845.664583333331</v>
      </c>
      <c r="G1569" s="248">
        <v>7</v>
      </c>
      <c r="H1569" s="248" t="s">
        <v>2557</v>
      </c>
      <c r="I1569" s="248">
        <v>74614</v>
      </c>
      <c r="J1569" s="250"/>
      <c r="K1569" s="248">
        <v>30</v>
      </c>
      <c r="L1569" s="248">
        <v>0</v>
      </c>
      <c r="M1569" s="248">
        <v>0</v>
      </c>
      <c r="N1569" s="248">
        <v>1</v>
      </c>
      <c r="O1569" s="181">
        <f t="shared" si="12"/>
        <v>30</v>
      </c>
      <c r="P1569" s="247">
        <f t="shared" si="13"/>
        <v>30</v>
      </c>
    </row>
    <row r="1570" spans="1:16" ht="14.25">
      <c r="A1570" s="224">
        <v>1569</v>
      </c>
      <c r="B1570" s="248">
        <v>3229</v>
      </c>
      <c r="C1570" s="248" t="s">
        <v>2762</v>
      </c>
      <c r="D1570" s="248" t="s">
        <v>45</v>
      </c>
      <c r="E1570" s="248" t="s">
        <v>2860</v>
      </c>
      <c r="F1570" s="249">
        <v>45845.945138888892</v>
      </c>
      <c r="G1570" s="248">
        <v>7</v>
      </c>
      <c r="H1570" s="248" t="s">
        <v>2557</v>
      </c>
      <c r="I1570" s="248">
        <v>74638</v>
      </c>
      <c r="J1570" s="250" t="s">
        <v>5052</v>
      </c>
      <c r="K1570" s="248">
        <v>4.49</v>
      </c>
      <c r="L1570" s="248">
        <v>0</v>
      </c>
      <c r="M1570" s="248">
        <v>0</v>
      </c>
      <c r="N1570" s="248">
        <v>1</v>
      </c>
      <c r="O1570" s="181">
        <f t="shared" si="12"/>
        <v>4.49</v>
      </c>
      <c r="P1570" s="247">
        <f t="shared" si="13"/>
        <v>4.49</v>
      </c>
    </row>
    <row r="1571" spans="1:16" ht="14.25">
      <c r="A1571" s="224">
        <v>1570</v>
      </c>
      <c r="B1571" s="248">
        <v>28207</v>
      </c>
      <c r="C1571" s="248" t="s">
        <v>5053</v>
      </c>
      <c r="D1571" s="248" t="s">
        <v>45</v>
      </c>
      <c r="E1571" s="248" t="s">
        <v>2860</v>
      </c>
      <c r="F1571" s="249">
        <v>45876.489583333336</v>
      </c>
      <c r="G1571" s="248">
        <v>7</v>
      </c>
      <c r="H1571" s="248" t="s">
        <v>2557</v>
      </c>
      <c r="I1571" s="248">
        <v>74686</v>
      </c>
      <c r="J1571" s="250" t="s">
        <v>5054</v>
      </c>
      <c r="K1571" s="248">
        <v>11.18</v>
      </c>
      <c r="L1571" s="248">
        <v>0</v>
      </c>
      <c r="M1571" s="248">
        <v>0</v>
      </c>
      <c r="N1571" s="248">
        <v>1</v>
      </c>
      <c r="O1571" s="181">
        <f t="shared" si="12"/>
        <v>11.18</v>
      </c>
      <c r="P1571" s="247">
        <f t="shared" si="13"/>
        <v>11.18</v>
      </c>
    </row>
    <row r="1572" spans="1:16" ht="14.25">
      <c r="A1572" s="224">
        <v>1571</v>
      </c>
      <c r="B1572" s="248">
        <v>28207</v>
      </c>
      <c r="C1572" s="248" t="s">
        <v>5053</v>
      </c>
      <c r="D1572" s="248" t="s">
        <v>45</v>
      </c>
      <c r="E1572" s="248" t="s">
        <v>2860</v>
      </c>
      <c r="F1572" s="249">
        <v>45876.490277777775</v>
      </c>
      <c r="G1572" s="248">
        <v>7</v>
      </c>
      <c r="H1572" s="248" t="s">
        <v>2557</v>
      </c>
      <c r="I1572" s="248">
        <v>74686</v>
      </c>
      <c r="J1572" s="250" t="s">
        <v>5054</v>
      </c>
      <c r="K1572" s="248">
        <v>11.18</v>
      </c>
      <c r="L1572" s="248">
        <v>0</v>
      </c>
      <c r="M1572" s="248">
        <v>0</v>
      </c>
      <c r="N1572" s="248">
        <v>1</v>
      </c>
      <c r="O1572" s="181">
        <f t="shared" si="12"/>
        <v>11.18</v>
      </c>
      <c r="P1572" s="247">
        <f t="shared" si="13"/>
        <v>11.18</v>
      </c>
    </row>
    <row r="1573" spans="1:16" ht="14.25">
      <c r="A1573" s="224">
        <v>1572</v>
      </c>
      <c r="B1573" s="248">
        <v>28208</v>
      </c>
      <c r="C1573" s="248" t="s">
        <v>2856</v>
      </c>
      <c r="D1573" s="248" t="s">
        <v>2582</v>
      </c>
      <c r="E1573" s="248" t="s">
        <v>2860</v>
      </c>
      <c r="F1573" s="249">
        <v>45876.544444444444</v>
      </c>
      <c r="G1573" s="248">
        <v>7</v>
      </c>
      <c r="H1573" s="248" t="s">
        <v>2557</v>
      </c>
      <c r="I1573" s="248">
        <v>74698</v>
      </c>
      <c r="J1573" s="250" t="s">
        <v>5055</v>
      </c>
      <c r="K1573" s="248">
        <v>71.66</v>
      </c>
      <c r="L1573" s="248">
        <v>0</v>
      </c>
      <c r="M1573" s="248">
        <v>0</v>
      </c>
      <c r="N1573" s="248">
        <v>7.17326</v>
      </c>
      <c r="O1573" s="181">
        <f t="shared" si="12"/>
        <v>71.66</v>
      </c>
      <c r="P1573" s="247">
        <f t="shared" si="13"/>
        <v>9.9898790786894658</v>
      </c>
    </row>
    <row r="1574" spans="1:16" ht="14.25">
      <c r="A1574" s="224">
        <v>1573</v>
      </c>
      <c r="B1574" s="248">
        <v>28213</v>
      </c>
      <c r="C1574" s="248" t="s">
        <v>5056</v>
      </c>
      <c r="D1574" s="248" t="s">
        <v>2582</v>
      </c>
      <c r="E1574" s="248" t="s">
        <v>2860</v>
      </c>
      <c r="F1574" s="249">
        <v>45876.720833333333</v>
      </c>
      <c r="G1574" s="248">
        <v>7</v>
      </c>
      <c r="H1574" s="248" t="s">
        <v>2557</v>
      </c>
      <c r="I1574" s="248">
        <v>74722</v>
      </c>
      <c r="J1574" s="250" t="s">
        <v>5057</v>
      </c>
      <c r="K1574" s="248">
        <v>17.86</v>
      </c>
      <c r="L1574" s="248">
        <v>0</v>
      </c>
      <c r="M1574" s="248">
        <v>0</v>
      </c>
      <c r="N1574" s="248">
        <v>7.17326</v>
      </c>
      <c r="O1574" s="181">
        <f t="shared" si="12"/>
        <v>17.86</v>
      </c>
      <c r="P1574" s="247">
        <f t="shared" si="13"/>
        <v>2.4898024050431742</v>
      </c>
    </row>
    <row r="1575" spans="1:16" ht="14.25">
      <c r="A1575" s="224">
        <v>1574</v>
      </c>
      <c r="B1575" s="248">
        <v>28221</v>
      </c>
      <c r="C1575" s="248" t="s">
        <v>3551</v>
      </c>
      <c r="D1575" s="248" t="s">
        <v>45</v>
      </c>
      <c r="E1575" s="248" t="s">
        <v>4772</v>
      </c>
      <c r="F1575" s="249">
        <v>45876.959722222222</v>
      </c>
      <c r="G1575" s="248">
        <v>7</v>
      </c>
      <c r="H1575" s="248" t="s">
        <v>2557</v>
      </c>
      <c r="I1575" s="248">
        <v>74734</v>
      </c>
      <c r="J1575" s="250" t="s">
        <v>1388</v>
      </c>
      <c r="K1575" s="248">
        <v>2.99</v>
      </c>
      <c r="L1575" s="248">
        <v>0.09</v>
      </c>
      <c r="M1575" s="248">
        <v>0</v>
      </c>
      <c r="N1575" s="248">
        <v>1</v>
      </c>
      <c r="O1575" s="181">
        <f t="shared" si="12"/>
        <v>2.9000000000000004</v>
      </c>
      <c r="P1575" s="247">
        <f t="shared" si="13"/>
        <v>2.9000000000000004</v>
      </c>
    </row>
    <row r="1576" spans="1:16" ht="14.25">
      <c r="A1576" s="224">
        <v>1575</v>
      </c>
      <c r="B1576" s="248">
        <v>28231</v>
      </c>
      <c r="C1576" s="248" t="s">
        <v>5058</v>
      </c>
      <c r="D1576" s="248" t="s">
        <v>45</v>
      </c>
      <c r="E1576" s="248" t="s">
        <v>2860</v>
      </c>
      <c r="F1576" s="249">
        <v>45907.063194444447</v>
      </c>
      <c r="G1576" s="248">
        <v>7</v>
      </c>
      <c r="H1576" s="248" t="s">
        <v>2557</v>
      </c>
      <c r="I1576" s="248">
        <v>74746</v>
      </c>
      <c r="J1576" s="250" t="s">
        <v>5059</v>
      </c>
      <c r="K1576" s="248">
        <v>7.99</v>
      </c>
      <c r="L1576" s="248">
        <v>0</v>
      </c>
      <c r="M1576" s="248">
        <v>0</v>
      </c>
      <c r="N1576" s="248">
        <v>1</v>
      </c>
      <c r="O1576" s="181">
        <f t="shared" si="12"/>
        <v>7.99</v>
      </c>
      <c r="P1576" s="247">
        <f t="shared" si="13"/>
        <v>7.99</v>
      </c>
    </row>
    <row r="1577" spans="1:16" ht="14.25">
      <c r="A1577" s="224">
        <v>1576</v>
      </c>
      <c r="B1577" s="248">
        <v>392</v>
      </c>
      <c r="C1577" s="248" t="s">
        <v>2876</v>
      </c>
      <c r="D1577" s="248" t="s">
        <v>2582</v>
      </c>
      <c r="E1577" s="248" t="s">
        <v>2860</v>
      </c>
      <c r="F1577" s="249">
        <v>45907.129861111112</v>
      </c>
      <c r="G1577" s="248">
        <v>7</v>
      </c>
      <c r="H1577" s="248" t="s">
        <v>2557</v>
      </c>
      <c r="I1577" s="248">
        <v>73053</v>
      </c>
      <c r="J1577" s="250"/>
      <c r="K1577" s="248">
        <v>0.01</v>
      </c>
      <c r="L1577" s="248">
        <v>0</v>
      </c>
      <c r="M1577" s="248">
        <v>0</v>
      </c>
      <c r="N1577" s="248">
        <v>7.17326</v>
      </c>
      <c r="O1577" s="181">
        <f t="shared" si="12"/>
        <v>0.01</v>
      </c>
      <c r="P1577" s="247">
        <f t="shared" si="13"/>
        <v>1.3940662962167829E-3</v>
      </c>
    </row>
    <row r="1578" spans="1:16" ht="14.25">
      <c r="A1578" s="224">
        <v>1577</v>
      </c>
      <c r="B1578" s="248">
        <v>168</v>
      </c>
      <c r="C1578" s="248" t="s">
        <v>4874</v>
      </c>
      <c r="D1578" s="248" t="s">
        <v>45</v>
      </c>
      <c r="E1578" s="248" t="s">
        <v>2860</v>
      </c>
      <c r="F1578" s="249">
        <v>45907.382638888892</v>
      </c>
      <c r="G1578" s="248">
        <v>7</v>
      </c>
      <c r="H1578" s="248" t="s">
        <v>2557</v>
      </c>
      <c r="I1578" s="248">
        <v>74806</v>
      </c>
      <c r="J1578" s="250" t="s">
        <v>5060</v>
      </c>
      <c r="K1578" s="248">
        <v>1.98</v>
      </c>
      <c r="L1578" s="248">
        <v>0</v>
      </c>
      <c r="M1578" s="248">
        <v>0</v>
      </c>
      <c r="N1578" s="248">
        <v>1</v>
      </c>
      <c r="O1578" s="181">
        <f t="shared" si="12"/>
        <v>1.98</v>
      </c>
      <c r="P1578" s="247">
        <f t="shared" si="13"/>
        <v>1.98</v>
      </c>
    </row>
    <row r="1579" spans="1:16" ht="14.25">
      <c r="A1579" s="224">
        <v>1578</v>
      </c>
      <c r="B1579" s="248">
        <v>28267</v>
      </c>
      <c r="C1579" s="248" t="s">
        <v>592</v>
      </c>
      <c r="D1579" s="248" t="s">
        <v>45</v>
      </c>
      <c r="E1579" s="248" t="s">
        <v>9</v>
      </c>
      <c r="F1579" s="249">
        <v>45907.74722222222</v>
      </c>
      <c r="G1579" s="248">
        <v>7</v>
      </c>
      <c r="H1579" s="248" t="s">
        <v>2557</v>
      </c>
      <c r="I1579" s="248">
        <v>74842</v>
      </c>
      <c r="J1579" s="250" t="s">
        <v>593</v>
      </c>
      <c r="K1579" s="248">
        <v>2.4900000000000002</v>
      </c>
      <c r="L1579" s="248">
        <v>0.61</v>
      </c>
      <c r="M1579" s="248">
        <v>0</v>
      </c>
      <c r="N1579" s="248">
        <v>1</v>
      </c>
      <c r="O1579" s="181">
        <f t="shared" si="12"/>
        <v>1.8800000000000003</v>
      </c>
      <c r="P1579" s="247">
        <f t="shared" si="13"/>
        <v>1.8800000000000003</v>
      </c>
    </row>
    <row r="1580" spans="1:16" ht="14.25">
      <c r="A1580" s="224">
        <v>1579</v>
      </c>
      <c r="B1580" s="248">
        <v>28213</v>
      </c>
      <c r="C1580" s="248" t="s">
        <v>5056</v>
      </c>
      <c r="D1580" s="248" t="s">
        <v>2582</v>
      </c>
      <c r="E1580" s="248" t="s">
        <v>2860</v>
      </c>
      <c r="F1580" s="249">
        <v>45907.8</v>
      </c>
      <c r="G1580" s="248">
        <v>7</v>
      </c>
      <c r="H1580" s="248" t="s">
        <v>5061</v>
      </c>
      <c r="I1580" s="248">
        <v>74722</v>
      </c>
      <c r="J1580" s="250"/>
      <c r="K1580" s="248">
        <v>0</v>
      </c>
      <c r="L1580" s="248">
        <v>0</v>
      </c>
      <c r="M1580" s="248">
        <v>17.86</v>
      </c>
      <c r="N1580" s="248">
        <v>7.17326</v>
      </c>
      <c r="O1580" s="181">
        <f t="shared" si="12"/>
        <v>-17.86</v>
      </c>
      <c r="P1580" s="247">
        <f t="shared" si="13"/>
        <v>-2.4898024050431742</v>
      </c>
    </row>
    <row r="1581" spans="1:16" ht="14.25">
      <c r="A1581" s="224">
        <v>1580</v>
      </c>
      <c r="B1581" s="248">
        <v>23941</v>
      </c>
      <c r="C1581" s="248" t="s">
        <v>4103</v>
      </c>
      <c r="D1581" s="248" t="s">
        <v>2582</v>
      </c>
      <c r="E1581" s="248" t="s">
        <v>2860</v>
      </c>
      <c r="F1581" s="249">
        <v>45907.886805555558</v>
      </c>
      <c r="G1581" s="248">
        <v>7</v>
      </c>
      <c r="H1581" s="248" t="s">
        <v>2557</v>
      </c>
      <c r="I1581" s="248">
        <v>72633</v>
      </c>
      <c r="J1581" s="250" t="s">
        <v>5062</v>
      </c>
      <c r="K1581" s="248">
        <v>72.31</v>
      </c>
      <c r="L1581" s="248">
        <v>0</v>
      </c>
      <c r="M1581" s="248">
        <v>0</v>
      </c>
      <c r="N1581" s="248">
        <v>7.1740899999999996</v>
      </c>
      <c r="O1581" s="181">
        <f t="shared" si="12"/>
        <v>72.31</v>
      </c>
      <c r="P1581" s="247">
        <f t="shared" si="13"/>
        <v>10.079327134173116</v>
      </c>
    </row>
    <row r="1582" spans="1:16" ht="14.25">
      <c r="A1582" s="224">
        <v>1581</v>
      </c>
      <c r="B1582" s="248">
        <v>28278</v>
      </c>
      <c r="C1582" s="248" t="s">
        <v>5063</v>
      </c>
      <c r="D1582" s="248" t="s">
        <v>45</v>
      </c>
      <c r="E1582" s="248" t="s">
        <v>2874</v>
      </c>
      <c r="F1582" s="249">
        <v>45907.984027777777</v>
      </c>
      <c r="G1582" s="248">
        <v>7</v>
      </c>
      <c r="H1582" s="248" t="s">
        <v>2557</v>
      </c>
      <c r="I1582" s="248">
        <v>74854</v>
      </c>
      <c r="J1582" s="250" t="s">
        <v>5064</v>
      </c>
      <c r="K1582" s="248">
        <v>67.989999999999995</v>
      </c>
      <c r="L1582" s="248">
        <v>0</v>
      </c>
      <c r="M1582" s="248">
        <v>0</v>
      </c>
      <c r="N1582" s="248">
        <v>1</v>
      </c>
      <c r="O1582" s="181">
        <f t="shared" si="12"/>
        <v>67.989999999999995</v>
      </c>
      <c r="P1582" s="247">
        <f t="shared" si="13"/>
        <v>67.989999999999995</v>
      </c>
    </row>
    <row r="1583" spans="1:16" ht="14.25">
      <c r="A1583" s="224">
        <v>1582</v>
      </c>
      <c r="B1583" s="248">
        <v>28288</v>
      </c>
      <c r="C1583" s="248" t="s">
        <v>5065</v>
      </c>
      <c r="D1583" s="248" t="s">
        <v>2582</v>
      </c>
      <c r="E1583" s="248" t="s">
        <v>2860</v>
      </c>
      <c r="F1583" s="249">
        <v>45937.056944444441</v>
      </c>
      <c r="G1583" s="248">
        <v>7</v>
      </c>
      <c r="H1583" s="248" t="s">
        <v>2557</v>
      </c>
      <c r="I1583" s="248">
        <v>74890</v>
      </c>
      <c r="J1583" s="250" t="s">
        <v>5066</v>
      </c>
      <c r="K1583" s="248">
        <v>174.26</v>
      </c>
      <c r="L1583" s="248">
        <v>0</v>
      </c>
      <c r="M1583" s="248">
        <v>0</v>
      </c>
      <c r="N1583" s="248">
        <v>7.1740899999999996</v>
      </c>
      <c r="O1583" s="181">
        <f t="shared" si="12"/>
        <v>174.26</v>
      </c>
      <c r="P1583" s="247">
        <f t="shared" si="13"/>
        <v>24.290188720799431</v>
      </c>
    </row>
    <row r="1584" spans="1:16" ht="14.25">
      <c r="A1584" s="224">
        <v>1583</v>
      </c>
      <c r="B1584" s="248">
        <v>28288</v>
      </c>
      <c r="C1584" s="248" t="s">
        <v>5065</v>
      </c>
      <c r="D1584" s="248" t="s">
        <v>2582</v>
      </c>
      <c r="E1584" s="248" t="s">
        <v>2860</v>
      </c>
      <c r="F1584" s="249">
        <v>45937.061111111114</v>
      </c>
      <c r="G1584" s="248">
        <v>7</v>
      </c>
      <c r="H1584" s="248" t="s">
        <v>2557</v>
      </c>
      <c r="I1584" s="248">
        <v>74890</v>
      </c>
      <c r="J1584" s="250"/>
      <c r="K1584" s="248">
        <v>0.01</v>
      </c>
      <c r="L1584" s="248">
        <v>0</v>
      </c>
      <c r="M1584" s="248">
        <v>0</v>
      </c>
      <c r="N1584" s="248">
        <v>7.1740899999999996</v>
      </c>
      <c r="O1584" s="181">
        <f t="shared" si="12"/>
        <v>0.01</v>
      </c>
      <c r="P1584" s="247">
        <f t="shared" si="13"/>
        <v>1.393905010949124E-3</v>
      </c>
    </row>
    <row r="1585" spans="1:16" ht="14.25">
      <c r="A1585" s="224">
        <v>1584</v>
      </c>
      <c r="B1585" s="248">
        <v>6794</v>
      </c>
      <c r="C1585" s="248" t="s">
        <v>2623</v>
      </c>
      <c r="D1585" s="248" t="s">
        <v>45</v>
      </c>
      <c r="E1585" s="248" t="s">
        <v>2874</v>
      </c>
      <c r="F1585" s="249">
        <v>45937.113888888889</v>
      </c>
      <c r="G1585" s="248">
        <v>7</v>
      </c>
      <c r="H1585" s="248" t="s">
        <v>2557</v>
      </c>
      <c r="I1585" s="248">
        <v>74902</v>
      </c>
      <c r="J1585" s="250"/>
      <c r="K1585" s="248">
        <v>1752.08</v>
      </c>
      <c r="L1585" s="248">
        <v>0</v>
      </c>
      <c r="M1585" s="248">
        <v>0</v>
      </c>
      <c r="N1585" s="248">
        <v>1</v>
      </c>
      <c r="O1585" s="181">
        <f t="shared" si="12"/>
        <v>1752.08</v>
      </c>
      <c r="P1585" s="247">
        <f t="shared" si="13"/>
        <v>1752.08</v>
      </c>
    </row>
    <row r="1586" spans="1:16" ht="14.25">
      <c r="A1586" s="224">
        <v>1585</v>
      </c>
      <c r="B1586" s="248">
        <v>36</v>
      </c>
      <c r="C1586" s="248" t="s">
        <v>2646</v>
      </c>
      <c r="D1586" s="248" t="s">
        <v>45</v>
      </c>
      <c r="E1586" s="248" t="s">
        <v>2874</v>
      </c>
      <c r="F1586" s="249">
        <v>45937.169444444444</v>
      </c>
      <c r="G1586" s="248">
        <v>7</v>
      </c>
      <c r="H1586" s="248" t="s">
        <v>2557</v>
      </c>
      <c r="I1586" s="248">
        <v>72849</v>
      </c>
      <c r="J1586" s="250"/>
      <c r="K1586" s="248">
        <v>600</v>
      </c>
      <c r="L1586" s="248">
        <v>0</v>
      </c>
      <c r="M1586" s="248">
        <v>0</v>
      </c>
      <c r="N1586" s="248">
        <v>1</v>
      </c>
      <c r="O1586" s="181">
        <f t="shared" si="12"/>
        <v>600</v>
      </c>
      <c r="P1586" s="247">
        <f t="shared" si="13"/>
        <v>600</v>
      </c>
    </row>
    <row r="1587" spans="1:16" ht="14.25">
      <c r="A1587" s="224">
        <v>1586</v>
      </c>
      <c r="B1587" s="248">
        <v>27977</v>
      </c>
      <c r="C1587" s="248" t="s">
        <v>5012</v>
      </c>
      <c r="D1587" s="248" t="s">
        <v>45</v>
      </c>
      <c r="E1587" s="248" t="s">
        <v>2874</v>
      </c>
      <c r="F1587" s="249">
        <v>45937.320833333331</v>
      </c>
      <c r="G1587" s="248">
        <v>7</v>
      </c>
      <c r="H1587" s="248" t="s">
        <v>2557</v>
      </c>
      <c r="I1587" s="248">
        <v>74926</v>
      </c>
      <c r="J1587" s="250" t="s">
        <v>5067</v>
      </c>
      <c r="K1587" s="248">
        <v>15.99</v>
      </c>
      <c r="L1587" s="248">
        <v>0</v>
      </c>
      <c r="M1587" s="248">
        <v>0</v>
      </c>
      <c r="N1587" s="248">
        <v>1</v>
      </c>
      <c r="O1587" s="181">
        <f t="shared" si="12"/>
        <v>15.99</v>
      </c>
      <c r="P1587" s="247">
        <f t="shared" si="13"/>
        <v>15.99</v>
      </c>
    </row>
    <row r="1588" spans="1:16" ht="14.25">
      <c r="A1588" s="224">
        <v>1587</v>
      </c>
      <c r="B1588" s="248">
        <v>190</v>
      </c>
      <c r="C1588" s="248" t="s">
        <v>5068</v>
      </c>
      <c r="D1588" s="248" t="s">
        <v>45</v>
      </c>
      <c r="E1588" s="248" t="s">
        <v>2860</v>
      </c>
      <c r="F1588" s="249">
        <v>45937.368055555555</v>
      </c>
      <c r="G1588" s="248">
        <v>7</v>
      </c>
      <c r="H1588" s="248" t="s">
        <v>2557</v>
      </c>
      <c r="I1588" s="248">
        <v>72693</v>
      </c>
      <c r="J1588" s="250" t="s">
        <v>5069</v>
      </c>
      <c r="K1588" s="248">
        <v>1.98</v>
      </c>
      <c r="L1588" s="248">
        <v>0</v>
      </c>
      <c r="M1588" s="248">
        <v>0</v>
      </c>
      <c r="N1588" s="248">
        <v>1</v>
      </c>
      <c r="O1588" s="181">
        <f t="shared" si="12"/>
        <v>1.98</v>
      </c>
      <c r="P1588" s="247">
        <f t="shared" si="13"/>
        <v>1.98</v>
      </c>
    </row>
    <row r="1589" spans="1:16" ht="14.25">
      <c r="A1589" s="224">
        <v>1588</v>
      </c>
      <c r="B1589" s="248">
        <v>27977</v>
      </c>
      <c r="C1589" s="248" t="s">
        <v>5012</v>
      </c>
      <c r="D1589" s="248" t="s">
        <v>45</v>
      </c>
      <c r="E1589" s="248" t="s">
        <v>2874</v>
      </c>
      <c r="F1589" s="249">
        <v>45937.380555555559</v>
      </c>
      <c r="G1589" s="248">
        <v>7</v>
      </c>
      <c r="H1589" s="248" t="s">
        <v>2557</v>
      </c>
      <c r="I1589" s="248">
        <v>74986</v>
      </c>
      <c r="J1589" s="250" t="s">
        <v>5070</v>
      </c>
      <c r="K1589" s="248">
        <v>45</v>
      </c>
      <c r="L1589" s="248">
        <v>0</v>
      </c>
      <c r="M1589" s="248">
        <v>0</v>
      </c>
      <c r="N1589" s="248">
        <v>1</v>
      </c>
      <c r="O1589" s="181">
        <f t="shared" si="12"/>
        <v>45</v>
      </c>
      <c r="P1589" s="247">
        <f t="shared" si="13"/>
        <v>45</v>
      </c>
    </row>
    <row r="1590" spans="1:16" ht="14.25">
      <c r="A1590" s="224">
        <v>1589</v>
      </c>
      <c r="B1590" s="248">
        <v>19921</v>
      </c>
      <c r="C1590" s="248" t="s">
        <v>3236</v>
      </c>
      <c r="D1590" s="248" t="s">
        <v>2582</v>
      </c>
      <c r="E1590" s="248" t="s">
        <v>2860</v>
      </c>
      <c r="F1590" s="249">
        <v>45937.387499999997</v>
      </c>
      <c r="G1590" s="248">
        <v>7</v>
      </c>
      <c r="H1590" s="248" t="s">
        <v>2557</v>
      </c>
      <c r="I1590" s="248">
        <v>74998</v>
      </c>
      <c r="J1590" s="250" t="s">
        <v>5071</v>
      </c>
      <c r="K1590" s="248">
        <v>4824.97</v>
      </c>
      <c r="L1590" s="248">
        <v>0</v>
      </c>
      <c r="M1590" s="248">
        <v>0</v>
      </c>
      <c r="N1590" s="248">
        <v>7.1801199999999996</v>
      </c>
      <c r="O1590" s="181">
        <f t="shared" si="12"/>
        <v>4824.97</v>
      </c>
      <c r="P1590" s="247">
        <f t="shared" si="13"/>
        <v>671.99016172431664</v>
      </c>
    </row>
    <row r="1591" spans="1:16" ht="14.25">
      <c r="A1591" s="224">
        <v>1590</v>
      </c>
      <c r="B1591" s="248">
        <v>28317</v>
      </c>
      <c r="C1591" s="248" t="s">
        <v>5072</v>
      </c>
      <c r="D1591" s="248" t="s">
        <v>45</v>
      </c>
      <c r="E1591" s="248" t="s">
        <v>2860</v>
      </c>
      <c r="F1591" s="249">
        <v>45937.45416666667</v>
      </c>
      <c r="G1591" s="248">
        <v>7</v>
      </c>
      <c r="H1591" s="248" t="s">
        <v>2557</v>
      </c>
      <c r="I1591" s="248">
        <v>75010</v>
      </c>
      <c r="J1591" s="250" t="s">
        <v>5073</v>
      </c>
      <c r="K1591" s="248">
        <v>2.4900000000000002</v>
      </c>
      <c r="L1591" s="248">
        <v>0</v>
      </c>
      <c r="M1591" s="248">
        <v>0</v>
      </c>
      <c r="N1591" s="248">
        <v>1</v>
      </c>
      <c r="O1591" s="181">
        <f t="shared" si="12"/>
        <v>2.4900000000000002</v>
      </c>
      <c r="P1591" s="247">
        <f t="shared" si="13"/>
        <v>2.4900000000000002</v>
      </c>
    </row>
    <row r="1592" spans="1:16" ht="14.25">
      <c r="A1592" s="224">
        <v>1591</v>
      </c>
      <c r="B1592" s="248">
        <v>28221</v>
      </c>
      <c r="C1592" s="248" t="s">
        <v>3551</v>
      </c>
      <c r="D1592" s="248" t="s">
        <v>45</v>
      </c>
      <c r="E1592" s="248" t="s">
        <v>4772</v>
      </c>
      <c r="F1592" s="249">
        <v>45937.459722222222</v>
      </c>
      <c r="G1592" s="248">
        <v>7</v>
      </c>
      <c r="H1592" s="248" t="s">
        <v>5074</v>
      </c>
      <c r="I1592" s="248">
        <v>74734</v>
      </c>
      <c r="J1592" s="250"/>
      <c r="K1592" s="248">
        <v>0</v>
      </c>
      <c r="L1592" s="248">
        <v>-0.09</v>
      </c>
      <c r="M1592" s="248">
        <v>2.99</v>
      </c>
      <c r="N1592" s="248">
        <v>1</v>
      </c>
      <c r="O1592" s="181">
        <f t="shared" si="12"/>
        <v>-2.9000000000000004</v>
      </c>
      <c r="P1592" s="247">
        <f t="shared" si="13"/>
        <v>-2.9000000000000004</v>
      </c>
    </row>
    <row r="1593" spans="1:16" ht="14.25">
      <c r="A1593" s="224">
        <v>1592</v>
      </c>
      <c r="B1593" s="248">
        <v>28326</v>
      </c>
      <c r="C1593" s="248" t="s">
        <v>5075</v>
      </c>
      <c r="D1593" s="248" t="s">
        <v>2582</v>
      </c>
      <c r="E1593" s="248" t="s">
        <v>4772</v>
      </c>
      <c r="F1593" s="249">
        <v>45937.618750000001</v>
      </c>
      <c r="G1593" s="248">
        <v>7</v>
      </c>
      <c r="H1593" s="248" t="s">
        <v>2557</v>
      </c>
      <c r="I1593" s="248">
        <v>75034</v>
      </c>
      <c r="J1593" s="250" t="s">
        <v>1390</v>
      </c>
      <c r="K1593" s="248">
        <v>21.47</v>
      </c>
      <c r="L1593" s="248">
        <v>0.09</v>
      </c>
      <c r="M1593" s="248">
        <v>0</v>
      </c>
      <c r="N1593" s="248">
        <v>7.1801199999999996</v>
      </c>
      <c r="O1593" s="181">
        <f t="shared" si="12"/>
        <v>21.38</v>
      </c>
      <c r="P1593" s="247">
        <f t="shared" si="13"/>
        <v>2.9776661114298926</v>
      </c>
    </row>
    <row r="1594" spans="1:16" ht="14.25">
      <c r="A1594" s="224">
        <v>1593</v>
      </c>
      <c r="B1594" s="248">
        <v>25138</v>
      </c>
      <c r="C1594" s="248" t="s">
        <v>4513</v>
      </c>
      <c r="D1594" s="248" t="s">
        <v>2582</v>
      </c>
      <c r="E1594" s="248" t="s">
        <v>2860</v>
      </c>
      <c r="F1594" s="249">
        <v>45937.65625</v>
      </c>
      <c r="G1594" s="248">
        <v>7</v>
      </c>
      <c r="H1594" s="248" t="s">
        <v>2557</v>
      </c>
      <c r="I1594" s="248">
        <v>69800</v>
      </c>
      <c r="J1594" s="250" t="s">
        <v>5076</v>
      </c>
      <c r="K1594" s="248">
        <v>143.66999999999999</v>
      </c>
      <c r="L1594" s="248">
        <v>0</v>
      </c>
      <c r="M1594" s="248">
        <v>0</v>
      </c>
      <c r="N1594" s="248">
        <v>7.1801199999999996</v>
      </c>
      <c r="O1594" s="181">
        <f t="shared" si="12"/>
        <v>143.66999999999999</v>
      </c>
      <c r="P1594" s="247">
        <f t="shared" si="13"/>
        <v>20.0094148844309</v>
      </c>
    </row>
    <row r="1595" spans="1:16" ht="14.25">
      <c r="A1595" s="224">
        <v>1594</v>
      </c>
      <c r="B1595" s="248">
        <v>25138</v>
      </c>
      <c r="C1595" s="248" t="s">
        <v>4513</v>
      </c>
      <c r="D1595" s="248" t="s">
        <v>2582</v>
      </c>
      <c r="E1595" s="248" t="s">
        <v>2860</v>
      </c>
      <c r="F1595" s="249">
        <v>45937.659722222219</v>
      </c>
      <c r="G1595" s="248">
        <v>7</v>
      </c>
      <c r="H1595" s="248" t="s">
        <v>2557</v>
      </c>
      <c r="I1595" s="248">
        <v>69800</v>
      </c>
      <c r="J1595" s="250"/>
      <c r="K1595" s="248">
        <v>0.03</v>
      </c>
      <c r="L1595" s="248">
        <v>0</v>
      </c>
      <c r="M1595" s="248">
        <v>0</v>
      </c>
      <c r="N1595" s="248">
        <v>7.1801199999999996</v>
      </c>
      <c r="O1595" s="181">
        <f t="shared" si="12"/>
        <v>0.03</v>
      </c>
      <c r="P1595" s="247">
        <f t="shared" si="13"/>
        <v>4.178203149808081E-3</v>
      </c>
    </row>
    <row r="1596" spans="1:16" ht="14.25">
      <c r="A1596" s="224">
        <v>1595</v>
      </c>
      <c r="B1596" s="248">
        <v>6794</v>
      </c>
      <c r="C1596" s="248" t="s">
        <v>2623</v>
      </c>
      <c r="D1596" s="248" t="s">
        <v>45</v>
      </c>
      <c r="E1596" s="248" t="s">
        <v>2874</v>
      </c>
      <c r="F1596" s="249">
        <v>45937.688888888886</v>
      </c>
      <c r="G1596" s="248">
        <v>7</v>
      </c>
      <c r="H1596" s="248" t="s">
        <v>2557</v>
      </c>
      <c r="I1596" s="248">
        <v>75058</v>
      </c>
      <c r="J1596" s="250"/>
      <c r="K1596" s="248">
        <v>930</v>
      </c>
      <c r="L1596" s="248">
        <v>0</v>
      </c>
      <c r="M1596" s="248">
        <v>0</v>
      </c>
      <c r="N1596" s="248">
        <v>1</v>
      </c>
      <c r="O1596" s="181">
        <f t="shared" si="12"/>
        <v>930</v>
      </c>
      <c r="P1596" s="247">
        <f t="shared" si="13"/>
        <v>930</v>
      </c>
    </row>
    <row r="1597" spans="1:16" ht="14.25">
      <c r="A1597" s="224">
        <v>1596</v>
      </c>
      <c r="B1597" s="248">
        <v>1836</v>
      </c>
      <c r="C1597" s="248" t="s">
        <v>2882</v>
      </c>
      <c r="D1597" s="248" t="s">
        <v>2582</v>
      </c>
      <c r="E1597" s="248" t="s">
        <v>2860</v>
      </c>
      <c r="F1597" s="249">
        <v>45937.731249999997</v>
      </c>
      <c r="G1597" s="248">
        <v>7</v>
      </c>
      <c r="H1597" s="248" t="s">
        <v>2557</v>
      </c>
      <c r="I1597" s="248">
        <v>75070</v>
      </c>
      <c r="J1597" s="250" t="s">
        <v>5077</v>
      </c>
      <c r="K1597" s="248">
        <v>1007.87</v>
      </c>
      <c r="L1597" s="248">
        <v>0</v>
      </c>
      <c r="M1597" s="248">
        <v>0</v>
      </c>
      <c r="N1597" s="248">
        <v>7.1801199999999996</v>
      </c>
      <c r="O1597" s="181">
        <f t="shared" si="12"/>
        <v>1007.87</v>
      </c>
      <c r="P1597" s="247">
        <f t="shared" si="13"/>
        <v>140.36952028656904</v>
      </c>
    </row>
    <row r="1598" spans="1:16" ht="14.25">
      <c r="A1598" s="224">
        <v>1597</v>
      </c>
      <c r="B1598" s="248">
        <v>25407</v>
      </c>
      <c r="C1598" s="248" t="s">
        <v>522</v>
      </c>
      <c r="D1598" s="248" t="s">
        <v>45</v>
      </c>
      <c r="E1598" s="248" t="s">
        <v>2860</v>
      </c>
      <c r="F1598" s="249">
        <v>45937.779166666667</v>
      </c>
      <c r="G1598" s="248">
        <v>7</v>
      </c>
      <c r="H1598" s="248" t="s">
        <v>2557</v>
      </c>
      <c r="I1598" s="248">
        <v>75082</v>
      </c>
      <c r="J1598" s="250" t="s">
        <v>5078</v>
      </c>
      <c r="K1598" s="248">
        <v>4.99</v>
      </c>
      <c r="L1598" s="248">
        <v>0</v>
      </c>
      <c r="M1598" s="248">
        <v>0</v>
      </c>
      <c r="N1598" s="248">
        <v>1</v>
      </c>
      <c r="O1598" s="181">
        <f t="shared" si="12"/>
        <v>4.99</v>
      </c>
      <c r="P1598" s="247">
        <f t="shared" si="13"/>
        <v>4.99</v>
      </c>
    </row>
    <row r="1599" spans="1:16" ht="14.25">
      <c r="A1599" s="224">
        <v>1598</v>
      </c>
      <c r="B1599" s="248">
        <v>5079</v>
      </c>
      <c r="C1599" s="248" t="s">
        <v>2970</v>
      </c>
      <c r="D1599" s="248" t="s">
        <v>45</v>
      </c>
      <c r="E1599" s="248" t="s">
        <v>2860</v>
      </c>
      <c r="F1599" s="249">
        <v>45937.859027777777</v>
      </c>
      <c r="G1599" s="248">
        <v>7</v>
      </c>
      <c r="H1599" s="248" t="s">
        <v>2557</v>
      </c>
      <c r="I1599" s="248">
        <v>75094</v>
      </c>
      <c r="J1599" s="250" t="s">
        <v>5079</v>
      </c>
      <c r="K1599" s="248">
        <v>3.59</v>
      </c>
      <c r="L1599" s="248">
        <v>0</v>
      </c>
      <c r="M1599" s="248">
        <v>0</v>
      </c>
      <c r="N1599" s="248">
        <v>1</v>
      </c>
      <c r="O1599" s="181">
        <f t="shared" si="12"/>
        <v>3.59</v>
      </c>
      <c r="P1599" s="247">
        <f t="shared" si="13"/>
        <v>3.59</v>
      </c>
    </row>
    <row r="1600" spans="1:16" ht="14.25">
      <c r="A1600" s="224">
        <v>1599</v>
      </c>
      <c r="B1600" s="248">
        <v>25163</v>
      </c>
      <c r="C1600" s="248" t="s">
        <v>4531</v>
      </c>
      <c r="D1600" s="248" t="s">
        <v>45</v>
      </c>
      <c r="E1600" s="248" t="s">
        <v>2860</v>
      </c>
      <c r="F1600" s="249">
        <v>45937.9375</v>
      </c>
      <c r="G1600" s="248">
        <v>7</v>
      </c>
      <c r="H1600" s="248" t="s">
        <v>2557</v>
      </c>
      <c r="I1600" s="248">
        <v>75118</v>
      </c>
      <c r="J1600" s="250" t="s">
        <v>5080</v>
      </c>
      <c r="K1600" s="248">
        <v>4.49</v>
      </c>
      <c r="L1600" s="248">
        <v>0</v>
      </c>
      <c r="M1600" s="248">
        <v>0</v>
      </c>
      <c r="N1600" s="248">
        <v>1</v>
      </c>
      <c r="O1600" s="181">
        <f t="shared" si="12"/>
        <v>4.49</v>
      </c>
      <c r="P1600" s="247">
        <f t="shared" si="13"/>
        <v>4.49</v>
      </c>
    </row>
    <row r="1601" spans="1:16" ht="14.25">
      <c r="A1601" s="224">
        <v>1600</v>
      </c>
      <c r="B1601" s="248">
        <v>27977</v>
      </c>
      <c r="C1601" s="248" t="s">
        <v>5012</v>
      </c>
      <c r="D1601" s="248" t="s">
        <v>45</v>
      </c>
      <c r="E1601" s="248" t="s">
        <v>2874</v>
      </c>
      <c r="F1601" s="249">
        <v>45968.404861111114</v>
      </c>
      <c r="G1601" s="248">
        <v>7</v>
      </c>
      <c r="H1601" s="248" t="s">
        <v>2557</v>
      </c>
      <c r="I1601" s="248">
        <v>75178</v>
      </c>
      <c r="J1601" s="250" t="s">
        <v>5081</v>
      </c>
      <c r="K1601" s="248">
        <v>26.99</v>
      </c>
      <c r="L1601" s="248">
        <v>0</v>
      </c>
      <c r="M1601" s="248">
        <v>0</v>
      </c>
      <c r="N1601" s="248">
        <v>1</v>
      </c>
      <c r="O1601" s="181">
        <f t="shared" si="12"/>
        <v>26.99</v>
      </c>
      <c r="P1601" s="247">
        <f t="shared" si="13"/>
        <v>26.99</v>
      </c>
    </row>
    <row r="1602" spans="1:16" ht="14.25">
      <c r="A1602" s="224">
        <v>1601</v>
      </c>
      <c r="B1602" s="248">
        <v>22778</v>
      </c>
      <c r="C1602" s="248" t="s">
        <v>3929</v>
      </c>
      <c r="D1602" s="248" t="s">
        <v>45</v>
      </c>
      <c r="E1602" s="248" t="s">
        <v>2860</v>
      </c>
      <c r="F1602" s="249">
        <v>45968.494444444441</v>
      </c>
      <c r="G1602" s="248">
        <v>7</v>
      </c>
      <c r="H1602" s="248" t="s">
        <v>2557</v>
      </c>
      <c r="I1602" s="248">
        <v>75190</v>
      </c>
      <c r="J1602" s="250" t="s">
        <v>5082</v>
      </c>
      <c r="K1602" s="248">
        <v>5.49</v>
      </c>
      <c r="L1602" s="248">
        <v>0</v>
      </c>
      <c r="M1602" s="248">
        <v>0</v>
      </c>
      <c r="N1602" s="248">
        <v>1</v>
      </c>
      <c r="O1602" s="181">
        <f t="shared" si="12"/>
        <v>5.49</v>
      </c>
      <c r="P1602" s="247">
        <f t="shared" si="13"/>
        <v>5.49</v>
      </c>
    </row>
    <row r="1603" spans="1:16" ht="14.25">
      <c r="A1603" s="224">
        <v>1602</v>
      </c>
      <c r="B1603" s="248">
        <v>23857</v>
      </c>
      <c r="C1603" s="248" t="s">
        <v>4684</v>
      </c>
      <c r="D1603" s="248" t="s">
        <v>2582</v>
      </c>
      <c r="E1603" s="248" t="s">
        <v>2860</v>
      </c>
      <c r="F1603" s="249">
        <v>45968.530555555553</v>
      </c>
      <c r="G1603" s="248">
        <v>7</v>
      </c>
      <c r="H1603" s="248" t="s">
        <v>2557</v>
      </c>
      <c r="I1603" s="248">
        <v>72945</v>
      </c>
      <c r="J1603" s="250" t="s">
        <v>5083</v>
      </c>
      <c r="K1603" s="248">
        <v>427.4</v>
      </c>
      <c r="L1603" s="248">
        <v>0</v>
      </c>
      <c r="M1603" s="248">
        <v>0</v>
      </c>
      <c r="N1603" s="248">
        <v>7.1748200000000004</v>
      </c>
      <c r="O1603" s="181">
        <f t="shared" si="12"/>
        <v>427.4</v>
      </c>
      <c r="P1603" s="247">
        <f t="shared" si="13"/>
        <v>59.569438675813466</v>
      </c>
    </row>
    <row r="1604" spans="1:16" ht="14.25">
      <c r="A1604" s="224">
        <v>1603</v>
      </c>
      <c r="B1604" s="248">
        <v>23857</v>
      </c>
      <c r="C1604" s="248" t="s">
        <v>4684</v>
      </c>
      <c r="D1604" s="248" t="s">
        <v>2582</v>
      </c>
      <c r="E1604" s="248" t="s">
        <v>2860</v>
      </c>
      <c r="F1604" s="249">
        <v>45968.540972222225</v>
      </c>
      <c r="G1604" s="248">
        <v>7</v>
      </c>
      <c r="H1604" s="248" t="s">
        <v>2557</v>
      </c>
      <c r="I1604" s="248">
        <v>72945</v>
      </c>
      <c r="J1604" s="250"/>
      <c r="K1604" s="248">
        <v>0.03</v>
      </c>
      <c r="L1604" s="248">
        <v>0</v>
      </c>
      <c r="M1604" s="248">
        <v>0</v>
      </c>
      <c r="N1604" s="248">
        <v>7.1748200000000004</v>
      </c>
      <c r="O1604" s="181">
        <f t="shared" si="12"/>
        <v>0.03</v>
      </c>
      <c r="P1604" s="247">
        <f t="shared" si="13"/>
        <v>4.1812895654525124E-3</v>
      </c>
    </row>
    <row r="1605" spans="1:16" ht="14.25">
      <c r="A1605" s="224">
        <v>1604</v>
      </c>
      <c r="B1605" s="248">
        <v>22778</v>
      </c>
      <c r="C1605" s="248" t="s">
        <v>3929</v>
      </c>
      <c r="D1605" s="248" t="s">
        <v>45</v>
      </c>
      <c r="E1605" s="248" t="s">
        <v>2860</v>
      </c>
      <c r="F1605" s="249">
        <v>45968.561805555553</v>
      </c>
      <c r="G1605" s="248">
        <v>7</v>
      </c>
      <c r="H1605" s="248" t="s">
        <v>2557</v>
      </c>
      <c r="I1605" s="248">
        <v>75202</v>
      </c>
      <c r="J1605" s="250" t="s">
        <v>5084</v>
      </c>
      <c r="K1605" s="248">
        <v>2.4900000000000002</v>
      </c>
      <c r="L1605" s="248">
        <v>0</v>
      </c>
      <c r="M1605" s="248">
        <v>0</v>
      </c>
      <c r="N1605" s="248">
        <v>1</v>
      </c>
      <c r="O1605" s="181">
        <f t="shared" si="12"/>
        <v>2.4900000000000002</v>
      </c>
      <c r="P1605" s="247">
        <f t="shared" si="13"/>
        <v>2.4900000000000002</v>
      </c>
    </row>
    <row r="1606" spans="1:16" ht="14.25">
      <c r="A1606" s="224">
        <v>1605</v>
      </c>
      <c r="B1606" s="248">
        <v>28388</v>
      </c>
      <c r="C1606" s="248" t="s">
        <v>5085</v>
      </c>
      <c r="D1606" s="248" t="s">
        <v>2582</v>
      </c>
      <c r="E1606" s="248" t="s">
        <v>2860</v>
      </c>
      <c r="F1606" s="249">
        <v>45968.907638888886</v>
      </c>
      <c r="G1606" s="248">
        <v>7</v>
      </c>
      <c r="H1606" s="248" t="s">
        <v>2557</v>
      </c>
      <c r="I1606" s="248">
        <v>75226</v>
      </c>
      <c r="J1606" s="250" t="s">
        <v>5086</v>
      </c>
      <c r="K1606" s="248">
        <v>91.77</v>
      </c>
      <c r="L1606" s="248">
        <v>0</v>
      </c>
      <c r="M1606" s="248">
        <v>0</v>
      </c>
      <c r="N1606" s="248">
        <v>7.1748200000000004</v>
      </c>
      <c r="O1606" s="181">
        <f t="shared" si="12"/>
        <v>91.77</v>
      </c>
      <c r="P1606" s="247">
        <f t="shared" si="13"/>
        <v>12.790564780719237</v>
      </c>
    </row>
    <row r="1607" spans="1:16" ht="14.25">
      <c r="A1607" s="224">
        <v>1606</v>
      </c>
      <c r="B1607" s="248">
        <v>28388</v>
      </c>
      <c r="C1607" s="248" t="s">
        <v>5085</v>
      </c>
      <c r="D1607" s="248" t="s">
        <v>2582</v>
      </c>
      <c r="E1607" s="248" t="s">
        <v>2860</v>
      </c>
      <c r="F1607" s="249">
        <v>45968.914583333331</v>
      </c>
      <c r="G1607" s="248">
        <v>7</v>
      </c>
      <c r="H1607" s="248" t="s">
        <v>2557</v>
      </c>
      <c r="I1607" s="248">
        <v>75226</v>
      </c>
      <c r="J1607" s="250"/>
      <c r="K1607" s="248">
        <v>0.01</v>
      </c>
      <c r="L1607" s="248">
        <v>0</v>
      </c>
      <c r="M1607" s="248">
        <v>0</v>
      </c>
      <c r="N1607" s="248">
        <v>7.1748200000000004</v>
      </c>
      <c r="O1607" s="181">
        <f t="shared" si="12"/>
        <v>0.01</v>
      </c>
      <c r="P1607" s="247">
        <f t="shared" si="13"/>
        <v>1.3937631884841709E-3</v>
      </c>
    </row>
    <row r="1608" spans="1:16" ht="14.25">
      <c r="A1608" s="224">
        <v>1607</v>
      </c>
      <c r="B1608" s="248">
        <v>28391</v>
      </c>
      <c r="C1608" s="248" t="s">
        <v>5087</v>
      </c>
      <c r="D1608" s="248" t="s">
        <v>2582</v>
      </c>
      <c r="E1608" s="248" t="s">
        <v>2860</v>
      </c>
      <c r="F1608" s="249">
        <v>45968.936805555553</v>
      </c>
      <c r="G1608" s="248">
        <v>7</v>
      </c>
      <c r="H1608" s="248" t="s">
        <v>2557</v>
      </c>
      <c r="I1608" s="248">
        <v>75250</v>
      </c>
      <c r="J1608" s="250" t="s">
        <v>5088</v>
      </c>
      <c r="K1608" s="248">
        <v>21.45</v>
      </c>
      <c r="L1608" s="248">
        <v>0</v>
      </c>
      <c r="M1608" s="248">
        <v>0</v>
      </c>
      <c r="N1608" s="248">
        <v>7.1748200000000004</v>
      </c>
      <c r="O1608" s="181">
        <f t="shared" si="12"/>
        <v>21.45</v>
      </c>
      <c r="P1608" s="247">
        <f t="shared" si="13"/>
        <v>2.9896220392985464</v>
      </c>
    </row>
    <row r="1609" spans="1:16" ht="14.25">
      <c r="A1609" s="224">
        <v>1608</v>
      </c>
      <c r="B1609" s="248">
        <v>28420</v>
      </c>
      <c r="C1609" s="248" t="s">
        <v>5089</v>
      </c>
      <c r="D1609" s="248" t="s">
        <v>45</v>
      </c>
      <c r="E1609" s="248" t="s">
        <v>2874</v>
      </c>
      <c r="F1609" s="249">
        <v>45998.157638888886</v>
      </c>
      <c r="G1609" s="248">
        <v>7</v>
      </c>
      <c r="H1609" s="248" t="s">
        <v>2557</v>
      </c>
      <c r="I1609" s="248">
        <v>75262</v>
      </c>
      <c r="J1609" s="250" t="s">
        <v>5090</v>
      </c>
      <c r="K1609" s="248">
        <v>22.99</v>
      </c>
      <c r="L1609" s="248">
        <v>0</v>
      </c>
      <c r="M1609" s="248">
        <v>0</v>
      </c>
      <c r="N1609" s="248">
        <v>1</v>
      </c>
      <c r="O1609" s="181">
        <f t="shared" si="12"/>
        <v>22.99</v>
      </c>
      <c r="P1609" s="247">
        <f t="shared" si="13"/>
        <v>22.99</v>
      </c>
    </row>
    <row r="1610" spans="1:16" ht="14.25">
      <c r="A1610" s="224">
        <v>1609</v>
      </c>
      <c r="B1610" s="248">
        <v>25716</v>
      </c>
      <c r="C1610" s="248" t="s">
        <v>4682</v>
      </c>
      <c r="D1610" s="248" t="s">
        <v>2582</v>
      </c>
      <c r="E1610" s="248" t="s">
        <v>4772</v>
      </c>
      <c r="F1610" s="249">
        <v>45998.60833333333</v>
      </c>
      <c r="G1610" s="248">
        <v>7</v>
      </c>
      <c r="H1610" s="248" t="s">
        <v>2557</v>
      </c>
      <c r="I1610" s="248">
        <v>74422</v>
      </c>
      <c r="J1610" s="250" t="s">
        <v>1396</v>
      </c>
      <c r="K1610" s="248">
        <v>148.72</v>
      </c>
      <c r="L1610" s="248">
        <v>0.61</v>
      </c>
      <c r="M1610" s="248">
        <v>0</v>
      </c>
      <c r="N1610" s="248">
        <v>7.16777</v>
      </c>
      <c r="O1610" s="181">
        <f t="shared" si="12"/>
        <v>148.10999999999999</v>
      </c>
      <c r="P1610" s="247">
        <f t="shared" si="13"/>
        <v>20.66333043610495</v>
      </c>
    </row>
    <row r="1611" spans="1:16" ht="14.25">
      <c r="A1611" s="224">
        <v>1610</v>
      </c>
      <c r="B1611" s="248">
        <v>28444</v>
      </c>
      <c r="C1611" s="248" t="s">
        <v>5091</v>
      </c>
      <c r="D1611" s="248" t="s">
        <v>45</v>
      </c>
      <c r="E1611" s="248" t="s">
        <v>2860</v>
      </c>
      <c r="F1611" s="249">
        <v>45998.665277777778</v>
      </c>
      <c r="G1611" s="248">
        <v>7</v>
      </c>
      <c r="H1611" s="248" t="s">
        <v>2557</v>
      </c>
      <c r="I1611" s="248">
        <v>75370</v>
      </c>
      <c r="J1611" s="250" t="s">
        <v>5092</v>
      </c>
      <c r="K1611" s="248">
        <v>1.99</v>
      </c>
      <c r="L1611" s="248">
        <v>0</v>
      </c>
      <c r="M1611" s="248">
        <v>0</v>
      </c>
      <c r="N1611" s="248">
        <v>1</v>
      </c>
      <c r="O1611" s="181">
        <f t="shared" si="12"/>
        <v>1.99</v>
      </c>
      <c r="P1611" s="247">
        <f t="shared" si="13"/>
        <v>1.99</v>
      </c>
    </row>
    <row r="1612" spans="1:16" ht="14.25">
      <c r="A1612" s="224">
        <v>1611</v>
      </c>
      <c r="B1612" s="248">
        <v>28447</v>
      </c>
      <c r="C1612" s="248" t="s">
        <v>5093</v>
      </c>
      <c r="D1612" s="248" t="s">
        <v>45</v>
      </c>
      <c r="E1612" s="248" t="s">
        <v>2874</v>
      </c>
      <c r="F1612" s="249">
        <v>45998.739583333336</v>
      </c>
      <c r="G1612" s="248">
        <v>7</v>
      </c>
      <c r="H1612" s="248" t="s">
        <v>2557</v>
      </c>
      <c r="I1612" s="248">
        <v>75382</v>
      </c>
      <c r="J1612" s="250"/>
      <c r="K1612" s="248">
        <v>24.29</v>
      </c>
      <c r="L1612" s="248">
        <v>0</v>
      </c>
      <c r="M1612" s="248">
        <v>0</v>
      </c>
      <c r="N1612" s="248">
        <v>1</v>
      </c>
      <c r="O1612" s="181">
        <f t="shared" si="12"/>
        <v>24.29</v>
      </c>
      <c r="P1612" s="247">
        <f t="shared" si="13"/>
        <v>24.29</v>
      </c>
    </row>
    <row r="1613" spans="1:16" ht="14.25">
      <c r="A1613" s="224">
        <v>1612</v>
      </c>
      <c r="B1613" s="248">
        <v>1560</v>
      </c>
      <c r="C1613" s="248" t="s">
        <v>2630</v>
      </c>
      <c r="D1613" s="248" t="s">
        <v>45</v>
      </c>
      <c r="E1613" s="248" t="s">
        <v>2860</v>
      </c>
      <c r="F1613" s="249">
        <v>45998.878472222219</v>
      </c>
      <c r="G1613" s="248">
        <v>7</v>
      </c>
      <c r="H1613" s="248" t="s">
        <v>2557</v>
      </c>
      <c r="I1613" s="248">
        <v>75394</v>
      </c>
      <c r="J1613" s="250" t="s">
        <v>5094</v>
      </c>
      <c r="K1613" s="248">
        <v>46.85</v>
      </c>
      <c r="L1613" s="248">
        <v>0</v>
      </c>
      <c r="M1613" s="248">
        <v>0</v>
      </c>
      <c r="N1613" s="248">
        <v>1</v>
      </c>
      <c r="O1613" s="181">
        <f t="shared" si="12"/>
        <v>46.85</v>
      </c>
      <c r="P1613" s="247">
        <f t="shared" si="13"/>
        <v>46.85</v>
      </c>
    </row>
    <row r="1614" spans="1:16" ht="14.25">
      <c r="A1614" s="224">
        <v>1613</v>
      </c>
      <c r="B1614" s="248">
        <v>1560</v>
      </c>
      <c r="C1614" s="248" t="s">
        <v>2630</v>
      </c>
      <c r="D1614" s="248" t="s">
        <v>45</v>
      </c>
      <c r="E1614" s="248" t="s">
        <v>2860</v>
      </c>
      <c r="F1614" s="249">
        <v>45998.879166666666</v>
      </c>
      <c r="G1614" s="248">
        <v>7</v>
      </c>
      <c r="H1614" s="248" t="s">
        <v>2557</v>
      </c>
      <c r="I1614" s="248">
        <v>75394</v>
      </c>
      <c r="J1614" s="250" t="s">
        <v>5094</v>
      </c>
      <c r="K1614" s="248">
        <v>46.85</v>
      </c>
      <c r="L1614" s="248">
        <v>0</v>
      </c>
      <c r="M1614" s="248">
        <v>0</v>
      </c>
      <c r="N1614" s="248">
        <v>1</v>
      </c>
      <c r="O1614" s="181">
        <f t="shared" si="12"/>
        <v>46.85</v>
      </c>
      <c r="P1614" s="247">
        <f t="shared" si="13"/>
        <v>46.85</v>
      </c>
    </row>
    <row r="1615" spans="1:16" ht="14.25">
      <c r="A1615" s="224">
        <v>1614</v>
      </c>
      <c r="B1615" s="248">
        <v>28476</v>
      </c>
      <c r="C1615" s="248" t="s">
        <v>5095</v>
      </c>
      <c r="D1615" s="248" t="s">
        <v>45</v>
      </c>
      <c r="E1615" s="248" t="s">
        <v>4772</v>
      </c>
      <c r="F1615" s="248" t="s">
        <v>5096</v>
      </c>
      <c r="G1615" s="248">
        <v>7</v>
      </c>
      <c r="H1615" s="248" t="s">
        <v>2557</v>
      </c>
      <c r="I1615" s="248">
        <v>75418</v>
      </c>
      <c r="J1615" s="250" t="s">
        <v>1394</v>
      </c>
      <c r="K1615" s="248">
        <v>26.99</v>
      </c>
      <c r="L1615" s="248">
        <v>0.79</v>
      </c>
      <c r="M1615" s="248">
        <v>0</v>
      </c>
      <c r="N1615" s="248">
        <v>1</v>
      </c>
      <c r="O1615" s="181">
        <f t="shared" si="12"/>
        <v>26.2</v>
      </c>
      <c r="P1615" s="247">
        <f t="shared" si="13"/>
        <v>26.2</v>
      </c>
    </row>
    <row r="1616" spans="1:16" ht="14.25">
      <c r="A1616" s="224">
        <v>1615</v>
      </c>
      <c r="B1616" s="248">
        <v>28485</v>
      </c>
      <c r="C1616" s="248" t="s">
        <v>5097</v>
      </c>
      <c r="D1616" s="248" t="s">
        <v>2582</v>
      </c>
      <c r="E1616" s="248" t="s">
        <v>2860</v>
      </c>
      <c r="F1616" s="248" t="s">
        <v>5098</v>
      </c>
      <c r="G1616" s="248">
        <v>7</v>
      </c>
      <c r="H1616" s="248" t="s">
        <v>2557</v>
      </c>
      <c r="I1616" s="248">
        <v>75430</v>
      </c>
      <c r="J1616" s="250" t="s">
        <v>5099</v>
      </c>
      <c r="K1616" s="248">
        <v>64.510000000000005</v>
      </c>
      <c r="L1616" s="248">
        <v>0</v>
      </c>
      <c r="M1616" s="248">
        <v>0</v>
      </c>
      <c r="N1616" s="248">
        <v>7.16777</v>
      </c>
      <c r="O1616" s="181">
        <f t="shared" si="12"/>
        <v>64.510000000000005</v>
      </c>
      <c r="P1616" s="247">
        <f t="shared" si="13"/>
        <v>9.0000097659383602</v>
      </c>
    </row>
    <row r="1617" spans="1:16" ht="14.25">
      <c r="A1617" s="224">
        <v>1616</v>
      </c>
      <c r="B1617" s="248">
        <v>28489</v>
      </c>
      <c r="C1617" s="248" t="s">
        <v>5100</v>
      </c>
      <c r="D1617" s="248" t="s">
        <v>45</v>
      </c>
      <c r="E1617" s="248" t="s">
        <v>2860</v>
      </c>
      <c r="F1617" s="248" t="s">
        <v>5101</v>
      </c>
      <c r="G1617" s="248">
        <v>7</v>
      </c>
      <c r="H1617" s="248" t="s">
        <v>2557</v>
      </c>
      <c r="I1617" s="248">
        <v>75442</v>
      </c>
      <c r="J1617" s="250" t="s">
        <v>5102</v>
      </c>
      <c r="K1617" s="248">
        <v>8.99</v>
      </c>
      <c r="L1617" s="248">
        <v>0</v>
      </c>
      <c r="M1617" s="248">
        <v>0</v>
      </c>
      <c r="N1617" s="248">
        <v>1</v>
      </c>
      <c r="O1617" s="181">
        <f t="shared" si="12"/>
        <v>8.99</v>
      </c>
      <c r="P1617" s="247">
        <f t="shared" si="13"/>
        <v>8.99</v>
      </c>
    </row>
    <row r="1618" spans="1:16" ht="14.25">
      <c r="A1618" s="224">
        <v>1617</v>
      </c>
      <c r="B1618" s="248">
        <v>20196</v>
      </c>
      <c r="C1618" s="248" t="s">
        <v>3404</v>
      </c>
      <c r="D1618" s="248" t="s">
        <v>45</v>
      </c>
      <c r="E1618" s="248" t="s">
        <v>2860</v>
      </c>
      <c r="F1618" s="248" t="s">
        <v>5103</v>
      </c>
      <c r="G1618" s="248">
        <v>7</v>
      </c>
      <c r="H1618" s="248" t="s">
        <v>2557</v>
      </c>
      <c r="I1618" s="248">
        <v>74542</v>
      </c>
      <c r="J1618" s="250" t="s">
        <v>5104</v>
      </c>
      <c r="K1618" s="248">
        <v>8.99</v>
      </c>
      <c r="L1618" s="248">
        <v>0</v>
      </c>
      <c r="M1618" s="248">
        <v>0</v>
      </c>
      <c r="N1618" s="248">
        <v>1</v>
      </c>
      <c r="O1618" s="181">
        <f t="shared" si="12"/>
        <v>8.99</v>
      </c>
      <c r="P1618" s="247">
        <f t="shared" si="13"/>
        <v>8.99</v>
      </c>
    </row>
    <row r="1619" spans="1:16" ht="14.25">
      <c r="A1619" s="224">
        <v>1618</v>
      </c>
      <c r="B1619" s="248">
        <v>28497</v>
      </c>
      <c r="C1619" s="248" t="s">
        <v>5105</v>
      </c>
      <c r="D1619" s="248" t="s">
        <v>45</v>
      </c>
      <c r="E1619" s="248" t="s">
        <v>2860</v>
      </c>
      <c r="F1619" s="248" t="s">
        <v>5106</v>
      </c>
      <c r="G1619" s="248">
        <v>7</v>
      </c>
      <c r="H1619" s="248" t="s">
        <v>2557</v>
      </c>
      <c r="I1619" s="248">
        <v>75466</v>
      </c>
      <c r="J1619" s="250" t="s">
        <v>5107</v>
      </c>
      <c r="K1619" s="248">
        <v>2.99</v>
      </c>
      <c r="L1619" s="248">
        <v>0</v>
      </c>
      <c r="M1619" s="248">
        <v>0</v>
      </c>
      <c r="N1619" s="248">
        <v>1</v>
      </c>
      <c r="O1619" s="181">
        <f t="shared" si="12"/>
        <v>2.99</v>
      </c>
      <c r="P1619" s="247">
        <f t="shared" si="13"/>
        <v>2.99</v>
      </c>
    </row>
    <row r="1620" spans="1:16" ht="14.25">
      <c r="A1620" s="224">
        <v>1619</v>
      </c>
      <c r="B1620" s="248">
        <v>21778</v>
      </c>
      <c r="C1620" s="248" t="s">
        <v>3893</v>
      </c>
      <c r="D1620" s="248" t="s">
        <v>2582</v>
      </c>
      <c r="E1620" s="248" t="s">
        <v>4772</v>
      </c>
      <c r="F1620" s="248" t="s">
        <v>5108</v>
      </c>
      <c r="G1620" s="248">
        <v>7</v>
      </c>
      <c r="H1620" s="248" t="s">
        <v>2557</v>
      </c>
      <c r="I1620" s="248">
        <v>75478</v>
      </c>
      <c r="J1620" s="250" t="s">
        <v>1402</v>
      </c>
      <c r="K1620" s="248">
        <v>647.57000000000005</v>
      </c>
      <c r="L1620" s="248">
        <v>2.62</v>
      </c>
      <c r="M1620" s="248">
        <v>0</v>
      </c>
      <c r="N1620" s="248">
        <v>7.16777</v>
      </c>
      <c r="O1620" s="181">
        <f t="shared" si="12"/>
        <v>644.95000000000005</v>
      </c>
      <c r="P1620" s="247">
        <f t="shared" si="13"/>
        <v>89.979170648611785</v>
      </c>
    </row>
    <row r="1621" spans="1:16" ht="14.25">
      <c r="A1621" s="224">
        <v>1620</v>
      </c>
      <c r="B1621" s="248">
        <v>28476</v>
      </c>
      <c r="C1621" s="248" t="s">
        <v>5095</v>
      </c>
      <c r="D1621" s="248" t="s">
        <v>45</v>
      </c>
      <c r="E1621" s="248" t="s">
        <v>4772</v>
      </c>
      <c r="F1621" s="248" t="s">
        <v>5109</v>
      </c>
      <c r="G1621" s="248">
        <v>7</v>
      </c>
      <c r="H1621" s="248" t="s">
        <v>2557</v>
      </c>
      <c r="I1621" s="248">
        <v>75490</v>
      </c>
      <c r="J1621" s="250" t="s">
        <v>1399</v>
      </c>
      <c r="K1621" s="248">
        <v>4.54</v>
      </c>
      <c r="L1621" s="248">
        <v>0.14000000000000001</v>
      </c>
      <c r="M1621" s="248">
        <v>0</v>
      </c>
      <c r="N1621" s="248">
        <v>1</v>
      </c>
      <c r="O1621" s="181">
        <f t="shared" si="12"/>
        <v>4.4000000000000004</v>
      </c>
      <c r="P1621" s="247">
        <f t="shared" si="13"/>
        <v>4.4000000000000004</v>
      </c>
    </row>
    <row r="1622" spans="1:16" ht="14.25">
      <c r="A1622" s="224">
        <v>1621</v>
      </c>
      <c r="B1622" s="248">
        <v>28420</v>
      </c>
      <c r="C1622" s="248" t="s">
        <v>5089</v>
      </c>
      <c r="D1622" s="248" t="s">
        <v>45</v>
      </c>
      <c r="E1622" s="248" t="s">
        <v>2874</v>
      </c>
      <c r="F1622" s="248" t="s">
        <v>5110</v>
      </c>
      <c r="G1622" s="248">
        <v>7</v>
      </c>
      <c r="H1622" s="248" t="s">
        <v>2557</v>
      </c>
      <c r="I1622" s="248">
        <v>75502</v>
      </c>
      <c r="J1622" s="250" t="s">
        <v>5111</v>
      </c>
      <c r="K1622" s="248">
        <v>26.99</v>
      </c>
      <c r="L1622" s="248">
        <v>0</v>
      </c>
      <c r="M1622" s="248">
        <v>0</v>
      </c>
      <c r="N1622" s="248">
        <v>1</v>
      </c>
      <c r="O1622" s="181">
        <f t="shared" si="12"/>
        <v>26.99</v>
      </c>
      <c r="P1622" s="247">
        <f t="shared" si="13"/>
        <v>26.99</v>
      </c>
    </row>
    <row r="1623" spans="1:16" ht="14.25">
      <c r="A1623" s="224">
        <v>1622</v>
      </c>
      <c r="B1623" s="248">
        <v>7698</v>
      </c>
      <c r="C1623" s="248" t="s">
        <v>2710</v>
      </c>
      <c r="D1623" s="248" t="s">
        <v>45</v>
      </c>
      <c r="E1623" s="248" t="s">
        <v>2874</v>
      </c>
      <c r="F1623" s="248" t="s">
        <v>5112</v>
      </c>
      <c r="G1623" s="248">
        <v>7</v>
      </c>
      <c r="H1623" s="248" t="s">
        <v>2557</v>
      </c>
      <c r="I1623" s="248">
        <v>73617</v>
      </c>
      <c r="J1623" s="250" t="s">
        <v>5113</v>
      </c>
      <c r="K1623" s="248">
        <v>17.989999999999998</v>
      </c>
      <c r="L1623" s="248">
        <v>0</v>
      </c>
      <c r="M1623" s="248">
        <v>0</v>
      </c>
      <c r="N1623" s="248">
        <v>1</v>
      </c>
      <c r="O1623" s="181">
        <f t="shared" si="12"/>
        <v>17.989999999999998</v>
      </c>
      <c r="P1623" s="247">
        <f t="shared" si="13"/>
        <v>17.989999999999998</v>
      </c>
    </row>
    <row r="1624" spans="1:16" ht="14.25">
      <c r="A1624" s="224">
        <v>1623</v>
      </c>
      <c r="B1624" s="248">
        <v>1836</v>
      </c>
      <c r="C1624" s="248" t="s">
        <v>2882</v>
      </c>
      <c r="D1624" s="248" t="s">
        <v>2582</v>
      </c>
      <c r="E1624" s="248" t="s">
        <v>2860</v>
      </c>
      <c r="F1624" s="248" t="s">
        <v>5114</v>
      </c>
      <c r="G1624" s="248">
        <v>7</v>
      </c>
      <c r="H1624" s="248" t="s">
        <v>2557</v>
      </c>
      <c r="I1624" s="248">
        <v>75538</v>
      </c>
      <c r="J1624" s="250" t="s">
        <v>5115</v>
      </c>
      <c r="K1624" s="248">
        <v>69.67</v>
      </c>
      <c r="L1624" s="248">
        <v>0</v>
      </c>
      <c r="M1624" s="248">
        <v>0</v>
      </c>
      <c r="N1624" s="248">
        <v>7.16777</v>
      </c>
      <c r="O1624" s="181">
        <f t="shared" si="12"/>
        <v>69.67</v>
      </c>
      <c r="P1624" s="247">
        <f t="shared" si="13"/>
        <v>9.7198989364893134</v>
      </c>
    </row>
    <row r="1625" spans="1:16" ht="14.25">
      <c r="A1625" s="224">
        <v>1624</v>
      </c>
      <c r="B1625" s="248">
        <v>1836</v>
      </c>
      <c r="C1625" s="248" t="s">
        <v>2882</v>
      </c>
      <c r="D1625" s="248" t="s">
        <v>2582</v>
      </c>
      <c r="E1625" s="248" t="s">
        <v>2860</v>
      </c>
      <c r="F1625" s="248" t="s">
        <v>5116</v>
      </c>
      <c r="G1625" s="248">
        <v>7</v>
      </c>
      <c r="H1625" s="248" t="s">
        <v>2557</v>
      </c>
      <c r="I1625" s="248">
        <v>75538</v>
      </c>
      <c r="J1625" s="250"/>
      <c r="K1625" s="248">
        <v>0.03</v>
      </c>
      <c r="L1625" s="248">
        <v>0</v>
      </c>
      <c r="M1625" s="248">
        <v>0</v>
      </c>
      <c r="N1625" s="248">
        <v>7.16777</v>
      </c>
      <c r="O1625" s="181">
        <f t="shared" si="12"/>
        <v>0.03</v>
      </c>
      <c r="P1625" s="247">
        <f t="shared" si="13"/>
        <v>4.1854021543660021E-3</v>
      </c>
    </row>
    <row r="1626" spans="1:16" ht="14.25">
      <c r="A1626" s="224">
        <v>1625</v>
      </c>
      <c r="B1626" s="248">
        <v>28535</v>
      </c>
      <c r="C1626" s="248" t="s">
        <v>5117</v>
      </c>
      <c r="D1626" s="248" t="s">
        <v>45</v>
      </c>
      <c r="E1626" s="248" t="s">
        <v>2860</v>
      </c>
      <c r="F1626" s="248" t="s">
        <v>5118</v>
      </c>
      <c r="G1626" s="248">
        <v>7</v>
      </c>
      <c r="H1626" s="248" t="s">
        <v>2557</v>
      </c>
      <c r="I1626" s="248">
        <v>75586</v>
      </c>
      <c r="J1626" s="250" t="s">
        <v>5119</v>
      </c>
      <c r="K1626" s="248">
        <v>6.49</v>
      </c>
      <c r="L1626" s="248">
        <v>0</v>
      </c>
      <c r="M1626" s="248">
        <v>0</v>
      </c>
      <c r="N1626" s="248">
        <v>1</v>
      </c>
      <c r="O1626" s="181">
        <f t="shared" si="12"/>
        <v>6.49</v>
      </c>
      <c r="P1626" s="247">
        <f t="shared" si="13"/>
        <v>6.49</v>
      </c>
    </row>
    <row r="1627" spans="1:16" ht="14.25">
      <c r="A1627" s="224">
        <v>1626</v>
      </c>
      <c r="B1627" s="248">
        <v>26089</v>
      </c>
      <c r="C1627" s="248" t="s">
        <v>4759</v>
      </c>
      <c r="D1627" s="248" t="s">
        <v>2582</v>
      </c>
      <c r="E1627" s="248" t="s">
        <v>2860</v>
      </c>
      <c r="F1627" s="248" t="s">
        <v>5120</v>
      </c>
      <c r="G1627" s="248">
        <v>7</v>
      </c>
      <c r="H1627" s="248" t="s">
        <v>2557</v>
      </c>
      <c r="I1627" s="248">
        <v>73257</v>
      </c>
      <c r="J1627" s="250" t="s">
        <v>5121</v>
      </c>
      <c r="K1627" s="248">
        <v>143.43</v>
      </c>
      <c r="L1627" s="248">
        <v>0</v>
      </c>
      <c r="M1627" s="248">
        <v>0</v>
      </c>
      <c r="N1627" s="248">
        <v>7.16777</v>
      </c>
      <c r="O1627" s="181">
        <f t="shared" si="12"/>
        <v>143.43</v>
      </c>
      <c r="P1627" s="247">
        <f t="shared" si="13"/>
        <v>20.010407700023858</v>
      </c>
    </row>
    <row r="1628" spans="1:16" ht="14.25">
      <c r="A1628" s="224">
        <v>1627</v>
      </c>
      <c r="B1628" s="248">
        <v>26089</v>
      </c>
      <c r="C1628" s="248" t="s">
        <v>4759</v>
      </c>
      <c r="D1628" s="248" t="s">
        <v>2582</v>
      </c>
      <c r="E1628" s="248" t="s">
        <v>2860</v>
      </c>
      <c r="F1628" s="248" t="s">
        <v>5122</v>
      </c>
      <c r="G1628" s="248">
        <v>7</v>
      </c>
      <c r="H1628" s="248" t="s">
        <v>2557</v>
      </c>
      <c r="I1628" s="248">
        <v>73257</v>
      </c>
      <c r="J1628" s="250"/>
      <c r="K1628" s="248">
        <v>0.02</v>
      </c>
      <c r="L1628" s="248">
        <v>0</v>
      </c>
      <c r="M1628" s="248">
        <v>0</v>
      </c>
      <c r="N1628" s="248">
        <v>7.16777</v>
      </c>
      <c r="O1628" s="181">
        <f t="shared" si="12"/>
        <v>0.02</v>
      </c>
      <c r="P1628" s="247">
        <f t="shared" si="13"/>
        <v>2.7902681029106681E-3</v>
      </c>
    </row>
    <row r="1629" spans="1:16" ht="14.25">
      <c r="A1629" s="224">
        <v>1628</v>
      </c>
      <c r="B1629" s="248">
        <v>22778</v>
      </c>
      <c r="C1629" s="248" t="s">
        <v>3929</v>
      </c>
      <c r="D1629" s="248" t="s">
        <v>45</v>
      </c>
      <c r="E1629" s="248" t="s">
        <v>2860</v>
      </c>
      <c r="F1629" s="248" t="s">
        <v>5123</v>
      </c>
      <c r="G1629" s="248">
        <v>7</v>
      </c>
      <c r="H1629" s="248" t="s">
        <v>2557</v>
      </c>
      <c r="I1629" s="248">
        <v>73137</v>
      </c>
      <c r="J1629" s="250" t="s">
        <v>5124</v>
      </c>
      <c r="K1629" s="248">
        <v>5.99</v>
      </c>
      <c r="L1629" s="248">
        <v>0</v>
      </c>
      <c r="M1629" s="248">
        <v>0</v>
      </c>
      <c r="N1629" s="248">
        <v>1</v>
      </c>
      <c r="O1629" s="181">
        <f t="shared" si="12"/>
        <v>5.99</v>
      </c>
      <c r="P1629" s="247">
        <f t="shared" si="13"/>
        <v>5.99</v>
      </c>
    </row>
    <row r="1630" spans="1:16" ht="14.25">
      <c r="A1630" s="224">
        <v>1629</v>
      </c>
      <c r="B1630" s="248">
        <v>28546</v>
      </c>
      <c r="C1630" s="248" t="s">
        <v>5125</v>
      </c>
      <c r="D1630" s="248" t="s">
        <v>45</v>
      </c>
      <c r="E1630" s="248" t="s">
        <v>4772</v>
      </c>
      <c r="F1630" s="248" t="s">
        <v>5126</v>
      </c>
      <c r="G1630" s="248">
        <v>7</v>
      </c>
      <c r="H1630" s="248" t="s">
        <v>2557</v>
      </c>
      <c r="I1630" s="248">
        <v>75598</v>
      </c>
      <c r="J1630" s="250" t="s">
        <v>1411</v>
      </c>
      <c r="K1630" s="248">
        <v>3.99</v>
      </c>
      <c r="L1630" s="248">
        <v>0.12</v>
      </c>
      <c r="M1630" s="248">
        <v>0</v>
      </c>
      <c r="N1630" s="248">
        <v>1</v>
      </c>
      <c r="O1630" s="181">
        <f t="shared" si="12"/>
        <v>3.87</v>
      </c>
      <c r="P1630" s="247">
        <f t="shared" si="13"/>
        <v>3.87</v>
      </c>
    </row>
    <row r="1631" spans="1:16" ht="14.25">
      <c r="A1631" s="224">
        <v>1630</v>
      </c>
      <c r="B1631" s="248">
        <v>28543</v>
      </c>
      <c r="C1631" s="248" t="s">
        <v>5127</v>
      </c>
      <c r="D1631" s="248" t="s">
        <v>2582</v>
      </c>
      <c r="E1631" s="248" t="s">
        <v>2860</v>
      </c>
      <c r="F1631" s="248" t="s">
        <v>5128</v>
      </c>
      <c r="G1631" s="248">
        <v>7</v>
      </c>
      <c r="H1631" s="248" t="s">
        <v>2557</v>
      </c>
      <c r="I1631" s="248">
        <v>75610</v>
      </c>
      <c r="J1631" s="250" t="s">
        <v>5129</v>
      </c>
      <c r="K1631" s="248">
        <v>493.43</v>
      </c>
      <c r="L1631" s="248">
        <v>0</v>
      </c>
      <c r="M1631" s="248">
        <v>0</v>
      </c>
      <c r="N1631" s="248">
        <v>7.16777</v>
      </c>
      <c r="O1631" s="181">
        <f t="shared" si="12"/>
        <v>493.43</v>
      </c>
      <c r="P1631" s="247">
        <f t="shared" si="13"/>
        <v>68.840099500960548</v>
      </c>
    </row>
    <row r="1632" spans="1:16" ht="14.25">
      <c r="A1632" s="224">
        <v>1631</v>
      </c>
      <c r="B1632" s="248">
        <v>28543</v>
      </c>
      <c r="C1632" s="248" t="s">
        <v>5127</v>
      </c>
      <c r="D1632" s="248" t="s">
        <v>2582</v>
      </c>
      <c r="E1632" s="248" t="s">
        <v>2860</v>
      </c>
      <c r="F1632" s="248" t="s">
        <v>5130</v>
      </c>
      <c r="G1632" s="248">
        <v>7</v>
      </c>
      <c r="H1632" s="248" t="s">
        <v>2557</v>
      </c>
      <c r="I1632" s="248">
        <v>75610</v>
      </c>
      <c r="J1632" s="250"/>
      <c r="K1632" s="248">
        <v>0.01</v>
      </c>
      <c r="L1632" s="248">
        <v>0</v>
      </c>
      <c r="M1632" s="248">
        <v>0</v>
      </c>
      <c r="N1632" s="248">
        <v>7.16777</v>
      </c>
      <c r="O1632" s="181">
        <f t="shared" si="12"/>
        <v>0.01</v>
      </c>
      <c r="P1632" s="247">
        <f t="shared" si="13"/>
        <v>1.395134051455334E-3</v>
      </c>
    </row>
    <row r="1633" spans="1:16" ht="14.25">
      <c r="A1633" s="224">
        <v>1632</v>
      </c>
      <c r="B1633" s="248">
        <v>21990</v>
      </c>
      <c r="C1633" s="248" t="s">
        <v>3821</v>
      </c>
      <c r="D1633" s="248" t="s">
        <v>45</v>
      </c>
      <c r="E1633" s="248" t="s">
        <v>2860</v>
      </c>
      <c r="F1633" s="248" t="s">
        <v>5131</v>
      </c>
      <c r="G1633" s="248">
        <v>7</v>
      </c>
      <c r="H1633" s="248" t="s">
        <v>2557</v>
      </c>
      <c r="I1633" s="248">
        <v>73629</v>
      </c>
      <c r="J1633" s="250" t="s">
        <v>5132</v>
      </c>
      <c r="K1633" s="248">
        <v>16.09</v>
      </c>
      <c r="L1633" s="248">
        <v>0</v>
      </c>
      <c r="M1633" s="248">
        <v>0</v>
      </c>
      <c r="N1633" s="248">
        <v>1</v>
      </c>
      <c r="O1633" s="181">
        <f t="shared" si="12"/>
        <v>16.09</v>
      </c>
      <c r="P1633" s="247">
        <f t="shared" si="13"/>
        <v>16.09</v>
      </c>
    </row>
    <row r="1634" spans="1:16" ht="14.25">
      <c r="A1634" s="224">
        <v>1633</v>
      </c>
      <c r="B1634" s="248">
        <v>28557</v>
      </c>
      <c r="C1634" s="248" t="s">
        <v>5133</v>
      </c>
      <c r="D1634" s="248" t="s">
        <v>45</v>
      </c>
      <c r="E1634" s="248" t="s">
        <v>4772</v>
      </c>
      <c r="F1634" s="248" t="s">
        <v>5134</v>
      </c>
      <c r="G1634" s="248">
        <v>7</v>
      </c>
      <c r="H1634" s="248" t="s">
        <v>2557</v>
      </c>
      <c r="I1634" s="248">
        <v>75634</v>
      </c>
      <c r="J1634" s="250" t="s">
        <v>1407</v>
      </c>
      <c r="K1634" s="248">
        <v>2.99</v>
      </c>
      <c r="L1634" s="248">
        <v>0.09</v>
      </c>
      <c r="M1634" s="248">
        <v>0</v>
      </c>
      <c r="N1634" s="248">
        <v>1</v>
      </c>
      <c r="O1634" s="181">
        <f t="shared" si="12"/>
        <v>2.9000000000000004</v>
      </c>
      <c r="P1634" s="247">
        <f t="shared" si="13"/>
        <v>2.9000000000000004</v>
      </c>
    </row>
    <row r="1635" spans="1:16" ht="14.25">
      <c r="A1635" s="224">
        <v>1634</v>
      </c>
      <c r="B1635" s="248">
        <v>28557</v>
      </c>
      <c r="C1635" s="248" t="s">
        <v>5133</v>
      </c>
      <c r="D1635" s="248" t="s">
        <v>45</v>
      </c>
      <c r="E1635" s="248" t="s">
        <v>4772</v>
      </c>
      <c r="F1635" s="248" t="s">
        <v>5135</v>
      </c>
      <c r="G1635" s="248">
        <v>7</v>
      </c>
      <c r="H1635" s="248" t="s">
        <v>5136</v>
      </c>
      <c r="I1635" s="248">
        <v>75634</v>
      </c>
      <c r="J1635" s="250"/>
      <c r="K1635" s="248">
        <v>0</v>
      </c>
      <c r="L1635" s="248">
        <v>-0.09</v>
      </c>
      <c r="M1635" s="248">
        <v>2.99</v>
      </c>
      <c r="N1635" s="248">
        <v>1</v>
      </c>
      <c r="O1635" s="181">
        <f t="shared" si="12"/>
        <v>-2.9000000000000004</v>
      </c>
      <c r="P1635" s="247">
        <f t="shared" si="13"/>
        <v>-2.9000000000000004</v>
      </c>
    </row>
    <row r="1636" spans="1:16" ht="14.25">
      <c r="A1636" s="224">
        <v>1635</v>
      </c>
      <c r="B1636" s="248">
        <v>28570</v>
      </c>
      <c r="C1636" s="248" t="s">
        <v>5137</v>
      </c>
      <c r="D1636" s="248" t="s">
        <v>2582</v>
      </c>
      <c r="E1636" s="248" t="s">
        <v>2860</v>
      </c>
      <c r="F1636" s="248" t="s">
        <v>5138</v>
      </c>
      <c r="G1636" s="248">
        <v>7</v>
      </c>
      <c r="H1636" s="248" t="s">
        <v>2557</v>
      </c>
      <c r="I1636" s="248">
        <v>75658</v>
      </c>
      <c r="J1636" s="250" t="s">
        <v>5139</v>
      </c>
      <c r="K1636" s="248">
        <v>32.18</v>
      </c>
      <c r="L1636" s="248">
        <v>0</v>
      </c>
      <c r="M1636" s="248">
        <v>0</v>
      </c>
      <c r="N1636" s="248">
        <v>7.16777</v>
      </c>
      <c r="O1636" s="181">
        <f t="shared" si="12"/>
        <v>32.18</v>
      </c>
      <c r="P1636" s="247">
        <f t="shared" si="13"/>
        <v>4.4895413775832651</v>
      </c>
    </row>
    <row r="1637" spans="1:16" ht="14.25">
      <c r="A1637" s="224">
        <v>1636</v>
      </c>
      <c r="B1637" s="248">
        <v>28577</v>
      </c>
      <c r="C1637" s="248" t="s">
        <v>5140</v>
      </c>
      <c r="D1637" s="248" t="s">
        <v>45</v>
      </c>
      <c r="E1637" s="248" t="s">
        <v>2860</v>
      </c>
      <c r="F1637" s="248" t="s">
        <v>5141</v>
      </c>
      <c r="G1637" s="248">
        <v>7</v>
      </c>
      <c r="H1637" s="248" t="s">
        <v>2557</v>
      </c>
      <c r="I1637" s="248">
        <v>75694</v>
      </c>
      <c r="J1637" s="250" t="s">
        <v>5142</v>
      </c>
      <c r="K1637" s="248">
        <v>1.99</v>
      </c>
      <c r="L1637" s="248">
        <v>0</v>
      </c>
      <c r="M1637" s="248">
        <v>0</v>
      </c>
      <c r="N1637" s="248">
        <v>1</v>
      </c>
      <c r="O1637" s="181">
        <f t="shared" si="12"/>
        <v>1.99</v>
      </c>
      <c r="P1637" s="247">
        <f t="shared" si="13"/>
        <v>1.99</v>
      </c>
    </row>
    <row r="1638" spans="1:16" ht="14.25">
      <c r="A1638" s="224">
        <v>1637</v>
      </c>
      <c r="B1638" s="248">
        <v>25736</v>
      </c>
      <c r="C1638" s="248" t="s">
        <v>4691</v>
      </c>
      <c r="D1638" s="248" t="s">
        <v>45</v>
      </c>
      <c r="E1638" s="248" t="s">
        <v>2860</v>
      </c>
      <c r="F1638" s="248" t="s">
        <v>5143</v>
      </c>
      <c r="G1638" s="248">
        <v>7</v>
      </c>
      <c r="H1638" s="248" t="s">
        <v>2557</v>
      </c>
      <c r="I1638" s="248">
        <v>74434</v>
      </c>
      <c r="J1638" s="250" t="s">
        <v>5144</v>
      </c>
      <c r="K1638" s="248">
        <v>37.090000000000003</v>
      </c>
      <c r="L1638" s="248">
        <v>0</v>
      </c>
      <c r="M1638" s="248">
        <v>0</v>
      </c>
      <c r="N1638" s="248">
        <v>1</v>
      </c>
      <c r="O1638" s="181">
        <f t="shared" si="12"/>
        <v>37.090000000000003</v>
      </c>
      <c r="P1638" s="247">
        <f t="shared" si="13"/>
        <v>37.090000000000003</v>
      </c>
    </row>
    <row r="1639" spans="1:16" ht="14.25">
      <c r="A1639" s="224">
        <v>1638</v>
      </c>
      <c r="B1639" s="248">
        <v>6348</v>
      </c>
      <c r="C1639" s="248" t="s">
        <v>817</v>
      </c>
      <c r="D1639" s="248" t="s">
        <v>45</v>
      </c>
      <c r="E1639" s="248" t="s">
        <v>2860</v>
      </c>
      <c r="F1639" s="248" t="s">
        <v>5145</v>
      </c>
      <c r="G1639" s="248">
        <v>7</v>
      </c>
      <c r="H1639" s="248" t="s">
        <v>2557</v>
      </c>
      <c r="I1639" s="248">
        <v>75706</v>
      </c>
      <c r="J1639" s="250" t="s">
        <v>5146</v>
      </c>
      <c r="K1639" s="248">
        <v>20.69</v>
      </c>
      <c r="L1639" s="248">
        <v>0</v>
      </c>
      <c r="M1639" s="248">
        <v>0</v>
      </c>
      <c r="N1639" s="248">
        <v>1</v>
      </c>
      <c r="O1639" s="181">
        <f t="shared" si="12"/>
        <v>20.69</v>
      </c>
      <c r="P1639" s="247">
        <f t="shared" si="13"/>
        <v>20.69</v>
      </c>
    </row>
    <row r="1640" spans="1:16" ht="14.25">
      <c r="A1640" s="224">
        <v>1639</v>
      </c>
      <c r="B1640" s="248">
        <v>19889</v>
      </c>
      <c r="C1640" s="248" t="s">
        <v>3227</v>
      </c>
      <c r="D1640" s="248" t="s">
        <v>45</v>
      </c>
      <c r="E1640" s="248" t="s">
        <v>2860</v>
      </c>
      <c r="F1640" s="248" t="s">
        <v>5147</v>
      </c>
      <c r="G1640" s="248">
        <v>7</v>
      </c>
      <c r="H1640" s="248" t="s">
        <v>2557</v>
      </c>
      <c r="I1640" s="248">
        <v>75730</v>
      </c>
      <c r="J1640" s="250" t="s">
        <v>5148</v>
      </c>
      <c r="K1640" s="248">
        <v>1.99</v>
      </c>
      <c r="L1640" s="248">
        <v>0</v>
      </c>
      <c r="M1640" s="248">
        <v>0</v>
      </c>
      <c r="N1640" s="248">
        <v>1</v>
      </c>
      <c r="O1640" s="181">
        <f t="shared" si="12"/>
        <v>1.99</v>
      </c>
      <c r="P1640" s="247">
        <f t="shared" si="13"/>
        <v>1.99</v>
      </c>
    </row>
    <row r="1641" spans="1:16" ht="14.25">
      <c r="A1641" s="224">
        <v>1640</v>
      </c>
      <c r="B1641" s="248">
        <v>28533</v>
      </c>
      <c r="C1641" s="248" t="s">
        <v>5149</v>
      </c>
      <c r="D1641" s="248" t="s">
        <v>2582</v>
      </c>
      <c r="E1641" s="248" t="s">
        <v>2860</v>
      </c>
      <c r="F1641" s="248" t="s">
        <v>5150</v>
      </c>
      <c r="G1641" s="248">
        <v>7</v>
      </c>
      <c r="H1641" s="248" t="s">
        <v>2557</v>
      </c>
      <c r="I1641" s="248">
        <v>75790</v>
      </c>
      <c r="J1641" s="250" t="s">
        <v>5151</v>
      </c>
      <c r="K1641" s="248">
        <v>671.93</v>
      </c>
      <c r="L1641" s="248">
        <v>0</v>
      </c>
      <c r="M1641" s="248">
        <v>0</v>
      </c>
      <c r="N1641" s="248">
        <v>7.1672399999999996</v>
      </c>
      <c r="O1641" s="181">
        <f t="shared" si="12"/>
        <v>671.93</v>
      </c>
      <c r="P1641" s="247">
        <f t="shared" si="13"/>
        <v>93.75017440465227</v>
      </c>
    </row>
    <row r="1642" spans="1:16" ht="14.25">
      <c r="A1642" s="224">
        <v>1641</v>
      </c>
      <c r="B1642" s="248">
        <v>28590</v>
      </c>
      <c r="C1642" s="248" t="s">
        <v>5152</v>
      </c>
      <c r="D1642" s="248" t="s">
        <v>45</v>
      </c>
      <c r="E1642" s="248" t="s">
        <v>2860</v>
      </c>
      <c r="F1642" s="248" t="s">
        <v>5153</v>
      </c>
      <c r="G1642" s="248">
        <v>7</v>
      </c>
      <c r="H1642" s="248" t="s">
        <v>2557</v>
      </c>
      <c r="I1642" s="248">
        <v>75802</v>
      </c>
      <c r="J1642" s="250" t="s">
        <v>5154</v>
      </c>
      <c r="K1642" s="248">
        <v>2.99</v>
      </c>
      <c r="L1642" s="248">
        <v>0</v>
      </c>
      <c r="M1642" s="248">
        <v>0</v>
      </c>
      <c r="N1642" s="248">
        <v>1</v>
      </c>
      <c r="O1642" s="181">
        <f t="shared" si="12"/>
        <v>2.99</v>
      </c>
      <c r="P1642" s="247">
        <f t="shared" si="13"/>
        <v>2.99</v>
      </c>
    </row>
    <row r="1643" spans="1:16" ht="14.25">
      <c r="A1643" s="224">
        <v>1642</v>
      </c>
      <c r="B1643" s="248">
        <v>24901</v>
      </c>
      <c r="C1643" s="248" t="s">
        <v>5018</v>
      </c>
      <c r="D1643" s="248" t="s">
        <v>2582</v>
      </c>
      <c r="E1643" s="248" t="s">
        <v>4772</v>
      </c>
      <c r="F1643" s="248" t="s">
        <v>5155</v>
      </c>
      <c r="G1643" s="248">
        <v>7</v>
      </c>
      <c r="H1643" s="248" t="s">
        <v>2557</v>
      </c>
      <c r="I1643" s="248">
        <v>75826</v>
      </c>
      <c r="J1643" s="250" t="s">
        <v>1415</v>
      </c>
      <c r="K1643" s="248">
        <v>852.16</v>
      </c>
      <c r="L1643" s="248">
        <v>3.45</v>
      </c>
      <c r="M1643" s="248">
        <v>0</v>
      </c>
      <c r="N1643" s="248">
        <v>7.1672399999999996</v>
      </c>
      <c r="O1643" s="181">
        <f t="shared" si="12"/>
        <v>848.70999999999992</v>
      </c>
      <c r="P1643" s="247">
        <f t="shared" si="13"/>
        <v>118.41517794855481</v>
      </c>
    </row>
    <row r="1644" spans="1:16" ht="14.25">
      <c r="A1644" s="224">
        <v>1643</v>
      </c>
      <c r="B1644" s="248">
        <v>6529</v>
      </c>
      <c r="C1644" s="248" t="s">
        <v>2566</v>
      </c>
      <c r="D1644" s="248" t="s">
        <v>45</v>
      </c>
      <c r="E1644" s="248" t="s">
        <v>2860</v>
      </c>
      <c r="F1644" s="248" t="s">
        <v>5156</v>
      </c>
      <c r="G1644" s="248">
        <v>7</v>
      </c>
      <c r="H1644" s="248" t="s">
        <v>2557</v>
      </c>
      <c r="I1644" s="248">
        <v>74386</v>
      </c>
      <c r="J1644" s="250" t="s">
        <v>5157</v>
      </c>
      <c r="K1644" s="248">
        <v>8.99</v>
      </c>
      <c r="L1644" s="248">
        <v>0</v>
      </c>
      <c r="M1644" s="248">
        <v>0</v>
      </c>
      <c r="N1644" s="248">
        <v>1</v>
      </c>
      <c r="O1644" s="181">
        <f t="shared" si="12"/>
        <v>8.99</v>
      </c>
      <c r="P1644" s="247">
        <f t="shared" si="13"/>
        <v>8.99</v>
      </c>
    </row>
    <row r="1645" spans="1:16" ht="14.25">
      <c r="A1645" s="224">
        <v>1644</v>
      </c>
      <c r="B1645" s="248">
        <v>28476</v>
      </c>
      <c r="C1645" s="248" t="s">
        <v>5095</v>
      </c>
      <c r="D1645" s="248" t="s">
        <v>45</v>
      </c>
      <c r="E1645" s="248" t="s">
        <v>2860</v>
      </c>
      <c r="F1645" s="248" t="s">
        <v>5158</v>
      </c>
      <c r="G1645" s="248">
        <v>7</v>
      </c>
      <c r="H1645" s="248" t="s">
        <v>2557</v>
      </c>
      <c r="I1645" s="248">
        <v>75910</v>
      </c>
      <c r="J1645" s="250" t="s">
        <v>5159</v>
      </c>
      <c r="K1645" s="248">
        <v>248.31</v>
      </c>
      <c r="L1645" s="248">
        <v>0</v>
      </c>
      <c r="M1645" s="248">
        <v>0</v>
      </c>
      <c r="N1645" s="248">
        <v>1</v>
      </c>
      <c r="O1645" s="181">
        <f t="shared" si="12"/>
        <v>248.31</v>
      </c>
      <c r="P1645" s="247">
        <f t="shared" si="13"/>
        <v>248.31</v>
      </c>
    </row>
    <row r="1646" spans="1:16" ht="14.25">
      <c r="A1646" s="224">
        <v>1645</v>
      </c>
      <c r="B1646" s="248">
        <v>21228</v>
      </c>
      <c r="C1646" s="248" t="s">
        <v>3637</v>
      </c>
      <c r="D1646" s="248" t="s">
        <v>45</v>
      </c>
      <c r="E1646" s="248" t="s">
        <v>2860</v>
      </c>
      <c r="F1646" s="248" t="s">
        <v>5160</v>
      </c>
      <c r="G1646" s="248">
        <v>7</v>
      </c>
      <c r="H1646" s="248" t="s">
        <v>2557</v>
      </c>
      <c r="I1646" s="248">
        <v>75814</v>
      </c>
      <c r="J1646" s="250" t="s">
        <v>5161</v>
      </c>
      <c r="K1646" s="248">
        <v>62.98</v>
      </c>
      <c r="L1646" s="248">
        <v>0</v>
      </c>
      <c r="M1646" s="248">
        <v>0</v>
      </c>
      <c r="N1646" s="248">
        <v>1</v>
      </c>
      <c r="O1646" s="181">
        <f t="shared" si="12"/>
        <v>62.98</v>
      </c>
      <c r="P1646" s="247">
        <f t="shared" si="13"/>
        <v>62.98</v>
      </c>
    </row>
    <row r="1647" spans="1:16" ht="14.25">
      <c r="A1647" s="224">
        <v>1646</v>
      </c>
      <c r="B1647" s="248">
        <v>26578</v>
      </c>
      <c r="C1647" s="248" t="s">
        <v>5162</v>
      </c>
      <c r="D1647" s="248" t="s">
        <v>2582</v>
      </c>
      <c r="E1647" s="248" t="s">
        <v>2860</v>
      </c>
      <c r="F1647" s="248" t="s">
        <v>5163</v>
      </c>
      <c r="G1647" s="248">
        <v>7</v>
      </c>
      <c r="H1647" s="248" t="s">
        <v>2557</v>
      </c>
      <c r="I1647" s="248">
        <v>75946</v>
      </c>
      <c r="J1647" s="250" t="s">
        <v>5164</v>
      </c>
      <c r="K1647" s="248">
        <v>141.94999999999999</v>
      </c>
      <c r="L1647" s="248">
        <v>0</v>
      </c>
      <c r="M1647" s="248">
        <v>0</v>
      </c>
      <c r="N1647" s="248">
        <v>7.173</v>
      </c>
      <c r="O1647" s="181">
        <f t="shared" si="12"/>
        <v>141.94999999999999</v>
      </c>
      <c r="P1647" s="247">
        <f t="shared" si="13"/>
        <v>19.789488359124494</v>
      </c>
    </row>
    <row r="1648" spans="1:16" ht="14.25">
      <c r="A1648" s="224">
        <v>1647</v>
      </c>
      <c r="B1648" s="248">
        <v>25163</v>
      </c>
      <c r="C1648" s="248" t="s">
        <v>4531</v>
      </c>
      <c r="D1648" s="248" t="s">
        <v>45</v>
      </c>
      <c r="E1648" s="248" t="s">
        <v>4772</v>
      </c>
      <c r="F1648" s="248" t="s">
        <v>5165</v>
      </c>
      <c r="G1648" s="248">
        <v>7</v>
      </c>
      <c r="H1648" s="248" t="s">
        <v>2557</v>
      </c>
      <c r="I1648" s="248">
        <v>69596</v>
      </c>
      <c r="J1648" s="250" t="s">
        <v>1424</v>
      </c>
      <c r="K1648" s="248">
        <v>20.69</v>
      </c>
      <c r="L1648" s="248">
        <v>0.6</v>
      </c>
      <c r="M1648" s="248">
        <v>0</v>
      </c>
      <c r="N1648" s="248">
        <v>1</v>
      </c>
      <c r="O1648" s="181">
        <f t="shared" si="12"/>
        <v>20.09</v>
      </c>
      <c r="P1648" s="247">
        <f t="shared" si="13"/>
        <v>20.09</v>
      </c>
    </row>
    <row r="1649" spans="1:16" ht="14.25">
      <c r="A1649" s="224">
        <v>1648</v>
      </c>
      <c r="B1649" s="248">
        <v>28570</v>
      </c>
      <c r="C1649" s="248" t="s">
        <v>5137</v>
      </c>
      <c r="D1649" s="248" t="s">
        <v>2582</v>
      </c>
      <c r="E1649" s="248" t="s">
        <v>2860</v>
      </c>
      <c r="F1649" s="248" t="s">
        <v>5166</v>
      </c>
      <c r="G1649" s="248">
        <v>7</v>
      </c>
      <c r="H1649" s="248" t="s">
        <v>2557</v>
      </c>
      <c r="I1649" s="248">
        <v>75982</v>
      </c>
      <c r="J1649" s="250" t="s">
        <v>5167</v>
      </c>
      <c r="K1649" s="248">
        <v>39.380000000000003</v>
      </c>
      <c r="L1649" s="248">
        <v>0</v>
      </c>
      <c r="M1649" s="248">
        <v>0</v>
      </c>
      <c r="N1649" s="248">
        <v>7.173</v>
      </c>
      <c r="O1649" s="181">
        <f t="shared" si="12"/>
        <v>39.380000000000003</v>
      </c>
      <c r="P1649" s="247">
        <f t="shared" si="13"/>
        <v>5.4900320646870213</v>
      </c>
    </row>
    <row r="1650" spans="1:16" ht="14.25">
      <c r="A1650" s="224">
        <v>1649</v>
      </c>
      <c r="B1650" s="248">
        <v>27903</v>
      </c>
      <c r="C1650" s="248" t="s">
        <v>5168</v>
      </c>
      <c r="D1650" s="248" t="s">
        <v>45</v>
      </c>
      <c r="E1650" s="248" t="s">
        <v>2874</v>
      </c>
      <c r="F1650" s="248" t="s">
        <v>5169</v>
      </c>
      <c r="G1650" s="248">
        <v>7</v>
      </c>
      <c r="H1650" s="248" t="s">
        <v>2557</v>
      </c>
      <c r="I1650" s="248">
        <v>75994</v>
      </c>
      <c r="J1650" s="250"/>
      <c r="K1650" s="248">
        <v>164.5</v>
      </c>
      <c r="L1650" s="248">
        <v>0</v>
      </c>
      <c r="M1650" s="248">
        <v>0</v>
      </c>
      <c r="N1650" s="248">
        <v>1</v>
      </c>
      <c r="O1650" s="181">
        <f t="shared" si="12"/>
        <v>164.5</v>
      </c>
      <c r="P1650" s="247">
        <f t="shared" si="13"/>
        <v>164.5</v>
      </c>
    </row>
    <row r="1651" spans="1:16" ht="14.25">
      <c r="A1651" s="224">
        <v>1650</v>
      </c>
      <c r="B1651" s="248">
        <v>351</v>
      </c>
      <c r="C1651" s="248" t="s">
        <v>2707</v>
      </c>
      <c r="D1651" s="248" t="s">
        <v>45</v>
      </c>
      <c r="E1651" s="248" t="s">
        <v>9</v>
      </c>
      <c r="F1651" s="248" t="s">
        <v>5170</v>
      </c>
      <c r="G1651" s="248">
        <v>7</v>
      </c>
      <c r="H1651" s="248" t="s">
        <v>2557</v>
      </c>
      <c r="I1651" s="248">
        <v>71385</v>
      </c>
      <c r="J1651" s="250" t="s">
        <v>594</v>
      </c>
      <c r="K1651" s="248">
        <v>1.0900000000000001</v>
      </c>
      <c r="L1651" s="248">
        <v>0.54</v>
      </c>
      <c r="M1651" s="248">
        <v>0</v>
      </c>
      <c r="N1651" s="248">
        <v>1</v>
      </c>
      <c r="O1651" s="181">
        <f t="shared" si="12"/>
        <v>0.55000000000000004</v>
      </c>
      <c r="P1651" s="247">
        <f t="shared" si="13"/>
        <v>0.55000000000000004</v>
      </c>
    </row>
    <row r="1652" spans="1:16" ht="14.25">
      <c r="A1652" s="224">
        <v>1651</v>
      </c>
      <c r="B1652" s="248">
        <v>22134</v>
      </c>
      <c r="C1652" s="248" t="s">
        <v>3866</v>
      </c>
      <c r="D1652" s="248" t="s">
        <v>2582</v>
      </c>
      <c r="E1652" s="248" t="s">
        <v>2860</v>
      </c>
      <c r="F1652" s="248" t="s">
        <v>5171</v>
      </c>
      <c r="G1652" s="248">
        <v>7</v>
      </c>
      <c r="H1652" s="248" t="s">
        <v>2557</v>
      </c>
      <c r="I1652" s="248">
        <v>74278</v>
      </c>
      <c r="J1652" s="250" t="s">
        <v>5172</v>
      </c>
      <c r="K1652" s="248">
        <v>145.9</v>
      </c>
      <c r="L1652" s="248">
        <v>0</v>
      </c>
      <c r="M1652" s="248">
        <v>0</v>
      </c>
      <c r="N1652" s="248">
        <v>7.173</v>
      </c>
      <c r="O1652" s="181">
        <f t="shared" si="12"/>
        <v>145.9</v>
      </c>
      <c r="P1652" s="247">
        <f t="shared" si="13"/>
        <v>20.340164505785584</v>
      </c>
    </row>
    <row r="1653" spans="1:16" ht="14.25">
      <c r="A1653" s="224">
        <v>1652</v>
      </c>
      <c r="B1653" s="248">
        <v>6348</v>
      </c>
      <c r="C1653" s="248" t="s">
        <v>817</v>
      </c>
      <c r="D1653" s="248" t="s">
        <v>45</v>
      </c>
      <c r="E1653" s="248" t="s">
        <v>2860</v>
      </c>
      <c r="F1653" s="248" t="s">
        <v>5173</v>
      </c>
      <c r="G1653" s="248">
        <v>7</v>
      </c>
      <c r="H1653" s="248" t="s">
        <v>2557</v>
      </c>
      <c r="I1653" s="248">
        <v>76018</v>
      </c>
      <c r="J1653" s="250" t="s">
        <v>5174</v>
      </c>
      <c r="K1653" s="248">
        <v>62.1</v>
      </c>
      <c r="L1653" s="248">
        <v>0</v>
      </c>
      <c r="M1653" s="248">
        <v>0</v>
      </c>
      <c r="N1653" s="248">
        <v>1</v>
      </c>
      <c r="O1653" s="181">
        <f t="shared" si="12"/>
        <v>62.1</v>
      </c>
      <c r="P1653" s="247">
        <f t="shared" si="13"/>
        <v>62.1</v>
      </c>
    </row>
    <row r="1654" spans="1:16" ht="14.25">
      <c r="A1654" s="224">
        <v>1653</v>
      </c>
      <c r="B1654" s="248">
        <v>6798</v>
      </c>
      <c r="C1654" s="248" t="s">
        <v>2921</v>
      </c>
      <c r="D1654" s="248" t="s">
        <v>45</v>
      </c>
      <c r="E1654" s="248" t="s">
        <v>4600</v>
      </c>
      <c r="F1654" s="248" t="s">
        <v>5175</v>
      </c>
      <c r="G1654" s="248">
        <v>7</v>
      </c>
      <c r="H1654" s="248" t="s">
        <v>2557</v>
      </c>
      <c r="I1654" s="248">
        <v>75778</v>
      </c>
      <c r="J1654" s="250"/>
      <c r="K1654" s="248">
        <v>819</v>
      </c>
      <c r="L1654" s="248">
        <v>0</v>
      </c>
      <c r="M1654" s="248">
        <v>0</v>
      </c>
      <c r="N1654" s="248">
        <v>1</v>
      </c>
      <c r="O1654" s="181">
        <f t="shared" si="12"/>
        <v>819</v>
      </c>
      <c r="P1654" s="247">
        <f t="shared" si="13"/>
        <v>819</v>
      </c>
    </row>
    <row r="1655" spans="1:16" ht="14.25">
      <c r="A1655" s="224">
        <v>1654</v>
      </c>
      <c r="B1655" s="248">
        <v>6798</v>
      </c>
      <c r="C1655" s="248" t="s">
        <v>2921</v>
      </c>
      <c r="D1655" s="248" t="s">
        <v>45</v>
      </c>
      <c r="E1655" s="248" t="s">
        <v>4600</v>
      </c>
      <c r="F1655" s="248" t="s">
        <v>5175</v>
      </c>
      <c r="G1655" s="248">
        <v>7</v>
      </c>
      <c r="H1655" s="248" t="s">
        <v>2557</v>
      </c>
      <c r="I1655" s="248">
        <v>69920</v>
      </c>
      <c r="J1655" s="250"/>
      <c r="K1655" s="248">
        <v>263.49</v>
      </c>
      <c r="L1655" s="248">
        <v>0</v>
      </c>
      <c r="M1655" s="248">
        <v>0</v>
      </c>
      <c r="N1655" s="248">
        <v>1</v>
      </c>
      <c r="O1655" s="181">
        <f t="shared" si="12"/>
        <v>263.49</v>
      </c>
      <c r="P1655" s="247">
        <f t="shared" si="13"/>
        <v>263.49</v>
      </c>
    </row>
    <row r="1656" spans="1:16" ht="14.25">
      <c r="A1656" s="224">
        <v>1655</v>
      </c>
      <c r="B1656" s="248">
        <v>26578</v>
      </c>
      <c r="C1656" s="248" t="s">
        <v>5162</v>
      </c>
      <c r="D1656" s="248" t="s">
        <v>2582</v>
      </c>
      <c r="E1656" s="248" t="s">
        <v>2860</v>
      </c>
      <c r="F1656" s="248" t="s">
        <v>5176</v>
      </c>
      <c r="G1656" s="248">
        <v>7</v>
      </c>
      <c r="H1656" s="248" t="s">
        <v>2557</v>
      </c>
      <c r="I1656" s="248">
        <v>75946</v>
      </c>
      <c r="J1656" s="250"/>
      <c r="K1656" s="248">
        <v>0.02</v>
      </c>
      <c r="L1656" s="248">
        <v>0</v>
      </c>
      <c r="M1656" s="248">
        <v>0</v>
      </c>
      <c r="N1656" s="248">
        <v>7.173</v>
      </c>
      <c r="O1656" s="181">
        <f t="shared" si="12"/>
        <v>0.02</v>
      </c>
      <c r="P1656" s="247">
        <f t="shared" si="13"/>
        <v>2.7882336539802035E-3</v>
      </c>
    </row>
    <row r="1657" spans="1:16" ht="14.25">
      <c r="A1657" s="224">
        <v>1656</v>
      </c>
      <c r="B1657" s="248">
        <v>28642</v>
      </c>
      <c r="C1657" s="248" t="s">
        <v>5177</v>
      </c>
      <c r="D1657" s="248" t="s">
        <v>2582</v>
      </c>
      <c r="E1657" s="248" t="s">
        <v>4772</v>
      </c>
      <c r="F1657" s="248" t="s">
        <v>5178</v>
      </c>
      <c r="G1657" s="248">
        <v>7</v>
      </c>
      <c r="H1657" s="248" t="s">
        <v>2557</v>
      </c>
      <c r="I1657" s="248">
        <v>76054</v>
      </c>
      <c r="J1657" s="250" t="s">
        <v>1421</v>
      </c>
      <c r="K1657" s="248">
        <v>57.31</v>
      </c>
      <c r="L1657" s="248">
        <v>0.24</v>
      </c>
      <c r="M1657" s="248">
        <v>0</v>
      </c>
      <c r="N1657" s="248">
        <v>7.173</v>
      </c>
      <c r="O1657" s="181">
        <f t="shared" si="12"/>
        <v>57.07</v>
      </c>
      <c r="P1657" s="247">
        <f t="shared" si="13"/>
        <v>7.9562247316325108</v>
      </c>
    </row>
    <row r="1658" spans="1:16" ht="14.25">
      <c r="A1658" s="224">
        <v>1657</v>
      </c>
      <c r="B1658" s="248">
        <v>21915</v>
      </c>
      <c r="C1658" s="248" t="s">
        <v>3808</v>
      </c>
      <c r="D1658" s="248" t="s">
        <v>45</v>
      </c>
      <c r="E1658" s="248" t="s">
        <v>2874</v>
      </c>
      <c r="F1658" s="248" t="s">
        <v>5179</v>
      </c>
      <c r="G1658" s="248">
        <v>7</v>
      </c>
      <c r="H1658" s="248" t="s">
        <v>2557</v>
      </c>
      <c r="I1658" s="248">
        <v>73966</v>
      </c>
      <c r="J1658" s="250" t="s">
        <v>5180</v>
      </c>
      <c r="K1658" s="248">
        <v>283.08</v>
      </c>
      <c r="L1658" s="248">
        <v>0</v>
      </c>
      <c r="M1658" s="248">
        <v>0</v>
      </c>
      <c r="N1658" s="248">
        <v>1</v>
      </c>
      <c r="O1658" s="181">
        <f t="shared" si="12"/>
        <v>283.08</v>
      </c>
      <c r="P1658" s="247">
        <f t="shared" si="13"/>
        <v>283.08</v>
      </c>
    </row>
    <row r="1659" spans="1:16" ht="14.25">
      <c r="A1659" s="224">
        <v>1658</v>
      </c>
      <c r="B1659" s="248">
        <v>28643</v>
      </c>
      <c r="C1659" s="248" t="s">
        <v>5181</v>
      </c>
      <c r="D1659" s="248" t="s">
        <v>45</v>
      </c>
      <c r="E1659" s="248" t="s">
        <v>4772</v>
      </c>
      <c r="F1659" s="248" t="s">
        <v>5182</v>
      </c>
      <c r="G1659" s="248">
        <v>7</v>
      </c>
      <c r="H1659" s="248" t="s">
        <v>2557</v>
      </c>
      <c r="I1659" s="248">
        <v>76066</v>
      </c>
      <c r="J1659" s="250" t="s">
        <v>1418</v>
      </c>
      <c r="K1659" s="248">
        <v>7.99</v>
      </c>
      <c r="L1659" s="248">
        <v>0.24</v>
      </c>
      <c r="M1659" s="248">
        <v>0</v>
      </c>
      <c r="N1659" s="248">
        <v>1</v>
      </c>
      <c r="O1659" s="181">
        <f t="shared" si="12"/>
        <v>7.75</v>
      </c>
      <c r="P1659" s="247">
        <f t="shared" si="13"/>
        <v>7.75</v>
      </c>
    </row>
    <row r="1660" spans="1:16" ht="14.25">
      <c r="A1660" s="224">
        <v>1659</v>
      </c>
      <c r="B1660" s="248">
        <v>28657</v>
      </c>
      <c r="C1660" s="248" t="s">
        <v>5183</v>
      </c>
      <c r="D1660" s="248" t="s">
        <v>45</v>
      </c>
      <c r="E1660" s="248" t="s">
        <v>2860</v>
      </c>
      <c r="F1660" s="248" t="s">
        <v>5184</v>
      </c>
      <c r="G1660" s="248">
        <v>7</v>
      </c>
      <c r="H1660" s="248" t="s">
        <v>2557</v>
      </c>
      <c r="I1660" s="248">
        <v>76114</v>
      </c>
      <c r="J1660" s="250" t="s">
        <v>5185</v>
      </c>
      <c r="K1660" s="248">
        <v>12.79</v>
      </c>
      <c r="L1660" s="248">
        <v>0</v>
      </c>
      <c r="M1660" s="248">
        <v>0</v>
      </c>
      <c r="N1660" s="248">
        <v>1</v>
      </c>
      <c r="O1660" s="181">
        <f t="shared" si="12"/>
        <v>12.79</v>
      </c>
      <c r="P1660" s="247">
        <f t="shared" si="13"/>
        <v>12.79</v>
      </c>
    </row>
    <row r="1661" spans="1:16" ht="14.25">
      <c r="A1661" s="224">
        <v>1660</v>
      </c>
      <c r="B1661" s="248">
        <v>28532</v>
      </c>
      <c r="C1661" s="248" t="s">
        <v>5186</v>
      </c>
      <c r="D1661" s="248" t="s">
        <v>45</v>
      </c>
      <c r="E1661" s="248" t="s">
        <v>2860</v>
      </c>
      <c r="F1661" s="248" t="s">
        <v>5187</v>
      </c>
      <c r="G1661" s="248">
        <v>7</v>
      </c>
      <c r="H1661" s="248" t="s">
        <v>2557</v>
      </c>
      <c r="I1661" s="248">
        <v>76138</v>
      </c>
      <c r="J1661" s="250" t="s">
        <v>5188</v>
      </c>
      <c r="K1661" s="248">
        <v>2.4900000000000002</v>
      </c>
      <c r="L1661" s="248">
        <v>0</v>
      </c>
      <c r="M1661" s="248">
        <v>0</v>
      </c>
      <c r="N1661" s="248">
        <v>1</v>
      </c>
      <c r="O1661" s="181">
        <f t="shared" si="12"/>
        <v>2.4900000000000002</v>
      </c>
      <c r="P1661" s="247">
        <f t="shared" si="13"/>
        <v>2.4900000000000002</v>
      </c>
    </row>
    <row r="1662" spans="1:16" ht="14.25">
      <c r="A1662" s="224">
        <v>1661</v>
      </c>
      <c r="B1662" s="248">
        <v>28532</v>
      </c>
      <c r="C1662" s="248" t="s">
        <v>5186</v>
      </c>
      <c r="D1662" s="248" t="s">
        <v>45</v>
      </c>
      <c r="E1662" s="248" t="s">
        <v>2860</v>
      </c>
      <c r="F1662" s="248" t="s">
        <v>5189</v>
      </c>
      <c r="G1662" s="248">
        <v>7</v>
      </c>
      <c r="H1662" s="248" t="s">
        <v>2557</v>
      </c>
      <c r="I1662" s="248">
        <v>76150</v>
      </c>
      <c r="J1662" s="250" t="s">
        <v>5190</v>
      </c>
      <c r="K1662" s="248">
        <v>2.99</v>
      </c>
      <c r="L1662" s="248">
        <v>0</v>
      </c>
      <c r="M1662" s="248">
        <v>0</v>
      </c>
      <c r="N1662" s="248">
        <v>1</v>
      </c>
      <c r="O1662" s="181">
        <f t="shared" si="12"/>
        <v>2.99</v>
      </c>
      <c r="P1662" s="247">
        <f t="shared" si="13"/>
        <v>2.99</v>
      </c>
    </row>
    <row r="1663" spans="1:16" ht="14.25">
      <c r="A1663" s="224">
        <v>1662</v>
      </c>
      <c r="B1663" s="248">
        <v>25138</v>
      </c>
      <c r="C1663" s="248" t="s">
        <v>4513</v>
      </c>
      <c r="D1663" s="248" t="s">
        <v>2582</v>
      </c>
      <c r="E1663" s="248" t="s">
        <v>4772</v>
      </c>
      <c r="F1663" s="248" t="s">
        <v>5191</v>
      </c>
      <c r="G1663" s="248">
        <v>7</v>
      </c>
      <c r="H1663" s="248" t="s">
        <v>2557</v>
      </c>
      <c r="I1663" s="248">
        <v>76162</v>
      </c>
      <c r="J1663" s="250" t="s">
        <v>1430</v>
      </c>
      <c r="K1663" s="248">
        <v>165.08</v>
      </c>
      <c r="L1663" s="248">
        <v>0.67</v>
      </c>
      <c r="M1663" s="248">
        <v>0</v>
      </c>
      <c r="N1663" s="248">
        <v>7.1805700000000003</v>
      </c>
      <c r="O1663" s="181">
        <f t="shared" si="12"/>
        <v>164.41000000000003</v>
      </c>
      <c r="P1663" s="247">
        <f t="shared" si="13"/>
        <v>22.896511001215785</v>
      </c>
    </row>
    <row r="1664" spans="1:16" ht="14.25">
      <c r="A1664" s="224">
        <v>1663</v>
      </c>
      <c r="B1664" s="248">
        <v>28664</v>
      </c>
      <c r="C1664" s="248" t="s">
        <v>5192</v>
      </c>
      <c r="D1664" s="248" t="s">
        <v>45</v>
      </c>
      <c r="E1664" s="248" t="s">
        <v>4772</v>
      </c>
      <c r="F1664" s="248" t="s">
        <v>5193</v>
      </c>
      <c r="G1664" s="248">
        <v>7</v>
      </c>
      <c r="H1664" s="248" t="s">
        <v>2557</v>
      </c>
      <c r="I1664" s="248">
        <v>76174</v>
      </c>
      <c r="J1664" s="250" t="s">
        <v>1427</v>
      </c>
      <c r="K1664" s="248">
        <v>20.69</v>
      </c>
      <c r="L1664" s="248">
        <v>0.6</v>
      </c>
      <c r="M1664" s="248">
        <v>0</v>
      </c>
      <c r="N1664" s="248">
        <v>1</v>
      </c>
      <c r="O1664" s="181">
        <f t="shared" si="12"/>
        <v>20.09</v>
      </c>
      <c r="P1664" s="247">
        <f t="shared" si="13"/>
        <v>20.09</v>
      </c>
    </row>
    <row r="1665" spans="1:16" ht="14.25">
      <c r="A1665" s="224">
        <v>1664</v>
      </c>
      <c r="B1665" s="248">
        <v>182</v>
      </c>
      <c r="C1665" s="248" t="s">
        <v>5194</v>
      </c>
      <c r="D1665" s="248" t="s">
        <v>45</v>
      </c>
      <c r="E1665" s="248" t="s">
        <v>2860</v>
      </c>
      <c r="F1665" s="248" t="s">
        <v>5195</v>
      </c>
      <c r="G1665" s="248">
        <v>7</v>
      </c>
      <c r="H1665" s="248" t="s">
        <v>2557</v>
      </c>
      <c r="I1665" s="248">
        <v>72345</v>
      </c>
      <c r="J1665" s="250" t="s">
        <v>5196</v>
      </c>
      <c r="K1665" s="248">
        <v>1.98</v>
      </c>
      <c r="L1665" s="248">
        <v>0</v>
      </c>
      <c r="M1665" s="248">
        <v>0</v>
      </c>
      <c r="N1665" s="248">
        <v>1</v>
      </c>
      <c r="O1665" s="181">
        <f t="shared" si="12"/>
        <v>1.98</v>
      </c>
      <c r="P1665" s="247">
        <f t="shared" si="13"/>
        <v>1.98</v>
      </c>
    </row>
    <row r="1666" spans="1:16" ht="14.25">
      <c r="A1666" s="224">
        <v>1665</v>
      </c>
      <c r="B1666" s="248">
        <v>28532</v>
      </c>
      <c r="C1666" s="248" t="s">
        <v>5186</v>
      </c>
      <c r="D1666" s="248" t="s">
        <v>45</v>
      </c>
      <c r="E1666" s="248" t="s">
        <v>2860</v>
      </c>
      <c r="F1666" s="248" t="s">
        <v>5195</v>
      </c>
      <c r="G1666" s="248">
        <v>7</v>
      </c>
      <c r="H1666" s="248" t="s">
        <v>2557</v>
      </c>
      <c r="I1666" s="248">
        <v>76186</v>
      </c>
      <c r="J1666" s="250" t="s">
        <v>5197</v>
      </c>
      <c r="K1666" s="248">
        <v>11.69</v>
      </c>
      <c r="L1666" s="248">
        <v>0</v>
      </c>
      <c r="M1666" s="248">
        <v>0</v>
      </c>
      <c r="N1666" s="248">
        <v>1</v>
      </c>
      <c r="O1666" s="181">
        <f t="shared" si="12"/>
        <v>11.69</v>
      </c>
      <c r="P1666" s="247">
        <f t="shared" si="13"/>
        <v>11.69</v>
      </c>
    </row>
    <row r="1667" spans="1:16" ht="14.25">
      <c r="A1667" s="224">
        <v>1666</v>
      </c>
      <c r="B1667" s="248">
        <v>28532</v>
      </c>
      <c r="C1667" s="248" t="s">
        <v>5186</v>
      </c>
      <c r="D1667" s="248" t="s">
        <v>45</v>
      </c>
      <c r="E1667" s="248" t="s">
        <v>2860</v>
      </c>
      <c r="F1667" s="248" t="s">
        <v>5198</v>
      </c>
      <c r="G1667" s="248">
        <v>7</v>
      </c>
      <c r="H1667" s="248" t="s">
        <v>2557</v>
      </c>
      <c r="I1667" s="248">
        <v>76186</v>
      </c>
      <c r="J1667" s="250" t="s">
        <v>5197</v>
      </c>
      <c r="K1667" s="248">
        <v>11.69</v>
      </c>
      <c r="L1667" s="248">
        <v>0</v>
      </c>
      <c r="M1667" s="248">
        <v>0</v>
      </c>
      <c r="N1667" s="248">
        <v>1</v>
      </c>
      <c r="O1667" s="181">
        <f t="shared" si="12"/>
        <v>11.69</v>
      </c>
      <c r="P1667" s="247">
        <f t="shared" si="13"/>
        <v>11.69</v>
      </c>
    </row>
    <row r="1668" spans="1:16" ht="14.25">
      <c r="A1668" s="224">
        <v>1667</v>
      </c>
      <c r="B1668" s="248">
        <v>28667</v>
      </c>
      <c r="C1668" s="248" t="s">
        <v>5199</v>
      </c>
      <c r="D1668" s="248" t="s">
        <v>2582</v>
      </c>
      <c r="E1668" s="248" t="s">
        <v>2874</v>
      </c>
      <c r="F1668" s="248" t="s">
        <v>5200</v>
      </c>
      <c r="G1668" s="248">
        <v>7</v>
      </c>
      <c r="H1668" s="248" t="s">
        <v>2557</v>
      </c>
      <c r="I1668" s="248">
        <v>76210</v>
      </c>
      <c r="J1668" s="250" t="s">
        <v>5201</v>
      </c>
      <c r="K1668" s="248">
        <v>1680</v>
      </c>
      <c r="L1668" s="248">
        <v>0</v>
      </c>
      <c r="M1668" s="248">
        <v>0</v>
      </c>
      <c r="N1668" s="248">
        <v>7.1805700000000003</v>
      </c>
      <c r="O1668" s="181">
        <f t="shared" si="12"/>
        <v>1680</v>
      </c>
      <c r="P1668" s="247">
        <f t="shared" si="13"/>
        <v>233.96471310773379</v>
      </c>
    </row>
    <row r="1669" spans="1:16" ht="14.25">
      <c r="A1669" s="224">
        <v>1668</v>
      </c>
      <c r="B1669" s="248">
        <v>20647</v>
      </c>
      <c r="C1669" s="248" t="s">
        <v>3558</v>
      </c>
      <c r="D1669" s="248" t="s">
        <v>2582</v>
      </c>
      <c r="E1669" s="248" t="s">
        <v>2860</v>
      </c>
      <c r="F1669" s="248" t="s">
        <v>5202</v>
      </c>
      <c r="G1669" s="248">
        <v>7</v>
      </c>
      <c r="H1669" s="248" t="s">
        <v>2557</v>
      </c>
      <c r="I1669" s="248">
        <v>76222</v>
      </c>
      <c r="J1669" s="250" t="s">
        <v>5203</v>
      </c>
      <c r="K1669" s="248">
        <v>57.37</v>
      </c>
      <c r="L1669" s="248">
        <v>0</v>
      </c>
      <c r="M1669" s="248">
        <v>0</v>
      </c>
      <c r="N1669" s="248">
        <v>7.1805700000000003</v>
      </c>
      <c r="O1669" s="181">
        <f t="shared" si="12"/>
        <v>57.37</v>
      </c>
      <c r="P1669" s="247">
        <f t="shared" si="13"/>
        <v>7.9896164232087417</v>
      </c>
    </row>
    <row r="1670" spans="1:16" ht="14.25">
      <c r="A1670" s="224">
        <v>1669</v>
      </c>
      <c r="B1670" s="248">
        <v>27903</v>
      </c>
      <c r="C1670" s="248" t="s">
        <v>5168</v>
      </c>
      <c r="D1670" s="248" t="s">
        <v>45</v>
      </c>
      <c r="E1670" s="248" t="s">
        <v>2874</v>
      </c>
      <c r="F1670" s="248" t="s">
        <v>5204</v>
      </c>
      <c r="G1670" s="248">
        <v>7</v>
      </c>
      <c r="H1670" s="248" t="s">
        <v>2557</v>
      </c>
      <c r="I1670" s="248">
        <v>76234</v>
      </c>
      <c r="J1670" s="250" t="s">
        <v>5205</v>
      </c>
      <c r="K1670" s="248">
        <v>36</v>
      </c>
      <c r="L1670" s="248">
        <v>0</v>
      </c>
      <c r="M1670" s="248">
        <v>0</v>
      </c>
      <c r="N1670" s="248">
        <v>1</v>
      </c>
      <c r="O1670" s="181">
        <f t="shared" si="12"/>
        <v>36</v>
      </c>
      <c r="P1670" s="247">
        <f t="shared" si="13"/>
        <v>36</v>
      </c>
    </row>
    <row r="1671" spans="1:16" ht="14.25">
      <c r="A1671" s="224">
        <v>1670</v>
      </c>
      <c r="B1671" s="248">
        <v>28687</v>
      </c>
      <c r="C1671" s="248" t="s">
        <v>5206</v>
      </c>
      <c r="D1671" s="248" t="s">
        <v>45</v>
      </c>
      <c r="E1671" s="248" t="s">
        <v>2860</v>
      </c>
      <c r="F1671" s="248" t="s">
        <v>5207</v>
      </c>
      <c r="G1671" s="248">
        <v>7</v>
      </c>
      <c r="H1671" s="248" t="s">
        <v>2557</v>
      </c>
      <c r="I1671" s="248">
        <v>76246</v>
      </c>
      <c r="J1671" s="250" t="s">
        <v>5208</v>
      </c>
      <c r="K1671" s="248">
        <v>2.99</v>
      </c>
      <c r="L1671" s="248">
        <v>0</v>
      </c>
      <c r="M1671" s="248">
        <v>0</v>
      </c>
      <c r="N1671" s="248">
        <v>1</v>
      </c>
      <c r="O1671" s="181">
        <f t="shared" si="12"/>
        <v>2.99</v>
      </c>
      <c r="P1671" s="247">
        <f t="shared" si="13"/>
        <v>2.99</v>
      </c>
    </row>
    <row r="1672" spans="1:16" ht="14.25">
      <c r="A1672" s="224">
        <v>1671</v>
      </c>
      <c r="B1672" s="248">
        <v>24901</v>
      </c>
      <c r="C1672" s="248" t="s">
        <v>5018</v>
      </c>
      <c r="D1672" s="248" t="s">
        <v>2582</v>
      </c>
      <c r="E1672" s="248" t="s">
        <v>9</v>
      </c>
      <c r="F1672" s="248" t="s">
        <v>5209</v>
      </c>
      <c r="G1672" s="248">
        <v>7</v>
      </c>
      <c r="H1672" s="248" t="s">
        <v>2557</v>
      </c>
      <c r="I1672" s="248">
        <v>76258</v>
      </c>
      <c r="J1672" s="250"/>
      <c r="K1672" s="248">
        <v>0</v>
      </c>
      <c r="L1672" s="248">
        <v>0</v>
      </c>
      <c r="M1672" s="248">
        <v>0</v>
      </c>
      <c r="N1672" s="248">
        <v>7.1805700000000003</v>
      </c>
      <c r="O1672" s="181">
        <f t="shared" si="12"/>
        <v>0</v>
      </c>
      <c r="P1672" s="247">
        <f t="shared" si="13"/>
        <v>0</v>
      </c>
    </row>
    <row r="1673" spans="1:16" ht="14.25">
      <c r="A1673" s="224">
        <v>1672</v>
      </c>
      <c r="B1673" s="248">
        <v>28533</v>
      </c>
      <c r="C1673" s="248" t="s">
        <v>5149</v>
      </c>
      <c r="D1673" s="248" t="s">
        <v>2582</v>
      </c>
      <c r="E1673" s="248" t="s">
        <v>2860</v>
      </c>
      <c r="F1673" s="248" t="s">
        <v>5210</v>
      </c>
      <c r="G1673" s="248">
        <v>7</v>
      </c>
      <c r="H1673" s="248" t="s">
        <v>5211</v>
      </c>
      <c r="I1673" s="248">
        <v>75790</v>
      </c>
      <c r="J1673" s="250"/>
      <c r="K1673" s="248">
        <v>0</v>
      </c>
      <c r="L1673" s="248">
        <v>0</v>
      </c>
      <c r="M1673" s="248">
        <v>671.91</v>
      </c>
      <c r="N1673" s="248">
        <v>7.1672399999999996</v>
      </c>
      <c r="O1673" s="181">
        <f t="shared" si="12"/>
        <v>-671.91</v>
      </c>
      <c r="P1673" s="247">
        <f t="shared" si="13"/>
        <v>-93.747383930215818</v>
      </c>
    </row>
    <row r="1674" spans="1:16" ht="14.25">
      <c r="A1674" s="224">
        <v>1673</v>
      </c>
      <c r="B1674" s="248">
        <v>28712</v>
      </c>
      <c r="C1674" s="248" t="s">
        <v>5212</v>
      </c>
      <c r="D1674" s="248" t="s">
        <v>45</v>
      </c>
      <c r="E1674" s="248" t="s">
        <v>2860</v>
      </c>
      <c r="F1674" s="248" t="s">
        <v>5213</v>
      </c>
      <c r="G1674" s="248">
        <v>7</v>
      </c>
      <c r="H1674" s="248" t="s">
        <v>2557</v>
      </c>
      <c r="I1674" s="248">
        <v>76402</v>
      </c>
      <c r="J1674" s="250" t="s">
        <v>5214</v>
      </c>
      <c r="K1674" s="248">
        <v>2.99</v>
      </c>
      <c r="L1674" s="248">
        <v>0</v>
      </c>
      <c r="M1674" s="248">
        <v>0</v>
      </c>
      <c r="N1674" s="248">
        <v>1</v>
      </c>
      <c r="O1674" s="181">
        <f t="shared" si="12"/>
        <v>2.99</v>
      </c>
      <c r="P1674" s="247">
        <f t="shared" si="13"/>
        <v>2.99</v>
      </c>
    </row>
    <row r="1675" spans="1:16" ht="14.25">
      <c r="A1675" s="224">
        <v>1674</v>
      </c>
      <c r="B1675" s="248">
        <v>28476</v>
      </c>
      <c r="C1675" s="248" t="s">
        <v>5095</v>
      </c>
      <c r="D1675" s="248" t="s">
        <v>45</v>
      </c>
      <c r="E1675" s="248" t="s">
        <v>2860</v>
      </c>
      <c r="F1675" s="248" t="s">
        <v>5215</v>
      </c>
      <c r="G1675" s="248">
        <v>7</v>
      </c>
      <c r="H1675" s="248" t="s">
        <v>5216</v>
      </c>
      <c r="I1675" s="248">
        <v>75910</v>
      </c>
      <c r="J1675" s="250"/>
      <c r="K1675" s="248">
        <v>0</v>
      </c>
      <c r="L1675" s="248">
        <v>0</v>
      </c>
      <c r="M1675" s="248">
        <v>248.31</v>
      </c>
      <c r="N1675" s="248">
        <v>1</v>
      </c>
      <c r="O1675" s="181">
        <f t="shared" si="12"/>
        <v>-248.31</v>
      </c>
      <c r="P1675" s="247">
        <f t="shared" si="13"/>
        <v>-248.31</v>
      </c>
    </row>
    <row r="1676" spans="1:16" ht="14.25">
      <c r="A1676" s="224">
        <v>1675</v>
      </c>
      <c r="B1676" s="248">
        <v>28476</v>
      </c>
      <c r="C1676" s="248" t="s">
        <v>5095</v>
      </c>
      <c r="D1676" s="248" t="s">
        <v>45</v>
      </c>
      <c r="E1676" s="248" t="s">
        <v>4772</v>
      </c>
      <c r="F1676" s="248" t="s">
        <v>5217</v>
      </c>
      <c r="G1676" s="248">
        <v>7</v>
      </c>
      <c r="H1676" s="248" t="s">
        <v>5218</v>
      </c>
      <c r="I1676" s="248">
        <v>75418</v>
      </c>
      <c r="J1676" s="250"/>
      <c r="K1676" s="248">
        <v>0</v>
      </c>
      <c r="L1676" s="248">
        <v>-0.79</v>
      </c>
      <c r="M1676" s="248">
        <v>26.99</v>
      </c>
      <c r="N1676" s="248">
        <v>1</v>
      </c>
      <c r="O1676" s="181">
        <f t="shared" si="12"/>
        <v>-26.2</v>
      </c>
      <c r="P1676" s="247">
        <f t="shared" si="13"/>
        <v>-26.2</v>
      </c>
    </row>
    <row r="1677" spans="1:16" ht="14.25">
      <c r="A1677" s="224">
        <v>1676</v>
      </c>
      <c r="B1677" s="248">
        <v>26470</v>
      </c>
      <c r="C1677" s="248" t="s">
        <v>4808</v>
      </c>
      <c r="D1677" s="248" t="s">
        <v>45</v>
      </c>
      <c r="E1677" s="248" t="s">
        <v>2860</v>
      </c>
      <c r="F1677" s="248" t="s">
        <v>5219</v>
      </c>
      <c r="G1677" s="248">
        <v>7</v>
      </c>
      <c r="H1677" s="248" t="s">
        <v>2557</v>
      </c>
      <c r="I1677" s="248">
        <v>76414</v>
      </c>
      <c r="J1677" s="250" t="s">
        <v>5220</v>
      </c>
      <c r="K1677" s="248">
        <v>252</v>
      </c>
      <c r="L1677" s="248">
        <v>0</v>
      </c>
      <c r="M1677" s="248">
        <v>0</v>
      </c>
      <c r="N1677" s="248">
        <v>1</v>
      </c>
      <c r="O1677" s="181">
        <f t="shared" si="12"/>
        <v>252</v>
      </c>
      <c r="P1677" s="247">
        <f t="shared" si="13"/>
        <v>252</v>
      </c>
    </row>
    <row r="1678" spans="1:16" ht="14.25">
      <c r="A1678" s="224">
        <v>1677</v>
      </c>
      <c r="B1678" s="248">
        <v>18477</v>
      </c>
      <c r="C1678" s="248" t="s">
        <v>2966</v>
      </c>
      <c r="D1678" s="248" t="s">
        <v>45</v>
      </c>
      <c r="E1678" s="248" t="s">
        <v>2874</v>
      </c>
      <c r="F1678" s="248" t="s">
        <v>5221</v>
      </c>
      <c r="G1678" s="248">
        <v>7</v>
      </c>
      <c r="H1678" s="248" t="s">
        <v>2557</v>
      </c>
      <c r="I1678" s="248">
        <v>74266</v>
      </c>
      <c r="J1678" s="250"/>
      <c r="K1678" s="248">
        <v>110</v>
      </c>
      <c r="L1678" s="248">
        <v>0</v>
      </c>
      <c r="M1678" s="248">
        <v>0</v>
      </c>
      <c r="N1678" s="248">
        <v>1</v>
      </c>
      <c r="O1678" s="181">
        <f t="shared" si="12"/>
        <v>110</v>
      </c>
      <c r="P1678" s="247">
        <f t="shared" si="13"/>
        <v>110</v>
      </c>
    </row>
    <row r="1679" spans="1:16" ht="14.25">
      <c r="A1679" s="224">
        <v>1678</v>
      </c>
      <c r="B1679" s="248">
        <v>25286</v>
      </c>
      <c r="C1679" s="248" t="s">
        <v>4583</v>
      </c>
      <c r="D1679" s="248" t="s">
        <v>2582</v>
      </c>
      <c r="E1679" s="248" t="s">
        <v>2860</v>
      </c>
      <c r="F1679" s="248" t="s">
        <v>5222</v>
      </c>
      <c r="G1679" s="248">
        <v>7</v>
      </c>
      <c r="H1679" s="248" t="s">
        <v>2557</v>
      </c>
      <c r="I1679" s="248">
        <v>76342</v>
      </c>
      <c r="J1679" s="250" t="s">
        <v>5223</v>
      </c>
      <c r="K1679" s="248">
        <v>143.78</v>
      </c>
      <c r="L1679" s="248">
        <v>0</v>
      </c>
      <c r="M1679" s="248">
        <v>0</v>
      </c>
      <c r="N1679" s="248">
        <v>7.1817099999999998</v>
      </c>
      <c r="O1679" s="181">
        <f t="shared" si="12"/>
        <v>143.78</v>
      </c>
      <c r="P1679" s="247">
        <f t="shared" si="13"/>
        <v>20.020301571631268</v>
      </c>
    </row>
    <row r="1680" spans="1:16" ht="14.25">
      <c r="A1680" s="224">
        <v>1679</v>
      </c>
      <c r="B1680" s="248">
        <v>25286</v>
      </c>
      <c r="C1680" s="248" t="s">
        <v>4583</v>
      </c>
      <c r="D1680" s="248" t="s">
        <v>2582</v>
      </c>
      <c r="E1680" s="248" t="s">
        <v>2860</v>
      </c>
      <c r="F1680" s="248" t="s">
        <v>5224</v>
      </c>
      <c r="G1680" s="248">
        <v>7</v>
      </c>
      <c r="H1680" s="248" t="s">
        <v>2557</v>
      </c>
      <c r="I1680" s="248">
        <v>76342</v>
      </c>
      <c r="J1680" s="250"/>
      <c r="K1680" s="248">
        <v>0.01</v>
      </c>
      <c r="L1680" s="248">
        <v>0</v>
      </c>
      <c r="M1680" s="248">
        <v>0</v>
      </c>
      <c r="N1680" s="248">
        <v>7.1817099999999998</v>
      </c>
      <c r="O1680" s="181">
        <f t="shared" si="12"/>
        <v>0.01</v>
      </c>
      <c r="P1680" s="247">
        <f t="shared" si="13"/>
        <v>1.3924260378099366E-3</v>
      </c>
    </row>
    <row r="1681" spans="1:16" ht="14.25">
      <c r="A1681" s="224">
        <v>1680</v>
      </c>
      <c r="B1681" s="248">
        <v>28715</v>
      </c>
      <c r="C1681" s="248" t="s">
        <v>5225</v>
      </c>
      <c r="D1681" s="248" t="s">
        <v>2582</v>
      </c>
      <c r="E1681" s="248" t="s">
        <v>4772</v>
      </c>
      <c r="F1681" s="248" t="s">
        <v>5226</v>
      </c>
      <c r="G1681" s="248">
        <v>7</v>
      </c>
      <c r="H1681" s="248" t="s">
        <v>2557</v>
      </c>
      <c r="I1681" s="248">
        <v>76426</v>
      </c>
      <c r="J1681" s="250" t="s">
        <v>1437</v>
      </c>
      <c r="K1681" s="248">
        <v>46.61</v>
      </c>
      <c r="L1681" s="248">
        <v>0.19</v>
      </c>
      <c r="M1681" s="248">
        <v>0</v>
      </c>
      <c r="N1681" s="248">
        <v>7.1817099999999998</v>
      </c>
      <c r="O1681" s="181">
        <f t="shared" si="12"/>
        <v>46.42</v>
      </c>
      <c r="P1681" s="247">
        <f t="shared" si="13"/>
        <v>6.463641667513726</v>
      </c>
    </row>
    <row r="1682" spans="1:16" ht="14.25">
      <c r="A1682" s="224">
        <v>1681</v>
      </c>
      <c r="B1682" s="248">
        <v>28718</v>
      </c>
      <c r="C1682" s="248" t="s">
        <v>5227</v>
      </c>
      <c r="D1682" s="248" t="s">
        <v>45</v>
      </c>
      <c r="E1682" s="248" t="s">
        <v>2860</v>
      </c>
      <c r="F1682" s="248" t="s">
        <v>5228</v>
      </c>
      <c r="G1682" s="248">
        <v>7</v>
      </c>
      <c r="H1682" s="248" t="s">
        <v>2557</v>
      </c>
      <c r="I1682" s="248">
        <v>76438</v>
      </c>
      <c r="J1682" s="250" t="s">
        <v>5229</v>
      </c>
      <c r="K1682" s="248">
        <v>173.39</v>
      </c>
      <c r="L1682" s="248">
        <v>0</v>
      </c>
      <c r="M1682" s="248">
        <v>0</v>
      </c>
      <c r="N1682" s="248">
        <v>1</v>
      </c>
      <c r="O1682" s="181">
        <f t="shared" si="12"/>
        <v>173.39</v>
      </c>
      <c r="P1682" s="247">
        <f t="shared" si="13"/>
        <v>173.39</v>
      </c>
    </row>
    <row r="1683" spans="1:16" ht="14.25">
      <c r="A1683" s="224">
        <v>1682</v>
      </c>
      <c r="B1683" s="248">
        <v>28718</v>
      </c>
      <c r="C1683" s="248" t="s">
        <v>5227</v>
      </c>
      <c r="D1683" s="248" t="s">
        <v>45</v>
      </c>
      <c r="E1683" s="248" t="s">
        <v>2860</v>
      </c>
      <c r="F1683" s="248" t="s">
        <v>5230</v>
      </c>
      <c r="G1683" s="248">
        <v>7</v>
      </c>
      <c r="H1683" s="248" t="s">
        <v>2557</v>
      </c>
      <c r="I1683" s="248">
        <v>76450</v>
      </c>
      <c r="J1683" s="250" t="s">
        <v>5231</v>
      </c>
      <c r="K1683" s="248">
        <v>9.49</v>
      </c>
      <c r="L1683" s="248">
        <v>0</v>
      </c>
      <c r="M1683" s="248">
        <v>0</v>
      </c>
      <c r="N1683" s="248">
        <v>1</v>
      </c>
      <c r="O1683" s="181">
        <f t="shared" si="12"/>
        <v>9.49</v>
      </c>
      <c r="P1683" s="247">
        <f t="shared" si="13"/>
        <v>9.49</v>
      </c>
    </row>
    <row r="1684" spans="1:16" ht="14.25">
      <c r="A1684" s="224">
        <v>1683</v>
      </c>
      <c r="B1684" s="248">
        <v>1783</v>
      </c>
      <c r="C1684" s="248" t="s">
        <v>4357</v>
      </c>
      <c r="D1684" s="248" t="s">
        <v>2582</v>
      </c>
      <c r="E1684" s="248" t="s">
        <v>4772</v>
      </c>
      <c r="F1684" s="248" t="s">
        <v>5232</v>
      </c>
      <c r="G1684" s="248">
        <v>7</v>
      </c>
      <c r="H1684" s="248" t="s">
        <v>2557</v>
      </c>
      <c r="I1684" s="248">
        <v>74314</v>
      </c>
      <c r="J1684" s="250" t="s">
        <v>1434</v>
      </c>
      <c r="K1684" s="248">
        <v>148.72999999999999</v>
      </c>
      <c r="L1684" s="248">
        <v>0.6</v>
      </c>
      <c r="M1684" s="248">
        <v>0</v>
      </c>
      <c r="N1684" s="248">
        <v>7.1817099999999998</v>
      </c>
      <c r="O1684" s="181">
        <f t="shared" si="12"/>
        <v>148.13</v>
      </c>
      <c r="P1684" s="247">
        <f t="shared" si="13"/>
        <v>20.62600689807859</v>
      </c>
    </row>
    <row r="1685" spans="1:16" ht="14.25">
      <c r="A1685" s="224">
        <v>1684</v>
      </c>
      <c r="B1685" s="248">
        <v>28720</v>
      </c>
      <c r="C1685" s="248" t="s">
        <v>5233</v>
      </c>
      <c r="D1685" s="248" t="s">
        <v>45</v>
      </c>
      <c r="E1685" s="248" t="s">
        <v>9</v>
      </c>
      <c r="F1685" s="248" t="s">
        <v>5234</v>
      </c>
      <c r="G1685" s="248">
        <v>7</v>
      </c>
      <c r="H1685" s="248" t="s">
        <v>2557</v>
      </c>
      <c r="I1685" s="248">
        <v>76462</v>
      </c>
      <c r="J1685" s="250" t="s">
        <v>597</v>
      </c>
      <c r="K1685" s="248">
        <v>8.99</v>
      </c>
      <c r="L1685" s="248">
        <v>0.94</v>
      </c>
      <c r="M1685" s="248">
        <v>0</v>
      </c>
      <c r="N1685" s="248">
        <v>1</v>
      </c>
      <c r="O1685" s="181">
        <f t="shared" si="12"/>
        <v>8.0500000000000007</v>
      </c>
      <c r="P1685" s="247">
        <f t="shared" si="13"/>
        <v>8.0500000000000007</v>
      </c>
    </row>
    <row r="1686" spans="1:16" ht="14.25">
      <c r="A1686" s="224">
        <v>1685</v>
      </c>
      <c r="B1686" s="248">
        <v>28718</v>
      </c>
      <c r="C1686" s="248" t="s">
        <v>5227</v>
      </c>
      <c r="D1686" s="248" t="s">
        <v>45</v>
      </c>
      <c r="E1686" s="248" t="s">
        <v>2860</v>
      </c>
      <c r="F1686" s="248" t="s">
        <v>5235</v>
      </c>
      <c r="G1686" s="248">
        <v>7</v>
      </c>
      <c r="H1686" s="248" t="s">
        <v>5236</v>
      </c>
      <c r="I1686" s="248">
        <v>76438</v>
      </c>
      <c r="J1686" s="250"/>
      <c r="K1686" s="248">
        <v>0</v>
      </c>
      <c r="L1686" s="248">
        <v>0</v>
      </c>
      <c r="M1686" s="248">
        <v>0</v>
      </c>
      <c r="N1686" s="248">
        <v>1</v>
      </c>
      <c r="O1686" s="181">
        <f t="shared" si="12"/>
        <v>0</v>
      </c>
      <c r="P1686" s="247">
        <f t="shared" si="13"/>
        <v>0</v>
      </c>
    </row>
    <row r="1687" spans="1:16" ht="14.25">
      <c r="A1687" s="224">
        <v>1686</v>
      </c>
      <c r="B1687" s="248">
        <v>28718</v>
      </c>
      <c r="C1687" s="248" t="s">
        <v>5227</v>
      </c>
      <c r="D1687" s="248" t="s">
        <v>45</v>
      </c>
      <c r="E1687" s="248" t="s">
        <v>2860</v>
      </c>
      <c r="F1687" s="248" t="s">
        <v>5235</v>
      </c>
      <c r="G1687" s="248">
        <v>7</v>
      </c>
      <c r="H1687" s="248" t="s">
        <v>5237</v>
      </c>
      <c r="I1687" s="248">
        <v>76450</v>
      </c>
      <c r="J1687" s="250"/>
      <c r="K1687" s="248">
        <v>0</v>
      </c>
      <c r="L1687" s="248">
        <v>0</v>
      </c>
      <c r="M1687" s="248">
        <v>0</v>
      </c>
      <c r="N1687" s="248">
        <v>1</v>
      </c>
      <c r="O1687" s="181">
        <f t="shared" si="12"/>
        <v>0</v>
      </c>
      <c r="P1687" s="247">
        <f t="shared" si="13"/>
        <v>0</v>
      </c>
    </row>
    <row r="1688" spans="1:16" ht="14.25">
      <c r="A1688" s="224">
        <v>1687</v>
      </c>
      <c r="B1688" s="248">
        <v>417</v>
      </c>
      <c r="C1688" s="248" t="s">
        <v>2682</v>
      </c>
      <c r="D1688" s="248" t="s">
        <v>2582</v>
      </c>
      <c r="E1688" s="248" t="s">
        <v>2860</v>
      </c>
      <c r="F1688" s="248" t="s">
        <v>5238</v>
      </c>
      <c r="G1688" s="248">
        <v>7</v>
      </c>
      <c r="H1688" s="248" t="s">
        <v>2557</v>
      </c>
      <c r="I1688" s="248">
        <v>74770</v>
      </c>
      <c r="J1688" s="250" t="s">
        <v>5239</v>
      </c>
      <c r="K1688" s="248">
        <v>7.68</v>
      </c>
      <c r="L1688" s="248">
        <v>0</v>
      </c>
      <c r="M1688" s="248">
        <v>0</v>
      </c>
      <c r="N1688" s="248">
        <v>7.1817099999999998</v>
      </c>
      <c r="O1688" s="181">
        <f t="shared" si="12"/>
        <v>7.68</v>
      </c>
      <c r="P1688" s="247">
        <f t="shared" si="13"/>
        <v>1.0693831970380314</v>
      </c>
    </row>
    <row r="1689" spans="1:16" ht="14.25">
      <c r="A1689" s="224">
        <v>1688</v>
      </c>
      <c r="B1689" s="248">
        <v>28718</v>
      </c>
      <c r="C1689" s="248" t="s">
        <v>5227</v>
      </c>
      <c r="D1689" s="248" t="s">
        <v>45</v>
      </c>
      <c r="E1689" s="248" t="s">
        <v>2860</v>
      </c>
      <c r="F1689" s="248" t="s">
        <v>5240</v>
      </c>
      <c r="G1689" s="248">
        <v>7</v>
      </c>
      <c r="H1689" s="248" t="s">
        <v>2557</v>
      </c>
      <c r="I1689" s="248">
        <v>76630</v>
      </c>
      <c r="J1689" s="250" t="s">
        <v>5241</v>
      </c>
      <c r="K1689" s="248">
        <v>42.6</v>
      </c>
      <c r="L1689" s="248">
        <v>0</v>
      </c>
      <c r="M1689" s="248">
        <v>0</v>
      </c>
      <c r="N1689" s="248">
        <v>1</v>
      </c>
      <c r="O1689" s="181">
        <f t="shared" si="12"/>
        <v>42.6</v>
      </c>
      <c r="P1689" s="247">
        <f t="shared" si="13"/>
        <v>42.6</v>
      </c>
    </row>
    <row r="1690" spans="1:16" ht="14.25">
      <c r="A1690" s="224">
        <v>1689</v>
      </c>
      <c r="B1690" s="248">
        <v>25163</v>
      </c>
      <c r="C1690" s="248" t="s">
        <v>4531</v>
      </c>
      <c r="D1690" s="248" t="s">
        <v>45</v>
      </c>
      <c r="E1690" s="248" t="s">
        <v>4772</v>
      </c>
      <c r="F1690" s="248" t="s">
        <v>5242</v>
      </c>
      <c r="G1690" s="248">
        <v>7</v>
      </c>
      <c r="H1690" s="248" t="s">
        <v>2557</v>
      </c>
      <c r="I1690" s="248">
        <v>73893</v>
      </c>
      <c r="J1690" s="250" t="s">
        <v>1443</v>
      </c>
      <c r="K1690" s="248">
        <v>5.99</v>
      </c>
      <c r="L1690" s="248">
        <v>0.18</v>
      </c>
      <c r="M1690" s="248">
        <v>0</v>
      </c>
      <c r="N1690" s="248">
        <v>1</v>
      </c>
      <c r="O1690" s="181">
        <f t="shared" si="12"/>
        <v>5.8100000000000005</v>
      </c>
      <c r="P1690" s="247">
        <f t="shared" si="13"/>
        <v>5.8100000000000005</v>
      </c>
    </row>
    <row r="1691" spans="1:16" ht="14.25">
      <c r="A1691" s="224">
        <v>1690</v>
      </c>
      <c r="B1691" s="248">
        <v>28748</v>
      </c>
      <c r="C1691" s="248" t="s">
        <v>5243</v>
      </c>
      <c r="D1691" s="248" t="s">
        <v>45</v>
      </c>
      <c r="E1691" s="248" t="s">
        <v>2860</v>
      </c>
      <c r="F1691" s="248" t="s">
        <v>5244</v>
      </c>
      <c r="G1691" s="248">
        <v>7</v>
      </c>
      <c r="H1691" s="248" t="s">
        <v>2557</v>
      </c>
      <c r="I1691" s="248">
        <v>76654</v>
      </c>
      <c r="J1691" s="250" t="s">
        <v>5245</v>
      </c>
      <c r="K1691" s="248">
        <v>82.79</v>
      </c>
      <c r="L1691" s="248">
        <v>0</v>
      </c>
      <c r="M1691" s="248">
        <v>0</v>
      </c>
      <c r="N1691" s="248">
        <v>1</v>
      </c>
      <c r="O1691" s="181">
        <f t="shared" si="12"/>
        <v>82.79</v>
      </c>
      <c r="P1691" s="247">
        <f t="shared" si="13"/>
        <v>82.79</v>
      </c>
    </row>
    <row r="1692" spans="1:16" ht="14.25">
      <c r="A1692" s="224">
        <v>1691</v>
      </c>
      <c r="B1692" s="248">
        <v>392</v>
      </c>
      <c r="C1692" s="248" t="s">
        <v>2876</v>
      </c>
      <c r="D1692" s="248" t="s">
        <v>2582</v>
      </c>
      <c r="E1692" s="248" t="s">
        <v>2860</v>
      </c>
      <c r="F1692" s="248" t="s">
        <v>5246</v>
      </c>
      <c r="G1692" s="248">
        <v>7</v>
      </c>
      <c r="H1692" s="248" t="s">
        <v>2557</v>
      </c>
      <c r="I1692" s="248">
        <v>74374</v>
      </c>
      <c r="J1692" s="250" t="s">
        <v>5247</v>
      </c>
      <c r="K1692" s="248">
        <v>29.07</v>
      </c>
      <c r="L1692" s="248">
        <v>0</v>
      </c>
      <c r="M1692" s="248">
        <v>0</v>
      </c>
      <c r="N1692" s="248">
        <v>7.1779400000000004</v>
      </c>
      <c r="O1692" s="181">
        <f t="shared" si="12"/>
        <v>29.07</v>
      </c>
      <c r="P1692" s="247">
        <f t="shared" si="13"/>
        <v>4.0499084695609042</v>
      </c>
    </row>
    <row r="1693" spans="1:16" ht="14.25">
      <c r="A1693" s="224">
        <v>1692</v>
      </c>
      <c r="B1693" s="248">
        <v>19044</v>
      </c>
      <c r="C1693" s="248" t="s">
        <v>3089</v>
      </c>
      <c r="D1693" s="248" t="s">
        <v>45</v>
      </c>
      <c r="E1693" s="248" t="s">
        <v>2860</v>
      </c>
      <c r="F1693" s="248" t="s">
        <v>5248</v>
      </c>
      <c r="G1693" s="248">
        <v>7</v>
      </c>
      <c r="H1693" s="248" t="s">
        <v>2557</v>
      </c>
      <c r="I1693" s="248">
        <v>76510</v>
      </c>
      <c r="J1693" s="250" t="s">
        <v>5249</v>
      </c>
      <c r="K1693" s="248">
        <v>1.79</v>
      </c>
      <c r="L1693" s="248">
        <v>0</v>
      </c>
      <c r="M1693" s="248">
        <v>0</v>
      </c>
      <c r="N1693" s="248">
        <v>1</v>
      </c>
      <c r="O1693" s="181">
        <f t="shared" si="12"/>
        <v>1.79</v>
      </c>
      <c r="P1693" s="247">
        <f t="shared" si="13"/>
        <v>1.79</v>
      </c>
    </row>
    <row r="1694" spans="1:16" ht="14.25">
      <c r="A1694" s="224">
        <v>1693</v>
      </c>
      <c r="B1694" s="248">
        <v>28745</v>
      </c>
      <c r="C1694" s="248" t="s">
        <v>5250</v>
      </c>
      <c r="D1694" s="248" t="s">
        <v>45</v>
      </c>
      <c r="E1694" s="248" t="s">
        <v>2874</v>
      </c>
      <c r="F1694" s="248" t="s">
        <v>5251</v>
      </c>
      <c r="G1694" s="248">
        <v>7</v>
      </c>
      <c r="H1694" s="248" t="s">
        <v>2557</v>
      </c>
      <c r="I1694" s="248">
        <v>76642</v>
      </c>
      <c r="J1694" s="250" t="s">
        <v>5252</v>
      </c>
      <c r="K1694" s="248">
        <v>22.99</v>
      </c>
      <c r="L1694" s="248">
        <v>0</v>
      </c>
      <c r="M1694" s="248">
        <v>0</v>
      </c>
      <c r="N1694" s="248">
        <v>1</v>
      </c>
      <c r="O1694" s="181">
        <f t="shared" si="12"/>
        <v>22.99</v>
      </c>
      <c r="P1694" s="247">
        <f t="shared" si="13"/>
        <v>22.99</v>
      </c>
    </row>
    <row r="1695" spans="1:16" ht="14.25">
      <c r="A1695" s="224">
        <v>1694</v>
      </c>
      <c r="B1695" s="248">
        <v>28762</v>
      </c>
      <c r="C1695" s="248" t="s">
        <v>5253</v>
      </c>
      <c r="D1695" s="248" t="s">
        <v>2582</v>
      </c>
      <c r="E1695" s="248" t="s">
        <v>2860</v>
      </c>
      <c r="F1695" s="248" t="s">
        <v>5254</v>
      </c>
      <c r="G1695" s="248">
        <v>7</v>
      </c>
      <c r="H1695" s="248" t="s">
        <v>2557</v>
      </c>
      <c r="I1695" s="248">
        <v>76702</v>
      </c>
      <c r="J1695" s="250" t="s">
        <v>5255</v>
      </c>
      <c r="K1695" s="248">
        <v>93.24</v>
      </c>
      <c r="L1695" s="248">
        <v>0</v>
      </c>
      <c r="M1695" s="248">
        <v>0</v>
      </c>
      <c r="N1695" s="248">
        <v>7.1779400000000004</v>
      </c>
      <c r="O1695" s="181">
        <f t="shared" si="12"/>
        <v>93.24</v>
      </c>
      <c r="P1695" s="247">
        <f t="shared" si="13"/>
        <v>12.989799301749526</v>
      </c>
    </row>
    <row r="1696" spans="1:16" ht="14.25">
      <c r="A1696" s="224">
        <v>1695</v>
      </c>
      <c r="B1696" s="248">
        <v>25736</v>
      </c>
      <c r="C1696" s="248" t="s">
        <v>4691</v>
      </c>
      <c r="D1696" s="248" t="s">
        <v>45</v>
      </c>
      <c r="E1696" s="248" t="s">
        <v>2860</v>
      </c>
      <c r="F1696" s="248" t="s">
        <v>5256</v>
      </c>
      <c r="G1696" s="248">
        <v>7</v>
      </c>
      <c r="H1696" s="248" t="s">
        <v>2557</v>
      </c>
      <c r="I1696" s="248">
        <v>76714</v>
      </c>
      <c r="J1696" s="250" t="s">
        <v>5257</v>
      </c>
      <c r="K1696" s="248">
        <v>7.99</v>
      </c>
      <c r="L1696" s="248">
        <v>0</v>
      </c>
      <c r="M1696" s="248">
        <v>0</v>
      </c>
      <c r="N1696" s="248">
        <v>1</v>
      </c>
      <c r="O1696" s="181">
        <f t="shared" si="12"/>
        <v>7.99</v>
      </c>
      <c r="P1696" s="247">
        <f t="shared" si="13"/>
        <v>7.99</v>
      </c>
    </row>
    <row r="1697" spans="1:16" ht="14.25">
      <c r="A1697" s="224">
        <v>1696</v>
      </c>
      <c r="B1697" s="248">
        <v>2300</v>
      </c>
      <c r="C1697" s="248" t="s">
        <v>2962</v>
      </c>
      <c r="D1697" s="248" t="s">
        <v>45</v>
      </c>
      <c r="E1697" s="248" t="s">
        <v>4772</v>
      </c>
      <c r="F1697" s="248" t="s">
        <v>5258</v>
      </c>
      <c r="G1697" s="248">
        <v>7</v>
      </c>
      <c r="H1697" s="248" t="s">
        <v>2557</v>
      </c>
      <c r="I1697" s="248">
        <v>74530</v>
      </c>
      <c r="J1697" s="250" t="s">
        <v>1449</v>
      </c>
      <c r="K1697" s="248">
        <v>8.99</v>
      </c>
      <c r="L1697" s="248">
        <v>0.26</v>
      </c>
      <c r="M1697" s="248">
        <v>0</v>
      </c>
      <c r="N1697" s="248">
        <v>1</v>
      </c>
      <c r="O1697" s="181">
        <f t="shared" si="12"/>
        <v>8.73</v>
      </c>
      <c r="P1697" s="247">
        <f t="shared" si="13"/>
        <v>8.73</v>
      </c>
    </row>
    <row r="1698" spans="1:16" ht="14.25">
      <c r="A1698" s="224">
        <v>1697</v>
      </c>
      <c r="B1698" s="248">
        <v>21267</v>
      </c>
      <c r="C1698" s="248" t="s">
        <v>427</v>
      </c>
      <c r="D1698" s="248" t="s">
        <v>45</v>
      </c>
      <c r="E1698" s="248" t="s">
        <v>4772</v>
      </c>
      <c r="F1698" s="248" t="s">
        <v>5259</v>
      </c>
      <c r="G1698" s="248">
        <v>7</v>
      </c>
      <c r="H1698" s="248" t="s">
        <v>2557</v>
      </c>
      <c r="I1698" s="248">
        <v>71397</v>
      </c>
      <c r="J1698" s="250" t="s">
        <v>1446</v>
      </c>
      <c r="K1698" s="248">
        <v>2.79</v>
      </c>
      <c r="L1698" s="248">
        <v>0.08</v>
      </c>
      <c r="M1698" s="248">
        <v>0</v>
      </c>
      <c r="N1698" s="248">
        <v>1</v>
      </c>
      <c r="O1698" s="181">
        <f t="shared" si="12"/>
        <v>2.71</v>
      </c>
      <c r="P1698" s="247">
        <f t="shared" si="13"/>
        <v>2.71</v>
      </c>
    </row>
    <row r="1699" spans="1:16" ht="14.25">
      <c r="A1699" s="224">
        <v>1698</v>
      </c>
      <c r="B1699" s="248">
        <v>3974</v>
      </c>
      <c r="C1699" s="248" t="s">
        <v>2844</v>
      </c>
      <c r="D1699" s="248" t="s">
        <v>45</v>
      </c>
      <c r="E1699" s="248" t="s">
        <v>2860</v>
      </c>
      <c r="F1699" s="248" t="s">
        <v>5260</v>
      </c>
      <c r="G1699" s="248">
        <v>7</v>
      </c>
      <c r="H1699" s="248" t="s">
        <v>2557</v>
      </c>
      <c r="I1699" s="248">
        <v>76726</v>
      </c>
      <c r="J1699" s="250" t="s">
        <v>5261</v>
      </c>
      <c r="K1699" s="248">
        <v>1.99</v>
      </c>
      <c r="L1699" s="248">
        <v>0</v>
      </c>
      <c r="M1699" s="248">
        <v>0</v>
      </c>
      <c r="N1699" s="248">
        <v>1</v>
      </c>
      <c r="O1699" s="181">
        <f t="shared" si="12"/>
        <v>1.99</v>
      </c>
      <c r="P1699" s="247">
        <f t="shared" si="13"/>
        <v>1.99</v>
      </c>
    </row>
    <row r="1700" spans="1:16" ht="14.25">
      <c r="A1700" s="224">
        <v>1699</v>
      </c>
      <c r="B1700" s="248">
        <v>28784</v>
      </c>
      <c r="C1700" s="248" t="s">
        <v>5262</v>
      </c>
      <c r="D1700" s="248" t="s">
        <v>45</v>
      </c>
      <c r="E1700" s="248" t="s">
        <v>2860</v>
      </c>
      <c r="F1700" s="248" t="s">
        <v>5263</v>
      </c>
      <c r="G1700" s="248">
        <v>7</v>
      </c>
      <c r="H1700" s="248" t="s">
        <v>2557</v>
      </c>
      <c r="I1700" s="248">
        <v>76822</v>
      </c>
      <c r="J1700" s="250" t="s">
        <v>5264</v>
      </c>
      <c r="K1700" s="248">
        <v>2.4900000000000002</v>
      </c>
      <c r="L1700" s="248">
        <v>0</v>
      </c>
      <c r="M1700" s="248">
        <v>0</v>
      </c>
      <c r="N1700" s="248">
        <v>1</v>
      </c>
      <c r="O1700" s="181">
        <f t="shared" si="12"/>
        <v>2.4900000000000002</v>
      </c>
      <c r="P1700" s="247">
        <f t="shared" si="13"/>
        <v>2.4900000000000002</v>
      </c>
    </row>
    <row r="1701" spans="1:16" ht="14.25">
      <c r="A1701" s="224">
        <v>1700</v>
      </c>
      <c r="B1701" s="248">
        <v>6794</v>
      </c>
      <c r="C1701" s="248" t="s">
        <v>2623</v>
      </c>
      <c r="D1701" s="248" t="s">
        <v>45</v>
      </c>
      <c r="E1701" s="248" t="s">
        <v>2874</v>
      </c>
      <c r="F1701" s="248" t="s">
        <v>5265</v>
      </c>
      <c r="G1701" s="248">
        <v>7</v>
      </c>
      <c r="H1701" s="248" t="s">
        <v>2557</v>
      </c>
      <c r="I1701" s="248">
        <v>75742</v>
      </c>
      <c r="J1701" s="250" t="s">
        <v>5266</v>
      </c>
      <c r="K1701" s="248">
        <v>73.83</v>
      </c>
      <c r="L1701" s="248">
        <v>0</v>
      </c>
      <c r="M1701" s="248">
        <v>0</v>
      </c>
      <c r="N1701" s="248">
        <v>1</v>
      </c>
      <c r="O1701" s="181">
        <f t="shared" si="12"/>
        <v>73.83</v>
      </c>
      <c r="P1701" s="247">
        <f t="shared" si="13"/>
        <v>73.83</v>
      </c>
    </row>
    <row r="1702" spans="1:16" ht="14.25">
      <c r="A1702" s="224">
        <v>1701</v>
      </c>
      <c r="B1702" s="248">
        <v>28785</v>
      </c>
      <c r="C1702" s="248" t="s">
        <v>5267</v>
      </c>
      <c r="D1702" s="248" t="s">
        <v>45</v>
      </c>
      <c r="E1702" s="248" t="s">
        <v>4772</v>
      </c>
      <c r="F1702" s="248" t="s">
        <v>5268</v>
      </c>
      <c r="G1702" s="248">
        <v>7</v>
      </c>
      <c r="H1702" s="248" t="s">
        <v>2557</v>
      </c>
      <c r="I1702" s="248">
        <v>76834</v>
      </c>
      <c r="J1702" s="250" t="s">
        <v>1452</v>
      </c>
      <c r="K1702" s="248">
        <v>9.99</v>
      </c>
      <c r="L1702" s="248">
        <v>0.28999999999999998</v>
      </c>
      <c r="M1702" s="248">
        <v>0</v>
      </c>
      <c r="N1702" s="248">
        <v>1</v>
      </c>
      <c r="O1702" s="181">
        <f t="shared" si="12"/>
        <v>9.7000000000000011</v>
      </c>
      <c r="P1702" s="247">
        <f t="shared" si="13"/>
        <v>9.7000000000000011</v>
      </c>
    </row>
    <row r="1703" spans="1:16" ht="14.25">
      <c r="A1703" s="224">
        <v>1702</v>
      </c>
      <c r="B1703" s="248">
        <v>5906</v>
      </c>
      <c r="C1703" s="248" t="s">
        <v>2768</v>
      </c>
      <c r="D1703" s="248" t="s">
        <v>45</v>
      </c>
      <c r="E1703" s="248" t="s">
        <v>9</v>
      </c>
      <c r="F1703" s="248" t="s">
        <v>5269</v>
      </c>
      <c r="G1703" s="248">
        <v>7</v>
      </c>
      <c r="H1703" s="248" t="s">
        <v>2557</v>
      </c>
      <c r="I1703" s="248">
        <v>74506</v>
      </c>
      <c r="J1703" s="250" t="s">
        <v>599</v>
      </c>
      <c r="K1703" s="248">
        <v>4.99</v>
      </c>
      <c r="L1703" s="248">
        <v>0.74</v>
      </c>
      <c r="M1703" s="248">
        <v>0</v>
      </c>
      <c r="N1703" s="248">
        <v>1</v>
      </c>
      <c r="O1703" s="181">
        <f t="shared" si="12"/>
        <v>4.25</v>
      </c>
      <c r="P1703" s="247">
        <f t="shared" si="13"/>
        <v>4.25</v>
      </c>
    </row>
    <row r="1704" spans="1:16" ht="14.25">
      <c r="A1704" s="224">
        <v>1703</v>
      </c>
      <c r="B1704" s="248">
        <v>28787</v>
      </c>
      <c r="C1704" s="248" t="s">
        <v>5270</v>
      </c>
      <c r="D1704" s="248" t="s">
        <v>2582</v>
      </c>
      <c r="E1704" s="248" t="s">
        <v>2860</v>
      </c>
      <c r="F1704" s="248" t="s">
        <v>5271</v>
      </c>
      <c r="G1704" s="248">
        <v>7</v>
      </c>
      <c r="H1704" s="248" t="s">
        <v>2557</v>
      </c>
      <c r="I1704" s="248">
        <v>76858</v>
      </c>
      <c r="J1704" s="250" t="s">
        <v>5272</v>
      </c>
      <c r="K1704" s="248">
        <v>64.599999999999994</v>
      </c>
      <c r="L1704" s="248">
        <v>0</v>
      </c>
      <c r="M1704" s="248">
        <v>0</v>
      </c>
      <c r="N1704" s="248">
        <v>7.1779400000000004</v>
      </c>
      <c r="O1704" s="181">
        <f t="shared" si="12"/>
        <v>64.599999999999994</v>
      </c>
      <c r="P1704" s="247">
        <f t="shared" si="13"/>
        <v>8.999796599024231</v>
      </c>
    </row>
    <row r="1705" spans="1:16" ht="14.25">
      <c r="A1705" s="224">
        <v>1704</v>
      </c>
      <c r="B1705" s="248">
        <v>3826</v>
      </c>
      <c r="C1705" s="248" t="s">
        <v>423</v>
      </c>
      <c r="D1705" s="248" t="s">
        <v>45</v>
      </c>
      <c r="E1705" s="248" t="s">
        <v>9</v>
      </c>
      <c r="F1705" s="248" t="s">
        <v>5273</v>
      </c>
      <c r="G1705" s="248">
        <v>7</v>
      </c>
      <c r="H1705" s="248" t="s">
        <v>2557</v>
      </c>
      <c r="I1705" s="248">
        <v>76498</v>
      </c>
      <c r="J1705" s="250" t="s">
        <v>600</v>
      </c>
      <c r="K1705" s="248">
        <v>1.0900000000000001</v>
      </c>
      <c r="L1705" s="248">
        <v>0.54</v>
      </c>
      <c r="M1705" s="248">
        <v>0</v>
      </c>
      <c r="N1705" s="248">
        <v>1</v>
      </c>
      <c r="O1705" s="181">
        <f t="shared" si="12"/>
        <v>0.55000000000000004</v>
      </c>
      <c r="P1705" s="247">
        <f t="shared" si="13"/>
        <v>0.55000000000000004</v>
      </c>
    </row>
    <row r="1706" spans="1:16" ht="14.25">
      <c r="A1706" s="224">
        <v>1705</v>
      </c>
      <c r="B1706" s="248">
        <v>28817</v>
      </c>
      <c r="C1706" s="248" t="s">
        <v>5274</v>
      </c>
      <c r="D1706" s="248" t="s">
        <v>45</v>
      </c>
      <c r="E1706" s="248" t="s">
        <v>2860</v>
      </c>
      <c r="F1706" s="248" t="s">
        <v>5275</v>
      </c>
      <c r="G1706" s="248">
        <v>7</v>
      </c>
      <c r="H1706" s="248" t="s">
        <v>2557</v>
      </c>
      <c r="I1706" s="248">
        <v>76870</v>
      </c>
      <c r="J1706" s="250" t="s">
        <v>5276</v>
      </c>
      <c r="K1706" s="248">
        <v>8.99</v>
      </c>
      <c r="L1706" s="248">
        <v>0</v>
      </c>
      <c r="M1706" s="248">
        <v>0</v>
      </c>
      <c r="N1706" s="248">
        <v>1</v>
      </c>
      <c r="O1706" s="181">
        <f t="shared" si="12"/>
        <v>8.99</v>
      </c>
      <c r="P1706" s="247">
        <f t="shared" si="13"/>
        <v>8.99</v>
      </c>
    </row>
    <row r="1707" spans="1:16" ht="14.25">
      <c r="A1707" s="224">
        <v>1706</v>
      </c>
      <c r="B1707" s="248">
        <v>28531</v>
      </c>
      <c r="C1707" s="248" t="s">
        <v>5277</v>
      </c>
      <c r="D1707" s="248" t="s">
        <v>45</v>
      </c>
      <c r="E1707" s="248" t="s">
        <v>9</v>
      </c>
      <c r="F1707" s="248" t="s">
        <v>5278</v>
      </c>
      <c r="G1707" s="248">
        <v>7</v>
      </c>
      <c r="H1707" s="248" t="s">
        <v>2557</v>
      </c>
      <c r="I1707" s="248">
        <v>76966</v>
      </c>
      <c r="J1707" s="250" t="s">
        <v>603</v>
      </c>
      <c r="K1707" s="248">
        <v>2.4900000000000002</v>
      </c>
      <c r="L1707" s="248">
        <v>0.61</v>
      </c>
      <c r="M1707" s="248">
        <v>0</v>
      </c>
      <c r="N1707" s="248">
        <v>1</v>
      </c>
      <c r="O1707" s="181">
        <f t="shared" si="12"/>
        <v>1.8800000000000003</v>
      </c>
      <c r="P1707" s="247">
        <f t="shared" si="13"/>
        <v>1.8800000000000003</v>
      </c>
    </row>
    <row r="1708" spans="1:16" ht="14.25">
      <c r="A1708" s="224">
        <v>1707</v>
      </c>
      <c r="B1708" s="248">
        <v>28531</v>
      </c>
      <c r="C1708" s="248" t="s">
        <v>5277</v>
      </c>
      <c r="D1708" s="248" t="s">
        <v>45</v>
      </c>
      <c r="E1708" s="248" t="s">
        <v>9</v>
      </c>
      <c r="F1708" s="248" t="s">
        <v>5279</v>
      </c>
      <c r="G1708" s="248">
        <v>7</v>
      </c>
      <c r="H1708" s="248" t="s">
        <v>5280</v>
      </c>
      <c r="I1708" s="248">
        <v>76966</v>
      </c>
      <c r="J1708" s="250"/>
      <c r="K1708" s="248">
        <v>0</v>
      </c>
      <c r="L1708" s="248">
        <v>-0.61</v>
      </c>
      <c r="M1708" s="248">
        <v>2.4900000000000002</v>
      </c>
      <c r="N1708" s="248">
        <v>1</v>
      </c>
      <c r="O1708" s="181">
        <f t="shared" si="12"/>
        <v>-1.8800000000000003</v>
      </c>
      <c r="P1708" s="247">
        <f t="shared" si="13"/>
        <v>-1.8800000000000003</v>
      </c>
    </row>
    <row r="1709" spans="1:16" ht="14.25">
      <c r="A1709" s="224">
        <v>1708</v>
      </c>
      <c r="B1709" s="248">
        <v>25163</v>
      </c>
      <c r="C1709" s="248" t="s">
        <v>4531</v>
      </c>
      <c r="D1709" s="248" t="s">
        <v>45</v>
      </c>
      <c r="E1709" s="248" t="s">
        <v>2860</v>
      </c>
      <c r="F1709" s="248" t="s">
        <v>5281</v>
      </c>
      <c r="G1709" s="248">
        <v>7</v>
      </c>
      <c r="H1709" s="248" t="s">
        <v>2557</v>
      </c>
      <c r="I1709" s="248">
        <v>76990</v>
      </c>
      <c r="J1709" s="250" t="s">
        <v>5282</v>
      </c>
      <c r="K1709" s="248">
        <v>17.989999999999998</v>
      </c>
      <c r="L1709" s="248">
        <v>0</v>
      </c>
      <c r="M1709" s="248">
        <v>0</v>
      </c>
      <c r="N1709" s="248">
        <v>1</v>
      </c>
      <c r="O1709" s="181">
        <f t="shared" si="12"/>
        <v>17.989999999999998</v>
      </c>
      <c r="P1709" s="247">
        <f t="shared" si="13"/>
        <v>17.989999999999998</v>
      </c>
    </row>
    <row r="1710" spans="1:16" ht="14.25">
      <c r="A1710" s="224">
        <v>1709</v>
      </c>
      <c r="B1710" s="248">
        <v>22778</v>
      </c>
      <c r="C1710" s="248" t="s">
        <v>3929</v>
      </c>
      <c r="D1710" s="248" t="s">
        <v>45</v>
      </c>
      <c r="E1710" s="248" t="s">
        <v>2860</v>
      </c>
      <c r="F1710" s="248" t="s">
        <v>5283</v>
      </c>
      <c r="G1710" s="248">
        <v>7</v>
      </c>
      <c r="H1710" s="248" t="s">
        <v>2557</v>
      </c>
      <c r="I1710" s="248">
        <v>77002</v>
      </c>
      <c r="J1710" s="250" t="s">
        <v>5284</v>
      </c>
      <c r="K1710" s="248">
        <v>29.99</v>
      </c>
      <c r="L1710" s="248">
        <v>0</v>
      </c>
      <c r="M1710" s="248">
        <v>0</v>
      </c>
      <c r="N1710" s="248">
        <v>1</v>
      </c>
      <c r="O1710" s="181">
        <f t="shared" si="12"/>
        <v>29.99</v>
      </c>
      <c r="P1710" s="247">
        <f t="shared" si="13"/>
        <v>29.99</v>
      </c>
    </row>
    <row r="1711" spans="1:16" ht="14.25">
      <c r="A1711" s="224">
        <v>1710</v>
      </c>
      <c r="B1711" s="248">
        <v>28447</v>
      </c>
      <c r="C1711" s="248" t="s">
        <v>5093</v>
      </c>
      <c r="D1711" s="248" t="s">
        <v>45</v>
      </c>
      <c r="E1711" s="248" t="s">
        <v>2874</v>
      </c>
      <c r="F1711" s="248" t="s">
        <v>5285</v>
      </c>
      <c r="G1711" s="248">
        <v>7</v>
      </c>
      <c r="H1711" s="248" t="s">
        <v>2557</v>
      </c>
      <c r="I1711" s="248">
        <v>77014</v>
      </c>
      <c r="J1711" s="250" t="s">
        <v>5286</v>
      </c>
      <c r="K1711" s="248">
        <v>48.58</v>
      </c>
      <c r="L1711" s="248">
        <v>0</v>
      </c>
      <c r="M1711" s="248">
        <v>0</v>
      </c>
      <c r="N1711" s="248">
        <v>1</v>
      </c>
      <c r="O1711" s="181">
        <f t="shared" si="12"/>
        <v>48.58</v>
      </c>
      <c r="P1711" s="247">
        <f t="shared" si="13"/>
        <v>48.58</v>
      </c>
    </row>
    <row r="1712" spans="1:16" ht="14.25">
      <c r="A1712" s="224">
        <v>1711</v>
      </c>
      <c r="B1712" s="248">
        <v>25736</v>
      </c>
      <c r="C1712" s="248" t="s">
        <v>4691</v>
      </c>
      <c r="D1712" s="248" t="s">
        <v>45</v>
      </c>
      <c r="E1712" s="248" t="s">
        <v>2860</v>
      </c>
      <c r="F1712" s="248" t="s">
        <v>5287</v>
      </c>
      <c r="G1712" s="248">
        <v>7</v>
      </c>
      <c r="H1712" s="248" t="s">
        <v>2557</v>
      </c>
      <c r="I1712" s="248">
        <v>75358</v>
      </c>
      <c r="J1712" s="250" t="s">
        <v>5288</v>
      </c>
      <c r="K1712" s="248">
        <v>13.99</v>
      </c>
      <c r="L1712" s="248">
        <v>0</v>
      </c>
      <c r="M1712" s="248">
        <v>0</v>
      </c>
      <c r="N1712" s="248">
        <v>1</v>
      </c>
      <c r="O1712" s="181">
        <f t="shared" si="12"/>
        <v>13.99</v>
      </c>
      <c r="P1712" s="247">
        <f t="shared" si="13"/>
        <v>13.99</v>
      </c>
    </row>
    <row r="1713" spans="1:16" ht="14.25">
      <c r="A1713" s="224">
        <v>1712</v>
      </c>
      <c r="B1713" s="248">
        <v>28824</v>
      </c>
      <c r="C1713" s="248" t="s">
        <v>5289</v>
      </c>
      <c r="D1713" s="248" t="s">
        <v>45</v>
      </c>
      <c r="E1713" s="248" t="s">
        <v>2874</v>
      </c>
      <c r="F1713" s="248" t="s">
        <v>5290</v>
      </c>
      <c r="G1713" s="248">
        <v>7</v>
      </c>
      <c r="H1713" s="248" t="s">
        <v>2557</v>
      </c>
      <c r="I1713" s="248">
        <v>77026</v>
      </c>
      <c r="J1713" s="250" t="s">
        <v>5291</v>
      </c>
      <c r="K1713" s="248">
        <v>99.99</v>
      </c>
      <c r="L1713" s="248">
        <v>0</v>
      </c>
      <c r="M1713" s="248">
        <v>0</v>
      </c>
      <c r="N1713" s="248">
        <v>1</v>
      </c>
      <c r="O1713" s="181">
        <f t="shared" si="12"/>
        <v>99.99</v>
      </c>
      <c r="P1713" s="247">
        <f t="shared" si="13"/>
        <v>99.99</v>
      </c>
    </row>
    <row r="1714" spans="1:16" ht="14.25">
      <c r="A1714" s="224">
        <v>1713</v>
      </c>
      <c r="B1714" s="248">
        <v>28824</v>
      </c>
      <c r="C1714" s="248" t="s">
        <v>5289</v>
      </c>
      <c r="D1714" s="248" t="s">
        <v>45</v>
      </c>
      <c r="E1714" s="248" t="s">
        <v>2874</v>
      </c>
      <c r="F1714" s="248" t="s">
        <v>5292</v>
      </c>
      <c r="G1714" s="248">
        <v>7</v>
      </c>
      <c r="H1714" s="248" t="s">
        <v>5293</v>
      </c>
      <c r="I1714" s="248">
        <v>0</v>
      </c>
      <c r="J1714" s="250"/>
      <c r="K1714" s="248">
        <v>99.99</v>
      </c>
      <c r="L1714" s="248">
        <v>0</v>
      </c>
      <c r="M1714" s="248">
        <v>0</v>
      </c>
      <c r="N1714" s="248">
        <v>1</v>
      </c>
      <c r="O1714" s="181">
        <f t="shared" si="12"/>
        <v>99.99</v>
      </c>
      <c r="P1714" s="247">
        <f t="shared" si="13"/>
        <v>99.99</v>
      </c>
    </row>
    <row r="1715" spans="1:16" ht="14.25">
      <c r="A1715" s="224">
        <v>1714</v>
      </c>
      <c r="B1715" s="248">
        <v>7191</v>
      </c>
      <c r="C1715" s="248" t="s">
        <v>2650</v>
      </c>
      <c r="D1715" s="248" t="s">
        <v>45</v>
      </c>
      <c r="E1715" s="248" t="s">
        <v>2860</v>
      </c>
      <c r="F1715" s="248" t="s">
        <v>5294</v>
      </c>
      <c r="G1715" s="248">
        <v>7</v>
      </c>
      <c r="H1715" s="248" t="s">
        <v>2557</v>
      </c>
      <c r="I1715" s="248">
        <v>74518</v>
      </c>
      <c r="J1715" s="250" t="s">
        <v>5295</v>
      </c>
      <c r="K1715" s="248">
        <v>1.79</v>
      </c>
      <c r="L1715" s="248">
        <v>0</v>
      </c>
      <c r="M1715" s="248">
        <v>0</v>
      </c>
      <c r="N1715" s="248">
        <v>1</v>
      </c>
      <c r="O1715" s="181">
        <f t="shared" si="12"/>
        <v>1.79</v>
      </c>
      <c r="P1715" s="247">
        <f t="shared" si="13"/>
        <v>1.79</v>
      </c>
    </row>
    <row r="1716" spans="1:16" ht="14.25">
      <c r="A1716" s="224">
        <v>1715</v>
      </c>
      <c r="B1716" s="248">
        <v>28830</v>
      </c>
      <c r="C1716" s="248" t="s">
        <v>5296</v>
      </c>
      <c r="D1716" s="248" t="s">
        <v>45</v>
      </c>
      <c r="E1716" s="248" t="s">
        <v>2874</v>
      </c>
      <c r="F1716" s="248" t="s">
        <v>5297</v>
      </c>
      <c r="G1716" s="248">
        <v>7</v>
      </c>
      <c r="H1716" s="248" t="s">
        <v>2557</v>
      </c>
      <c r="I1716" s="248">
        <v>77062</v>
      </c>
      <c r="J1716" s="250" t="s">
        <v>5298</v>
      </c>
      <c r="K1716" s="248">
        <v>21.99</v>
      </c>
      <c r="L1716" s="248">
        <v>0</v>
      </c>
      <c r="M1716" s="248">
        <v>0</v>
      </c>
      <c r="N1716" s="248">
        <v>1</v>
      </c>
      <c r="O1716" s="181">
        <f t="shared" si="12"/>
        <v>21.99</v>
      </c>
      <c r="P1716" s="247">
        <f t="shared" si="13"/>
        <v>21.99</v>
      </c>
    </row>
    <row r="1717" spans="1:16" ht="14.25">
      <c r="A1717" s="224">
        <v>1716</v>
      </c>
      <c r="B1717" s="248">
        <v>417</v>
      </c>
      <c r="C1717" s="248" t="s">
        <v>2682</v>
      </c>
      <c r="D1717" s="248" t="s">
        <v>2582</v>
      </c>
      <c r="E1717" s="248" t="s">
        <v>2860</v>
      </c>
      <c r="F1717" s="248" t="s">
        <v>5299</v>
      </c>
      <c r="G1717" s="248">
        <v>7</v>
      </c>
      <c r="H1717" s="248" t="s">
        <v>2557</v>
      </c>
      <c r="I1717" s="248">
        <v>74770</v>
      </c>
      <c r="J1717" s="250"/>
      <c r="K1717" s="248">
        <v>0.03</v>
      </c>
      <c r="L1717" s="248">
        <v>0</v>
      </c>
      <c r="M1717" s="248">
        <v>0</v>
      </c>
      <c r="N1717" s="248">
        <v>7.1749700000000001</v>
      </c>
      <c r="O1717" s="181">
        <f t="shared" si="12"/>
        <v>0.03</v>
      </c>
      <c r="P1717" s="247">
        <f t="shared" si="13"/>
        <v>4.1812021513678802E-3</v>
      </c>
    </row>
    <row r="1718" spans="1:16" ht="14.25">
      <c r="A1718" s="224">
        <v>1717</v>
      </c>
      <c r="B1718" s="248">
        <v>3499</v>
      </c>
      <c r="C1718" s="248" t="s">
        <v>2641</v>
      </c>
      <c r="D1718" s="248" t="s">
        <v>45</v>
      </c>
      <c r="E1718" s="248" t="s">
        <v>2860</v>
      </c>
      <c r="F1718" s="248" t="s">
        <v>5300</v>
      </c>
      <c r="G1718" s="248">
        <v>7</v>
      </c>
      <c r="H1718" s="248" t="s">
        <v>2557</v>
      </c>
      <c r="I1718" s="248">
        <v>75298</v>
      </c>
      <c r="J1718" s="250" t="s">
        <v>5301</v>
      </c>
      <c r="K1718" s="248">
        <v>1.0900000000000001</v>
      </c>
      <c r="L1718" s="248">
        <v>0</v>
      </c>
      <c r="M1718" s="248">
        <v>0</v>
      </c>
      <c r="N1718" s="248">
        <v>1</v>
      </c>
      <c r="O1718" s="181">
        <f t="shared" si="12"/>
        <v>1.0900000000000001</v>
      </c>
      <c r="P1718" s="247">
        <f t="shared" si="13"/>
        <v>1.0900000000000001</v>
      </c>
    </row>
    <row r="1719" spans="1:16" ht="14.25">
      <c r="A1719" s="224">
        <v>1718</v>
      </c>
      <c r="B1719" s="248">
        <v>26470</v>
      </c>
      <c r="C1719" s="248" t="s">
        <v>4808</v>
      </c>
      <c r="D1719" s="248" t="s">
        <v>45</v>
      </c>
      <c r="E1719" s="248" t="s">
        <v>2860</v>
      </c>
      <c r="F1719" s="248" t="s">
        <v>5302</v>
      </c>
      <c r="G1719" s="248">
        <v>7</v>
      </c>
      <c r="H1719" s="248" t="s">
        <v>2557</v>
      </c>
      <c r="I1719" s="248">
        <v>77158</v>
      </c>
      <c r="J1719" s="250" t="s">
        <v>5303</v>
      </c>
      <c r="K1719" s="248">
        <v>45</v>
      </c>
      <c r="L1719" s="248">
        <v>0</v>
      </c>
      <c r="M1719" s="248">
        <v>0</v>
      </c>
      <c r="N1719" s="248">
        <v>1</v>
      </c>
      <c r="O1719" s="181">
        <f t="shared" si="12"/>
        <v>45</v>
      </c>
      <c r="P1719" s="247">
        <f t="shared" si="13"/>
        <v>45</v>
      </c>
    </row>
    <row r="1720" spans="1:16" ht="14.25">
      <c r="A1720" s="224">
        <v>1719</v>
      </c>
      <c r="B1720" s="248">
        <v>28326</v>
      </c>
      <c r="C1720" s="248" t="s">
        <v>5075</v>
      </c>
      <c r="D1720" s="248" t="s">
        <v>2582</v>
      </c>
      <c r="E1720" s="248" t="s">
        <v>2860</v>
      </c>
      <c r="F1720" s="248" t="s">
        <v>5304</v>
      </c>
      <c r="G1720" s="248">
        <v>7</v>
      </c>
      <c r="H1720" s="248" t="s">
        <v>2557</v>
      </c>
      <c r="I1720" s="248">
        <v>77182</v>
      </c>
      <c r="J1720" s="250" t="s">
        <v>5305</v>
      </c>
      <c r="K1720" s="248">
        <v>170.05</v>
      </c>
      <c r="L1720" s="248">
        <v>0</v>
      </c>
      <c r="M1720" s="248">
        <v>0</v>
      </c>
      <c r="N1720" s="248">
        <v>7.1749700000000001</v>
      </c>
      <c r="O1720" s="181">
        <f t="shared" si="12"/>
        <v>170.05</v>
      </c>
      <c r="P1720" s="247">
        <f t="shared" si="13"/>
        <v>23.700447528003604</v>
      </c>
    </row>
    <row r="1721" spans="1:16" ht="14.25">
      <c r="A1721" s="224">
        <v>1720</v>
      </c>
      <c r="B1721" s="248">
        <v>28868</v>
      </c>
      <c r="C1721" s="248" t="s">
        <v>5306</v>
      </c>
      <c r="D1721" s="248" t="s">
        <v>45</v>
      </c>
      <c r="E1721" s="248" t="s">
        <v>2860</v>
      </c>
      <c r="F1721" s="248" t="s">
        <v>5307</v>
      </c>
      <c r="G1721" s="248">
        <v>7</v>
      </c>
      <c r="H1721" s="248" t="s">
        <v>2557</v>
      </c>
      <c r="I1721" s="248">
        <v>77194</v>
      </c>
      <c r="J1721" s="250" t="s">
        <v>5308</v>
      </c>
      <c r="K1721" s="248">
        <v>8.99</v>
      </c>
      <c r="L1721" s="248">
        <v>0</v>
      </c>
      <c r="M1721" s="248">
        <v>0</v>
      </c>
      <c r="N1721" s="248">
        <v>1</v>
      </c>
      <c r="O1721" s="181">
        <f t="shared" si="12"/>
        <v>8.99</v>
      </c>
      <c r="P1721" s="247">
        <f t="shared" si="13"/>
        <v>8.99</v>
      </c>
    </row>
    <row r="1722" spans="1:16" ht="14.25">
      <c r="A1722" s="224">
        <v>1721</v>
      </c>
      <c r="B1722" s="248">
        <v>28889</v>
      </c>
      <c r="C1722" s="248" t="s">
        <v>5309</v>
      </c>
      <c r="D1722" s="248" t="s">
        <v>45</v>
      </c>
      <c r="E1722" s="248" t="s">
        <v>2860</v>
      </c>
      <c r="F1722" s="248" t="s">
        <v>5310</v>
      </c>
      <c r="G1722" s="248">
        <v>7</v>
      </c>
      <c r="H1722" s="248" t="s">
        <v>2557</v>
      </c>
      <c r="I1722" s="248">
        <v>77314</v>
      </c>
      <c r="J1722" s="250" t="s">
        <v>5311</v>
      </c>
      <c r="K1722" s="248">
        <v>8.99</v>
      </c>
      <c r="L1722" s="248">
        <v>0</v>
      </c>
      <c r="M1722" s="248">
        <v>0</v>
      </c>
      <c r="N1722" s="248">
        <v>1</v>
      </c>
      <c r="O1722" s="181">
        <f t="shared" si="12"/>
        <v>8.99</v>
      </c>
      <c r="P1722" s="247">
        <f t="shared" si="13"/>
        <v>8.99</v>
      </c>
    </row>
    <row r="1723" spans="1:16" ht="14.25">
      <c r="A1723" s="224">
        <v>1722</v>
      </c>
      <c r="B1723" s="248">
        <v>21325</v>
      </c>
      <c r="C1723" s="248" t="s">
        <v>3663</v>
      </c>
      <c r="D1723" s="248" t="s">
        <v>45</v>
      </c>
      <c r="E1723" s="248" t="s">
        <v>2860</v>
      </c>
      <c r="F1723" s="248" t="s">
        <v>5312</v>
      </c>
      <c r="G1723" s="248">
        <v>7</v>
      </c>
      <c r="H1723" s="248" t="s">
        <v>2557</v>
      </c>
      <c r="I1723" s="248">
        <v>77302</v>
      </c>
      <c r="J1723" s="250" t="s">
        <v>5313</v>
      </c>
      <c r="K1723" s="248">
        <v>2.79</v>
      </c>
      <c r="L1723" s="248">
        <v>0</v>
      </c>
      <c r="M1723" s="248">
        <v>0</v>
      </c>
      <c r="N1723" s="248">
        <v>1</v>
      </c>
      <c r="O1723" s="181">
        <f t="shared" si="12"/>
        <v>2.79</v>
      </c>
      <c r="P1723" s="247">
        <f t="shared" si="13"/>
        <v>2.79</v>
      </c>
    </row>
    <row r="1724" spans="1:16" ht="14.25">
      <c r="A1724" s="224">
        <v>1723</v>
      </c>
      <c r="B1724" s="248">
        <v>28893</v>
      </c>
      <c r="C1724" s="248" t="s">
        <v>5314</v>
      </c>
      <c r="D1724" s="248" t="s">
        <v>45</v>
      </c>
      <c r="E1724" s="248" t="s">
        <v>2860</v>
      </c>
      <c r="F1724" s="248" t="s">
        <v>5315</v>
      </c>
      <c r="G1724" s="248">
        <v>7</v>
      </c>
      <c r="H1724" s="248" t="s">
        <v>2557</v>
      </c>
      <c r="I1724" s="248">
        <v>77338</v>
      </c>
      <c r="J1724" s="250" t="s">
        <v>5316</v>
      </c>
      <c r="K1724" s="248">
        <v>1.99</v>
      </c>
      <c r="L1724" s="248">
        <v>0</v>
      </c>
      <c r="M1724" s="248">
        <v>0</v>
      </c>
      <c r="N1724" s="248">
        <v>1</v>
      </c>
      <c r="O1724" s="181">
        <f t="shared" si="12"/>
        <v>1.99</v>
      </c>
      <c r="P1724" s="247">
        <f t="shared" si="13"/>
        <v>1.99</v>
      </c>
    </row>
    <row r="1725" spans="1:16" ht="14.25">
      <c r="A1725" s="224">
        <v>1724</v>
      </c>
      <c r="B1725" s="248">
        <v>28893</v>
      </c>
      <c r="C1725" s="248" t="s">
        <v>5314</v>
      </c>
      <c r="D1725" s="248" t="s">
        <v>45</v>
      </c>
      <c r="E1725" s="248" t="s">
        <v>2860</v>
      </c>
      <c r="F1725" s="248" t="s">
        <v>5317</v>
      </c>
      <c r="G1725" s="248">
        <v>7</v>
      </c>
      <c r="H1725" s="248" t="s">
        <v>2557</v>
      </c>
      <c r="I1725" s="248">
        <v>77350</v>
      </c>
      <c r="J1725" s="250" t="s">
        <v>5318</v>
      </c>
      <c r="K1725" s="248">
        <v>1</v>
      </c>
      <c r="L1725" s="248">
        <v>0</v>
      </c>
      <c r="M1725" s="248">
        <v>0</v>
      </c>
      <c r="N1725" s="248">
        <v>1</v>
      </c>
      <c r="O1725" s="181">
        <f t="shared" si="12"/>
        <v>1</v>
      </c>
      <c r="P1725" s="247">
        <f t="shared" si="13"/>
        <v>1</v>
      </c>
    </row>
    <row r="1726" spans="1:16" ht="14.25">
      <c r="A1726" s="224">
        <v>1725</v>
      </c>
      <c r="B1726" s="248">
        <v>28897</v>
      </c>
      <c r="C1726" s="248" t="s">
        <v>5319</v>
      </c>
      <c r="D1726" s="248" t="s">
        <v>45</v>
      </c>
      <c r="E1726" s="248" t="s">
        <v>2874</v>
      </c>
      <c r="F1726" s="248" t="s">
        <v>5320</v>
      </c>
      <c r="G1726" s="248">
        <v>7</v>
      </c>
      <c r="H1726" s="248" t="s">
        <v>2557</v>
      </c>
      <c r="I1726" s="248">
        <v>77362</v>
      </c>
      <c r="J1726" s="250" t="s">
        <v>5321</v>
      </c>
      <c r="K1726" s="248">
        <v>6.49</v>
      </c>
      <c r="L1726" s="248">
        <v>0</v>
      </c>
      <c r="M1726" s="248">
        <v>0</v>
      </c>
      <c r="N1726" s="248">
        <v>1</v>
      </c>
      <c r="O1726" s="181">
        <f t="shared" si="12"/>
        <v>6.49</v>
      </c>
      <c r="P1726" s="247">
        <f t="shared" si="13"/>
        <v>6.49</v>
      </c>
    </row>
    <row r="1727" spans="1:16" ht="14.25">
      <c r="A1727" s="224">
        <v>1726</v>
      </c>
      <c r="B1727" s="248">
        <v>6145</v>
      </c>
      <c r="C1727" s="248" t="s">
        <v>2805</v>
      </c>
      <c r="D1727" s="248" t="s">
        <v>45</v>
      </c>
      <c r="E1727" s="248" t="s">
        <v>2860</v>
      </c>
      <c r="F1727" s="248" t="s">
        <v>5322</v>
      </c>
      <c r="G1727" s="248">
        <v>7</v>
      </c>
      <c r="H1727" s="248" t="s">
        <v>2557</v>
      </c>
      <c r="I1727" s="248">
        <v>75310</v>
      </c>
      <c r="J1727" s="250" t="s">
        <v>5323</v>
      </c>
      <c r="K1727" s="248">
        <v>3.99</v>
      </c>
      <c r="L1727" s="248">
        <v>0</v>
      </c>
      <c r="M1727" s="248">
        <v>0</v>
      </c>
      <c r="N1727" s="248">
        <v>1</v>
      </c>
      <c r="O1727" s="181">
        <f t="shared" si="12"/>
        <v>3.99</v>
      </c>
      <c r="P1727" s="247">
        <f t="shared" si="13"/>
        <v>3.99</v>
      </c>
    </row>
    <row r="1728" spans="1:16" ht="14.25">
      <c r="A1728" s="224">
        <v>1727</v>
      </c>
      <c r="B1728" s="248">
        <v>21992</v>
      </c>
      <c r="C1728" s="248" t="s">
        <v>3827</v>
      </c>
      <c r="D1728" s="248" t="s">
        <v>45</v>
      </c>
      <c r="E1728" s="248" t="s">
        <v>2860</v>
      </c>
      <c r="F1728" s="248" t="s">
        <v>5324</v>
      </c>
      <c r="G1728" s="248">
        <v>7</v>
      </c>
      <c r="H1728" s="248" t="s">
        <v>2557</v>
      </c>
      <c r="I1728" s="248">
        <v>77374</v>
      </c>
      <c r="J1728" s="250" t="s">
        <v>5325</v>
      </c>
      <c r="K1728" s="248">
        <v>8.99</v>
      </c>
      <c r="L1728" s="248">
        <v>0</v>
      </c>
      <c r="M1728" s="248">
        <v>0</v>
      </c>
      <c r="N1728" s="248">
        <v>1</v>
      </c>
      <c r="O1728" s="181">
        <f t="shared" si="12"/>
        <v>8.99</v>
      </c>
      <c r="P1728" s="247">
        <f t="shared" si="13"/>
        <v>8.99</v>
      </c>
    </row>
    <row r="1729" spans="1:16" ht="14.25">
      <c r="A1729" s="224">
        <v>1728</v>
      </c>
      <c r="B1729" s="248">
        <v>28935</v>
      </c>
      <c r="C1729" s="248" t="s">
        <v>5326</v>
      </c>
      <c r="D1729" s="248" t="s">
        <v>2582</v>
      </c>
      <c r="E1729" s="248" t="s">
        <v>2860</v>
      </c>
      <c r="F1729" s="248" t="s">
        <v>5327</v>
      </c>
      <c r="G1729" s="248">
        <v>7</v>
      </c>
      <c r="H1729" s="248" t="s">
        <v>2557</v>
      </c>
      <c r="I1729" s="248">
        <v>77410</v>
      </c>
      <c r="J1729" s="250" t="s">
        <v>5328</v>
      </c>
      <c r="K1729" s="248">
        <v>17.82</v>
      </c>
      <c r="L1729" s="248">
        <v>0</v>
      </c>
      <c r="M1729" s="248">
        <v>0</v>
      </c>
      <c r="N1729" s="248">
        <v>7.1573700000000002</v>
      </c>
      <c r="O1729" s="181">
        <f t="shared" si="12"/>
        <v>17.82</v>
      </c>
      <c r="P1729" s="247">
        <f t="shared" si="13"/>
        <v>2.4897413435381992</v>
      </c>
    </row>
    <row r="1730" spans="1:16" ht="14.25">
      <c r="A1730" s="224">
        <v>1729</v>
      </c>
      <c r="B1730" s="248">
        <v>27659</v>
      </c>
      <c r="C1730" s="248" t="s">
        <v>4961</v>
      </c>
      <c r="D1730" s="248" t="s">
        <v>45</v>
      </c>
      <c r="E1730" s="248" t="s">
        <v>2860</v>
      </c>
      <c r="F1730" s="248" t="s">
        <v>5329</v>
      </c>
      <c r="G1730" s="248">
        <v>7</v>
      </c>
      <c r="H1730" s="248" t="s">
        <v>2557</v>
      </c>
      <c r="I1730" s="248">
        <v>77422</v>
      </c>
      <c r="J1730" s="250" t="s">
        <v>5330</v>
      </c>
      <c r="K1730" s="248">
        <v>84.99</v>
      </c>
      <c r="L1730" s="248">
        <v>0</v>
      </c>
      <c r="M1730" s="248">
        <v>0</v>
      </c>
      <c r="N1730" s="248">
        <v>1</v>
      </c>
      <c r="O1730" s="181">
        <f t="shared" si="12"/>
        <v>84.99</v>
      </c>
      <c r="P1730" s="247">
        <f t="shared" si="13"/>
        <v>84.99</v>
      </c>
    </row>
    <row r="1731" spans="1:16" ht="14.25">
      <c r="A1731" s="224">
        <v>1730</v>
      </c>
      <c r="B1731" s="248">
        <v>22778</v>
      </c>
      <c r="C1731" s="248" t="s">
        <v>3929</v>
      </c>
      <c r="D1731" s="248" t="s">
        <v>45</v>
      </c>
      <c r="E1731" s="248" t="s">
        <v>2860</v>
      </c>
      <c r="F1731" s="248" t="s">
        <v>5331</v>
      </c>
      <c r="G1731" s="248">
        <v>7</v>
      </c>
      <c r="H1731" s="248" t="s">
        <v>2557</v>
      </c>
      <c r="I1731" s="248">
        <v>77434</v>
      </c>
      <c r="J1731" s="250" t="s">
        <v>5332</v>
      </c>
      <c r="K1731" s="248">
        <v>29.99</v>
      </c>
      <c r="L1731" s="248">
        <v>0</v>
      </c>
      <c r="M1731" s="248">
        <v>0</v>
      </c>
      <c r="N1731" s="248">
        <v>1</v>
      </c>
      <c r="O1731" s="181">
        <f t="shared" si="12"/>
        <v>29.99</v>
      </c>
      <c r="P1731" s="247">
        <f t="shared" si="13"/>
        <v>29.99</v>
      </c>
    </row>
    <row r="1732" spans="1:16" ht="14.25">
      <c r="A1732" s="224">
        <v>1731</v>
      </c>
      <c r="B1732" s="248">
        <v>6794</v>
      </c>
      <c r="C1732" s="248" t="s">
        <v>2623</v>
      </c>
      <c r="D1732" s="248" t="s">
        <v>45</v>
      </c>
      <c r="E1732" s="248" t="s">
        <v>2874</v>
      </c>
      <c r="F1732" s="248" t="s">
        <v>5333</v>
      </c>
      <c r="G1732" s="248">
        <v>7</v>
      </c>
      <c r="H1732" s="248" t="s">
        <v>2557</v>
      </c>
      <c r="I1732" s="248">
        <v>77446</v>
      </c>
      <c r="J1732" s="250" t="s">
        <v>5334</v>
      </c>
      <c r="K1732" s="248">
        <v>195.7</v>
      </c>
      <c r="L1732" s="248">
        <v>0</v>
      </c>
      <c r="M1732" s="248">
        <v>0</v>
      </c>
      <c r="N1732" s="248">
        <v>1</v>
      </c>
      <c r="O1732" s="181">
        <f t="shared" si="12"/>
        <v>195.7</v>
      </c>
      <c r="P1732" s="247">
        <f t="shared" si="13"/>
        <v>195.7</v>
      </c>
    </row>
    <row r="1733" spans="1:16" ht="14.25">
      <c r="A1733" s="224">
        <v>1732</v>
      </c>
      <c r="B1733" s="248">
        <v>22778</v>
      </c>
      <c r="C1733" s="248" t="s">
        <v>3929</v>
      </c>
      <c r="D1733" s="248" t="s">
        <v>45</v>
      </c>
      <c r="E1733" s="248" t="s">
        <v>2860</v>
      </c>
      <c r="F1733" s="248" t="s">
        <v>5335</v>
      </c>
      <c r="G1733" s="248">
        <v>7</v>
      </c>
      <c r="H1733" s="248" t="s">
        <v>2557</v>
      </c>
      <c r="I1733" s="248">
        <v>77482</v>
      </c>
      <c r="J1733" s="250" t="s">
        <v>5336</v>
      </c>
      <c r="K1733" s="248">
        <v>29.99</v>
      </c>
      <c r="L1733" s="248">
        <v>0</v>
      </c>
      <c r="M1733" s="248">
        <v>0</v>
      </c>
      <c r="N1733" s="248">
        <v>1</v>
      </c>
      <c r="O1733" s="181">
        <f t="shared" si="12"/>
        <v>29.99</v>
      </c>
      <c r="P1733" s="247">
        <f t="shared" si="13"/>
        <v>29.99</v>
      </c>
    </row>
    <row r="1734" spans="1:16" ht="14.25">
      <c r="A1734" s="224">
        <v>1733</v>
      </c>
      <c r="B1734" s="248">
        <v>28946</v>
      </c>
      <c r="C1734" s="248" t="s">
        <v>5337</v>
      </c>
      <c r="D1734" s="248" t="s">
        <v>2582</v>
      </c>
      <c r="E1734" s="248" t="s">
        <v>2860</v>
      </c>
      <c r="F1734" s="248" t="s">
        <v>5338</v>
      </c>
      <c r="G1734" s="248">
        <v>7</v>
      </c>
      <c r="H1734" s="248" t="s">
        <v>2557</v>
      </c>
      <c r="I1734" s="248">
        <v>77506</v>
      </c>
      <c r="J1734" s="250" t="s">
        <v>5339</v>
      </c>
      <c r="K1734" s="248">
        <v>28.56</v>
      </c>
      <c r="L1734" s="248">
        <v>0</v>
      </c>
      <c r="M1734" s="248">
        <v>0</v>
      </c>
      <c r="N1734" s="248">
        <v>7.1573700000000002</v>
      </c>
      <c r="O1734" s="181">
        <f t="shared" si="12"/>
        <v>28.56</v>
      </c>
      <c r="P1734" s="247">
        <f t="shared" si="13"/>
        <v>3.9902925236504467</v>
      </c>
    </row>
    <row r="1735" spans="1:16" ht="14.25">
      <c r="A1735" s="224">
        <v>1734</v>
      </c>
      <c r="B1735" s="248">
        <v>27903</v>
      </c>
      <c r="C1735" s="248" t="s">
        <v>5168</v>
      </c>
      <c r="D1735" s="248" t="s">
        <v>45</v>
      </c>
      <c r="E1735" s="248" t="s">
        <v>2874</v>
      </c>
      <c r="F1735" s="248" t="s">
        <v>5340</v>
      </c>
      <c r="G1735" s="248">
        <v>7</v>
      </c>
      <c r="H1735" s="248" t="s">
        <v>2557</v>
      </c>
      <c r="I1735" s="248">
        <v>77470</v>
      </c>
      <c r="J1735" s="250" t="s">
        <v>5341</v>
      </c>
      <c r="K1735" s="248">
        <v>90</v>
      </c>
      <c r="L1735" s="248">
        <v>0</v>
      </c>
      <c r="M1735" s="248">
        <v>0</v>
      </c>
      <c r="N1735" s="248">
        <v>1</v>
      </c>
      <c r="O1735" s="181">
        <f t="shared" si="12"/>
        <v>90</v>
      </c>
      <c r="P1735" s="247">
        <f t="shared" si="13"/>
        <v>90</v>
      </c>
    </row>
    <row r="1736" spans="1:16" ht="14.25">
      <c r="A1736" s="224">
        <v>1735</v>
      </c>
      <c r="B1736" s="248">
        <v>28946</v>
      </c>
      <c r="C1736" s="248" t="s">
        <v>5337</v>
      </c>
      <c r="D1736" s="248" t="s">
        <v>2582</v>
      </c>
      <c r="E1736" s="248" t="s">
        <v>2860</v>
      </c>
      <c r="F1736" s="248" t="s">
        <v>5342</v>
      </c>
      <c r="G1736" s="248">
        <v>7</v>
      </c>
      <c r="H1736" s="248" t="s">
        <v>2557</v>
      </c>
      <c r="I1736" s="248">
        <v>77530</v>
      </c>
      <c r="J1736" s="250" t="s">
        <v>5343</v>
      </c>
      <c r="K1736" s="248">
        <v>148.09</v>
      </c>
      <c r="L1736" s="248">
        <v>0</v>
      </c>
      <c r="M1736" s="248">
        <v>0</v>
      </c>
      <c r="N1736" s="248">
        <v>7.1573700000000002</v>
      </c>
      <c r="O1736" s="181">
        <f t="shared" si="12"/>
        <v>148.09</v>
      </c>
      <c r="P1736" s="247">
        <f t="shared" si="13"/>
        <v>20.690560918326145</v>
      </c>
    </row>
    <row r="1737" spans="1:16" ht="14.25">
      <c r="A1737" s="224">
        <v>1736</v>
      </c>
      <c r="B1737" s="248">
        <v>27880</v>
      </c>
      <c r="C1737" s="248" t="s">
        <v>4998</v>
      </c>
      <c r="D1737" s="248" t="s">
        <v>45</v>
      </c>
      <c r="E1737" s="248" t="s">
        <v>4772</v>
      </c>
      <c r="F1737" s="248" t="s">
        <v>5344</v>
      </c>
      <c r="G1737" s="248">
        <v>7</v>
      </c>
      <c r="H1737" s="248" t="s">
        <v>2557</v>
      </c>
      <c r="I1737" s="248">
        <v>75886</v>
      </c>
      <c r="J1737" s="250" t="s">
        <v>1455</v>
      </c>
      <c r="K1737" s="248">
        <v>9.99</v>
      </c>
      <c r="L1737" s="248">
        <v>0.28999999999999998</v>
      </c>
      <c r="M1737" s="248">
        <v>0</v>
      </c>
      <c r="N1737" s="248">
        <v>1</v>
      </c>
      <c r="O1737" s="181">
        <f t="shared" si="12"/>
        <v>9.7000000000000011</v>
      </c>
      <c r="P1737" s="247">
        <f t="shared" si="13"/>
        <v>9.7000000000000011</v>
      </c>
    </row>
    <row r="1738" spans="1:16" ht="14.25">
      <c r="A1738" s="224">
        <v>1737</v>
      </c>
      <c r="B1738" s="248">
        <v>28966</v>
      </c>
      <c r="C1738" s="248" t="s">
        <v>5345</v>
      </c>
      <c r="D1738" s="248" t="s">
        <v>2582</v>
      </c>
      <c r="E1738" s="248" t="s">
        <v>2860</v>
      </c>
      <c r="F1738" s="248" t="s">
        <v>5346</v>
      </c>
      <c r="G1738" s="248">
        <v>7</v>
      </c>
      <c r="H1738" s="248" t="s">
        <v>2557</v>
      </c>
      <c r="I1738" s="248">
        <v>77578</v>
      </c>
      <c r="J1738" s="250" t="s">
        <v>5347</v>
      </c>
      <c r="K1738" s="248">
        <v>148.32</v>
      </c>
      <c r="L1738" s="248">
        <v>0</v>
      </c>
      <c r="M1738" s="248">
        <v>0</v>
      </c>
      <c r="N1738" s="248">
        <v>7.1687099999999999</v>
      </c>
      <c r="O1738" s="181">
        <f t="shared" si="12"/>
        <v>148.32</v>
      </c>
      <c r="P1738" s="247">
        <f t="shared" si="13"/>
        <v>20.68991492193156</v>
      </c>
    </row>
    <row r="1739" spans="1:16" ht="14.25">
      <c r="A1739" s="224">
        <v>1738</v>
      </c>
      <c r="B1739" s="248">
        <v>1836</v>
      </c>
      <c r="C1739" s="248" t="s">
        <v>2882</v>
      </c>
      <c r="D1739" s="248" t="s">
        <v>2582</v>
      </c>
      <c r="E1739" s="248" t="s">
        <v>2860</v>
      </c>
      <c r="F1739" s="248" t="s">
        <v>5348</v>
      </c>
      <c r="G1739" s="248">
        <v>7</v>
      </c>
      <c r="H1739" s="248" t="s">
        <v>2557</v>
      </c>
      <c r="I1739" s="248">
        <v>75766</v>
      </c>
      <c r="J1739" s="250" t="s">
        <v>5349</v>
      </c>
      <c r="K1739" s="248">
        <v>876.73</v>
      </c>
      <c r="L1739" s="248">
        <v>0</v>
      </c>
      <c r="M1739" s="248">
        <v>0</v>
      </c>
      <c r="N1739" s="248">
        <v>7.1687099999999999</v>
      </c>
      <c r="O1739" s="181">
        <f t="shared" si="12"/>
        <v>876.73</v>
      </c>
      <c r="P1739" s="247">
        <f t="shared" si="13"/>
        <v>122.29954901230487</v>
      </c>
    </row>
    <row r="1740" spans="1:16" ht="14.25">
      <c r="A1740" s="224">
        <v>1739</v>
      </c>
      <c r="B1740" s="248">
        <v>28966</v>
      </c>
      <c r="C1740" s="248" t="s">
        <v>5345</v>
      </c>
      <c r="D1740" s="248" t="s">
        <v>2582</v>
      </c>
      <c r="E1740" s="248" t="s">
        <v>2860</v>
      </c>
      <c r="F1740" s="248" t="s">
        <v>5350</v>
      </c>
      <c r="G1740" s="248">
        <v>7</v>
      </c>
      <c r="H1740" s="248" t="s">
        <v>2557</v>
      </c>
      <c r="I1740" s="248">
        <v>77578</v>
      </c>
      <c r="J1740" s="250"/>
      <c r="K1740" s="248">
        <v>0.01</v>
      </c>
      <c r="L1740" s="248">
        <v>0</v>
      </c>
      <c r="M1740" s="248">
        <v>0</v>
      </c>
      <c r="N1740" s="248">
        <v>7.1687099999999999</v>
      </c>
      <c r="O1740" s="181">
        <f t="shared" si="12"/>
        <v>0.01</v>
      </c>
      <c r="P1740" s="247">
        <f t="shared" si="13"/>
        <v>1.3949511139382121E-3</v>
      </c>
    </row>
    <row r="1741" spans="1:16" ht="14.25">
      <c r="A1741" s="224">
        <v>1740</v>
      </c>
      <c r="B1741" s="248">
        <v>28971</v>
      </c>
      <c r="C1741" s="248" t="s">
        <v>5351</v>
      </c>
      <c r="D1741" s="248" t="s">
        <v>45</v>
      </c>
      <c r="E1741" s="248" t="s">
        <v>9</v>
      </c>
      <c r="F1741" s="248" t="s">
        <v>5352</v>
      </c>
      <c r="G1741" s="248">
        <v>7</v>
      </c>
      <c r="H1741" s="248" t="s">
        <v>2557</v>
      </c>
      <c r="I1741" s="248">
        <v>77638</v>
      </c>
      <c r="J1741" s="250" t="s">
        <v>607</v>
      </c>
      <c r="K1741" s="248">
        <v>8.99</v>
      </c>
      <c r="L1741" s="248">
        <v>0.94</v>
      </c>
      <c r="M1741" s="248">
        <v>0</v>
      </c>
      <c r="N1741" s="248">
        <v>1</v>
      </c>
      <c r="O1741" s="181">
        <f t="shared" si="12"/>
        <v>8.0500000000000007</v>
      </c>
      <c r="P1741" s="247">
        <f t="shared" si="13"/>
        <v>8.0500000000000007</v>
      </c>
    </row>
    <row r="1742" spans="1:16" ht="14.25">
      <c r="A1742" s="224">
        <v>1741</v>
      </c>
      <c r="B1742" s="248">
        <v>28976</v>
      </c>
      <c r="C1742" s="248" t="s">
        <v>5353</v>
      </c>
      <c r="D1742" s="248" t="s">
        <v>2582</v>
      </c>
      <c r="E1742" s="248" t="s">
        <v>2860</v>
      </c>
      <c r="F1742" s="248" t="s">
        <v>5354</v>
      </c>
      <c r="G1742" s="248">
        <v>7</v>
      </c>
      <c r="H1742" s="248" t="s">
        <v>2557</v>
      </c>
      <c r="I1742" s="248">
        <v>77686</v>
      </c>
      <c r="J1742" s="250" t="s">
        <v>5355</v>
      </c>
      <c r="K1742" s="248">
        <v>164.81</v>
      </c>
      <c r="L1742" s="248">
        <v>0</v>
      </c>
      <c r="M1742" s="248">
        <v>0</v>
      </c>
      <c r="N1742" s="248">
        <v>7.1687099999999999</v>
      </c>
      <c r="O1742" s="181">
        <f t="shared" si="12"/>
        <v>164.81</v>
      </c>
      <c r="P1742" s="247">
        <f t="shared" si="13"/>
        <v>22.990189308815673</v>
      </c>
    </row>
    <row r="1743" spans="1:16" ht="14.25">
      <c r="A1743" s="224">
        <v>1742</v>
      </c>
      <c r="B1743" s="248">
        <v>3309</v>
      </c>
      <c r="C1743" s="248" t="s">
        <v>2722</v>
      </c>
      <c r="D1743" s="248" t="s">
        <v>45</v>
      </c>
      <c r="E1743" s="248" t="s">
        <v>2860</v>
      </c>
      <c r="F1743" s="248" t="s">
        <v>5356</v>
      </c>
      <c r="G1743" s="248">
        <v>7</v>
      </c>
      <c r="H1743" s="248" t="s">
        <v>2557</v>
      </c>
      <c r="I1743" s="248">
        <v>77074</v>
      </c>
      <c r="J1743" s="250" t="s">
        <v>5357</v>
      </c>
      <c r="K1743" s="248">
        <v>59.99</v>
      </c>
      <c r="L1743" s="248">
        <v>0</v>
      </c>
      <c r="M1743" s="248">
        <v>0</v>
      </c>
      <c r="N1743" s="248">
        <v>1</v>
      </c>
      <c r="O1743" s="181">
        <f t="shared" si="12"/>
        <v>59.99</v>
      </c>
      <c r="P1743" s="247">
        <f t="shared" si="13"/>
        <v>59.99</v>
      </c>
    </row>
    <row r="1744" spans="1:16" ht="14.25">
      <c r="A1744" s="224">
        <v>1743</v>
      </c>
      <c r="B1744" s="248">
        <v>28667</v>
      </c>
      <c r="C1744" s="248" t="s">
        <v>5199</v>
      </c>
      <c r="D1744" s="248" t="s">
        <v>2582</v>
      </c>
      <c r="E1744" s="248" t="s">
        <v>2874</v>
      </c>
      <c r="F1744" s="248" t="s">
        <v>5358</v>
      </c>
      <c r="G1744" s="248">
        <v>7</v>
      </c>
      <c r="H1744" s="248" t="s">
        <v>2557</v>
      </c>
      <c r="I1744" s="248">
        <v>77590</v>
      </c>
      <c r="J1744" s="250" t="s">
        <v>5359</v>
      </c>
      <c r="K1744" s="248">
        <v>180</v>
      </c>
      <c r="L1744" s="248">
        <v>0</v>
      </c>
      <c r="M1744" s="248">
        <v>0</v>
      </c>
      <c r="N1744" s="248">
        <v>7.1687099999999999</v>
      </c>
      <c r="O1744" s="181">
        <f t="shared" si="12"/>
        <v>180</v>
      </c>
      <c r="P1744" s="247">
        <f t="shared" si="13"/>
        <v>25.109120050887817</v>
      </c>
    </row>
    <row r="1745" spans="1:16" ht="14.25">
      <c r="A1745" s="224">
        <v>1744</v>
      </c>
      <c r="B1745" s="248">
        <v>19314</v>
      </c>
      <c r="C1745" s="248" t="s">
        <v>3119</v>
      </c>
      <c r="D1745" s="248" t="s">
        <v>45</v>
      </c>
      <c r="E1745" s="248" t="s">
        <v>2874</v>
      </c>
      <c r="F1745" s="248" t="s">
        <v>5360</v>
      </c>
      <c r="G1745" s="248">
        <v>7</v>
      </c>
      <c r="H1745" s="248" t="s">
        <v>2557</v>
      </c>
      <c r="I1745" s="248">
        <v>75850</v>
      </c>
      <c r="J1745" s="250"/>
      <c r="K1745" s="248">
        <v>34</v>
      </c>
      <c r="L1745" s="248">
        <v>0</v>
      </c>
      <c r="M1745" s="248">
        <v>0</v>
      </c>
      <c r="N1745" s="248">
        <v>1</v>
      </c>
      <c r="O1745" s="181">
        <f t="shared" si="12"/>
        <v>34</v>
      </c>
      <c r="P1745" s="247">
        <f t="shared" si="13"/>
        <v>34</v>
      </c>
    </row>
    <row r="1746" spans="1:16" ht="14.25">
      <c r="A1746" s="224">
        <v>1745</v>
      </c>
      <c r="B1746" s="248">
        <v>19314</v>
      </c>
      <c r="C1746" s="248" t="s">
        <v>3119</v>
      </c>
      <c r="D1746" s="248" t="s">
        <v>45</v>
      </c>
      <c r="E1746" s="248" t="s">
        <v>2860</v>
      </c>
      <c r="F1746" s="248" t="s">
        <v>5360</v>
      </c>
      <c r="G1746" s="248">
        <v>7</v>
      </c>
      <c r="H1746" s="248" t="s">
        <v>2557</v>
      </c>
      <c r="I1746" s="248">
        <v>75898</v>
      </c>
      <c r="J1746" s="250"/>
      <c r="K1746" s="248">
        <v>213</v>
      </c>
      <c r="L1746" s="248">
        <v>0</v>
      </c>
      <c r="M1746" s="248">
        <v>0</v>
      </c>
      <c r="N1746" s="248">
        <v>1</v>
      </c>
      <c r="O1746" s="181">
        <f t="shared" si="12"/>
        <v>213</v>
      </c>
      <c r="P1746" s="247">
        <f t="shared" si="13"/>
        <v>213</v>
      </c>
    </row>
    <row r="1747" spans="1:16" ht="14.25">
      <c r="A1747" s="224">
        <v>1746</v>
      </c>
      <c r="B1747" s="248">
        <v>19314</v>
      </c>
      <c r="C1747" s="248" t="s">
        <v>3119</v>
      </c>
      <c r="D1747" s="248" t="s">
        <v>45</v>
      </c>
      <c r="E1747" s="248" t="s">
        <v>2860</v>
      </c>
      <c r="F1747" s="248" t="s">
        <v>5361</v>
      </c>
      <c r="G1747" s="248">
        <v>7</v>
      </c>
      <c r="H1747" s="248" t="s">
        <v>2557</v>
      </c>
      <c r="I1747" s="248">
        <v>77698</v>
      </c>
      <c r="J1747" s="250"/>
      <c r="K1747" s="248">
        <v>13.72</v>
      </c>
      <c r="L1747" s="248">
        <v>0</v>
      </c>
      <c r="M1747" s="248">
        <v>0</v>
      </c>
      <c r="N1747" s="248">
        <v>1</v>
      </c>
      <c r="O1747" s="181">
        <f t="shared" si="12"/>
        <v>13.72</v>
      </c>
      <c r="P1747" s="247">
        <f t="shared" si="13"/>
        <v>13.72</v>
      </c>
    </row>
    <row r="1748" spans="1:16" ht="14.25">
      <c r="A1748" s="224">
        <v>1747</v>
      </c>
      <c r="B1748" s="248">
        <v>24044</v>
      </c>
      <c r="C1748" s="248" t="s">
        <v>4118</v>
      </c>
      <c r="D1748" s="248" t="s">
        <v>2582</v>
      </c>
      <c r="E1748" s="248" t="s">
        <v>9</v>
      </c>
      <c r="F1748" s="248" t="s">
        <v>5362</v>
      </c>
      <c r="G1748" s="248">
        <v>7</v>
      </c>
      <c r="H1748" s="248" t="s">
        <v>2557</v>
      </c>
      <c r="I1748" s="248">
        <v>77710</v>
      </c>
      <c r="J1748" s="250" t="s">
        <v>610</v>
      </c>
      <c r="K1748" s="248">
        <v>32.19</v>
      </c>
      <c r="L1748" s="248">
        <v>5.09</v>
      </c>
      <c r="M1748" s="248">
        <v>0</v>
      </c>
      <c r="N1748" s="248">
        <v>7.1687099999999999</v>
      </c>
      <c r="O1748" s="181">
        <f t="shared" si="12"/>
        <v>27.099999999999998</v>
      </c>
      <c r="P1748" s="247">
        <f t="shared" si="13"/>
        <v>3.7803175187725544</v>
      </c>
    </row>
    <row r="1749" spans="1:16" ht="14.25">
      <c r="A1749" s="224">
        <v>1748</v>
      </c>
      <c r="B1749" s="248">
        <v>24044</v>
      </c>
      <c r="C1749" s="248" t="s">
        <v>4118</v>
      </c>
      <c r="D1749" s="248" t="s">
        <v>2582</v>
      </c>
      <c r="E1749" s="248" t="s">
        <v>9</v>
      </c>
      <c r="F1749" s="248" t="s">
        <v>5363</v>
      </c>
      <c r="G1749" s="248">
        <v>7</v>
      </c>
      <c r="H1749" s="248" t="s">
        <v>2557</v>
      </c>
      <c r="I1749" s="248">
        <v>77722</v>
      </c>
      <c r="J1749" s="250" t="s">
        <v>611</v>
      </c>
      <c r="K1749" s="248">
        <v>150</v>
      </c>
      <c r="L1749" s="248">
        <v>10.97</v>
      </c>
      <c r="M1749" s="248">
        <v>0</v>
      </c>
      <c r="N1749" s="248">
        <v>7.1687099999999999</v>
      </c>
      <c r="O1749" s="181">
        <f t="shared" si="12"/>
        <v>139.03</v>
      </c>
      <c r="P1749" s="247">
        <f t="shared" si="13"/>
        <v>19.394005337082962</v>
      </c>
    </row>
    <row r="1750" spans="1:16" ht="14.25">
      <c r="A1750" s="224">
        <v>1749</v>
      </c>
      <c r="B1750" s="248">
        <v>28983</v>
      </c>
      <c r="C1750" s="248" t="s">
        <v>5364</v>
      </c>
      <c r="D1750" s="248" t="s">
        <v>45</v>
      </c>
      <c r="E1750" s="248" t="s">
        <v>4772</v>
      </c>
      <c r="F1750" s="248" t="s">
        <v>5365</v>
      </c>
      <c r="G1750" s="248">
        <v>7</v>
      </c>
      <c r="H1750" s="248" t="s">
        <v>2557</v>
      </c>
      <c r="I1750" s="248">
        <v>77734</v>
      </c>
      <c r="J1750" s="250" t="s">
        <v>1458</v>
      </c>
      <c r="K1750" s="248">
        <v>3.99</v>
      </c>
      <c r="L1750" s="248">
        <v>0.12</v>
      </c>
      <c r="M1750" s="248">
        <v>0</v>
      </c>
      <c r="N1750" s="248">
        <v>1</v>
      </c>
      <c r="O1750" s="181">
        <f t="shared" si="12"/>
        <v>3.87</v>
      </c>
      <c r="P1750" s="247">
        <f t="shared" si="13"/>
        <v>3.87</v>
      </c>
    </row>
    <row r="1751" spans="1:16" ht="14.25">
      <c r="A1751" s="224">
        <v>1750</v>
      </c>
      <c r="B1751" s="248">
        <v>28984</v>
      </c>
      <c r="C1751" s="248" t="s">
        <v>5366</v>
      </c>
      <c r="D1751" s="248" t="s">
        <v>2582</v>
      </c>
      <c r="E1751" s="248" t="s">
        <v>2860</v>
      </c>
      <c r="F1751" s="248" t="s">
        <v>5367</v>
      </c>
      <c r="G1751" s="248">
        <v>7</v>
      </c>
      <c r="H1751" s="248" t="s">
        <v>2557</v>
      </c>
      <c r="I1751" s="248">
        <v>77758</v>
      </c>
      <c r="J1751" s="250" t="s">
        <v>5368</v>
      </c>
      <c r="K1751" s="248">
        <v>17.850000000000001</v>
      </c>
      <c r="L1751" s="248">
        <v>0</v>
      </c>
      <c r="M1751" s="248">
        <v>0</v>
      </c>
      <c r="N1751" s="248">
        <v>7.1687099999999999</v>
      </c>
      <c r="O1751" s="181">
        <f t="shared" si="12"/>
        <v>17.850000000000001</v>
      </c>
      <c r="P1751" s="247">
        <f t="shared" si="13"/>
        <v>2.4899877383797087</v>
      </c>
    </row>
    <row r="1752" spans="1:16" ht="14.25">
      <c r="A1752" s="224">
        <v>1751</v>
      </c>
      <c r="B1752" s="248">
        <v>28975</v>
      </c>
      <c r="C1752" s="248" t="s">
        <v>5369</v>
      </c>
      <c r="D1752" s="248" t="s">
        <v>45</v>
      </c>
      <c r="E1752" s="248" t="s">
        <v>2860</v>
      </c>
      <c r="F1752" s="248" t="s">
        <v>5370</v>
      </c>
      <c r="G1752" s="248">
        <v>7</v>
      </c>
      <c r="H1752" s="248" t="s">
        <v>2557</v>
      </c>
      <c r="I1752" s="248">
        <v>77650</v>
      </c>
      <c r="J1752" s="250" t="s">
        <v>5371</v>
      </c>
      <c r="K1752" s="248">
        <v>11.69</v>
      </c>
      <c r="L1752" s="248">
        <v>0</v>
      </c>
      <c r="M1752" s="248">
        <v>0</v>
      </c>
      <c r="N1752" s="248">
        <v>1</v>
      </c>
      <c r="O1752" s="181">
        <f t="shared" si="12"/>
        <v>11.69</v>
      </c>
      <c r="P1752" s="247">
        <f t="shared" si="13"/>
        <v>11.69</v>
      </c>
    </row>
    <row r="1753" spans="1:16" ht="14.25">
      <c r="A1753" s="224">
        <v>1752</v>
      </c>
      <c r="B1753" s="248">
        <v>1552</v>
      </c>
      <c r="C1753" s="248" t="s">
        <v>5372</v>
      </c>
      <c r="D1753" s="248" t="s">
        <v>2582</v>
      </c>
      <c r="E1753" s="248" t="s">
        <v>2860</v>
      </c>
      <c r="F1753" s="248" t="s">
        <v>5373</v>
      </c>
      <c r="G1753" s="248">
        <v>7</v>
      </c>
      <c r="H1753" s="248" t="s">
        <v>2557</v>
      </c>
      <c r="I1753" s="248">
        <v>77902</v>
      </c>
      <c r="J1753" s="250" t="s">
        <v>5374</v>
      </c>
      <c r="K1753" s="248">
        <v>46.52</v>
      </c>
      <c r="L1753" s="248">
        <v>0</v>
      </c>
      <c r="M1753" s="248">
        <v>0</v>
      </c>
      <c r="N1753" s="248">
        <v>7.1687099999999999</v>
      </c>
      <c r="O1753" s="181">
        <f t="shared" si="12"/>
        <v>46.52</v>
      </c>
      <c r="P1753" s="247">
        <f t="shared" si="13"/>
        <v>6.4893125820405633</v>
      </c>
    </row>
    <row r="1754" spans="1:16" ht="14.25">
      <c r="A1754" s="224">
        <v>1753</v>
      </c>
      <c r="B1754" s="248">
        <v>21915</v>
      </c>
      <c r="C1754" s="248" t="s">
        <v>3808</v>
      </c>
      <c r="D1754" s="248" t="s">
        <v>45</v>
      </c>
      <c r="E1754" s="248" t="s">
        <v>2874</v>
      </c>
      <c r="F1754" s="248" t="s">
        <v>5375</v>
      </c>
      <c r="G1754" s="248">
        <v>7</v>
      </c>
      <c r="H1754" s="248" t="s">
        <v>2557</v>
      </c>
      <c r="I1754" s="248">
        <v>77914</v>
      </c>
      <c r="J1754" s="250"/>
      <c r="K1754" s="248">
        <v>24.5</v>
      </c>
      <c r="L1754" s="248">
        <v>0</v>
      </c>
      <c r="M1754" s="248">
        <v>0</v>
      </c>
      <c r="N1754" s="248">
        <v>1</v>
      </c>
      <c r="O1754" s="181">
        <f t="shared" si="12"/>
        <v>24.5</v>
      </c>
      <c r="P1754" s="247">
        <f t="shared" si="13"/>
        <v>24.5</v>
      </c>
    </row>
    <row r="1755" spans="1:16" ht="14.25">
      <c r="A1755" s="224">
        <v>1754</v>
      </c>
      <c r="B1755" s="248">
        <v>28988</v>
      </c>
      <c r="C1755" s="248" t="s">
        <v>5376</v>
      </c>
      <c r="D1755" s="248" t="s">
        <v>45</v>
      </c>
      <c r="E1755" s="248" t="s">
        <v>9</v>
      </c>
      <c r="F1755" s="248" t="s">
        <v>5377</v>
      </c>
      <c r="G1755" s="248">
        <v>7</v>
      </c>
      <c r="H1755" s="248" t="s">
        <v>2557</v>
      </c>
      <c r="I1755" s="248">
        <v>77926</v>
      </c>
      <c r="J1755" s="250" t="s">
        <v>614</v>
      </c>
      <c r="K1755" s="248">
        <v>9.49</v>
      </c>
      <c r="L1755" s="248">
        <v>0.96</v>
      </c>
      <c r="M1755" s="248">
        <v>0</v>
      </c>
      <c r="N1755" s="248">
        <v>1</v>
      </c>
      <c r="O1755" s="181">
        <f t="shared" si="12"/>
        <v>8.5300000000000011</v>
      </c>
      <c r="P1755" s="247">
        <f t="shared" si="13"/>
        <v>8.5300000000000011</v>
      </c>
    </row>
    <row r="1756" spans="1:16" ht="14.25">
      <c r="A1756" s="224">
        <v>1755</v>
      </c>
      <c r="B1756" s="248">
        <v>25163</v>
      </c>
      <c r="C1756" s="248" t="s">
        <v>4531</v>
      </c>
      <c r="D1756" s="248" t="s">
        <v>45</v>
      </c>
      <c r="E1756" s="248" t="s">
        <v>2860</v>
      </c>
      <c r="F1756" s="248" t="s">
        <v>5378</v>
      </c>
      <c r="G1756" s="248">
        <v>7</v>
      </c>
      <c r="H1756" s="248" t="s">
        <v>2557</v>
      </c>
      <c r="I1756" s="248">
        <v>76774</v>
      </c>
      <c r="J1756" s="250" t="s">
        <v>5379</v>
      </c>
      <c r="K1756" s="248">
        <v>19.989999999999998</v>
      </c>
      <c r="L1756" s="248">
        <v>0</v>
      </c>
      <c r="M1756" s="248">
        <v>0</v>
      </c>
      <c r="N1756" s="248">
        <v>1</v>
      </c>
      <c r="O1756" s="181">
        <f t="shared" si="12"/>
        <v>19.989999999999998</v>
      </c>
      <c r="P1756" s="247">
        <f t="shared" si="13"/>
        <v>19.989999999999998</v>
      </c>
    </row>
    <row r="1757" spans="1:16" ht="14.25">
      <c r="A1757" s="224">
        <v>1756</v>
      </c>
      <c r="B1757" s="248">
        <v>28960</v>
      </c>
      <c r="C1757" s="248" t="s">
        <v>5380</v>
      </c>
      <c r="D1757" s="248" t="s">
        <v>2582</v>
      </c>
      <c r="E1757" s="248" t="s">
        <v>4772</v>
      </c>
      <c r="F1757" s="248" t="s">
        <v>5381</v>
      </c>
      <c r="G1757" s="248">
        <v>7</v>
      </c>
      <c r="H1757" s="248" t="s">
        <v>2557</v>
      </c>
      <c r="I1757" s="248">
        <v>77938</v>
      </c>
      <c r="J1757" s="250" t="s">
        <v>1461</v>
      </c>
      <c r="K1757" s="248">
        <v>148.33000000000001</v>
      </c>
      <c r="L1757" s="248">
        <v>0.6</v>
      </c>
      <c r="M1757" s="248">
        <v>0</v>
      </c>
      <c r="N1757" s="248">
        <v>7.1687099999999999</v>
      </c>
      <c r="O1757" s="181">
        <f t="shared" si="12"/>
        <v>147.73000000000002</v>
      </c>
      <c r="P1757" s="247">
        <f t="shared" si="13"/>
        <v>20.607612806209207</v>
      </c>
    </row>
    <row r="1758" spans="1:16" ht="14.25">
      <c r="A1758" s="224">
        <v>1757</v>
      </c>
      <c r="B1758" s="248">
        <v>28976</v>
      </c>
      <c r="C1758" s="248" t="s">
        <v>5353</v>
      </c>
      <c r="D1758" s="248" t="s">
        <v>2582</v>
      </c>
      <c r="E1758" s="248" t="s">
        <v>2860</v>
      </c>
      <c r="F1758" s="248" t="s">
        <v>5382</v>
      </c>
      <c r="G1758" s="248">
        <v>7</v>
      </c>
      <c r="H1758" s="248" t="s">
        <v>2557</v>
      </c>
      <c r="I1758" s="248">
        <v>78082</v>
      </c>
      <c r="J1758" s="250" t="s">
        <v>5383</v>
      </c>
      <c r="K1758" s="248">
        <v>35.770000000000003</v>
      </c>
      <c r="L1758" s="248">
        <v>0</v>
      </c>
      <c r="M1758" s="248">
        <v>0</v>
      </c>
      <c r="N1758" s="248">
        <v>7.1687099999999999</v>
      </c>
      <c r="O1758" s="181">
        <f t="shared" si="12"/>
        <v>35.770000000000003</v>
      </c>
      <c r="P1758" s="247">
        <f t="shared" si="13"/>
        <v>4.9897401345569845</v>
      </c>
    </row>
    <row r="1759" spans="1:16" ht="14.25">
      <c r="A1759" s="224">
        <v>1758</v>
      </c>
      <c r="B1759" s="248">
        <v>28976</v>
      </c>
      <c r="C1759" s="248" t="s">
        <v>5353</v>
      </c>
      <c r="D1759" s="248" t="s">
        <v>2582</v>
      </c>
      <c r="E1759" s="248" t="s">
        <v>2860</v>
      </c>
      <c r="F1759" s="248" t="s">
        <v>5382</v>
      </c>
      <c r="G1759" s="248">
        <v>7</v>
      </c>
      <c r="H1759" s="248" t="s">
        <v>2557</v>
      </c>
      <c r="I1759" s="248">
        <v>78082</v>
      </c>
      <c r="J1759" s="250" t="s">
        <v>5383</v>
      </c>
      <c r="K1759" s="248">
        <v>35.770000000000003</v>
      </c>
      <c r="L1759" s="248">
        <v>0</v>
      </c>
      <c r="M1759" s="248">
        <v>0</v>
      </c>
      <c r="N1759" s="248">
        <v>7.1687099999999999</v>
      </c>
      <c r="O1759" s="181">
        <f t="shared" si="12"/>
        <v>35.770000000000003</v>
      </c>
      <c r="P1759" s="247">
        <f t="shared" si="13"/>
        <v>4.9897401345569845</v>
      </c>
    </row>
    <row r="1760" spans="1:16" ht="14.25">
      <c r="A1760" s="224">
        <v>1759</v>
      </c>
      <c r="B1760" s="248">
        <v>4561</v>
      </c>
      <c r="C1760" s="248" t="s">
        <v>3351</v>
      </c>
      <c r="D1760" s="248" t="s">
        <v>2582</v>
      </c>
      <c r="E1760" s="248" t="s">
        <v>2860</v>
      </c>
      <c r="F1760" s="248" t="s">
        <v>5384</v>
      </c>
      <c r="G1760" s="248">
        <v>7</v>
      </c>
      <c r="H1760" s="248" t="s">
        <v>2557</v>
      </c>
      <c r="I1760" s="248">
        <v>78118</v>
      </c>
      <c r="J1760" s="250" t="s">
        <v>5385</v>
      </c>
      <c r="K1760" s="248">
        <v>91.69</v>
      </c>
      <c r="L1760" s="248">
        <v>0</v>
      </c>
      <c r="M1760" s="248">
        <v>0</v>
      </c>
      <c r="N1760" s="248">
        <v>7.1687099999999999</v>
      </c>
      <c r="O1760" s="181">
        <f t="shared" si="12"/>
        <v>91.69</v>
      </c>
      <c r="P1760" s="247">
        <f t="shared" si="13"/>
        <v>12.790306763699466</v>
      </c>
    </row>
    <row r="1761" spans="1:16" ht="14.25">
      <c r="A1761" s="224">
        <v>1760</v>
      </c>
      <c r="B1761" s="248">
        <v>24984</v>
      </c>
      <c r="C1761" s="248" t="s">
        <v>4354</v>
      </c>
      <c r="D1761" s="248" t="s">
        <v>45</v>
      </c>
      <c r="E1761" s="248" t="s">
        <v>2860</v>
      </c>
      <c r="F1761" s="248" t="s">
        <v>5386</v>
      </c>
      <c r="G1761" s="248">
        <v>7</v>
      </c>
      <c r="H1761" s="248" t="s">
        <v>2557</v>
      </c>
      <c r="I1761" s="248">
        <v>75526</v>
      </c>
      <c r="J1761" s="250" t="s">
        <v>5387</v>
      </c>
      <c r="K1761" s="248">
        <v>10.39</v>
      </c>
      <c r="L1761" s="248">
        <v>0</v>
      </c>
      <c r="M1761" s="248">
        <v>0</v>
      </c>
      <c r="N1761" s="248">
        <v>1</v>
      </c>
      <c r="O1761" s="181">
        <f t="shared" si="12"/>
        <v>10.39</v>
      </c>
      <c r="P1761" s="247">
        <f t="shared" si="13"/>
        <v>10.39</v>
      </c>
    </row>
    <row r="1762" spans="1:16" ht="14.25">
      <c r="A1762" s="224">
        <v>1761</v>
      </c>
      <c r="B1762" s="248">
        <v>24901</v>
      </c>
      <c r="C1762" s="248" t="s">
        <v>5018</v>
      </c>
      <c r="D1762" s="248" t="s">
        <v>2582</v>
      </c>
      <c r="E1762" s="248" t="s">
        <v>4772</v>
      </c>
      <c r="F1762" s="248" t="s">
        <v>5388</v>
      </c>
      <c r="G1762" s="248">
        <v>7</v>
      </c>
      <c r="H1762" s="248" t="s">
        <v>5389</v>
      </c>
      <c r="I1762" s="248">
        <v>75826</v>
      </c>
      <c r="J1762" s="250"/>
      <c r="K1762" s="248">
        <v>0</v>
      </c>
      <c r="L1762" s="248">
        <v>-3.45</v>
      </c>
      <c r="M1762" s="248">
        <v>852.16</v>
      </c>
      <c r="N1762" s="248">
        <v>7.1672399999999996</v>
      </c>
      <c r="O1762" s="181">
        <f t="shared" si="12"/>
        <v>-848.70999999999992</v>
      </c>
      <c r="P1762" s="247">
        <f t="shared" si="13"/>
        <v>-118.41517794855481</v>
      </c>
    </row>
    <row r="1763" spans="1:16" ht="14.25">
      <c r="A1763" s="224">
        <v>1762</v>
      </c>
      <c r="B1763" s="248">
        <v>24901</v>
      </c>
      <c r="C1763" s="248" t="s">
        <v>5018</v>
      </c>
      <c r="D1763" s="248" t="s">
        <v>2582</v>
      </c>
      <c r="E1763" s="248" t="s">
        <v>4772</v>
      </c>
      <c r="F1763" s="248" t="s">
        <v>5388</v>
      </c>
      <c r="G1763" s="248">
        <v>7</v>
      </c>
      <c r="H1763" s="248" t="s">
        <v>5390</v>
      </c>
      <c r="I1763" s="248">
        <v>73773</v>
      </c>
      <c r="J1763" s="250"/>
      <c r="K1763" s="248">
        <v>0</v>
      </c>
      <c r="L1763" s="248">
        <v>-1.73</v>
      </c>
      <c r="M1763" s="248">
        <v>102.26</v>
      </c>
      <c r="N1763" s="248">
        <v>7.1620699999999999</v>
      </c>
      <c r="O1763" s="181">
        <f t="shared" si="12"/>
        <v>-100.53</v>
      </c>
      <c r="P1763" s="247">
        <f t="shared" si="13"/>
        <v>-14.036444770855354</v>
      </c>
    </row>
    <row r="1764" spans="1:16" ht="14.25">
      <c r="A1764" s="224">
        <v>1763</v>
      </c>
      <c r="B1764" s="248">
        <v>25736</v>
      </c>
      <c r="C1764" s="248" t="s">
        <v>4691</v>
      </c>
      <c r="D1764" s="248" t="s">
        <v>45</v>
      </c>
      <c r="E1764" s="248" t="s">
        <v>2874</v>
      </c>
      <c r="F1764" s="248" t="s">
        <v>5391</v>
      </c>
      <c r="G1764" s="248">
        <v>7</v>
      </c>
      <c r="H1764" s="248" t="s">
        <v>2557</v>
      </c>
      <c r="I1764" s="248">
        <v>78142</v>
      </c>
      <c r="J1764" s="250" t="s">
        <v>5392</v>
      </c>
      <c r="K1764" s="248">
        <v>46.74</v>
      </c>
      <c r="L1764" s="248">
        <v>0</v>
      </c>
      <c r="M1764" s="248">
        <v>0</v>
      </c>
      <c r="N1764" s="248">
        <v>1</v>
      </c>
      <c r="O1764" s="181">
        <f t="shared" si="12"/>
        <v>46.74</v>
      </c>
      <c r="P1764" s="247">
        <f t="shared" si="13"/>
        <v>46.74</v>
      </c>
    </row>
    <row r="1765" spans="1:16" ht="14.25">
      <c r="A1765" s="224">
        <v>1764</v>
      </c>
      <c r="B1765" s="248">
        <v>28942</v>
      </c>
      <c r="C1765" s="248" t="s">
        <v>5393</v>
      </c>
      <c r="D1765" s="248" t="s">
        <v>45</v>
      </c>
      <c r="E1765" s="248" t="s">
        <v>2860</v>
      </c>
      <c r="F1765" s="248" t="s">
        <v>5394</v>
      </c>
      <c r="G1765" s="248">
        <v>7</v>
      </c>
      <c r="H1765" s="248" t="s">
        <v>2557</v>
      </c>
      <c r="I1765" s="248">
        <v>78154</v>
      </c>
      <c r="J1765" s="250" t="s">
        <v>5395</v>
      </c>
      <c r="K1765" s="248">
        <v>2.4900000000000002</v>
      </c>
      <c r="L1765" s="248">
        <v>0</v>
      </c>
      <c r="M1765" s="248">
        <v>0</v>
      </c>
      <c r="N1765" s="248">
        <v>1</v>
      </c>
      <c r="O1765" s="181">
        <f t="shared" si="12"/>
        <v>2.4900000000000002</v>
      </c>
      <c r="P1765" s="247">
        <f t="shared" si="13"/>
        <v>2.4900000000000002</v>
      </c>
    </row>
    <row r="1766" spans="1:16" ht="14.25">
      <c r="A1766" s="224">
        <v>1765</v>
      </c>
      <c r="B1766" s="248">
        <v>3747</v>
      </c>
      <c r="C1766" s="248" t="s">
        <v>4039</v>
      </c>
      <c r="D1766" s="248" t="s">
        <v>2582</v>
      </c>
      <c r="E1766" s="248" t="s">
        <v>9</v>
      </c>
      <c r="F1766" s="248" t="s">
        <v>5396</v>
      </c>
      <c r="G1766" s="248">
        <v>7</v>
      </c>
      <c r="H1766" s="248" t="s">
        <v>2557</v>
      </c>
      <c r="I1766" s="248">
        <v>76390</v>
      </c>
      <c r="J1766" s="250" t="s">
        <v>616</v>
      </c>
      <c r="K1766" s="248">
        <v>52.12</v>
      </c>
      <c r="L1766" s="248">
        <v>5.31</v>
      </c>
      <c r="M1766" s="248">
        <v>0</v>
      </c>
      <c r="N1766" s="248">
        <v>7.1739300000000004</v>
      </c>
      <c r="O1766" s="181">
        <f t="shared" si="12"/>
        <v>46.809999999999995</v>
      </c>
      <c r="P1766" s="247">
        <f t="shared" si="13"/>
        <v>6.5250148802678574</v>
      </c>
    </row>
    <row r="1767" spans="1:16" ht="14.25">
      <c r="A1767" s="224">
        <v>1766</v>
      </c>
      <c r="B1767" s="248">
        <v>29006</v>
      </c>
      <c r="C1767" s="248" t="s">
        <v>5397</v>
      </c>
      <c r="D1767" s="248" t="s">
        <v>45</v>
      </c>
      <c r="E1767" s="248" t="s">
        <v>2860</v>
      </c>
      <c r="F1767" s="248" t="s">
        <v>5398</v>
      </c>
      <c r="G1767" s="248">
        <v>7</v>
      </c>
      <c r="H1767" s="248" t="s">
        <v>2557</v>
      </c>
      <c r="I1767" s="248">
        <v>78214</v>
      </c>
      <c r="J1767" s="250" t="s">
        <v>5399</v>
      </c>
      <c r="K1767" s="248">
        <v>11.69</v>
      </c>
      <c r="L1767" s="248">
        <v>0</v>
      </c>
      <c r="M1767" s="248">
        <v>0</v>
      </c>
      <c r="N1767" s="248">
        <v>1</v>
      </c>
      <c r="O1767" s="181">
        <f t="shared" si="12"/>
        <v>11.69</v>
      </c>
      <c r="P1767" s="247">
        <f t="shared" si="13"/>
        <v>11.69</v>
      </c>
    </row>
    <row r="1768" spans="1:16" ht="14.25">
      <c r="A1768" s="224">
        <v>1767</v>
      </c>
      <c r="B1768" s="248">
        <v>25464</v>
      </c>
      <c r="C1768" s="248" t="s">
        <v>4628</v>
      </c>
      <c r="D1768" s="248" t="s">
        <v>2582</v>
      </c>
      <c r="E1768" s="248" t="s">
        <v>2860</v>
      </c>
      <c r="F1768" s="248" t="s">
        <v>5400</v>
      </c>
      <c r="G1768" s="248">
        <v>7</v>
      </c>
      <c r="H1768" s="248" t="s">
        <v>2557</v>
      </c>
      <c r="I1768" s="248">
        <v>78226</v>
      </c>
      <c r="J1768" s="250" t="s">
        <v>5401</v>
      </c>
      <c r="K1768" s="248">
        <v>150.37</v>
      </c>
      <c r="L1768" s="248">
        <v>0</v>
      </c>
      <c r="M1768" s="248">
        <v>0</v>
      </c>
      <c r="N1768" s="248">
        <v>7.1739300000000004</v>
      </c>
      <c r="O1768" s="181">
        <f t="shared" si="12"/>
        <v>150.37</v>
      </c>
      <c r="P1768" s="247">
        <f t="shared" si="13"/>
        <v>20.960617123389831</v>
      </c>
    </row>
    <row r="1769" spans="1:16" ht="14.25">
      <c r="A1769" s="224">
        <v>1768</v>
      </c>
      <c r="B1769" s="248">
        <v>4561</v>
      </c>
      <c r="C1769" s="248" t="s">
        <v>3351</v>
      </c>
      <c r="D1769" s="248" t="s">
        <v>2582</v>
      </c>
      <c r="E1769" s="248" t="s">
        <v>2860</v>
      </c>
      <c r="F1769" s="248" t="s">
        <v>5402</v>
      </c>
      <c r="G1769" s="248">
        <v>7</v>
      </c>
      <c r="H1769" s="248" t="s">
        <v>2557</v>
      </c>
      <c r="I1769" s="248">
        <v>78118</v>
      </c>
      <c r="J1769" s="250"/>
      <c r="K1769" s="248">
        <v>0.01</v>
      </c>
      <c r="L1769" s="248">
        <v>0</v>
      </c>
      <c r="M1769" s="248">
        <v>0</v>
      </c>
      <c r="N1769" s="248">
        <v>7.1739300000000004</v>
      </c>
      <c r="O1769" s="181">
        <f t="shared" si="12"/>
        <v>0.01</v>
      </c>
      <c r="P1769" s="247">
        <f t="shared" si="13"/>
        <v>1.3939360991813412E-3</v>
      </c>
    </row>
    <row r="1770" spans="1:16" ht="14.25">
      <c r="A1770" s="224">
        <v>1769</v>
      </c>
      <c r="B1770" s="248">
        <v>29030</v>
      </c>
      <c r="C1770" s="248" t="s">
        <v>5403</v>
      </c>
      <c r="D1770" s="248" t="s">
        <v>45</v>
      </c>
      <c r="E1770" s="248" t="s">
        <v>2860</v>
      </c>
      <c r="F1770" s="248" t="s">
        <v>5404</v>
      </c>
      <c r="G1770" s="248">
        <v>7</v>
      </c>
      <c r="H1770" s="248" t="s">
        <v>2557</v>
      </c>
      <c r="I1770" s="248">
        <v>78238</v>
      </c>
      <c r="J1770" s="250" t="s">
        <v>5405</v>
      </c>
      <c r="K1770" s="248">
        <v>8.99</v>
      </c>
      <c r="L1770" s="248">
        <v>0</v>
      </c>
      <c r="M1770" s="248">
        <v>0</v>
      </c>
      <c r="N1770" s="248">
        <v>1</v>
      </c>
      <c r="O1770" s="181">
        <f t="shared" si="12"/>
        <v>8.99</v>
      </c>
      <c r="P1770" s="247">
        <f t="shared" si="13"/>
        <v>8.99</v>
      </c>
    </row>
    <row r="1771" spans="1:16" ht="14.25">
      <c r="A1771" s="224">
        <v>1770</v>
      </c>
      <c r="B1771" s="248">
        <v>29031</v>
      </c>
      <c r="C1771" s="248" t="s">
        <v>5406</v>
      </c>
      <c r="D1771" s="248" t="s">
        <v>45</v>
      </c>
      <c r="E1771" s="248" t="s">
        <v>2860</v>
      </c>
      <c r="F1771" s="248" t="s">
        <v>5407</v>
      </c>
      <c r="G1771" s="248">
        <v>7</v>
      </c>
      <c r="H1771" s="248" t="s">
        <v>2557</v>
      </c>
      <c r="I1771" s="248">
        <v>78250</v>
      </c>
      <c r="J1771" s="250" t="s">
        <v>5408</v>
      </c>
      <c r="K1771" s="248">
        <v>22.99</v>
      </c>
      <c r="L1771" s="248">
        <v>0</v>
      </c>
      <c r="M1771" s="248">
        <v>0</v>
      </c>
      <c r="N1771" s="248">
        <v>1</v>
      </c>
      <c r="O1771" s="181">
        <f t="shared" si="12"/>
        <v>22.99</v>
      </c>
      <c r="P1771" s="247">
        <f t="shared" si="13"/>
        <v>22.99</v>
      </c>
    </row>
    <row r="1772" spans="1:16" ht="14.25">
      <c r="A1772" s="224">
        <v>1771</v>
      </c>
      <c r="B1772" s="248">
        <v>28976</v>
      </c>
      <c r="C1772" s="248" t="s">
        <v>5353</v>
      </c>
      <c r="D1772" s="248" t="s">
        <v>2582</v>
      </c>
      <c r="E1772" s="248" t="s">
        <v>2860</v>
      </c>
      <c r="F1772" s="248" t="s">
        <v>5409</v>
      </c>
      <c r="G1772" s="248">
        <v>7</v>
      </c>
      <c r="H1772" s="248" t="s">
        <v>2557</v>
      </c>
      <c r="I1772" s="248">
        <v>78262</v>
      </c>
      <c r="J1772" s="250" t="s">
        <v>5410</v>
      </c>
      <c r="K1772" s="248">
        <v>268.88</v>
      </c>
      <c r="L1772" s="248">
        <v>0</v>
      </c>
      <c r="M1772" s="248">
        <v>0</v>
      </c>
      <c r="N1772" s="248">
        <v>7.1739300000000004</v>
      </c>
      <c r="O1772" s="181">
        <f t="shared" si="12"/>
        <v>268.88</v>
      </c>
      <c r="P1772" s="247">
        <f t="shared" si="13"/>
        <v>37.480153834787906</v>
      </c>
    </row>
    <row r="1773" spans="1:16" ht="14.25">
      <c r="A1773" s="224">
        <v>1772</v>
      </c>
      <c r="B1773" s="248">
        <v>29032</v>
      </c>
      <c r="C1773" s="248" t="s">
        <v>5411</v>
      </c>
      <c r="D1773" s="248" t="s">
        <v>45</v>
      </c>
      <c r="E1773" s="248" t="s">
        <v>2860</v>
      </c>
      <c r="F1773" s="248" t="s">
        <v>5412</v>
      </c>
      <c r="G1773" s="248">
        <v>7</v>
      </c>
      <c r="H1773" s="248" t="s">
        <v>2557</v>
      </c>
      <c r="I1773" s="248">
        <v>78274</v>
      </c>
      <c r="J1773" s="250" t="s">
        <v>5413</v>
      </c>
      <c r="K1773" s="248">
        <v>2.4900000000000002</v>
      </c>
      <c r="L1773" s="248">
        <v>0</v>
      </c>
      <c r="M1773" s="248">
        <v>0</v>
      </c>
      <c r="N1773" s="248">
        <v>1</v>
      </c>
      <c r="O1773" s="181">
        <f t="shared" si="12"/>
        <v>2.4900000000000002</v>
      </c>
      <c r="P1773" s="247">
        <f t="shared" si="13"/>
        <v>2.4900000000000002</v>
      </c>
    </row>
    <row r="1774" spans="1:16" ht="14.25">
      <c r="A1774" s="224">
        <v>1773</v>
      </c>
      <c r="B1774" s="248">
        <v>25163</v>
      </c>
      <c r="C1774" s="248" t="s">
        <v>4531</v>
      </c>
      <c r="D1774" s="248" t="s">
        <v>45</v>
      </c>
      <c r="E1774" s="248" t="s">
        <v>2860</v>
      </c>
      <c r="F1774" s="248" t="s">
        <v>5414</v>
      </c>
      <c r="G1774" s="248">
        <v>7</v>
      </c>
      <c r="H1774" s="248" t="s">
        <v>2557</v>
      </c>
      <c r="I1774" s="248">
        <v>78286</v>
      </c>
      <c r="J1774" s="250" t="s">
        <v>5415</v>
      </c>
      <c r="K1774" s="248">
        <v>15</v>
      </c>
      <c r="L1774" s="248">
        <v>0</v>
      </c>
      <c r="M1774" s="248">
        <v>0</v>
      </c>
      <c r="N1774" s="248">
        <v>1</v>
      </c>
      <c r="O1774" s="181">
        <f t="shared" si="12"/>
        <v>15</v>
      </c>
      <c r="P1774" s="247">
        <f t="shared" si="13"/>
        <v>15</v>
      </c>
    </row>
    <row r="1775" spans="1:16" ht="14.25">
      <c r="A1775" s="224">
        <v>1774</v>
      </c>
      <c r="B1775" s="248">
        <v>3747</v>
      </c>
      <c r="C1775" s="248" t="s">
        <v>4039</v>
      </c>
      <c r="D1775" s="248" t="s">
        <v>2582</v>
      </c>
      <c r="E1775" s="248" t="s">
        <v>9</v>
      </c>
      <c r="F1775" s="248" t="s">
        <v>5416</v>
      </c>
      <c r="G1775" s="248">
        <v>7</v>
      </c>
      <c r="H1775" s="248" t="s">
        <v>2557</v>
      </c>
      <c r="I1775" s="248">
        <v>76390</v>
      </c>
      <c r="J1775" s="250" t="s">
        <v>618</v>
      </c>
      <c r="K1775" s="248">
        <v>52.12</v>
      </c>
      <c r="L1775" s="248">
        <v>5.31</v>
      </c>
      <c r="M1775" s="248">
        <v>0</v>
      </c>
      <c r="N1775" s="248">
        <v>7.1739300000000004</v>
      </c>
      <c r="O1775" s="181">
        <f t="shared" si="12"/>
        <v>46.809999999999995</v>
      </c>
      <c r="P1775" s="247">
        <f t="shared" si="13"/>
        <v>6.5250148802678574</v>
      </c>
    </row>
    <row r="1776" spans="1:16" ht="14.25">
      <c r="A1776" s="224">
        <v>1775</v>
      </c>
      <c r="B1776" s="248">
        <v>28975</v>
      </c>
      <c r="C1776" s="248" t="s">
        <v>5369</v>
      </c>
      <c r="D1776" s="248" t="s">
        <v>45</v>
      </c>
      <c r="E1776" s="248" t="s">
        <v>2860</v>
      </c>
      <c r="F1776" s="248" t="s">
        <v>5417</v>
      </c>
      <c r="G1776" s="248">
        <v>7</v>
      </c>
      <c r="H1776" s="248" t="s">
        <v>2557</v>
      </c>
      <c r="I1776" s="248">
        <v>78298</v>
      </c>
      <c r="J1776" s="250" t="s">
        <v>5418</v>
      </c>
      <c r="K1776" s="248">
        <v>15.29</v>
      </c>
      <c r="L1776" s="248">
        <v>0</v>
      </c>
      <c r="M1776" s="248">
        <v>0</v>
      </c>
      <c r="N1776" s="248">
        <v>1</v>
      </c>
      <c r="O1776" s="181">
        <f t="shared" si="12"/>
        <v>15.29</v>
      </c>
      <c r="P1776" s="247">
        <f t="shared" si="13"/>
        <v>15.29</v>
      </c>
    </row>
    <row r="1777" spans="1:16" ht="14.25">
      <c r="A1777" s="224">
        <v>1776</v>
      </c>
      <c r="B1777" s="248">
        <v>25163</v>
      </c>
      <c r="C1777" s="248" t="s">
        <v>4531</v>
      </c>
      <c r="D1777" s="248" t="s">
        <v>45</v>
      </c>
      <c r="E1777" s="248" t="s">
        <v>2860</v>
      </c>
      <c r="F1777" s="248" t="s">
        <v>5419</v>
      </c>
      <c r="G1777" s="248">
        <v>7</v>
      </c>
      <c r="H1777" s="248" t="s">
        <v>2557</v>
      </c>
      <c r="I1777" s="248">
        <v>75862</v>
      </c>
      <c r="J1777" s="250" t="s">
        <v>5420</v>
      </c>
      <c r="K1777" s="248">
        <v>18.989999999999998</v>
      </c>
      <c r="L1777" s="248">
        <v>0</v>
      </c>
      <c r="M1777" s="248">
        <v>0</v>
      </c>
      <c r="N1777" s="248">
        <v>1</v>
      </c>
      <c r="O1777" s="181">
        <f t="shared" si="12"/>
        <v>18.989999999999998</v>
      </c>
      <c r="P1777" s="247">
        <f t="shared" si="13"/>
        <v>18.989999999999998</v>
      </c>
    </row>
    <row r="1778" spans="1:16" ht="14.25">
      <c r="A1778" s="224">
        <v>1777</v>
      </c>
      <c r="B1778" s="248">
        <v>7254</v>
      </c>
      <c r="C1778" s="248" t="s">
        <v>4521</v>
      </c>
      <c r="D1778" s="248" t="s">
        <v>45</v>
      </c>
      <c r="E1778" s="248" t="s">
        <v>2860</v>
      </c>
      <c r="F1778" s="248" t="s">
        <v>5421</v>
      </c>
      <c r="G1778" s="248">
        <v>7</v>
      </c>
      <c r="H1778" s="248" t="s">
        <v>2557</v>
      </c>
      <c r="I1778" s="248">
        <v>75874</v>
      </c>
      <c r="J1778" s="250" t="s">
        <v>5422</v>
      </c>
      <c r="K1778" s="248">
        <v>2.39</v>
      </c>
      <c r="L1778" s="248">
        <v>0</v>
      </c>
      <c r="M1778" s="248">
        <v>0</v>
      </c>
      <c r="N1778" s="248">
        <v>1</v>
      </c>
      <c r="O1778" s="181">
        <f t="shared" si="12"/>
        <v>2.39</v>
      </c>
      <c r="P1778" s="247">
        <f t="shared" si="13"/>
        <v>2.39</v>
      </c>
    </row>
    <row r="1779" spans="1:16" ht="14.25">
      <c r="A1779" s="224">
        <v>1778</v>
      </c>
      <c r="B1779" s="248">
        <v>392</v>
      </c>
      <c r="C1779" s="248" t="s">
        <v>2876</v>
      </c>
      <c r="D1779" s="248" t="s">
        <v>2582</v>
      </c>
      <c r="E1779" s="248" t="s">
        <v>4772</v>
      </c>
      <c r="F1779" s="248" t="s">
        <v>5423</v>
      </c>
      <c r="G1779" s="248">
        <v>7</v>
      </c>
      <c r="H1779" s="248" t="s">
        <v>2557</v>
      </c>
      <c r="I1779" s="248">
        <v>78370</v>
      </c>
      <c r="J1779" s="250" t="s">
        <v>1470</v>
      </c>
      <c r="K1779" s="248">
        <v>123.94</v>
      </c>
      <c r="L1779" s="248">
        <v>0.5</v>
      </c>
      <c r="M1779" s="248">
        <v>0</v>
      </c>
      <c r="N1779" s="248">
        <v>7.1774899999999997</v>
      </c>
      <c r="O1779" s="181">
        <f t="shared" si="12"/>
        <v>123.44</v>
      </c>
      <c r="P1779" s="247">
        <f t="shared" si="13"/>
        <v>17.198212745681289</v>
      </c>
    </row>
    <row r="1780" spans="1:16" ht="14.25">
      <c r="A1780" s="224">
        <v>1779</v>
      </c>
      <c r="B1780" s="248">
        <v>120</v>
      </c>
      <c r="C1780" s="248" t="s">
        <v>5424</v>
      </c>
      <c r="D1780" s="248" t="s">
        <v>45</v>
      </c>
      <c r="E1780" s="248" t="s">
        <v>2860</v>
      </c>
      <c r="F1780" s="248" t="s">
        <v>5425</v>
      </c>
      <c r="G1780" s="248">
        <v>7</v>
      </c>
      <c r="H1780" s="248" t="s">
        <v>2557</v>
      </c>
      <c r="I1780" s="248">
        <v>78394</v>
      </c>
      <c r="J1780" s="250" t="s">
        <v>5426</v>
      </c>
      <c r="K1780" s="248">
        <v>8.99</v>
      </c>
      <c r="L1780" s="248">
        <v>0</v>
      </c>
      <c r="M1780" s="248">
        <v>0</v>
      </c>
      <c r="N1780" s="248">
        <v>1</v>
      </c>
      <c r="O1780" s="181">
        <f t="shared" si="12"/>
        <v>8.99</v>
      </c>
      <c r="P1780" s="247">
        <f t="shared" si="13"/>
        <v>8.99</v>
      </c>
    </row>
    <row r="1781" spans="1:16" ht="14.25">
      <c r="A1781" s="224">
        <v>1780</v>
      </c>
      <c r="B1781" s="248">
        <v>18946</v>
      </c>
      <c r="C1781" s="248" t="s">
        <v>3070</v>
      </c>
      <c r="D1781" s="248" t="s">
        <v>2582</v>
      </c>
      <c r="E1781" s="248" t="s">
        <v>9</v>
      </c>
      <c r="F1781" s="248" t="s">
        <v>5427</v>
      </c>
      <c r="G1781" s="248">
        <v>7</v>
      </c>
      <c r="H1781" s="248" t="s">
        <v>2557</v>
      </c>
      <c r="I1781" s="248">
        <v>76330</v>
      </c>
      <c r="J1781" s="250" t="s">
        <v>620</v>
      </c>
      <c r="K1781" s="248">
        <v>8.66</v>
      </c>
      <c r="L1781" s="248">
        <v>3.95</v>
      </c>
      <c r="M1781" s="248">
        <v>0</v>
      </c>
      <c r="N1781" s="248">
        <v>7.1774899999999997</v>
      </c>
      <c r="O1781" s="181">
        <f t="shared" si="12"/>
        <v>4.71</v>
      </c>
      <c r="P1781" s="247">
        <f t="shared" si="13"/>
        <v>0.65621826014386642</v>
      </c>
    </row>
    <row r="1782" spans="1:16" ht="14.25">
      <c r="A1782" s="224">
        <v>1781</v>
      </c>
      <c r="B1782" s="248">
        <v>28208</v>
      </c>
      <c r="C1782" s="248" t="s">
        <v>2856</v>
      </c>
      <c r="D1782" s="248" t="s">
        <v>2582</v>
      </c>
      <c r="E1782" s="248" t="s">
        <v>2860</v>
      </c>
      <c r="F1782" s="248" t="s">
        <v>5428</v>
      </c>
      <c r="G1782" s="248">
        <v>7</v>
      </c>
      <c r="H1782" s="248" t="s">
        <v>2557</v>
      </c>
      <c r="I1782" s="248">
        <v>77398</v>
      </c>
      <c r="J1782" s="250" t="s">
        <v>5429</v>
      </c>
      <c r="K1782" s="248">
        <v>71.63</v>
      </c>
      <c r="L1782" s="248">
        <v>0</v>
      </c>
      <c r="M1782" s="248">
        <v>0</v>
      </c>
      <c r="N1782" s="248">
        <v>7.1774899999999997</v>
      </c>
      <c r="O1782" s="181">
        <f t="shared" si="12"/>
        <v>71.63</v>
      </c>
      <c r="P1782" s="247">
        <f t="shared" si="13"/>
        <v>9.9798118840987584</v>
      </c>
    </row>
    <row r="1783" spans="1:16" ht="14.25">
      <c r="A1783" s="224">
        <v>1782</v>
      </c>
      <c r="B1783" s="248">
        <v>28208</v>
      </c>
      <c r="C1783" s="248" t="s">
        <v>2856</v>
      </c>
      <c r="D1783" s="248" t="s">
        <v>2582</v>
      </c>
      <c r="E1783" s="248" t="s">
        <v>2860</v>
      </c>
      <c r="F1783" s="248" t="s">
        <v>5430</v>
      </c>
      <c r="G1783" s="248">
        <v>7</v>
      </c>
      <c r="H1783" s="248" t="s">
        <v>2557</v>
      </c>
      <c r="I1783" s="248">
        <v>77398</v>
      </c>
      <c r="J1783" s="250"/>
      <c r="K1783" s="248">
        <v>0.03</v>
      </c>
      <c r="L1783" s="248">
        <v>0</v>
      </c>
      <c r="M1783" s="248">
        <v>0</v>
      </c>
      <c r="N1783" s="248">
        <v>7.1774899999999997</v>
      </c>
      <c r="O1783" s="181">
        <f t="shared" si="12"/>
        <v>0.03</v>
      </c>
      <c r="P1783" s="247">
        <f t="shared" si="13"/>
        <v>4.1797341410437358E-3</v>
      </c>
    </row>
    <row r="1784" spans="1:16" ht="14.25">
      <c r="A1784" s="224">
        <v>1783</v>
      </c>
      <c r="B1784" s="248">
        <v>27903</v>
      </c>
      <c r="C1784" s="248" t="s">
        <v>5168</v>
      </c>
      <c r="D1784" s="248" t="s">
        <v>45</v>
      </c>
      <c r="E1784" s="248" t="s">
        <v>2874</v>
      </c>
      <c r="F1784" s="248" t="s">
        <v>5431</v>
      </c>
      <c r="G1784" s="248">
        <v>7</v>
      </c>
      <c r="H1784" s="248" t="s">
        <v>2557</v>
      </c>
      <c r="I1784" s="248">
        <v>78406</v>
      </c>
      <c r="J1784" s="250" t="s">
        <v>5432</v>
      </c>
      <c r="K1784" s="248">
        <v>180</v>
      </c>
      <c r="L1784" s="248">
        <v>0</v>
      </c>
      <c r="M1784" s="248">
        <v>0</v>
      </c>
      <c r="N1784" s="248">
        <v>1</v>
      </c>
      <c r="O1784" s="181">
        <f t="shared" si="12"/>
        <v>180</v>
      </c>
      <c r="P1784" s="247">
        <f t="shared" si="13"/>
        <v>180</v>
      </c>
    </row>
    <row r="1785" spans="1:16" ht="14.25">
      <c r="A1785" s="224">
        <v>1784</v>
      </c>
      <c r="B1785" s="248">
        <v>25262</v>
      </c>
      <c r="C1785" s="248" t="s">
        <v>4571</v>
      </c>
      <c r="D1785" s="248" t="s">
        <v>2582</v>
      </c>
      <c r="E1785" s="248" t="s">
        <v>2860</v>
      </c>
      <c r="F1785" s="248" t="s">
        <v>5433</v>
      </c>
      <c r="G1785" s="248">
        <v>7</v>
      </c>
      <c r="H1785" s="248" t="s">
        <v>2557</v>
      </c>
      <c r="I1785" s="248">
        <v>76366</v>
      </c>
      <c r="J1785" s="250" t="s">
        <v>5434</v>
      </c>
      <c r="K1785" s="248">
        <v>46.44</v>
      </c>
      <c r="L1785" s="248">
        <v>0</v>
      </c>
      <c r="M1785" s="248">
        <v>0</v>
      </c>
      <c r="N1785" s="248">
        <v>7.1774899999999997</v>
      </c>
      <c r="O1785" s="181">
        <f t="shared" si="12"/>
        <v>46.44</v>
      </c>
      <c r="P1785" s="247">
        <f t="shared" si="13"/>
        <v>6.4702284503357026</v>
      </c>
    </row>
    <row r="1786" spans="1:16" ht="14.25">
      <c r="A1786" s="224">
        <v>1785</v>
      </c>
      <c r="B1786" s="248">
        <v>6774</v>
      </c>
      <c r="C1786" s="248" t="s">
        <v>2614</v>
      </c>
      <c r="D1786" s="248" t="s">
        <v>45</v>
      </c>
      <c r="E1786" s="248" t="s">
        <v>2860</v>
      </c>
      <c r="F1786" s="248" t="s">
        <v>5435</v>
      </c>
      <c r="G1786" s="248">
        <v>7</v>
      </c>
      <c r="H1786" s="248" t="s">
        <v>2557</v>
      </c>
      <c r="I1786" s="248">
        <v>74962</v>
      </c>
      <c r="J1786" s="250" t="s">
        <v>5436</v>
      </c>
      <c r="K1786" s="248">
        <v>2.99</v>
      </c>
      <c r="L1786" s="248">
        <v>0</v>
      </c>
      <c r="M1786" s="248">
        <v>0</v>
      </c>
      <c r="N1786" s="248">
        <v>1</v>
      </c>
      <c r="O1786" s="181">
        <f t="shared" si="12"/>
        <v>2.99</v>
      </c>
      <c r="P1786" s="247">
        <f t="shared" si="13"/>
        <v>2.99</v>
      </c>
    </row>
    <row r="1787" spans="1:16" ht="14.25">
      <c r="A1787" s="224">
        <v>1786</v>
      </c>
      <c r="B1787" s="248">
        <v>25274</v>
      </c>
      <c r="C1787" s="248" t="s">
        <v>4573</v>
      </c>
      <c r="D1787" s="248" t="s">
        <v>2582</v>
      </c>
      <c r="E1787" s="248" t="s">
        <v>2860</v>
      </c>
      <c r="F1787" s="248" t="s">
        <v>5437</v>
      </c>
      <c r="G1787" s="248">
        <v>7</v>
      </c>
      <c r="H1787" s="248" t="s">
        <v>2557</v>
      </c>
      <c r="I1787" s="248">
        <v>76102</v>
      </c>
      <c r="J1787" s="250" t="s">
        <v>5438</v>
      </c>
      <c r="K1787" s="248">
        <v>215.02</v>
      </c>
      <c r="L1787" s="248">
        <v>0</v>
      </c>
      <c r="M1787" s="248">
        <v>0</v>
      </c>
      <c r="N1787" s="248">
        <v>7.1816599999999999</v>
      </c>
      <c r="O1787" s="181">
        <f t="shared" ref="O1787:O2041" si="14">K1787-L1787-M1787</f>
        <v>215.02</v>
      </c>
      <c r="P1787" s="247">
        <f t="shared" ref="P1787:P2041" si="15">IF(D1787="USD",O1787,O1787/N1787)</f>
        <v>29.940153112233105</v>
      </c>
    </row>
    <row r="1788" spans="1:16" ht="14.25">
      <c r="A1788" s="224">
        <v>1787</v>
      </c>
      <c r="B1788" s="248">
        <v>29070</v>
      </c>
      <c r="C1788" s="248" t="s">
        <v>5439</v>
      </c>
      <c r="D1788" s="248" t="s">
        <v>2582</v>
      </c>
      <c r="E1788" s="248" t="s">
        <v>2860</v>
      </c>
      <c r="F1788" s="248" t="s">
        <v>5440</v>
      </c>
      <c r="G1788" s="248">
        <v>7</v>
      </c>
      <c r="H1788" s="248" t="s">
        <v>2557</v>
      </c>
      <c r="I1788" s="248">
        <v>78634</v>
      </c>
      <c r="J1788" s="250" t="s">
        <v>5441</v>
      </c>
      <c r="K1788" s="248">
        <v>35.840000000000003</v>
      </c>
      <c r="L1788" s="248">
        <v>0</v>
      </c>
      <c r="M1788" s="248">
        <v>0</v>
      </c>
      <c r="N1788" s="248">
        <v>7.1816599999999999</v>
      </c>
      <c r="O1788" s="181">
        <f t="shared" si="14"/>
        <v>35.840000000000003</v>
      </c>
      <c r="P1788" s="247">
        <f t="shared" si="15"/>
        <v>4.9904896639495613</v>
      </c>
    </row>
    <row r="1789" spans="1:16" ht="14.25">
      <c r="A1789" s="224">
        <v>1788</v>
      </c>
      <c r="B1789" s="248">
        <v>5536</v>
      </c>
      <c r="C1789" s="248" t="s">
        <v>5442</v>
      </c>
      <c r="D1789" s="248" t="s">
        <v>45</v>
      </c>
      <c r="E1789" s="248" t="s">
        <v>2860</v>
      </c>
      <c r="F1789" s="248" t="s">
        <v>5443</v>
      </c>
      <c r="G1789" s="248">
        <v>7</v>
      </c>
      <c r="H1789" s="248" t="s">
        <v>2557</v>
      </c>
      <c r="I1789" s="248">
        <v>78646</v>
      </c>
      <c r="J1789" s="250" t="s">
        <v>5444</v>
      </c>
      <c r="K1789" s="248">
        <v>8.4</v>
      </c>
      <c r="L1789" s="248">
        <v>0</v>
      </c>
      <c r="M1789" s="248">
        <v>0</v>
      </c>
      <c r="N1789" s="248">
        <v>1</v>
      </c>
      <c r="O1789" s="181">
        <f t="shared" si="14"/>
        <v>8.4</v>
      </c>
      <c r="P1789" s="247">
        <f t="shared" si="15"/>
        <v>8.4</v>
      </c>
    </row>
    <row r="1790" spans="1:16" ht="14.25">
      <c r="A1790" s="224">
        <v>1789</v>
      </c>
      <c r="B1790" s="248">
        <v>24205</v>
      </c>
      <c r="C1790" s="248" t="s">
        <v>4159</v>
      </c>
      <c r="D1790" s="248" t="s">
        <v>45</v>
      </c>
      <c r="E1790" s="248" t="s">
        <v>2860</v>
      </c>
      <c r="F1790" s="248" t="s">
        <v>5445</v>
      </c>
      <c r="G1790" s="248">
        <v>7</v>
      </c>
      <c r="H1790" s="248" t="s">
        <v>2557</v>
      </c>
      <c r="I1790" s="248">
        <v>78550</v>
      </c>
      <c r="J1790" s="250" t="s">
        <v>5446</v>
      </c>
      <c r="K1790" s="248">
        <v>11.69</v>
      </c>
      <c r="L1790" s="248">
        <v>0</v>
      </c>
      <c r="M1790" s="248">
        <v>0</v>
      </c>
      <c r="N1790" s="248">
        <v>1</v>
      </c>
      <c r="O1790" s="181">
        <f t="shared" si="14"/>
        <v>11.69</v>
      </c>
      <c r="P1790" s="247">
        <f t="shared" si="15"/>
        <v>11.69</v>
      </c>
    </row>
    <row r="1791" spans="1:16" ht="14.25">
      <c r="A1791" s="224">
        <v>1790</v>
      </c>
      <c r="B1791" s="248">
        <v>29073</v>
      </c>
      <c r="C1791" s="248" t="s">
        <v>5447</v>
      </c>
      <c r="D1791" s="248" t="s">
        <v>45</v>
      </c>
      <c r="E1791" s="248" t="s">
        <v>2860</v>
      </c>
      <c r="F1791" s="248" t="s">
        <v>5448</v>
      </c>
      <c r="G1791" s="248">
        <v>7</v>
      </c>
      <c r="H1791" s="248" t="s">
        <v>2557</v>
      </c>
      <c r="I1791" s="248">
        <v>78658</v>
      </c>
      <c r="J1791" s="250" t="s">
        <v>5449</v>
      </c>
      <c r="K1791" s="248">
        <v>8.99</v>
      </c>
      <c r="L1791" s="248">
        <v>0</v>
      </c>
      <c r="M1791" s="248">
        <v>0</v>
      </c>
      <c r="N1791" s="248">
        <v>1</v>
      </c>
      <c r="O1791" s="181">
        <f t="shared" si="14"/>
        <v>8.99</v>
      </c>
      <c r="P1791" s="247">
        <f t="shared" si="15"/>
        <v>8.99</v>
      </c>
    </row>
    <row r="1792" spans="1:16" ht="14.25">
      <c r="A1792" s="224">
        <v>1791</v>
      </c>
      <c r="B1792" s="248">
        <v>29074</v>
      </c>
      <c r="C1792" s="248" t="s">
        <v>5450</v>
      </c>
      <c r="D1792" s="248" t="s">
        <v>2582</v>
      </c>
      <c r="E1792" s="248" t="s">
        <v>2860</v>
      </c>
      <c r="F1792" s="248" t="s">
        <v>5451</v>
      </c>
      <c r="G1792" s="248">
        <v>7</v>
      </c>
      <c r="H1792" s="248" t="s">
        <v>2557</v>
      </c>
      <c r="I1792" s="248">
        <v>78694</v>
      </c>
      <c r="J1792" s="250" t="s">
        <v>5452</v>
      </c>
      <c r="K1792" s="248">
        <v>17.88</v>
      </c>
      <c r="L1792" s="248">
        <v>0</v>
      </c>
      <c r="M1792" s="248">
        <v>0</v>
      </c>
      <c r="N1792" s="248">
        <v>7.1816599999999999</v>
      </c>
      <c r="O1792" s="181">
        <f t="shared" si="14"/>
        <v>17.88</v>
      </c>
      <c r="P1792" s="247">
        <f t="shared" si="15"/>
        <v>2.4896750890462651</v>
      </c>
    </row>
    <row r="1793" spans="1:16" ht="14.25">
      <c r="A1793" s="224">
        <v>1792</v>
      </c>
      <c r="B1793" s="248">
        <v>29038</v>
      </c>
      <c r="C1793" s="248" t="s">
        <v>5453</v>
      </c>
      <c r="D1793" s="248" t="s">
        <v>2582</v>
      </c>
      <c r="E1793" s="248" t="s">
        <v>2860</v>
      </c>
      <c r="F1793" s="249">
        <v>45665.058333333334</v>
      </c>
      <c r="G1793" s="248">
        <v>8</v>
      </c>
      <c r="H1793" s="248" t="s">
        <v>2557</v>
      </c>
      <c r="I1793" s="248">
        <v>78706</v>
      </c>
      <c r="J1793" s="250" t="s">
        <v>5454</v>
      </c>
      <c r="K1793" s="248">
        <v>28.65</v>
      </c>
      <c r="L1793" s="248">
        <v>0</v>
      </c>
      <c r="M1793" s="248">
        <v>0</v>
      </c>
      <c r="N1793" s="248">
        <v>7.1816599999999999</v>
      </c>
      <c r="O1793" s="181">
        <f t="shared" si="14"/>
        <v>28.65</v>
      </c>
      <c r="P1793" s="247">
        <f t="shared" si="15"/>
        <v>3.989328372548965</v>
      </c>
    </row>
    <row r="1794" spans="1:16" ht="14.25">
      <c r="A1794" s="224">
        <v>1793</v>
      </c>
      <c r="B1794" s="248">
        <v>1552</v>
      </c>
      <c r="C1794" s="248" t="s">
        <v>5372</v>
      </c>
      <c r="D1794" s="248" t="s">
        <v>2582</v>
      </c>
      <c r="E1794" s="248" t="s">
        <v>2860</v>
      </c>
      <c r="F1794" s="249">
        <v>45665.563194444447</v>
      </c>
      <c r="G1794" s="248">
        <v>8</v>
      </c>
      <c r="H1794" s="248" t="s">
        <v>2557</v>
      </c>
      <c r="I1794" s="248">
        <v>78826</v>
      </c>
      <c r="J1794" s="250" t="s">
        <v>5455</v>
      </c>
      <c r="K1794" s="248">
        <v>46.69</v>
      </c>
      <c r="L1794" s="248">
        <v>0</v>
      </c>
      <c r="M1794" s="248">
        <v>0</v>
      </c>
      <c r="N1794" s="248">
        <v>7.1946500000000002</v>
      </c>
      <c r="O1794" s="181">
        <f t="shared" si="14"/>
        <v>46.69</v>
      </c>
      <c r="P1794" s="247">
        <f t="shared" si="15"/>
        <v>6.4895443141778957</v>
      </c>
    </row>
    <row r="1795" spans="1:16" ht="14.25">
      <c r="A1795" s="224">
        <v>1794</v>
      </c>
      <c r="B1795" s="248">
        <v>26089</v>
      </c>
      <c r="C1795" s="248" t="s">
        <v>4759</v>
      </c>
      <c r="D1795" s="248" t="s">
        <v>2582</v>
      </c>
      <c r="E1795" s="248" t="s">
        <v>4772</v>
      </c>
      <c r="F1795" s="249">
        <v>45665.792361111111</v>
      </c>
      <c r="G1795" s="248">
        <v>8</v>
      </c>
      <c r="H1795" s="248" t="s">
        <v>2557</v>
      </c>
      <c r="I1795" s="248">
        <v>76546</v>
      </c>
      <c r="J1795" s="250" t="s">
        <v>1472</v>
      </c>
      <c r="K1795" s="248">
        <v>393.84</v>
      </c>
      <c r="L1795" s="248">
        <v>1.59</v>
      </c>
      <c r="M1795" s="248">
        <v>0</v>
      </c>
      <c r="N1795" s="248">
        <v>7.1946500000000002</v>
      </c>
      <c r="O1795" s="181">
        <f t="shared" si="14"/>
        <v>392.25</v>
      </c>
      <c r="P1795" s="247">
        <f t="shared" si="15"/>
        <v>54.51967781615506</v>
      </c>
    </row>
    <row r="1796" spans="1:16" ht="14.25">
      <c r="A1796" s="224">
        <v>1795</v>
      </c>
      <c r="B1796" s="248">
        <v>28543</v>
      </c>
      <c r="C1796" s="248" t="s">
        <v>5127</v>
      </c>
      <c r="D1796" s="248" t="s">
        <v>2582</v>
      </c>
      <c r="E1796" s="248" t="s">
        <v>2860</v>
      </c>
      <c r="F1796" s="249">
        <v>45696.117361111108</v>
      </c>
      <c r="G1796" s="248">
        <v>8</v>
      </c>
      <c r="H1796" s="248" t="s">
        <v>2557</v>
      </c>
      <c r="I1796" s="248">
        <v>78850</v>
      </c>
      <c r="J1796" s="250" t="s">
        <v>5456</v>
      </c>
      <c r="K1796" s="248">
        <v>399.38</v>
      </c>
      <c r="L1796" s="248">
        <v>0</v>
      </c>
      <c r="M1796" s="248">
        <v>0</v>
      </c>
      <c r="N1796" s="248">
        <v>7.1946500000000002</v>
      </c>
      <c r="O1796" s="181">
        <f t="shared" si="14"/>
        <v>399.38</v>
      </c>
      <c r="P1796" s="247">
        <f t="shared" si="15"/>
        <v>55.510691972507345</v>
      </c>
    </row>
    <row r="1797" spans="1:16" ht="14.25">
      <c r="A1797" s="224">
        <v>1796</v>
      </c>
      <c r="B1797" s="248">
        <v>20956</v>
      </c>
      <c r="C1797" s="248" t="s">
        <v>3627</v>
      </c>
      <c r="D1797" s="248" t="s">
        <v>45</v>
      </c>
      <c r="E1797" s="248" t="s">
        <v>2860</v>
      </c>
      <c r="F1797" s="249">
        <v>45696.413194444445</v>
      </c>
      <c r="G1797" s="248">
        <v>8</v>
      </c>
      <c r="H1797" s="248" t="s">
        <v>2557</v>
      </c>
      <c r="I1797" s="248">
        <v>76522</v>
      </c>
      <c r="J1797" s="250" t="s">
        <v>5457</v>
      </c>
      <c r="K1797" s="248">
        <v>3.99</v>
      </c>
      <c r="L1797" s="248">
        <v>0</v>
      </c>
      <c r="M1797" s="248">
        <v>0</v>
      </c>
      <c r="N1797" s="248">
        <v>1</v>
      </c>
      <c r="O1797" s="181">
        <f t="shared" si="14"/>
        <v>3.99</v>
      </c>
      <c r="P1797" s="247">
        <f t="shared" si="15"/>
        <v>3.99</v>
      </c>
    </row>
    <row r="1798" spans="1:16" ht="14.25">
      <c r="A1798" s="224">
        <v>1797</v>
      </c>
      <c r="B1798" s="248">
        <v>29077</v>
      </c>
      <c r="C1798" s="248" t="s">
        <v>5458</v>
      </c>
      <c r="D1798" s="248" t="s">
        <v>2582</v>
      </c>
      <c r="E1798" s="248" t="s">
        <v>2860</v>
      </c>
      <c r="F1798" s="249">
        <v>45696.518055555556</v>
      </c>
      <c r="G1798" s="248">
        <v>8</v>
      </c>
      <c r="H1798" s="248" t="s">
        <v>2557</v>
      </c>
      <c r="I1798" s="248">
        <v>79042</v>
      </c>
      <c r="J1798" s="250" t="s">
        <v>5459</v>
      </c>
      <c r="K1798" s="248">
        <v>122.53</v>
      </c>
      <c r="L1798" s="248">
        <v>0</v>
      </c>
      <c r="M1798" s="248">
        <v>0</v>
      </c>
      <c r="N1798" s="248">
        <v>7.2117699999999996</v>
      </c>
      <c r="O1798" s="181">
        <f t="shared" si="14"/>
        <v>122.53</v>
      </c>
      <c r="P1798" s="247">
        <f t="shared" si="15"/>
        <v>16.990281165372718</v>
      </c>
    </row>
    <row r="1799" spans="1:16" ht="14.25">
      <c r="A1799" s="224">
        <v>1798</v>
      </c>
      <c r="B1799" s="248">
        <v>19275</v>
      </c>
      <c r="C1799" s="248" t="s">
        <v>3112</v>
      </c>
      <c r="D1799" s="248" t="s">
        <v>45</v>
      </c>
      <c r="E1799" s="248" t="s">
        <v>2874</v>
      </c>
      <c r="F1799" s="249">
        <v>45696.597222222219</v>
      </c>
      <c r="G1799" s="248">
        <v>8</v>
      </c>
      <c r="H1799" s="248" t="s">
        <v>2557</v>
      </c>
      <c r="I1799" s="248">
        <v>79054</v>
      </c>
      <c r="J1799" s="250" t="s">
        <v>5460</v>
      </c>
      <c r="K1799" s="248">
        <v>119.98</v>
      </c>
      <c r="L1799" s="248">
        <v>0</v>
      </c>
      <c r="M1799" s="248">
        <v>0</v>
      </c>
      <c r="N1799" s="248">
        <v>1</v>
      </c>
      <c r="O1799" s="181">
        <f t="shared" si="14"/>
        <v>119.98</v>
      </c>
      <c r="P1799" s="247">
        <f t="shared" si="15"/>
        <v>119.98</v>
      </c>
    </row>
    <row r="1800" spans="1:16" ht="14.25">
      <c r="A1800" s="224">
        <v>1799</v>
      </c>
      <c r="B1800" s="248">
        <v>22778</v>
      </c>
      <c r="C1800" s="248" t="s">
        <v>3929</v>
      </c>
      <c r="D1800" s="248" t="s">
        <v>45</v>
      </c>
      <c r="E1800" s="248" t="s">
        <v>2860</v>
      </c>
      <c r="F1800" s="249">
        <v>45696.678472222222</v>
      </c>
      <c r="G1800" s="248">
        <v>8</v>
      </c>
      <c r="H1800" s="248" t="s">
        <v>2557</v>
      </c>
      <c r="I1800" s="248">
        <v>79066</v>
      </c>
      <c r="J1800" s="250" t="s">
        <v>5461</v>
      </c>
      <c r="K1800" s="248">
        <v>29.99</v>
      </c>
      <c r="L1800" s="248">
        <v>0</v>
      </c>
      <c r="M1800" s="248">
        <v>0</v>
      </c>
      <c r="N1800" s="248">
        <v>1</v>
      </c>
      <c r="O1800" s="181">
        <f t="shared" si="14"/>
        <v>29.99</v>
      </c>
      <c r="P1800" s="247">
        <f t="shared" si="15"/>
        <v>29.99</v>
      </c>
    </row>
    <row r="1801" spans="1:16" ht="14.25">
      <c r="A1801" s="224">
        <v>1800</v>
      </c>
      <c r="B1801" s="248">
        <v>28984</v>
      </c>
      <c r="C1801" s="248" t="s">
        <v>5366</v>
      </c>
      <c r="D1801" s="248" t="s">
        <v>2582</v>
      </c>
      <c r="E1801" s="248" t="s">
        <v>2860</v>
      </c>
      <c r="F1801" s="249">
        <v>45696.922222222223</v>
      </c>
      <c r="G1801" s="248">
        <v>8</v>
      </c>
      <c r="H1801" s="248" t="s">
        <v>2557</v>
      </c>
      <c r="I1801" s="248">
        <v>79090</v>
      </c>
      <c r="J1801" s="250" t="s">
        <v>5462</v>
      </c>
      <c r="K1801" s="248">
        <v>54.74</v>
      </c>
      <c r="L1801" s="248">
        <v>0</v>
      </c>
      <c r="M1801" s="248">
        <v>0</v>
      </c>
      <c r="N1801" s="248">
        <v>7.2117699999999996</v>
      </c>
      <c r="O1801" s="181">
        <f t="shared" si="14"/>
        <v>54.74</v>
      </c>
      <c r="P1801" s="247">
        <f t="shared" si="15"/>
        <v>7.5903696318656868</v>
      </c>
    </row>
    <row r="1802" spans="1:16" ht="14.25">
      <c r="A1802" s="224">
        <v>1801</v>
      </c>
      <c r="B1802" s="248">
        <v>25163</v>
      </c>
      <c r="C1802" s="248" t="s">
        <v>4531</v>
      </c>
      <c r="D1802" s="248" t="s">
        <v>45</v>
      </c>
      <c r="E1802" s="248" t="s">
        <v>4772</v>
      </c>
      <c r="F1802" s="249">
        <v>45724.509722222225</v>
      </c>
      <c r="G1802" s="248">
        <v>8</v>
      </c>
      <c r="H1802" s="248" t="s">
        <v>2557</v>
      </c>
      <c r="I1802" s="248">
        <v>79258</v>
      </c>
      <c r="J1802" s="250" t="s">
        <v>1478</v>
      </c>
      <c r="K1802" s="248">
        <v>15</v>
      </c>
      <c r="L1802" s="248">
        <v>0.44</v>
      </c>
      <c r="M1802" s="248">
        <v>0</v>
      </c>
      <c r="N1802" s="248">
        <v>1</v>
      </c>
      <c r="O1802" s="181">
        <f t="shared" si="14"/>
        <v>14.56</v>
      </c>
      <c r="P1802" s="247">
        <f t="shared" si="15"/>
        <v>14.56</v>
      </c>
    </row>
    <row r="1803" spans="1:16" ht="14.25">
      <c r="A1803" s="224">
        <v>1802</v>
      </c>
      <c r="B1803" s="248">
        <v>22778</v>
      </c>
      <c r="C1803" s="248" t="s">
        <v>3929</v>
      </c>
      <c r="D1803" s="248" t="s">
        <v>45</v>
      </c>
      <c r="E1803" s="248" t="s">
        <v>2860</v>
      </c>
      <c r="F1803" s="249">
        <v>45724.633333333331</v>
      </c>
      <c r="G1803" s="248">
        <v>8</v>
      </c>
      <c r="H1803" s="248" t="s">
        <v>2557</v>
      </c>
      <c r="I1803" s="248">
        <v>79270</v>
      </c>
      <c r="J1803" s="250" t="s">
        <v>5463</v>
      </c>
      <c r="K1803" s="248">
        <v>8.7899999999999991</v>
      </c>
      <c r="L1803" s="248">
        <v>0</v>
      </c>
      <c r="M1803" s="248">
        <v>0</v>
      </c>
      <c r="N1803" s="248">
        <v>1</v>
      </c>
      <c r="O1803" s="181">
        <f t="shared" si="14"/>
        <v>8.7899999999999991</v>
      </c>
      <c r="P1803" s="247">
        <f t="shared" si="15"/>
        <v>8.7899999999999991</v>
      </c>
    </row>
    <row r="1804" spans="1:16" ht="14.25">
      <c r="A1804" s="224">
        <v>1803</v>
      </c>
      <c r="B1804" s="248">
        <v>22778</v>
      </c>
      <c r="C1804" s="248" t="s">
        <v>3929</v>
      </c>
      <c r="D1804" s="248" t="s">
        <v>45</v>
      </c>
      <c r="E1804" s="248" t="s">
        <v>2860</v>
      </c>
      <c r="F1804" s="249">
        <v>45724.638194444444</v>
      </c>
      <c r="G1804" s="248">
        <v>8</v>
      </c>
      <c r="H1804" s="248" t="s">
        <v>2557</v>
      </c>
      <c r="I1804" s="248">
        <v>79282</v>
      </c>
      <c r="J1804" s="250" t="s">
        <v>5464</v>
      </c>
      <c r="K1804" s="248">
        <v>7.59</v>
      </c>
      <c r="L1804" s="248">
        <v>0</v>
      </c>
      <c r="M1804" s="248">
        <v>0</v>
      </c>
      <c r="N1804" s="248">
        <v>1</v>
      </c>
      <c r="O1804" s="181">
        <f t="shared" si="14"/>
        <v>7.59</v>
      </c>
      <c r="P1804" s="247">
        <f t="shared" si="15"/>
        <v>7.59</v>
      </c>
    </row>
    <row r="1805" spans="1:16" ht="14.25">
      <c r="A1805" s="224">
        <v>1804</v>
      </c>
      <c r="B1805" s="248">
        <v>392</v>
      </c>
      <c r="C1805" s="248" t="s">
        <v>2876</v>
      </c>
      <c r="D1805" s="248" t="s">
        <v>2582</v>
      </c>
      <c r="E1805" s="248" t="s">
        <v>4772</v>
      </c>
      <c r="F1805" s="249">
        <v>45724.710416666669</v>
      </c>
      <c r="G1805" s="248">
        <v>8</v>
      </c>
      <c r="H1805" s="248" t="s">
        <v>2557</v>
      </c>
      <c r="I1805" s="248">
        <v>78538</v>
      </c>
      <c r="J1805" s="250" t="s">
        <v>1476</v>
      </c>
      <c r="K1805" s="248">
        <v>14.52</v>
      </c>
      <c r="L1805" s="248">
        <v>0.06</v>
      </c>
      <c r="M1805" s="248">
        <v>0</v>
      </c>
      <c r="N1805" s="248">
        <v>7.2117699999999996</v>
      </c>
      <c r="O1805" s="181">
        <f t="shared" si="14"/>
        <v>14.459999999999999</v>
      </c>
      <c r="P1805" s="247">
        <f t="shared" si="15"/>
        <v>2.0050556243474209</v>
      </c>
    </row>
    <row r="1806" spans="1:16" ht="14.25">
      <c r="A1806" s="224">
        <v>1805</v>
      </c>
      <c r="B1806" s="248">
        <v>28984</v>
      </c>
      <c r="C1806" s="248" t="s">
        <v>5366</v>
      </c>
      <c r="D1806" s="248" t="s">
        <v>2582</v>
      </c>
      <c r="E1806" s="248" t="s">
        <v>2860</v>
      </c>
      <c r="F1806" s="249">
        <v>45724.740277777775</v>
      </c>
      <c r="G1806" s="248">
        <v>8</v>
      </c>
      <c r="H1806" s="248" t="s">
        <v>2557</v>
      </c>
      <c r="I1806" s="248">
        <v>79090</v>
      </c>
      <c r="J1806" s="250"/>
      <c r="K1806" s="248">
        <v>0.01</v>
      </c>
      <c r="L1806" s="248">
        <v>0</v>
      </c>
      <c r="M1806" s="248">
        <v>0</v>
      </c>
      <c r="N1806" s="248">
        <v>7.2117699999999996</v>
      </c>
      <c r="O1806" s="181">
        <f t="shared" si="14"/>
        <v>0.01</v>
      </c>
      <c r="P1806" s="247">
        <f t="shared" si="15"/>
        <v>1.3866221468516052E-3</v>
      </c>
    </row>
    <row r="1807" spans="1:16" ht="14.25">
      <c r="A1807" s="224">
        <v>1806</v>
      </c>
      <c r="B1807" s="248">
        <v>19972</v>
      </c>
      <c r="C1807" s="248" t="s">
        <v>3283</v>
      </c>
      <c r="D1807" s="248" t="s">
        <v>45</v>
      </c>
      <c r="E1807" s="248" t="s">
        <v>9</v>
      </c>
      <c r="F1807" s="249">
        <v>45724.820138888892</v>
      </c>
      <c r="G1807" s="248">
        <v>8</v>
      </c>
      <c r="H1807" s="248" t="s">
        <v>2557</v>
      </c>
      <c r="I1807" s="248">
        <v>79294</v>
      </c>
      <c r="J1807" s="250" t="s">
        <v>622</v>
      </c>
      <c r="K1807" s="248">
        <v>17.989999999999998</v>
      </c>
      <c r="L1807" s="248">
        <v>1.39</v>
      </c>
      <c r="M1807" s="248">
        <v>0</v>
      </c>
      <c r="N1807" s="248">
        <v>1</v>
      </c>
      <c r="O1807" s="181">
        <f t="shared" si="14"/>
        <v>16.599999999999998</v>
      </c>
      <c r="P1807" s="247">
        <f t="shared" si="15"/>
        <v>16.599999999999998</v>
      </c>
    </row>
    <row r="1808" spans="1:16" ht="14.25">
      <c r="A1808" s="224">
        <v>1807</v>
      </c>
      <c r="B1808" s="248">
        <v>29082</v>
      </c>
      <c r="C1808" s="248" t="s">
        <v>4734</v>
      </c>
      <c r="D1808" s="248" t="s">
        <v>2582</v>
      </c>
      <c r="E1808" s="248" t="s">
        <v>2860</v>
      </c>
      <c r="F1808" s="249">
        <v>45724.888888888891</v>
      </c>
      <c r="G1808" s="248">
        <v>8</v>
      </c>
      <c r="H1808" s="248" t="s">
        <v>2557</v>
      </c>
      <c r="I1808" s="248">
        <v>79318</v>
      </c>
      <c r="J1808" s="250" t="s">
        <v>5465</v>
      </c>
      <c r="K1808" s="248">
        <v>64.91</v>
      </c>
      <c r="L1808" s="248">
        <v>0</v>
      </c>
      <c r="M1808" s="248">
        <v>0</v>
      </c>
      <c r="N1808" s="248">
        <v>7.2117699999999996</v>
      </c>
      <c r="O1808" s="181">
        <f t="shared" si="14"/>
        <v>64.91</v>
      </c>
      <c r="P1808" s="247">
        <f t="shared" si="15"/>
        <v>9.0005643552137684</v>
      </c>
    </row>
    <row r="1809" spans="1:16" ht="14.25">
      <c r="A1809" s="224">
        <v>1808</v>
      </c>
      <c r="B1809" s="248">
        <v>62</v>
      </c>
      <c r="C1809" s="248" t="s">
        <v>5466</v>
      </c>
      <c r="D1809" s="248" t="s">
        <v>45</v>
      </c>
      <c r="E1809" s="248" t="s">
        <v>4772</v>
      </c>
      <c r="F1809" s="249">
        <v>45724.941666666666</v>
      </c>
      <c r="G1809" s="248">
        <v>8</v>
      </c>
      <c r="H1809" s="248" t="s">
        <v>2557</v>
      </c>
      <c r="I1809" s="248">
        <v>69356</v>
      </c>
      <c r="J1809" s="250" t="s">
        <v>1474</v>
      </c>
      <c r="K1809" s="248">
        <v>1</v>
      </c>
      <c r="L1809" s="248">
        <v>0.03</v>
      </c>
      <c r="M1809" s="248">
        <v>0</v>
      </c>
      <c r="N1809" s="248">
        <v>1</v>
      </c>
      <c r="O1809" s="181">
        <f t="shared" si="14"/>
        <v>0.97</v>
      </c>
      <c r="P1809" s="247">
        <f t="shared" si="15"/>
        <v>0.97</v>
      </c>
    </row>
    <row r="1810" spans="1:16" ht="14.25">
      <c r="A1810" s="224">
        <v>1809</v>
      </c>
      <c r="B1810" s="248">
        <v>29080</v>
      </c>
      <c r="C1810" s="248" t="s">
        <v>5467</v>
      </c>
      <c r="D1810" s="248" t="s">
        <v>45</v>
      </c>
      <c r="E1810" s="248" t="s">
        <v>4772</v>
      </c>
      <c r="F1810" s="249">
        <v>45755.688194444447</v>
      </c>
      <c r="G1810" s="248">
        <v>8</v>
      </c>
      <c r="H1810" s="248" t="s">
        <v>2557</v>
      </c>
      <c r="I1810" s="248">
        <v>79486</v>
      </c>
      <c r="J1810" s="250" t="s">
        <v>5468</v>
      </c>
      <c r="K1810" s="248">
        <v>16.989999999999998</v>
      </c>
      <c r="L1810" s="248">
        <v>0</v>
      </c>
      <c r="M1810" s="248">
        <v>0</v>
      </c>
      <c r="N1810" s="248">
        <v>1</v>
      </c>
      <c r="O1810" s="181">
        <f t="shared" si="14"/>
        <v>16.989999999999998</v>
      </c>
      <c r="P1810" s="247">
        <f t="shared" si="15"/>
        <v>16.989999999999998</v>
      </c>
    </row>
    <row r="1811" spans="1:16" ht="14.25">
      <c r="A1811" s="224">
        <v>1810</v>
      </c>
      <c r="B1811" s="248">
        <v>29085</v>
      </c>
      <c r="C1811" s="248" t="s">
        <v>5469</v>
      </c>
      <c r="D1811" s="248" t="s">
        <v>2582</v>
      </c>
      <c r="E1811" s="248" t="s">
        <v>2860</v>
      </c>
      <c r="F1811" s="249">
        <v>45755.707638888889</v>
      </c>
      <c r="G1811" s="248">
        <v>8</v>
      </c>
      <c r="H1811" s="248" t="s">
        <v>2557</v>
      </c>
      <c r="I1811" s="248">
        <v>79498</v>
      </c>
      <c r="J1811" s="250" t="s">
        <v>5470</v>
      </c>
      <c r="K1811" s="248">
        <v>28.77</v>
      </c>
      <c r="L1811" s="248">
        <v>0</v>
      </c>
      <c r="M1811" s="248">
        <v>0</v>
      </c>
      <c r="N1811" s="248">
        <v>7.2117699999999996</v>
      </c>
      <c r="O1811" s="181">
        <f t="shared" si="14"/>
        <v>28.77</v>
      </c>
      <c r="P1811" s="247">
        <f t="shared" si="15"/>
        <v>3.9893119164920678</v>
      </c>
    </row>
    <row r="1812" spans="1:16" ht="14.25">
      <c r="A1812" s="224">
        <v>1811</v>
      </c>
      <c r="B1812" s="248">
        <v>27903</v>
      </c>
      <c r="C1812" s="248" t="s">
        <v>5168</v>
      </c>
      <c r="D1812" s="248" t="s">
        <v>45</v>
      </c>
      <c r="E1812" s="248" t="s">
        <v>2874</v>
      </c>
      <c r="F1812" s="249">
        <v>45755.977777777778</v>
      </c>
      <c r="G1812" s="248">
        <v>8</v>
      </c>
      <c r="H1812" s="248" t="s">
        <v>2557</v>
      </c>
      <c r="I1812" s="248">
        <v>79522</v>
      </c>
      <c r="J1812" s="250" t="s">
        <v>5471</v>
      </c>
      <c r="K1812" s="248">
        <v>27.86</v>
      </c>
      <c r="L1812" s="248">
        <v>0</v>
      </c>
      <c r="M1812" s="248">
        <v>0</v>
      </c>
      <c r="N1812" s="248">
        <v>1</v>
      </c>
      <c r="O1812" s="181">
        <f t="shared" si="14"/>
        <v>27.86</v>
      </c>
      <c r="P1812" s="247">
        <f t="shared" si="15"/>
        <v>27.86</v>
      </c>
    </row>
    <row r="1813" spans="1:16" ht="14.25">
      <c r="A1813" s="224">
        <v>1812</v>
      </c>
      <c r="B1813" s="248">
        <v>29089</v>
      </c>
      <c r="C1813" s="248" t="s">
        <v>5472</v>
      </c>
      <c r="D1813" s="248" t="s">
        <v>2582</v>
      </c>
      <c r="E1813" s="248" t="s">
        <v>2860</v>
      </c>
      <c r="F1813" s="249">
        <v>45785.638888888891</v>
      </c>
      <c r="G1813" s="248">
        <v>8</v>
      </c>
      <c r="H1813" s="248" t="s">
        <v>2557</v>
      </c>
      <c r="I1813" s="248">
        <v>79606</v>
      </c>
      <c r="J1813" s="250" t="s">
        <v>5473</v>
      </c>
      <c r="K1813" s="248">
        <v>57.34</v>
      </c>
      <c r="L1813" s="248">
        <v>0</v>
      </c>
      <c r="M1813" s="248">
        <v>0</v>
      </c>
      <c r="N1813" s="248">
        <v>7.1762199999999998</v>
      </c>
      <c r="O1813" s="181">
        <f t="shared" si="14"/>
        <v>57.34</v>
      </c>
      <c r="P1813" s="247">
        <f t="shared" si="15"/>
        <v>7.9902790048242673</v>
      </c>
    </row>
    <row r="1814" spans="1:16" ht="14.25">
      <c r="A1814" s="224">
        <v>1813</v>
      </c>
      <c r="B1814" s="248">
        <v>29090</v>
      </c>
      <c r="C1814" s="248" t="s">
        <v>623</v>
      </c>
      <c r="D1814" s="248" t="s">
        <v>45</v>
      </c>
      <c r="E1814" s="248" t="s">
        <v>9</v>
      </c>
      <c r="F1814" s="249">
        <v>45785.71875</v>
      </c>
      <c r="G1814" s="248">
        <v>8</v>
      </c>
      <c r="H1814" s="248" t="s">
        <v>2557</v>
      </c>
      <c r="I1814" s="248">
        <v>79618</v>
      </c>
      <c r="J1814" s="250" t="s">
        <v>624</v>
      </c>
      <c r="K1814" s="248">
        <v>8.99</v>
      </c>
      <c r="L1814" s="248">
        <v>0.8</v>
      </c>
      <c r="M1814" s="248">
        <v>0</v>
      </c>
      <c r="N1814" s="248">
        <v>1</v>
      </c>
      <c r="O1814" s="181">
        <f t="shared" si="14"/>
        <v>8.19</v>
      </c>
      <c r="P1814" s="247">
        <f t="shared" si="15"/>
        <v>8.19</v>
      </c>
    </row>
    <row r="1815" spans="1:16" ht="14.25">
      <c r="A1815" s="224">
        <v>1814</v>
      </c>
      <c r="B1815" s="248">
        <v>24787</v>
      </c>
      <c r="C1815" s="248" t="s">
        <v>4298</v>
      </c>
      <c r="D1815" s="248" t="s">
        <v>45</v>
      </c>
      <c r="E1815" s="248" t="s">
        <v>2860</v>
      </c>
      <c r="F1815" s="249">
        <v>45785.73541666667</v>
      </c>
      <c r="G1815" s="248">
        <v>8</v>
      </c>
      <c r="H1815" s="248" t="s">
        <v>2557</v>
      </c>
      <c r="I1815" s="248">
        <v>79630</v>
      </c>
      <c r="J1815" s="250" t="s">
        <v>5474</v>
      </c>
      <c r="K1815" s="248">
        <v>8.9</v>
      </c>
      <c r="L1815" s="248">
        <v>0</v>
      </c>
      <c r="M1815" s="248">
        <v>0</v>
      </c>
      <c r="N1815" s="248">
        <v>1</v>
      </c>
      <c r="O1815" s="181">
        <f t="shared" si="14"/>
        <v>8.9</v>
      </c>
      <c r="P1815" s="247">
        <f t="shared" si="15"/>
        <v>8.9</v>
      </c>
    </row>
    <row r="1816" spans="1:16" ht="14.25">
      <c r="A1816" s="224">
        <v>1815</v>
      </c>
      <c r="B1816" s="248">
        <v>238</v>
      </c>
      <c r="C1816" s="248" t="s">
        <v>5475</v>
      </c>
      <c r="D1816" s="248" t="s">
        <v>45</v>
      </c>
      <c r="E1816" s="248" t="s">
        <v>2860</v>
      </c>
      <c r="F1816" s="249">
        <v>45785.738194444442</v>
      </c>
      <c r="G1816" s="248">
        <v>8</v>
      </c>
      <c r="H1816" s="248" t="s">
        <v>2557</v>
      </c>
      <c r="I1816" s="248">
        <v>79378</v>
      </c>
      <c r="J1816" s="250" t="s">
        <v>5476</v>
      </c>
      <c r="K1816" s="248">
        <v>0.99</v>
      </c>
      <c r="L1816" s="248">
        <v>0</v>
      </c>
      <c r="M1816" s="248">
        <v>0</v>
      </c>
      <c r="N1816" s="248">
        <v>1</v>
      </c>
      <c r="O1816" s="181">
        <f t="shared" si="14"/>
        <v>0.99</v>
      </c>
      <c r="P1816" s="247">
        <f t="shared" si="15"/>
        <v>0.99</v>
      </c>
    </row>
    <row r="1817" spans="1:16" ht="14.25">
      <c r="A1817" s="224">
        <v>1816</v>
      </c>
      <c r="B1817" s="248">
        <v>21339</v>
      </c>
      <c r="C1817" s="248" t="s">
        <v>3675</v>
      </c>
      <c r="D1817" s="248" t="s">
        <v>45</v>
      </c>
      <c r="E1817" s="248" t="s">
        <v>2860</v>
      </c>
      <c r="F1817" s="249">
        <v>45785.754861111112</v>
      </c>
      <c r="G1817" s="248">
        <v>8</v>
      </c>
      <c r="H1817" s="248" t="s">
        <v>2557</v>
      </c>
      <c r="I1817" s="248">
        <v>77266</v>
      </c>
      <c r="J1817" s="250" t="s">
        <v>5477</v>
      </c>
      <c r="K1817" s="248">
        <v>28.68</v>
      </c>
      <c r="L1817" s="248">
        <v>0</v>
      </c>
      <c r="M1817" s="248">
        <v>0</v>
      </c>
      <c r="N1817" s="248">
        <v>1</v>
      </c>
      <c r="O1817" s="181">
        <f t="shared" si="14"/>
        <v>28.68</v>
      </c>
      <c r="P1817" s="247">
        <f t="shared" si="15"/>
        <v>28.68</v>
      </c>
    </row>
    <row r="1818" spans="1:16" ht="14.25">
      <c r="A1818" s="224">
        <v>1817</v>
      </c>
      <c r="B1818" s="248">
        <v>396</v>
      </c>
      <c r="C1818" s="248" t="s">
        <v>2674</v>
      </c>
      <c r="D1818" s="248" t="s">
        <v>45</v>
      </c>
      <c r="E1818" s="248" t="s">
        <v>9</v>
      </c>
      <c r="F1818" s="249">
        <v>45785.758333333331</v>
      </c>
      <c r="G1818" s="248">
        <v>8</v>
      </c>
      <c r="H1818" s="248" t="s">
        <v>2557</v>
      </c>
      <c r="I1818" s="248">
        <v>61556</v>
      </c>
      <c r="J1818" s="250" t="s">
        <v>625</v>
      </c>
      <c r="K1818" s="248">
        <v>1.0900000000000001</v>
      </c>
      <c r="L1818" s="248">
        <v>0.54</v>
      </c>
      <c r="M1818" s="248">
        <v>0</v>
      </c>
      <c r="N1818" s="248">
        <v>1</v>
      </c>
      <c r="O1818" s="181">
        <f t="shared" si="14"/>
        <v>0.55000000000000004</v>
      </c>
      <c r="P1818" s="247">
        <f t="shared" si="15"/>
        <v>0.55000000000000004</v>
      </c>
    </row>
    <row r="1819" spans="1:16" ht="14.25">
      <c r="A1819" s="224">
        <v>1818</v>
      </c>
      <c r="B1819" s="248">
        <v>18477</v>
      </c>
      <c r="C1819" s="248" t="s">
        <v>2966</v>
      </c>
      <c r="D1819" s="248" t="s">
        <v>45</v>
      </c>
      <c r="E1819" s="248" t="s">
        <v>2874</v>
      </c>
      <c r="F1819" s="249">
        <v>45785.949305555558</v>
      </c>
      <c r="G1819" s="248">
        <v>8</v>
      </c>
      <c r="H1819" s="248" t="s">
        <v>2557</v>
      </c>
      <c r="I1819" s="248">
        <v>76906</v>
      </c>
      <c r="J1819" s="250"/>
      <c r="K1819" s="248">
        <v>110</v>
      </c>
      <c r="L1819" s="248">
        <v>0</v>
      </c>
      <c r="M1819" s="248">
        <v>0</v>
      </c>
      <c r="N1819" s="248">
        <v>1</v>
      </c>
      <c r="O1819" s="181">
        <f t="shared" si="14"/>
        <v>110</v>
      </c>
      <c r="P1819" s="247">
        <f t="shared" si="15"/>
        <v>110</v>
      </c>
    </row>
    <row r="1820" spans="1:16" ht="14.25">
      <c r="A1820" s="224">
        <v>1819</v>
      </c>
      <c r="B1820" s="248">
        <v>29014</v>
      </c>
      <c r="C1820" s="248" t="s">
        <v>5478</v>
      </c>
      <c r="D1820" s="248" t="s">
        <v>45</v>
      </c>
      <c r="E1820" s="248" t="s">
        <v>2860</v>
      </c>
      <c r="F1820" s="249">
        <v>45785.986111111109</v>
      </c>
      <c r="G1820" s="248">
        <v>8</v>
      </c>
      <c r="H1820" s="248" t="s">
        <v>2557</v>
      </c>
      <c r="I1820" s="248">
        <v>79642</v>
      </c>
      <c r="J1820" s="250" t="s">
        <v>5479</v>
      </c>
      <c r="K1820" s="248">
        <v>20.69</v>
      </c>
      <c r="L1820" s="248">
        <v>0</v>
      </c>
      <c r="M1820" s="248">
        <v>0</v>
      </c>
      <c r="N1820" s="248">
        <v>1</v>
      </c>
      <c r="O1820" s="181">
        <f t="shared" si="14"/>
        <v>20.69</v>
      </c>
      <c r="P1820" s="247">
        <f t="shared" si="15"/>
        <v>20.69</v>
      </c>
    </row>
    <row r="1821" spans="1:16" ht="14.25">
      <c r="A1821" s="224">
        <v>1820</v>
      </c>
      <c r="B1821" s="248">
        <v>29091</v>
      </c>
      <c r="C1821" s="248" t="s">
        <v>5480</v>
      </c>
      <c r="D1821" s="248" t="s">
        <v>45</v>
      </c>
      <c r="E1821" s="248" t="s">
        <v>2860</v>
      </c>
      <c r="F1821" s="249">
        <v>45816.421527777777</v>
      </c>
      <c r="G1821" s="248">
        <v>8</v>
      </c>
      <c r="H1821" s="248" t="s">
        <v>2557</v>
      </c>
      <c r="I1821" s="248">
        <v>79798</v>
      </c>
      <c r="J1821" s="250" t="s">
        <v>5481</v>
      </c>
      <c r="K1821" s="248">
        <v>2.4900000000000002</v>
      </c>
      <c r="L1821" s="248">
        <v>0</v>
      </c>
      <c r="M1821" s="248">
        <v>0</v>
      </c>
      <c r="N1821" s="248">
        <v>1</v>
      </c>
      <c r="O1821" s="181">
        <f t="shared" si="14"/>
        <v>2.4900000000000002</v>
      </c>
      <c r="P1821" s="247">
        <f t="shared" si="15"/>
        <v>2.4900000000000002</v>
      </c>
    </row>
    <row r="1822" spans="1:16" ht="14.25">
      <c r="A1822" s="224">
        <v>1821</v>
      </c>
      <c r="B1822" s="248">
        <v>25262</v>
      </c>
      <c r="C1822" s="248" t="s">
        <v>4571</v>
      </c>
      <c r="D1822" s="248" t="s">
        <v>2582</v>
      </c>
      <c r="E1822" s="248" t="s">
        <v>2860</v>
      </c>
      <c r="F1822" s="249">
        <v>45816.557638888888</v>
      </c>
      <c r="G1822" s="248">
        <v>8</v>
      </c>
      <c r="H1822" s="248" t="s">
        <v>2557</v>
      </c>
      <c r="I1822" s="248">
        <v>79810</v>
      </c>
      <c r="J1822" s="250" t="s">
        <v>5482</v>
      </c>
      <c r="K1822" s="248">
        <v>46.43</v>
      </c>
      <c r="L1822" s="248">
        <v>0</v>
      </c>
      <c r="M1822" s="248">
        <v>0</v>
      </c>
      <c r="N1822" s="248">
        <v>7.1874200000000004</v>
      </c>
      <c r="O1822" s="181">
        <f t="shared" si="14"/>
        <v>46.43</v>
      </c>
      <c r="P1822" s="247">
        <f t="shared" si="15"/>
        <v>6.459897988429784</v>
      </c>
    </row>
    <row r="1823" spans="1:16" ht="14.25">
      <c r="A1823" s="224">
        <v>1822</v>
      </c>
      <c r="B1823" s="248">
        <v>25262</v>
      </c>
      <c r="C1823" s="248" t="s">
        <v>4571</v>
      </c>
      <c r="D1823" s="248" t="s">
        <v>2582</v>
      </c>
      <c r="E1823" s="248" t="s">
        <v>2860</v>
      </c>
      <c r="F1823" s="249">
        <v>45816.561805555553</v>
      </c>
      <c r="G1823" s="248">
        <v>8</v>
      </c>
      <c r="H1823" s="248" t="s">
        <v>2557</v>
      </c>
      <c r="I1823" s="248">
        <v>79810</v>
      </c>
      <c r="J1823" s="250"/>
      <c r="K1823" s="248">
        <v>0.02</v>
      </c>
      <c r="L1823" s="248">
        <v>0</v>
      </c>
      <c r="M1823" s="248">
        <v>0</v>
      </c>
      <c r="N1823" s="248">
        <v>7.1874200000000004</v>
      </c>
      <c r="O1823" s="181">
        <f t="shared" si="14"/>
        <v>0.02</v>
      </c>
      <c r="P1823" s="247">
        <f t="shared" si="15"/>
        <v>2.782639667641518E-3</v>
      </c>
    </row>
    <row r="1824" spans="1:16" ht="14.25">
      <c r="A1824" s="224">
        <v>1823</v>
      </c>
      <c r="B1824" s="248">
        <v>26470</v>
      </c>
      <c r="C1824" s="248" t="s">
        <v>4808</v>
      </c>
      <c r="D1824" s="248" t="s">
        <v>45</v>
      </c>
      <c r="E1824" s="248" t="s">
        <v>2860</v>
      </c>
      <c r="F1824" s="249">
        <v>45816.698611111111</v>
      </c>
      <c r="G1824" s="248">
        <v>8</v>
      </c>
      <c r="H1824" s="248" t="s">
        <v>2557</v>
      </c>
      <c r="I1824" s="248">
        <v>77278</v>
      </c>
      <c r="J1824" s="250" t="s">
        <v>5483</v>
      </c>
      <c r="K1824" s="248">
        <v>59.49</v>
      </c>
      <c r="L1824" s="248">
        <v>0</v>
      </c>
      <c r="M1824" s="248">
        <v>0</v>
      </c>
      <c r="N1824" s="248">
        <v>1</v>
      </c>
      <c r="O1824" s="181">
        <f t="shared" si="14"/>
        <v>59.49</v>
      </c>
      <c r="P1824" s="247">
        <f t="shared" si="15"/>
        <v>59.49</v>
      </c>
    </row>
    <row r="1825" spans="1:16" ht="14.25">
      <c r="A1825" s="224">
        <v>1824</v>
      </c>
      <c r="B1825" s="248">
        <v>26237</v>
      </c>
      <c r="C1825" s="248" t="s">
        <v>4786</v>
      </c>
      <c r="D1825" s="248" t="s">
        <v>45</v>
      </c>
      <c r="E1825" s="248" t="s">
        <v>4772</v>
      </c>
      <c r="F1825" s="249">
        <v>45816.805555555555</v>
      </c>
      <c r="G1825" s="248">
        <v>8</v>
      </c>
      <c r="H1825" s="248" t="s">
        <v>2557</v>
      </c>
      <c r="I1825" s="248">
        <v>79030</v>
      </c>
      <c r="J1825" s="250" t="s">
        <v>1480</v>
      </c>
      <c r="K1825" s="248">
        <v>56.79</v>
      </c>
      <c r="L1825" s="248">
        <v>1.65</v>
      </c>
      <c r="M1825" s="248">
        <v>0</v>
      </c>
      <c r="N1825" s="248">
        <v>1</v>
      </c>
      <c r="O1825" s="181">
        <f t="shared" si="14"/>
        <v>55.14</v>
      </c>
      <c r="P1825" s="247">
        <f t="shared" si="15"/>
        <v>55.14</v>
      </c>
    </row>
    <row r="1826" spans="1:16" ht="14.25">
      <c r="A1826" s="224">
        <v>1825</v>
      </c>
      <c r="B1826" s="248">
        <v>29093</v>
      </c>
      <c r="C1826" s="248" t="s">
        <v>5484</v>
      </c>
      <c r="D1826" s="248" t="s">
        <v>45</v>
      </c>
      <c r="E1826" s="248" t="s">
        <v>2860</v>
      </c>
      <c r="F1826" s="249">
        <v>45816.979166666664</v>
      </c>
      <c r="G1826" s="248">
        <v>8</v>
      </c>
      <c r="H1826" s="248" t="s">
        <v>2557</v>
      </c>
      <c r="I1826" s="248">
        <v>79834</v>
      </c>
      <c r="J1826" s="250" t="s">
        <v>5485</v>
      </c>
      <c r="K1826" s="248">
        <v>6.49</v>
      </c>
      <c r="L1826" s="248">
        <v>0</v>
      </c>
      <c r="M1826" s="248">
        <v>0</v>
      </c>
      <c r="N1826" s="248">
        <v>1</v>
      </c>
      <c r="O1826" s="181">
        <f t="shared" si="14"/>
        <v>6.49</v>
      </c>
      <c r="P1826" s="247">
        <f t="shared" si="15"/>
        <v>6.49</v>
      </c>
    </row>
    <row r="1827" spans="1:16" ht="14.25">
      <c r="A1827" s="224">
        <v>1826</v>
      </c>
      <c r="B1827" s="248">
        <v>29096</v>
      </c>
      <c r="C1827" s="248" t="s">
        <v>5486</v>
      </c>
      <c r="D1827" s="248" t="s">
        <v>45</v>
      </c>
      <c r="E1827" s="248" t="s">
        <v>2874</v>
      </c>
      <c r="F1827" s="249">
        <v>45846.263888888891</v>
      </c>
      <c r="G1827" s="248">
        <v>8</v>
      </c>
      <c r="H1827" s="248" t="s">
        <v>2557</v>
      </c>
      <c r="I1827" s="248">
        <v>79858</v>
      </c>
      <c r="J1827" s="250" t="s">
        <v>5487</v>
      </c>
      <c r="K1827" s="248">
        <v>2.99</v>
      </c>
      <c r="L1827" s="248">
        <v>0</v>
      </c>
      <c r="M1827" s="248">
        <v>0</v>
      </c>
      <c r="N1827" s="248">
        <v>1</v>
      </c>
      <c r="O1827" s="181">
        <f t="shared" si="14"/>
        <v>2.99</v>
      </c>
      <c r="P1827" s="247">
        <f t="shared" si="15"/>
        <v>2.99</v>
      </c>
    </row>
    <row r="1828" spans="1:16" ht="14.25">
      <c r="A1828" s="224">
        <v>1827</v>
      </c>
      <c r="B1828" s="248">
        <v>7698</v>
      </c>
      <c r="C1828" s="248" t="s">
        <v>2710</v>
      </c>
      <c r="D1828" s="248" t="s">
        <v>45</v>
      </c>
      <c r="E1828" s="248" t="s">
        <v>2874</v>
      </c>
      <c r="F1828" s="249">
        <v>45846.713888888888</v>
      </c>
      <c r="G1828" s="248">
        <v>8</v>
      </c>
      <c r="H1828" s="248" t="s">
        <v>2557</v>
      </c>
      <c r="I1828" s="248">
        <v>78922</v>
      </c>
      <c r="J1828" s="250" t="s">
        <v>5488</v>
      </c>
      <c r="K1828" s="248">
        <v>17.989999999999998</v>
      </c>
      <c r="L1828" s="248">
        <v>0</v>
      </c>
      <c r="M1828" s="248">
        <v>0</v>
      </c>
      <c r="N1828" s="248">
        <v>1</v>
      </c>
      <c r="O1828" s="181">
        <f t="shared" si="14"/>
        <v>17.989999999999998</v>
      </c>
      <c r="P1828" s="247">
        <f t="shared" si="15"/>
        <v>17.989999999999998</v>
      </c>
    </row>
    <row r="1829" spans="1:16" ht="14.25">
      <c r="A1829" s="224">
        <v>1828</v>
      </c>
      <c r="B1829" s="248">
        <v>26086</v>
      </c>
      <c r="C1829" s="248" t="s">
        <v>5489</v>
      </c>
      <c r="D1829" s="248" t="s">
        <v>45</v>
      </c>
      <c r="E1829" s="248" t="s">
        <v>2860</v>
      </c>
      <c r="F1829" s="249">
        <v>45846.753472222219</v>
      </c>
      <c r="G1829" s="248">
        <v>8</v>
      </c>
      <c r="H1829" s="248" t="s">
        <v>2557</v>
      </c>
      <c r="I1829" s="248">
        <v>79966</v>
      </c>
      <c r="J1829" s="250" t="s">
        <v>5490</v>
      </c>
      <c r="K1829" s="248">
        <v>8.99</v>
      </c>
      <c r="L1829" s="248">
        <v>0</v>
      </c>
      <c r="M1829" s="248">
        <v>0</v>
      </c>
      <c r="N1829" s="248">
        <v>1</v>
      </c>
      <c r="O1829" s="181">
        <f t="shared" si="14"/>
        <v>8.99</v>
      </c>
      <c r="P1829" s="247">
        <f t="shared" si="15"/>
        <v>8.99</v>
      </c>
    </row>
    <row r="1830" spans="1:16" ht="14.25">
      <c r="A1830" s="224">
        <v>1829</v>
      </c>
      <c r="B1830" s="248">
        <v>29098</v>
      </c>
      <c r="C1830" s="248" t="s">
        <v>5491</v>
      </c>
      <c r="D1830" s="248" t="s">
        <v>2582</v>
      </c>
      <c r="E1830" s="248" t="s">
        <v>2860</v>
      </c>
      <c r="F1830" s="249">
        <v>45846.765277777777</v>
      </c>
      <c r="G1830" s="248">
        <v>8</v>
      </c>
      <c r="H1830" s="248" t="s">
        <v>2557</v>
      </c>
      <c r="I1830" s="248">
        <v>79978</v>
      </c>
      <c r="J1830" s="250" t="s">
        <v>5492</v>
      </c>
      <c r="K1830" s="248">
        <v>17.89</v>
      </c>
      <c r="L1830" s="248">
        <v>0</v>
      </c>
      <c r="M1830" s="248">
        <v>0</v>
      </c>
      <c r="N1830" s="248">
        <v>7.1857100000000003</v>
      </c>
      <c r="O1830" s="181">
        <f t="shared" si="14"/>
        <v>17.89</v>
      </c>
      <c r="P1830" s="247">
        <f t="shared" si="15"/>
        <v>2.4896635127217768</v>
      </c>
    </row>
    <row r="1831" spans="1:16" ht="14.25">
      <c r="A1831" s="224">
        <v>1830</v>
      </c>
      <c r="B1831" s="248">
        <v>6794</v>
      </c>
      <c r="C1831" s="248" t="s">
        <v>2623</v>
      </c>
      <c r="D1831" s="248" t="s">
        <v>45</v>
      </c>
      <c r="E1831" s="248" t="s">
        <v>2874</v>
      </c>
      <c r="F1831" s="249">
        <v>45846.931250000001</v>
      </c>
      <c r="G1831" s="248">
        <v>8</v>
      </c>
      <c r="H1831" s="248" t="s">
        <v>2557</v>
      </c>
      <c r="I1831" s="248">
        <v>79822</v>
      </c>
      <c r="J1831" s="250"/>
      <c r="K1831" s="248">
        <v>3441.55</v>
      </c>
      <c r="L1831" s="248">
        <v>0</v>
      </c>
      <c r="M1831" s="248">
        <v>0</v>
      </c>
      <c r="N1831" s="248">
        <v>1</v>
      </c>
      <c r="O1831" s="181">
        <f t="shared" si="14"/>
        <v>3441.55</v>
      </c>
      <c r="P1831" s="247">
        <f t="shared" si="15"/>
        <v>3441.55</v>
      </c>
    </row>
    <row r="1832" spans="1:16" ht="14.25">
      <c r="A1832" s="224">
        <v>1831</v>
      </c>
      <c r="B1832" s="248">
        <v>6798</v>
      </c>
      <c r="C1832" s="248" t="s">
        <v>2921</v>
      </c>
      <c r="D1832" s="248" t="s">
        <v>45</v>
      </c>
      <c r="E1832" s="248" t="s">
        <v>3655</v>
      </c>
      <c r="F1832" s="249">
        <v>45877.56527777778</v>
      </c>
      <c r="G1832" s="248">
        <v>8</v>
      </c>
      <c r="H1832" s="248" t="s">
        <v>2557</v>
      </c>
      <c r="I1832" s="248">
        <v>78778</v>
      </c>
      <c r="J1832" s="250"/>
      <c r="K1832" s="248">
        <v>553</v>
      </c>
      <c r="L1832" s="248">
        <v>0</v>
      </c>
      <c r="M1832" s="248">
        <v>0</v>
      </c>
      <c r="N1832" s="248">
        <v>1</v>
      </c>
      <c r="O1832" s="181">
        <f t="shared" si="14"/>
        <v>553</v>
      </c>
      <c r="P1832" s="247">
        <f t="shared" si="15"/>
        <v>553</v>
      </c>
    </row>
    <row r="1833" spans="1:16" ht="14.25">
      <c r="A1833" s="224">
        <v>1832</v>
      </c>
      <c r="B1833" s="248">
        <v>6798</v>
      </c>
      <c r="C1833" s="248" t="s">
        <v>2921</v>
      </c>
      <c r="D1833" s="248" t="s">
        <v>45</v>
      </c>
      <c r="E1833" s="248" t="s">
        <v>3655</v>
      </c>
      <c r="F1833" s="249">
        <v>45877.56527777778</v>
      </c>
      <c r="G1833" s="248">
        <v>8</v>
      </c>
      <c r="H1833" s="248" t="s">
        <v>2557</v>
      </c>
      <c r="I1833" s="248">
        <v>76318</v>
      </c>
      <c r="J1833" s="250"/>
      <c r="K1833" s="248">
        <v>506</v>
      </c>
      <c r="L1833" s="248">
        <v>0</v>
      </c>
      <c r="M1833" s="248">
        <v>0</v>
      </c>
      <c r="N1833" s="248">
        <v>1</v>
      </c>
      <c r="O1833" s="181">
        <f t="shared" si="14"/>
        <v>506</v>
      </c>
      <c r="P1833" s="247">
        <f t="shared" si="15"/>
        <v>506</v>
      </c>
    </row>
    <row r="1834" spans="1:16" ht="14.25">
      <c r="A1834" s="224">
        <v>1833</v>
      </c>
      <c r="B1834" s="248">
        <v>28535</v>
      </c>
      <c r="C1834" s="248" t="s">
        <v>5117</v>
      </c>
      <c r="D1834" s="248" t="s">
        <v>45</v>
      </c>
      <c r="E1834" s="248" t="s">
        <v>2860</v>
      </c>
      <c r="F1834" s="249">
        <v>45877.65625</v>
      </c>
      <c r="G1834" s="248">
        <v>8</v>
      </c>
      <c r="H1834" s="248" t="s">
        <v>2557</v>
      </c>
      <c r="I1834" s="248">
        <v>80062</v>
      </c>
      <c r="J1834" s="250" t="s">
        <v>5493</v>
      </c>
      <c r="K1834" s="248">
        <v>2.4900000000000002</v>
      </c>
      <c r="L1834" s="248">
        <v>0</v>
      </c>
      <c r="M1834" s="248">
        <v>0</v>
      </c>
      <c r="N1834" s="248">
        <v>1</v>
      </c>
      <c r="O1834" s="181">
        <f t="shared" si="14"/>
        <v>2.4900000000000002</v>
      </c>
      <c r="P1834" s="247">
        <f t="shared" si="15"/>
        <v>2.4900000000000002</v>
      </c>
    </row>
    <row r="1835" spans="1:16" ht="14.25">
      <c r="A1835" s="224">
        <v>1834</v>
      </c>
      <c r="B1835" s="248">
        <v>20047</v>
      </c>
      <c r="C1835" s="248" t="s">
        <v>4066</v>
      </c>
      <c r="D1835" s="248" t="s">
        <v>2582</v>
      </c>
      <c r="E1835" s="248" t="s">
        <v>2860</v>
      </c>
      <c r="F1835" s="249">
        <v>45877.675694444442</v>
      </c>
      <c r="G1835" s="248">
        <v>8</v>
      </c>
      <c r="H1835" s="248" t="s">
        <v>2557</v>
      </c>
      <c r="I1835" s="248">
        <v>77230</v>
      </c>
      <c r="J1835" s="250" t="s">
        <v>5494</v>
      </c>
      <c r="K1835" s="248">
        <v>111.13</v>
      </c>
      <c r="L1835" s="248">
        <v>0</v>
      </c>
      <c r="M1835" s="248">
        <v>0</v>
      </c>
      <c r="N1835" s="248">
        <v>7.1791600000000004</v>
      </c>
      <c r="O1835" s="181">
        <f t="shared" si="14"/>
        <v>111.13</v>
      </c>
      <c r="P1835" s="247">
        <f t="shared" si="15"/>
        <v>15.479526852723716</v>
      </c>
    </row>
    <row r="1836" spans="1:16" ht="14.25">
      <c r="A1836" s="224">
        <v>1835</v>
      </c>
      <c r="B1836" s="248">
        <v>25163</v>
      </c>
      <c r="C1836" s="248" t="s">
        <v>4531</v>
      </c>
      <c r="D1836" s="248" t="s">
        <v>45</v>
      </c>
      <c r="E1836" s="248" t="s">
        <v>4772</v>
      </c>
      <c r="F1836" s="249">
        <v>45877.69027777778</v>
      </c>
      <c r="G1836" s="248">
        <v>8</v>
      </c>
      <c r="H1836" s="248" t="s">
        <v>2557</v>
      </c>
      <c r="I1836" s="248">
        <v>80074</v>
      </c>
      <c r="J1836" s="250" t="s">
        <v>1482</v>
      </c>
      <c r="K1836" s="248">
        <v>15</v>
      </c>
      <c r="L1836" s="248">
        <v>0.44</v>
      </c>
      <c r="M1836" s="248">
        <v>0</v>
      </c>
      <c r="N1836" s="248">
        <v>1</v>
      </c>
      <c r="O1836" s="181">
        <f t="shared" si="14"/>
        <v>14.56</v>
      </c>
      <c r="P1836" s="247">
        <f t="shared" si="15"/>
        <v>14.56</v>
      </c>
    </row>
    <row r="1837" spans="1:16" ht="14.25">
      <c r="A1837" s="224">
        <v>1836</v>
      </c>
      <c r="B1837" s="248">
        <v>29101</v>
      </c>
      <c r="C1837" s="248" t="s">
        <v>5495</v>
      </c>
      <c r="D1837" s="248" t="s">
        <v>2582</v>
      </c>
      <c r="E1837" s="248" t="s">
        <v>2860</v>
      </c>
      <c r="F1837" s="249">
        <v>45908.115277777775</v>
      </c>
      <c r="G1837" s="248">
        <v>8</v>
      </c>
      <c r="H1837" s="248" t="s">
        <v>2557</v>
      </c>
      <c r="I1837" s="248">
        <v>80086</v>
      </c>
      <c r="J1837" s="250" t="s">
        <v>5496</v>
      </c>
      <c r="K1837" s="248">
        <v>83.92</v>
      </c>
      <c r="L1837" s="248">
        <v>0</v>
      </c>
      <c r="M1837" s="248">
        <v>0</v>
      </c>
      <c r="N1837" s="248">
        <v>7.1791600000000004</v>
      </c>
      <c r="O1837" s="181">
        <f t="shared" si="14"/>
        <v>83.92</v>
      </c>
      <c r="P1837" s="247">
        <f t="shared" si="15"/>
        <v>11.68938984505151</v>
      </c>
    </row>
    <row r="1838" spans="1:16" ht="14.25">
      <c r="A1838" s="224">
        <v>1837</v>
      </c>
      <c r="B1838" s="248">
        <v>29101</v>
      </c>
      <c r="C1838" s="248" t="s">
        <v>5495</v>
      </c>
      <c r="D1838" s="248" t="s">
        <v>2582</v>
      </c>
      <c r="E1838" s="248" t="s">
        <v>2860</v>
      </c>
      <c r="F1838" s="249">
        <v>45908.143055555556</v>
      </c>
      <c r="G1838" s="248">
        <v>8</v>
      </c>
      <c r="H1838" s="248" t="s">
        <v>2557</v>
      </c>
      <c r="I1838" s="248">
        <v>80086</v>
      </c>
      <c r="J1838" s="250"/>
      <c r="K1838" s="248">
        <v>0.01</v>
      </c>
      <c r="L1838" s="248">
        <v>0</v>
      </c>
      <c r="M1838" s="248">
        <v>0</v>
      </c>
      <c r="N1838" s="248">
        <v>7.1791600000000004</v>
      </c>
      <c r="O1838" s="181">
        <f t="shared" si="14"/>
        <v>0.01</v>
      </c>
      <c r="P1838" s="247">
        <f t="shared" si="15"/>
        <v>1.3929206202396938E-3</v>
      </c>
    </row>
    <row r="1839" spans="1:16" ht="14.25">
      <c r="A1839" s="224">
        <v>1838</v>
      </c>
      <c r="B1839" s="248">
        <v>28388</v>
      </c>
      <c r="C1839" s="248" t="s">
        <v>5085</v>
      </c>
      <c r="D1839" s="248" t="s">
        <v>2582</v>
      </c>
      <c r="E1839" s="248" t="s">
        <v>2860</v>
      </c>
      <c r="F1839" s="249">
        <v>45908.17291666667</v>
      </c>
      <c r="G1839" s="248">
        <v>8</v>
      </c>
      <c r="H1839" s="248" t="s">
        <v>2557</v>
      </c>
      <c r="I1839" s="248">
        <v>78034</v>
      </c>
      <c r="J1839" s="250" t="s">
        <v>5497</v>
      </c>
      <c r="K1839" s="248">
        <v>91.75</v>
      </c>
      <c r="L1839" s="248">
        <v>0</v>
      </c>
      <c r="M1839" s="248">
        <v>0</v>
      </c>
      <c r="N1839" s="248">
        <v>7.1791600000000004</v>
      </c>
      <c r="O1839" s="181">
        <f t="shared" si="14"/>
        <v>91.75</v>
      </c>
      <c r="P1839" s="247">
        <f t="shared" si="15"/>
        <v>12.780046690699189</v>
      </c>
    </row>
    <row r="1840" spans="1:16" ht="14.25">
      <c r="A1840" s="224">
        <v>1839</v>
      </c>
      <c r="B1840" s="248">
        <v>29102</v>
      </c>
      <c r="C1840" s="248" t="s">
        <v>5498</v>
      </c>
      <c r="D1840" s="248" t="s">
        <v>45</v>
      </c>
      <c r="E1840" s="248" t="s">
        <v>2860</v>
      </c>
      <c r="F1840" s="249">
        <v>45908.492361111108</v>
      </c>
      <c r="G1840" s="248">
        <v>8</v>
      </c>
      <c r="H1840" s="248" t="s">
        <v>2557</v>
      </c>
      <c r="I1840" s="248">
        <v>80110</v>
      </c>
      <c r="J1840" s="250" t="s">
        <v>5499</v>
      </c>
      <c r="K1840" s="248">
        <v>2.4900000000000002</v>
      </c>
      <c r="L1840" s="248">
        <v>0</v>
      </c>
      <c r="M1840" s="248">
        <v>0</v>
      </c>
      <c r="N1840" s="248">
        <v>1</v>
      </c>
      <c r="O1840" s="181">
        <f t="shared" si="14"/>
        <v>2.4900000000000002</v>
      </c>
      <c r="P1840" s="247">
        <f t="shared" si="15"/>
        <v>2.4900000000000002</v>
      </c>
    </row>
    <row r="1841" spans="1:16" ht="14.25">
      <c r="A1841" s="224">
        <v>1840</v>
      </c>
      <c r="B1841" s="248">
        <v>25274</v>
      </c>
      <c r="C1841" s="248" t="s">
        <v>4573</v>
      </c>
      <c r="D1841" s="248" t="s">
        <v>2582</v>
      </c>
      <c r="E1841" s="248" t="s">
        <v>2860</v>
      </c>
      <c r="F1841" s="249">
        <v>45908.495833333334</v>
      </c>
      <c r="G1841" s="248">
        <v>8</v>
      </c>
      <c r="H1841" s="248" t="s">
        <v>2557</v>
      </c>
      <c r="I1841" s="248">
        <v>80122</v>
      </c>
      <c r="J1841" s="250" t="s">
        <v>5500</v>
      </c>
      <c r="K1841" s="248">
        <v>109.84</v>
      </c>
      <c r="L1841" s="248">
        <v>0</v>
      </c>
      <c r="M1841" s="248">
        <v>0</v>
      </c>
      <c r="N1841" s="248">
        <v>7.1838100000000003</v>
      </c>
      <c r="O1841" s="181">
        <f t="shared" si="14"/>
        <v>109.84</v>
      </c>
      <c r="P1841" s="247">
        <f t="shared" si="15"/>
        <v>15.289936677055769</v>
      </c>
    </row>
    <row r="1842" spans="1:16" ht="14.25">
      <c r="A1842" s="224">
        <v>1841</v>
      </c>
      <c r="B1842" s="248">
        <v>28570</v>
      </c>
      <c r="C1842" s="248" t="s">
        <v>5137</v>
      </c>
      <c r="D1842" s="248" t="s">
        <v>2582</v>
      </c>
      <c r="E1842" s="248" t="s">
        <v>2860</v>
      </c>
      <c r="F1842" s="249">
        <v>45908.568055555559</v>
      </c>
      <c r="G1842" s="248">
        <v>8</v>
      </c>
      <c r="H1842" s="248" t="s">
        <v>2557</v>
      </c>
      <c r="I1842" s="248">
        <v>79018</v>
      </c>
      <c r="J1842" s="250" t="s">
        <v>5501</v>
      </c>
      <c r="K1842" s="248">
        <v>7.18</v>
      </c>
      <c r="L1842" s="248">
        <v>0</v>
      </c>
      <c r="M1842" s="248">
        <v>0</v>
      </c>
      <c r="N1842" s="248">
        <v>7.1838100000000003</v>
      </c>
      <c r="O1842" s="181">
        <f t="shared" si="14"/>
        <v>7.18</v>
      </c>
      <c r="P1842" s="247">
        <f t="shared" si="15"/>
        <v>0.99946964076165701</v>
      </c>
    </row>
    <row r="1843" spans="1:16" ht="14.25">
      <c r="A1843" s="224">
        <v>1842</v>
      </c>
      <c r="B1843" s="248">
        <v>28570</v>
      </c>
      <c r="C1843" s="248" t="s">
        <v>5137</v>
      </c>
      <c r="D1843" s="248" t="s">
        <v>2582</v>
      </c>
      <c r="E1843" s="248" t="s">
        <v>2860</v>
      </c>
      <c r="F1843" s="249">
        <v>45908.575694444444</v>
      </c>
      <c r="G1843" s="248">
        <v>8</v>
      </c>
      <c r="H1843" s="248" t="s">
        <v>2557</v>
      </c>
      <c r="I1843" s="248">
        <v>79018</v>
      </c>
      <c r="J1843" s="250"/>
      <c r="K1843" s="248">
        <v>0.02</v>
      </c>
      <c r="L1843" s="248">
        <v>0</v>
      </c>
      <c r="M1843" s="248">
        <v>0</v>
      </c>
      <c r="N1843" s="248">
        <v>7.1838100000000003</v>
      </c>
      <c r="O1843" s="181">
        <f t="shared" si="14"/>
        <v>0.02</v>
      </c>
      <c r="P1843" s="247">
        <f t="shared" si="15"/>
        <v>2.7840379965505769E-3</v>
      </c>
    </row>
    <row r="1844" spans="1:16" ht="14.25">
      <c r="A1844" s="224">
        <v>1843</v>
      </c>
      <c r="B1844" s="248">
        <v>28642</v>
      </c>
      <c r="C1844" s="248" t="s">
        <v>5177</v>
      </c>
      <c r="D1844" s="248" t="s">
        <v>2582</v>
      </c>
      <c r="E1844" s="248" t="s">
        <v>2860</v>
      </c>
      <c r="F1844" s="249">
        <v>45908.614583333336</v>
      </c>
      <c r="G1844" s="248">
        <v>8</v>
      </c>
      <c r="H1844" s="248" t="s">
        <v>2557</v>
      </c>
      <c r="I1844" s="248">
        <v>80134</v>
      </c>
      <c r="J1844" s="250" t="s">
        <v>5502</v>
      </c>
      <c r="K1844" s="248">
        <v>57.33</v>
      </c>
      <c r="L1844" s="248">
        <v>0</v>
      </c>
      <c r="M1844" s="248">
        <v>0</v>
      </c>
      <c r="N1844" s="248">
        <v>7.1838100000000003</v>
      </c>
      <c r="O1844" s="181">
        <f t="shared" si="14"/>
        <v>57.33</v>
      </c>
      <c r="P1844" s="247">
        <f t="shared" si="15"/>
        <v>7.9804449171122283</v>
      </c>
    </row>
    <row r="1845" spans="1:16" ht="14.25">
      <c r="A1845" s="224">
        <v>1844</v>
      </c>
      <c r="B1845" s="248">
        <v>28642</v>
      </c>
      <c r="C1845" s="248" t="s">
        <v>5177</v>
      </c>
      <c r="D1845" s="248" t="s">
        <v>2582</v>
      </c>
      <c r="E1845" s="248" t="s">
        <v>2860</v>
      </c>
      <c r="F1845" s="249">
        <v>45908.625694444447</v>
      </c>
      <c r="G1845" s="248">
        <v>8</v>
      </c>
      <c r="H1845" s="248" t="s">
        <v>2557</v>
      </c>
      <c r="I1845" s="248">
        <v>80134</v>
      </c>
      <c r="J1845" s="250"/>
      <c r="K1845" s="248">
        <v>0.02</v>
      </c>
      <c r="L1845" s="248">
        <v>0</v>
      </c>
      <c r="M1845" s="248">
        <v>0</v>
      </c>
      <c r="N1845" s="248">
        <v>7.1838100000000003</v>
      </c>
      <c r="O1845" s="181">
        <f t="shared" si="14"/>
        <v>0.02</v>
      </c>
      <c r="P1845" s="247">
        <f t="shared" si="15"/>
        <v>2.7840379965505769E-3</v>
      </c>
    </row>
    <row r="1846" spans="1:16" ht="14.25">
      <c r="A1846" s="224">
        <v>1845</v>
      </c>
      <c r="B1846" s="248">
        <v>417</v>
      </c>
      <c r="C1846" s="248" t="s">
        <v>2682</v>
      </c>
      <c r="D1846" s="248" t="s">
        <v>2582</v>
      </c>
      <c r="E1846" s="248" t="s">
        <v>2860</v>
      </c>
      <c r="F1846" s="249">
        <v>45908.69027777778</v>
      </c>
      <c r="G1846" s="248">
        <v>8</v>
      </c>
      <c r="H1846" s="248" t="s">
        <v>2557</v>
      </c>
      <c r="I1846" s="248">
        <v>80098</v>
      </c>
      <c r="J1846" s="250" t="s">
        <v>5503</v>
      </c>
      <c r="K1846" s="248">
        <v>7.76</v>
      </c>
      <c r="L1846" s="248">
        <v>0</v>
      </c>
      <c r="M1846" s="248">
        <v>0</v>
      </c>
      <c r="N1846" s="248">
        <v>7.1838100000000003</v>
      </c>
      <c r="O1846" s="181">
        <f t="shared" si="14"/>
        <v>7.76</v>
      </c>
      <c r="P1846" s="247">
        <f t="shared" si="15"/>
        <v>1.0802067426616238</v>
      </c>
    </row>
    <row r="1847" spans="1:16" ht="14.25">
      <c r="A1847" s="224">
        <v>1846</v>
      </c>
      <c r="B1847" s="248">
        <v>1583</v>
      </c>
      <c r="C1847" s="248" t="s">
        <v>2900</v>
      </c>
      <c r="D1847" s="248" t="s">
        <v>2582</v>
      </c>
      <c r="E1847" s="248" t="s">
        <v>2860</v>
      </c>
      <c r="F1847" s="249">
        <v>45908.699305555558</v>
      </c>
      <c r="G1847" s="248">
        <v>8</v>
      </c>
      <c r="H1847" s="248" t="s">
        <v>2557</v>
      </c>
      <c r="I1847" s="248">
        <v>80158</v>
      </c>
      <c r="J1847" s="250" t="s">
        <v>5504</v>
      </c>
      <c r="K1847" s="248">
        <v>1483.46</v>
      </c>
      <c r="L1847" s="248">
        <v>0</v>
      </c>
      <c r="M1847" s="248">
        <v>0</v>
      </c>
      <c r="N1847" s="248">
        <v>7.1838100000000003</v>
      </c>
      <c r="O1847" s="181">
        <f t="shared" si="14"/>
        <v>1483.46</v>
      </c>
      <c r="P1847" s="247">
        <f t="shared" si="15"/>
        <v>206.50045031814594</v>
      </c>
    </row>
    <row r="1848" spans="1:16" ht="14.25">
      <c r="A1848" s="224">
        <v>1847</v>
      </c>
      <c r="B1848" s="248">
        <v>1583</v>
      </c>
      <c r="C1848" s="248" t="s">
        <v>2900</v>
      </c>
      <c r="D1848" s="248" t="s">
        <v>2582</v>
      </c>
      <c r="E1848" s="248" t="s">
        <v>2860</v>
      </c>
      <c r="F1848" s="249">
        <v>45908.708333333336</v>
      </c>
      <c r="G1848" s="248">
        <v>8</v>
      </c>
      <c r="H1848" s="248" t="s">
        <v>2557</v>
      </c>
      <c r="I1848" s="248">
        <v>80158</v>
      </c>
      <c r="J1848" s="250"/>
      <c r="K1848" s="248">
        <v>0.03</v>
      </c>
      <c r="L1848" s="248">
        <v>0</v>
      </c>
      <c r="M1848" s="248">
        <v>0</v>
      </c>
      <c r="N1848" s="248">
        <v>7.1838100000000003</v>
      </c>
      <c r="O1848" s="181">
        <f t="shared" si="14"/>
        <v>0.03</v>
      </c>
      <c r="P1848" s="247">
        <f t="shared" si="15"/>
        <v>4.176056994825865E-3</v>
      </c>
    </row>
    <row r="1849" spans="1:16" ht="14.25">
      <c r="A1849" s="224">
        <v>1848</v>
      </c>
      <c r="B1849" s="248">
        <v>29103</v>
      </c>
      <c r="C1849" s="248" t="s">
        <v>5505</v>
      </c>
      <c r="D1849" s="248" t="s">
        <v>45</v>
      </c>
      <c r="E1849" s="248" t="s">
        <v>2860</v>
      </c>
      <c r="F1849" s="249">
        <v>45908.881249999999</v>
      </c>
      <c r="G1849" s="248">
        <v>8</v>
      </c>
      <c r="H1849" s="248" t="s">
        <v>2557</v>
      </c>
      <c r="I1849" s="248">
        <v>80170</v>
      </c>
      <c r="J1849" s="250" t="s">
        <v>5506</v>
      </c>
      <c r="K1849" s="248">
        <v>2.4900000000000002</v>
      </c>
      <c r="L1849" s="248">
        <v>0</v>
      </c>
      <c r="M1849" s="248">
        <v>0</v>
      </c>
      <c r="N1849" s="248">
        <v>1</v>
      </c>
      <c r="O1849" s="181">
        <f t="shared" si="14"/>
        <v>2.4900000000000002</v>
      </c>
      <c r="P1849" s="247">
        <f t="shared" si="15"/>
        <v>2.4900000000000002</v>
      </c>
    </row>
    <row r="1850" spans="1:16" ht="14.25">
      <c r="A1850" s="224">
        <v>1849</v>
      </c>
      <c r="B1850" s="248">
        <v>27977</v>
      </c>
      <c r="C1850" s="248" t="s">
        <v>5012</v>
      </c>
      <c r="D1850" s="248" t="s">
        <v>45</v>
      </c>
      <c r="E1850" s="248" t="s">
        <v>2874</v>
      </c>
      <c r="F1850" s="249">
        <v>45938.324305555558</v>
      </c>
      <c r="G1850" s="248">
        <v>8</v>
      </c>
      <c r="H1850" s="248" t="s">
        <v>2557</v>
      </c>
      <c r="I1850" s="248">
        <v>77854</v>
      </c>
      <c r="J1850" s="250" t="s">
        <v>5507</v>
      </c>
      <c r="K1850" s="248">
        <v>60.99</v>
      </c>
      <c r="L1850" s="248">
        <v>0</v>
      </c>
      <c r="M1850" s="248">
        <v>0</v>
      </c>
      <c r="N1850" s="248">
        <v>1</v>
      </c>
      <c r="O1850" s="181">
        <f t="shared" si="14"/>
        <v>60.99</v>
      </c>
      <c r="P1850" s="247">
        <f t="shared" si="15"/>
        <v>60.99</v>
      </c>
    </row>
    <row r="1851" spans="1:16" ht="14.25">
      <c r="A1851" s="224">
        <v>1850</v>
      </c>
      <c r="B1851" s="248">
        <v>29105</v>
      </c>
      <c r="C1851" s="248" t="s">
        <v>5508</v>
      </c>
      <c r="D1851" s="248" t="s">
        <v>2582</v>
      </c>
      <c r="E1851" s="248" t="s">
        <v>2860</v>
      </c>
      <c r="F1851" s="249">
        <v>45938.466666666667</v>
      </c>
      <c r="G1851" s="248">
        <v>8</v>
      </c>
      <c r="H1851" s="248" t="s">
        <v>2557</v>
      </c>
      <c r="I1851" s="248">
        <v>80218</v>
      </c>
      <c r="J1851" s="250" t="s">
        <v>5509</v>
      </c>
      <c r="K1851" s="248">
        <v>28.66</v>
      </c>
      <c r="L1851" s="248">
        <v>0</v>
      </c>
      <c r="M1851" s="248">
        <v>0</v>
      </c>
      <c r="N1851" s="248">
        <v>7.1838100000000003</v>
      </c>
      <c r="O1851" s="181">
        <f t="shared" si="14"/>
        <v>28.66</v>
      </c>
      <c r="P1851" s="247">
        <f t="shared" si="15"/>
        <v>3.9895264490569766</v>
      </c>
    </row>
    <row r="1852" spans="1:16" ht="14.25">
      <c r="A1852" s="224">
        <v>1851</v>
      </c>
      <c r="B1852" s="248">
        <v>36</v>
      </c>
      <c r="C1852" s="248" t="s">
        <v>2646</v>
      </c>
      <c r="D1852" s="248" t="s">
        <v>45</v>
      </c>
      <c r="E1852" s="248" t="s">
        <v>2874</v>
      </c>
      <c r="F1852" s="249">
        <v>45938.629861111112</v>
      </c>
      <c r="G1852" s="248">
        <v>8</v>
      </c>
      <c r="H1852" s="248" t="s">
        <v>2557</v>
      </c>
      <c r="I1852" s="248">
        <v>77998</v>
      </c>
      <c r="J1852" s="250"/>
      <c r="K1852" s="248">
        <v>600</v>
      </c>
      <c r="L1852" s="248">
        <v>0</v>
      </c>
      <c r="M1852" s="248">
        <v>0</v>
      </c>
      <c r="N1852" s="248">
        <v>1</v>
      </c>
      <c r="O1852" s="181">
        <f t="shared" si="14"/>
        <v>600</v>
      </c>
      <c r="P1852" s="247">
        <f t="shared" si="15"/>
        <v>600</v>
      </c>
    </row>
    <row r="1853" spans="1:16" ht="14.25">
      <c r="A1853" s="224">
        <v>1852</v>
      </c>
      <c r="B1853" s="248">
        <v>275</v>
      </c>
      <c r="C1853" s="248" t="s">
        <v>4689</v>
      </c>
      <c r="D1853" s="248" t="s">
        <v>45</v>
      </c>
      <c r="E1853" s="248" t="s">
        <v>2860</v>
      </c>
      <c r="F1853" s="249">
        <v>45938.85</v>
      </c>
      <c r="G1853" s="248">
        <v>8</v>
      </c>
      <c r="H1853" s="248" t="s">
        <v>2557</v>
      </c>
      <c r="I1853" s="248">
        <v>79894</v>
      </c>
      <c r="J1853" s="250" t="s">
        <v>5510</v>
      </c>
      <c r="K1853" s="248">
        <v>9.99</v>
      </c>
      <c r="L1853" s="248">
        <v>0</v>
      </c>
      <c r="M1853" s="248">
        <v>0</v>
      </c>
      <c r="N1853" s="248">
        <v>1</v>
      </c>
      <c r="O1853" s="181">
        <f t="shared" si="14"/>
        <v>9.99</v>
      </c>
      <c r="P1853" s="247">
        <f t="shared" si="15"/>
        <v>9.99</v>
      </c>
    </row>
    <row r="1854" spans="1:16" ht="14.25">
      <c r="A1854" s="224">
        <v>1853</v>
      </c>
      <c r="B1854" s="248">
        <v>25163</v>
      </c>
      <c r="C1854" s="248" t="s">
        <v>4531</v>
      </c>
      <c r="D1854" s="248" t="s">
        <v>45</v>
      </c>
      <c r="E1854" s="248" t="s">
        <v>2860</v>
      </c>
      <c r="F1854" s="249">
        <v>45938.948611111111</v>
      </c>
      <c r="G1854" s="248">
        <v>8</v>
      </c>
      <c r="H1854" s="248" t="s">
        <v>2557</v>
      </c>
      <c r="I1854" s="248">
        <v>77890</v>
      </c>
      <c r="J1854" s="250" t="s">
        <v>5511</v>
      </c>
      <c r="K1854" s="248">
        <v>4.49</v>
      </c>
      <c r="L1854" s="248">
        <v>0</v>
      </c>
      <c r="M1854" s="248">
        <v>0</v>
      </c>
      <c r="N1854" s="248">
        <v>1</v>
      </c>
      <c r="O1854" s="181">
        <f t="shared" si="14"/>
        <v>4.49</v>
      </c>
      <c r="P1854" s="247">
        <f t="shared" si="15"/>
        <v>4.49</v>
      </c>
    </row>
    <row r="1855" spans="1:16" ht="14.25">
      <c r="A1855" s="224">
        <v>1854</v>
      </c>
      <c r="B1855" s="248">
        <v>25163</v>
      </c>
      <c r="C1855" s="248" t="s">
        <v>4531</v>
      </c>
      <c r="D1855" s="248" t="s">
        <v>45</v>
      </c>
      <c r="E1855" s="248" t="s">
        <v>2860</v>
      </c>
      <c r="F1855" s="249">
        <v>45938.959722222222</v>
      </c>
      <c r="G1855" s="248">
        <v>8</v>
      </c>
      <c r="H1855" s="248" t="s">
        <v>2557</v>
      </c>
      <c r="I1855" s="248">
        <v>80230</v>
      </c>
      <c r="J1855" s="250" t="s">
        <v>5512</v>
      </c>
      <c r="K1855" s="248">
        <v>15.29</v>
      </c>
      <c r="L1855" s="248">
        <v>0</v>
      </c>
      <c r="M1855" s="248">
        <v>0</v>
      </c>
      <c r="N1855" s="248">
        <v>1</v>
      </c>
      <c r="O1855" s="181">
        <f t="shared" si="14"/>
        <v>15.29</v>
      </c>
      <c r="P1855" s="247">
        <f t="shared" si="15"/>
        <v>15.29</v>
      </c>
    </row>
    <row r="1856" spans="1:16" ht="14.25">
      <c r="A1856" s="224">
        <v>1855</v>
      </c>
      <c r="B1856" s="248">
        <v>27977</v>
      </c>
      <c r="C1856" s="248" t="s">
        <v>5012</v>
      </c>
      <c r="D1856" s="248" t="s">
        <v>45</v>
      </c>
      <c r="E1856" s="248" t="s">
        <v>2874</v>
      </c>
      <c r="F1856" s="249">
        <v>45969.316666666666</v>
      </c>
      <c r="G1856" s="248">
        <v>8</v>
      </c>
      <c r="H1856" s="248" t="s">
        <v>2557</v>
      </c>
      <c r="I1856" s="248">
        <v>78874</v>
      </c>
      <c r="J1856" s="250" t="s">
        <v>5513</v>
      </c>
      <c r="K1856" s="248">
        <v>88.99</v>
      </c>
      <c r="L1856" s="248">
        <v>0</v>
      </c>
      <c r="M1856" s="248">
        <v>0</v>
      </c>
      <c r="N1856" s="248">
        <v>1</v>
      </c>
      <c r="O1856" s="181">
        <f t="shared" si="14"/>
        <v>88.99</v>
      </c>
      <c r="P1856" s="247">
        <f t="shared" si="15"/>
        <v>88.99</v>
      </c>
    </row>
    <row r="1857" spans="1:16" ht="14.25">
      <c r="A1857" s="224">
        <v>1856</v>
      </c>
      <c r="B1857" s="248">
        <v>29086</v>
      </c>
      <c r="C1857" s="248" t="s">
        <v>5514</v>
      </c>
      <c r="D1857" s="248" t="s">
        <v>2582</v>
      </c>
      <c r="E1857" s="248" t="s">
        <v>2860</v>
      </c>
      <c r="F1857" s="249">
        <v>45969.354861111111</v>
      </c>
      <c r="G1857" s="248">
        <v>8</v>
      </c>
      <c r="H1857" s="248" t="s">
        <v>2557</v>
      </c>
      <c r="I1857" s="248">
        <v>80242</v>
      </c>
      <c r="J1857" s="250" t="s">
        <v>5515</v>
      </c>
      <c r="K1857" s="248">
        <v>430.96</v>
      </c>
      <c r="L1857" s="248">
        <v>0</v>
      </c>
      <c r="M1857" s="248">
        <v>0</v>
      </c>
      <c r="N1857" s="248">
        <v>7.1838100000000003</v>
      </c>
      <c r="O1857" s="181">
        <f t="shared" si="14"/>
        <v>430.96</v>
      </c>
      <c r="P1857" s="247">
        <f t="shared" si="15"/>
        <v>59.99045074967183</v>
      </c>
    </row>
    <row r="1858" spans="1:16" ht="14.25">
      <c r="A1858" s="224">
        <v>1857</v>
      </c>
      <c r="B1858" s="248">
        <v>28388</v>
      </c>
      <c r="C1858" s="248" t="s">
        <v>5085</v>
      </c>
      <c r="D1858" s="248" t="s">
        <v>2582</v>
      </c>
      <c r="E1858" s="248" t="s">
        <v>2860</v>
      </c>
      <c r="F1858" s="249">
        <v>45969.511111111111</v>
      </c>
      <c r="G1858" s="248">
        <v>8</v>
      </c>
      <c r="H1858" s="248" t="s">
        <v>2557</v>
      </c>
      <c r="I1858" s="248">
        <v>78034</v>
      </c>
      <c r="J1858" s="250"/>
      <c r="K1858" s="248">
        <v>0.03</v>
      </c>
      <c r="L1858" s="248">
        <v>0</v>
      </c>
      <c r="M1858" s="248">
        <v>0</v>
      </c>
      <c r="N1858" s="248">
        <v>7.1838100000000003</v>
      </c>
      <c r="O1858" s="181">
        <f t="shared" si="14"/>
        <v>0.03</v>
      </c>
      <c r="P1858" s="247">
        <f t="shared" si="15"/>
        <v>4.176056994825865E-3</v>
      </c>
    </row>
    <row r="1859" spans="1:16" ht="14.25">
      <c r="A1859" s="224">
        <v>1858</v>
      </c>
      <c r="B1859" s="248">
        <v>19314</v>
      </c>
      <c r="C1859" s="248" t="s">
        <v>3119</v>
      </c>
      <c r="D1859" s="248" t="s">
        <v>45</v>
      </c>
      <c r="E1859" s="248" t="s">
        <v>2860</v>
      </c>
      <c r="F1859" s="249">
        <v>45969.512499999997</v>
      </c>
      <c r="G1859" s="248">
        <v>8</v>
      </c>
      <c r="H1859" s="248" t="s">
        <v>2557</v>
      </c>
      <c r="I1859" s="248">
        <v>78310</v>
      </c>
      <c r="J1859" s="250"/>
      <c r="K1859" s="248">
        <v>27.5</v>
      </c>
      <c r="L1859" s="248">
        <v>0</v>
      </c>
      <c r="M1859" s="248">
        <v>0</v>
      </c>
      <c r="N1859" s="248">
        <v>1</v>
      </c>
      <c r="O1859" s="181">
        <f t="shared" si="14"/>
        <v>27.5</v>
      </c>
      <c r="P1859" s="247">
        <f t="shared" si="15"/>
        <v>27.5</v>
      </c>
    </row>
    <row r="1860" spans="1:16" ht="14.25">
      <c r="A1860" s="224">
        <v>1859</v>
      </c>
      <c r="B1860" s="248">
        <v>25716</v>
      </c>
      <c r="C1860" s="248" t="s">
        <v>4682</v>
      </c>
      <c r="D1860" s="248" t="s">
        <v>2582</v>
      </c>
      <c r="E1860" s="248" t="s">
        <v>4772</v>
      </c>
      <c r="F1860" s="249">
        <v>45969.543749999997</v>
      </c>
      <c r="G1860" s="248">
        <v>8</v>
      </c>
      <c r="H1860" s="248" t="s">
        <v>2557</v>
      </c>
      <c r="I1860" s="248">
        <v>79750</v>
      </c>
      <c r="J1860" s="250" t="s">
        <v>1484</v>
      </c>
      <c r="K1860" s="248">
        <v>148.72</v>
      </c>
      <c r="L1860" s="248">
        <v>0.6</v>
      </c>
      <c r="M1860" s="248">
        <v>0</v>
      </c>
      <c r="N1860" s="248">
        <v>7.1838100000000003</v>
      </c>
      <c r="O1860" s="181">
        <f t="shared" si="14"/>
        <v>148.12</v>
      </c>
      <c r="P1860" s="247">
        <f t="shared" si="15"/>
        <v>20.618585402453572</v>
      </c>
    </row>
    <row r="1861" spans="1:16" ht="14.25">
      <c r="A1861" s="224">
        <v>1860</v>
      </c>
      <c r="B1861" s="248">
        <v>28532</v>
      </c>
      <c r="C1861" s="248" t="s">
        <v>5186</v>
      </c>
      <c r="D1861" s="248" t="s">
        <v>45</v>
      </c>
      <c r="E1861" s="248" t="s">
        <v>2860</v>
      </c>
      <c r="F1861" s="249">
        <v>45969.549305555556</v>
      </c>
      <c r="G1861" s="248">
        <v>8</v>
      </c>
      <c r="H1861" s="248" t="s">
        <v>2557</v>
      </c>
      <c r="I1861" s="248">
        <v>80338</v>
      </c>
      <c r="J1861" s="250" t="s">
        <v>5516</v>
      </c>
      <c r="K1861" s="248">
        <v>11.69</v>
      </c>
      <c r="L1861" s="248">
        <v>0</v>
      </c>
      <c r="M1861" s="248">
        <v>0</v>
      </c>
      <c r="N1861" s="248">
        <v>1</v>
      </c>
      <c r="O1861" s="181">
        <f t="shared" si="14"/>
        <v>11.69</v>
      </c>
      <c r="P1861" s="247">
        <f t="shared" si="15"/>
        <v>11.69</v>
      </c>
    </row>
    <row r="1862" spans="1:16" ht="14.25">
      <c r="A1862" s="224">
        <v>1861</v>
      </c>
      <c r="B1862" s="248">
        <v>1559</v>
      </c>
      <c r="C1862" s="248" t="s">
        <v>3541</v>
      </c>
      <c r="D1862" s="248" t="s">
        <v>45</v>
      </c>
      <c r="E1862" s="248" t="s">
        <v>2874</v>
      </c>
      <c r="F1862" s="249">
        <v>45969.655555555553</v>
      </c>
      <c r="G1862" s="248">
        <v>8</v>
      </c>
      <c r="H1862" s="248" t="s">
        <v>2557</v>
      </c>
      <c r="I1862" s="248">
        <v>77794</v>
      </c>
      <c r="J1862" s="250"/>
      <c r="K1862" s="248">
        <v>156</v>
      </c>
      <c r="L1862" s="248">
        <v>0</v>
      </c>
      <c r="M1862" s="248">
        <v>0</v>
      </c>
      <c r="N1862" s="248">
        <v>1</v>
      </c>
      <c r="O1862" s="181">
        <f t="shared" si="14"/>
        <v>156</v>
      </c>
      <c r="P1862" s="247">
        <f t="shared" si="15"/>
        <v>156</v>
      </c>
    </row>
    <row r="1863" spans="1:16" ht="14.25">
      <c r="A1863" s="224">
        <v>1862</v>
      </c>
      <c r="B1863" s="248">
        <v>27903</v>
      </c>
      <c r="C1863" s="248" t="s">
        <v>5168</v>
      </c>
      <c r="D1863" s="248" t="s">
        <v>45</v>
      </c>
      <c r="E1863" s="248" t="s">
        <v>2874</v>
      </c>
      <c r="F1863" s="249">
        <v>45969.661111111112</v>
      </c>
      <c r="G1863" s="248">
        <v>8</v>
      </c>
      <c r="H1863" s="248" t="s">
        <v>2557</v>
      </c>
      <c r="I1863" s="248">
        <v>80350</v>
      </c>
      <c r="J1863" s="250" t="s">
        <v>5517</v>
      </c>
      <c r="K1863" s="248">
        <v>180</v>
      </c>
      <c r="L1863" s="248">
        <v>0</v>
      </c>
      <c r="M1863" s="248">
        <v>0</v>
      </c>
      <c r="N1863" s="248">
        <v>1</v>
      </c>
      <c r="O1863" s="181">
        <f t="shared" si="14"/>
        <v>180</v>
      </c>
      <c r="P1863" s="247">
        <f t="shared" si="15"/>
        <v>180</v>
      </c>
    </row>
    <row r="1864" spans="1:16" ht="14.25">
      <c r="A1864" s="224">
        <v>1863</v>
      </c>
      <c r="B1864" s="248">
        <v>24797</v>
      </c>
      <c r="C1864" s="248" t="s">
        <v>4308</v>
      </c>
      <c r="D1864" s="248" t="s">
        <v>45</v>
      </c>
      <c r="E1864" s="248" t="s">
        <v>2860</v>
      </c>
      <c r="F1864" s="249">
        <v>45969.67291666667</v>
      </c>
      <c r="G1864" s="248">
        <v>8</v>
      </c>
      <c r="H1864" s="248" t="s">
        <v>2557</v>
      </c>
      <c r="I1864" s="248">
        <v>80362</v>
      </c>
      <c r="J1864" s="250" t="s">
        <v>5518</v>
      </c>
      <c r="K1864" s="248">
        <v>20.69</v>
      </c>
      <c r="L1864" s="248">
        <v>0</v>
      </c>
      <c r="M1864" s="248">
        <v>0</v>
      </c>
      <c r="N1864" s="248">
        <v>1</v>
      </c>
      <c r="O1864" s="181">
        <f t="shared" si="14"/>
        <v>20.69</v>
      </c>
      <c r="P1864" s="247">
        <f t="shared" si="15"/>
        <v>20.69</v>
      </c>
    </row>
    <row r="1865" spans="1:16" ht="14.25">
      <c r="A1865" s="224">
        <v>1864</v>
      </c>
      <c r="B1865" s="248">
        <v>6794</v>
      </c>
      <c r="C1865" s="248" t="s">
        <v>2623</v>
      </c>
      <c r="D1865" s="248" t="s">
        <v>45</v>
      </c>
      <c r="E1865" s="248" t="s">
        <v>2874</v>
      </c>
      <c r="F1865" s="249">
        <v>45969.97152777778</v>
      </c>
      <c r="G1865" s="248">
        <v>8</v>
      </c>
      <c r="H1865" s="248" t="s">
        <v>2557</v>
      </c>
      <c r="I1865" s="248">
        <v>80386</v>
      </c>
      <c r="J1865" s="250"/>
      <c r="K1865" s="248">
        <v>751.93</v>
      </c>
      <c r="L1865" s="248">
        <v>0</v>
      </c>
      <c r="M1865" s="248">
        <v>0</v>
      </c>
      <c r="N1865" s="248">
        <v>1</v>
      </c>
      <c r="O1865" s="181">
        <f t="shared" si="14"/>
        <v>751.93</v>
      </c>
      <c r="P1865" s="247">
        <f t="shared" si="15"/>
        <v>751.93</v>
      </c>
    </row>
    <row r="1866" spans="1:16" ht="14.25">
      <c r="A1866" s="224">
        <v>1865</v>
      </c>
      <c r="B1866" s="248">
        <v>6794</v>
      </c>
      <c r="C1866" s="248" t="s">
        <v>2623</v>
      </c>
      <c r="D1866" s="248" t="s">
        <v>45</v>
      </c>
      <c r="E1866" s="248" t="s">
        <v>2874</v>
      </c>
      <c r="F1866" s="249">
        <v>45969.97152777778</v>
      </c>
      <c r="G1866" s="248">
        <v>8</v>
      </c>
      <c r="H1866" s="248" t="s">
        <v>2557</v>
      </c>
      <c r="I1866" s="248">
        <v>80374</v>
      </c>
      <c r="J1866" s="250"/>
      <c r="K1866" s="248">
        <v>24.37</v>
      </c>
      <c r="L1866" s="248">
        <v>0</v>
      </c>
      <c r="M1866" s="248">
        <v>0</v>
      </c>
      <c r="N1866" s="248">
        <v>1</v>
      </c>
      <c r="O1866" s="181">
        <f t="shared" si="14"/>
        <v>24.37</v>
      </c>
      <c r="P1866" s="247">
        <f t="shared" si="15"/>
        <v>24.37</v>
      </c>
    </row>
    <row r="1867" spans="1:16" ht="14.25">
      <c r="A1867" s="224">
        <v>1866</v>
      </c>
      <c r="B1867" s="248">
        <v>7093</v>
      </c>
      <c r="C1867" s="248" t="s">
        <v>2643</v>
      </c>
      <c r="D1867" s="248" t="s">
        <v>45</v>
      </c>
      <c r="E1867" s="248" t="s">
        <v>2860</v>
      </c>
      <c r="F1867" s="249">
        <v>45999.026388888888</v>
      </c>
      <c r="G1867" s="248">
        <v>8</v>
      </c>
      <c r="H1867" s="248" t="s">
        <v>2557</v>
      </c>
      <c r="I1867" s="248">
        <v>80398</v>
      </c>
      <c r="J1867" s="250" t="s">
        <v>5519</v>
      </c>
      <c r="K1867" s="248">
        <v>2.4900000000000002</v>
      </c>
      <c r="L1867" s="248">
        <v>0</v>
      </c>
      <c r="M1867" s="248">
        <v>0</v>
      </c>
      <c r="N1867" s="248">
        <v>1</v>
      </c>
      <c r="O1867" s="181">
        <f t="shared" si="14"/>
        <v>2.4900000000000002</v>
      </c>
      <c r="P1867" s="247">
        <f t="shared" si="15"/>
        <v>2.4900000000000002</v>
      </c>
    </row>
    <row r="1868" spans="1:16" ht="14.25">
      <c r="A1868" s="224">
        <v>1867</v>
      </c>
      <c r="B1868" s="248">
        <v>28657</v>
      </c>
      <c r="C1868" s="248" t="s">
        <v>5183</v>
      </c>
      <c r="D1868" s="248" t="s">
        <v>45</v>
      </c>
      <c r="E1868" s="248" t="s">
        <v>2860</v>
      </c>
      <c r="F1868" s="249">
        <v>45999.426388888889</v>
      </c>
      <c r="G1868" s="248">
        <v>8</v>
      </c>
      <c r="H1868" s="248" t="s">
        <v>2557</v>
      </c>
      <c r="I1868" s="248">
        <v>79234</v>
      </c>
      <c r="J1868" s="250" t="s">
        <v>5520</v>
      </c>
      <c r="K1868" s="248">
        <v>12.79</v>
      </c>
      <c r="L1868" s="248">
        <v>0</v>
      </c>
      <c r="M1868" s="248">
        <v>0</v>
      </c>
      <c r="N1868" s="248">
        <v>1</v>
      </c>
      <c r="O1868" s="181">
        <f t="shared" si="14"/>
        <v>12.79</v>
      </c>
      <c r="P1868" s="247">
        <f t="shared" si="15"/>
        <v>12.79</v>
      </c>
    </row>
    <row r="1869" spans="1:16" ht="14.25">
      <c r="A1869" s="224">
        <v>1868</v>
      </c>
      <c r="B1869" s="248">
        <v>25163</v>
      </c>
      <c r="C1869" s="248" t="s">
        <v>4531</v>
      </c>
      <c r="D1869" s="248" t="s">
        <v>45</v>
      </c>
      <c r="E1869" s="248" t="s">
        <v>2860</v>
      </c>
      <c r="F1869" s="249">
        <v>45999.44027777778</v>
      </c>
      <c r="G1869" s="248">
        <v>8</v>
      </c>
      <c r="H1869" s="248" t="s">
        <v>2557</v>
      </c>
      <c r="I1869" s="248">
        <v>80554</v>
      </c>
      <c r="J1869" s="250" t="s">
        <v>5521</v>
      </c>
      <c r="K1869" s="248">
        <v>15</v>
      </c>
      <c r="L1869" s="248">
        <v>0</v>
      </c>
      <c r="M1869" s="248">
        <v>0</v>
      </c>
      <c r="N1869" s="248">
        <v>1</v>
      </c>
      <c r="O1869" s="181">
        <f t="shared" si="14"/>
        <v>15</v>
      </c>
      <c r="P1869" s="247">
        <f t="shared" si="15"/>
        <v>15</v>
      </c>
    </row>
    <row r="1870" spans="1:16" ht="14.25">
      <c r="A1870" s="224">
        <v>1869</v>
      </c>
      <c r="B1870" s="248">
        <v>29108</v>
      </c>
      <c r="C1870" s="248" t="s">
        <v>5522</v>
      </c>
      <c r="D1870" s="248" t="s">
        <v>45</v>
      </c>
      <c r="E1870" s="248" t="s">
        <v>2860</v>
      </c>
      <c r="F1870" s="249">
        <v>45999.462500000001</v>
      </c>
      <c r="G1870" s="248">
        <v>8</v>
      </c>
      <c r="H1870" s="248" t="s">
        <v>2557</v>
      </c>
      <c r="I1870" s="248">
        <v>80542</v>
      </c>
      <c r="J1870" s="250" t="s">
        <v>5523</v>
      </c>
      <c r="K1870" s="248">
        <v>18.989999999999998</v>
      </c>
      <c r="L1870" s="248">
        <v>0</v>
      </c>
      <c r="M1870" s="248">
        <v>0</v>
      </c>
      <c r="N1870" s="248">
        <v>1</v>
      </c>
      <c r="O1870" s="181">
        <f t="shared" si="14"/>
        <v>18.989999999999998</v>
      </c>
      <c r="P1870" s="247">
        <f t="shared" si="15"/>
        <v>18.989999999999998</v>
      </c>
    </row>
    <row r="1871" spans="1:16" ht="14.25">
      <c r="A1871" s="224">
        <v>1870</v>
      </c>
      <c r="B1871" s="248">
        <v>24062</v>
      </c>
      <c r="C1871" s="248" t="s">
        <v>4122</v>
      </c>
      <c r="D1871" s="248" t="s">
        <v>2582</v>
      </c>
      <c r="E1871" s="248" t="s">
        <v>2860</v>
      </c>
      <c r="F1871" s="249">
        <v>45999.597222222219</v>
      </c>
      <c r="G1871" s="248">
        <v>8</v>
      </c>
      <c r="H1871" s="248" t="s">
        <v>2557</v>
      </c>
      <c r="I1871" s="248">
        <v>78802</v>
      </c>
      <c r="J1871" s="250" t="s">
        <v>5524</v>
      </c>
      <c r="K1871" s="248">
        <v>45.34</v>
      </c>
      <c r="L1871" s="248">
        <v>0</v>
      </c>
      <c r="M1871" s="248">
        <v>0</v>
      </c>
      <c r="N1871" s="248">
        <v>7.1846500000000004</v>
      </c>
      <c r="O1871" s="181">
        <f t="shared" si="14"/>
        <v>45.34</v>
      </c>
      <c r="P1871" s="247">
        <f t="shared" si="15"/>
        <v>6.3106762333586186</v>
      </c>
    </row>
    <row r="1872" spans="1:16" ht="14.25">
      <c r="A1872" s="224">
        <v>1871</v>
      </c>
      <c r="B1872" s="248">
        <v>6794</v>
      </c>
      <c r="C1872" s="248" t="s">
        <v>2623</v>
      </c>
      <c r="D1872" s="248" t="s">
        <v>45</v>
      </c>
      <c r="E1872" s="248" t="s">
        <v>2874</v>
      </c>
      <c r="F1872" s="249">
        <v>45999.630555555559</v>
      </c>
      <c r="G1872" s="248">
        <v>8</v>
      </c>
      <c r="H1872" s="248" t="s">
        <v>4508</v>
      </c>
      <c r="I1872" s="248">
        <v>80386</v>
      </c>
      <c r="J1872" s="250"/>
      <c r="K1872" s="248">
        <v>0</v>
      </c>
      <c r="L1872" s="248">
        <v>0</v>
      </c>
      <c r="M1872" s="248">
        <v>751.93</v>
      </c>
      <c r="N1872" s="248">
        <v>1</v>
      </c>
      <c r="O1872" s="181">
        <f t="shared" si="14"/>
        <v>-751.93</v>
      </c>
      <c r="P1872" s="247">
        <f t="shared" si="15"/>
        <v>-751.93</v>
      </c>
    </row>
    <row r="1873" spans="1:16" ht="14.25">
      <c r="A1873" s="224">
        <v>1872</v>
      </c>
      <c r="B1873" s="248">
        <v>28543</v>
      </c>
      <c r="C1873" s="248" t="s">
        <v>5127</v>
      </c>
      <c r="D1873" s="248" t="s">
        <v>2582</v>
      </c>
      <c r="E1873" s="248" t="s">
        <v>2860</v>
      </c>
      <c r="F1873" s="248" t="s">
        <v>5525</v>
      </c>
      <c r="G1873" s="248">
        <v>8</v>
      </c>
      <c r="H1873" s="248" t="s">
        <v>2557</v>
      </c>
      <c r="I1873" s="248">
        <v>80662</v>
      </c>
      <c r="J1873" s="250" t="s">
        <v>5526</v>
      </c>
      <c r="K1873" s="248">
        <v>892.74</v>
      </c>
      <c r="L1873" s="248">
        <v>0</v>
      </c>
      <c r="M1873" s="248">
        <v>0</v>
      </c>
      <c r="N1873" s="248">
        <v>7.1873199999999997</v>
      </c>
      <c r="O1873" s="181">
        <f t="shared" si="14"/>
        <v>892.74</v>
      </c>
      <c r="P1873" s="247">
        <f t="shared" si="15"/>
        <v>124.21041500865414</v>
      </c>
    </row>
    <row r="1874" spans="1:16" ht="14.25">
      <c r="A1874" s="224">
        <v>1873</v>
      </c>
      <c r="B1874" s="248">
        <v>28543</v>
      </c>
      <c r="C1874" s="248" t="s">
        <v>5127</v>
      </c>
      <c r="D1874" s="248" t="s">
        <v>2582</v>
      </c>
      <c r="E1874" s="248" t="s">
        <v>2860</v>
      </c>
      <c r="F1874" s="248" t="s">
        <v>5527</v>
      </c>
      <c r="G1874" s="248">
        <v>8</v>
      </c>
      <c r="H1874" s="248" t="s">
        <v>2557</v>
      </c>
      <c r="I1874" s="248">
        <v>80662</v>
      </c>
      <c r="J1874" s="250"/>
      <c r="K1874" s="248">
        <v>0.02</v>
      </c>
      <c r="L1874" s="248">
        <v>0</v>
      </c>
      <c r="M1874" s="248">
        <v>0</v>
      </c>
      <c r="N1874" s="248">
        <v>7.1873199999999997</v>
      </c>
      <c r="O1874" s="181">
        <f t="shared" si="14"/>
        <v>0.02</v>
      </c>
      <c r="P1874" s="247">
        <f t="shared" si="15"/>
        <v>2.7826783835977805E-3</v>
      </c>
    </row>
    <row r="1875" spans="1:16" ht="14.25">
      <c r="A1875" s="224">
        <v>1874</v>
      </c>
      <c r="B1875" s="248">
        <v>19962</v>
      </c>
      <c r="C1875" s="248" t="s">
        <v>3276</v>
      </c>
      <c r="D1875" s="248" t="s">
        <v>2582</v>
      </c>
      <c r="E1875" s="248" t="s">
        <v>2860</v>
      </c>
      <c r="F1875" s="248" t="s">
        <v>5528</v>
      </c>
      <c r="G1875" s="248">
        <v>8</v>
      </c>
      <c r="H1875" s="248" t="s">
        <v>2557</v>
      </c>
      <c r="I1875" s="248">
        <v>79162</v>
      </c>
      <c r="J1875" s="250" t="s">
        <v>5529</v>
      </c>
      <c r="K1875" s="248">
        <v>14.37</v>
      </c>
      <c r="L1875" s="248">
        <v>0</v>
      </c>
      <c r="M1875" s="248">
        <v>0</v>
      </c>
      <c r="N1875" s="248">
        <v>7.1873199999999997</v>
      </c>
      <c r="O1875" s="181">
        <f t="shared" si="14"/>
        <v>14.37</v>
      </c>
      <c r="P1875" s="247">
        <f t="shared" si="15"/>
        <v>1.9993544186150052</v>
      </c>
    </row>
    <row r="1876" spans="1:16" ht="14.25">
      <c r="A1876" s="224">
        <v>1875</v>
      </c>
      <c r="B1876" s="248">
        <v>29113</v>
      </c>
      <c r="C1876" s="248" t="s">
        <v>5530</v>
      </c>
      <c r="D1876" s="248" t="s">
        <v>2582</v>
      </c>
      <c r="E1876" s="248" t="s">
        <v>2860</v>
      </c>
      <c r="F1876" s="248" t="s">
        <v>5531</v>
      </c>
      <c r="G1876" s="248">
        <v>8</v>
      </c>
      <c r="H1876" s="248" t="s">
        <v>2557</v>
      </c>
      <c r="I1876" s="248">
        <v>80686</v>
      </c>
      <c r="J1876" s="250" t="s">
        <v>5532</v>
      </c>
      <c r="K1876" s="248">
        <v>122.11</v>
      </c>
      <c r="L1876" s="248">
        <v>0</v>
      </c>
      <c r="M1876" s="248">
        <v>0</v>
      </c>
      <c r="N1876" s="248">
        <v>7.1873199999999997</v>
      </c>
      <c r="O1876" s="181">
        <f t="shared" si="14"/>
        <v>122.11</v>
      </c>
      <c r="P1876" s="247">
        <f t="shared" si="15"/>
        <v>16.989642871056251</v>
      </c>
    </row>
    <row r="1877" spans="1:16" ht="14.25">
      <c r="A1877" s="224">
        <v>1876</v>
      </c>
      <c r="B1877" s="248">
        <v>21990</v>
      </c>
      <c r="C1877" s="248" t="s">
        <v>3821</v>
      </c>
      <c r="D1877" s="248" t="s">
        <v>45</v>
      </c>
      <c r="E1877" s="248" t="s">
        <v>2860</v>
      </c>
      <c r="F1877" s="248" t="s">
        <v>5533</v>
      </c>
      <c r="G1877" s="248">
        <v>8</v>
      </c>
      <c r="H1877" s="248" t="s">
        <v>2557</v>
      </c>
      <c r="I1877" s="248">
        <v>78934</v>
      </c>
      <c r="J1877" s="250" t="s">
        <v>5534</v>
      </c>
      <c r="K1877" s="248">
        <v>16.09</v>
      </c>
      <c r="L1877" s="248">
        <v>0</v>
      </c>
      <c r="M1877" s="248">
        <v>0</v>
      </c>
      <c r="N1877" s="248">
        <v>1</v>
      </c>
      <c r="O1877" s="181">
        <f t="shared" si="14"/>
        <v>16.09</v>
      </c>
      <c r="P1877" s="247">
        <f t="shared" si="15"/>
        <v>16.09</v>
      </c>
    </row>
    <row r="1878" spans="1:16" ht="14.25">
      <c r="A1878" s="224">
        <v>1877</v>
      </c>
      <c r="B1878" s="248">
        <v>29115</v>
      </c>
      <c r="C1878" s="248" t="s">
        <v>5535</v>
      </c>
      <c r="D1878" s="248" t="s">
        <v>2582</v>
      </c>
      <c r="E1878" s="248" t="s">
        <v>2860</v>
      </c>
      <c r="F1878" s="248" t="s">
        <v>5536</v>
      </c>
      <c r="G1878" s="248">
        <v>8</v>
      </c>
      <c r="H1878" s="248" t="s">
        <v>2557</v>
      </c>
      <c r="I1878" s="248">
        <v>80698</v>
      </c>
      <c r="J1878" s="250" t="s">
        <v>5537</v>
      </c>
      <c r="K1878" s="248">
        <v>93.36</v>
      </c>
      <c r="L1878" s="248">
        <v>0</v>
      </c>
      <c r="M1878" s="248">
        <v>0</v>
      </c>
      <c r="N1878" s="248">
        <v>7.1873199999999997</v>
      </c>
      <c r="O1878" s="181">
        <f t="shared" si="14"/>
        <v>93.36</v>
      </c>
      <c r="P1878" s="247">
        <f t="shared" si="15"/>
        <v>12.989542694634441</v>
      </c>
    </row>
    <row r="1879" spans="1:16" ht="14.25">
      <c r="A1879" s="224">
        <v>1878</v>
      </c>
      <c r="B1879" s="248">
        <v>6794</v>
      </c>
      <c r="C1879" s="248" t="s">
        <v>2623</v>
      </c>
      <c r="D1879" s="248" t="s">
        <v>45</v>
      </c>
      <c r="E1879" s="248" t="s">
        <v>2874</v>
      </c>
      <c r="F1879" s="248" t="s">
        <v>5538</v>
      </c>
      <c r="G1879" s="248">
        <v>8</v>
      </c>
      <c r="H1879" s="248" t="s">
        <v>2557</v>
      </c>
      <c r="I1879" s="248">
        <v>80710</v>
      </c>
      <c r="J1879" s="250"/>
      <c r="K1879" s="248">
        <v>24.39</v>
      </c>
      <c r="L1879" s="248">
        <v>0</v>
      </c>
      <c r="M1879" s="248">
        <v>0</v>
      </c>
      <c r="N1879" s="248">
        <v>1</v>
      </c>
      <c r="O1879" s="181">
        <f t="shared" si="14"/>
        <v>24.39</v>
      </c>
      <c r="P1879" s="247">
        <f t="shared" si="15"/>
        <v>24.39</v>
      </c>
    </row>
    <row r="1880" spans="1:16" ht="14.25">
      <c r="A1880" s="224">
        <v>1879</v>
      </c>
      <c r="B1880" s="248">
        <v>24787</v>
      </c>
      <c r="C1880" s="248" t="s">
        <v>4298</v>
      </c>
      <c r="D1880" s="248" t="s">
        <v>45</v>
      </c>
      <c r="E1880" s="248" t="s">
        <v>2860</v>
      </c>
      <c r="F1880" s="248" t="s">
        <v>5539</v>
      </c>
      <c r="G1880" s="248">
        <v>8</v>
      </c>
      <c r="H1880" s="248" t="s">
        <v>2557</v>
      </c>
      <c r="I1880" s="248">
        <v>80770</v>
      </c>
      <c r="J1880" s="250" t="s">
        <v>5540</v>
      </c>
      <c r="K1880" s="248">
        <v>19.989999999999998</v>
      </c>
      <c r="L1880" s="248">
        <v>0</v>
      </c>
      <c r="M1880" s="248">
        <v>0</v>
      </c>
      <c r="N1880" s="248">
        <v>1</v>
      </c>
      <c r="O1880" s="181">
        <f t="shared" si="14"/>
        <v>19.989999999999998</v>
      </c>
      <c r="P1880" s="247">
        <f t="shared" si="15"/>
        <v>19.989999999999998</v>
      </c>
    </row>
    <row r="1881" spans="1:16" ht="14.25">
      <c r="A1881" s="224">
        <v>1880</v>
      </c>
      <c r="B1881" s="248">
        <v>6529</v>
      </c>
      <c r="C1881" s="248" t="s">
        <v>2566</v>
      </c>
      <c r="D1881" s="248" t="s">
        <v>45</v>
      </c>
      <c r="E1881" s="248" t="s">
        <v>2860</v>
      </c>
      <c r="F1881" s="248" t="s">
        <v>5541</v>
      </c>
      <c r="G1881" s="248">
        <v>8</v>
      </c>
      <c r="H1881" s="248" t="s">
        <v>2557</v>
      </c>
      <c r="I1881" s="248">
        <v>79726</v>
      </c>
      <c r="J1881" s="250" t="s">
        <v>5542</v>
      </c>
      <c r="K1881" s="248">
        <v>8.99</v>
      </c>
      <c r="L1881" s="248">
        <v>0</v>
      </c>
      <c r="M1881" s="248">
        <v>0</v>
      </c>
      <c r="N1881" s="248">
        <v>1</v>
      </c>
      <c r="O1881" s="181">
        <f t="shared" si="14"/>
        <v>8.99</v>
      </c>
      <c r="P1881" s="247">
        <f t="shared" si="15"/>
        <v>8.99</v>
      </c>
    </row>
    <row r="1882" spans="1:16" ht="14.25">
      <c r="A1882" s="224">
        <v>1881</v>
      </c>
      <c r="B1882" s="248">
        <v>1560</v>
      </c>
      <c r="C1882" s="248" t="s">
        <v>2630</v>
      </c>
      <c r="D1882" s="248" t="s">
        <v>45</v>
      </c>
      <c r="E1882" s="248" t="s">
        <v>4772</v>
      </c>
      <c r="F1882" s="248" t="s">
        <v>5543</v>
      </c>
      <c r="G1882" s="248">
        <v>8</v>
      </c>
      <c r="H1882" s="248" t="s">
        <v>2557</v>
      </c>
      <c r="I1882" s="248">
        <v>80434</v>
      </c>
      <c r="J1882" s="250" t="s">
        <v>1487</v>
      </c>
      <c r="K1882" s="248">
        <v>8.9700000000000006</v>
      </c>
      <c r="L1882" s="248">
        <v>0.26</v>
      </c>
      <c r="M1882" s="248">
        <v>0</v>
      </c>
      <c r="N1882" s="248">
        <v>1</v>
      </c>
      <c r="O1882" s="181">
        <f t="shared" si="14"/>
        <v>8.7100000000000009</v>
      </c>
      <c r="P1882" s="247">
        <f t="shared" si="15"/>
        <v>8.7100000000000009</v>
      </c>
    </row>
    <row r="1883" spans="1:16" ht="14.25">
      <c r="A1883" s="224">
        <v>1882</v>
      </c>
      <c r="B1883" s="248">
        <v>29098</v>
      </c>
      <c r="C1883" s="248" t="s">
        <v>5491</v>
      </c>
      <c r="D1883" s="248" t="s">
        <v>2582</v>
      </c>
      <c r="E1883" s="248" t="s">
        <v>2860</v>
      </c>
      <c r="F1883" s="248" t="s">
        <v>5544</v>
      </c>
      <c r="G1883" s="248">
        <v>8</v>
      </c>
      <c r="H1883" s="248" t="s">
        <v>2557</v>
      </c>
      <c r="I1883" s="248">
        <v>80830</v>
      </c>
      <c r="J1883" s="250" t="s">
        <v>5545</v>
      </c>
      <c r="K1883" s="248">
        <v>11.12</v>
      </c>
      <c r="L1883" s="248">
        <v>0</v>
      </c>
      <c r="M1883" s="248">
        <v>0</v>
      </c>
      <c r="N1883" s="248">
        <v>7.1744500000000002</v>
      </c>
      <c r="O1883" s="181">
        <f t="shared" si="14"/>
        <v>11.12</v>
      </c>
      <c r="P1883" s="247">
        <f t="shared" si="15"/>
        <v>1.5499445950560669</v>
      </c>
    </row>
    <row r="1884" spans="1:16" ht="14.25">
      <c r="A1884" s="224">
        <v>1883</v>
      </c>
      <c r="B1884" s="248">
        <v>29098</v>
      </c>
      <c r="C1884" s="248" t="s">
        <v>5491</v>
      </c>
      <c r="D1884" s="248" t="s">
        <v>2582</v>
      </c>
      <c r="E1884" s="248" t="s">
        <v>2860</v>
      </c>
      <c r="F1884" s="248" t="s">
        <v>5544</v>
      </c>
      <c r="G1884" s="248">
        <v>8</v>
      </c>
      <c r="H1884" s="248" t="s">
        <v>2557</v>
      </c>
      <c r="I1884" s="248">
        <v>80830</v>
      </c>
      <c r="J1884" s="250" t="s">
        <v>5545</v>
      </c>
      <c r="K1884" s="248">
        <v>11.12</v>
      </c>
      <c r="L1884" s="248">
        <v>0</v>
      </c>
      <c r="M1884" s="248">
        <v>0</v>
      </c>
      <c r="N1884" s="248">
        <v>7.1744500000000002</v>
      </c>
      <c r="O1884" s="181">
        <f t="shared" si="14"/>
        <v>11.12</v>
      </c>
      <c r="P1884" s="247">
        <f t="shared" si="15"/>
        <v>1.5499445950560669</v>
      </c>
    </row>
    <row r="1885" spans="1:16" ht="14.25">
      <c r="A1885" s="224">
        <v>1884</v>
      </c>
      <c r="B1885" s="248">
        <v>29124</v>
      </c>
      <c r="C1885" s="248" t="s">
        <v>5546</v>
      </c>
      <c r="D1885" s="248" t="s">
        <v>45</v>
      </c>
      <c r="E1885" s="248" t="s">
        <v>2860</v>
      </c>
      <c r="F1885" s="248" t="s">
        <v>5547</v>
      </c>
      <c r="G1885" s="248">
        <v>8</v>
      </c>
      <c r="H1885" s="248" t="s">
        <v>2557</v>
      </c>
      <c r="I1885" s="248">
        <v>80842</v>
      </c>
      <c r="J1885" s="250" t="s">
        <v>5548</v>
      </c>
      <c r="K1885" s="248">
        <v>8.99</v>
      </c>
      <c r="L1885" s="248">
        <v>0</v>
      </c>
      <c r="M1885" s="248">
        <v>0</v>
      </c>
      <c r="N1885" s="248">
        <v>1</v>
      </c>
      <c r="O1885" s="181">
        <f t="shared" si="14"/>
        <v>8.99</v>
      </c>
      <c r="P1885" s="247">
        <f t="shared" si="15"/>
        <v>8.99</v>
      </c>
    </row>
    <row r="1886" spans="1:16" ht="14.25">
      <c r="A1886" s="224">
        <v>1885</v>
      </c>
      <c r="B1886" s="248">
        <v>22134</v>
      </c>
      <c r="C1886" s="248" t="s">
        <v>3866</v>
      </c>
      <c r="D1886" s="248" t="s">
        <v>2582</v>
      </c>
      <c r="E1886" s="248" t="s">
        <v>2860</v>
      </c>
      <c r="F1886" s="248" t="s">
        <v>5549</v>
      </c>
      <c r="G1886" s="248">
        <v>8</v>
      </c>
      <c r="H1886" s="248" t="s">
        <v>2557</v>
      </c>
      <c r="I1886" s="248">
        <v>79570</v>
      </c>
      <c r="J1886" s="250" t="s">
        <v>5550</v>
      </c>
      <c r="K1886" s="248">
        <v>145.86000000000001</v>
      </c>
      <c r="L1886" s="248">
        <v>0</v>
      </c>
      <c r="M1886" s="248">
        <v>0</v>
      </c>
      <c r="N1886" s="248">
        <v>7.1744500000000002</v>
      </c>
      <c r="O1886" s="181">
        <f t="shared" si="14"/>
        <v>145.86000000000001</v>
      </c>
      <c r="P1886" s="247">
        <f t="shared" si="15"/>
        <v>20.330478294503411</v>
      </c>
    </row>
    <row r="1887" spans="1:16" ht="14.25">
      <c r="A1887" s="224">
        <v>1886</v>
      </c>
      <c r="B1887" s="248">
        <v>19962</v>
      </c>
      <c r="C1887" s="248" t="s">
        <v>3276</v>
      </c>
      <c r="D1887" s="248" t="s">
        <v>2582</v>
      </c>
      <c r="E1887" s="248" t="s">
        <v>2860</v>
      </c>
      <c r="F1887" s="248" t="s">
        <v>5551</v>
      </c>
      <c r="G1887" s="248">
        <v>8</v>
      </c>
      <c r="H1887" s="248" t="s">
        <v>2557</v>
      </c>
      <c r="I1887" s="248">
        <v>79162</v>
      </c>
      <c r="J1887" s="250"/>
      <c r="K1887" s="248">
        <v>0.03</v>
      </c>
      <c r="L1887" s="248">
        <v>0</v>
      </c>
      <c r="M1887" s="248">
        <v>0</v>
      </c>
      <c r="N1887" s="248">
        <v>7.1705699999999997</v>
      </c>
      <c r="O1887" s="181">
        <f t="shared" si="14"/>
        <v>0.03</v>
      </c>
      <c r="P1887" s="247">
        <f t="shared" si="15"/>
        <v>4.1837678176211935E-3</v>
      </c>
    </row>
    <row r="1888" spans="1:16" ht="14.25">
      <c r="A1888" s="224">
        <v>1887</v>
      </c>
      <c r="B1888" s="248">
        <v>29107</v>
      </c>
      <c r="C1888" s="248" t="s">
        <v>5552</v>
      </c>
      <c r="D1888" s="248" t="s">
        <v>45</v>
      </c>
      <c r="E1888" s="248" t="s">
        <v>9</v>
      </c>
      <c r="F1888" s="248" t="s">
        <v>5553</v>
      </c>
      <c r="G1888" s="248">
        <v>8</v>
      </c>
      <c r="H1888" s="248" t="s">
        <v>2557</v>
      </c>
      <c r="I1888" s="248">
        <v>80950</v>
      </c>
      <c r="J1888" s="250" t="s">
        <v>628</v>
      </c>
      <c r="K1888" s="248">
        <v>8.99</v>
      </c>
      <c r="L1888" s="248">
        <v>0.94</v>
      </c>
      <c r="M1888" s="248">
        <v>0</v>
      </c>
      <c r="N1888" s="248">
        <v>1</v>
      </c>
      <c r="O1888" s="181">
        <f t="shared" si="14"/>
        <v>8.0500000000000007</v>
      </c>
      <c r="P1888" s="247">
        <f t="shared" si="15"/>
        <v>8.0500000000000007</v>
      </c>
    </row>
    <row r="1889" spans="1:16" ht="14.25">
      <c r="A1889" s="224">
        <v>1888</v>
      </c>
      <c r="B1889" s="248">
        <v>27880</v>
      </c>
      <c r="C1889" s="248" t="s">
        <v>4998</v>
      </c>
      <c r="D1889" s="248" t="s">
        <v>45</v>
      </c>
      <c r="E1889" s="248" t="s">
        <v>2860</v>
      </c>
      <c r="F1889" s="248" t="s">
        <v>5554</v>
      </c>
      <c r="G1889" s="248">
        <v>8</v>
      </c>
      <c r="H1889" s="248" t="s">
        <v>2557</v>
      </c>
      <c r="I1889" s="248">
        <v>80962</v>
      </c>
      <c r="J1889" s="250" t="s">
        <v>5555</v>
      </c>
      <c r="K1889" s="248">
        <v>9.99</v>
      </c>
      <c r="L1889" s="248">
        <v>0</v>
      </c>
      <c r="M1889" s="248">
        <v>0</v>
      </c>
      <c r="N1889" s="248">
        <v>1</v>
      </c>
      <c r="O1889" s="181">
        <f t="shared" si="14"/>
        <v>9.99</v>
      </c>
      <c r="P1889" s="247">
        <f t="shared" si="15"/>
        <v>9.99</v>
      </c>
    </row>
    <row r="1890" spans="1:16" ht="14.25">
      <c r="A1890" s="224">
        <v>1889</v>
      </c>
      <c r="B1890" s="248">
        <v>29146</v>
      </c>
      <c r="C1890" s="248" t="s">
        <v>5556</v>
      </c>
      <c r="D1890" s="248" t="s">
        <v>45</v>
      </c>
      <c r="E1890" s="248" t="s">
        <v>4772</v>
      </c>
      <c r="F1890" s="248" t="s">
        <v>5557</v>
      </c>
      <c r="G1890" s="248">
        <v>8</v>
      </c>
      <c r="H1890" s="248" t="s">
        <v>2557</v>
      </c>
      <c r="I1890" s="248">
        <v>81082</v>
      </c>
      <c r="J1890" s="250" t="s">
        <v>1490</v>
      </c>
      <c r="K1890" s="248">
        <v>8.99</v>
      </c>
      <c r="L1890" s="248">
        <v>0.26</v>
      </c>
      <c r="M1890" s="248">
        <v>0</v>
      </c>
      <c r="N1890" s="248">
        <v>1</v>
      </c>
      <c r="O1890" s="181">
        <f t="shared" si="14"/>
        <v>8.73</v>
      </c>
      <c r="P1890" s="247">
        <f t="shared" si="15"/>
        <v>8.73</v>
      </c>
    </row>
    <row r="1891" spans="1:16" ht="14.25">
      <c r="A1891" s="224">
        <v>1890</v>
      </c>
      <c r="B1891" s="248">
        <v>1560</v>
      </c>
      <c r="C1891" s="248" t="s">
        <v>2630</v>
      </c>
      <c r="D1891" s="248" t="s">
        <v>45</v>
      </c>
      <c r="E1891" s="248" t="s">
        <v>2860</v>
      </c>
      <c r="F1891" s="248" t="s">
        <v>5558</v>
      </c>
      <c r="G1891" s="248">
        <v>8</v>
      </c>
      <c r="H1891" s="248" t="s">
        <v>2557</v>
      </c>
      <c r="I1891" s="248">
        <v>81106</v>
      </c>
      <c r="J1891" s="250" t="s">
        <v>5559</v>
      </c>
      <c r="K1891" s="248">
        <v>3.99</v>
      </c>
      <c r="L1891" s="248">
        <v>0</v>
      </c>
      <c r="M1891" s="248">
        <v>0</v>
      </c>
      <c r="N1891" s="248">
        <v>1</v>
      </c>
      <c r="O1891" s="181">
        <f t="shared" si="14"/>
        <v>3.99</v>
      </c>
      <c r="P1891" s="247">
        <f t="shared" si="15"/>
        <v>3.99</v>
      </c>
    </row>
    <row r="1892" spans="1:16" ht="14.25">
      <c r="A1892" s="224">
        <v>1891</v>
      </c>
      <c r="B1892" s="248">
        <v>27903</v>
      </c>
      <c r="C1892" s="248" t="s">
        <v>5168</v>
      </c>
      <c r="D1892" s="248" t="s">
        <v>45</v>
      </c>
      <c r="E1892" s="248" t="s">
        <v>2874</v>
      </c>
      <c r="F1892" s="248" t="s">
        <v>5560</v>
      </c>
      <c r="G1892" s="248">
        <v>8</v>
      </c>
      <c r="H1892" s="248" t="s">
        <v>2557</v>
      </c>
      <c r="I1892" s="248">
        <v>79006</v>
      </c>
      <c r="J1892" s="250" t="s">
        <v>5561</v>
      </c>
      <c r="K1892" s="248">
        <v>164.5</v>
      </c>
      <c r="L1892" s="248">
        <v>0</v>
      </c>
      <c r="M1892" s="248">
        <v>0</v>
      </c>
      <c r="N1892" s="248">
        <v>1</v>
      </c>
      <c r="O1892" s="181">
        <f t="shared" si="14"/>
        <v>164.5</v>
      </c>
      <c r="P1892" s="247">
        <f t="shared" si="15"/>
        <v>164.5</v>
      </c>
    </row>
    <row r="1893" spans="1:16" ht="14.25">
      <c r="A1893" s="224">
        <v>1892</v>
      </c>
      <c r="B1893" s="248">
        <v>26470</v>
      </c>
      <c r="C1893" s="248" t="s">
        <v>4808</v>
      </c>
      <c r="D1893" s="248" t="s">
        <v>45</v>
      </c>
      <c r="E1893" s="248" t="s">
        <v>2860</v>
      </c>
      <c r="F1893" s="248" t="s">
        <v>5562</v>
      </c>
      <c r="G1893" s="248">
        <v>8</v>
      </c>
      <c r="H1893" s="248" t="s">
        <v>2557</v>
      </c>
      <c r="I1893" s="248">
        <v>81154</v>
      </c>
      <c r="J1893" s="250" t="s">
        <v>5563</v>
      </c>
      <c r="K1893" s="248">
        <v>7.99</v>
      </c>
      <c r="L1893" s="248">
        <v>0</v>
      </c>
      <c r="M1893" s="248">
        <v>0</v>
      </c>
      <c r="N1893" s="248">
        <v>1</v>
      </c>
      <c r="O1893" s="181">
        <f t="shared" si="14"/>
        <v>7.99</v>
      </c>
      <c r="P1893" s="247">
        <f t="shared" si="15"/>
        <v>7.99</v>
      </c>
    </row>
    <row r="1894" spans="1:16" ht="14.25">
      <c r="A1894" s="224">
        <v>1893</v>
      </c>
      <c r="B1894" s="248">
        <v>351</v>
      </c>
      <c r="C1894" s="248" t="s">
        <v>2707</v>
      </c>
      <c r="D1894" s="248" t="s">
        <v>45</v>
      </c>
      <c r="E1894" s="248" t="s">
        <v>9</v>
      </c>
      <c r="F1894" s="248" t="s">
        <v>5564</v>
      </c>
      <c r="G1894" s="248">
        <v>8</v>
      </c>
      <c r="H1894" s="248" t="s">
        <v>2557</v>
      </c>
      <c r="I1894" s="248">
        <v>77086</v>
      </c>
      <c r="J1894" s="250" t="s">
        <v>630</v>
      </c>
      <c r="K1894" s="248">
        <v>1.0900000000000001</v>
      </c>
      <c r="L1894" s="248">
        <v>0.54</v>
      </c>
      <c r="M1894" s="248">
        <v>0</v>
      </c>
      <c r="N1894" s="248">
        <v>1</v>
      </c>
      <c r="O1894" s="181">
        <f t="shared" si="14"/>
        <v>0.55000000000000004</v>
      </c>
      <c r="P1894" s="247">
        <f t="shared" si="15"/>
        <v>0.55000000000000004</v>
      </c>
    </row>
    <row r="1895" spans="1:16" ht="14.25">
      <c r="A1895" s="224">
        <v>1894</v>
      </c>
      <c r="B1895" s="248">
        <v>29151</v>
      </c>
      <c r="C1895" s="248" t="s">
        <v>5565</v>
      </c>
      <c r="D1895" s="248" t="s">
        <v>2582</v>
      </c>
      <c r="E1895" s="248" t="s">
        <v>2860</v>
      </c>
      <c r="F1895" s="248" t="s">
        <v>5566</v>
      </c>
      <c r="G1895" s="248">
        <v>8</v>
      </c>
      <c r="H1895" s="248" t="s">
        <v>2557</v>
      </c>
      <c r="I1895" s="248">
        <v>81190</v>
      </c>
      <c r="J1895" s="250" t="s">
        <v>5567</v>
      </c>
      <c r="K1895" s="248">
        <v>17.88</v>
      </c>
      <c r="L1895" s="248">
        <v>0</v>
      </c>
      <c r="M1895" s="248">
        <v>0</v>
      </c>
      <c r="N1895" s="248">
        <v>7.1790700000000003</v>
      </c>
      <c r="O1895" s="181">
        <f t="shared" si="14"/>
        <v>17.88</v>
      </c>
      <c r="P1895" s="247">
        <f t="shared" si="15"/>
        <v>2.4905732915266183</v>
      </c>
    </row>
    <row r="1896" spans="1:16" ht="14.25">
      <c r="A1896" s="224">
        <v>1895</v>
      </c>
      <c r="B1896" s="248">
        <v>26470</v>
      </c>
      <c r="C1896" s="248" t="s">
        <v>4808</v>
      </c>
      <c r="D1896" s="248" t="s">
        <v>45</v>
      </c>
      <c r="E1896" s="248" t="s">
        <v>2860</v>
      </c>
      <c r="F1896" s="248" t="s">
        <v>5568</v>
      </c>
      <c r="G1896" s="248">
        <v>8</v>
      </c>
      <c r="H1896" s="248" t="s">
        <v>2557</v>
      </c>
      <c r="I1896" s="248">
        <v>81202</v>
      </c>
      <c r="J1896" s="250" t="s">
        <v>5569</v>
      </c>
      <c r="K1896" s="248">
        <v>2.4900000000000002</v>
      </c>
      <c r="L1896" s="248">
        <v>0</v>
      </c>
      <c r="M1896" s="248">
        <v>0</v>
      </c>
      <c r="N1896" s="248">
        <v>1</v>
      </c>
      <c r="O1896" s="181">
        <f t="shared" si="14"/>
        <v>2.4900000000000002</v>
      </c>
      <c r="P1896" s="247">
        <f t="shared" si="15"/>
        <v>2.4900000000000002</v>
      </c>
    </row>
    <row r="1897" spans="1:16" ht="14.25">
      <c r="A1897" s="224">
        <v>1896</v>
      </c>
      <c r="B1897" s="248">
        <v>29115</v>
      </c>
      <c r="C1897" s="248" t="s">
        <v>5535</v>
      </c>
      <c r="D1897" s="248" t="s">
        <v>2582</v>
      </c>
      <c r="E1897" s="248" t="s">
        <v>2860</v>
      </c>
      <c r="F1897" s="248" t="s">
        <v>5570</v>
      </c>
      <c r="G1897" s="248">
        <v>8</v>
      </c>
      <c r="H1897" s="248" t="s">
        <v>2557</v>
      </c>
      <c r="I1897" s="248">
        <v>81214</v>
      </c>
      <c r="J1897" s="250" t="s">
        <v>5571</v>
      </c>
      <c r="K1897" s="248">
        <v>380.42</v>
      </c>
      <c r="L1897" s="248">
        <v>0</v>
      </c>
      <c r="M1897" s="248">
        <v>0</v>
      </c>
      <c r="N1897" s="248">
        <v>7.1790700000000003</v>
      </c>
      <c r="O1897" s="181">
        <f t="shared" si="14"/>
        <v>380.42</v>
      </c>
      <c r="P1897" s="247">
        <f t="shared" si="15"/>
        <v>52.990150534818575</v>
      </c>
    </row>
    <row r="1898" spans="1:16" ht="14.25">
      <c r="A1898" s="224">
        <v>1897</v>
      </c>
      <c r="B1898" s="248">
        <v>275</v>
      </c>
      <c r="C1898" s="248" t="s">
        <v>4689</v>
      </c>
      <c r="D1898" s="248" t="s">
        <v>45</v>
      </c>
      <c r="E1898" s="248" t="s">
        <v>2860</v>
      </c>
      <c r="F1898" s="248" t="s">
        <v>5572</v>
      </c>
      <c r="G1898" s="248">
        <v>8</v>
      </c>
      <c r="H1898" s="248" t="s">
        <v>2557</v>
      </c>
      <c r="I1898" s="248">
        <v>81322</v>
      </c>
      <c r="J1898" s="250" t="s">
        <v>5573</v>
      </c>
      <c r="K1898" s="248">
        <v>4.99</v>
      </c>
      <c r="L1898" s="248">
        <v>0</v>
      </c>
      <c r="M1898" s="248">
        <v>0</v>
      </c>
      <c r="N1898" s="248">
        <v>1</v>
      </c>
      <c r="O1898" s="181">
        <f t="shared" si="14"/>
        <v>4.99</v>
      </c>
      <c r="P1898" s="247">
        <f t="shared" si="15"/>
        <v>4.99</v>
      </c>
    </row>
    <row r="1899" spans="1:16" ht="14.25">
      <c r="A1899" s="224">
        <v>1898</v>
      </c>
      <c r="B1899" s="248">
        <v>28208</v>
      </c>
      <c r="C1899" s="248" t="s">
        <v>2856</v>
      </c>
      <c r="D1899" s="248" t="s">
        <v>2582</v>
      </c>
      <c r="E1899" s="248" t="s">
        <v>2860</v>
      </c>
      <c r="F1899" s="248" t="s">
        <v>5574</v>
      </c>
      <c r="G1899" s="248">
        <v>8</v>
      </c>
      <c r="H1899" s="248" t="s">
        <v>2557</v>
      </c>
      <c r="I1899" s="248">
        <v>81298</v>
      </c>
      <c r="J1899" s="250" t="s">
        <v>5575</v>
      </c>
      <c r="K1899" s="248">
        <v>71.650000000000006</v>
      </c>
      <c r="L1899" s="248">
        <v>0</v>
      </c>
      <c r="M1899" s="248">
        <v>0</v>
      </c>
      <c r="N1899" s="248">
        <v>7.1790700000000003</v>
      </c>
      <c r="O1899" s="181">
        <f t="shared" si="14"/>
        <v>71.650000000000006</v>
      </c>
      <c r="P1899" s="247">
        <f t="shared" si="15"/>
        <v>9.9804013611790943</v>
      </c>
    </row>
    <row r="1900" spans="1:16" ht="14.25">
      <c r="A1900" s="224">
        <v>1899</v>
      </c>
      <c r="B1900" s="248">
        <v>27880</v>
      </c>
      <c r="C1900" s="248" t="s">
        <v>4998</v>
      </c>
      <c r="D1900" s="248" t="s">
        <v>45</v>
      </c>
      <c r="E1900" s="248" t="s">
        <v>2860</v>
      </c>
      <c r="F1900" s="248" t="s">
        <v>5576</v>
      </c>
      <c r="G1900" s="248">
        <v>8</v>
      </c>
      <c r="H1900" s="248" t="s">
        <v>2557</v>
      </c>
      <c r="I1900" s="248">
        <v>81334</v>
      </c>
      <c r="J1900" s="250" t="s">
        <v>5577</v>
      </c>
      <c r="K1900" s="248">
        <v>9.99</v>
      </c>
      <c r="L1900" s="248">
        <v>0</v>
      </c>
      <c r="M1900" s="248">
        <v>0</v>
      </c>
      <c r="N1900" s="248">
        <v>1</v>
      </c>
      <c r="O1900" s="181">
        <f t="shared" si="14"/>
        <v>9.99</v>
      </c>
      <c r="P1900" s="247">
        <f t="shared" si="15"/>
        <v>9.99</v>
      </c>
    </row>
    <row r="1901" spans="1:16" ht="14.25">
      <c r="A1901" s="224">
        <v>1900</v>
      </c>
      <c r="B1901" s="248">
        <v>21915</v>
      </c>
      <c r="C1901" s="248" t="s">
        <v>3808</v>
      </c>
      <c r="D1901" s="248" t="s">
        <v>45</v>
      </c>
      <c r="E1901" s="248" t="s">
        <v>2874</v>
      </c>
      <c r="F1901" s="248" t="s">
        <v>5578</v>
      </c>
      <c r="G1901" s="248">
        <v>8</v>
      </c>
      <c r="H1901" s="248" t="s">
        <v>2557</v>
      </c>
      <c r="I1901" s="248">
        <v>79330</v>
      </c>
      <c r="J1901" s="250" t="s">
        <v>5579</v>
      </c>
      <c r="K1901" s="248">
        <v>283.08</v>
      </c>
      <c r="L1901" s="248">
        <v>0</v>
      </c>
      <c r="M1901" s="248">
        <v>0</v>
      </c>
      <c r="N1901" s="248">
        <v>1</v>
      </c>
      <c r="O1901" s="181">
        <f t="shared" si="14"/>
        <v>283.08</v>
      </c>
      <c r="P1901" s="247">
        <f t="shared" si="15"/>
        <v>283.08</v>
      </c>
    </row>
    <row r="1902" spans="1:16" ht="14.25">
      <c r="A1902" s="224">
        <v>1901</v>
      </c>
      <c r="B1902" s="248">
        <v>303</v>
      </c>
      <c r="C1902" s="248" t="s">
        <v>3543</v>
      </c>
      <c r="D1902" s="248" t="s">
        <v>45</v>
      </c>
      <c r="E1902" s="248" t="s">
        <v>2860</v>
      </c>
      <c r="F1902" s="248" t="s">
        <v>5580</v>
      </c>
      <c r="G1902" s="248">
        <v>8</v>
      </c>
      <c r="H1902" s="248" t="s">
        <v>2557</v>
      </c>
      <c r="I1902" s="248">
        <v>81382</v>
      </c>
      <c r="J1902" s="250" t="s">
        <v>5581</v>
      </c>
      <c r="K1902" s="248">
        <v>1.99</v>
      </c>
      <c r="L1902" s="248">
        <v>0</v>
      </c>
      <c r="M1902" s="248">
        <v>0</v>
      </c>
      <c r="N1902" s="248">
        <v>1</v>
      </c>
      <c r="O1902" s="181">
        <f t="shared" si="14"/>
        <v>1.99</v>
      </c>
      <c r="P1902" s="247">
        <f t="shared" si="15"/>
        <v>1.99</v>
      </c>
    </row>
    <row r="1903" spans="1:16" ht="14.25">
      <c r="A1903" s="224">
        <v>1902</v>
      </c>
      <c r="B1903" s="248">
        <v>29173</v>
      </c>
      <c r="C1903" s="248" t="s">
        <v>5582</v>
      </c>
      <c r="D1903" s="248" t="s">
        <v>45</v>
      </c>
      <c r="E1903" s="248" t="s">
        <v>2860</v>
      </c>
      <c r="F1903" s="248" t="s">
        <v>5583</v>
      </c>
      <c r="G1903" s="248">
        <v>8</v>
      </c>
      <c r="H1903" s="248" t="s">
        <v>2557</v>
      </c>
      <c r="I1903" s="248">
        <v>81490</v>
      </c>
      <c r="J1903" s="250" t="s">
        <v>5584</v>
      </c>
      <c r="K1903" s="248">
        <v>8.7899999999999991</v>
      </c>
      <c r="L1903" s="248">
        <v>0</v>
      </c>
      <c r="M1903" s="248">
        <v>0</v>
      </c>
      <c r="N1903" s="248">
        <v>1</v>
      </c>
      <c r="O1903" s="181">
        <f t="shared" si="14"/>
        <v>8.7899999999999991</v>
      </c>
      <c r="P1903" s="247">
        <f t="shared" si="15"/>
        <v>8.7899999999999991</v>
      </c>
    </row>
    <row r="1904" spans="1:16" ht="14.25">
      <c r="A1904" s="224">
        <v>1903</v>
      </c>
      <c r="B1904" s="248">
        <v>29173</v>
      </c>
      <c r="C1904" s="248" t="s">
        <v>5582</v>
      </c>
      <c r="D1904" s="248" t="s">
        <v>45</v>
      </c>
      <c r="E1904" s="248" t="s">
        <v>2860</v>
      </c>
      <c r="F1904" s="248" t="s">
        <v>5585</v>
      </c>
      <c r="G1904" s="248">
        <v>8</v>
      </c>
      <c r="H1904" s="248" t="s">
        <v>2557</v>
      </c>
      <c r="I1904" s="248">
        <v>81502</v>
      </c>
      <c r="J1904" s="250" t="s">
        <v>5586</v>
      </c>
      <c r="K1904" s="248">
        <v>80.989999999999995</v>
      </c>
      <c r="L1904" s="248">
        <v>0</v>
      </c>
      <c r="M1904" s="248">
        <v>0</v>
      </c>
      <c r="N1904" s="248">
        <v>1</v>
      </c>
      <c r="O1904" s="181">
        <f t="shared" si="14"/>
        <v>80.989999999999995</v>
      </c>
      <c r="P1904" s="247">
        <f t="shared" si="15"/>
        <v>80.989999999999995</v>
      </c>
    </row>
    <row r="1905" spans="1:16" ht="14.25">
      <c r="A1905" s="224">
        <v>1904</v>
      </c>
      <c r="B1905" s="248">
        <v>6092</v>
      </c>
      <c r="C1905" s="248" t="s">
        <v>5587</v>
      </c>
      <c r="D1905" s="248" t="s">
        <v>2582</v>
      </c>
      <c r="E1905" s="248" t="s">
        <v>2874</v>
      </c>
      <c r="F1905" s="248" t="s">
        <v>5588</v>
      </c>
      <c r="G1905" s="248">
        <v>8</v>
      </c>
      <c r="H1905" s="248" t="s">
        <v>2557</v>
      </c>
      <c r="I1905" s="248">
        <v>81514</v>
      </c>
      <c r="J1905" s="250" t="s">
        <v>5589</v>
      </c>
      <c r="K1905" s="248">
        <v>13500</v>
      </c>
      <c r="L1905" s="248">
        <v>0</v>
      </c>
      <c r="M1905" s="248">
        <v>0</v>
      </c>
      <c r="N1905" s="248">
        <v>7.1790700000000003</v>
      </c>
      <c r="O1905" s="181">
        <f t="shared" si="14"/>
        <v>13500</v>
      </c>
      <c r="P1905" s="247">
        <f t="shared" si="15"/>
        <v>1880.4664113875474</v>
      </c>
    </row>
    <row r="1906" spans="1:16" ht="14.25">
      <c r="A1906" s="224">
        <v>1905</v>
      </c>
      <c r="B1906" s="248">
        <v>25736</v>
      </c>
      <c r="C1906" s="248" t="s">
        <v>4691</v>
      </c>
      <c r="D1906" s="248" t="s">
        <v>45</v>
      </c>
      <c r="E1906" s="248" t="s">
        <v>2874</v>
      </c>
      <c r="F1906" s="248" t="s">
        <v>5590</v>
      </c>
      <c r="G1906" s="248">
        <v>8</v>
      </c>
      <c r="H1906" s="248" t="s">
        <v>2557</v>
      </c>
      <c r="I1906" s="248">
        <v>79762</v>
      </c>
      <c r="J1906" s="250" t="s">
        <v>5591</v>
      </c>
      <c r="K1906" s="248">
        <v>37.090000000000003</v>
      </c>
      <c r="L1906" s="248">
        <v>0</v>
      </c>
      <c r="M1906" s="248">
        <v>0</v>
      </c>
      <c r="N1906" s="248">
        <v>1</v>
      </c>
      <c r="O1906" s="181">
        <f t="shared" si="14"/>
        <v>37.090000000000003</v>
      </c>
      <c r="P1906" s="247">
        <f t="shared" si="15"/>
        <v>37.090000000000003</v>
      </c>
    </row>
    <row r="1907" spans="1:16" ht="14.25">
      <c r="A1907" s="224">
        <v>1906</v>
      </c>
      <c r="B1907" s="248">
        <v>19040</v>
      </c>
      <c r="C1907" s="248" t="s">
        <v>3084</v>
      </c>
      <c r="D1907" s="248" t="s">
        <v>45</v>
      </c>
      <c r="E1907" s="248" t="s">
        <v>2860</v>
      </c>
      <c r="F1907" s="248" t="s">
        <v>5592</v>
      </c>
      <c r="G1907" s="248">
        <v>8</v>
      </c>
      <c r="H1907" s="248" t="s">
        <v>2557</v>
      </c>
      <c r="I1907" s="248">
        <v>79426</v>
      </c>
      <c r="J1907" s="250" t="s">
        <v>5593</v>
      </c>
      <c r="K1907" s="248">
        <v>1.79</v>
      </c>
      <c r="L1907" s="248">
        <v>0</v>
      </c>
      <c r="M1907" s="248">
        <v>0</v>
      </c>
      <c r="N1907" s="248">
        <v>1</v>
      </c>
      <c r="O1907" s="181">
        <f t="shared" si="14"/>
        <v>1.79</v>
      </c>
      <c r="P1907" s="247">
        <f t="shared" si="15"/>
        <v>1.79</v>
      </c>
    </row>
    <row r="1908" spans="1:16" ht="14.25">
      <c r="A1908" s="224">
        <v>1907</v>
      </c>
      <c r="B1908" s="248">
        <v>26470</v>
      </c>
      <c r="C1908" s="248" t="s">
        <v>4808</v>
      </c>
      <c r="D1908" s="248" t="s">
        <v>45</v>
      </c>
      <c r="E1908" s="248" t="s">
        <v>2860</v>
      </c>
      <c r="F1908" s="248" t="s">
        <v>5594</v>
      </c>
      <c r="G1908" s="248">
        <v>8</v>
      </c>
      <c r="H1908" s="248" t="s">
        <v>2557</v>
      </c>
      <c r="I1908" s="248">
        <v>81574</v>
      </c>
      <c r="J1908" s="250" t="s">
        <v>5595</v>
      </c>
      <c r="K1908" s="248">
        <v>70.989999999999995</v>
      </c>
      <c r="L1908" s="248">
        <v>0</v>
      </c>
      <c r="M1908" s="248">
        <v>0</v>
      </c>
      <c r="N1908" s="248">
        <v>1</v>
      </c>
      <c r="O1908" s="181">
        <f t="shared" si="14"/>
        <v>70.989999999999995</v>
      </c>
      <c r="P1908" s="247">
        <f t="shared" si="15"/>
        <v>70.989999999999995</v>
      </c>
    </row>
    <row r="1909" spans="1:16" ht="14.25">
      <c r="A1909" s="224">
        <v>1908</v>
      </c>
      <c r="B1909" s="248">
        <v>29177</v>
      </c>
      <c r="C1909" s="248" t="s">
        <v>5596</v>
      </c>
      <c r="D1909" s="248" t="s">
        <v>45</v>
      </c>
      <c r="E1909" s="248" t="s">
        <v>2860</v>
      </c>
      <c r="F1909" s="248" t="s">
        <v>5597</v>
      </c>
      <c r="G1909" s="248">
        <v>8</v>
      </c>
      <c r="H1909" s="248" t="s">
        <v>2557</v>
      </c>
      <c r="I1909" s="248">
        <v>81586</v>
      </c>
      <c r="J1909" s="250" t="s">
        <v>5598</v>
      </c>
      <c r="K1909" s="248">
        <v>12.78</v>
      </c>
      <c r="L1909" s="248">
        <v>0</v>
      </c>
      <c r="M1909" s="248">
        <v>0</v>
      </c>
      <c r="N1909" s="248">
        <v>1</v>
      </c>
      <c r="O1909" s="181">
        <f t="shared" si="14"/>
        <v>12.78</v>
      </c>
      <c r="P1909" s="247">
        <f t="shared" si="15"/>
        <v>12.78</v>
      </c>
    </row>
    <row r="1910" spans="1:16" ht="14.25">
      <c r="A1910" s="224">
        <v>1909</v>
      </c>
      <c r="B1910" s="248">
        <v>29177</v>
      </c>
      <c r="C1910" s="248" t="s">
        <v>5596</v>
      </c>
      <c r="D1910" s="248" t="s">
        <v>45</v>
      </c>
      <c r="E1910" s="248" t="s">
        <v>2860</v>
      </c>
      <c r="F1910" s="248" t="s">
        <v>5597</v>
      </c>
      <c r="G1910" s="248">
        <v>8</v>
      </c>
      <c r="H1910" s="248" t="s">
        <v>2557</v>
      </c>
      <c r="I1910" s="248">
        <v>81586</v>
      </c>
      <c r="J1910" s="250" t="s">
        <v>5598</v>
      </c>
      <c r="K1910" s="248">
        <v>12.78</v>
      </c>
      <c r="L1910" s="248">
        <v>0</v>
      </c>
      <c r="M1910" s="248">
        <v>0</v>
      </c>
      <c r="N1910" s="248">
        <v>1</v>
      </c>
      <c r="O1910" s="181">
        <f t="shared" si="14"/>
        <v>12.78</v>
      </c>
      <c r="P1910" s="247">
        <f t="shared" si="15"/>
        <v>12.78</v>
      </c>
    </row>
    <row r="1911" spans="1:16" ht="14.25">
      <c r="A1911" s="224">
        <v>1910</v>
      </c>
      <c r="B1911" s="248">
        <v>27903</v>
      </c>
      <c r="C1911" s="248" t="s">
        <v>5168</v>
      </c>
      <c r="D1911" s="248" t="s">
        <v>45</v>
      </c>
      <c r="E1911" s="248" t="s">
        <v>2874</v>
      </c>
      <c r="F1911" s="248" t="s">
        <v>5599</v>
      </c>
      <c r="G1911" s="248">
        <v>8</v>
      </c>
      <c r="H1911" s="248" t="s">
        <v>2557</v>
      </c>
      <c r="I1911" s="248">
        <v>81118</v>
      </c>
      <c r="J1911" s="250"/>
      <c r="K1911" s="248">
        <v>36</v>
      </c>
      <c r="L1911" s="248">
        <v>0</v>
      </c>
      <c r="M1911" s="248">
        <v>0</v>
      </c>
      <c r="N1911" s="248">
        <v>1</v>
      </c>
      <c r="O1911" s="181">
        <f t="shared" si="14"/>
        <v>36</v>
      </c>
      <c r="P1911" s="247">
        <f t="shared" si="15"/>
        <v>36</v>
      </c>
    </row>
    <row r="1912" spans="1:16" ht="14.25">
      <c r="A1912" s="224">
        <v>1911</v>
      </c>
      <c r="B1912" s="248">
        <v>19889</v>
      </c>
      <c r="C1912" s="248" t="s">
        <v>3227</v>
      </c>
      <c r="D1912" s="248" t="s">
        <v>45</v>
      </c>
      <c r="E1912" s="248" t="s">
        <v>2860</v>
      </c>
      <c r="F1912" s="248" t="s">
        <v>5600</v>
      </c>
      <c r="G1912" s="248">
        <v>8</v>
      </c>
      <c r="H1912" s="248" t="s">
        <v>2557</v>
      </c>
      <c r="I1912" s="248">
        <v>79738</v>
      </c>
      <c r="J1912" s="250" t="s">
        <v>5601</v>
      </c>
      <c r="K1912" s="248">
        <v>6.29</v>
      </c>
      <c r="L1912" s="248">
        <v>0</v>
      </c>
      <c r="M1912" s="248">
        <v>0</v>
      </c>
      <c r="N1912" s="248">
        <v>1</v>
      </c>
      <c r="O1912" s="181">
        <f t="shared" si="14"/>
        <v>6.29</v>
      </c>
      <c r="P1912" s="247">
        <f t="shared" si="15"/>
        <v>6.29</v>
      </c>
    </row>
    <row r="1913" spans="1:16" ht="14.25">
      <c r="A1913" s="224">
        <v>1912</v>
      </c>
      <c r="B1913" s="248">
        <v>25163</v>
      </c>
      <c r="C1913" s="248" t="s">
        <v>4531</v>
      </c>
      <c r="D1913" s="248" t="s">
        <v>45</v>
      </c>
      <c r="E1913" s="248" t="s">
        <v>4772</v>
      </c>
      <c r="F1913" s="248" t="s">
        <v>5602</v>
      </c>
      <c r="G1913" s="248">
        <v>8</v>
      </c>
      <c r="H1913" s="248" t="s">
        <v>2557</v>
      </c>
      <c r="I1913" s="248">
        <v>79582</v>
      </c>
      <c r="J1913" s="250" t="s">
        <v>1496</v>
      </c>
      <c r="K1913" s="248">
        <v>5.99</v>
      </c>
      <c r="L1913" s="248">
        <v>0.18</v>
      </c>
      <c r="M1913" s="248">
        <v>0</v>
      </c>
      <c r="N1913" s="248">
        <v>1</v>
      </c>
      <c r="O1913" s="181">
        <f t="shared" si="14"/>
        <v>5.8100000000000005</v>
      </c>
      <c r="P1913" s="247">
        <f t="shared" si="15"/>
        <v>5.8100000000000005</v>
      </c>
    </row>
    <row r="1914" spans="1:16" ht="14.25">
      <c r="A1914" s="224">
        <v>1913</v>
      </c>
      <c r="B1914" s="248">
        <v>29197</v>
      </c>
      <c r="C1914" s="248" t="s">
        <v>5603</v>
      </c>
      <c r="D1914" s="248" t="s">
        <v>45</v>
      </c>
      <c r="E1914" s="248" t="s">
        <v>2860</v>
      </c>
      <c r="F1914" s="248" t="s">
        <v>5604</v>
      </c>
      <c r="G1914" s="248">
        <v>8</v>
      </c>
      <c r="H1914" s="248" t="s">
        <v>2557</v>
      </c>
      <c r="I1914" s="248">
        <v>81754</v>
      </c>
      <c r="J1914" s="250" t="s">
        <v>5605</v>
      </c>
      <c r="K1914" s="248">
        <v>2.99</v>
      </c>
      <c r="L1914" s="248">
        <v>0</v>
      </c>
      <c r="M1914" s="248">
        <v>0</v>
      </c>
      <c r="N1914" s="248">
        <v>1</v>
      </c>
      <c r="O1914" s="181">
        <f t="shared" si="14"/>
        <v>2.99</v>
      </c>
      <c r="P1914" s="247">
        <f t="shared" si="15"/>
        <v>2.99</v>
      </c>
    </row>
    <row r="1915" spans="1:16" ht="14.25">
      <c r="A1915" s="224">
        <v>1914</v>
      </c>
      <c r="B1915" s="248">
        <v>28897</v>
      </c>
      <c r="C1915" s="248" t="s">
        <v>5319</v>
      </c>
      <c r="D1915" s="248" t="s">
        <v>45</v>
      </c>
      <c r="E1915" s="248" t="s">
        <v>2874</v>
      </c>
      <c r="F1915" s="248" t="s">
        <v>5606</v>
      </c>
      <c r="G1915" s="248">
        <v>8</v>
      </c>
      <c r="H1915" s="248" t="s">
        <v>2557</v>
      </c>
      <c r="I1915" s="248">
        <v>80206</v>
      </c>
      <c r="J1915" s="250" t="s">
        <v>5607</v>
      </c>
      <c r="K1915" s="248">
        <v>6.49</v>
      </c>
      <c r="L1915" s="248">
        <v>0</v>
      </c>
      <c r="M1915" s="248">
        <v>0</v>
      </c>
      <c r="N1915" s="248">
        <v>1</v>
      </c>
      <c r="O1915" s="181">
        <f t="shared" si="14"/>
        <v>6.49</v>
      </c>
      <c r="P1915" s="247">
        <f t="shared" si="15"/>
        <v>6.49</v>
      </c>
    </row>
    <row r="1916" spans="1:16" ht="14.25">
      <c r="A1916" s="224">
        <v>1915</v>
      </c>
      <c r="B1916" s="248">
        <v>392</v>
      </c>
      <c r="C1916" s="248" t="s">
        <v>2876</v>
      </c>
      <c r="D1916" s="248" t="s">
        <v>2582</v>
      </c>
      <c r="E1916" s="248" t="s">
        <v>4772</v>
      </c>
      <c r="F1916" s="248" t="s">
        <v>5608</v>
      </c>
      <c r="G1916" s="248">
        <v>8</v>
      </c>
      <c r="H1916" s="248" t="s">
        <v>2557</v>
      </c>
      <c r="I1916" s="248">
        <v>79714</v>
      </c>
      <c r="J1916" s="250" t="s">
        <v>1493</v>
      </c>
      <c r="K1916" s="248">
        <v>29.07</v>
      </c>
      <c r="L1916" s="248">
        <v>0.12</v>
      </c>
      <c r="M1916" s="248">
        <v>0</v>
      </c>
      <c r="N1916" s="248">
        <v>7.1787900000000002</v>
      </c>
      <c r="O1916" s="181">
        <f t="shared" si="14"/>
        <v>28.95</v>
      </c>
      <c r="P1916" s="247">
        <f t="shared" si="15"/>
        <v>4.0327130338121044</v>
      </c>
    </row>
    <row r="1917" spans="1:16" ht="14.25">
      <c r="A1917" s="224">
        <v>1916</v>
      </c>
      <c r="B1917" s="248">
        <v>6794</v>
      </c>
      <c r="C1917" s="248" t="s">
        <v>2623</v>
      </c>
      <c r="D1917" s="248" t="s">
        <v>45</v>
      </c>
      <c r="E1917" s="248" t="s">
        <v>2874</v>
      </c>
      <c r="F1917" s="248" t="s">
        <v>5609</v>
      </c>
      <c r="G1917" s="248">
        <v>8</v>
      </c>
      <c r="H1917" s="248" t="s">
        <v>2557</v>
      </c>
      <c r="I1917" s="248">
        <v>81766</v>
      </c>
      <c r="J1917" s="250"/>
      <c r="K1917" s="248">
        <v>111.34</v>
      </c>
      <c r="L1917" s="248">
        <v>0</v>
      </c>
      <c r="M1917" s="248">
        <v>0</v>
      </c>
      <c r="N1917" s="248">
        <v>1</v>
      </c>
      <c r="O1917" s="181">
        <f t="shared" si="14"/>
        <v>111.34</v>
      </c>
      <c r="P1917" s="247">
        <f t="shared" si="15"/>
        <v>111.34</v>
      </c>
    </row>
    <row r="1918" spans="1:16" ht="14.25">
      <c r="A1918" s="224">
        <v>1917</v>
      </c>
      <c r="B1918" s="248">
        <v>29202</v>
      </c>
      <c r="C1918" s="248" t="s">
        <v>5610</v>
      </c>
      <c r="D1918" s="248" t="s">
        <v>2582</v>
      </c>
      <c r="E1918" s="248" t="s">
        <v>2860</v>
      </c>
      <c r="F1918" s="248" t="s">
        <v>5611</v>
      </c>
      <c r="G1918" s="248">
        <v>8</v>
      </c>
      <c r="H1918" s="248" t="s">
        <v>2557</v>
      </c>
      <c r="I1918" s="248">
        <v>81814</v>
      </c>
      <c r="J1918" s="250" t="s">
        <v>5612</v>
      </c>
      <c r="K1918" s="248">
        <v>91.74</v>
      </c>
      <c r="L1918" s="248">
        <v>0</v>
      </c>
      <c r="M1918" s="248">
        <v>0</v>
      </c>
      <c r="N1918" s="248">
        <v>7.1787900000000002</v>
      </c>
      <c r="O1918" s="181">
        <f t="shared" si="14"/>
        <v>91.74</v>
      </c>
      <c r="P1918" s="247">
        <f t="shared" si="15"/>
        <v>12.779312391085405</v>
      </c>
    </row>
    <row r="1919" spans="1:16" ht="14.25">
      <c r="A1919" s="224">
        <v>1918</v>
      </c>
      <c r="B1919" s="248">
        <v>29202</v>
      </c>
      <c r="C1919" s="248" t="s">
        <v>5610</v>
      </c>
      <c r="D1919" s="248" t="s">
        <v>2582</v>
      </c>
      <c r="E1919" s="248" t="s">
        <v>2860</v>
      </c>
      <c r="F1919" s="248" t="s">
        <v>5613</v>
      </c>
      <c r="G1919" s="248">
        <v>8</v>
      </c>
      <c r="H1919" s="248" t="s">
        <v>2557</v>
      </c>
      <c r="I1919" s="248">
        <v>81814</v>
      </c>
      <c r="J1919" s="250"/>
      <c r="K1919" s="248">
        <v>0.01</v>
      </c>
      <c r="L1919" s="248">
        <v>0</v>
      </c>
      <c r="M1919" s="248">
        <v>0</v>
      </c>
      <c r="N1919" s="248">
        <v>7.1787900000000002</v>
      </c>
      <c r="O1919" s="181">
        <f t="shared" si="14"/>
        <v>0.01</v>
      </c>
      <c r="P1919" s="247">
        <f t="shared" si="15"/>
        <v>1.3929924123703297E-3</v>
      </c>
    </row>
    <row r="1920" spans="1:16" ht="14.25">
      <c r="A1920" s="224">
        <v>1919</v>
      </c>
      <c r="B1920" s="248">
        <v>29212</v>
      </c>
      <c r="C1920" s="248" t="s">
        <v>5614</v>
      </c>
      <c r="D1920" s="248" t="s">
        <v>2582</v>
      </c>
      <c r="E1920" s="248" t="s">
        <v>2860</v>
      </c>
      <c r="F1920" s="248" t="s">
        <v>5615</v>
      </c>
      <c r="G1920" s="248">
        <v>8</v>
      </c>
      <c r="H1920" s="248" t="s">
        <v>2557</v>
      </c>
      <c r="I1920" s="248">
        <v>81898</v>
      </c>
      <c r="J1920" s="250" t="s">
        <v>5616</v>
      </c>
      <c r="K1920" s="248">
        <v>71.72</v>
      </c>
      <c r="L1920" s="248">
        <v>0</v>
      </c>
      <c r="M1920" s="248">
        <v>0</v>
      </c>
      <c r="N1920" s="248">
        <v>7.1790799999999999</v>
      </c>
      <c r="O1920" s="181">
        <f t="shared" si="14"/>
        <v>71.72</v>
      </c>
      <c r="P1920" s="247">
        <f t="shared" si="15"/>
        <v>9.9901380121129719</v>
      </c>
    </row>
    <row r="1921" spans="1:16" ht="14.25">
      <c r="A1921" s="224">
        <v>1920</v>
      </c>
      <c r="B1921" s="248">
        <v>29212</v>
      </c>
      <c r="C1921" s="248" t="s">
        <v>5614</v>
      </c>
      <c r="D1921" s="248" t="s">
        <v>2582</v>
      </c>
      <c r="E1921" s="248" t="s">
        <v>2860</v>
      </c>
      <c r="F1921" s="248" t="s">
        <v>5617</v>
      </c>
      <c r="G1921" s="248">
        <v>8</v>
      </c>
      <c r="H1921" s="248" t="s">
        <v>2557</v>
      </c>
      <c r="I1921" s="248">
        <v>81898</v>
      </c>
      <c r="J1921" s="250"/>
      <c r="K1921" s="248">
        <v>0.01</v>
      </c>
      <c r="L1921" s="248">
        <v>0</v>
      </c>
      <c r="M1921" s="248">
        <v>0</v>
      </c>
      <c r="N1921" s="248">
        <v>7.1790799999999999</v>
      </c>
      <c r="O1921" s="181">
        <f t="shared" si="14"/>
        <v>0.01</v>
      </c>
      <c r="P1921" s="247">
        <f t="shared" si="15"/>
        <v>1.3929361422354953E-3</v>
      </c>
    </row>
    <row r="1922" spans="1:16" ht="14.25">
      <c r="A1922" s="224">
        <v>1921</v>
      </c>
      <c r="B1922" s="248">
        <v>5079</v>
      </c>
      <c r="C1922" s="248" t="s">
        <v>2970</v>
      </c>
      <c r="D1922" s="248" t="s">
        <v>45</v>
      </c>
      <c r="E1922" s="248" t="s">
        <v>2860</v>
      </c>
      <c r="F1922" s="248" t="s">
        <v>5618</v>
      </c>
      <c r="G1922" s="248">
        <v>8</v>
      </c>
      <c r="H1922" s="248" t="s">
        <v>2557</v>
      </c>
      <c r="I1922" s="248">
        <v>81646</v>
      </c>
      <c r="J1922" s="250" t="s">
        <v>5619</v>
      </c>
      <c r="K1922" s="248">
        <v>3.59</v>
      </c>
      <c r="L1922" s="248">
        <v>0</v>
      </c>
      <c r="M1922" s="248">
        <v>0</v>
      </c>
      <c r="N1922" s="248">
        <v>1</v>
      </c>
      <c r="O1922" s="181">
        <f t="shared" si="14"/>
        <v>3.59</v>
      </c>
      <c r="P1922" s="247">
        <f t="shared" si="15"/>
        <v>3.59</v>
      </c>
    </row>
    <row r="1923" spans="1:16" ht="14.25">
      <c r="A1923" s="224">
        <v>1922</v>
      </c>
      <c r="B1923" s="248">
        <v>5079</v>
      </c>
      <c r="C1923" s="248" t="s">
        <v>2970</v>
      </c>
      <c r="D1923" s="248" t="s">
        <v>45</v>
      </c>
      <c r="E1923" s="248" t="s">
        <v>2860</v>
      </c>
      <c r="F1923" s="248" t="s">
        <v>5620</v>
      </c>
      <c r="G1923" s="248">
        <v>8</v>
      </c>
      <c r="H1923" s="248" t="s">
        <v>2557</v>
      </c>
      <c r="I1923" s="248">
        <v>81910</v>
      </c>
      <c r="J1923" s="250" t="s">
        <v>5621</v>
      </c>
      <c r="K1923" s="248">
        <v>3.99</v>
      </c>
      <c r="L1923" s="248">
        <v>0</v>
      </c>
      <c r="M1923" s="248">
        <v>0</v>
      </c>
      <c r="N1923" s="248">
        <v>1</v>
      </c>
      <c r="O1923" s="181">
        <f t="shared" si="14"/>
        <v>3.99</v>
      </c>
      <c r="P1923" s="247">
        <f t="shared" si="15"/>
        <v>3.99</v>
      </c>
    </row>
    <row r="1924" spans="1:16" ht="14.25">
      <c r="A1924" s="224">
        <v>1923</v>
      </c>
      <c r="B1924" s="248">
        <v>276</v>
      </c>
      <c r="C1924" s="248" t="s">
        <v>632</v>
      </c>
      <c r="D1924" s="248" t="s">
        <v>45</v>
      </c>
      <c r="E1924" s="248" t="s">
        <v>9</v>
      </c>
      <c r="F1924" s="248" t="s">
        <v>5622</v>
      </c>
      <c r="G1924" s="248">
        <v>8</v>
      </c>
      <c r="H1924" s="248" t="s">
        <v>2557</v>
      </c>
      <c r="I1924" s="248">
        <v>79690</v>
      </c>
      <c r="J1924" s="250" t="s">
        <v>633</v>
      </c>
      <c r="K1924" s="248">
        <v>9.99</v>
      </c>
      <c r="L1924" s="248">
        <v>0.84</v>
      </c>
      <c r="M1924" s="248">
        <v>0</v>
      </c>
      <c r="N1924" s="248">
        <v>1</v>
      </c>
      <c r="O1924" s="181">
        <f t="shared" si="14"/>
        <v>9.15</v>
      </c>
      <c r="P1924" s="247">
        <f t="shared" si="15"/>
        <v>9.15</v>
      </c>
    </row>
    <row r="1925" spans="1:16" ht="14.25">
      <c r="A1925" s="224">
        <v>1924</v>
      </c>
      <c r="B1925" s="248">
        <v>25286</v>
      </c>
      <c r="C1925" s="248" t="s">
        <v>4583</v>
      </c>
      <c r="D1925" s="248" t="s">
        <v>2582</v>
      </c>
      <c r="E1925" s="248" t="s">
        <v>2860</v>
      </c>
      <c r="F1925" s="248" t="s">
        <v>5623</v>
      </c>
      <c r="G1925" s="248">
        <v>8</v>
      </c>
      <c r="H1925" s="248" t="s">
        <v>2557</v>
      </c>
      <c r="I1925" s="248">
        <v>81442</v>
      </c>
      <c r="J1925" s="250" t="s">
        <v>5624</v>
      </c>
      <c r="K1925" s="248">
        <v>143.80000000000001</v>
      </c>
      <c r="L1925" s="248">
        <v>0</v>
      </c>
      <c r="M1925" s="248">
        <v>0</v>
      </c>
      <c r="N1925" s="248">
        <v>7.1790799999999999</v>
      </c>
      <c r="O1925" s="181">
        <f t="shared" si="14"/>
        <v>143.80000000000001</v>
      </c>
      <c r="P1925" s="247">
        <f t="shared" si="15"/>
        <v>20.030421725346425</v>
      </c>
    </row>
    <row r="1926" spans="1:16" ht="14.25">
      <c r="A1926" s="224">
        <v>1925</v>
      </c>
      <c r="B1926" s="248">
        <v>3974</v>
      </c>
      <c r="C1926" s="248" t="s">
        <v>2844</v>
      </c>
      <c r="D1926" s="248" t="s">
        <v>45</v>
      </c>
      <c r="E1926" s="248" t="s">
        <v>2860</v>
      </c>
      <c r="F1926" s="248" t="s">
        <v>5625</v>
      </c>
      <c r="G1926" s="248">
        <v>8</v>
      </c>
      <c r="H1926" s="248" t="s">
        <v>2557</v>
      </c>
      <c r="I1926" s="248">
        <v>81946</v>
      </c>
      <c r="J1926" s="250" t="s">
        <v>5626</v>
      </c>
      <c r="K1926" s="248">
        <v>1.99</v>
      </c>
      <c r="L1926" s="248">
        <v>0</v>
      </c>
      <c r="M1926" s="248">
        <v>0</v>
      </c>
      <c r="N1926" s="248">
        <v>1</v>
      </c>
      <c r="O1926" s="181">
        <f t="shared" si="14"/>
        <v>1.99</v>
      </c>
      <c r="P1926" s="247">
        <f t="shared" si="15"/>
        <v>1.99</v>
      </c>
    </row>
    <row r="1927" spans="1:16" ht="14.25">
      <c r="A1927" s="224">
        <v>1926</v>
      </c>
      <c r="B1927" s="248">
        <v>2300</v>
      </c>
      <c r="C1927" s="248" t="s">
        <v>2962</v>
      </c>
      <c r="D1927" s="248" t="s">
        <v>45</v>
      </c>
      <c r="E1927" s="248" t="s">
        <v>2860</v>
      </c>
      <c r="F1927" s="248" t="s">
        <v>5627</v>
      </c>
      <c r="G1927" s="248">
        <v>8</v>
      </c>
      <c r="H1927" s="248" t="s">
        <v>2557</v>
      </c>
      <c r="I1927" s="248">
        <v>79906</v>
      </c>
      <c r="J1927" s="250" t="s">
        <v>5628</v>
      </c>
      <c r="K1927" s="248">
        <v>8.99</v>
      </c>
      <c r="L1927" s="248">
        <v>0</v>
      </c>
      <c r="M1927" s="248">
        <v>0</v>
      </c>
      <c r="N1927" s="248">
        <v>1</v>
      </c>
      <c r="O1927" s="181">
        <f t="shared" si="14"/>
        <v>8.99</v>
      </c>
      <c r="P1927" s="247">
        <f t="shared" si="15"/>
        <v>8.99</v>
      </c>
    </row>
    <row r="1928" spans="1:16" ht="14.25">
      <c r="A1928" s="224">
        <v>1927</v>
      </c>
      <c r="B1928" s="248">
        <v>20196</v>
      </c>
      <c r="C1928" s="248" t="s">
        <v>3404</v>
      </c>
      <c r="D1928" s="248" t="s">
        <v>45</v>
      </c>
      <c r="E1928" s="248" t="s">
        <v>2860</v>
      </c>
      <c r="F1928" s="248" t="s">
        <v>5629</v>
      </c>
      <c r="G1928" s="248">
        <v>8</v>
      </c>
      <c r="H1928" s="248" t="s">
        <v>2557</v>
      </c>
      <c r="I1928" s="248">
        <v>79918</v>
      </c>
      <c r="J1928" s="250" t="s">
        <v>5630</v>
      </c>
      <c r="K1928" s="248">
        <v>8.99</v>
      </c>
      <c r="L1928" s="248">
        <v>0</v>
      </c>
      <c r="M1928" s="248">
        <v>0</v>
      </c>
      <c r="N1928" s="248">
        <v>1</v>
      </c>
      <c r="O1928" s="181">
        <f t="shared" si="14"/>
        <v>8.99</v>
      </c>
      <c r="P1928" s="247">
        <f t="shared" si="15"/>
        <v>8.99</v>
      </c>
    </row>
    <row r="1929" spans="1:16" ht="14.25">
      <c r="A1929" s="224">
        <v>1928</v>
      </c>
      <c r="B1929" s="248">
        <v>6145</v>
      </c>
      <c r="C1929" s="248" t="s">
        <v>2805</v>
      </c>
      <c r="D1929" s="248" t="s">
        <v>45</v>
      </c>
      <c r="E1929" s="248" t="s">
        <v>2860</v>
      </c>
      <c r="F1929" s="248" t="s">
        <v>5631</v>
      </c>
      <c r="G1929" s="248">
        <v>8</v>
      </c>
      <c r="H1929" s="248" t="s">
        <v>2557</v>
      </c>
      <c r="I1929" s="248">
        <v>80458</v>
      </c>
      <c r="J1929" s="250" t="s">
        <v>5632</v>
      </c>
      <c r="K1929" s="248">
        <v>3.99</v>
      </c>
      <c r="L1929" s="248">
        <v>0</v>
      </c>
      <c r="M1929" s="248">
        <v>0</v>
      </c>
      <c r="N1929" s="248">
        <v>1</v>
      </c>
      <c r="O1929" s="181">
        <f t="shared" si="14"/>
        <v>3.99</v>
      </c>
      <c r="P1929" s="247">
        <f t="shared" si="15"/>
        <v>3.99</v>
      </c>
    </row>
    <row r="1930" spans="1:16" ht="14.25">
      <c r="A1930" s="224">
        <v>1929</v>
      </c>
      <c r="B1930" s="248">
        <v>276</v>
      </c>
      <c r="C1930" s="248" t="s">
        <v>632</v>
      </c>
      <c r="D1930" s="248" t="s">
        <v>45</v>
      </c>
      <c r="E1930" s="248" t="s">
        <v>9</v>
      </c>
      <c r="F1930" s="248" t="s">
        <v>5633</v>
      </c>
      <c r="G1930" s="248">
        <v>8</v>
      </c>
      <c r="H1930" s="248" t="s">
        <v>5634</v>
      </c>
      <c r="I1930" s="248">
        <v>79690</v>
      </c>
      <c r="J1930" s="250"/>
      <c r="K1930" s="248">
        <v>0</v>
      </c>
      <c r="L1930" s="248">
        <v>-0.84</v>
      </c>
      <c r="M1930" s="248">
        <v>9.99</v>
      </c>
      <c r="N1930" s="248">
        <v>1</v>
      </c>
      <c r="O1930" s="181">
        <f t="shared" si="14"/>
        <v>-9.15</v>
      </c>
      <c r="P1930" s="247">
        <f t="shared" si="15"/>
        <v>-9.15</v>
      </c>
    </row>
    <row r="1931" spans="1:16" ht="14.25">
      <c r="A1931" s="224">
        <v>1930</v>
      </c>
      <c r="B1931" s="248">
        <v>20047</v>
      </c>
      <c r="C1931" s="248" t="s">
        <v>4066</v>
      </c>
      <c r="D1931" s="248" t="s">
        <v>2582</v>
      </c>
      <c r="E1931" s="248" t="s">
        <v>2860</v>
      </c>
      <c r="F1931" s="248" t="s">
        <v>5635</v>
      </c>
      <c r="G1931" s="248">
        <v>8</v>
      </c>
      <c r="H1931" s="248" t="s">
        <v>2557</v>
      </c>
      <c r="I1931" s="248">
        <v>78502</v>
      </c>
      <c r="J1931" s="250" t="s">
        <v>5636</v>
      </c>
      <c r="K1931" s="248">
        <v>111.09</v>
      </c>
      <c r="L1931" s="248">
        <v>0</v>
      </c>
      <c r="M1931" s="248">
        <v>0</v>
      </c>
      <c r="N1931" s="248">
        <v>7.1761200000000001</v>
      </c>
      <c r="O1931" s="181">
        <f t="shared" si="14"/>
        <v>111.09</v>
      </c>
      <c r="P1931" s="247">
        <f t="shared" si="15"/>
        <v>15.48051035935854</v>
      </c>
    </row>
    <row r="1932" spans="1:16" ht="14.25">
      <c r="A1932" s="224">
        <v>1931</v>
      </c>
      <c r="B1932" s="248">
        <v>3826</v>
      </c>
      <c r="C1932" s="248" t="s">
        <v>423</v>
      </c>
      <c r="D1932" s="248" t="s">
        <v>45</v>
      </c>
      <c r="E1932" s="248" t="s">
        <v>9</v>
      </c>
      <c r="F1932" s="248" t="s">
        <v>5637</v>
      </c>
      <c r="G1932" s="248">
        <v>8</v>
      </c>
      <c r="H1932" s="248" t="s">
        <v>2557</v>
      </c>
      <c r="I1932" s="248">
        <v>81622</v>
      </c>
      <c r="J1932" s="250" t="s">
        <v>636</v>
      </c>
      <c r="K1932" s="248">
        <v>1.0900000000000001</v>
      </c>
      <c r="L1932" s="248">
        <v>0.54</v>
      </c>
      <c r="M1932" s="248">
        <v>0</v>
      </c>
      <c r="N1932" s="248">
        <v>1</v>
      </c>
      <c r="O1932" s="181">
        <f t="shared" si="14"/>
        <v>0.55000000000000004</v>
      </c>
      <c r="P1932" s="247">
        <f t="shared" si="15"/>
        <v>0.55000000000000004</v>
      </c>
    </row>
    <row r="1933" spans="1:16" ht="14.25">
      <c r="A1933" s="224">
        <v>1932</v>
      </c>
      <c r="B1933" s="248">
        <v>5906</v>
      </c>
      <c r="C1933" s="248" t="s">
        <v>2768</v>
      </c>
      <c r="D1933" s="248" t="s">
        <v>45</v>
      </c>
      <c r="E1933" s="248" t="s">
        <v>9</v>
      </c>
      <c r="F1933" s="248" t="s">
        <v>5638</v>
      </c>
      <c r="G1933" s="248">
        <v>8</v>
      </c>
      <c r="H1933" s="248" t="s">
        <v>2557</v>
      </c>
      <c r="I1933" s="248">
        <v>79882</v>
      </c>
      <c r="J1933" s="250" t="s">
        <v>637</v>
      </c>
      <c r="K1933" s="248">
        <v>4.99</v>
      </c>
      <c r="L1933" s="248">
        <v>0.74</v>
      </c>
      <c r="M1933" s="248">
        <v>0</v>
      </c>
      <c r="N1933" s="248">
        <v>1</v>
      </c>
      <c r="O1933" s="181">
        <f t="shared" si="14"/>
        <v>4.25</v>
      </c>
      <c r="P1933" s="247">
        <f t="shared" si="15"/>
        <v>4.25</v>
      </c>
    </row>
    <row r="1934" spans="1:16" ht="14.25">
      <c r="A1934" s="224">
        <v>1933</v>
      </c>
      <c r="B1934" s="248">
        <v>29039</v>
      </c>
      <c r="C1934" s="248" t="s">
        <v>5639</v>
      </c>
      <c r="D1934" s="248" t="s">
        <v>2582</v>
      </c>
      <c r="E1934" s="248" t="s">
        <v>2860</v>
      </c>
      <c r="F1934" s="248" t="s">
        <v>5640</v>
      </c>
      <c r="G1934" s="248">
        <v>8</v>
      </c>
      <c r="H1934" s="248" t="s">
        <v>2557</v>
      </c>
      <c r="I1934" s="248">
        <v>82054</v>
      </c>
      <c r="J1934" s="250" t="s">
        <v>5641</v>
      </c>
      <c r="K1934" s="248">
        <v>170.07</v>
      </c>
      <c r="L1934" s="248">
        <v>0</v>
      </c>
      <c r="M1934" s="248">
        <v>0</v>
      </c>
      <c r="N1934" s="248">
        <v>7.1761200000000001</v>
      </c>
      <c r="O1934" s="181">
        <f t="shared" si="14"/>
        <v>170.07</v>
      </c>
      <c r="P1934" s="247">
        <f t="shared" si="15"/>
        <v>23.699436464273173</v>
      </c>
    </row>
    <row r="1935" spans="1:16" ht="14.25">
      <c r="A1935" s="224">
        <v>1934</v>
      </c>
      <c r="B1935" s="248">
        <v>29235</v>
      </c>
      <c r="C1935" s="248" t="s">
        <v>5642</v>
      </c>
      <c r="D1935" s="248" t="s">
        <v>45</v>
      </c>
      <c r="E1935" s="248" t="s">
        <v>2860</v>
      </c>
      <c r="F1935" s="248" t="s">
        <v>5643</v>
      </c>
      <c r="G1935" s="248">
        <v>8</v>
      </c>
      <c r="H1935" s="248" t="s">
        <v>2557</v>
      </c>
      <c r="I1935" s="248">
        <v>82066</v>
      </c>
      <c r="J1935" s="250" t="s">
        <v>5644</v>
      </c>
      <c r="K1935" s="248">
        <v>15.29</v>
      </c>
      <c r="L1935" s="248">
        <v>0</v>
      </c>
      <c r="M1935" s="248">
        <v>0</v>
      </c>
      <c r="N1935" s="248">
        <v>1</v>
      </c>
      <c r="O1935" s="181">
        <f t="shared" si="14"/>
        <v>15.29</v>
      </c>
      <c r="P1935" s="247">
        <f t="shared" si="15"/>
        <v>15.29</v>
      </c>
    </row>
    <row r="1936" spans="1:16" ht="14.25">
      <c r="A1936" s="224">
        <v>1935</v>
      </c>
      <c r="B1936" s="248">
        <v>21403</v>
      </c>
      <c r="C1936" s="248" t="s">
        <v>3690</v>
      </c>
      <c r="D1936" s="248" t="s">
        <v>45</v>
      </c>
      <c r="E1936" s="248" t="s">
        <v>2860</v>
      </c>
      <c r="F1936" s="248" t="s">
        <v>5645</v>
      </c>
      <c r="G1936" s="248">
        <v>8</v>
      </c>
      <c r="H1936" s="248" t="s">
        <v>2557</v>
      </c>
      <c r="I1936" s="248">
        <v>79702</v>
      </c>
      <c r="J1936" s="250" t="s">
        <v>5646</v>
      </c>
      <c r="K1936" s="248">
        <v>1.19</v>
      </c>
      <c r="L1936" s="248">
        <v>0</v>
      </c>
      <c r="M1936" s="248">
        <v>0</v>
      </c>
      <c r="N1936" s="248">
        <v>1</v>
      </c>
      <c r="O1936" s="181">
        <f t="shared" si="14"/>
        <v>1.19</v>
      </c>
      <c r="P1936" s="247">
        <f t="shared" si="15"/>
        <v>1.19</v>
      </c>
    </row>
    <row r="1937" spans="1:16" ht="14.25">
      <c r="A1937" s="224">
        <v>1936</v>
      </c>
      <c r="B1937" s="248">
        <v>18944</v>
      </c>
      <c r="C1937" s="248" t="s">
        <v>3068</v>
      </c>
      <c r="D1937" s="248" t="s">
        <v>45</v>
      </c>
      <c r="E1937" s="248" t="s">
        <v>2860</v>
      </c>
      <c r="F1937" s="248" t="s">
        <v>5647</v>
      </c>
      <c r="G1937" s="248">
        <v>8</v>
      </c>
      <c r="H1937" s="248" t="s">
        <v>2557</v>
      </c>
      <c r="I1937" s="248">
        <v>80278</v>
      </c>
      <c r="J1937" s="250" t="s">
        <v>5648</v>
      </c>
      <c r="K1937" s="248">
        <v>23.99</v>
      </c>
      <c r="L1937" s="248">
        <v>0</v>
      </c>
      <c r="M1937" s="248">
        <v>0</v>
      </c>
      <c r="N1937" s="248">
        <v>1</v>
      </c>
      <c r="O1937" s="181">
        <f t="shared" si="14"/>
        <v>23.99</v>
      </c>
      <c r="P1937" s="247">
        <f t="shared" si="15"/>
        <v>23.99</v>
      </c>
    </row>
    <row r="1938" spans="1:16" ht="14.25">
      <c r="A1938" s="224">
        <v>1937</v>
      </c>
      <c r="B1938" s="248">
        <v>7191</v>
      </c>
      <c r="C1938" s="248" t="s">
        <v>2650</v>
      </c>
      <c r="D1938" s="248" t="s">
        <v>45</v>
      </c>
      <c r="E1938" s="248" t="s">
        <v>2860</v>
      </c>
      <c r="F1938" s="248" t="s">
        <v>5649</v>
      </c>
      <c r="G1938" s="248">
        <v>8</v>
      </c>
      <c r="H1938" s="248" t="s">
        <v>2557</v>
      </c>
      <c r="I1938" s="248">
        <v>79990</v>
      </c>
      <c r="J1938" s="250" t="s">
        <v>5650</v>
      </c>
      <c r="K1938" s="248">
        <v>1.79</v>
      </c>
      <c r="L1938" s="248">
        <v>0</v>
      </c>
      <c r="M1938" s="248">
        <v>0</v>
      </c>
      <c r="N1938" s="248">
        <v>1</v>
      </c>
      <c r="O1938" s="181">
        <f t="shared" si="14"/>
        <v>1.79</v>
      </c>
      <c r="P1938" s="247">
        <f t="shared" si="15"/>
        <v>1.79</v>
      </c>
    </row>
    <row r="1939" spans="1:16" ht="14.25">
      <c r="A1939" s="224">
        <v>1938</v>
      </c>
      <c r="B1939" s="248">
        <v>25163</v>
      </c>
      <c r="C1939" s="248" t="s">
        <v>4531</v>
      </c>
      <c r="D1939" s="248" t="s">
        <v>45</v>
      </c>
      <c r="E1939" s="248" t="s">
        <v>2860</v>
      </c>
      <c r="F1939" s="248" t="s">
        <v>5651</v>
      </c>
      <c r="G1939" s="248">
        <v>8</v>
      </c>
      <c r="H1939" s="248" t="s">
        <v>2557</v>
      </c>
      <c r="I1939" s="248">
        <v>81010</v>
      </c>
      <c r="J1939" s="250" t="s">
        <v>5652</v>
      </c>
      <c r="K1939" s="248">
        <v>18.989999999999998</v>
      </c>
      <c r="L1939" s="248">
        <v>0</v>
      </c>
      <c r="M1939" s="248">
        <v>0</v>
      </c>
      <c r="N1939" s="248">
        <v>1</v>
      </c>
      <c r="O1939" s="181">
        <f t="shared" si="14"/>
        <v>18.989999999999998</v>
      </c>
      <c r="P1939" s="247">
        <f t="shared" si="15"/>
        <v>18.989999999999998</v>
      </c>
    </row>
    <row r="1940" spans="1:16" ht="14.25">
      <c r="A1940" s="224">
        <v>1939</v>
      </c>
      <c r="B1940" s="248">
        <v>19314</v>
      </c>
      <c r="C1940" s="248" t="s">
        <v>3119</v>
      </c>
      <c r="D1940" s="248" t="s">
        <v>45</v>
      </c>
      <c r="E1940" s="248" t="s">
        <v>2860</v>
      </c>
      <c r="F1940" s="248" t="s">
        <v>5653</v>
      </c>
      <c r="G1940" s="248">
        <v>8</v>
      </c>
      <c r="H1940" s="248" t="s">
        <v>2557</v>
      </c>
      <c r="I1940" s="248">
        <v>82150</v>
      </c>
      <c r="J1940" s="250"/>
      <c r="K1940" s="248">
        <v>27.85</v>
      </c>
      <c r="L1940" s="248">
        <v>0</v>
      </c>
      <c r="M1940" s="248">
        <v>0</v>
      </c>
      <c r="N1940" s="248">
        <v>1</v>
      </c>
      <c r="O1940" s="181">
        <f t="shared" si="14"/>
        <v>27.85</v>
      </c>
      <c r="P1940" s="247">
        <f t="shared" si="15"/>
        <v>27.85</v>
      </c>
    </row>
    <row r="1941" spans="1:16" ht="14.25">
      <c r="A1941" s="224">
        <v>1940</v>
      </c>
      <c r="B1941" s="248">
        <v>29260</v>
      </c>
      <c r="C1941" s="248" t="s">
        <v>5654</v>
      </c>
      <c r="D1941" s="248" t="s">
        <v>45</v>
      </c>
      <c r="E1941" s="248" t="s">
        <v>4772</v>
      </c>
      <c r="F1941" s="248" t="s">
        <v>5655</v>
      </c>
      <c r="G1941" s="248">
        <v>8</v>
      </c>
      <c r="H1941" s="248" t="s">
        <v>2557</v>
      </c>
      <c r="I1941" s="248">
        <v>82162</v>
      </c>
      <c r="J1941" s="250" t="s">
        <v>1499</v>
      </c>
      <c r="K1941" s="248">
        <v>4.99</v>
      </c>
      <c r="L1941" s="248">
        <v>0.15</v>
      </c>
      <c r="M1941" s="248">
        <v>0</v>
      </c>
      <c r="N1941" s="248">
        <v>1</v>
      </c>
      <c r="O1941" s="181">
        <f t="shared" si="14"/>
        <v>4.84</v>
      </c>
      <c r="P1941" s="247">
        <f t="shared" si="15"/>
        <v>4.84</v>
      </c>
    </row>
    <row r="1942" spans="1:16" ht="14.25">
      <c r="A1942" s="224">
        <v>1941</v>
      </c>
      <c r="B1942" s="248">
        <v>29275</v>
      </c>
      <c r="C1942" s="248" t="s">
        <v>5656</v>
      </c>
      <c r="D1942" s="248" t="s">
        <v>45</v>
      </c>
      <c r="E1942" s="248" t="s">
        <v>2860</v>
      </c>
      <c r="F1942" s="248" t="s">
        <v>5657</v>
      </c>
      <c r="G1942" s="248">
        <v>8</v>
      </c>
      <c r="H1942" s="248" t="s">
        <v>2557</v>
      </c>
      <c r="I1942" s="248">
        <v>82282</v>
      </c>
      <c r="J1942" s="250" t="s">
        <v>5658</v>
      </c>
      <c r="K1942" s="248">
        <v>2.4900000000000002</v>
      </c>
      <c r="L1942" s="248">
        <v>0</v>
      </c>
      <c r="M1942" s="248">
        <v>0</v>
      </c>
      <c r="N1942" s="248">
        <v>1</v>
      </c>
      <c r="O1942" s="181">
        <f t="shared" si="14"/>
        <v>2.4900000000000002</v>
      </c>
      <c r="P1942" s="247">
        <f t="shared" si="15"/>
        <v>2.4900000000000002</v>
      </c>
    </row>
    <row r="1943" spans="1:16" ht="14.25">
      <c r="A1943" s="224">
        <v>1942</v>
      </c>
      <c r="B1943" s="248">
        <v>26470</v>
      </c>
      <c r="C1943" s="248" t="s">
        <v>4808</v>
      </c>
      <c r="D1943" s="248" t="s">
        <v>45</v>
      </c>
      <c r="E1943" s="248" t="s">
        <v>2860</v>
      </c>
      <c r="F1943" s="248" t="s">
        <v>5659</v>
      </c>
      <c r="G1943" s="248">
        <v>8</v>
      </c>
      <c r="H1943" s="248" t="s">
        <v>2557</v>
      </c>
      <c r="I1943" s="248">
        <v>82138</v>
      </c>
      <c r="J1943" s="250" t="s">
        <v>5660</v>
      </c>
      <c r="K1943" s="248">
        <v>19.989999999999998</v>
      </c>
      <c r="L1943" s="248">
        <v>0</v>
      </c>
      <c r="M1943" s="248">
        <v>0</v>
      </c>
      <c r="N1943" s="248">
        <v>1</v>
      </c>
      <c r="O1943" s="181">
        <f t="shared" si="14"/>
        <v>19.989999999999998</v>
      </c>
      <c r="P1943" s="247">
        <f t="shared" si="15"/>
        <v>19.989999999999998</v>
      </c>
    </row>
    <row r="1944" spans="1:16" ht="14.25">
      <c r="A1944" s="224">
        <v>1943</v>
      </c>
      <c r="B1944" s="248">
        <v>29278</v>
      </c>
      <c r="C1944" s="248" t="s">
        <v>5661</v>
      </c>
      <c r="D1944" s="248" t="s">
        <v>2582</v>
      </c>
      <c r="E1944" s="248" t="s">
        <v>2860</v>
      </c>
      <c r="F1944" s="248" t="s">
        <v>5662</v>
      </c>
      <c r="G1944" s="248">
        <v>8</v>
      </c>
      <c r="H1944" s="248" t="s">
        <v>2557</v>
      </c>
      <c r="I1944" s="248">
        <v>82294</v>
      </c>
      <c r="J1944" s="250" t="s">
        <v>5663</v>
      </c>
      <c r="K1944" s="248">
        <v>43</v>
      </c>
      <c r="L1944" s="248">
        <v>0</v>
      </c>
      <c r="M1944" s="248">
        <v>0</v>
      </c>
      <c r="N1944" s="248">
        <v>7.1789300000000003</v>
      </c>
      <c r="O1944" s="181">
        <f t="shared" si="14"/>
        <v>43</v>
      </c>
      <c r="P1944" s="247">
        <f t="shared" si="15"/>
        <v>5.9897505617132358</v>
      </c>
    </row>
    <row r="1945" spans="1:16" ht="14.25">
      <c r="A1945" s="224">
        <v>1944</v>
      </c>
      <c r="B1945" s="248">
        <v>28946</v>
      </c>
      <c r="C1945" s="248" t="s">
        <v>5337</v>
      </c>
      <c r="D1945" s="248" t="s">
        <v>2582</v>
      </c>
      <c r="E1945" s="248" t="s">
        <v>2860</v>
      </c>
      <c r="F1945" s="248" t="s">
        <v>5664</v>
      </c>
      <c r="G1945" s="248">
        <v>8</v>
      </c>
      <c r="H1945" s="248" t="s">
        <v>2557</v>
      </c>
      <c r="I1945" s="248">
        <v>80302</v>
      </c>
      <c r="J1945" s="250" t="s">
        <v>5665</v>
      </c>
      <c r="K1945" s="248">
        <v>148.1</v>
      </c>
      <c r="L1945" s="248">
        <v>0</v>
      </c>
      <c r="M1945" s="248">
        <v>0</v>
      </c>
      <c r="N1945" s="248">
        <v>7.1789300000000003</v>
      </c>
      <c r="O1945" s="181">
        <f t="shared" si="14"/>
        <v>148.1</v>
      </c>
      <c r="P1945" s="247">
        <f t="shared" si="15"/>
        <v>20.62981530673791</v>
      </c>
    </row>
    <row r="1946" spans="1:16" ht="14.25">
      <c r="A1946" s="224">
        <v>1945</v>
      </c>
      <c r="B1946" s="248">
        <v>22778</v>
      </c>
      <c r="C1946" s="248" t="s">
        <v>3929</v>
      </c>
      <c r="D1946" s="248" t="s">
        <v>45</v>
      </c>
      <c r="E1946" s="248" t="s">
        <v>2860</v>
      </c>
      <c r="F1946" s="248" t="s">
        <v>5666</v>
      </c>
      <c r="G1946" s="248">
        <v>8</v>
      </c>
      <c r="H1946" s="248" t="s">
        <v>2557</v>
      </c>
      <c r="I1946" s="248">
        <v>80326</v>
      </c>
      <c r="J1946" s="250" t="s">
        <v>5667</v>
      </c>
      <c r="K1946" s="248">
        <v>59.98</v>
      </c>
      <c r="L1946" s="248">
        <v>0</v>
      </c>
      <c r="M1946" s="248">
        <v>0</v>
      </c>
      <c r="N1946" s="248">
        <v>1</v>
      </c>
      <c r="O1946" s="181">
        <f t="shared" si="14"/>
        <v>59.98</v>
      </c>
      <c r="P1946" s="247">
        <f t="shared" si="15"/>
        <v>59.98</v>
      </c>
    </row>
    <row r="1947" spans="1:16" ht="14.25">
      <c r="A1947" s="224">
        <v>1946</v>
      </c>
      <c r="B1947" s="248">
        <v>26470</v>
      </c>
      <c r="C1947" s="248" t="s">
        <v>4808</v>
      </c>
      <c r="D1947" s="248" t="s">
        <v>45</v>
      </c>
      <c r="E1947" s="248" t="s">
        <v>2860</v>
      </c>
      <c r="F1947" s="248" t="s">
        <v>5668</v>
      </c>
      <c r="G1947" s="248">
        <v>8</v>
      </c>
      <c r="H1947" s="248" t="s">
        <v>2557</v>
      </c>
      <c r="I1947" s="248">
        <v>82306</v>
      </c>
      <c r="J1947" s="250" t="s">
        <v>5669</v>
      </c>
      <c r="K1947" s="248">
        <v>59.49</v>
      </c>
      <c r="L1947" s="248">
        <v>0</v>
      </c>
      <c r="M1947" s="248">
        <v>0</v>
      </c>
      <c r="N1947" s="248">
        <v>1</v>
      </c>
      <c r="O1947" s="181">
        <f t="shared" si="14"/>
        <v>59.49</v>
      </c>
      <c r="P1947" s="247">
        <f t="shared" si="15"/>
        <v>59.49</v>
      </c>
    </row>
    <row r="1948" spans="1:16" ht="14.25">
      <c r="A1948" s="224">
        <v>1947</v>
      </c>
      <c r="B1948" s="248">
        <v>29282</v>
      </c>
      <c r="C1948" s="248" t="s">
        <v>5670</v>
      </c>
      <c r="D1948" s="248" t="s">
        <v>2582</v>
      </c>
      <c r="E1948" s="248" t="s">
        <v>2860</v>
      </c>
      <c r="F1948" s="248" t="s">
        <v>5671</v>
      </c>
      <c r="G1948" s="248">
        <v>8</v>
      </c>
      <c r="H1948" s="248" t="s">
        <v>2557</v>
      </c>
      <c r="I1948" s="248">
        <v>82318</v>
      </c>
      <c r="J1948" s="250" t="s">
        <v>5672</v>
      </c>
      <c r="K1948" s="248">
        <v>93.25</v>
      </c>
      <c r="L1948" s="248">
        <v>0</v>
      </c>
      <c r="M1948" s="248">
        <v>0</v>
      </c>
      <c r="N1948" s="248">
        <v>7.1789300000000003</v>
      </c>
      <c r="O1948" s="181">
        <f t="shared" si="14"/>
        <v>93.25</v>
      </c>
      <c r="P1948" s="247">
        <f t="shared" si="15"/>
        <v>12.989400927436261</v>
      </c>
    </row>
    <row r="1949" spans="1:16" ht="14.25">
      <c r="A1949" s="224">
        <v>1948</v>
      </c>
      <c r="B1949" s="248">
        <v>29283</v>
      </c>
      <c r="C1949" s="248" t="s">
        <v>5673</v>
      </c>
      <c r="D1949" s="248" t="s">
        <v>45</v>
      </c>
      <c r="E1949" s="248" t="s">
        <v>2860</v>
      </c>
      <c r="F1949" s="248" t="s">
        <v>5674</v>
      </c>
      <c r="G1949" s="248">
        <v>8</v>
      </c>
      <c r="H1949" s="248" t="s">
        <v>2557</v>
      </c>
      <c r="I1949" s="248">
        <v>82330</v>
      </c>
      <c r="J1949" s="250" t="s">
        <v>5675</v>
      </c>
      <c r="K1949" s="248">
        <v>12.79</v>
      </c>
      <c r="L1949" s="248">
        <v>0</v>
      </c>
      <c r="M1949" s="248">
        <v>0</v>
      </c>
      <c r="N1949" s="248">
        <v>1</v>
      </c>
      <c r="O1949" s="181">
        <f t="shared" si="14"/>
        <v>12.79</v>
      </c>
      <c r="P1949" s="247">
        <f t="shared" si="15"/>
        <v>12.79</v>
      </c>
    </row>
    <row r="1950" spans="1:16" ht="14.25">
      <c r="A1950" s="224">
        <v>1949</v>
      </c>
      <c r="B1950" s="248">
        <v>18272</v>
      </c>
      <c r="C1950" s="248" t="s">
        <v>5676</v>
      </c>
      <c r="D1950" s="248" t="s">
        <v>2582</v>
      </c>
      <c r="E1950" s="248" t="s">
        <v>4772</v>
      </c>
      <c r="F1950" s="248" t="s">
        <v>5677</v>
      </c>
      <c r="G1950" s="248">
        <v>8</v>
      </c>
      <c r="H1950" s="248" t="s">
        <v>2557</v>
      </c>
      <c r="I1950" s="248">
        <v>82342</v>
      </c>
      <c r="J1950" s="250" t="s">
        <v>1502</v>
      </c>
      <c r="K1950" s="248">
        <v>75.349999999999994</v>
      </c>
      <c r="L1950" s="248">
        <v>0.31</v>
      </c>
      <c r="M1950" s="248">
        <v>0</v>
      </c>
      <c r="N1950" s="248">
        <v>7.1789300000000003</v>
      </c>
      <c r="O1950" s="181">
        <f t="shared" si="14"/>
        <v>75.039999999999992</v>
      </c>
      <c r="P1950" s="247">
        <f t="shared" si="15"/>
        <v>10.452811212813049</v>
      </c>
    </row>
    <row r="1951" spans="1:16" ht="14.25">
      <c r="A1951" s="224">
        <v>1950</v>
      </c>
      <c r="B1951" s="248">
        <v>29293</v>
      </c>
      <c r="C1951" s="248" t="s">
        <v>5678</v>
      </c>
      <c r="D1951" s="248" t="s">
        <v>2582</v>
      </c>
      <c r="E1951" s="248" t="s">
        <v>4772</v>
      </c>
      <c r="F1951" s="248" t="s">
        <v>5679</v>
      </c>
      <c r="G1951" s="248">
        <v>8</v>
      </c>
      <c r="H1951" s="248" t="s">
        <v>2557</v>
      </c>
      <c r="I1951" s="248">
        <v>82354</v>
      </c>
      <c r="J1951" s="250" t="s">
        <v>1505</v>
      </c>
      <c r="K1951" s="248">
        <v>64.59</v>
      </c>
      <c r="L1951" s="248">
        <v>0.26</v>
      </c>
      <c r="M1951" s="248">
        <v>0</v>
      </c>
      <c r="N1951" s="248">
        <v>7.1789300000000003</v>
      </c>
      <c r="O1951" s="181">
        <f t="shared" si="14"/>
        <v>64.33</v>
      </c>
      <c r="P1951" s="247">
        <f t="shared" si="15"/>
        <v>8.9609454333723821</v>
      </c>
    </row>
    <row r="1952" spans="1:16" ht="14.25">
      <c r="A1952" s="224">
        <v>1951</v>
      </c>
      <c r="B1952" s="248">
        <v>29295</v>
      </c>
      <c r="C1952" s="248" t="s">
        <v>5680</v>
      </c>
      <c r="D1952" s="248" t="s">
        <v>45</v>
      </c>
      <c r="E1952" s="248" t="s">
        <v>2860</v>
      </c>
      <c r="F1952" s="248" t="s">
        <v>5681</v>
      </c>
      <c r="G1952" s="248">
        <v>8</v>
      </c>
      <c r="H1952" s="248" t="s">
        <v>2557</v>
      </c>
      <c r="I1952" s="248">
        <v>82462</v>
      </c>
      <c r="J1952" s="250" t="s">
        <v>5682</v>
      </c>
      <c r="K1952" s="248">
        <v>8.99</v>
      </c>
      <c r="L1952" s="248">
        <v>0</v>
      </c>
      <c r="M1952" s="248">
        <v>0</v>
      </c>
      <c r="N1952" s="248">
        <v>1</v>
      </c>
      <c r="O1952" s="181">
        <f t="shared" si="14"/>
        <v>8.99</v>
      </c>
      <c r="P1952" s="247">
        <f t="shared" si="15"/>
        <v>8.99</v>
      </c>
    </row>
    <row r="1953" spans="1:16" ht="14.25">
      <c r="A1953" s="224">
        <v>1952</v>
      </c>
      <c r="B1953" s="248">
        <v>29298</v>
      </c>
      <c r="C1953" s="248" t="s">
        <v>5683</v>
      </c>
      <c r="D1953" s="248" t="s">
        <v>2582</v>
      </c>
      <c r="E1953" s="248" t="s">
        <v>2860</v>
      </c>
      <c r="F1953" s="248" t="s">
        <v>5684</v>
      </c>
      <c r="G1953" s="248">
        <v>8</v>
      </c>
      <c r="H1953" s="248" t="s">
        <v>2557</v>
      </c>
      <c r="I1953" s="248">
        <v>82474</v>
      </c>
      <c r="J1953" s="250" t="s">
        <v>5685</v>
      </c>
      <c r="K1953" s="248">
        <v>17.88</v>
      </c>
      <c r="L1953" s="248">
        <v>0</v>
      </c>
      <c r="M1953" s="248">
        <v>0</v>
      </c>
      <c r="N1953" s="248">
        <v>7.1789300000000003</v>
      </c>
      <c r="O1953" s="181">
        <f t="shared" si="14"/>
        <v>17.88</v>
      </c>
      <c r="P1953" s="247">
        <f t="shared" si="15"/>
        <v>2.4906218614751778</v>
      </c>
    </row>
    <row r="1954" spans="1:16" ht="14.25">
      <c r="A1954" s="224">
        <v>1953</v>
      </c>
      <c r="B1954" s="248">
        <v>27659</v>
      </c>
      <c r="C1954" s="248" t="s">
        <v>4961</v>
      </c>
      <c r="D1954" s="248" t="s">
        <v>45</v>
      </c>
      <c r="E1954" s="248" t="s">
        <v>2860</v>
      </c>
      <c r="F1954" s="248" t="s">
        <v>5686</v>
      </c>
      <c r="G1954" s="248">
        <v>8</v>
      </c>
      <c r="H1954" s="248" t="s">
        <v>2557</v>
      </c>
      <c r="I1954" s="248">
        <v>80314</v>
      </c>
      <c r="J1954" s="250" t="s">
        <v>5687</v>
      </c>
      <c r="K1954" s="248">
        <v>84.99</v>
      </c>
      <c r="L1954" s="248">
        <v>0</v>
      </c>
      <c r="M1954" s="248">
        <v>0</v>
      </c>
      <c r="N1954" s="248">
        <v>1</v>
      </c>
      <c r="O1954" s="181">
        <f t="shared" si="14"/>
        <v>84.99</v>
      </c>
      <c r="P1954" s="247">
        <f t="shared" si="15"/>
        <v>84.99</v>
      </c>
    </row>
    <row r="1955" spans="1:16" ht="14.25">
      <c r="A1955" s="224">
        <v>1954</v>
      </c>
      <c r="B1955" s="248">
        <v>3499</v>
      </c>
      <c r="C1955" s="248" t="s">
        <v>2641</v>
      </c>
      <c r="D1955" s="248" t="s">
        <v>45</v>
      </c>
      <c r="E1955" s="248" t="s">
        <v>2860</v>
      </c>
      <c r="F1955" s="248" t="s">
        <v>5688</v>
      </c>
      <c r="G1955" s="248">
        <v>8</v>
      </c>
      <c r="H1955" s="248" t="s">
        <v>2557</v>
      </c>
      <c r="I1955" s="248">
        <v>80446</v>
      </c>
      <c r="J1955" s="250" t="s">
        <v>5689</v>
      </c>
      <c r="K1955" s="248">
        <v>1.0900000000000001</v>
      </c>
      <c r="L1955" s="248">
        <v>0</v>
      </c>
      <c r="M1955" s="248">
        <v>0</v>
      </c>
      <c r="N1955" s="248">
        <v>1</v>
      </c>
      <c r="O1955" s="181">
        <f t="shared" si="14"/>
        <v>1.0900000000000001</v>
      </c>
      <c r="P1955" s="247">
        <f t="shared" si="15"/>
        <v>1.0900000000000001</v>
      </c>
    </row>
    <row r="1956" spans="1:16" ht="14.25">
      <c r="A1956" s="224">
        <v>1955</v>
      </c>
      <c r="B1956" s="248">
        <v>26470</v>
      </c>
      <c r="C1956" s="248" t="s">
        <v>4808</v>
      </c>
      <c r="D1956" s="248" t="s">
        <v>45</v>
      </c>
      <c r="E1956" s="248" t="s">
        <v>2860</v>
      </c>
      <c r="F1956" s="248" t="s">
        <v>5690</v>
      </c>
      <c r="G1956" s="248">
        <v>8</v>
      </c>
      <c r="H1956" s="248" t="s">
        <v>2557</v>
      </c>
      <c r="I1956" s="248">
        <v>82534</v>
      </c>
      <c r="J1956" s="250" t="s">
        <v>5691</v>
      </c>
      <c r="K1956" s="248">
        <v>25</v>
      </c>
      <c r="L1956" s="248">
        <v>0</v>
      </c>
      <c r="M1956" s="248">
        <v>0</v>
      </c>
      <c r="N1956" s="248">
        <v>1</v>
      </c>
      <c r="O1956" s="181">
        <f t="shared" si="14"/>
        <v>25</v>
      </c>
      <c r="P1956" s="247">
        <f t="shared" si="15"/>
        <v>25</v>
      </c>
    </row>
    <row r="1957" spans="1:16" ht="14.25">
      <c r="A1957" s="224">
        <v>1956</v>
      </c>
      <c r="B1957" s="248">
        <v>29283</v>
      </c>
      <c r="C1957" s="248" t="s">
        <v>5673</v>
      </c>
      <c r="D1957" s="248" t="s">
        <v>45</v>
      </c>
      <c r="E1957" s="248" t="s">
        <v>2860</v>
      </c>
      <c r="F1957" s="248" t="s">
        <v>5692</v>
      </c>
      <c r="G1957" s="248">
        <v>8</v>
      </c>
      <c r="H1957" s="248" t="s">
        <v>5693</v>
      </c>
      <c r="I1957" s="248">
        <v>82330</v>
      </c>
      <c r="J1957" s="250"/>
      <c r="K1957" s="248">
        <v>0</v>
      </c>
      <c r="L1957" s="248">
        <v>0</v>
      </c>
      <c r="M1957" s="248">
        <v>12.79</v>
      </c>
      <c r="N1957" s="248">
        <v>1</v>
      </c>
      <c r="O1957" s="181">
        <f t="shared" si="14"/>
        <v>-12.79</v>
      </c>
      <c r="P1957" s="247">
        <f t="shared" si="15"/>
        <v>-12.79</v>
      </c>
    </row>
    <row r="1958" spans="1:16" ht="14.25">
      <c r="A1958" s="224">
        <v>1957</v>
      </c>
      <c r="B1958" s="248">
        <v>29319</v>
      </c>
      <c r="C1958" s="248" t="s">
        <v>5694</v>
      </c>
      <c r="D1958" s="248" t="s">
        <v>2582</v>
      </c>
      <c r="E1958" s="248" t="s">
        <v>2860</v>
      </c>
      <c r="F1958" s="248" t="s">
        <v>5695</v>
      </c>
      <c r="G1958" s="248">
        <v>8</v>
      </c>
      <c r="H1958" s="248" t="s">
        <v>2557</v>
      </c>
      <c r="I1958" s="248">
        <v>82546</v>
      </c>
      <c r="J1958" s="250" t="s">
        <v>5696</v>
      </c>
      <c r="K1958" s="248">
        <v>71.72</v>
      </c>
      <c r="L1958" s="248">
        <v>0</v>
      </c>
      <c r="M1958" s="248">
        <v>0</v>
      </c>
      <c r="N1958" s="248">
        <v>7.1789300000000003</v>
      </c>
      <c r="O1958" s="181">
        <f t="shared" si="14"/>
        <v>71.72</v>
      </c>
      <c r="P1958" s="247">
        <f t="shared" si="15"/>
        <v>9.9903467508389134</v>
      </c>
    </row>
    <row r="1959" spans="1:16" ht="14.25">
      <c r="A1959" s="224">
        <v>1958</v>
      </c>
      <c r="B1959" s="248">
        <v>29014</v>
      </c>
      <c r="C1959" s="248" t="s">
        <v>5478</v>
      </c>
      <c r="D1959" s="248" t="s">
        <v>45</v>
      </c>
      <c r="E1959" s="248" t="s">
        <v>4772</v>
      </c>
      <c r="F1959" s="248" t="s">
        <v>5697</v>
      </c>
      <c r="G1959" s="248">
        <v>8</v>
      </c>
      <c r="H1959" s="248" t="s">
        <v>2557</v>
      </c>
      <c r="I1959" s="248">
        <v>82102</v>
      </c>
      <c r="J1959" s="250" t="s">
        <v>1508</v>
      </c>
      <c r="K1959" s="248">
        <v>20.69</v>
      </c>
      <c r="L1959" s="248">
        <v>0.6</v>
      </c>
      <c r="M1959" s="248">
        <v>0</v>
      </c>
      <c r="N1959" s="248">
        <v>1</v>
      </c>
      <c r="O1959" s="181">
        <f t="shared" si="14"/>
        <v>20.09</v>
      </c>
      <c r="P1959" s="247">
        <f t="shared" si="15"/>
        <v>20.09</v>
      </c>
    </row>
    <row r="1960" spans="1:16" ht="14.25">
      <c r="A1960" s="224">
        <v>1959</v>
      </c>
      <c r="B1960" s="248">
        <v>29319</v>
      </c>
      <c r="C1960" s="248" t="s">
        <v>5694</v>
      </c>
      <c r="D1960" s="248" t="s">
        <v>2582</v>
      </c>
      <c r="E1960" s="248" t="s">
        <v>2860</v>
      </c>
      <c r="F1960" s="248" t="s">
        <v>5698</v>
      </c>
      <c r="G1960" s="248">
        <v>8</v>
      </c>
      <c r="H1960" s="248" t="s">
        <v>2557</v>
      </c>
      <c r="I1960" s="248">
        <v>82546</v>
      </c>
      <c r="J1960" s="250"/>
      <c r="K1960" s="248">
        <v>0.01</v>
      </c>
      <c r="L1960" s="248">
        <v>0</v>
      </c>
      <c r="M1960" s="248">
        <v>0</v>
      </c>
      <c r="N1960" s="248">
        <v>7.1564500000000004</v>
      </c>
      <c r="O1960" s="181">
        <f t="shared" si="14"/>
        <v>0.01</v>
      </c>
      <c r="P1960" s="247">
        <f t="shared" si="15"/>
        <v>1.3973408603427677E-3</v>
      </c>
    </row>
    <row r="1961" spans="1:16" ht="14.25">
      <c r="A1961" s="224">
        <v>1960</v>
      </c>
      <c r="B1961" s="248">
        <v>18786</v>
      </c>
      <c r="C1961" s="248" t="s">
        <v>2898</v>
      </c>
      <c r="D1961" s="248" t="s">
        <v>45</v>
      </c>
      <c r="E1961" s="248" t="s">
        <v>2860</v>
      </c>
      <c r="F1961" s="248" t="s">
        <v>5699</v>
      </c>
      <c r="G1961" s="248">
        <v>8</v>
      </c>
      <c r="H1961" s="248" t="s">
        <v>2557</v>
      </c>
      <c r="I1961" s="248">
        <v>82630</v>
      </c>
      <c r="J1961" s="250" t="s">
        <v>5700</v>
      </c>
      <c r="K1961" s="248">
        <v>151.5</v>
      </c>
      <c r="L1961" s="248">
        <v>0</v>
      </c>
      <c r="M1961" s="248">
        <v>0</v>
      </c>
      <c r="N1961" s="248">
        <v>1</v>
      </c>
      <c r="O1961" s="181">
        <f t="shared" si="14"/>
        <v>151.5</v>
      </c>
      <c r="P1961" s="247">
        <f t="shared" si="15"/>
        <v>151.5</v>
      </c>
    </row>
    <row r="1962" spans="1:16" ht="14.25">
      <c r="A1962" s="224">
        <v>1961</v>
      </c>
      <c r="B1962" s="248">
        <v>29334</v>
      </c>
      <c r="C1962" s="248" t="s">
        <v>5701</v>
      </c>
      <c r="D1962" s="248" t="s">
        <v>2582</v>
      </c>
      <c r="E1962" s="248" t="s">
        <v>2860</v>
      </c>
      <c r="F1962" s="248" t="s">
        <v>5702</v>
      </c>
      <c r="G1962" s="248">
        <v>8</v>
      </c>
      <c r="H1962" s="248" t="s">
        <v>2557</v>
      </c>
      <c r="I1962" s="248">
        <v>82642</v>
      </c>
      <c r="J1962" s="250" t="s">
        <v>5703</v>
      </c>
      <c r="K1962" s="248">
        <v>136.47</v>
      </c>
      <c r="L1962" s="248">
        <v>0</v>
      </c>
      <c r="M1962" s="248">
        <v>0</v>
      </c>
      <c r="N1962" s="248">
        <v>7.1564500000000004</v>
      </c>
      <c r="O1962" s="181">
        <f t="shared" si="14"/>
        <v>136.47</v>
      </c>
      <c r="P1962" s="247">
        <f t="shared" si="15"/>
        <v>19.06951072109775</v>
      </c>
    </row>
    <row r="1963" spans="1:16" ht="14.25">
      <c r="A1963" s="224">
        <v>1962</v>
      </c>
      <c r="B1963" s="248">
        <v>29334</v>
      </c>
      <c r="C1963" s="248" t="s">
        <v>5701</v>
      </c>
      <c r="D1963" s="248" t="s">
        <v>2582</v>
      </c>
      <c r="E1963" s="248" t="s">
        <v>2860</v>
      </c>
      <c r="F1963" s="248" t="s">
        <v>5704</v>
      </c>
      <c r="G1963" s="248">
        <v>8</v>
      </c>
      <c r="H1963" s="248" t="s">
        <v>2557</v>
      </c>
      <c r="I1963" s="248">
        <v>82642</v>
      </c>
      <c r="J1963" s="250" t="s">
        <v>5703</v>
      </c>
      <c r="K1963" s="248">
        <v>136.47</v>
      </c>
      <c r="L1963" s="248">
        <v>0</v>
      </c>
      <c r="M1963" s="248">
        <v>0</v>
      </c>
      <c r="N1963" s="248">
        <v>7.1564500000000004</v>
      </c>
      <c r="O1963" s="181">
        <f t="shared" si="14"/>
        <v>136.47</v>
      </c>
      <c r="P1963" s="247">
        <f t="shared" si="15"/>
        <v>19.06951072109775</v>
      </c>
    </row>
    <row r="1964" spans="1:16" ht="14.25">
      <c r="A1964" s="224">
        <v>1963</v>
      </c>
      <c r="B1964" s="248">
        <v>29101</v>
      </c>
      <c r="C1964" s="248" t="s">
        <v>5495</v>
      </c>
      <c r="D1964" s="248" t="s">
        <v>2582</v>
      </c>
      <c r="E1964" s="248" t="s">
        <v>2860</v>
      </c>
      <c r="F1964" s="248" t="s">
        <v>5705</v>
      </c>
      <c r="G1964" s="248">
        <v>8</v>
      </c>
      <c r="H1964" s="248" t="s">
        <v>2557</v>
      </c>
      <c r="I1964" s="248">
        <v>82606</v>
      </c>
      <c r="J1964" s="250" t="s">
        <v>5706</v>
      </c>
      <c r="K1964" s="248">
        <v>83.95</v>
      </c>
      <c r="L1964" s="248">
        <v>0</v>
      </c>
      <c r="M1964" s="248">
        <v>0</v>
      </c>
      <c r="N1964" s="248">
        <v>7.1564500000000004</v>
      </c>
      <c r="O1964" s="181">
        <f t="shared" si="14"/>
        <v>83.95</v>
      </c>
      <c r="P1964" s="247">
        <f t="shared" si="15"/>
        <v>11.730676522577534</v>
      </c>
    </row>
    <row r="1965" spans="1:16" ht="14.25">
      <c r="A1965" s="224">
        <v>1964</v>
      </c>
      <c r="B1965" s="248">
        <v>1588</v>
      </c>
      <c r="C1965" s="248" t="s">
        <v>2594</v>
      </c>
      <c r="D1965" s="248" t="s">
        <v>45</v>
      </c>
      <c r="E1965" s="248" t="s">
        <v>2860</v>
      </c>
      <c r="F1965" s="248" t="s">
        <v>5707</v>
      </c>
      <c r="G1965" s="248">
        <v>8</v>
      </c>
      <c r="H1965" s="248" t="s">
        <v>2557</v>
      </c>
      <c r="I1965" s="248">
        <v>82654</v>
      </c>
      <c r="J1965" s="250" t="s">
        <v>5708</v>
      </c>
      <c r="K1965" s="248">
        <v>1</v>
      </c>
      <c r="L1965" s="248">
        <v>0</v>
      </c>
      <c r="M1965" s="248">
        <v>0</v>
      </c>
      <c r="N1965" s="248">
        <v>1</v>
      </c>
      <c r="O1965" s="181">
        <f t="shared" si="14"/>
        <v>1</v>
      </c>
      <c r="P1965" s="247">
        <f t="shared" si="15"/>
        <v>1</v>
      </c>
    </row>
    <row r="1966" spans="1:16" ht="14.25">
      <c r="A1966" s="224">
        <v>1965</v>
      </c>
      <c r="B1966" s="248">
        <v>18786</v>
      </c>
      <c r="C1966" s="248" t="s">
        <v>2898</v>
      </c>
      <c r="D1966" s="248" t="s">
        <v>45</v>
      </c>
      <c r="E1966" s="248" t="s">
        <v>2860</v>
      </c>
      <c r="F1966" s="248" t="s">
        <v>5709</v>
      </c>
      <c r="G1966" s="248">
        <v>8</v>
      </c>
      <c r="H1966" s="248" t="s">
        <v>2557</v>
      </c>
      <c r="I1966" s="248">
        <v>82666</v>
      </c>
      <c r="J1966" s="250" t="s">
        <v>5710</v>
      </c>
      <c r="K1966" s="248">
        <v>2.5</v>
      </c>
      <c r="L1966" s="248">
        <v>0</v>
      </c>
      <c r="M1966" s="248">
        <v>0</v>
      </c>
      <c r="N1966" s="248">
        <v>1</v>
      </c>
      <c r="O1966" s="181">
        <f t="shared" si="14"/>
        <v>2.5</v>
      </c>
      <c r="P1966" s="247">
        <f t="shared" si="15"/>
        <v>2.5</v>
      </c>
    </row>
    <row r="1967" spans="1:16" ht="14.25">
      <c r="A1967" s="224">
        <v>1966</v>
      </c>
      <c r="B1967" s="248">
        <v>6533</v>
      </c>
      <c r="C1967" s="248" t="s">
        <v>2569</v>
      </c>
      <c r="D1967" s="248" t="s">
        <v>45</v>
      </c>
      <c r="E1967" s="248" t="s">
        <v>2860</v>
      </c>
      <c r="F1967" s="248" t="s">
        <v>5711</v>
      </c>
      <c r="G1967" s="248">
        <v>8</v>
      </c>
      <c r="H1967" s="248" t="s">
        <v>2557</v>
      </c>
      <c r="I1967" s="248">
        <v>82690</v>
      </c>
      <c r="J1967" s="250" t="s">
        <v>5712</v>
      </c>
      <c r="K1967" s="248">
        <v>20.25</v>
      </c>
      <c r="L1967" s="248">
        <v>0</v>
      </c>
      <c r="M1967" s="248">
        <v>0</v>
      </c>
      <c r="N1967" s="248">
        <v>1</v>
      </c>
      <c r="O1967" s="181">
        <f t="shared" si="14"/>
        <v>20.25</v>
      </c>
      <c r="P1967" s="247">
        <f t="shared" si="15"/>
        <v>20.25</v>
      </c>
    </row>
    <row r="1968" spans="1:16" ht="14.25">
      <c r="A1968" s="224">
        <v>1967</v>
      </c>
      <c r="B1968" s="248">
        <v>28667</v>
      </c>
      <c r="C1968" s="248" t="s">
        <v>5199</v>
      </c>
      <c r="D1968" s="248" t="s">
        <v>2582</v>
      </c>
      <c r="E1968" s="248" t="s">
        <v>2874</v>
      </c>
      <c r="F1968" s="248" t="s">
        <v>5713</v>
      </c>
      <c r="G1968" s="248">
        <v>8</v>
      </c>
      <c r="H1968" s="248" t="s">
        <v>2557</v>
      </c>
      <c r="I1968" s="248">
        <v>82678</v>
      </c>
      <c r="J1968" s="250" t="s">
        <v>5714</v>
      </c>
      <c r="K1968" s="248">
        <v>2680</v>
      </c>
      <c r="L1968" s="248">
        <v>0</v>
      </c>
      <c r="M1968" s="248">
        <v>0</v>
      </c>
      <c r="N1968" s="248">
        <v>7.1564500000000004</v>
      </c>
      <c r="O1968" s="181">
        <f t="shared" si="14"/>
        <v>2680</v>
      </c>
      <c r="P1968" s="247">
        <f t="shared" si="15"/>
        <v>374.48735057186173</v>
      </c>
    </row>
    <row r="1969" spans="1:16" ht="14.25">
      <c r="A1969" s="224">
        <v>1968</v>
      </c>
      <c r="B1969" s="248">
        <v>21228</v>
      </c>
      <c r="C1969" s="248" t="s">
        <v>3637</v>
      </c>
      <c r="D1969" s="248" t="s">
        <v>45</v>
      </c>
      <c r="E1969" s="248" t="s">
        <v>2860</v>
      </c>
      <c r="F1969" s="248" t="s">
        <v>5715</v>
      </c>
      <c r="G1969" s="248">
        <v>8</v>
      </c>
      <c r="H1969" s="248" t="s">
        <v>5716</v>
      </c>
      <c r="I1969" s="248">
        <v>75814</v>
      </c>
      <c r="J1969" s="250"/>
      <c r="K1969" s="248">
        <v>0</v>
      </c>
      <c r="L1969" s="248">
        <v>0</v>
      </c>
      <c r="M1969" s="248">
        <v>40</v>
      </c>
      <c r="N1969" s="248">
        <v>1</v>
      </c>
      <c r="O1969" s="181">
        <f t="shared" si="14"/>
        <v>-40</v>
      </c>
      <c r="P1969" s="247">
        <f t="shared" si="15"/>
        <v>-40</v>
      </c>
    </row>
    <row r="1970" spans="1:16" ht="14.25">
      <c r="A1970" s="224">
        <v>1969</v>
      </c>
      <c r="B1970" s="248">
        <v>22706</v>
      </c>
      <c r="C1970" s="248" t="s">
        <v>3915</v>
      </c>
      <c r="D1970" s="248" t="s">
        <v>45</v>
      </c>
      <c r="E1970" s="248" t="s">
        <v>2860</v>
      </c>
      <c r="F1970" s="248" t="s">
        <v>5717</v>
      </c>
      <c r="G1970" s="248">
        <v>8</v>
      </c>
      <c r="H1970" s="248" t="s">
        <v>2557</v>
      </c>
      <c r="I1970" s="248">
        <v>75322</v>
      </c>
      <c r="J1970" s="250" t="s">
        <v>5718</v>
      </c>
      <c r="K1970" s="248">
        <v>1.99</v>
      </c>
      <c r="L1970" s="248">
        <v>0</v>
      </c>
      <c r="M1970" s="248">
        <v>0</v>
      </c>
      <c r="N1970" s="248">
        <v>1</v>
      </c>
      <c r="O1970" s="181">
        <f t="shared" si="14"/>
        <v>1.99</v>
      </c>
      <c r="P1970" s="247">
        <f t="shared" si="15"/>
        <v>1.99</v>
      </c>
    </row>
    <row r="1971" spans="1:16" ht="14.25">
      <c r="A1971" s="224">
        <v>1970</v>
      </c>
      <c r="B1971" s="248">
        <v>28988</v>
      </c>
      <c r="C1971" s="248" t="s">
        <v>5376</v>
      </c>
      <c r="D1971" s="248" t="s">
        <v>45</v>
      </c>
      <c r="E1971" s="248" t="s">
        <v>9</v>
      </c>
      <c r="F1971" s="248" t="s">
        <v>5719</v>
      </c>
      <c r="G1971" s="248">
        <v>8</v>
      </c>
      <c r="H1971" s="248" t="s">
        <v>2557</v>
      </c>
      <c r="I1971" s="248">
        <v>80614</v>
      </c>
      <c r="J1971" s="250" t="s">
        <v>639</v>
      </c>
      <c r="K1971" s="248">
        <v>9.49</v>
      </c>
      <c r="L1971" s="248">
        <v>0.96</v>
      </c>
      <c r="M1971" s="248">
        <v>0</v>
      </c>
      <c r="N1971" s="248">
        <v>1</v>
      </c>
      <c r="O1971" s="181">
        <f t="shared" si="14"/>
        <v>8.5300000000000011</v>
      </c>
      <c r="P1971" s="247">
        <f t="shared" si="15"/>
        <v>8.5300000000000011</v>
      </c>
    </row>
    <row r="1972" spans="1:16" ht="14.25">
      <c r="A1972" s="224">
        <v>1971</v>
      </c>
      <c r="B1972" s="248">
        <v>29350</v>
      </c>
      <c r="C1972" s="248" t="s">
        <v>5720</v>
      </c>
      <c r="D1972" s="248" t="s">
        <v>2582</v>
      </c>
      <c r="E1972" s="248" t="s">
        <v>2860</v>
      </c>
      <c r="F1972" s="248" t="s">
        <v>5721</v>
      </c>
      <c r="G1972" s="248">
        <v>8</v>
      </c>
      <c r="H1972" s="248" t="s">
        <v>2557</v>
      </c>
      <c r="I1972" s="248">
        <v>82822</v>
      </c>
      <c r="J1972" s="250" t="s">
        <v>5722</v>
      </c>
      <c r="K1972" s="248">
        <v>121.6</v>
      </c>
      <c r="L1972" s="248">
        <v>0</v>
      </c>
      <c r="M1972" s="248">
        <v>0</v>
      </c>
      <c r="N1972" s="248">
        <v>7.1574299999999997</v>
      </c>
      <c r="O1972" s="181">
        <f t="shared" si="14"/>
        <v>121.6</v>
      </c>
      <c r="P1972" s="247">
        <f t="shared" si="15"/>
        <v>16.989338351894464</v>
      </c>
    </row>
    <row r="1973" spans="1:16" ht="14.25">
      <c r="A1973" s="224">
        <v>1972</v>
      </c>
      <c r="B1973" s="248">
        <v>28960</v>
      </c>
      <c r="C1973" s="248" t="s">
        <v>5380</v>
      </c>
      <c r="D1973" s="248" t="s">
        <v>2582</v>
      </c>
      <c r="E1973" s="248" t="s">
        <v>2860</v>
      </c>
      <c r="F1973" s="248" t="s">
        <v>5723</v>
      </c>
      <c r="G1973" s="248">
        <v>8</v>
      </c>
      <c r="H1973" s="248" t="s">
        <v>2557</v>
      </c>
      <c r="I1973" s="248">
        <v>82834</v>
      </c>
      <c r="J1973" s="250" t="s">
        <v>5724</v>
      </c>
      <c r="K1973" s="248">
        <v>608.30999999999995</v>
      </c>
      <c r="L1973" s="248">
        <v>0</v>
      </c>
      <c r="M1973" s="248">
        <v>0</v>
      </c>
      <c r="N1973" s="248">
        <v>7.1574299999999997</v>
      </c>
      <c r="O1973" s="181">
        <f t="shared" si="14"/>
        <v>608.30999999999995</v>
      </c>
      <c r="P1973" s="247">
        <f t="shared" si="15"/>
        <v>84.990003395073373</v>
      </c>
    </row>
    <row r="1974" spans="1:16" ht="14.25">
      <c r="A1974" s="224">
        <v>1973</v>
      </c>
      <c r="B1974" s="248">
        <v>28960</v>
      </c>
      <c r="C1974" s="248" t="s">
        <v>5380</v>
      </c>
      <c r="D1974" s="248" t="s">
        <v>2582</v>
      </c>
      <c r="E1974" s="248" t="s">
        <v>2860</v>
      </c>
      <c r="F1974" s="248" t="s">
        <v>5725</v>
      </c>
      <c r="G1974" s="248">
        <v>8</v>
      </c>
      <c r="H1974" s="248" t="s">
        <v>2557</v>
      </c>
      <c r="I1974" s="248">
        <v>82834</v>
      </c>
      <c r="J1974" s="250"/>
      <c r="K1974" s="248">
        <v>0.01</v>
      </c>
      <c r="L1974" s="248">
        <v>0</v>
      </c>
      <c r="M1974" s="248">
        <v>0</v>
      </c>
      <c r="N1974" s="248">
        <v>7.1574299999999997</v>
      </c>
      <c r="O1974" s="181">
        <f t="shared" si="14"/>
        <v>0.01</v>
      </c>
      <c r="P1974" s="247">
        <f t="shared" si="15"/>
        <v>1.3971495355176371E-3</v>
      </c>
    </row>
    <row r="1975" spans="1:16" ht="14.25">
      <c r="A1975" s="224">
        <v>1974</v>
      </c>
      <c r="B1975" s="248">
        <v>7093</v>
      </c>
      <c r="C1975" s="248" t="s">
        <v>2643</v>
      </c>
      <c r="D1975" s="248" t="s">
        <v>45</v>
      </c>
      <c r="E1975" s="248" t="s">
        <v>2860</v>
      </c>
      <c r="F1975" s="248" t="s">
        <v>5726</v>
      </c>
      <c r="G1975" s="248">
        <v>8</v>
      </c>
      <c r="H1975" s="248" t="s">
        <v>2557</v>
      </c>
      <c r="I1975" s="248">
        <v>82714</v>
      </c>
      <c r="J1975" s="250" t="s">
        <v>5727</v>
      </c>
      <c r="K1975" s="248">
        <v>6</v>
      </c>
      <c r="L1975" s="248">
        <v>0</v>
      </c>
      <c r="M1975" s="248">
        <v>0</v>
      </c>
      <c r="N1975" s="248">
        <v>1</v>
      </c>
      <c r="O1975" s="181">
        <f t="shared" si="14"/>
        <v>6</v>
      </c>
      <c r="P1975" s="247">
        <f t="shared" si="15"/>
        <v>6</v>
      </c>
    </row>
    <row r="1976" spans="1:16" ht="14.25">
      <c r="A1976" s="224">
        <v>1975</v>
      </c>
      <c r="B1976" s="248">
        <v>29358</v>
      </c>
      <c r="C1976" s="248" t="s">
        <v>5728</v>
      </c>
      <c r="D1976" s="248" t="s">
        <v>45</v>
      </c>
      <c r="E1976" s="248" t="s">
        <v>2860</v>
      </c>
      <c r="F1976" s="248" t="s">
        <v>5729</v>
      </c>
      <c r="G1976" s="248">
        <v>8</v>
      </c>
      <c r="H1976" s="248" t="s">
        <v>2557</v>
      </c>
      <c r="I1976" s="248">
        <v>82846</v>
      </c>
      <c r="J1976" s="250" t="s">
        <v>5730</v>
      </c>
      <c r="K1976" s="248">
        <v>5.49</v>
      </c>
      <c r="L1976" s="248">
        <v>0</v>
      </c>
      <c r="M1976" s="248">
        <v>0</v>
      </c>
      <c r="N1976" s="248">
        <v>1</v>
      </c>
      <c r="O1976" s="181">
        <f t="shared" si="14"/>
        <v>5.49</v>
      </c>
      <c r="P1976" s="247">
        <f t="shared" si="15"/>
        <v>5.49</v>
      </c>
    </row>
    <row r="1977" spans="1:16" ht="14.25">
      <c r="A1977" s="224">
        <v>1976</v>
      </c>
      <c r="B1977" s="248">
        <v>29363</v>
      </c>
      <c r="C1977" s="251">
        <v>45658</v>
      </c>
      <c r="D1977" s="248" t="s">
        <v>2582</v>
      </c>
      <c r="E1977" s="248" t="s">
        <v>2860</v>
      </c>
      <c r="F1977" s="248" t="s">
        <v>5731</v>
      </c>
      <c r="G1977" s="248">
        <v>8</v>
      </c>
      <c r="H1977" s="248" t="s">
        <v>2557</v>
      </c>
      <c r="I1977" s="248">
        <v>82954</v>
      </c>
      <c r="J1977" s="250" t="s">
        <v>5732</v>
      </c>
      <c r="K1977" s="248">
        <v>164.65</v>
      </c>
      <c r="L1977" s="248">
        <v>0</v>
      </c>
      <c r="M1977" s="248">
        <v>0</v>
      </c>
      <c r="N1977" s="248">
        <v>7.1618199999999996</v>
      </c>
      <c r="O1977" s="181">
        <f t="shared" si="14"/>
        <v>164.65</v>
      </c>
      <c r="P1977" s="247">
        <f t="shared" si="15"/>
        <v>22.989966237632334</v>
      </c>
    </row>
    <row r="1978" spans="1:16" ht="14.25">
      <c r="A1978" s="224">
        <v>1977</v>
      </c>
      <c r="B1978" s="248">
        <v>29364</v>
      </c>
      <c r="C1978" s="248" t="s">
        <v>5733</v>
      </c>
      <c r="D1978" s="248" t="s">
        <v>2582</v>
      </c>
      <c r="E1978" s="248" t="s">
        <v>2860</v>
      </c>
      <c r="F1978" s="248" t="s">
        <v>5734</v>
      </c>
      <c r="G1978" s="248">
        <v>8</v>
      </c>
      <c r="H1978" s="248" t="s">
        <v>2557</v>
      </c>
      <c r="I1978" s="248">
        <v>82966</v>
      </c>
      <c r="J1978" s="250" t="s">
        <v>5735</v>
      </c>
      <c r="K1978" s="248">
        <v>93.03</v>
      </c>
      <c r="L1978" s="248">
        <v>0</v>
      </c>
      <c r="M1978" s="248">
        <v>0</v>
      </c>
      <c r="N1978" s="248">
        <v>7.1618199999999996</v>
      </c>
      <c r="O1978" s="181">
        <f t="shared" si="14"/>
        <v>93.03</v>
      </c>
      <c r="P1978" s="247">
        <f t="shared" si="15"/>
        <v>12.989714904870551</v>
      </c>
    </row>
    <row r="1979" spans="1:16" ht="14.25">
      <c r="A1979" s="224">
        <v>1978</v>
      </c>
      <c r="B1979" s="248">
        <v>29364</v>
      </c>
      <c r="C1979" s="248" t="s">
        <v>5733</v>
      </c>
      <c r="D1979" s="248" t="s">
        <v>2582</v>
      </c>
      <c r="E1979" s="248" t="s">
        <v>2860</v>
      </c>
      <c r="F1979" s="248" t="s">
        <v>5736</v>
      </c>
      <c r="G1979" s="248">
        <v>8</v>
      </c>
      <c r="H1979" s="248" t="s">
        <v>2557</v>
      </c>
      <c r="I1979" s="248">
        <v>82978</v>
      </c>
      <c r="J1979" s="250" t="s">
        <v>5737</v>
      </c>
      <c r="K1979" s="248">
        <v>136</v>
      </c>
      <c r="L1979" s="248">
        <v>0</v>
      </c>
      <c r="M1979" s="248">
        <v>0</v>
      </c>
      <c r="N1979" s="248">
        <v>7.1618199999999996</v>
      </c>
      <c r="O1979" s="181">
        <f t="shared" si="14"/>
        <v>136</v>
      </c>
      <c r="P1979" s="247">
        <f t="shared" si="15"/>
        <v>18.989586445903416</v>
      </c>
    </row>
    <row r="1980" spans="1:16" ht="14.25">
      <c r="A1980" s="224">
        <v>1979</v>
      </c>
      <c r="B1980" s="248">
        <v>29080</v>
      </c>
      <c r="C1980" s="248" t="s">
        <v>5467</v>
      </c>
      <c r="D1980" s="248" t="s">
        <v>45</v>
      </c>
      <c r="E1980" s="248" t="s">
        <v>2860</v>
      </c>
      <c r="F1980" s="248" t="s">
        <v>5738</v>
      </c>
      <c r="G1980" s="248">
        <v>8</v>
      </c>
      <c r="H1980" s="248" t="s">
        <v>2557</v>
      </c>
      <c r="I1980" s="248">
        <v>82018</v>
      </c>
      <c r="J1980" s="250" t="s">
        <v>5739</v>
      </c>
      <c r="K1980" s="248">
        <v>16.989999999999998</v>
      </c>
      <c r="L1980" s="248">
        <v>0</v>
      </c>
      <c r="M1980" s="248">
        <v>0</v>
      </c>
      <c r="N1980" s="248">
        <v>1</v>
      </c>
      <c r="O1980" s="181">
        <f t="shared" si="14"/>
        <v>16.989999999999998</v>
      </c>
      <c r="P1980" s="247">
        <f t="shared" si="15"/>
        <v>16.989999999999998</v>
      </c>
    </row>
    <row r="1981" spans="1:16" ht="14.25">
      <c r="A1981" s="224">
        <v>1980</v>
      </c>
      <c r="B1981" s="248">
        <v>3747</v>
      </c>
      <c r="C1981" s="248" t="s">
        <v>4039</v>
      </c>
      <c r="D1981" s="248" t="s">
        <v>2582</v>
      </c>
      <c r="E1981" s="248" t="s">
        <v>9</v>
      </c>
      <c r="F1981" s="248" t="s">
        <v>5740</v>
      </c>
      <c r="G1981" s="248">
        <v>8</v>
      </c>
      <c r="H1981" s="248" t="s">
        <v>2557</v>
      </c>
      <c r="I1981" s="248">
        <v>81478</v>
      </c>
      <c r="J1981" s="250" t="s">
        <v>641</v>
      </c>
      <c r="K1981" s="248">
        <v>52.07</v>
      </c>
      <c r="L1981" s="248">
        <v>5.3</v>
      </c>
      <c r="M1981" s="248">
        <v>0</v>
      </c>
      <c r="N1981" s="248">
        <v>7.1618199999999996</v>
      </c>
      <c r="O1981" s="181">
        <f t="shared" si="14"/>
        <v>46.77</v>
      </c>
      <c r="P1981" s="247">
        <f t="shared" si="15"/>
        <v>6.5304629270213441</v>
      </c>
    </row>
    <row r="1982" spans="1:16" ht="14.25">
      <c r="A1982" s="224">
        <v>1981</v>
      </c>
      <c r="B1982" s="248">
        <v>25464</v>
      </c>
      <c r="C1982" s="248" t="s">
        <v>4628</v>
      </c>
      <c r="D1982" s="248" t="s">
        <v>2582</v>
      </c>
      <c r="E1982" s="248" t="s">
        <v>2860</v>
      </c>
      <c r="F1982" s="248" t="s">
        <v>5741</v>
      </c>
      <c r="G1982" s="248">
        <v>8</v>
      </c>
      <c r="H1982" s="248" t="s">
        <v>2557</v>
      </c>
      <c r="I1982" s="248">
        <v>81034</v>
      </c>
      <c r="J1982" s="250" t="s">
        <v>5742</v>
      </c>
      <c r="K1982" s="248">
        <v>265.99</v>
      </c>
      <c r="L1982" s="248">
        <v>0</v>
      </c>
      <c r="M1982" s="248">
        <v>0</v>
      </c>
      <c r="N1982" s="248">
        <v>7.1618199999999996</v>
      </c>
      <c r="O1982" s="181">
        <f t="shared" si="14"/>
        <v>265.99</v>
      </c>
      <c r="P1982" s="247">
        <f t="shared" si="15"/>
        <v>37.140000726072429</v>
      </c>
    </row>
    <row r="1983" spans="1:16" ht="14.25">
      <c r="A1983" s="224">
        <v>1982</v>
      </c>
      <c r="B1983" s="248">
        <v>27903</v>
      </c>
      <c r="C1983" s="248" t="s">
        <v>5168</v>
      </c>
      <c r="D1983" s="248" t="s">
        <v>45</v>
      </c>
      <c r="E1983" s="248" t="s">
        <v>2874</v>
      </c>
      <c r="F1983" s="248" t="s">
        <v>5743</v>
      </c>
      <c r="G1983" s="248">
        <v>8</v>
      </c>
      <c r="H1983" s="248" t="s">
        <v>2557</v>
      </c>
      <c r="I1983" s="248">
        <v>82078</v>
      </c>
      <c r="J1983" s="250" t="s">
        <v>5744</v>
      </c>
      <c r="K1983" s="248">
        <v>27.86</v>
      </c>
      <c r="L1983" s="248">
        <v>0</v>
      </c>
      <c r="M1983" s="248">
        <v>0</v>
      </c>
      <c r="N1983" s="248">
        <v>1</v>
      </c>
      <c r="O1983" s="181">
        <f t="shared" si="14"/>
        <v>27.86</v>
      </c>
      <c r="P1983" s="247">
        <f t="shared" si="15"/>
        <v>27.86</v>
      </c>
    </row>
    <row r="1984" spans="1:16" ht="14.25">
      <c r="A1984" s="224">
        <v>1983</v>
      </c>
      <c r="B1984" s="248">
        <v>1560</v>
      </c>
      <c r="C1984" s="248" t="s">
        <v>2630</v>
      </c>
      <c r="D1984" s="248" t="s">
        <v>45</v>
      </c>
      <c r="E1984" s="248" t="s">
        <v>2860</v>
      </c>
      <c r="F1984" s="248" t="s">
        <v>5745</v>
      </c>
      <c r="G1984" s="248">
        <v>8</v>
      </c>
      <c r="H1984" s="248" t="s">
        <v>2557</v>
      </c>
      <c r="I1984" s="248">
        <v>82366</v>
      </c>
      <c r="J1984" s="250" t="s">
        <v>5746</v>
      </c>
      <c r="K1984" s="248">
        <v>8.9700000000000006</v>
      </c>
      <c r="L1984" s="248">
        <v>0</v>
      </c>
      <c r="M1984" s="248">
        <v>0</v>
      </c>
      <c r="N1984" s="248">
        <v>1</v>
      </c>
      <c r="O1984" s="181">
        <f t="shared" si="14"/>
        <v>8.9700000000000006</v>
      </c>
      <c r="P1984" s="247">
        <f t="shared" si="15"/>
        <v>8.9700000000000006</v>
      </c>
    </row>
    <row r="1985" spans="1:16" ht="14.25">
      <c r="A1985" s="224">
        <v>1984</v>
      </c>
      <c r="B1985" s="248">
        <v>18946</v>
      </c>
      <c r="C1985" s="248" t="s">
        <v>3070</v>
      </c>
      <c r="D1985" s="248" t="s">
        <v>2582</v>
      </c>
      <c r="E1985" s="248" t="s">
        <v>9</v>
      </c>
      <c r="F1985" s="248" t="s">
        <v>5747</v>
      </c>
      <c r="G1985" s="248">
        <v>8</v>
      </c>
      <c r="H1985" s="248" t="s">
        <v>2557</v>
      </c>
      <c r="I1985" s="248">
        <v>81430</v>
      </c>
      <c r="J1985" s="250" t="s">
        <v>642</v>
      </c>
      <c r="K1985" s="248">
        <v>8.66</v>
      </c>
      <c r="L1985" s="248">
        <v>3.92</v>
      </c>
      <c r="M1985" s="248">
        <v>0</v>
      </c>
      <c r="N1985" s="248">
        <v>7.1313800000000001</v>
      </c>
      <c r="O1985" s="181">
        <f t="shared" si="14"/>
        <v>4.74</v>
      </c>
      <c r="P1985" s="247">
        <f t="shared" si="15"/>
        <v>0.66466798852396036</v>
      </c>
    </row>
    <row r="1986" spans="1:16" ht="14.25">
      <c r="A1986" s="224">
        <v>1985</v>
      </c>
      <c r="B1986" s="248">
        <v>22305</v>
      </c>
      <c r="C1986" s="248" t="s">
        <v>3880</v>
      </c>
      <c r="D1986" s="248" t="s">
        <v>2582</v>
      </c>
      <c r="E1986" s="248" t="s">
        <v>2860</v>
      </c>
      <c r="F1986" s="248" t="s">
        <v>5748</v>
      </c>
      <c r="G1986" s="248">
        <v>8</v>
      </c>
      <c r="H1986" s="248" t="s">
        <v>2557</v>
      </c>
      <c r="I1986" s="248">
        <v>83122</v>
      </c>
      <c r="J1986" s="250" t="s">
        <v>5749</v>
      </c>
      <c r="K1986" s="248">
        <v>92.64</v>
      </c>
      <c r="L1986" s="248">
        <v>0</v>
      </c>
      <c r="M1986" s="248">
        <v>0</v>
      </c>
      <c r="N1986" s="248">
        <v>7.1313800000000001</v>
      </c>
      <c r="O1986" s="181">
        <f t="shared" si="14"/>
        <v>92.64</v>
      </c>
      <c r="P1986" s="247">
        <f t="shared" si="15"/>
        <v>12.990473092164489</v>
      </c>
    </row>
    <row r="1987" spans="1:16" ht="14.25">
      <c r="A1987" s="224">
        <v>1986</v>
      </c>
      <c r="B1987" s="248">
        <v>29387</v>
      </c>
      <c r="C1987" s="248" t="s">
        <v>5750</v>
      </c>
      <c r="D1987" s="248" t="s">
        <v>2582</v>
      </c>
      <c r="E1987" s="248" t="s">
        <v>2860</v>
      </c>
      <c r="F1987" s="248" t="s">
        <v>5751</v>
      </c>
      <c r="G1987" s="248">
        <v>8</v>
      </c>
      <c r="H1987" s="248" t="s">
        <v>2557</v>
      </c>
      <c r="I1987" s="248">
        <v>83134</v>
      </c>
      <c r="J1987" s="250" t="s">
        <v>5752</v>
      </c>
      <c r="K1987" s="248">
        <v>17.760000000000002</v>
      </c>
      <c r="L1987" s="248">
        <v>0</v>
      </c>
      <c r="M1987" s="248">
        <v>0</v>
      </c>
      <c r="N1987" s="248">
        <v>7.1313800000000001</v>
      </c>
      <c r="O1987" s="181">
        <f t="shared" si="14"/>
        <v>17.760000000000002</v>
      </c>
      <c r="P1987" s="247">
        <f t="shared" si="15"/>
        <v>2.4904015772543326</v>
      </c>
    </row>
    <row r="1988" spans="1:16" ht="14.25">
      <c r="A1988" s="224">
        <v>1987</v>
      </c>
      <c r="B1988" s="248">
        <v>5083</v>
      </c>
      <c r="C1988" s="248" t="s">
        <v>5753</v>
      </c>
      <c r="D1988" s="248" t="s">
        <v>45</v>
      </c>
      <c r="E1988" s="248" t="s">
        <v>9</v>
      </c>
      <c r="F1988" s="248" t="s">
        <v>5754</v>
      </c>
      <c r="G1988" s="248">
        <v>8</v>
      </c>
      <c r="H1988" s="248" t="s">
        <v>2557</v>
      </c>
      <c r="I1988" s="248">
        <v>83146</v>
      </c>
      <c r="J1988" s="250" t="s">
        <v>644</v>
      </c>
      <c r="K1988" s="248">
        <v>8.4</v>
      </c>
      <c r="L1988" s="248">
        <v>0.78</v>
      </c>
      <c r="M1988" s="248">
        <v>0</v>
      </c>
      <c r="N1988" s="248">
        <v>1</v>
      </c>
      <c r="O1988" s="181">
        <f t="shared" si="14"/>
        <v>7.62</v>
      </c>
      <c r="P1988" s="247">
        <f t="shared" si="15"/>
        <v>7.62</v>
      </c>
    </row>
    <row r="1989" spans="1:16" ht="14.25">
      <c r="A1989" s="224">
        <v>1988</v>
      </c>
      <c r="B1989" s="248">
        <v>3747</v>
      </c>
      <c r="C1989" s="248" t="s">
        <v>4039</v>
      </c>
      <c r="D1989" s="248" t="s">
        <v>2582</v>
      </c>
      <c r="E1989" s="248" t="s">
        <v>9</v>
      </c>
      <c r="F1989" s="248" t="s">
        <v>5755</v>
      </c>
      <c r="G1989" s="248">
        <v>8</v>
      </c>
      <c r="H1989" s="248" t="s">
        <v>2557</v>
      </c>
      <c r="I1989" s="248">
        <v>81478</v>
      </c>
      <c r="J1989" s="250" t="s">
        <v>645</v>
      </c>
      <c r="K1989" s="248">
        <v>51.85</v>
      </c>
      <c r="L1989" s="248">
        <v>5.28</v>
      </c>
      <c r="M1989" s="248">
        <v>0</v>
      </c>
      <c r="N1989" s="248">
        <v>7.1313800000000001</v>
      </c>
      <c r="O1989" s="181">
        <f t="shared" si="14"/>
        <v>46.57</v>
      </c>
      <c r="P1989" s="247">
        <f t="shared" si="15"/>
        <v>6.5302928745908924</v>
      </c>
    </row>
    <row r="1990" spans="1:16" ht="14.25">
      <c r="A1990" s="224">
        <v>1989</v>
      </c>
      <c r="B1990" s="248">
        <v>25274</v>
      </c>
      <c r="C1990" s="248" t="s">
        <v>4573</v>
      </c>
      <c r="D1990" s="248" t="s">
        <v>2582</v>
      </c>
      <c r="E1990" s="248" t="s">
        <v>2860</v>
      </c>
      <c r="F1990" s="248" t="s">
        <v>5756</v>
      </c>
      <c r="G1990" s="248">
        <v>8</v>
      </c>
      <c r="H1990" s="248" t="s">
        <v>2557</v>
      </c>
      <c r="I1990" s="248">
        <v>81262</v>
      </c>
      <c r="J1990" s="250" t="s">
        <v>5757</v>
      </c>
      <c r="K1990" s="248">
        <v>215.01</v>
      </c>
      <c r="L1990" s="248">
        <v>0</v>
      </c>
      <c r="M1990" s="248">
        <v>0</v>
      </c>
      <c r="N1990" s="248">
        <v>7.1313800000000001</v>
      </c>
      <c r="O1990" s="181">
        <f t="shared" si="14"/>
        <v>215.01</v>
      </c>
      <c r="P1990" s="247">
        <f t="shared" si="15"/>
        <v>30.149844770577364</v>
      </c>
    </row>
    <row r="1991" spans="1:16" ht="14.25">
      <c r="A1991" s="224">
        <v>1990</v>
      </c>
      <c r="B1991" s="248">
        <v>3309</v>
      </c>
      <c r="C1991" s="248" t="s">
        <v>2722</v>
      </c>
      <c r="D1991" s="248" t="s">
        <v>45</v>
      </c>
      <c r="E1991" s="248" t="s">
        <v>2860</v>
      </c>
      <c r="F1991" s="248" t="s">
        <v>5758</v>
      </c>
      <c r="G1991" s="248">
        <v>8</v>
      </c>
      <c r="H1991" s="248" t="s">
        <v>2557</v>
      </c>
      <c r="I1991" s="248">
        <v>82186</v>
      </c>
      <c r="J1991" s="250" t="s">
        <v>5759</v>
      </c>
      <c r="K1991" s="248">
        <v>59.99</v>
      </c>
      <c r="L1991" s="248">
        <v>0</v>
      </c>
      <c r="M1991" s="248">
        <v>0</v>
      </c>
      <c r="N1991" s="248">
        <v>1</v>
      </c>
      <c r="O1991" s="181">
        <f t="shared" si="14"/>
        <v>59.99</v>
      </c>
      <c r="P1991" s="247">
        <f t="shared" si="15"/>
        <v>59.99</v>
      </c>
    </row>
    <row r="1992" spans="1:16" ht="14.25">
      <c r="A1992" s="224">
        <v>1991</v>
      </c>
      <c r="B1992" s="248">
        <v>26089</v>
      </c>
      <c r="C1992" s="248" t="s">
        <v>4759</v>
      </c>
      <c r="D1992" s="248" t="s">
        <v>2582</v>
      </c>
      <c r="E1992" s="248" t="s">
        <v>4772</v>
      </c>
      <c r="F1992" s="248" t="s">
        <v>5760</v>
      </c>
      <c r="G1992" s="248">
        <v>8</v>
      </c>
      <c r="H1992" s="248" t="s">
        <v>2557</v>
      </c>
      <c r="I1992" s="248">
        <v>81670</v>
      </c>
      <c r="J1992" s="250" t="s">
        <v>1512</v>
      </c>
      <c r="K1992" s="248">
        <v>393.84</v>
      </c>
      <c r="L1992" s="248">
        <v>1.61</v>
      </c>
      <c r="M1992" s="248">
        <v>0</v>
      </c>
      <c r="N1992" s="248">
        <v>7.1313800000000001</v>
      </c>
      <c r="O1992" s="181">
        <f t="shared" si="14"/>
        <v>392.22999999999996</v>
      </c>
      <c r="P1992" s="247">
        <f t="shared" si="15"/>
        <v>55.000574923787539</v>
      </c>
    </row>
    <row r="1993" spans="1:16" ht="14.25">
      <c r="A1993" s="224">
        <v>1992</v>
      </c>
      <c r="B1993" s="248">
        <v>27977</v>
      </c>
      <c r="C1993" s="248" t="s">
        <v>5012</v>
      </c>
      <c r="D1993" s="248" t="s">
        <v>45</v>
      </c>
      <c r="E1993" s="248" t="s">
        <v>2860</v>
      </c>
      <c r="F1993" s="248" t="s">
        <v>5761</v>
      </c>
      <c r="G1993" s="248">
        <v>8</v>
      </c>
      <c r="H1993" s="248" t="s">
        <v>2557</v>
      </c>
      <c r="I1993" s="248">
        <v>79102</v>
      </c>
      <c r="J1993" s="250" t="s">
        <v>5762</v>
      </c>
      <c r="K1993" s="248">
        <v>99.99</v>
      </c>
      <c r="L1993" s="248">
        <v>0</v>
      </c>
      <c r="M1993" s="248">
        <v>0</v>
      </c>
      <c r="N1993" s="248">
        <v>1</v>
      </c>
      <c r="O1993" s="181">
        <f t="shared" si="14"/>
        <v>99.99</v>
      </c>
      <c r="P1993" s="247">
        <f t="shared" si="15"/>
        <v>99.99</v>
      </c>
    </row>
    <row r="1994" spans="1:16" ht="14.25">
      <c r="A1994" s="224">
        <v>1993</v>
      </c>
      <c r="B1994" s="248">
        <v>6794</v>
      </c>
      <c r="C1994" s="248" t="s">
        <v>2623</v>
      </c>
      <c r="D1994" s="248" t="s">
        <v>45</v>
      </c>
      <c r="E1994" s="248" t="s">
        <v>2874</v>
      </c>
      <c r="F1994" s="248" t="s">
        <v>5763</v>
      </c>
      <c r="G1994" s="248">
        <v>8</v>
      </c>
      <c r="H1994" s="248" t="s">
        <v>2557</v>
      </c>
      <c r="I1994" s="248">
        <v>83206</v>
      </c>
      <c r="J1994" s="250"/>
      <c r="K1994" s="248">
        <v>4240</v>
      </c>
      <c r="L1994" s="248">
        <v>0</v>
      </c>
      <c r="M1994" s="248">
        <v>0</v>
      </c>
      <c r="N1994" s="248">
        <v>1</v>
      </c>
      <c r="O1994" s="181">
        <f t="shared" si="14"/>
        <v>4240</v>
      </c>
      <c r="P1994" s="247">
        <f t="shared" si="15"/>
        <v>4240</v>
      </c>
    </row>
    <row r="1995" spans="1:16" ht="14.25">
      <c r="A1995" s="224">
        <v>1994</v>
      </c>
      <c r="B1995" s="248">
        <v>24044</v>
      </c>
      <c r="C1995" s="248" t="s">
        <v>4118</v>
      </c>
      <c r="D1995" s="248" t="s">
        <v>2582</v>
      </c>
      <c r="E1995" s="248" t="s">
        <v>4772</v>
      </c>
      <c r="F1995" s="248" t="s">
        <v>5764</v>
      </c>
      <c r="G1995" s="248">
        <v>8</v>
      </c>
      <c r="H1995" s="248" t="s">
        <v>2557</v>
      </c>
      <c r="I1995" s="248">
        <v>80470</v>
      </c>
      <c r="J1995" s="250" t="s">
        <v>1516</v>
      </c>
      <c r="K1995" s="248">
        <v>147.72</v>
      </c>
      <c r="L1995" s="248">
        <v>0.6</v>
      </c>
      <c r="M1995" s="248">
        <v>0</v>
      </c>
      <c r="N1995" s="248">
        <v>7.1328699999999996</v>
      </c>
      <c r="O1995" s="181">
        <f t="shared" si="14"/>
        <v>147.12</v>
      </c>
      <c r="P1995" s="247">
        <f t="shared" si="15"/>
        <v>20.625638768125594</v>
      </c>
    </row>
    <row r="1996" spans="1:16" ht="14.25">
      <c r="A1996" s="224">
        <v>1995</v>
      </c>
      <c r="B1996" s="58">
        <v>19275</v>
      </c>
      <c r="C1996" s="57" t="s">
        <v>3112</v>
      </c>
      <c r="D1996" s="57" t="s">
        <v>45</v>
      </c>
      <c r="E1996" s="57" t="s">
        <v>2874</v>
      </c>
      <c r="F1996" s="233">
        <v>45666.439583333333</v>
      </c>
      <c r="G1996" s="57">
        <v>9</v>
      </c>
      <c r="H1996" s="57" t="s">
        <v>2557</v>
      </c>
      <c r="I1996" s="58">
        <v>83314</v>
      </c>
      <c r="J1996" s="234" t="s">
        <v>5765</v>
      </c>
      <c r="K1996" s="58">
        <v>119.98</v>
      </c>
      <c r="L1996" s="58">
        <v>0</v>
      </c>
      <c r="M1996" s="58">
        <v>0</v>
      </c>
      <c r="N1996" s="58">
        <v>1</v>
      </c>
      <c r="O1996" s="181">
        <f t="shared" si="14"/>
        <v>119.98</v>
      </c>
      <c r="P1996" s="247">
        <f t="shared" si="15"/>
        <v>119.98</v>
      </c>
    </row>
    <row r="1997" spans="1:16" ht="14.25">
      <c r="A1997" s="224">
        <v>1996</v>
      </c>
      <c r="B1997" s="58">
        <v>29746</v>
      </c>
      <c r="C1997" s="57" t="s">
        <v>5766</v>
      </c>
      <c r="D1997" s="57" t="s">
        <v>2582</v>
      </c>
      <c r="E1997" s="57" t="s">
        <v>4772</v>
      </c>
      <c r="F1997" s="233">
        <v>45666.867361111108</v>
      </c>
      <c r="G1997" s="57">
        <v>9</v>
      </c>
      <c r="H1997" s="57" t="s">
        <v>2557</v>
      </c>
      <c r="I1997" s="58">
        <v>83326</v>
      </c>
      <c r="J1997" s="234" t="s">
        <v>1521</v>
      </c>
      <c r="K1997" s="58">
        <v>135.44999999999999</v>
      </c>
      <c r="L1997" s="58">
        <v>0.55000000000000004</v>
      </c>
      <c r="M1997" s="58">
        <v>0</v>
      </c>
      <c r="N1997" s="58">
        <v>7.1328699999999996</v>
      </c>
      <c r="O1997" s="181">
        <f t="shared" si="14"/>
        <v>134.89999999999998</v>
      </c>
      <c r="P1997" s="247">
        <f t="shared" si="15"/>
        <v>18.912443378331581</v>
      </c>
    </row>
    <row r="1998" spans="1:16" ht="14.25">
      <c r="A1998" s="224">
        <v>1997</v>
      </c>
      <c r="B1998" s="58">
        <v>386</v>
      </c>
      <c r="C1998" s="57" t="s">
        <v>5767</v>
      </c>
      <c r="D1998" s="57" t="s">
        <v>45</v>
      </c>
      <c r="E1998" s="57" t="s">
        <v>2860</v>
      </c>
      <c r="F1998" s="233">
        <v>45697.466666666667</v>
      </c>
      <c r="G1998" s="57">
        <v>9</v>
      </c>
      <c r="H1998" s="57" t="s">
        <v>2557</v>
      </c>
      <c r="I1998" s="58">
        <v>83050</v>
      </c>
      <c r="J1998" s="234" t="s">
        <v>5768</v>
      </c>
      <c r="K1998" s="58">
        <v>2.99</v>
      </c>
      <c r="L1998" s="58">
        <v>0</v>
      </c>
      <c r="M1998" s="58">
        <v>0</v>
      </c>
      <c r="N1998" s="58">
        <v>1</v>
      </c>
      <c r="O1998" s="181">
        <f t="shared" si="14"/>
        <v>2.99</v>
      </c>
      <c r="P1998" s="247">
        <f t="shared" si="15"/>
        <v>2.99</v>
      </c>
    </row>
    <row r="1999" spans="1:16" ht="14.25">
      <c r="A1999" s="224">
        <v>1998</v>
      </c>
      <c r="B1999" s="58">
        <v>22778</v>
      </c>
      <c r="C1999" s="57" t="s">
        <v>3929</v>
      </c>
      <c r="D1999" s="57" t="s">
        <v>45</v>
      </c>
      <c r="E1999" s="57" t="s">
        <v>4772</v>
      </c>
      <c r="F1999" s="233">
        <v>45697.620138888888</v>
      </c>
      <c r="G1999" s="57">
        <v>9</v>
      </c>
      <c r="H1999" s="57" t="s">
        <v>2557</v>
      </c>
      <c r="I1999" s="58">
        <v>83446</v>
      </c>
      <c r="J1999" s="234" t="s">
        <v>1529</v>
      </c>
      <c r="K1999" s="58">
        <v>12.79</v>
      </c>
      <c r="L1999" s="58">
        <v>0.37</v>
      </c>
      <c r="M1999" s="58">
        <v>0</v>
      </c>
      <c r="N1999" s="58">
        <v>1</v>
      </c>
      <c r="O1999" s="181">
        <f t="shared" si="14"/>
        <v>12.42</v>
      </c>
      <c r="P1999" s="247">
        <f t="shared" si="15"/>
        <v>12.42</v>
      </c>
    </row>
    <row r="2000" spans="1:16" ht="14.25">
      <c r="A2000" s="224">
        <v>1999</v>
      </c>
      <c r="B2000" s="58">
        <v>22778</v>
      </c>
      <c r="C2000" s="57" t="s">
        <v>3929</v>
      </c>
      <c r="D2000" s="57" t="s">
        <v>45</v>
      </c>
      <c r="E2000" s="57" t="s">
        <v>2860</v>
      </c>
      <c r="F2000" s="233">
        <v>45697.714583333334</v>
      </c>
      <c r="G2000" s="57">
        <v>9</v>
      </c>
      <c r="H2000" s="57" t="s">
        <v>2557</v>
      </c>
      <c r="I2000" s="58">
        <v>81886</v>
      </c>
      <c r="J2000" s="234" t="s">
        <v>5769</v>
      </c>
      <c r="K2000" s="58">
        <v>8.7899999999999991</v>
      </c>
      <c r="L2000" s="58">
        <v>0</v>
      </c>
      <c r="M2000" s="58">
        <v>0</v>
      </c>
      <c r="N2000" s="58">
        <v>1</v>
      </c>
      <c r="O2000" s="181">
        <f t="shared" si="14"/>
        <v>8.7899999999999991</v>
      </c>
      <c r="P2000" s="247">
        <f t="shared" si="15"/>
        <v>8.7899999999999991</v>
      </c>
    </row>
    <row r="2001" spans="1:16" ht="14.25">
      <c r="A2001" s="224">
        <v>2000</v>
      </c>
      <c r="B2001" s="58">
        <v>3229</v>
      </c>
      <c r="C2001" s="57" t="s">
        <v>2762</v>
      </c>
      <c r="D2001" s="57" t="s">
        <v>45</v>
      </c>
      <c r="E2001" s="57" t="s">
        <v>4772</v>
      </c>
      <c r="F2001" s="233">
        <v>45697.715277777781</v>
      </c>
      <c r="G2001" s="57">
        <v>9</v>
      </c>
      <c r="H2001" s="57" t="s">
        <v>2557</v>
      </c>
      <c r="I2001" s="58">
        <v>83458</v>
      </c>
      <c r="J2001" s="234" t="s">
        <v>1527</v>
      </c>
      <c r="K2001" s="58">
        <v>5.49</v>
      </c>
      <c r="L2001" s="58">
        <v>0.16</v>
      </c>
      <c r="M2001" s="58">
        <v>0</v>
      </c>
      <c r="N2001" s="58">
        <v>1</v>
      </c>
      <c r="O2001" s="181">
        <f t="shared" si="14"/>
        <v>5.33</v>
      </c>
      <c r="P2001" s="247">
        <f t="shared" si="15"/>
        <v>5.33</v>
      </c>
    </row>
    <row r="2002" spans="1:16" ht="14.25">
      <c r="A2002" s="224">
        <v>2001</v>
      </c>
      <c r="B2002" s="58">
        <v>25286</v>
      </c>
      <c r="C2002" s="57" t="s">
        <v>4583</v>
      </c>
      <c r="D2002" s="57" t="s">
        <v>2582</v>
      </c>
      <c r="E2002" s="57" t="s">
        <v>4772</v>
      </c>
      <c r="F2002" s="233">
        <v>45697.739583333336</v>
      </c>
      <c r="G2002" s="57">
        <v>9</v>
      </c>
      <c r="H2002" s="57" t="s">
        <v>2557</v>
      </c>
      <c r="I2002" s="58">
        <v>83470</v>
      </c>
      <c r="J2002" s="234" t="s">
        <v>1525</v>
      </c>
      <c r="K2002" s="58">
        <v>144</v>
      </c>
      <c r="L2002" s="58">
        <v>0.59</v>
      </c>
      <c r="M2002" s="58">
        <v>0</v>
      </c>
      <c r="N2002" s="58">
        <v>7.1345299999999998</v>
      </c>
      <c r="O2002" s="181">
        <f t="shared" si="14"/>
        <v>143.41</v>
      </c>
      <c r="P2002" s="247">
        <f t="shared" si="15"/>
        <v>20.100833551754636</v>
      </c>
    </row>
    <row r="2003" spans="1:16" ht="14.25">
      <c r="A2003" s="224">
        <v>2002</v>
      </c>
      <c r="B2003" s="58">
        <v>31668</v>
      </c>
      <c r="C2003" s="57" t="s">
        <v>5770</v>
      </c>
      <c r="D2003" s="57" t="s">
        <v>2582</v>
      </c>
      <c r="E2003" s="57" t="s">
        <v>4772</v>
      </c>
      <c r="F2003" s="233">
        <v>45697.972916666666</v>
      </c>
      <c r="G2003" s="57">
        <v>9</v>
      </c>
      <c r="H2003" s="57" t="s">
        <v>2557</v>
      </c>
      <c r="I2003" s="58">
        <v>83482</v>
      </c>
      <c r="J2003" s="234" t="s">
        <v>1523</v>
      </c>
      <c r="K2003" s="58">
        <v>17.760000000000002</v>
      </c>
      <c r="L2003" s="58">
        <v>0.08</v>
      </c>
      <c r="M2003" s="58">
        <v>0</v>
      </c>
      <c r="N2003" s="58">
        <v>7.1345299999999998</v>
      </c>
      <c r="O2003" s="181">
        <f t="shared" si="14"/>
        <v>17.680000000000003</v>
      </c>
      <c r="P2003" s="247">
        <f t="shared" si="15"/>
        <v>2.4780889561050277</v>
      </c>
    </row>
    <row r="2004" spans="1:16" ht="14.25">
      <c r="A2004" s="224">
        <v>2003</v>
      </c>
      <c r="B2004" s="58">
        <v>392</v>
      </c>
      <c r="C2004" s="57" t="s">
        <v>2876</v>
      </c>
      <c r="D2004" s="57" t="s">
        <v>2582</v>
      </c>
      <c r="E2004" s="57" t="s">
        <v>2860</v>
      </c>
      <c r="F2004" s="233">
        <v>45697.977083333331</v>
      </c>
      <c r="G2004" s="57">
        <v>9</v>
      </c>
      <c r="H2004" s="57" t="s">
        <v>2557</v>
      </c>
      <c r="I2004" s="58">
        <v>83494</v>
      </c>
      <c r="J2004" s="234" t="s">
        <v>5771</v>
      </c>
      <c r="K2004" s="58">
        <v>138.47999999999999</v>
      </c>
      <c r="L2004" s="58">
        <v>0</v>
      </c>
      <c r="M2004" s="58">
        <v>0</v>
      </c>
      <c r="N2004" s="58">
        <v>7.1345299999999998</v>
      </c>
      <c r="O2004" s="181">
        <f t="shared" si="14"/>
        <v>138.47999999999999</v>
      </c>
      <c r="P2004" s="247">
        <f t="shared" si="15"/>
        <v>19.409827977456118</v>
      </c>
    </row>
    <row r="2005" spans="1:16" ht="14.25">
      <c r="A2005" s="224">
        <v>2004</v>
      </c>
      <c r="B2005" s="58">
        <v>329</v>
      </c>
      <c r="C2005" s="57" t="s">
        <v>5772</v>
      </c>
      <c r="D2005" s="57" t="s">
        <v>45</v>
      </c>
      <c r="E2005" s="57" t="s">
        <v>2860</v>
      </c>
      <c r="F2005" s="233">
        <v>45725.26458333333</v>
      </c>
      <c r="G2005" s="57">
        <v>9</v>
      </c>
      <c r="H2005" s="57" t="s">
        <v>2557</v>
      </c>
      <c r="I2005" s="58">
        <v>81970</v>
      </c>
      <c r="J2005" s="234" t="s">
        <v>5773</v>
      </c>
      <c r="K2005" s="58">
        <v>1.99</v>
      </c>
      <c r="L2005" s="58">
        <v>0</v>
      </c>
      <c r="M2005" s="58">
        <v>0</v>
      </c>
      <c r="N2005" s="58">
        <v>1</v>
      </c>
      <c r="O2005" s="181">
        <f t="shared" si="14"/>
        <v>1.99</v>
      </c>
      <c r="P2005" s="247">
        <f t="shared" si="15"/>
        <v>1.99</v>
      </c>
    </row>
    <row r="2006" spans="1:16" ht="14.25">
      <c r="A2006" s="224">
        <v>2005</v>
      </c>
      <c r="B2006" s="58">
        <v>19314</v>
      </c>
      <c r="C2006" s="57" t="s">
        <v>3119</v>
      </c>
      <c r="D2006" s="57" t="s">
        <v>45</v>
      </c>
      <c r="E2006" s="57" t="s">
        <v>2860</v>
      </c>
      <c r="F2006" s="233">
        <v>45725.551388888889</v>
      </c>
      <c r="G2006" s="57">
        <v>9</v>
      </c>
      <c r="H2006" s="57" t="s">
        <v>2557</v>
      </c>
      <c r="I2006" s="58">
        <v>83590</v>
      </c>
      <c r="J2006" s="234"/>
      <c r="K2006" s="58">
        <v>15</v>
      </c>
      <c r="L2006" s="58">
        <v>0</v>
      </c>
      <c r="M2006" s="58">
        <v>0</v>
      </c>
      <c r="N2006" s="58">
        <v>1</v>
      </c>
      <c r="O2006" s="181">
        <f t="shared" si="14"/>
        <v>15</v>
      </c>
      <c r="P2006" s="247">
        <f t="shared" si="15"/>
        <v>15</v>
      </c>
    </row>
    <row r="2007" spans="1:16" ht="14.25">
      <c r="A2007" s="224">
        <v>2006</v>
      </c>
      <c r="B2007" s="58">
        <v>27786</v>
      </c>
      <c r="C2007" s="57" t="s">
        <v>4967</v>
      </c>
      <c r="D2007" s="57" t="s">
        <v>2582</v>
      </c>
      <c r="E2007" s="57" t="s">
        <v>4772</v>
      </c>
      <c r="F2007" s="233">
        <v>45725.634027777778</v>
      </c>
      <c r="G2007" s="57">
        <v>9</v>
      </c>
      <c r="H2007" s="57" t="s">
        <v>2557</v>
      </c>
      <c r="I2007" s="58">
        <v>83602</v>
      </c>
      <c r="J2007" s="234" t="s">
        <v>1538</v>
      </c>
      <c r="K2007" s="58">
        <v>28.51</v>
      </c>
      <c r="L2007" s="58">
        <v>0.12</v>
      </c>
      <c r="M2007" s="58">
        <v>0</v>
      </c>
      <c r="N2007" s="58">
        <v>7.1442600000000001</v>
      </c>
      <c r="O2007" s="181">
        <f t="shared" si="14"/>
        <v>28.39</v>
      </c>
      <c r="P2007" s="247">
        <f t="shared" si="15"/>
        <v>3.9738195418419822</v>
      </c>
    </row>
    <row r="2008" spans="1:16" ht="14.25">
      <c r="A2008" s="224">
        <v>2007</v>
      </c>
      <c r="B2008" s="58">
        <v>31679</v>
      </c>
      <c r="C2008" s="57" t="s">
        <v>5774</v>
      </c>
      <c r="D2008" s="57" t="s">
        <v>45</v>
      </c>
      <c r="E2008" s="57" t="s">
        <v>4772</v>
      </c>
      <c r="F2008" s="233">
        <v>45725.723611111112</v>
      </c>
      <c r="G2008" s="57">
        <v>9</v>
      </c>
      <c r="H2008" s="57" t="s">
        <v>2557</v>
      </c>
      <c r="I2008" s="58">
        <v>83614</v>
      </c>
      <c r="J2008" s="234" t="s">
        <v>1536</v>
      </c>
      <c r="K2008" s="58">
        <v>3.99</v>
      </c>
      <c r="L2008" s="58">
        <v>0.12</v>
      </c>
      <c r="M2008" s="58">
        <v>0</v>
      </c>
      <c r="N2008" s="58">
        <v>1</v>
      </c>
      <c r="O2008" s="181">
        <f t="shared" si="14"/>
        <v>3.87</v>
      </c>
      <c r="P2008" s="247">
        <f t="shared" si="15"/>
        <v>3.87</v>
      </c>
    </row>
    <row r="2009" spans="1:16" ht="14.25">
      <c r="A2009" s="224">
        <v>2008</v>
      </c>
      <c r="B2009" s="58">
        <v>31680</v>
      </c>
      <c r="C2009" s="57" t="s">
        <v>5775</v>
      </c>
      <c r="D2009" s="57" t="s">
        <v>2582</v>
      </c>
      <c r="E2009" s="57" t="s">
        <v>4772</v>
      </c>
      <c r="F2009" s="233">
        <v>45725.768750000003</v>
      </c>
      <c r="G2009" s="57">
        <v>9</v>
      </c>
      <c r="H2009" s="57" t="s">
        <v>2557</v>
      </c>
      <c r="I2009" s="58">
        <v>83626</v>
      </c>
      <c r="J2009" s="234" t="s">
        <v>1534</v>
      </c>
      <c r="K2009" s="58">
        <v>17.79</v>
      </c>
      <c r="L2009" s="58">
        <v>0.08</v>
      </c>
      <c r="M2009" s="58">
        <v>0</v>
      </c>
      <c r="N2009" s="58">
        <v>7.1442600000000001</v>
      </c>
      <c r="O2009" s="181">
        <f t="shared" si="14"/>
        <v>17.71</v>
      </c>
      <c r="P2009" s="247">
        <f t="shared" si="15"/>
        <v>2.4789131414590178</v>
      </c>
    </row>
    <row r="2010" spans="1:16" ht="14.25">
      <c r="A2010" s="224">
        <v>2009</v>
      </c>
      <c r="B2010" s="58">
        <v>25274</v>
      </c>
      <c r="C2010" s="57" t="s">
        <v>4573</v>
      </c>
      <c r="D2010" s="57" t="s">
        <v>2582</v>
      </c>
      <c r="E2010" s="57" t="s">
        <v>4772</v>
      </c>
      <c r="F2010" s="233">
        <v>45725.950694444444</v>
      </c>
      <c r="G2010" s="57">
        <v>9</v>
      </c>
      <c r="H2010" s="57" t="s">
        <v>2557</v>
      </c>
      <c r="I2010" s="58">
        <v>82582</v>
      </c>
      <c r="J2010" s="234" t="s">
        <v>1532</v>
      </c>
      <c r="K2010" s="58">
        <v>109.84</v>
      </c>
      <c r="L2010" s="58">
        <v>0.45</v>
      </c>
      <c r="M2010" s="58">
        <v>0</v>
      </c>
      <c r="N2010" s="58">
        <v>7.1442600000000001</v>
      </c>
      <c r="O2010" s="181">
        <f t="shared" si="14"/>
        <v>109.39</v>
      </c>
      <c r="P2010" s="247">
        <f t="shared" si="15"/>
        <v>15.311592803173456</v>
      </c>
    </row>
    <row r="2011" spans="1:16" ht="14.25">
      <c r="A2011" s="224">
        <v>2010</v>
      </c>
      <c r="B2011" s="58">
        <v>31682</v>
      </c>
      <c r="C2011" s="57" t="s">
        <v>5776</v>
      </c>
      <c r="D2011" s="57" t="s">
        <v>2582</v>
      </c>
      <c r="E2011" s="57" t="s">
        <v>4772</v>
      </c>
      <c r="F2011" s="233">
        <v>45756.393750000003</v>
      </c>
      <c r="G2011" s="57">
        <v>9</v>
      </c>
      <c r="H2011" s="57" t="s">
        <v>2557</v>
      </c>
      <c r="I2011" s="58">
        <v>83758</v>
      </c>
      <c r="J2011" s="234" t="s">
        <v>1544</v>
      </c>
      <c r="K2011" s="58">
        <v>92.82</v>
      </c>
      <c r="L2011" s="58">
        <v>0.38</v>
      </c>
      <c r="M2011" s="58">
        <v>0</v>
      </c>
      <c r="N2011" s="58">
        <v>7.1456299999999997</v>
      </c>
      <c r="O2011" s="181">
        <f t="shared" si="14"/>
        <v>92.44</v>
      </c>
      <c r="P2011" s="247">
        <f t="shared" si="15"/>
        <v>12.936578020412476</v>
      </c>
    </row>
    <row r="2012" spans="1:16" ht="14.25">
      <c r="A2012" s="224">
        <v>2011</v>
      </c>
      <c r="B2012" s="58">
        <v>29098</v>
      </c>
      <c r="C2012" s="57" t="s">
        <v>5491</v>
      </c>
      <c r="D2012" s="57" t="s">
        <v>2582</v>
      </c>
      <c r="E2012" s="57" t="s">
        <v>2860</v>
      </c>
      <c r="F2012" s="233">
        <v>45756.40625</v>
      </c>
      <c r="G2012" s="57">
        <v>9</v>
      </c>
      <c r="H2012" s="57" t="s">
        <v>2557</v>
      </c>
      <c r="I2012" s="58">
        <v>82438</v>
      </c>
      <c r="J2012" s="234" t="s">
        <v>5777</v>
      </c>
      <c r="K2012" s="58">
        <v>21.08</v>
      </c>
      <c r="L2012" s="58">
        <v>0</v>
      </c>
      <c r="M2012" s="58">
        <v>0</v>
      </c>
      <c r="N2012" s="58">
        <v>7.1456299999999997</v>
      </c>
      <c r="O2012" s="181">
        <f t="shared" si="14"/>
        <v>21.08</v>
      </c>
      <c r="P2012" s="247">
        <f t="shared" si="15"/>
        <v>2.9500547887310145</v>
      </c>
    </row>
    <row r="2013" spans="1:16" ht="14.25">
      <c r="A2013" s="224">
        <v>2012</v>
      </c>
      <c r="B2013" s="58">
        <v>29098</v>
      </c>
      <c r="C2013" s="57" t="s">
        <v>5491</v>
      </c>
      <c r="D2013" s="57" t="s">
        <v>2582</v>
      </c>
      <c r="E2013" s="57" t="s">
        <v>4772</v>
      </c>
      <c r="F2013" s="233">
        <v>45756.956250000003</v>
      </c>
      <c r="G2013" s="57">
        <v>9</v>
      </c>
      <c r="H2013" s="57" t="s">
        <v>2557</v>
      </c>
      <c r="I2013" s="58">
        <v>83770</v>
      </c>
      <c r="J2013" s="234" t="s">
        <v>1542</v>
      </c>
      <c r="K2013" s="58">
        <v>17.77</v>
      </c>
      <c r="L2013" s="58">
        <v>0.08</v>
      </c>
      <c r="M2013" s="58">
        <v>0</v>
      </c>
      <c r="N2013" s="58">
        <v>7.1456299999999997</v>
      </c>
      <c r="O2013" s="181">
        <f t="shared" si="14"/>
        <v>17.690000000000001</v>
      </c>
      <c r="P2013" s="247">
        <f t="shared" si="15"/>
        <v>2.4756389569569097</v>
      </c>
    </row>
    <row r="2014" spans="1:16" ht="14.25">
      <c r="A2014" s="224">
        <v>2013</v>
      </c>
      <c r="B2014" s="58">
        <v>31736</v>
      </c>
      <c r="C2014" s="57" t="s">
        <v>5778</v>
      </c>
      <c r="D2014" s="57" t="s">
        <v>45</v>
      </c>
      <c r="E2014" s="57" t="s">
        <v>4772</v>
      </c>
      <c r="F2014" s="233">
        <v>45756.970138888886</v>
      </c>
      <c r="G2014" s="57">
        <v>9</v>
      </c>
      <c r="H2014" s="57" t="s">
        <v>2557</v>
      </c>
      <c r="I2014" s="58">
        <v>83782</v>
      </c>
      <c r="J2014" s="234" t="s">
        <v>1540</v>
      </c>
      <c r="K2014" s="58">
        <v>15.29</v>
      </c>
      <c r="L2014" s="58">
        <v>0.45</v>
      </c>
      <c r="M2014" s="58">
        <v>0</v>
      </c>
      <c r="N2014" s="58">
        <v>1</v>
      </c>
      <c r="O2014" s="181">
        <f t="shared" si="14"/>
        <v>14.84</v>
      </c>
      <c r="P2014" s="247">
        <f t="shared" si="15"/>
        <v>14.84</v>
      </c>
    </row>
    <row r="2015" spans="1:16" ht="14.25">
      <c r="A2015" s="224">
        <v>2014</v>
      </c>
      <c r="B2015" s="58">
        <v>18477</v>
      </c>
      <c r="C2015" s="57" t="s">
        <v>2966</v>
      </c>
      <c r="D2015" s="57" t="s">
        <v>45</v>
      </c>
      <c r="E2015" s="57" t="s">
        <v>2874</v>
      </c>
      <c r="F2015" s="233">
        <v>45786.54791666667</v>
      </c>
      <c r="G2015" s="57">
        <v>9</v>
      </c>
      <c r="H2015" s="57" t="s">
        <v>2557</v>
      </c>
      <c r="I2015" s="58">
        <v>82090</v>
      </c>
      <c r="J2015" s="234"/>
      <c r="K2015" s="58">
        <v>110</v>
      </c>
      <c r="L2015" s="58">
        <v>0</v>
      </c>
      <c r="M2015" s="58">
        <v>0</v>
      </c>
      <c r="N2015" s="58">
        <v>1</v>
      </c>
      <c r="O2015" s="181">
        <f t="shared" si="14"/>
        <v>110</v>
      </c>
      <c r="P2015" s="247">
        <f t="shared" si="15"/>
        <v>110</v>
      </c>
    </row>
    <row r="2016" spans="1:16" ht="14.25">
      <c r="A2016" s="224">
        <v>2015</v>
      </c>
      <c r="B2016" s="58">
        <v>27880</v>
      </c>
      <c r="C2016" s="57" t="s">
        <v>4998</v>
      </c>
      <c r="D2016" s="57" t="s">
        <v>45</v>
      </c>
      <c r="E2016" s="57" t="s">
        <v>2860</v>
      </c>
      <c r="F2016" s="233">
        <v>45786.600694444445</v>
      </c>
      <c r="G2016" s="57">
        <v>9</v>
      </c>
      <c r="H2016" s="57" t="s">
        <v>2557</v>
      </c>
      <c r="I2016" s="58">
        <v>83566</v>
      </c>
      <c r="J2016" s="234" t="s">
        <v>5779</v>
      </c>
      <c r="K2016" s="58">
        <v>9.99</v>
      </c>
      <c r="L2016" s="58">
        <v>0</v>
      </c>
      <c r="M2016" s="58">
        <v>0</v>
      </c>
      <c r="N2016" s="58">
        <v>1</v>
      </c>
      <c r="O2016" s="181">
        <f t="shared" si="14"/>
        <v>9.99</v>
      </c>
      <c r="P2016" s="247">
        <f t="shared" si="15"/>
        <v>9.99</v>
      </c>
    </row>
    <row r="2017" spans="1:16" ht="14.25">
      <c r="A2017" s="224">
        <v>2016</v>
      </c>
      <c r="B2017" s="58">
        <v>31793</v>
      </c>
      <c r="C2017" s="57" t="s">
        <v>5780</v>
      </c>
      <c r="D2017" s="57" t="s">
        <v>45</v>
      </c>
      <c r="E2017" s="57" t="s">
        <v>4772</v>
      </c>
      <c r="F2017" s="233">
        <v>45786.64166666667</v>
      </c>
      <c r="G2017" s="57">
        <v>9</v>
      </c>
      <c r="H2017" s="57" t="s">
        <v>2557</v>
      </c>
      <c r="I2017" s="58">
        <v>83866</v>
      </c>
      <c r="J2017" s="234" t="s">
        <v>1546</v>
      </c>
      <c r="K2017" s="58">
        <v>20.69</v>
      </c>
      <c r="L2017" s="58">
        <v>0.6</v>
      </c>
      <c r="M2017" s="58">
        <v>0</v>
      </c>
      <c r="N2017" s="58">
        <v>1</v>
      </c>
      <c r="O2017" s="181">
        <f t="shared" si="14"/>
        <v>20.09</v>
      </c>
      <c r="P2017" s="247">
        <f t="shared" si="15"/>
        <v>20.09</v>
      </c>
    </row>
    <row r="2018" spans="1:16" ht="14.25">
      <c r="A2018" s="224">
        <v>2017</v>
      </c>
      <c r="B2018" s="58">
        <v>396</v>
      </c>
      <c r="C2018" s="57" t="s">
        <v>2674</v>
      </c>
      <c r="D2018" s="57" t="s">
        <v>45</v>
      </c>
      <c r="E2018" s="57" t="s">
        <v>9</v>
      </c>
      <c r="F2018" s="233">
        <v>45786.78125</v>
      </c>
      <c r="G2018" s="57">
        <v>9</v>
      </c>
      <c r="H2018" s="57" t="s">
        <v>2557</v>
      </c>
      <c r="I2018" s="58">
        <v>61556</v>
      </c>
      <c r="J2018" s="234" t="s">
        <v>646</v>
      </c>
      <c r="K2018" s="58">
        <v>1.0900000000000001</v>
      </c>
      <c r="L2018" s="58">
        <v>0.54</v>
      </c>
      <c r="M2018" s="58">
        <v>0</v>
      </c>
      <c r="N2018" s="58">
        <v>1</v>
      </c>
      <c r="O2018" s="181">
        <f t="shared" si="14"/>
        <v>0.55000000000000004</v>
      </c>
      <c r="P2018" s="247">
        <f t="shared" si="15"/>
        <v>0.55000000000000004</v>
      </c>
    </row>
    <row r="2019" spans="1:16" ht="14.25">
      <c r="A2019" s="224">
        <v>2018</v>
      </c>
      <c r="B2019" s="58">
        <v>21403</v>
      </c>
      <c r="C2019" s="57" t="s">
        <v>3690</v>
      </c>
      <c r="D2019" s="57" t="s">
        <v>45</v>
      </c>
      <c r="E2019" s="57" t="s">
        <v>2860</v>
      </c>
      <c r="F2019" s="233">
        <v>45817.398611111108</v>
      </c>
      <c r="G2019" s="57">
        <v>9</v>
      </c>
      <c r="H2019" s="57" t="s">
        <v>2557</v>
      </c>
      <c r="I2019" s="58">
        <v>83938</v>
      </c>
      <c r="J2019" s="234" t="s">
        <v>5781</v>
      </c>
      <c r="K2019" s="58">
        <v>1.19</v>
      </c>
      <c r="L2019" s="58">
        <v>0</v>
      </c>
      <c r="M2019" s="58">
        <v>0</v>
      </c>
      <c r="N2019" s="58">
        <v>1</v>
      </c>
      <c r="O2019" s="181">
        <f t="shared" si="14"/>
        <v>1.19</v>
      </c>
      <c r="P2019" s="247">
        <f t="shared" si="15"/>
        <v>1.19</v>
      </c>
    </row>
    <row r="2020" spans="1:16" ht="14.25">
      <c r="A2020" s="224">
        <v>2019</v>
      </c>
      <c r="B2020" s="58">
        <v>29098</v>
      </c>
      <c r="C2020" s="57" t="s">
        <v>5491</v>
      </c>
      <c r="D2020" s="57" t="s">
        <v>2582</v>
      </c>
      <c r="E2020" s="57" t="s">
        <v>4772</v>
      </c>
      <c r="F2020" s="233">
        <v>45817.417361111111</v>
      </c>
      <c r="G2020" s="57">
        <v>9</v>
      </c>
      <c r="H2020" s="57" t="s">
        <v>2557</v>
      </c>
      <c r="I2020" s="58">
        <v>84058</v>
      </c>
      <c r="J2020" s="234" t="s">
        <v>1550</v>
      </c>
      <c r="K2020" s="58">
        <v>62.75</v>
      </c>
      <c r="L2020" s="58">
        <v>0.26</v>
      </c>
      <c r="M2020" s="58">
        <v>0</v>
      </c>
      <c r="N2020" s="58">
        <v>7.1376400000000002</v>
      </c>
      <c r="O2020" s="181">
        <f t="shared" si="14"/>
        <v>62.49</v>
      </c>
      <c r="P2020" s="247">
        <f t="shared" si="15"/>
        <v>8.7549946480909657</v>
      </c>
    </row>
    <row r="2021" spans="1:16" ht="14.25">
      <c r="A2021" s="224">
        <v>2020</v>
      </c>
      <c r="B2021" s="58">
        <v>28946</v>
      </c>
      <c r="C2021" s="57" t="s">
        <v>5337</v>
      </c>
      <c r="D2021" s="57" t="s">
        <v>2582</v>
      </c>
      <c r="E2021" s="57" t="s">
        <v>4772</v>
      </c>
      <c r="F2021" s="233">
        <v>45817.53125</v>
      </c>
      <c r="G2021" s="57">
        <v>9</v>
      </c>
      <c r="H2021" s="57" t="s">
        <v>2557</v>
      </c>
      <c r="I2021" s="58">
        <v>84070</v>
      </c>
      <c r="J2021" s="234" t="s">
        <v>1548</v>
      </c>
      <c r="K2021" s="58">
        <v>83.44</v>
      </c>
      <c r="L2021" s="58">
        <v>0.34</v>
      </c>
      <c r="M2021" s="58">
        <v>0</v>
      </c>
      <c r="N2021" s="58">
        <v>7.1376400000000002</v>
      </c>
      <c r="O2021" s="181">
        <f t="shared" si="14"/>
        <v>83.1</v>
      </c>
      <c r="P2021" s="247">
        <f t="shared" si="15"/>
        <v>11.642503684691297</v>
      </c>
    </row>
    <row r="2022" spans="1:16" ht="14.25">
      <c r="A2022" s="224">
        <v>2021</v>
      </c>
      <c r="B2022" s="58">
        <v>7698</v>
      </c>
      <c r="C2022" s="57" t="s">
        <v>2710</v>
      </c>
      <c r="D2022" s="57" t="s">
        <v>45</v>
      </c>
      <c r="E2022" s="57" t="s">
        <v>2874</v>
      </c>
      <c r="F2022" s="233">
        <v>45817.574999999997</v>
      </c>
      <c r="G2022" s="57">
        <v>9</v>
      </c>
      <c r="H2022" s="57" t="s">
        <v>2557</v>
      </c>
      <c r="I2022" s="58">
        <v>84082</v>
      </c>
      <c r="J2022" s="234" t="s">
        <v>5782</v>
      </c>
      <c r="K2022" s="58">
        <v>18.989999999999998</v>
      </c>
      <c r="L2022" s="58">
        <v>0</v>
      </c>
      <c r="M2022" s="58">
        <v>0</v>
      </c>
      <c r="N2022" s="58">
        <v>1</v>
      </c>
      <c r="O2022" s="181">
        <f t="shared" si="14"/>
        <v>18.989999999999998</v>
      </c>
      <c r="P2022" s="247">
        <f t="shared" si="15"/>
        <v>18.989999999999998</v>
      </c>
    </row>
    <row r="2023" spans="1:16" ht="14.25">
      <c r="A2023" s="224">
        <v>2022</v>
      </c>
      <c r="B2023" s="58">
        <v>21325</v>
      </c>
      <c r="C2023" s="57" t="s">
        <v>3663</v>
      </c>
      <c r="D2023" s="57" t="s">
        <v>45</v>
      </c>
      <c r="E2023" s="57" t="s">
        <v>2860</v>
      </c>
      <c r="F2023" s="233">
        <v>45817.685416666667</v>
      </c>
      <c r="G2023" s="57">
        <v>9</v>
      </c>
      <c r="H2023" s="57" t="s">
        <v>2557</v>
      </c>
      <c r="I2023" s="58">
        <v>82450</v>
      </c>
      <c r="J2023" s="234" t="s">
        <v>5783</v>
      </c>
      <c r="K2023" s="58">
        <v>2.79</v>
      </c>
      <c r="L2023" s="58">
        <v>0</v>
      </c>
      <c r="M2023" s="58">
        <v>0</v>
      </c>
      <c r="N2023" s="58">
        <v>1</v>
      </c>
      <c r="O2023" s="181">
        <f t="shared" si="14"/>
        <v>2.79</v>
      </c>
      <c r="P2023" s="247">
        <f t="shared" si="15"/>
        <v>2.79</v>
      </c>
    </row>
    <row r="2024" spans="1:16" ht="14.25">
      <c r="A2024" s="224">
        <v>2023</v>
      </c>
      <c r="B2024" s="58">
        <v>18786</v>
      </c>
      <c r="C2024" s="57" t="s">
        <v>2898</v>
      </c>
      <c r="D2024" s="57" t="s">
        <v>45</v>
      </c>
      <c r="E2024" s="57" t="s">
        <v>2860</v>
      </c>
      <c r="F2024" s="233">
        <v>45847.301388888889</v>
      </c>
      <c r="G2024" s="57">
        <v>9</v>
      </c>
      <c r="H2024" s="57" t="s">
        <v>5784</v>
      </c>
      <c r="I2024" s="58">
        <v>82630</v>
      </c>
      <c r="J2024" s="234"/>
      <c r="K2024" s="58">
        <v>0</v>
      </c>
      <c r="L2024" s="58">
        <v>0</v>
      </c>
      <c r="M2024" s="58">
        <v>114.3</v>
      </c>
      <c r="N2024" s="58">
        <v>1</v>
      </c>
      <c r="O2024" s="181">
        <f t="shared" si="14"/>
        <v>-114.3</v>
      </c>
      <c r="P2024" s="247">
        <f t="shared" si="15"/>
        <v>-114.3</v>
      </c>
    </row>
    <row r="2025" spans="1:16" ht="14.25">
      <c r="A2025" s="224">
        <v>2024</v>
      </c>
      <c r="B2025" s="58">
        <v>29102</v>
      </c>
      <c r="C2025" s="57" t="s">
        <v>5498</v>
      </c>
      <c r="D2025" s="57" t="s">
        <v>45</v>
      </c>
      <c r="E2025" s="57" t="s">
        <v>2860</v>
      </c>
      <c r="F2025" s="233">
        <v>45847.537499999999</v>
      </c>
      <c r="G2025" s="57">
        <v>9</v>
      </c>
      <c r="H2025" s="57" t="s">
        <v>2557</v>
      </c>
      <c r="I2025" s="58">
        <v>82618</v>
      </c>
      <c r="J2025" s="234" t="s">
        <v>5785</v>
      </c>
      <c r="K2025" s="58">
        <v>2.4900000000000002</v>
      </c>
      <c r="L2025" s="58">
        <v>0</v>
      </c>
      <c r="M2025" s="58">
        <v>0</v>
      </c>
      <c r="N2025" s="58">
        <v>1</v>
      </c>
      <c r="O2025" s="181">
        <f t="shared" si="14"/>
        <v>2.4900000000000002</v>
      </c>
      <c r="P2025" s="247">
        <f t="shared" si="15"/>
        <v>2.4900000000000002</v>
      </c>
    </row>
    <row r="2026" spans="1:16" ht="14.25">
      <c r="A2026" s="224">
        <v>2025</v>
      </c>
      <c r="B2026" s="58">
        <v>29086</v>
      </c>
      <c r="C2026" s="57" t="s">
        <v>5514</v>
      </c>
      <c r="D2026" s="57" t="s">
        <v>2582</v>
      </c>
      <c r="E2026" s="57" t="s">
        <v>2860</v>
      </c>
      <c r="F2026" s="233">
        <v>45847.651388888888</v>
      </c>
      <c r="G2026" s="57">
        <v>9</v>
      </c>
      <c r="H2026" s="57" t="s">
        <v>2557</v>
      </c>
      <c r="I2026" s="58">
        <v>82930</v>
      </c>
      <c r="J2026" s="234" t="s">
        <v>5786</v>
      </c>
      <c r="K2026" s="58">
        <v>430.97</v>
      </c>
      <c r="L2026" s="58">
        <v>0</v>
      </c>
      <c r="M2026" s="58">
        <v>0</v>
      </c>
      <c r="N2026" s="58">
        <v>7.1376400000000002</v>
      </c>
      <c r="O2026" s="181">
        <f t="shared" si="14"/>
        <v>430.97</v>
      </c>
      <c r="P2026" s="247">
        <f t="shared" si="15"/>
        <v>60.379901480041021</v>
      </c>
    </row>
    <row r="2027" spans="1:16" ht="14.25">
      <c r="A2027" s="224">
        <v>2026</v>
      </c>
      <c r="B2027" s="58">
        <v>33737</v>
      </c>
      <c r="C2027" s="57" t="s">
        <v>5787</v>
      </c>
      <c r="D2027" s="57" t="s">
        <v>2582</v>
      </c>
      <c r="E2027" s="57" t="s">
        <v>4772</v>
      </c>
      <c r="F2027" s="233">
        <v>45878.318749999999</v>
      </c>
      <c r="G2027" s="57">
        <v>9</v>
      </c>
      <c r="H2027" s="57" t="s">
        <v>2557</v>
      </c>
      <c r="I2027" s="58">
        <v>84154</v>
      </c>
      <c r="J2027" s="234" t="s">
        <v>1552</v>
      </c>
      <c r="K2027" s="58">
        <v>17.77</v>
      </c>
      <c r="L2027" s="58">
        <v>0.08</v>
      </c>
      <c r="M2027" s="58">
        <v>0</v>
      </c>
      <c r="N2027" s="58">
        <v>7.1376400000000002</v>
      </c>
      <c r="O2027" s="181">
        <f t="shared" si="14"/>
        <v>17.690000000000001</v>
      </c>
      <c r="P2027" s="247">
        <f t="shared" si="15"/>
        <v>2.4784102308326004</v>
      </c>
    </row>
    <row r="2028" spans="1:16" ht="14.25">
      <c r="A2028" s="224">
        <v>2027</v>
      </c>
      <c r="B2028" s="58">
        <v>832</v>
      </c>
      <c r="C2028" s="57" t="s">
        <v>5788</v>
      </c>
      <c r="D2028" s="57" t="s">
        <v>45</v>
      </c>
      <c r="E2028" s="57" t="s">
        <v>9</v>
      </c>
      <c r="F2028" s="233">
        <v>45878.569444444445</v>
      </c>
      <c r="G2028" s="57">
        <v>9</v>
      </c>
      <c r="H2028" s="57" t="s">
        <v>2557</v>
      </c>
      <c r="I2028" s="58">
        <v>84166</v>
      </c>
      <c r="J2028" s="234" t="s">
        <v>649</v>
      </c>
      <c r="K2028" s="58">
        <v>32.94</v>
      </c>
      <c r="L2028" s="58">
        <v>2.13</v>
      </c>
      <c r="M2028" s="58">
        <v>0</v>
      </c>
      <c r="N2028" s="58">
        <v>1</v>
      </c>
      <c r="O2028" s="181">
        <f t="shared" si="14"/>
        <v>30.81</v>
      </c>
      <c r="P2028" s="247">
        <f t="shared" si="15"/>
        <v>30.81</v>
      </c>
    </row>
    <row r="2029" spans="1:16" ht="14.25">
      <c r="A2029" s="224">
        <v>2028</v>
      </c>
      <c r="B2029" s="58">
        <v>5079</v>
      </c>
      <c r="C2029" s="57" t="s">
        <v>2970</v>
      </c>
      <c r="D2029" s="57" t="s">
        <v>45</v>
      </c>
      <c r="E2029" s="57" t="s">
        <v>2860</v>
      </c>
      <c r="F2029" s="233">
        <v>45878.686111111114</v>
      </c>
      <c r="G2029" s="57">
        <v>9</v>
      </c>
      <c r="H2029" s="57" t="s">
        <v>2557</v>
      </c>
      <c r="I2029" s="58">
        <v>84022</v>
      </c>
      <c r="J2029" s="234" t="s">
        <v>5789</v>
      </c>
      <c r="K2029" s="58">
        <v>3.99</v>
      </c>
      <c r="L2029" s="58">
        <v>0</v>
      </c>
      <c r="M2029" s="58">
        <v>0</v>
      </c>
      <c r="N2029" s="58">
        <v>1</v>
      </c>
      <c r="O2029" s="181">
        <f t="shared" si="14"/>
        <v>3.99</v>
      </c>
      <c r="P2029" s="247">
        <f t="shared" si="15"/>
        <v>3.99</v>
      </c>
    </row>
    <row r="2030" spans="1:16" ht="14.25">
      <c r="A2030" s="224">
        <v>2029</v>
      </c>
      <c r="B2030" s="58">
        <v>5079</v>
      </c>
      <c r="C2030" s="57" t="s">
        <v>2970</v>
      </c>
      <c r="D2030" s="57" t="s">
        <v>45</v>
      </c>
      <c r="E2030" s="57" t="s">
        <v>4772</v>
      </c>
      <c r="F2030" s="233">
        <v>45878.688888888886</v>
      </c>
      <c r="G2030" s="57">
        <v>9</v>
      </c>
      <c r="H2030" s="57" t="s">
        <v>2557</v>
      </c>
      <c r="I2030" s="58">
        <v>84238</v>
      </c>
      <c r="J2030" s="234" t="s">
        <v>1554</v>
      </c>
      <c r="K2030" s="58">
        <v>3.59</v>
      </c>
      <c r="L2030" s="58">
        <v>0.11</v>
      </c>
      <c r="M2030" s="58">
        <v>0</v>
      </c>
      <c r="N2030" s="58">
        <v>1</v>
      </c>
      <c r="O2030" s="181">
        <f t="shared" si="14"/>
        <v>3.48</v>
      </c>
      <c r="P2030" s="247">
        <f t="shared" si="15"/>
        <v>3.48</v>
      </c>
    </row>
    <row r="2031" spans="1:16" ht="14.25">
      <c r="A2031" s="224">
        <v>2030</v>
      </c>
      <c r="B2031" s="58">
        <v>33746</v>
      </c>
      <c r="C2031" s="57" t="s">
        <v>5790</v>
      </c>
      <c r="D2031" s="57" t="s">
        <v>45</v>
      </c>
      <c r="E2031" s="57" t="s">
        <v>9</v>
      </c>
      <c r="F2031" s="233">
        <v>45878.874305555553</v>
      </c>
      <c r="G2031" s="57">
        <v>9</v>
      </c>
      <c r="H2031" s="57" t="s">
        <v>2557</v>
      </c>
      <c r="I2031" s="58">
        <v>84262</v>
      </c>
      <c r="J2031" s="234" t="s">
        <v>651</v>
      </c>
      <c r="K2031" s="58">
        <v>8.99</v>
      </c>
      <c r="L2031" s="58">
        <v>0.8</v>
      </c>
      <c r="M2031" s="58">
        <v>0</v>
      </c>
      <c r="N2031" s="58">
        <v>1</v>
      </c>
      <c r="O2031" s="181">
        <f t="shared" si="14"/>
        <v>8.19</v>
      </c>
      <c r="P2031" s="247">
        <f t="shared" si="15"/>
        <v>8.19</v>
      </c>
    </row>
    <row r="2032" spans="1:16" ht="14.25">
      <c r="A2032" s="224">
        <v>2031</v>
      </c>
      <c r="B2032" s="58">
        <v>33747</v>
      </c>
      <c r="C2032" s="57" t="s">
        <v>5791</v>
      </c>
      <c r="D2032" s="57" t="s">
        <v>45</v>
      </c>
      <c r="E2032" s="57" t="s">
        <v>9</v>
      </c>
      <c r="F2032" s="233">
        <v>45878.897222222222</v>
      </c>
      <c r="G2032" s="57">
        <v>9</v>
      </c>
      <c r="H2032" s="57" t="s">
        <v>2557</v>
      </c>
      <c r="I2032" s="58">
        <v>84274</v>
      </c>
      <c r="J2032" s="234" t="s">
        <v>653</v>
      </c>
      <c r="K2032" s="58">
        <v>12.79</v>
      </c>
      <c r="L2032" s="58">
        <v>1.1299999999999999</v>
      </c>
      <c r="M2032" s="58">
        <v>0</v>
      </c>
      <c r="N2032" s="58">
        <v>1</v>
      </c>
      <c r="O2032" s="181">
        <f t="shared" si="14"/>
        <v>11.66</v>
      </c>
      <c r="P2032" s="247">
        <f t="shared" si="15"/>
        <v>11.66</v>
      </c>
    </row>
    <row r="2033" spans="1:16" ht="14.25">
      <c r="A2033" s="224">
        <v>2032</v>
      </c>
      <c r="B2033" s="58">
        <v>6794</v>
      </c>
      <c r="C2033" s="57" t="s">
        <v>2623</v>
      </c>
      <c r="D2033" s="57" t="s">
        <v>45</v>
      </c>
      <c r="E2033" s="57" t="s">
        <v>2874</v>
      </c>
      <c r="F2033" s="233">
        <v>45909.01458333333</v>
      </c>
      <c r="G2033" s="57">
        <v>9</v>
      </c>
      <c r="H2033" s="57" t="s">
        <v>2557</v>
      </c>
      <c r="I2033" s="58">
        <v>84298</v>
      </c>
      <c r="J2033" s="234"/>
      <c r="K2033" s="58">
        <v>205.53</v>
      </c>
      <c r="L2033" s="58">
        <v>0</v>
      </c>
      <c r="M2033" s="58">
        <v>0</v>
      </c>
      <c r="N2033" s="58">
        <v>1</v>
      </c>
      <c r="O2033" s="181">
        <f t="shared" si="14"/>
        <v>205.53</v>
      </c>
      <c r="P2033" s="247">
        <f t="shared" si="15"/>
        <v>205.53</v>
      </c>
    </row>
    <row r="2034" spans="1:16" ht="14.25">
      <c r="A2034" s="224">
        <v>2033</v>
      </c>
      <c r="B2034" s="58">
        <v>36</v>
      </c>
      <c r="C2034" s="57" t="s">
        <v>2646</v>
      </c>
      <c r="D2034" s="57" t="s">
        <v>45</v>
      </c>
      <c r="E2034" s="57" t="s">
        <v>2874</v>
      </c>
      <c r="F2034" s="233">
        <v>45909.036805555559</v>
      </c>
      <c r="G2034" s="57">
        <v>9</v>
      </c>
      <c r="H2034" s="57" t="s">
        <v>2557</v>
      </c>
      <c r="I2034" s="58">
        <v>82870</v>
      </c>
      <c r="J2034" s="234"/>
      <c r="K2034" s="58">
        <v>600</v>
      </c>
      <c r="L2034" s="58">
        <v>0</v>
      </c>
      <c r="M2034" s="58">
        <v>0</v>
      </c>
      <c r="N2034" s="58">
        <v>1</v>
      </c>
      <c r="O2034" s="181">
        <f t="shared" si="14"/>
        <v>600</v>
      </c>
      <c r="P2034" s="247">
        <f t="shared" si="15"/>
        <v>600</v>
      </c>
    </row>
    <row r="2035" spans="1:16" ht="14.25">
      <c r="A2035" s="224">
        <v>2034</v>
      </c>
      <c r="B2035" s="58">
        <v>413</v>
      </c>
      <c r="C2035" s="57" t="s">
        <v>5792</v>
      </c>
      <c r="D2035" s="57" t="s">
        <v>45</v>
      </c>
      <c r="E2035" s="57" t="s">
        <v>2860</v>
      </c>
      <c r="F2035" s="233">
        <v>45909.103472222225</v>
      </c>
      <c r="G2035" s="57">
        <v>9</v>
      </c>
      <c r="H2035" s="57" t="s">
        <v>2557</v>
      </c>
      <c r="I2035" s="58">
        <v>83362</v>
      </c>
      <c r="J2035" s="234" t="s">
        <v>5793</v>
      </c>
      <c r="K2035" s="58">
        <v>11.99</v>
      </c>
      <c r="L2035" s="58">
        <v>0</v>
      </c>
      <c r="M2035" s="58">
        <v>0</v>
      </c>
      <c r="N2035" s="58">
        <v>1</v>
      </c>
      <c r="O2035" s="181">
        <f t="shared" si="14"/>
        <v>11.99</v>
      </c>
      <c r="P2035" s="247">
        <f t="shared" si="15"/>
        <v>11.99</v>
      </c>
    </row>
    <row r="2036" spans="1:16" ht="14.25">
      <c r="A2036" s="224">
        <v>2035</v>
      </c>
      <c r="B2036" s="58">
        <v>30374</v>
      </c>
      <c r="C2036" s="57" t="s">
        <v>5794</v>
      </c>
      <c r="D2036" s="57" t="s">
        <v>2582</v>
      </c>
      <c r="E2036" s="57" t="s">
        <v>4772</v>
      </c>
      <c r="F2036" s="233">
        <v>45909.443055555559</v>
      </c>
      <c r="G2036" s="57">
        <v>9</v>
      </c>
      <c r="H2036" s="57" t="s">
        <v>2557</v>
      </c>
      <c r="I2036" s="58">
        <v>84358</v>
      </c>
      <c r="J2036" s="234" t="s">
        <v>1565</v>
      </c>
      <c r="K2036" s="58">
        <v>14.19</v>
      </c>
      <c r="L2036" s="58">
        <v>0.06</v>
      </c>
      <c r="M2036" s="58">
        <v>0</v>
      </c>
      <c r="N2036" s="58">
        <v>7.1298599999999999</v>
      </c>
      <c r="O2036" s="181">
        <f t="shared" si="14"/>
        <v>14.129999999999999</v>
      </c>
      <c r="P2036" s="247">
        <f t="shared" si="15"/>
        <v>1.9818060943693143</v>
      </c>
    </row>
    <row r="2037" spans="1:16" ht="14.25">
      <c r="A2037" s="224">
        <v>2036</v>
      </c>
      <c r="B2037" s="58">
        <v>33768</v>
      </c>
      <c r="C2037" s="57" t="s">
        <v>5795</v>
      </c>
      <c r="D2037" s="57" t="s">
        <v>45</v>
      </c>
      <c r="E2037" s="57" t="s">
        <v>4772</v>
      </c>
      <c r="F2037" s="233">
        <v>45909.476388888892</v>
      </c>
      <c r="G2037" s="57">
        <v>9</v>
      </c>
      <c r="H2037" s="57" t="s">
        <v>2557</v>
      </c>
      <c r="I2037" s="58">
        <v>84370</v>
      </c>
      <c r="J2037" s="234" t="s">
        <v>1563</v>
      </c>
      <c r="K2037" s="58">
        <v>2.4900000000000002</v>
      </c>
      <c r="L2037" s="58">
        <v>0.08</v>
      </c>
      <c r="M2037" s="58">
        <v>0</v>
      </c>
      <c r="N2037" s="58">
        <v>1</v>
      </c>
      <c r="O2037" s="181">
        <f t="shared" si="14"/>
        <v>2.41</v>
      </c>
      <c r="P2037" s="247">
        <f t="shared" si="15"/>
        <v>2.41</v>
      </c>
    </row>
    <row r="2038" spans="1:16" ht="14.25">
      <c r="A2038" s="224">
        <v>2037</v>
      </c>
      <c r="B2038" s="58">
        <v>27903</v>
      </c>
      <c r="C2038" s="57" t="s">
        <v>5168</v>
      </c>
      <c r="D2038" s="57" t="s">
        <v>45</v>
      </c>
      <c r="E2038" s="57" t="s">
        <v>2874</v>
      </c>
      <c r="F2038" s="233">
        <v>45909.638194444444</v>
      </c>
      <c r="G2038" s="57">
        <v>9</v>
      </c>
      <c r="H2038" s="57" t="s">
        <v>2557</v>
      </c>
      <c r="I2038" s="58">
        <v>83386</v>
      </c>
      <c r="J2038" s="234" t="s">
        <v>5796</v>
      </c>
      <c r="K2038" s="58">
        <v>200.5</v>
      </c>
      <c r="L2038" s="58">
        <v>0</v>
      </c>
      <c r="M2038" s="58">
        <v>0</v>
      </c>
      <c r="N2038" s="58">
        <v>1</v>
      </c>
      <c r="O2038" s="181">
        <f t="shared" si="14"/>
        <v>200.5</v>
      </c>
      <c r="P2038" s="247">
        <f t="shared" si="15"/>
        <v>200.5</v>
      </c>
    </row>
    <row r="2039" spans="1:16" ht="14.25">
      <c r="A2039" s="224">
        <v>2038</v>
      </c>
      <c r="B2039" s="58">
        <v>28532</v>
      </c>
      <c r="C2039" s="57" t="s">
        <v>5186</v>
      </c>
      <c r="D2039" s="57" t="s">
        <v>45</v>
      </c>
      <c r="E2039" s="57" t="s">
        <v>4772</v>
      </c>
      <c r="F2039" s="233">
        <v>45909.821527777778</v>
      </c>
      <c r="G2039" s="57">
        <v>9</v>
      </c>
      <c r="H2039" s="57" t="s">
        <v>2557</v>
      </c>
      <c r="I2039" s="58">
        <v>84430</v>
      </c>
      <c r="J2039" s="234" t="s">
        <v>1560</v>
      </c>
      <c r="K2039" s="58">
        <v>11.69</v>
      </c>
      <c r="L2039" s="58">
        <v>0.34</v>
      </c>
      <c r="M2039" s="58">
        <v>0</v>
      </c>
      <c r="N2039" s="58">
        <v>1</v>
      </c>
      <c r="O2039" s="181">
        <f t="shared" si="14"/>
        <v>11.35</v>
      </c>
      <c r="P2039" s="247">
        <f t="shared" si="15"/>
        <v>11.35</v>
      </c>
    </row>
    <row r="2040" spans="1:16" ht="14.25">
      <c r="A2040" s="224">
        <v>2039</v>
      </c>
      <c r="B2040" s="58">
        <v>1560</v>
      </c>
      <c r="C2040" s="57" t="s">
        <v>2630</v>
      </c>
      <c r="D2040" s="57" t="s">
        <v>45</v>
      </c>
      <c r="E2040" s="57" t="s">
        <v>2860</v>
      </c>
      <c r="F2040" s="233">
        <v>45909.936111111114</v>
      </c>
      <c r="G2040" s="57">
        <v>9</v>
      </c>
      <c r="H2040" s="57" t="s">
        <v>2557</v>
      </c>
      <c r="I2040" s="58">
        <v>83002</v>
      </c>
      <c r="J2040" s="234" t="s">
        <v>5797</v>
      </c>
      <c r="K2040" s="58">
        <v>28.91</v>
      </c>
      <c r="L2040" s="58">
        <v>0</v>
      </c>
      <c r="M2040" s="58">
        <v>0</v>
      </c>
      <c r="N2040" s="58">
        <v>1</v>
      </c>
      <c r="O2040" s="181">
        <f t="shared" si="14"/>
        <v>28.91</v>
      </c>
      <c r="P2040" s="247">
        <f t="shared" si="15"/>
        <v>28.91</v>
      </c>
    </row>
    <row r="2041" spans="1:16" ht="14.25">
      <c r="A2041" s="224">
        <v>2040</v>
      </c>
      <c r="B2041" s="58">
        <v>33772</v>
      </c>
      <c r="C2041" s="57" t="s">
        <v>5798</v>
      </c>
      <c r="D2041" s="57" t="s">
        <v>45</v>
      </c>
      <c r="E2041" s="57" t="s">
        <v>4772</v>
      </c>
      <c r="F2041" s="233">
        <v>45939.0625</v>
      </c>
      <c r="G2041" s="57">
        <v>9</v>
      </c>
      <c r="H2041" s="57" t="s">
        <v>2557</v>
      </c>
      <c r="I2041" s="58">
        <v>84442</v>
      </c>
      <c r="J2041" s="234" t="s">
        <v>1558</v>
      </c>
      <c r="K2041" s="58">
        <v>9.99</v>
      </c>
      <c r="L2041" s="58">
        <v>0.28999999999999998</v>
      </c>
      <c r="M2041" s="58">
        <v>0</v>
      </c>
      <c r="N2041" s="58">
        <v>1</v>
      </c>
      <c r="O2041" s="181">
        <f t="shared" si="14"/>
        <v>9.7000000000000011</v>
      </c>
      <c r="P2041" s="247">
        <f t="shared" si="15"/>
        <v>9.7000000000000011</v>
      </c>
    </row>
    <row r="2042" spans="1:16" ht="14.25">
      <c r="A2042" s="224">
        <v>2041</v>
      </c>
      <c r="B2042" s="58">
        <v>33772</v>
      </c>
      <c r="C2042" s="57" t="s">
        <v>5798</v>
      </c>
      <c r="D2042" s="57" t="s">
        <v>45</v>
      </c>
      <c r="E2042" s="57" t="s">
        <v>4772</v>
      </c>
      <c r="F2042" s="233">
        <v>45939.07708333333</v>
      </c>
      <c r="G2042" s="57">
        <v>9</v>
      </c>
      <c r="H2042" s="57" t="s">
        <v>2557</v>
      </c>
      <c r="I2042" s="58">
        <v>84454</v>
      </c>
      <c r="J2042" s="234" t="s">
        <v>1556</v>
      </c>
      <c r="K2042" s="58">
        <v>26</v>
      </c>
      <c r="L2042" s="58">
        <v>0.76</v>
      </c>
      <c r="M2042" s="58">
        <v>0</v>
      </c>
      <c r="N2042" s="58">
        <v>1</v>
      </c>
      <c r="O2042" s="181">
        <f t="shared" ref="O2042:O2296" si="16">K2042-L2042-M2042</f>
        <v>25.24</v>
      </c>
      <c r="P2042" s="247">
        <f t="shared" ref="P2042:P2296" si="17">IF(D2042="USD",O2042,O2042/N2042)</f>
        <v>25.24</v>
      </c>
    </row>
    <row r="2043" spans="1:16" ht="14.25">
      <c r="A2043" s="224">
        <v>2042</v>
      </c>
      <c r="B2043" s="58">
        <v>27977</v>
      </c>
      <c r="C2043" s="57" t="s">
        <v>5012</v>
      </c>
      <c r="D2043" s="57" t="s">
        <v>45</v>
      </c>
      <c r="E2043" s="57" t="s">
        <v>4772</v>
      </c>
      <c r="F2043" s="233">
        <v>45939.381944444445</v>
      </c>
      <c r="G2043" s="57">
        <v>9</v>
      </c>
      <c r="H2043" s="57" t="s">
        <v>2557</v>
      </c>
      <c r="I2043" s="58">
        <v>82774</v>
      </c>
      <c r="J2043" s="234" t="s">
        <v>1567</v>
      </c>
      <c r="K2043" s="58">
        <v>60.99</v>
      </c>
      <c r="L2043" s="58">
        <v>1.77</v>
      </c>
      <c r="M2043" s="58">
        <v>0</v>
      </c>
      <c r="N2043" s="58">
        <v>1</v>
      </c>
      <c r="O2043" s="181">
        <f t="shared" si="16"/>
        <v>59.22</v>
      </c>
      <c r="P2043" s="247">
        <f t="shared" si="17"/>
        <v>59.22</v>
      </c>
    </row>
    <row r="2044" spans="1:16" ht="14.25">
      <c r="A2044" s="224">
        <v>2043</v>
      </c>
      <c r="B2044" s="58">
        <v>25163</v>
      </c>
      <c r="C2044" s="57" t="s">
        <v>4531</v>
      </c>
      <c r="D2044" s="57" t="s">
        <v>45</v>
      </c>
      <c r="E2044" s="57" t="s">
        <v>2860</v>
      </c>
      <c r="F2044" s="233">
        <v>45939.626388888886</v>
      </c>
      <c r="G2044" s="57">
        <v>9</v>
      </c>
      <c r="H2044" s="57" t="s">
        <v>2557</v>
      </c>
      <c r="I2044" s="58">
        <v>82786</v>
      </c>
      <c r="J2044" s="234" t="s">
        <v>5799</v>
      </c>
      <c r="K2044" s="58">
        <v>4.49</v>
      </c>
      <c r="L2044" s="58">
        <v>0</v>
      </c>
      <c r="M2044" s="58">
        <v>0</v>
      </c>
      <c r="N2044" s="58">
        <v>1</v>
      </c>
      <c r="O2044" s="181">
        <f t="shared" si="16"/>
        <v>4.49</v>
      </c>
      <c r="P2044" s="247">
        <f t="shared" si="17"/>
        <v>4.49</v>
      </c>
    </row>
    <row r="2045" spans="1:16" ht="14.25">
      <c r="A2045" s="224">
        <v>2044</v>
      </c>
      <c r="B2045" s="58">
        <v>33769</v>
      </c>
      <c r="C2045" s="57" t="s">
        <v>5800</v>
      </c>
      <c r="D2045" s="57" t="s">
        <v>45</v>
      </c>
      <c r="E2045" s="57" t="s">
        <v>2874</v>
      </c>
      <c r="F2045" s="233">
        <v>45939.695138888892</v>
      </c>
      <c r="G2045" s="57">
        <v>9</v>
      </c>
      <c r="H2045" s="57" t="s">
        <v>2557</v>
      </c>
      <c r="I2045" s="58">
        <v>84406</v>
      </c>
      <c r="J2045" s="234" t="s">
        <v>5801</v>
      </c>
      <c r="K2045" s="58">
        <v>12.78</v>
      </c>
      <c r="L2045" s="58">
        <v>0</v>
      </c>
      <c r="M2045" s="58">
        <v>0</v>
      </c>
      <c r="N2045" s="58">
        <v>1</v>
      </c>
      <c r="O2045" s="181">
        <f t="shared" si="16"/>
        <v>12.78</v>
      </c>
      <c r="P2045" s="247">
        <f t="shared" si="17"/>
        <v>12.78</v>
      </c>
    </row>
    <row r="2046" spans="1:16" ht="14.25">
      <c r="A2046" s="224">
        <v>2045</v>
      </c>
      <c r="B2046" s="58">
        <v>6798</v>
      </c>
      <c r="C2046" s="57" t="s">
        <v>2921</v>
      </c>
      <c r="D2046" s="57" t="s">
        <v>45</v>
      </c>
      <c r="E2046" s="57" t="s">
        <v>2874</v>
      </c>
      <c r="F2046" s="233">
        <v>45970.457638888889</v>
      </c>
      <c r="G2046" s="57">
        <v>9</v>
      </c>
      <c r="H2046" s="57" t="s">
        <v>2557</v>
      </c>
      <c r="I2046" s="58">
        <v>84562</v>
      </c>
      <c r="J2046" s="234"/>
      <c r="K2046" s="58">
        <v>827</v>
      </c>
      <c r="L2046" s="58">
        <v>0</v>
      </c>
      <c r="M2046" s="58">
        <v>0</v>
      </c>
      <c r="N2046" s="58">
        <v>1</v>
      </c>
      <c r="O2046" s="181">
        <f t="shared" si="16"/>
        <v>827</v>
      </c>
      <c r="P2046" s="247">
        <f t="shared" si="17"/>
        <v>827</v>
      </c>
    </row>
    <row r="2047" spans="1:16" ht="14.25">
      <c r="A2047" s="224">
        <v>2046</v>
      </c>
      <c r="B2047" s="58">
        <v>6798</v>
      </c>
      <c r="C2047" s="57" t="s">
        <v>2921</v>
      </c>
      <c r="D2047" s="57" t="s">
        <v>45</v>
      </c>
      <c r="E2047" s="57" t="s">
        <v>3655</v>
      </c>
      <c r="F2047" s="233">
        <v>45970.457638888889</v>
      </c>
      <c r="G2047" s="57">
        <v>9</v>
      </c>
      <c r="H2047" s="57" t="s">
        <v>2557</v>
      </c>
      <c r="I2047" s="58">
        <v>81238</v>
      </c>
      <c r="J2047" s="234"/>
      <c r="K2047" s="58">
        <v>232</v>
      </c>
      <c r="L2047" s="58">
        <v>0</v>
      </c>
      <c r="M2047" s="58">
        <v>0</v>
      </c>
      <c r="N2047" s="58">
        <v>1</v>
      </c>
      <c r="O2047" s="181">
        <f t="shared" si="16"/>
        <v>232</v>
      </c>
      <c r="P2047" s="247">
        <f t="shared" si="17"/>
        <v>232</v>
      </c>
    </row>
    <row r="2048" spans="1:16" ht="14.25">
      <c r="A2048" s="224">
        <v>2047</v>
      </c>
      <c r="B2048" s="58">
        <v>19972</v>
      </c>
      <c r="C2048" s="57" t="s">
        <v>3283</v>
      </c>
      <c r="D2048" s="57" t="s">
        <v>45</v>
      </c>
      <c r="E2048" s="57" t="s">
        <v>2860</v>
      </c>
      <c r="F2048" s="233">
        <v>45970.681250000001</v>
      </c>
      <c r="G2048" s="57">
        <v>9</v>
      </c>
      <c r="H2048" s="57" t="s">
        <v>2557</v>
      </c>
      <c r="I2048" s="58">
        <v>83710</v>
      </c>
      <c r="J2048" s="234" t="s">
        <v>5802</v>
      </c>
      <c r="K2048" s="58">
        <v>17.989999999999998</v>
      </c>
      <c r="L2048" s="58">
        <v>0</v>
      </c>
      <c r="M2048" s="58">
        <v>0</v>
      </c>
      <c r="N2048" s="58">
        <v>1</v>
      </c>
      <c r="O2048" s="181">
        <f t="shared" si="16"/>
        <v>17.989999999999998</v>
      </c>
      <c r="P2048" s="247">
        <f t="shared" si="17"/>
        <v>17.989999999999998</v>
      </c>
    </row>
    <row r="2049" spans="1:16" ht="14.25">
      <c r="A2049" s="224">
        <v>2048</v>
      </c>
      <c r="B2049" s="58">
        <v>7698</v>
      </c>
      <c r="C2049" s="57" t="s">
        <v>2710</v>
      </c>
      <c r="D2049" s="57" t="s">
        <v>45</v>
      </c>
      <c r="E2049" s="57" t="s">
        <v>2874</v>
      </c>
      <c r="F2049" s="233">
        <v>45970.768055555556</v>
      </c>
      <c r="G2049" s="57">
        <v>9</v>
      </c>
      <c r="H2049" s="57" t="s">
        <v>2557</v>
      </c>
      <c r="I2049" s="58">
        <v>83350</v>
      </c>
      <c r="J2049" s="234" t="s">
        <v>5803</v>
      </c>
      <c r="K2049" s="58">
        <v>17.989999999999998</v>
      </c>
      <c r="L2049" s="58">
        <v>0</v>
      </c>
      <c r="M2049" s="58">
        <v>0</v>
      </c>
      <c r="N2049" s="58">
        <v>1</v>
      </c>
      <c r="O2049" s="181">
        <f t="shared" si="16"/>
        <v>17.989999999999998</v>
      </c>
      <c r="P2049" s="247">
        <f t="shared" si="17"/>
        <v>17.989999999999998</v>
      </c>
    </row>
    <row r="2050" spans="1:16" ht="14.25">
      <c r="A2050" s="224">
        <v>2049</v>
      </c>
      <c r="B2050" s="58">
        <v>383</v>
      </c>
      <c r="C2050" s="57" t="s">
        <v>5804</v>
      </c>
      <c r="D2050" s="57" t="s">
        <v>45</v>
      </c>
      <c r="E2050" s="57" t="s">
        <v>9</v>
      </c>
      <c r="F2050" s="233">
        <v>45970.774305555555</v>
      </c>
      <c r="G2050" s="57">
        <v>9</v>
      </c>
      <c r="H2050" s="57" t="s">
        <v>2557</v>
      </c>
      <c r="I2050" s="58">
        <v>82882</v>
      </c>
      <c r="J2050" s="234" t="s">
        <v>657</v>
      </c>
      <c r="K2050" s="58">
        <v>2.99</v>
      </c>
      <c r="L2050" s="58">
        <v>0.59</v>
      </c>
      <c r="M2050" s="58">
        <v>0</v>
      </c>
      <c r="N2050" s="58">
        <v>1</v>
      </c>
      <c r="O2050" s="181">
        <f t="shared" si="16"/>
        <v>2.4000000000000004</v>
      </c>
      <c r="P2050" s="247">
        <f t="shared" si="17"/>
        <v>2.4000000000000004</v>
      </c>
    </row>
    <row r="2051" spans="1:16" ht="14.25">
      <c r="A2051" s="224">
        <v>2050</v>
      </c>
      <c r="B2051" s="58">
        <v>19314</v>
      </c>
      <c r="C2051" s="57" t="s">
        <v>3119</v>
      </c>
      <c r="D2051" s="57" t="s">
        <v>45</v>
      </c>
      <c r="E2051" s="57" t="s">
        <v>2860</v>
      </c>
      <c r="F2051" s="233">
        <v>45970.953472222223</v>
      </c>
      <c r="G2051" s="57">
        <v>9</v>
      </c>
      <c r="H2051" s="57" t="s">
        <v>2557</v>
      </c>
      <c r="I2051" s="58">
        <v>84586</v>
      </c>
      <c r="J2051" s="234"/>
      <c r="K2051" s="58">
        <v>15.25</v>
      </c>
      <c r="L2051" s="58">
        <v>0</v>
      </c>
      <c r="M2051" s="58">
        <v>0</v>
      </c>
      <c r="N2051" s="58">
        <v>1</v>
      </c>
      <c r="O2051" s="181">
        <f t="shared" si="16"/>
        <v>15.25</v>
      </c>
      <c r="P2051" s="247">
        <f t="shared" si="17"/>
        <v>15.25</v>
      </c>
    </row>
    <row r="2052" spans="1:16" ht="14.25">
      <c r="A2052" s="224">
        <v>2051</v>
      </c>
      <c r="B2052" s="58">
        <v>19889</v>
      </c>
      <c r="C2052" s="57" t="s">
        <v>3227</v>
      </c>
      <c r="D2052" s="57" t="s">
        <v>45</v>
      </c>
      <c r="E2052" s="57" t="s">
        <v>2860</v>
      </c>
      <c r="F2052" s="233">
        <v>45970.98333333333</v>
      </c>
      <c r="G2052" s="57">
        <v>9</v>
      </c>
      <c r="H2052" s="57" t="s">
        <v>2557</v>
      </c>
      <c r="I2052" s="58">
        <v>84598</v>
      </c>
      <c r="J2052" s="234" t="s">
        <v>5805</v>
      </c>
      <c r="K2052" s="58">
        <v>8.2799999999999994</v>
      </c>
      <c r="L2052" s="58">
        <v>0</v>
      </c>
      <c r="M2052" s="58">
        <v>0</v>
      </c>
      <c r="N2052" s="58">
        <v>1</v>
      </c>
      <c r="O2052" s="181">
        <f t="shared" si="16"/>
        <v>8.2799999999999994</v>
      </c>
      <c r="P2052" s="247">
        <f t="shared" si="17"/>
        <v>8.2799999999999994</v>
      </c>
    </row>
    <row r="2053" spans="1:16" ht="14.25">
      <c r="A2053" s="224">
        <v>2052</v>
      </c>
      <c r="B2053" s="58">
        <v>33864</v>
      </c>
      <c r="C2053" s="57" t="s">
        <v>5806</v>
      </c>
      <c r="D2053" s="57" t="s">
        <v>2582</v>
      </c>
      <c r="E2053" s="57" t="s">
        <v>4772</v>
      </c>
      <c r="F2053" s="233">
        <v>46000.39166666667</v>
      </c>
      <c r="G2053" s="57">
        <v>9</v>
      </c>
      <c r="H2053" s="57" t="s">
        <v>2557</v>
      </c>
      <c r="I2053" s="58">
        <v>84718</v>
      </c>
      <c r="J2053" s="234" t="s">
        <v>1571</v>
      </c>
      <c r="K2053" s="58">
        <v>28.43</v>
      </c>
      <c r="L2053" s="58">
        <v>0.12</v>
      </c>
      <c r="M2053" s="58">
        <v>0</v>
      </c>
      <c r="N2053" s="58">
        <v>7.1246900000000002</v>
      </c>
      <c r="O2053" s="181">
        <f t="shared" si="16"/>
        <v>28.31</v>
      </c>
      <c r="P2053" s="247">
        <f t="shared" si="17"/>
        <v>3.9735062157090342</v>
      </c>
    </row>
    <row r="2054" spans="1:16" ht="14.25">
      <c r="A2054" s="224">
        <v>2053</v>
      </c>
      <c r="B2054" s="58">
        <v>21990</v>
      </c>
      <c r="C2054" s="57" t="s">
        <v>3821</v>
      </c>
      <c r="D2054" s="57" t="s">
        <v>45</v>
      </c>
      <c r="E2054" s="57" t="s">
        <v>2860</v>
      </c>
      <c r="F2054" s="233">
        <v>46000.527083333334</v>
      </c>
      <c r="G2054" s="57">
        <v>9</v>
      </c>
      <c r="H2054" s="57" t="s">
        <v>2557</v>
      </c>
      <c r="I2054" s="58">
        <v>83374</v>
      </c>
      <c r="J2054" s="234" t="s">
        <v>5807</v>
      </c>
      <c r="K2054" s="58">
        <v>16.09</v>
      </c>
      <c r="L2054" s="58">
        <v>0</v>
      </c>
      <c r="M2054" s="58">
        <v>0</v>
      </c>
      <c r="N2054" s="58">
        <v>1</v>
      </c>
      <c r="O2054" s="181">
        <f t="shared" si="16"/>
        <v>16.09</v>
      </c>
      <c r="P2054" s="247">
        <f t="shared" si="17"/>
        <v>16.09</v>
      </c>
    </row>
    <row r="2055" spans="1:16" ht="14.25">
      <c r="A2055" s="224">
        <v>2054</v>
      </c>
      <c r="B2055" s="58">
        <v>33870</v>
      </c>
      <c r="C2055" s="57" t="s">
        <v>5808</v>
      </c>
      <c r="D2055" s="57" t="s">
        <v>45</v>
      </c>
      <c r="E2055" s="57" t="s">
        <v>4772</v>
      </c>
      <c r="F2055" s="233">
        <v>46000.963194444441</v>
      </c>
      <c r="G2055" s="57">
        <v>9</v>
      </c>
      <c r="H2055" s="57" t="s">
        <v>2557</v>
      </c>
      <c r="I2055" s="58">
        <v>84730</v>
      </c>
      <c r="J2055" s="234" t="s">
        <v>1569</v>
      </c>
      <c r="K2055" s="58">
        <v>2.99</v>
      </c>
      <c r="L2055" s="58">
        <v>0.09</v>
      </c>
      <c r="M2055" s="58">
        <v>0</v>
      </c>
      <c r="N2055" s="58">
        <v>1</v>
      </c>
      <c r="O2055" s="181">
        <f t="shared" si="16"/>
        <v>2.9000000000000004</v>
      </c>
      <c r="P2055" s="247">
        <f t="shared" si="17"/>
        <v>2.9000000000000004</v>
      </c>
    </row>
    <row r="2056" spans="1:16" ht="14.25">
      <c r="A2056" s="224">
        <v>2055</v>
      </c>
      <c r="B2056" s="58">
        <v>6794</v>
      </c>
      <c r="C2056" s="57" t="s">
        <v>2623</v>
      </c>
      <c r="D2056" s="57" t="s">
        <v>45</v>
      </c>
      <c r="E2056" s="57" t="s">
        <v>2874</v>
      </c>
      <c r="F2056" s="58" t="s">
        <v>5809</v>
      </c>
      <c r="G2056" s="57">
        <v>9</v>
      </c>
      <c r="H2056" s="57" t="s">
        <v>2557</v>
      </c>
      <c r="I2056" s="58">
        <v>84802</v>
      </c>
      <c r="J2056" s="234" t="s">
        <v>5810</v>
      </c>
      <c r="K2056" s="58">
        <v>126</v>
      </c>
      <c r="L2056" s="58">
        <v>0</v>
      </c>
      <c r="M2056" s="58">
        <v>0</v>
      </c>
      <c r="N2056" s="58">
        <v>1</v>
      </c>
      <c r="O2056" s="181">
        <f t="shared" si="16"/>
        <v>126</v>
      </c>
      <c r="P2056" s="247">
        <f t="shared" si="17"/>
        <v>126</v>
      </c>
    </row>
    <row r="2057" spans="1:16" ht="14.25">
      <c r="A2057" s="224">
        <v>2056</v>
      </c>
      <c r="B2057" s="58">
        <v>4758</v>
      </c>
      <c r="C2057" s="57" t="s">
        <v>5811</v>
      </c>
      <c r="D2057" s="57" t="s">
        <v>45</v>
      </c>
      <c r="E2057" s="57" t="s">
        <v>4772</v>
      </c>
      <c r="F2057" s="58" t="s">
        <v>5812</v>
      </c>
      <c r="G2057" s="57">
        <v>9</v>
      </c>
      <c r="H2057" s="57" t="s">
        <v>2557</v>
      </c>
      <c r="I2057" s="58">
        <v>84814</v>
      </c>
      <c r="J2057" s="234" t="s">
        <v>1574</v>
      </c>
      <c r="K2057" s="58">
        <v>5.49</v>
      </c>
      <c r="L2057" s="58">
        <v>0.16</v>
      </c>
      <c r="M2057" s="58">
        <v>0</v>
      </c>
      <c r="N2057" s="58">
        <v>1</v>
      </c>
      <c r="O2057" s="181">
        <f t="shared" si="16"/>
        <v>5.33</v>
      </c>
      <c r="P2057" s="247">
        <f t="shared" si="17"/>
        <v>5.33</v>
      </c>
    </row>
    <row r="2058" spans="1:16" ht="14.25">
      <c r="A2058" s="224">
        <v>2057</v>
      </c>
      <c r="B2058" s="58">
        <v>28570</v>
      </c>
      <c r="C2058" s="57" t="s">
        <v>5137</v>
      </c>
      <c r="D2058" s="57" t="s">
        <v>2582</v>
      </c>
      <c r="E2058" s="57" t="s">
        <v>2860</v>
      </c>
      <c r="F2058" s="58" t="s">
        <v>5813</v>
      </c>
      <c r="G2058" s="57">
        <v>9</v>
      </c>
      <c r="H2058" s="57" t="s">
        <v>2557</v>
      </c>
      <c r="I2058" s="58">
        <v>83398</v>
      </c>
      <c r="J2058" s="234" t="s">
        <v>5814</v>
      </c>
      <c r="K2058" s="58">
        <v>39.39</v>
      </c>
      <c r="L2058" s="58">
        <v>0</v>
      </c>
      <c r="M2058" s="58">
        <v>0</v>
      </c>
      <c r="N2058" s="58">
        <v>7.1224600000000002</v>
      </c>
      <c r="O2058" s="181">
        <f t="shared" si="16"/>
        <v>39.39</v>
      </c>
      <c r="P2058" s="247">
        <f t="shared" si="17"/>
        <v>5.5303925890773691</v>
      </c>
    </row>
    <row r="2059" spans="1:16" ht="14.25">
      <c r="A2059" s="224">
        <v>2058</v>
      </c>
      <c r="B2059" s="58">
        <v>21990</v>
      </c>
      <c r="C2059" s="57" t="s">
        <v>3821</v>
      </c>
      <c r="D2059" s="57" t="s">
        <v>45</v>
      </c>
      <c r="E2059" s="57" t="s">
        <v>2860</v>
      </c>
      <c r="F2059" s="58" t="s">
        <v>5815</v>
      </c>
      <c r="G2059" s="57">
        <v>9</v>
      </c>
      <c r="H2059" s="57" t="s">
        <v>2557</v>
      </c>
      <c r="I2059" s="58">
        <v>84838</v>
      </c>
      <c r="J2059" s="234" t="s">
        <v>5816</v>
      </c>
      <c r="K2059" s="58">
        <v>94.5</v>
      </c>
      <c r="L2059" s="58">
        <v>0</v>
      </c>
      <c r="M2059" s="58">
        <v>0</v>
      </c>
      <c r="N2059" s="58">
        <v>1</v>
      </c>
      <c r="O2059" s="181">
        <f t="shared" si="16"/>
        <v>94.5</v>
      </c>
      <c r="P2059" s="247">
        <f t="shared" si="17"/>
        <v>94.5</v>
      </c>
    </row>
    <row r="2060" spans="1:16" ht="14.25">
      <c r="A2060" s="224">
        <v>2059</v>
      </c>
      <c r="B2060" s="58">
        <v>21990</v>
      </c>
      <c r="C2060" s="57" t="s">
        <v>3821</v>
      </c>
      <c r="D2060" s="57" t="s">
        <v>45</v>
      </c>
      <c r="E2060" s="57" t="s">
        <v>2860</v>
      </c>
      <c r="F2060" s="58" t="s">
        <v>5817</v>
      </c>
      <c r="G2060" s="57">
        <v>9</v>
      </c>
      <c r="H2060" s="57" t="s">
        <v>5818</v>
      </c>
      <c r="I2060" s="58">
        <v>84838</v>
      </c>
      <c r="J2060" s="234"/>
      <c r="K2060" s="58">
        <v>0</v>
      </c>
      <c r="L2060" s="58">
        <v>0</v>
      </c>
      <c r="M2060" s="58">
        <v>73.5</v>
      </c>
      <c r="N2060" s="58">
        <v>1</v>
      </c>
      <c r="O2060" s="181">
        <f t="shared" si="16"/>
        <v>-73.5</v>
      </c>
      <c r="P2060" s="247">
        <f t="shared" si="17"/>
        <v>-73.5</v>
      </c>
    </row>
    <row r="2061" spans="1:16" ht="14.25">
      <c r="A2061" s="224">
        <v>2060</v>
      </c>
      <c r="B2061" s="58">
        <v>33894</v>
      </c>
      <c r="C2061" s="57" t="s">
        <v>5819</v>
      </c>
      <c r="D2061" s="57" t="s">
        <v>45</v>
      </c>
      <c r="E2061" s="57" t="s">
        <v>2860</v>
      </c>
      <c r="F2061" s="58" t="s">
        <v>5820</v>
      </c>
      <c r="G2061" s="57">
        <v>9</v>
      </c>
      <c r="H2061" s="57" t="s">
        <v>2557</v>
      </c>
      <c r="I2061" s="58">
        <v>84862</v>
      </c>
      <c r="J2061" s="234" t="s">
        <v>5821</v>
      </c>
      <c r="K2061" s="58">
        <v>1.99</v>
      </c>
      <c r="L2061" s="58">
        <v>0</v>
      </c>
      <c r="M2061" s="58">
        <v>0</v>
      </c>
      <c r="N2061" s="58">
        <v>1</v>
      </c>
      <c r="O2061" s="181">
        <f t="shared" si="16"/>
        <v>1.99</v>
      </c>
      <c r="P2061" s="247">
        <f t="shared" si="17"/>
        <v>1.99</v>
      </c>
    </row>
    <row r="2062" spans="1:16" ht="14.25">
      <c r="A2062" s="224">
        <v>2061</v>
      </c>
      <c r="B2062" s="58">
        <v>28543</v>
      </c>
      <c r="C2062" s="57" t="s">
        <v>5127</v>
      </c>
      <c r="D2062" s="57" t="s">
        <v>2582</v>
      </c>
      <c r="E2062" s="57" t="s">
        <v>2860</v>
      </c>
      <c r="F2062" s="58" t="s">
        <v>5822</v>
      </c>
      <c r="G2062" s="57">
        <v>9</v>
      </c>
      <c r="H2062" s="57" t="s">
        <v>2557</v>
      </c>
      <c r="I2062" s="58">
        <v>83266</v>
      </c>
      <c r="J2062" s="234" t="s">
        <v>5823</v>
      </c>
      <c r="K2062" s="58">
        <v>892.8</v>
      </c>
      <c r="L2062" s="58">
        <v>0</v>
      </c>
      <c r="M2062" s="58">
        <v>0</v>
      </c>
      <c r="N2062" s="58">
        <v>7.1224600000000002</v>
      </c>
      <c r="O2062" s="181">
        <f t="shared" si="16"/>
        <v>892.8</v>
      </c>
      <c r="P2062" s="247">
        <f t="shared" si="17"/>
        <v>125.34994931526465</v>
      </c>
    </row>
    <row r="2063" spans="1:16" ht="14.25">
      <c r="A2063" s="224">
        <v>2062</v>
      </c>
      <c r="B2063" s="58">
        <v>27977</v>
      </c>
      <c r="C2063" s="57" t="s">
        <v>5012</v>
      </c>
      <c r="D2063" s="57" t="s">
        <v>45</v>
      </c>
      <c r="E2063" s="57" t="s">
        <v>4772</v>
      </c>
      <c r="F2063" s="58" t="s">
        <v>5824</v>
      </c>
      <c r="G2063" s="57">
        <v>9</v>
      </c>
      <c r="H2063" s="57" t="s">
        <v>2557</v>
      </c>
      <c r="I2063" s="58">
        <v>82906</v>
      </c>
      <c r="J2063" s="234" t="s">
        <v>1580</v>
      </c>
      <c r="K2063" s="58">
        <v>70.989999999999995</v>
      </c>
      <c r="L2063" s="58">
        <v>2.06</v>
      </c>
      <c r="M2063" s="58">
        <v>0</v>
      </c>
      <c r="N2063" s="58">
        <v>1</v>
      </c>
      <c r="O2063" s="181">
        <f t="shared" si="16"/>
        <v>68.929999999999993</v>
      </c>
      <c r="P2063" s="247">
        <f t="shared" si="17"/>
        <v>68.929999999999993</v>
      </c>
    </row>
    <row r="2064" spans="1:16" ht="14.25">
      <c r="A2064" s="224">
        <v>2063</v>
      </c>
      <c r="B2064" s="58">
        <v>33906</v>
      </c>
      <c r="C2064" s="57" t="s">
        <v>680</v>
      </c>
      <c r="D2064" s="57" t="s">
        <v>2582</v>
      </c>
      <c r="E2064" s="57" t="s">
        <v>4772</v>
      </c>
      <c r="F2064" s="58" t="s">
        <v>5825</v>
      </c>
      <c r="G2064" s="57">
        <v>9</v>
      </c>
      <c r="H2064" s="57" t="s">
        <v>2557</v>
      </c>
      <c r="I2064" s="58">
        <v>84970</v>
      </c>
      <c r="J2064" s="234" t="s">
        <v>1577</v>
      </c>
      <c r="K2064" s="58">
        <v>113.89</v>
      </c>
      <c r="L2064" s="58">
        <v>0.47</v>
      </c>
      <c r="M2064" s="58">
        <v>0</v>
      </c>
      <c r="N2064" s="58">
        <v>7.1224600000000002</v>
      </c>
      <c r="O2064" s="181">
        <f t="shared" si="16"/>
        <v>113.42</v>
      </c>
      <c r="P2064" s="247">
        <f t="shared" si="17"/>
        <v>15.924273354992517</v>
      </c>
    </row>
    <row r="2065" spans="1:16" ht="14.25">
      <c r="A2065" s="224">
        <v>2064</v>
      </c>
      <c r="B2065" s="58">
        <v>24787</v>
      </c>
      <c r="C2065" s="57" t="s">
        <v>4298</v>
      </c>
      <c r="D2065" s="57" t="s">
        <v>45</v>
      </c>
      <c r="E2065" s="57" t="s">
        <v>2860</v>
      </c>
      <c r="F2065" s="58" t="s">
        <v>5826</v>
      </c>
      <c r="G2065" s="57">
        <v>9</v>
      </c>
      <c r="H2065" s="57" t="s">
        <v>2557</v>
      </c>
      <c r="I2065" s="58">
        <v>84910</v>
      </c>
      <c r="J2065" s="234" t="s">
        <v>5827</v>
      </c>
      <c r="K2065" s="58">
        <v>19.989999999999998</v>
      </c>
      <c r="L2065" s="58">
        <v>0</v>
      </c>
      <c r="M2065" s="58">
        <v>0</v>
      </c>
      <c r="N2065" s="58">
        <v>1</v>
      </c>
      <c r="O2065" s="181">
        <f t="shared" si="16"/>
        <v>19.989999999999998</v>
      </c>
      <c r="P2065" s="247">
        <f t="shared" si="17"/>
        <v>19.989999999999998</v>
      </c>
    </row>
    <row r="2066" spans="1:16" ht="14.25">
      <c r="A2066" s="224">
        <v>2065</v>
      </c>
      <c r="B2066" s="58">
        <v>20196</v>
      </c>
      <c r="C2066" s="57" t="s">
        <v>3404</v>
      </c>
      <c r="D2066" s="57" t="s">
        <v>45</v>
      </c>
      <c r="E2066" s="57" t="s">
        <v>2860</v>
      </c>
      <c r="F2066" s="58" t="s">
        <v>5828</v>
      </c>
      <c r="G2066" s="57">
        <v>9</v>
      </c>
      <c r="H2066" s="57" t="s">
        <v>2557</v>
      </c>
      <c r="I2066" s="58">
        <v>84130</v>
      </c>
      <c r="J2066" s="234" t="s">
        <v>5829</v>
      </c>
      <c r="K2066" s="58">
        <v>8.99</v>
      </c>
      <c r="L2066" s="58">
        <v>0</v>
      </c>
      <c r="M2066" s="58">
        <v>0</v>
      </c>
      <c r="N2066" s="58">
        <v>1</v>
      </c>
      <c r="O2066" s="181">
        <f t="shared" si="16"/>
        <v>8.99</v>
      </c>
      <c r="P2066" s="247">
        <f t="shared" si="17"/>
        <v>8.99</v>
      </c>
    </row>
    <row r="2067" spans="1:16" ht="14.25">
      <c r="A2067" s="224">
        <v>2066</v>
      </c>
      <c r="B2067" s="58">
        <v>19962</v>
      </c>
      <c r="C2067" s="57" t="s">
        <v>3276</v>
      </c>
      <c r="D2067" s="57" t="s">
        <v>2582</v>
      </c>
      <c r="E2067" s="57" t="s">
        <v>4772</v>
      </c>
      <c r="F2067" s="58" t="s">
        <v>5830</v>
      </c>
      <c r="G2067" s="57">
        <v>9</v>
      </c>
      <c r="H2067" s="57" t="s">
        <v>2557</v>
      </c>
      <c r="I2067" s="58">
        <v>83530</v>
      </c>
      <c r="J2067" s="234" t="s">
        <v>5831</v>
      </c>
      <c r="K2067" s="58">
        <v>14.39</v>
      </c>
      <c r="L2067" s="58">
        <v>0</v>
      </c>
      <c r="M2067" s="58">
        <v>0</v>
      </c>
      <c r="N2067" s="58">
        <v>7.1224600000000002</v>
      </c>
      <c r="O2067" s="181">
        <f t="shared" si="16"/>
        <v>14.39</v>
      </c>
      <c r="P2067" s="247">
        <f t="shared" si="17"/>
        <v>2.0203693667637306</v>
      </c>
    </row>
    <row r="2068" spans="1:16" ht="14.25">
      <c r="A2068" s="224">
        <v>2067</v>
      </c>
      <c r="B2068" s="58">
        <v>19962</v>
      </c>
      <c r="C2068" s="57" t="s">
        <v>3276</v>
      </c>
      <c r="D2068" s="57" t="s">
        <v>2582</v>
      </c>
      <c r="E2068" s="57" t="s">
        <v>4772</v>
      </c>
      <c r="F2068" s="58" t="s">
        <v>5832</v>
      </c>
      <c r="G2068" s="57">
        <v>9</v>
      </c>
      <c r="H2068" s="57" t="s">
        <v>2557</v>
      </c>
      <c r="I2068" s="58">
        <v>83530</v>
      </c>
      <c r="J2068" s="234"/>
      <c r="K2068" s="58">
        <v>0.01</v>
      </c>
      <c r="L2068" s="58">
        <v>0</v>
      </c>
      <c r="M2068" s="58">
        <v>0</v>
      </c>
      <c r="N2068" s="58">
        <v>7.1224600000000002</v>
      </c>
      <c r="O2068" s="181">
        <f t="shared" si="16"/>
        <v>0.01</v>
      </c>
      <c r="P2068" s="247">
        <f t="shared" si="17"/>
        <v>1.4040092889254555E-3</v>
      </c>
    </row>
    <row r="2069" spans="1:16" ht="14.25">
      <c r="A2069" s="224">
        <v>2068</v>
      </c>
      <c r="B2069" s="58">
        <v>24205</v>
      </c>
      <c r="C2069" s="57" t="s">
        <v>4159</v>
      </c>
      <c r="D2069" s="57" t="s">
        <v>45</v>
      </c>
      <c r="E2069" s="57" t="s">
        <v>2860</v>
      </c>
      <c r="F2069" s="58" t="s">
        <v>5833</v>
      </c>
      <c r="G2069" s="57">
        <v>9</v>
      </c>
      <c r="H2069" s="57" t="s">
        <v>2557</v>
      </c>
      <c r="I2069" s="58">
        <v>83254</v>
      </c>
      <c r="J2069" s="234" t="s">
        <v>5834</v>
      </c>
      <c r="K2069" s="58">
        <v>11.69</v>
      </c>
      <c r="L2069" s="58">
        <v>0</v>
      </c>
      <c r="M2069" s="58">
        <v>0</v>
      </c>
      <c r="N2069" s="58">
        <v>1</v>
      </c>
      <c r="O2069" s="181">
        <f t="shared" si="16"/>
        <v>11.69</v>
      </c>
      <c r="P2069" s="247">
        <f t="shared" si="17"/>
        <v>11.69</v>
      </c>
    </row>
    <row r="2070" spans="1:16" ht="14.25">
      <c r="A2070" s="224">
        <v>2069</v>
      </c>
      <c r="B2070" s="58">
        <v>26470</v>
      </c>
      <c r="C2070" s="57" t="s">
        <v>4808</v>
      </c>
      <c r="D2070" s="57" t="s">
        <v>45</v>
      </c>
      <c r="E2070" s="57" t="s">
        <v>2860</v>
      </c>
      <c r="F2070" s="58" t="s">
        <v>5835</v>
      </c>
      <c r="G2070" s="57">
        <v>9</v>
      </c>
      <c r="H2070" s="57" t="s">
        <v>2557</v>
      </c>
      <c r="I2070" s="58">
        <v>84826</v>
      </c>
      <c r="J2070" s="234" t="s">
        <v>5836</v>
      </c>
      <c r="K2070" s="58">
        <v>30</v>
      </c>
      <c r="L2070" s="58">
        <v>0</v>
      </c>
      <c r="M2070" s="58">
        <v>0</v>
      </c>
      <c r="N2070" s="58">
        <v>1</v>
      </c>
      <c r="O2070" s="181">
        <f t="shared" si="16"/>
        <v>30</v>
      </c>
      <c r="P2070" s="247">
        <f t="shared" si="17"/>
        <v>30</v>
      </c>
    </row>
    <row r="2071" spans="1:16" ht="14.25">
      <c r="A2071" s="224">
        <v>2070</v>
      </c>
      <c r="B2071" s="58">
        <v>28946</v>
      </c>
      <c r="C2071" s="57" t="s">
        <v>5337</v>
      </c>
      <c r="D2071" s="57" t="s">
        <v>2582</v>
      </c>
      <c r="E2071" s="57" t="s">
        <v>4772</v>
      </c>
      <c r="F2071" s="58" t="s">
        <v>5837</v>
      </c>
      <c r="G2071" s="57">
        <v>9</v>
      </c>
      <c r="H2071" s="57" t="s">
        <v>2557</v>
      </c>
      <c r="I2071" s="58">
        <v>85018</v>
      </c>
      <c r="J2071" s="234" t="s">
        <v>1583</v>
      </c>
      <c r="K2071" s="58">
        <v>83.27</v>
      </c>
      <c r="L2071" s="58">
        <v>0.34</v>
      </c>
      <c r="M2071" s="58">
        <v>0</v>
      </c>
      <c r="N2071" s="58">
        <v>7.1224600000000002</v>
      </c>
      <c r="O2071" s="181">
        <f t="shared" si="16"/>
        <v>82.929999999999993</v>
      </c>
      <c r="P2071" s="247">
        <f t="shared" si="17"/>
        <v>11.643449033058801</v>
      </c>
    </row>
    <row r="2072" spans="1:16" ht="14.25">
      <c r="A2072" s="224">
        <v>2071</v>
      </c>
      <c r="B2072" s="58">
        <v>29177</v>
      </c>
      <c r="C2072" s="57" t="s">
        <v>5596</v>
      </c>
      <c r="D2072" s="57" t="s">
        <v>45</v>
      </c>
      <c r="E2072" s="57" t="s">
        <v>2874</v>
      </c>
      <c r="F2072" s="58" t="s">
        <v>5838</v>
      </c>
      <c r="G2072" s="57">
        <v>9</v>
      </c>
      <c r="H2072" s="57" t="s">
        <v>2557</v>
      </c>
      <c r="I2072" s="58">
        <v>85030</v>
      </c>
      <c r="J2072" s="234" t="s">
        <v>5839</v>
      </c>
      <c r="K2072" s="58">
        <v>119.39</v>
      </c>
      <c r="L2072" s="58">
        <v>0</v>
      </c>
      <c r="M2072" s="58">
        <v>0</v>
      </c>
      <c r="N2072" s="58">
        <v>1</v>
      </c>
      <c r="O2072" s="181">
        <f t="shared" si="16"/>
        <v>119.39</v>
      </c>
      <c r="P2072" s="247">
        <f t="shared" si="17"/>
        <v>119.39</v>
      </c>
    </row>
    <row r="2073" spans="1:16" ht="14.25">
      <c r="A2073" s="224">
        <v>2072</v>
      </c>
      <c r="B2073" s="58">
        <v>21905</v>
      </c>
      <c r="C2073" s="57" t="s">
        <v>3796</v>
      </c>
      <c r="D2073" s="57" t="s">
        <v>2582</v>
      </c>
      <c r="E2073" s="57" t="s">
        <v>4772</v>
      </c>
      <c r="F2073" s="58" t="s">
        <v>5840</v>
      </c>
      <c r="G2073" s="57">
        <v>9</v>
      </c>
      <c r="H2073" s="57" t="s">
        <v>2557</v>
      </c>
      <c r="I2073" s="58">
        <v>85090</v>
      </c>
      <c r="J2073" s="234" t="s">
        <v>1598</v>
      </c>
      <c r="K2073" s="58">
        <v>46.22</v>
      </c>
      <c r="L2073" s="58">
        <v>0.19</v>
      </c>
      <c r="M2073" s="58">
        <v>0</v>
      </c>
      <c r="N2073" s="58">
        <v>7.1217899999999998</v>
      </c>
      <c r="O2073" s="181">
        <f t="shared" si="16"/>
        <v>46.03</v>
      </c>
      <c r="P2073" s="247">
        <f t="shared" si="17"/>
        <v>6.4632627471464339</v>
      </c>
    </row>
    <row r="2074" spans="1:16" ht="14.25">
      <c r="A2074" s="224">
        <v>2073</v>
      </c>
      <c r="B2074" s="58">
        <v>26237</v>
      </c>
      <c r="C2074" s="57" t="s">
        <v>4786</v>
      </c>
      <c r="D2074" s="57" t="s">
        <v>45</v>
      </c>
      <c r="E2074" s="57" t="s">
        <v>4772</v>
      </c>
      <c r="F2074" s="58" t="s">
        <v>5841</v>
      </c>
      <c r="G2074" s="57">
        <v>9</v>
      </c>
      <c r="H2074" s="57" t="s">
        <v>2557</v>
      </c>
      <c r="I2074" s="58">
        <v>83434</v>
      </c>
      <c r="J2074" s="234" t="s">
        <v>1595</v>
      </c>
      <c r="K2074" s="58">
        <v>56.79</v>
      </c>
      <c r="L2074" s="58">
        <v>1.65</v>
      </c>
      <c r="M2074" s="58">
        <v>0</v>
      </c>
      <c r="N2074" s="58">
        <v>1</v>
      </c>
      <c r="O2074" s="181">
        <f t="shared" si="16"/>
        <v>55.14</v>
      </c>
      <c r="P2074" s="247">
        <f t="shared" si="17"/>
        <v>55.14</v>
      </c>
    </row>
    <row r="2075" spans="1:16" ht="14.25">
      <c r="A2075" s="224">
        <v>2074</v>
      </c>
      <c r="B2075" s="58">
        <v>6529</v>
      </c>
      <c r="C2075" s="57" t="s">
        <v>2566</v>
      </c>
      <c r="D2075" s="57" t="s">
        <v>45</v>
      </c>
      <c r="E2075" s="57" t="s">
        <v>2860</v>
      </c>
      <c r="F2075" s="58" t="s">
        <v>5842</v>
      </c>
      <c r="G2075" s="57">
        <v>9</v>
      </c>
      <c r="H2075" s="57" t="s">
        <v>2557</v>
      </c>
      <c r="I2075" s="58">
        <v>83962</v>
      </c>
      <c r="J2075" s="234" t="s">
        <v>5843</v>
      </c>
      <c r="K2075" s="58">
        <v>8.99</v>
      </c>
      <c r="L2075" s="58">
        <v>0</v>
      </c>
      <c r="M2075" s="58">
        <v>0</v>
      </c>
      <c r="N2075" s="58">
        <v>1</v>
      </c>
      <c r="O2075" s="181">
        <f t="shared" si="16"/>
        <v>8.99</v>
      </c>
      <c r="P2075" s="247">
        <f t="shared" si="17"/>
        <v>8.99</v>
      </c>
    </row>
    <row r="2076" spans="1:16" ht="14.25">
      <c r="A2076" s="224">
        <v>2075</v>
      </c>
      <c r="B2076" s="58">
        <v>33959</v>
      </c>
      <c r="C2076" s="57" t="s">
        <v>5844</v>
      </c>
      <c r="D2076" s="57" t="s">
        <v>2582</v>
      </c>
      <c r="E2076" s="57" t="s">
        <v>4772</v>
      </c>
      <c r="F2076" s="58" t="s">
        <v>5845</v>
      </c>
      <c r="G2076" s="57">
        <v>9</v>
      </c>
      <c r="H2076" s="57" t="s">
        <v>2557</v>
      </c>
      <c r="I2076" s="58">
        <v>85102</v>
      </c>
      <c r="J2076" s="234" t="s">
        <v>1592</v>
      </c>
      <c r="K2076" s="58">
        <v>36.97</v>
      </c>
      <c r="L2076" s="58">
        <v>0.15</v>
      </c>
      <c r="M2076" s="58">
        <v>0</v>
      </c>
      <c r="N2076" s="58">
        <v>7.1217899999999998</v>
      </c>
      <c r="O2076" s="181">
        <f t="shared" si="16"/>
        <v>36.82</v>
      </c>
      <c r="P2076" s="247">
        <f t="shared" si="17"/>
        <v>5.1700485411673194</v>
      </c>
    </row>
    <row r="2077" spans="1:16" ht="14.25">
      <c r="A2077" s="224">
        <v>2076</v>
      </c>
      <c r="B2077" s="58">
        <v>417</v>
      </c>
      <c r="C2077" s="57" t="s">
        <v>2682</v>
      </c>
      <c r="D2077" s="57" t="s">
        <v>2582</v>
      </c>
      <c r="E2077" s="57" t="s">
        <v>2860</v>
      </c>
      <c r="F2077" s="58" t="s">
        <v>5846</v>
      </c>
      <c r="G2077" s="57">
        <v>9</v>
      </c>
      <c r="H2077" s="57" t="s">
        <v>2557</v>
      </c>
      <c r="I2077" s="58">
        <v>84322</v>
      </c>
      <c r="J2077" s="234" t="s">
        <v>5847</v>
      </c>
      <c r="K2077" s="58">
        <v>7.69</v>
      </c>
      <c r="L2077" s="58">
        <v>0</v>
      </c>
      <c r="M2077" s="58">
        <v>0</v>
      </c>
      <c r="N2077" s="58">
        <v>7.1217899999999998</v>
      </c>
      <c r="O2077" s="181">
        <f t="shared" si="16"/>
        <v>7.69</v>
      </c>
      <c r="P2077" s="247">
        <f t="shared" si="17"/>
        <v>1.079784717044451</v>
      </c>
    </row>
    <row r="2078" spans="1:16" ht="14.25">
      <c r="A2078" s="224">
        <v>2077</v>
      </c>
      <c r="B2078" s="58">
        <v>351</v>
      </c>
      <c r="C2078" s="57" t="s">
        <v>2707</v>
      </c>
      <c r="D2078" s="57" t="s">
        <v>45</v>
      </c>
      <c r="E2078" s="57" t="s">
        <v>9</v>
      </c>
      <c r="F2078" s="58" t="s">
        <v>5848</v>
      </c>
      <c r="G2078" s="57">
        <v>9</v>
      </c>
      <c r="H2078" s="57" t="s">
        <v>2557</v>
      </c>
      <c r="I2078" s="58">
        <v>82222</v>
      </c>
      <c r="J2078" s="234" t="s">
        <v>658</v>
      </c>
      <c r="K2078" s="58">
        <v>1.0900000000000001</v>
      </c>
      <c r="L2078" s="58">
        <v>0.54</v>
      </c>
      <c r="M2078" s="58">
        <v>0</v>
      </c>
      <c r="N2078" s="58">
        <v>1</v>
      </c>
      <c r="O2078" s="181">
        <f t="shared" si="16"/>
        <v>0.55000000000000004</v>
      </c>
      <c r="P2078" s="247">
        <f t="shared" si="17"/>
        <v>0.55000000000000004</v>
      </c>
    </row>
    <row r="2079" spans="1:16" ht="14.25">
      <c r="A2079" s="224">
        <v>2078</v>
      </c>
      <c r="B2079" s="58">
        <v>29354</v>
      </c>
      <c r="C2079" s="57" t="s">
        <v>5849</v>
      </c>
      <c r="D2079" s="57" t="s">
        <v>45</v>
      </c>
      <c r="E2079" s="57" t="s">
        <v>4772</v>
      </c>
      <c r="F2079" s="58" t="s">
        <v>5850</v>
      </c>
      <c r="G2079" s="57">
        <v>9</v>
      </c>
      <c r="H2079" s="57" t="s">
        <v>2557</v>
      </c>
      <c r="I2079" s="58">
        <v>85114</v>
      </c>
      <c r="J2079" s="234" t="s">
        <v>1589</v>
      </c>
      <c r="K2079" s="58">
        <v>3.99</v>
      </c>
      <c r="L2079" s="58">
        <v>0.12</v>
      </c>
      <c r="M2079" s="58">
        <v>0</v>
      </c>
      <c r="N2079" s="58">
        <v>1</v>
      </c>
      <c r="O2079" s="181">
        <f t="shared" si="16"/>
        <v>3.87</v>
      </c>
      <c r="P2079" s="247">
        <f t="shared" si="17"/>
        <v>3.87</v>
      </c>
    </row>
    <row r="2080" spans="1:16" ht="14.25">
      <c r="A2080" s="224">
        <v>2079</v>
      </c>
      <c r="B2080" s="58">
        <v>25274</v>
      </c>
      <c r="C2080" s="57" t="s">
        <v>4573</v>
      </c>
      <c r="D2080" s="57" t="s">
        <v>2582</v>
      </c>
      <c r="E2080" s="57" t="s">
        <v>4772</v>
      </c>
      <c r="F2080" s="58" t="s">
        <v>5851</v>
      </c>
      <c r="G2080" s="57">
        <v>9</v>
      </c>
      <c r="H2080" s="57" t="s">
        <v>2557</v>
      </c>
      <c r="I2080" s="58">
        <v>85126</v>
      </c>
      <c r="J2080" s="234" t="s">
        <v>1586</v>
      </c>
      <c r="K2080" s="58">
        <v>109.81</v>
      </c>
      <c r="L2080" s="58">
        <v>0.45</v>
      </c>
      <c r="M2080" s="58">
        <v>0</v>
      </c>
      <c r="N2080" s="58">
        <v>7.1217899999999998</v>
      </c>
      <c r="O2080" s="181">
        <f t="shared" si="16"/>
        <v>109.36</v>
      </c>
      <c r="P2080" s="247">
        <f t="shared" si="17"/>
        <v>15.35569007229924</v>
      </c>
    </row>
    <row r="2081" spans="1:16" ht="14.25">
      <c r="A2081" s="224">
        <v>2080</v>
      </c>
      <c r="B2081" s="58">
        <v>417</v>
      </c>
      <c r="C2081" s="57" t="s">
        <v>2682</v>
      </c>
      <c r="D2081" s="57" t="s">
        <v>2582</v>
      </c>
      <c r="E2081" s="57" t="s">
        <v>2860</v>
      </c>
      <c r="F2081" s="58" t="s">
        <v>5852</v>
      </c>
      <c r="G2081" s="57">
        <v>9</v>
      </c>
      <c r="H2081" s="57" t="s">
        <v>2557</v>
      </c>
      <c r="I2081" s="58">
        <v>84322</v>
      </c>
      <c r="J2081" s="234"/>
      <c r="K2081" s="58">
        <v>0.01</v>
      </c>
      <c r="L2081" s="58">
        <v>0</v>
      </c>
      <c r="M2081" s="58">
        <v>0</v>
      </c>
      <c r="N2081" s="58">
        <v>7.1152699999999998</v>
      </c>
      <c r="O2081" s="181">
        <f t="shared" si="16"/>
        <v>0.01</v>
      </c>
      <c r="P2081" s="247">
        <f t="shared" si="17"/>
        <v>1.4054280441922794E-3</v>
      </c>
    </row>
    <row r="2082" spans="1:16" ht="14.25">
      <c r="A2082" s="224">
        <v>2081</v>
      </c>
      <c r="B2082" s="58">
        <v>28657</v>
      </c>
      <c r="C2082" s="57" t="s">
        <v>5183</v>
      </c>
      <c r="D2082" s="57" t="s">
        <v>45</v>
      </c>
      <c r="E2082" s="57" t="s">
        <v>2860</v>
      </c>
      <c r="F2082" s="58" t="s">
        <v>5853</v>
      </c>
      <c r="G2082" s="57">
        <v>9</v>
      </c>
      <c r="H2082" s="57" t="s">
        <v>2557</v>
      </c>
      <c r="I2082" s="58">
        <v>83554</v>
      </c>
      <c r="J2082" s="234" t="s">
        <v>5854</v>
      </c>
      <c r="K2082" s="58">
        <v>12.79</v>
      </c>
      <c r="L2082" s="58">
        <v>0</v>
      </c>
      <c r="M2082" s="58">
        <v>0</v>
      </c>
      <c r="N2082" s="58">
        <v>1</v>
      </c>
      <c r="O2082" s="181">
        <f t="shared" si="16"/>
        <v>12.79</v>
      </c>
      <c r="P2082" s="247">
        <f t="shared" si="17"/>
        <v>12.79</v>
      </c>
    </row>
    <row r="2083" spans="1:16" ht="14.25">
      <c r="A2083" s="224">
        <v>2082</v>
      </c>
      <c r="B2083" s="58">
        <v>28657</v>
      </c>
      <c r="C2083" s="57" t="s">
        <v>5183</v>
      </c>
      <c r="D2083" s="57" t="s">
        <v>45</v>
      </c>
      <c r="E2083" s="57" t="s">
        <v>2860</v>
      </c>
      <c r="F2083" s="58" t="s">
        <v>5855</v>
      </c>
      <c r="G2083" s="57">
        <v>9</v>
      </c>
      <c r="H2083" s="57" t="s">
        <v>2557</v>
      </c>
      <c r="I2083" s="58">
        <v>83554</v>
      </c>
      <c r="J2083" s="234" t="s">
        <v>5854</v>
      </c>
      <c r="K2083" s="58">
        <v>12.79</v>
      </c>
      <c r="L2083" s="58">
        <v>0</v>
      </c>
      <c r="M2083" s="58">
        <v>0</v>
      </c>
      <c r="N2083" s="58">
        <v>1</v>
      </c>
      <c r="O2083" s="181">
        <f t="shared" si="16"/>
        <v>12.79</v>
      </c>
      <c r="P2083" s="247">
        <f t="shared" si="17"/>
        <v>12.79</v>
      </c>
    </row>
    <row r="2084" spans="1:16" ht="14.25">
      <c r="A2084" s="224">
        <v>2083</v>
      </c>
      <c r="B2084" s="58">
        <v>28946</v>
      </c>
      <c r="C2084" s="57" t="s">
        <v>5337</v>
      </c>
      <c r="D2084" s="57" t="s">
        <v>2582</v>
      </c>
      <c r="E2084" s="57" t="s">
        <v>2860</v>
      </c>
      <c r="F2084" s="58" t="s">
        <v>5856</v>
      </c>
      <c r="G2084" s="57">
        <v>9</v>
      </c>
      <c r="H2084" s="57" t="s">
        <v>2557</v>
      </c>
      <c r="I2084" s="58">
        <v>84514</v>
      </c>
      <c r="J2084" s="234" t="s">
        <v>5857</v>
      </c>
      <c r="K2084" s="58">
        <v>148.07</v>
      </c>
      <c r="L2084" s="58">
        <v>0</v>
      </c>
      <c r="M2084" s="58">
        <v>0</v>
      </c>
      <c r="N2084" s="58">
        <v>7.1152699999999998</v>
      </c>
      <c r="O2084" s="181">
        <f t="shared" si="16"/>
        <v>148.07</v>
      </c>
      <c r="P2084" s="247">
        <f t="shared" si="17"/>
        <v>20.810173050355083</v>
      </c>
    </row>
    <row r="2085" spans="1:16" ht="14.25">
      <c r="A2085" s="224">
        <v>2084</v>
      </c>
      <c r="B2085" s="58">
        <v>21915</v>
      </c>
      <c r="C2085" s="57" t="s">
        <v>3808</v>
      </c>
      <c r="D2085" s="57" t="s">
        <v>45</v>
      </c>
      <c r="E2085" s="57" t="s">
        <v>2874</v>
      </c>
      <c r="F2085" s="58" t="s">
        <v>5858</v>
      </c>
      <c r="G2085" s="57">
        <v>9</v>
      </c>
      <c r="H2085" s="57" t="s">
        <v>2557</v>
      </c>
      <c r="I2085" s="58">
        <v>83662</v>
      </c>
      <c r="J2085" s="234" t="s">
        <v>5859</v>
      </c>
      <c r="K2085" s="58">
        <v>283.08</v>
      </c>
      <c r="L2085" s="58">
        <v>0</v>
      </c>
      <c r="M2085" s="58">
        <v>0</v>
      </c>
      <c r="N2085" s="58">
        <v>1</v>
      </c>
      <c r="O2085" s="181">
        <f t="shared" si="16"/>
        <v>283.08</v>
      </c>
      <c r="P2085" s="247">
        <f t="shared" si="17"/>
        <v>283.08</v>
      </c>
    </row>
    <row r="2086" spans="1:16" ht="14.25">
      <c r="A2086" s="224">
        <v>2085</v>
      </c>
      <c r="B2086" s="58">
        <v>33996</v>
      </c>
      <c r="C2086" s="57" t="s">
        <v>5860</v>
      </c>
      <c r="D2086" s="57" t="s">
        <v>45</v>
      </c>
      <c r="E2086" s="57" t="s">
        <v>2874</v>
      </c>
      <c r="F2086" s="58" t="s">
        <v>5861</v>
      </c>
      <c r="G2086" s="57">
        <v>9</v>
      </c>
      <c r="H2086" s="57" t="s">
        <v>2557</v>
      </c>
      <c r="I2086" s="58">
        <v>85258</v>
      </c>
      <c r="J2086" s="234" t="s">
        <v>5862</v>
      </c>
      <c r="K2086" s="58">
        <v>11.69</v>
      </c>
      <c r="L2086" s="58">
        <v>0</v>
      </c>
      <c r="M2086" s="58">
        <v>0</v>
      </c>
      <c r="N2086" s="58">
        <v>1</v>
      </c>
      <c r="O2086" s="181">
        <f t="shared" si="16"/>
        <v>11.69</v>
      </c>
      <c r="P2086" s="247">
        <f t="shared" si="17"/>
        <v>11.69</v>
      </c>
    </row>
    <row r="2087" spans="1:16" ht="14.25">
      <c r="A2087" s="224">
        <v>2086</v>
      </c>
      <c r="B2087" s="58">
        <v>25736</v>
      </c>
      <c r="C2087" s="57" t="s">
        <v>4691</v>
      </c>
      <c r="D2087" s="57" t="s">
        <v>45</v>
      </c>
      <c r="E2087" s="57" t="s">
        <v>2874</v>
      </c>
      <c r="F2087" s="58" t="s">
        <v>5863</v>
      </c>
      <c r="G2087" s="57">
        <v>9</v>
      </c>
      <c r="H2087" s="57" t="s">
        <v>2557</v>
      </c>
      <c r="I2087" s="58">
        <v>84010</v>
      </c>
      <c r="J2087" s="234" t="s">
        <v>5864</v>
      </c>
      <c r="K2087" s="58">
        <v>37.090000000000003</v>
      </c>
      <c r="L2087" s="58">
        <v>0</v>
      </c>
      <c r="M2087" s="58">
        <v>0</v>
      </c>
      <c r="N2087" s="58">
        <v>1</v>
      </c>
      <c r="O2087" s="181">
        <f t="shared" si="16"/>
        <v>37.090000000000003</v>
      </c>
      <c r="P2087" s="247">
        <f t="shared" si="17"/>
        <v>37.090000000000003</v>
      </c>
    </row>
    <row r="2088" spans="1:16" ht="14.25">
      <c r="A2088" s="224">
        <v>2087</v>
      </c>
      <c r="B2088" s="58">
        <v>33999</v>
      </c>
      <c r="C2088" s="57" t="s">
        <v>5865</v>
      </c>
      <c r="D2088" s="57" t="s">
        <v>45</v>
      </c>
      <c r="E2088" s="57" t="s">
        <v>4772</v>
      </c>
      <c r="F2088" s="58" t="s">
        <v>5866</v>
      </c>
      <c r="G2088" s="57">
        <v>9</v>
      </c>
      <c r="H2088" s="57" t="s">
        <v>2557</v>
      </c>
      <c r="I2088" s="58">
        <v>85270</v>
      </c>
      <c r="J2088" s="234" t="s">
        <v>1610</v>
      </c>
      <c r="K2088" s="58">
        <v>2.4900000000000002</v>
      </c>
      <c r="L2088" s="58">
        <v>0.08</v>
      </c>
      <c r="M2088" s="58">
        <v>0</v>
      </c>
      <c r="N2088" s="58">
        <v>1</v>
      </c>
      <c r="O2088" s="181">
        <f t="shared" si="16"/>
        <v>2.41</v>
      </c>
      <c r="P2088" s="247">
        <f t="shared" si="17"/>
        <v>2.41</v>
      </c>
    </row>
    <row r="2089" spans="1:16" ht="14.25">
      <c r="A2089" s="224">
        <v>2088</v>
      </c>
      <c r="B2089" s="58">
        <v>34001</v>
      </c>
      <c r="C2089" s="57" t="s">
        <v>720</v>
      </c>
      <c r="D2089" s="57" t="s">
        <v>2582</v>
      </c>
      <c r="E2089" s="57" t="s">
        <v>2860</v>
      </c>
      <c r="F2089" s="58" t="s">
        <v>5867</v>
      </c>
      <c r="G2089" s="57">
        <v>9</v>
      </c>
      <c r="H2089" s="57" t="s">
        <v>2557</v>
      </c>
      <c r="I2089" s="58">
        <v>85282</v>
      </c>
      <c r="J2089" s="234" t="s">
        <v>5868</v>
      </c>
      <c r="K2089" s="58">
        <v>39.06</v>
      </c>
      <c r="L2089" s="58">
        <v>0</v>
      </c>
      <c r="M2089" s="58">
        <v>0</v>
      </c>
      <c r="N2089" s="58">
        <v>7.1152699999999998</v>
      </c>
      <c r="O2089" s="181">
        <f t="shared" si="16"/>
        <v>39.06</v>
      </c>
      <c r="P2089" s="247">
        <f t="shared" si="17"/>
        <v>5.489601940615044</v>
      </c>
    </row>
    <row r="2090" spans="1:16" ht="14.25">
      <c r="A2090" s="224">
        <v>2089</v>
      </c>
      <c r="B2090" s="58">
        <v>34001</v>
      </c>
      <c r="C2090" s="57" t="s">
        <v>720</v>
      </c>
      <c r="D2090" s="57" t="s">
        <v>2582</v>
      </c>
      <c r="E2090" s="57" t="s">
        <v>2860</v>
      </c>
      <c r="F2090" s="58" t="s">
        <v>5869</v>
      </c>
      <c r="G2090" s="57">
        <v>9</v>
      </c>
      <c r="H2090" s="57" t="s">
        <v>2557</v>
      </c>
      <c r="I2090" s="58">
        <v>85282</v>
      </c>
      <c r="J2090" s="234" t="s">
        <v>5868</v>
      </c>
      <c r="K2090" s="58">
        <v>39.06</v>
      </c>
      <c r="L2090" s="58">
        <v>0</v>
      </c>
      <c r="M2090" s="58">
        <v>0</v>
      </c>
      <c r="N2090" s="58">
        <v>7.1152699999999998</v>
      </c>
      <c r="O2090" s="181">
        <f t="shared" si="16"/>
        <v>39.06</v>
      </c>
      <c r="P2090" s="247">
        <f t="shared" si="17"/>
        <v>5.489601940615044</v>
      </c>
    </row>
    <row r="2091" spans="1:16" ht="14.25">
      <c r="A2091" s="224">
        <v>2090</v>
      </c>
      <c r="B2091" s="58">
        <v>19040</v>
      </c>
      <c r="C2091" s="57" t="s">
        <v>3084</v>
      </c>
      <c r="D2091" s="57" t="s">
        <v>45</v>
      </c>
      <c r="E2091" s="57" t="s">
        <v>2860</v>
      </c>
      <c r="F2091" s="58" t="s">
        <v>5870</v>
      </c>
      <c r="G2091" s="57">
        <v>9</v>
      </c>
      <c r="H2091" s="57" t="s">
        <v>2557</v>
      </c>
      <c r="I2091" s="58">
        <v>83698</v>
      </c>
      <c r="J2091" s="234" t="s">
        <v>5871</v>
      </c>
      <c r="K2091" s="58">
        <v>1.79</v>
      </c>
      <c r="L2091" s="58">
        <v>0</v>
      </c>
      <c r="M2091" s="58">
        <v>0</v>
      </c>
      <c r="N2091" s="58">
        <v>1</v>
      </c>
      <c r="O2091" s="181">
        <f t="shared" si="16"/>
        <v>1.79</v>
      </c>
      <c r="P2091" s="247">
        <f t="shared" si="17"/>
        <v>1.79</v>
      </c>
    </row>
    <row r="2092" spans="1:16" ht="14.25">
      <c r="A2092" s="224">
        <v>2091</v>
      </c>
      <c r="B2092" s="58">
        <v>28642</v>
      </c>
      <c r="C2092" s="57" t="s">
        <v>5177</v>
      </c>
      <c r="D2092" s="57" t="s">
        <v>2582</v>
      </c>
      <c r="E2092" s="57" t="s">
        <v>4772</v>
      </c>
      <c r="F2092" s="58" t="s">
        <v>5872</v>
      </c>
      <c r="G2092" s="57">
        <v>9</v>
      </c>
      <c r="H2092" s="57" t="s">
        <v>2557</v>
      </c>
      <c r="I2092" s="58">
        <v>85294</v>
      </c>
      <c r="J2092" s="234" t="s">
        <v>1607</v>
      </c>
      <c r="K2092" s="58">
        <v>17.72</v>
      </c>
      <c r="L2092" s="58">
        <v>0.08</v>
      </c>
      <c r="M2092" s="58">
        <v>0</v>
      </c>
      <c r="N2092" s="58">
        <v>7.1152699999999998</v>
      </c>
      <c r="O2092" s="181">
        <f t="shared" si="16"/>
        <v>17.64</v>
      </c>
      <c r="P2092" s="247">
        <f t="shared" si="17"/>
        <v>2.4791750699551809</v>
      </c>
    </row>
    <row r="2093" spans="1:16" ht="14.25">
      <c r="A2093" s="224">
        <v>2092</v>
      </c>
      <c r="B2093" s="58">
        <v>1979</v>
      </c>
      <c r="C2093" s="57" t="s">
        <v>3943</v>
      </c>
      <c r="D2093" s="57" t="s">
        <v>2582</v>
      </c>
      <c r="E2093" s="57" t="s">
        <v>4772</v>
      </c>
      <c r="F2093" s="58" t="s">
        <v>5873</v>
      </c>
      <c r="G2093" s="57">
        <v>9</v>
      </c>
      <c r="H2093" s="57" t="s">
        <v>2557</v>
      </c>
      <c r="I2093" s="58">
        <v>85306</v>
      </c>
      <c r="J2093" s="234" t="s">
        <v>1604</v>
      </c>
      <c r="K2093" s="58">
        <v>64.010000000000005</v>
      </c>
      <c r="L2093" s="58">
        <v>0.26</v>
      </c>
      <c r="M2093" s="58">
        <v>0</v>
      </c>
      <c r="N2093" s="58">
        <v>7.1152699999999998</v>
      </c>
      <c r="O2093" s="181">
        <f t="shared" si="16"/>
        <v>63.750000000000007</v>
      </c>
      <c r="P2093" s="247">
        <f t="shared" si="17"/>
        <v>8.9596037817257823</v>
      </c>
    </row>
    <row r="2094" spans="1:16" ht="14.25">
      <c r="A2094" s="224">
        <v>2093</v>
      </c>
      <c r="B2094" s="58">
        <v>28642</v>
      </c>
      <c r="C2094" s="57" t="s">
        <v>5177</v>
      </c>
      <c r="D2094" s="57" t="s">
        <v>2582</v>
      </c>
      <c r="E2094" s="57" t="s">
        <v>4772</v>
      </c>
      <c r="F2094" s="58" t="s">
        <v>5874</v>
      </c>
      <c r="G2094" s="57">
        <v>9</v>
      </c>
      <c r="H2094" s="57" t="s">
        <v>2557</v>
      </c>
      <c r="I2094" s="58">
        <v>85318</v>
      </c>
      <c r="J2094" s="234" t="s">
        <v>1601</v>
      </c>
      <c r="K2094" s="58">
        <v>14.23</v>
      </c>
      <c r="L2094" s="58">
        <v>0.06</v>
      </c>
      <c r="M2094" s="58">
        <v>0</v>
      </c>
      <c r="N2094" s="58">
        <v>7.1152699999999998</v>
      </c>
      <c r="O2094" s="181">
        <f t="shared" si="16"/>
        <v>14.17</v>
      </c>
      <c r="P2094" s="247">
        <f t="shared" si="17"/>
        <v>1.9914915386204599</v>
      </c>
    </row>
    <row r="2095" spans="1:16" ht="14.25">
      <c r="A2095" s="224">
        <v>2094</v>
      </c>
      <c r="B2095" s="58">
        <v>28208</v>
      </c>
      <c r="C2095" s="57" t="s">
        <v>2856</v>
      </c>
      <c r="D2095" s="57" t="s">
        <v>2582</v>
      </c>
      <c r="E2095" s="57" t="s">
        <v>4772</v>
      </c>
      <c r="F2095" s="58" t="s">
        <v>5875</v>
      </c>
      <c r="G2095" s="57">
        <v>9</v>
      </c>
      <c r="H2095" s="57" t="s">
        <v>2557</v>
      </c>
      <c r="I2095" s="58">
        <v>85402</v>
      </c>
      <c r="J2095" s="234" t="s">
        <v>1622</v>
      </c>
      <c r="K2095" s="58">
        <v>146.99</v>
      </c>
      <c r="L2095" s="58">
        <v>0.6</v>
      </c>
      <c r="M2095" s="58">
        <v>0</v>
      </c>
      <c r="N2095" s="58">
        <v>7.1041600000000003</v>
      </c>
      <c r="O2095" s="181">
        <f t="shared" si="16"/>
        <v>146.39000000000001</v>
      </c>
      <c r="P2095" s="247">
        <f t="shared" si="17"/>
        <v>20.606236346028243</v>
      </c>
    </row>
    <row r="2096" spans="1:16" ht="14.25">
      <c r="A2096" s="224">
        <v>2095</v>
      </c>
      <c r="B2096" s="58">
        <v>18477</v>
      </c>
      <c r="C2096" s="57" t="s">
        <v>2966</v>
      </c>
      <c r="D2096" s="57" t="s">
        <v>45</v>
      </c>
      <c r="E2096" s="57" t="s">
        <v>2874</v>
      </c>
      <c r="F2096" s="58" t="s">
        <v>5876</v>
      </c>
      <c r="G2096" s="57">
        <v>9</v>
      </c>
      <c r="H2096" s="57" t="s">
        <v>2557</v>
      </c>
      <c r="I2096" s="58">
        <v>85414</v>
      </c>
      <c r="J2096" s="234"/>
      <c r="K2096" s="58">
        <v>110</v>
      </c>
      <c r="L2096" s="58">
        <v>0</v>
      </c>
      <c r="M2096" s="58">
        <v>0</v>
      </c>
      <c r="N2096" s="58">
        <v>1</v>
      </c>
      <c r="O2096" s="181">
        <f t="shared" si="16"/>
        <v>110</v>
      </c>
      <c r="P2096" s="247">
        <f t="shared" si="17"/>
        <v>110</v>
      </c>
    </row>
    <row r="2097" spans="1:16" ht="14.25">
      <c r="A2097" s="224">
        <v>2096</v>
      </c>
      <c r="B2097" s="58">
        <v>7677</v>
      </c>
      <c r="C2097" s="57" t="s">
        <v>2705</v>
      </c>
      <c r="D2097" s="57" t="s">
        <v>45</v>
      </c>
      <c r="E2097" s="57" t="s">
        <v>2860</v>
      </c>
      <c r="F2097" s="58" t="s">
        <v>5877</v>
      </c>
      <c r="G2097" s="57">
        <v>9</v>
      </c>
      <c r="H2097" s="57" t="s">
        <v>2557</v>
      </c>
      <c r="I2097" s="58">
        <v>85426</v>
      </c>
      <c r="J2097" s="234" t="s">
        <v>5878</v>
      </c>
      <c r="K2097" s="58">
        <v>2.4900000000000002</v>
      </c>
      <c r="L2097" s="58">
        <v>0</v>
      </c>
      <c r="M2097" s="58">
        <v>0</v>
      </c>
      <c r="N2097" s="58">
        <v>1</v>
      </c>
      <c r="O2097" s="181">
        <f t="shared" si="16"/>
        <v>2.4900000000000002</v>
      </c>
      <c r="P2097" s="247">
        <f t="shared" si="17"/>
        <v>2.4900000000000002</v>
      </c>
    </row>
    <row r="2098" spans="1:16" ht="14.25">
      <c r="A2098" s="224">
        <v>2097</v>
      </c>
      <c r="B2098" s="58">
        <v>7677</v>
      </c>
      <c r="C2098" s="57" t="s">
        <v>2705</v>
      </c>
      <c r="D2098" s="57" t="s">
        <v>45</v>
      </c>
      <c r="E2098" s="57" t="s">
        <v>2860</v>
      </c>
      <c r="F2098" s="58" t="s">
        <v>5877</v>
      </c>
      <c r="G2098" s="57">
        <v>9</v>
      </c>
      <c r="H2098" s="57" t="s">
        <v>2557</v>
      </c>
      <c r="I2098" s="58">
        <v>85426</v>
      </c>
      <c r="J2098" s="234" t="s">
        <v>5878</v>
      </c>
      <c r="K2098" s="58">
        <v>2.4900000000000002</v>
      </c>
      <c r="L2098" s="58">
        <v>0</v>
      </c>
      <c r="M2098" s="58">
        <v>0</v>
      </c>
      <c r="N2098" s="58">
        <v>1</v>
      </c>
      <c r="O2098" s="181">
        <f t="shared" si="16"/>
        <v>2.4900000000000002</v>
      </c>
      <c r="P2098" s="247">
        <f t="shared" si="17"/>
        <v>2.4900000000000002</v>
      </c>
    </row>
    <row r="2099" spans="1:16" ht="14.25">
      <c r="A2099" s="224">
        <v>2098</v>
      </c>
      <c r="B2099" s="58">
        <v>26470</v>
      </c>
      <c r="C2099" s="57" t="s">
        <v>4808</v>
      </c>
      <c r="D2099" s="57" t="s">
        <v>45</v>
      </c>
      <c r="E2099" s="57" t="s">
        <v>4772</v>
      </c>
      <c r="F2099" s="58" t="s">
        <v>5879</v>
      </c>
      <c r="G2099" s="57">
        <v>9</v>
      </c>
      <c r="H2099" s="57" t="s">
        <v>2557</v>
      </c>
      <c r="I2099" s="58">
        <v>85438</v>
      </c>
      <c r="J2099" s="234" t="s">
        <v>1619</v>
      </c>
      <c r="K2099" s="58">
        <v>20.69</v>
      </c>
      <c r="L2099" s="58">
        <v>0.6</v>
      </c>
      <c r="M2099" s="58">
        <v>0</v>
      </c>
      <c r="N2099" s="58">
        <v>1</v>
      </c>
      <c r="O2099" s="181">
        <f t="shared" si="16"/>
        <v>20.09</v>
      </c>
      <c r="P2099" s="247">
        <f t="shared" si="17"/>
        <v>20.09</v>
      </c>
    </row>
    <row r="2100" spans="1:16" ht="14.25">
      <c r="A2100" s="224">
        <v>2099</v>
      </c>
      <c r="B2100" s="58">
        <v>30374</v>
      </c>
      <c r="C2100" s="57" t="s">
        <v>5794</v>
      </c>
      <c r="D2100" s="57" t="s">
        <v>2582</v>
      </c>
      <c r="E2100" s="57" t="s">
        <v>4772</v>
      </c>
      <c r="F2100" s="58" t="s">
        <v>5880</v>
      </c>
      <c r="G2100" s="57">
        <v>9</v>
      </c>
      <c r="H2100" s="57" t="s">
        <v>2557</v>
      </c>
      <c r="I2100" s="58">
        <v>85450</v>
      </c>
      <c r="J2100" s="234" t="s">
        <v>1616</v>
      </c>
      <c r="K2100" s="58">
        <v>21.24</v>
      </c>
      <c r="L2100" s="58">
        <v>0.09</v>
      </c>
      <c r="M2100" s="58">
        <v>0</v>
      </c>
      <c r="N2100" s="58">
        <v>7.1041600000000003</v>
      </c>
      <c r="O2100" s="181">
        <f t="shared" si="16"/>
        <v>21.15</v>
      </c>
      <c r="P2100" s="247">
        <f t="shared" si="17"/>
        <v>2.9771288934933895</v>
      </c>
    </row>
    <row r="2101" spans="1:16" ht="14.25">
      <c r="A2101" s="224">
        <v>2100</v>
      </c>
      <c r="B2101" s="58">
        <v>1560</v>
      </c>
      <c r="C2101" s="57" t="s">
        <v>2630</v>
      </c>
      <c r="D2101" s="57" t="s">
        <v>45</v>
      </c>
      <c r="E2101" s="57" t="s">
        <v>2860</v>
      </c>
      <c r="F2101" s="58" t="s">
        <v>5881</v>
      </c>
      <c r="G2101" s="57">
        <v>9</v>
      </c>
      <c r="H2101" s="57" t="s">
        <v>2557</v>
      </c>
      <c r="I2101" s="58">
        <v>84634</v>
      </c>
      <c r="J2101" s="234" t="s">
        <v>5882</v>
      </c>
      <c r="K2101" s="58">
        <v>8.9700000000000006</v>
      </c>
      <c r="L2101" s="58">
        <v>0</v>
      </c>
      <c r="M2101" s="58">
        <v>0</v>
      </c>
      <c r="N2101" s="58">
        <v>1</v>
      </c>
      <c r="O2101" s="181">
        <f t="shared" si="16"/>
        <v>8.9700000000000006</v>
      </c>
      <c r="P2101" s="247">
        <f t="shared" si="17"/>
        <v>8.9700000000000006</v>
      </c>
    </row>
    <row r="2102" spans="1:16" ht="14.25">
      <c r="A2102" s="224">
        <v>2101</v>
      </c>
      <c r="B2102" s="58">
        <v>1560</v>
      </c>
      <c r="C2102" s="57" t="s">
        <v>2630</v>
      </c>
      <c r="D2102" s="57" t="s">
        <v>45</v>
      </c>
      <c r="E2102" s="57" t="s">
        <v>4772</v>
      </c>
      <c r="F2102" s="58" t="s">
        <v>5883</v>
      </c>
      <c r="G2102" s="57">
        <v>9</v>
      </c>
      <c r="H2102" s="57" t="s">
        <v>2557</v>
      </c>
      <c r="I2102" s="58">
        <v>84466</v>
      </c>
      <c r="J2102" s="234" t="s">
        <v>1613</v>
      </c>
      <c r="K2102" s="58">
        <v>2.99</v>
      </c>
      <c r="L2102" s="58">
        <v>0.09</v>
      </c>
      <c r="M2102" s="58">
        <v>0</v>
      </c>
      <c r="N2102" s="58">
        <v>1</v>
      </c>
      <c r="O2102" s="181">
        <f t="shared" si="16"/>
        <v>2.9000000000000004</v>
      </c>
      <c r="P2102" s="247">
        <f t="shared" si="17"/>
        <v>2.9000000000000004</v>
      </c>
    </row>
    <row r="2103" spans="1:16" ht="14.25">
      <c r="A2103" s="224">
        <v>2102</v>
      </c>
      <c r="B2103" s="58">
        <v>1560</v>
      </c>
      <c r="C2103" s="57" t="s">
        <v>2630</v>
      </c>
      <c r="D2103" s="57" t="s">
        <v>45</v>
      </c>
      <c r="E2103" s="57" t="s">
        <v>2860</v>
      </c>
      <c r="F2103" s="58" t="s">
        <v>5884</v>
      </c>
      <c r="G2103" s="57">
        <v>9</v>
      </c>
      <c r="H2103" s="57" t="s">
        <v>2557</v>
      </c>
      <c r="I2103" s="58">
        <v>83686</v>
      </c>
      <c r="J2103" s="234" t="s">
        <v>5885</v>
      </c>
      <c r="K2103" s="58">
        <v>5.98</v>
      </c>
      <c r="L2103" s="58">
        <v>0</v>
      </c>
      <c r="M2103" s="58">
        <v>0</v>
      </c>
      <c r="N2103" s="58">
        <v>1</v>
      </c>
      <c r="O2103" s="181">
        <f t="shared" si="16"/>
        <v>5.98</v>
      </c>
      <c r="P2103" s="247">
        <f t="shared" si="17"/>
        <v>5.98</v>
      </c>
    </row>
    <row r="2104" spans="1:16" ht="14.25">
      <c r="A2104" s="224">
        <v>2103</v>
      </c>
      <c r="B2104" s="58">
        <v>34032</v>
      </c>
      <c r="C2104" s="57" t="s">
        <v>5886</v>
      </c>
      <c r="D2104" s="57" t="s">
        <v>45</v>
      </c>
      <c r="E2104" s="57" t="s">
        <v>4772</v>
      </c>
      <c r="F2104" s="58" t="s">
        <v>5887</v>
      </c>
      <c r="G2104" s="57">
        <v>9</v>
      </c>
      <c r="H2104" s="57" t="s">
        <v>2557</v>
      </c>
      <c r="I2104" s="58">
        <v>85474</v>
      </c>
      <c r="J2104" s="234" t="s">
        <v>1631</v>
      </c>
      <c r="K2104" s="58">
        <v>7.99</v>
      </c>
      <c r="L2104" s="58">
        <v>0.24</v>
      </c>
      <c r="M2104" s="58">
        <v>0</v>
      </c>
      <c r="N2104" s="58">
        <v>1</v>
      </c>
      <c r="O2104" s="181">
        <f t="shared" si="16"/>
        <v>7.75</v>
      </c>
      <c r="P2104" s="247">
        <f t="shared" si="17"/>
        <v>7.75</v>
      </c>
    </row>
    <row r="2105" spans="1:16" ht="14.25">
      <c r="A2105" s="224">
        <v>2104</v>
      </c>
      <c r="B2105" s="58">
        <v>392</v>
      </c>
      <c r="C2105" s="57" t="s">
        <v>2876</v>
      </c>
      <c r="D2105" s="57" t="s">
        <v>2582</v>
      </c>
      <c r="E2105" s="57" t="s">
        <v>2860</v>
      </c>
      <c r="F2105" s="58" t="s">
        <v>5888</v>
      </c>
      <c r="G2105" s="57">
        <v>9</v>
      </c>
      <c r="H2105" s="57" t="s">
        <v>2557</v>
      </c>
      <c r="I2105" s="58">
        <v>83950</v>
      </c>
      <c r="J2105" s="234" t="s">
        <v>5889</v>
      </c>
      <c r="K2105" s="58">
        <v>29.06</v>
      </c>
      <c r="L2105" s="58">
        <v>0</v>
      </c>
      <c r="M2105" s="58">
        <v>0</v>
      </c>
      <c r="N2105" s="58">
        <v>7.1055200000000003</v>
      </c>
      <c r="O2105" s="181">
        <f t="shared" si="16"/>
        <v>29.06</v>
      </c>
      <c r="P2105" s="247">
        <f t="shared" si="17"/>
        <v>4.0897780880217072</v>
      </c>
    </row>
    <row r="2106" spans="1:16" ht="14.25">
      <c r="A2106" s="224">
        <v>2105</v>
      </c>
      <c r="B2106" s="58">
        <v>34038</v>
      </c>
      <c r="C2106" s="57" t="s">
        <v>5890</v>
      </c>
      <c r="D2106" s="57" t="s">
        <v>45</v>
      </c>
      <c r="E2106" s="57" t="s">
        <v>2874</v>
      </c>
      <c r="F2106" s="58" t="s">
        <v>5891</v>
      </c>
      <c r="G2106" s="57">
        <v>9</v>
      </c>
      <c r="H2106" s="57" t="s">
        <v>2557</v>
      </c>
      <c r="I2106" s="58">
        <v>85546</v>
      </c>
      <c r="J2106" s="234" t="s">
        <v>5892</v>
      </c>
      <c r="K2106" s="58">
        <v>16.989999999999998</v>
      </c>
      <c r="L2106" s="58">
        <v>0</v>
      </c>
      <c r="M2106" s="58">
        <v>0</v>
      </c>
      <c r="N2106" s="58">
        <v>1</v>
      </c>
      <c r="O2106" s="181">
        <f t="shared" si="16"/>
        <v>16.989999999999998</v>
      </c>
      <c r="P2106" s="247">
        <f t="shared" si="17"/>
        <v>16.989999999999998</v>
      </c>
    </row>
    <row r="2107" spans="1:16" ht="14.25">
      <c r="A2107" s="224">
        <v>2106</v>
      </c>
      <c r="B2107" s="58">
        <v>25163</v>
      </c>
      <c r="C2107" s="57" t="s">
        <v>4531</v>
      </c>
      <c r="D2107" s="57" t="s">
        <v>45</v>
      </c>
      <c r="E2107" s="57" t="s">
        <v>4772</v>
      </c>
      <c r="F2107" s="58" t="s">
        <v>5893</v>
      </c>
      <c r="G2107" s="57">
        <v>9</v>
      </c>
      <c r="H2107" s="57" t="s">
        <v>2557</v>
      </c>
      <c r="I2107" s="58">
        <v>83818</v>
      </c>
      <c r="J2107" s="234" t="s">
        <v>1628</v>
      </c>
      <c r="K2107" s="58">
        <v>5.99</v>
      </c>
      <c r="L2107" s="58">
        <v>0.18</v>
      </c>
      <c r="M2107" s="58">
        <v>0</v>
      </c>
      <c r="N2107" s="58">
        <v>1</v>
      </c>
      <c r="O2107" s="181">
        <f t="shared" si="16"/>
        <v>5.8100000000000005</v>
      </c>
      <c r="P2107" s="247">
        <f t="shared" si="17"/>
        <v>5.8100000000000005</v>
      </c>
    </row>
    <row r="2108" spans="1:16" ht="14.25">
      <c r="A2108" s="224">
        <v>2107</v>
      </c>
      <c r="B2108" s="58">
        <v>28946</v>
      </c>
      <c r="C2108" s="57" t="s">
        <v>5337</v>
      </c>
      <c r="D2108" s="57" t="s">
        <v>2582</v>
      </c>
      <c r="E2108" s="57" t="s">
        <v>4772</v>
      </c>
      <c r="F2108" s="58" t="s">
        <v>5894</v>
      </c>
      <c r="G2108" s="57">
        <v>9</v>
      </c>
      <c r="H2108" s="57" t="s">
        <v>2557</v>
      </c>
      <c r="I2108" s="58">
        <v>85558</v>
      </c>
      <c r="J2108" s="234" t="s">
        <v>1625</v>
      </c>
      <c r="K2108" s="58">
        <v>108.65</v>
      </c>
      <c r="L2108" s="58">
        <v>0.45</v>
      </c>
      <c r="M2108" s="58">
        <v>0</v>
      </c>
      <c r="N2108" s="58">
        <v>7.1055200000000003</v>
      </c>
      <c r="O2108" s="181">
        <f t="shared" si="16"/>
        <v>108.2</v>
      </c>
      <c r="P2108" s="247">
        <f t="shared" si="17"/>
        <v>15.227597698690595</v>
      </c>
    </row>
    <row r="2109" spans="1:16" ht="14.25">
      <c r="A2109" s="224">
        <v>2108</v>
      </c>
      <c r="B2109" s="58">
        <v>392</v>
      </c>
      <c r="C2109" s="57" t="s">
        <v>2876</v>
      </c>
      <c r="D2109" s="57" t="s">
        <v>2582</v>
      </c>
      <c r="E2109" s="57" t="s">
        <v>2860</v>
      </c>
      <c r="F2109" s="58" t="s">
        <v>5895</v>
      </c>
      <c r="G2109" s="57">
        <v>9</v>
      </c>
      <c r="H2109" s="57" t="s">
        <v>2557</v>
      </c>
      <c r="I2109" s="58">
        <v>83950</v>
      </c>
      <c r="J2109" s="234"/>
      <c r="K2109" s="58">
        <v>0.01</v>
      </c>
      <c r="L2109" s="58">
        <v>0</v>
      </c>
      <c r="M2109" s="58">
        <v>0</v>
      </c>
      <c r="N2109" s="58">
        <v>7.11571</v>
      </c>
      <c r="O2109" s="181">
        <f t="shared" si="16"/>
        <v>0.01</v>
      </c>
      <c r="P2109" s="247">
        <f t="shared" si="17"/>
        <v>1.4053411395349164E-3</v>
      </c>
    </row>
    <row r="2110" spans="1:16" ht="14.25">
      <c r="A2110" s="224">
        <v>2109</v>
      </c>
      <c r="B2110" s="58">
        <v>3974</v>
      </c>
      <c r="C2110" s="57" t="s">
        <v>2844</v>
      </c>
      <c r="D2110" s="57" t="s">
        <v>45</v>
      </c>
      <c r="E2110" s="57" t="s">
        <v>2860</v>
      </c>
      <c r="F2110" s="58" t="s">
        <v>5896</v>
      </c>
      <c r="G2110" s="57">
        <v>9</v>
      </c>
      <c r="H2110" s="57" t="s">
        <v>2557</v>
      </c>
      <c r="I2110" s="58">
        <v>85594</v>
      </c>
      <c r="J2110" s="234" t="s">
        <v>5897</v>
      </c>
      <c r="K2110" s="58">
        <v>1.99</v>
      </c>
      <c r="L2110" s="58">
        <v>0</v>
      </c>
      <c r="M2110" s="58">
        <v>0</v>
      </c>
      <c r="N2110" s="58">
        <v>1</v>
      </c>
      <c r="O2110" s="181">
        <f t="shared" si="16"/>
        <v>1.99</v>
      </c>
      <c r="P2110" s="247">
        <f t="shared" si="17"/>
        <v>1.99</v>
      </c>
    </row>
    <row r="2111" spans="1:16" ht="14.25">
      <c r="A2111" s="224">
        <v>2110</v>
      </c>
      <c r="B2111" s="58">
        <v>1042</v>
      </c>
      <c r="C2111" s="57" t="s">
        <v>5898</v>
      </c>
      <c r="D2111" s="57" t="s">
        <v>45</v>
      </c>
      <c r="E2111" s="57" t="s">
        <v>4772</v>
      </c>
      <c r="F2111" s="58" t="s">
        <v>5899</v>
      </c>
      <c r="G2111" s="57">
        <v>9</v>
      </c>
      <c r="H2111" s="57" t="s">
        <v>2557</v>
      </c>
      <c r="I2111" s="58">
        <v>85666</v>
      </c>
      <c r="J2111" s="234" t="s">
        <v>1637</v>
      </c>
      <c r="K2111" s="58">
        <v>43.2</v>
      </c>
      <c r="L2111" s="58">
        <v>1.26</v>
      </c>
      <c r="M2111" s="58">
        <v>0</v>
      </c>
      <c r="N2111" s="58">
        <v>1</v>
      </c>
      <c r="O2111" s="181">
        <f t="shared" si="16"/>
        <v>41.940000000000005</v>
      </c>
      <c r="P2111" s="247">
        <f t="shared" si="17"/>
        <v>41.940000000000005</v>
      </c>
    </row>
    <row r="2112" spans="1:16" ht="14.25">
      <c r="A2112" s="224">
        <v>2111</v>
      </c>
      <c r="B2112" s="58">
        <v>29080</v>
      </c>
      <c r="C2112" s="57" t="s">
        <v>5467</v>
      </c>
      <c r="D2112" s="57" t="s">
        <v>45</v>
      </c>
      <c r="E2112" s="57" t="s">
        <v>2860</v>
      </c>
      <c r="F2112" s="58" t="s">
        <v>5900</v>
      </c>
      <c r="G2112" s="57">
        <v>9</v>
      </c>
      <c r="H2112" s="57" t="s">
        <v>2557</v>
      </c>
      <c r="I2112" s="58">
        <v>84958</v>
      </c>
      <c r="J2112" s="234" t="s">
        <v>5901</v>
      </c>
      <c r="K2112" s="58">
        <v>16.989999999999998</v>
      </c>
      <c r="L2112" s="58">
        <v>0</v>
      </c>
      <c r="M2112" s="58">
        <v>0</v>
      </c>
      <c r="N2112" s="58">
        <v>1</v>
      </c>
      <c r="O2112" s="181">
        <f t="shared" si="16"/>
        <v>16.989999999999998</v>
      </c>
      <c r="P2112" s="247">
        <f t="shared" si="17"/>
        <v>16.989999999999998</v>
      </c>
    </row>
    <row r="2113" spans="1:16" ht="14.25">
      <c r="A2113" s="224">
        <v>2112</v>
      </c>
      <c r="B2113" s="58">
        <v>4758</v>
      </c>
      <c r="C2113" s="57" t="s">
        <v>5811</v>
      </c>
      <c r="D2113" s="57" t="s">
        <v>45</v>
      </c>
      <c r="E2113" s="57" t="s">
        <v>4772</v>
      </c>
      <c r="F2113" s="58" t="s">
        <v>5902</v>
      </c>
      <c r="G2113" s="57">
        <v>9</v>
      </c>
      <c r="H2113" s="57" t="s">
        <v>5903</v>
      </c>
      <c r="I2113" s="58">
        <v>84814</v>
      </c>
      <c r="J2113" s="234"/>
      <c r="K2113" s="58">
        <v>0</v>
      </c>
      <c r="L2113" s="58">
        <v>-0.16</v>
      </c>
      <c r="M2113" s="58">
        <v>4.99</v>
      </c>
      <c r="N2113" s="58">
        <v>1</v>
      </c>
      <c r="O2113" s="181">
        <f t="shared" si="16"/>
        <v>-4.83</v>
      </c>
      <c r="P2113" s="247">
        <f t="shared" si="17"/>
        <v>-4.83</v>
      </c>
    </row>
    <row r="2114" spans="1:16" ht="14.25">
      <c r="A2114" s="224">
        <v>2113</v>
      </c>
      <c r="B2114" s="58">
        <v>29319</v>
      </c>
      <c r="C2114" s="57" t="s">
        <v>5694</v>
      </c>
      <c r="D2114" s="57" t="s">
        <v>2582</v>
      </c>
      <c r="E2114" s="57" t="s">
        <v>2860</v>
      </c>
      <c r="F2114" s="58" t="s">
        <v>5904</v>
      </c>
      <c r="G2114" s="57">
        <v>9</v>
      </c>
      <c r="H2114" s="57" t="s">
        <v>2557</v>
      </c>
      <c r="I2114" s="58">
        <v>84670</v>
      </c>
      <c r="J2114" s="234" t="s">
        <v>5905</v>
      </c>
      <c r="K2114" s="58">
        <v>71.73</v>
      </c>
      <c r="L2114" s="58">
        <v>0</v>
      </c>
      <c r="M2114" s="58">
        <v>0</v>
      </c>
      <c r="N2114" s="58">
        <v>7.11571</v>
      </c>
      <c r="O2114" s="181">
        <f t="shared" si="16"/>
        <v>71.73</v>
      </c>
      <c r="P2114" s="247">
        <f t="shared" si="17"/>
        <v>10.080511993883956</v>
      </c>
    </row>
    <row r="2115" spans="1:16" ht="14.25">
      <c r="A2115" s="224">
        <v>2114</v>
      </c>
      <c r="B2115" s="58">
        <v>6641</v>
      </c>
      <c r="C2115" s="57" t="s">
        <v>2588</v>
      </c>
      <c r="D2115" s="57" t="s">
        <v>45</v>
      </c>
      <c r="E2115" s="57" t="s">
        <v>4772</v>
      </c>
      <c r="F2115" s="58" t="s">
        <v>5906</v>
      </c>
      <c r="G2115" s="57">
        <v>9</v>
      </c>
      <c r="H2115" s="57" t="s">
        <v>2557</v>
      </c>
      <c r="I2115" s="58">
        <v>85690</v>
      </c>
      <c r="J2115" s="234" t="s">
        <v>1646</v>
      </c>
      <c r="K2115" s="58">
        <v>8.99</v>
      </c>
      <c r="L2115" s="58">
        <v>0.26</v>
      </c>
      <c r="M2115" s="58">
        <v>0</v>
      </c>
      <c r="N2115" s="58">
        <v>1</v>
      </c>
      <c r="O2115" s="181">
        <f t="shared" si="16"/>
        <v>8.73</v>
      </c>
      <c r="P2115" s="247">
        <f t="shared" si="17"/>
        <v>8.73</v>
      </c>
    </row>
    <row r="2116" spans="1:16" ht="14.25">
      <c r="A2116" s="224">
        <v>2115</v>
      </c>
      <c r="B2116" s="58">
        <v>3826</v>
      </c>
      <c r="C2116" s="57" t="s">
        <v>423</v>
      </c>
      <c r="D2116" s="57" t="s">
        <v>45</v>
      </c>
      <c r="E2116" s="57" t="s">
        <v>9</v>
      </c>
      <c r="F2116" s="58" t="s">
        <v>5907</v>
      </c>
      <c r="G2116" s="57">
        <v>9</v>
      </c>
      <c r="H2116" s="57" t="s">
        <v>2557</v>
      </c>
      <c r="I2116" s="58">
        <v>85330</v>
      </c>
      <c r="J2116" s="234" t="s">
        <v>659</v>
      </c>
      <c r="K2116" s="58">
        <v>1.0900000000000001</v>
      </c>
      <c r="L2116" s="58">
        <v>0.54</v>
      </c>
      <c r="M2116" s="58">
        <v>0</v>
      </c>
      <c r="N2116" s="58">
        <v>1</v>
      </c>
      <c r="O2116" s="181">
        <f t="shared" si="16"/>
        <v>0.55000000000000004</v>
      </c>
      <c r="P2116" s="247">
        <f t="shared" si="17"/>
        <v>0.55000000000000004</v>
      </c>
    </row>
    <row r="2117" spans="1:16" ht="14.25">
      <c r="A2117" s="224">
        <v>2116</v>
      </c>
      <c r="B2117" s="58">
        <v>34097</v>
      </c>
      <c r="C2117" s="57" t="s">
        <v>5908</v>
      </c>
      <c r="D2117" s="57" t="s">
        <v>2582</v>
      </c>
      <c r="E2117" s="57" t="s">
        <v>4772</v>
      </c>
      <c r="F2117" s="58" t="s">
        <v>5909</v>
      </c>
      <c r="G2117" s="57">
        <v>9</v>
      </c>
      <c r="H2117" s="57" t="s">
        <v>2557</v>
      </c>
      <c r="I2117" s="58">
        <v>85774</v>
      </c>
      <c r="J2117" s="234" t="s">
        <v>1643</v>
      </c>
      <c r="K2117" s="58">
        <v>35.51</v>
      </c>
      <c r="L2117" s="58">
        <v>0.15</v>
      </c>
      <c r="M2117" s="58">
        <v>0</v>
      </c>
      <c r="N2117" s="58">
        <v>7.11571</v>
      </c>
      <c r="O2117" s="181">
        <f t="shared" si="16"/>
        <v>35.36</v>
      </c>
      <c r="P2117" s="247">
        <f t="shared" si="17"/>
        <v>4.9692862693954645</v>
      </c>
    </row>
    <row r="2118" spans="1:16" ht="14.25">
      <c r="A2118" s="224">
        <v>2117</v>
      </c>
      <c r="B2118" s="58">
        <v>5906</v>
      </c>
      <c r="C2118" s="57" t="s">
        <v>2768</v>
      </c>
      <c r="D2118" s="57" t="s">
        <v>45</v>
      </c>
      <c r="E2118" s="57" t="s">
        <v>9</v>
      </c>
      <c r="F2118" s="58" t="s">
        <v>5910</v>
      </c>
      <c r="G2118" s="57">
        <v>9</v>
      </c>
      <c r="H2118" s="57" t="s">
        <v>2557</v>
      </c>
      <c r="I2118" s="58">
        <v>84094</v>
      </c>
      <c r="J2118" s="234" t="s">
        <v>660</v>
      </c>
      <c r="K2118" s="58">
        <v>4.99</v>
      </c>
      <c r="L2118" s="58">
        <v>0.74</v>
      </c>
      <c r="M2118" s="58">
        <v>0</v>
      </c>
      <c r="N2118" s="58">
        <v>1</v>
      </c>
      <c r="O2118" s="181">
        <f t="shared" si="16"/>
        <v>4.25</v>
      </c>
      <c r="P2118" s="247">
        <f t="shared" si="17"/>
        <v>4.25</v>
      </c>
    </row>
    <row r="2119" spans="1:16" ht="14.25">
      <c r="A2119" s="224">
        <v>2118</v>
      </c>
      <c r="B2119" s="58">
        <v>6145</v>
      </c>
      <c r="C2119" s="57" t="s">
        <v>2805</v>
      </c>
      <c r="D2119" s="57" t="s">
        <v>45</v>
      </c>
      <c r="E2119" s="57" t="s">
        <v>2860</v>
      </c>
      <c r="F2119" s="58" t="s">
        <v>5911</v>
      </c>
      <c r="G2119" s="57">
        <v>9</v>
      </c>
      <c r="H2119" s="57" t="s">
        <v>2557</v>
      </c>
      <c r="I2119" s="58">
        <v>84658</v>
      </c>
      <c r="J2119" s="234" t="s">
        <v>5912</v>
      </c>
      <c r="K2119" s="58">
        <v>3.99</v>
      </c>
      <c r="L2119" s="58">
        <v>0</v>
      </c>
      <c r="M2119" s="58">
        <v>0</v>
      </c>
      <c r="N2119" s="58">
        <v>1</v>
      </c>
      <c r="O2119" s="181">
        <f t="shared" si="16"/>
        <v>3.99</v>
      </c>
      <c r="P2119" s="247">
        <f t="shared" si="17"/>
        <v>3.99</v>
      </c>
    </row>
    <row r="2120" spans="1:16" ht="14.25">
      <c r="A2120" s="224">
        <v>2119</v>
      </c>
      <c r="B2120" s="58">
        <v>27880</v>
      </c>
      <c r="C2120" s="57" t="s">
        <v>4998</v>
      </c>
      <c r="D2120" s="57" t="s">
        <v>45</v>
      </c>
      <c r="E2120" s="57" t="s">
        <v>4772</v>
      </c>
      <c r="F2120" s="58" t="s">
        <v>5913</v>
      </c>
      <c r="G2120" s="57">
        <v>9</v>
      </c>
      <c r="H2120" s="57" t="s">
        <v>2557</v>
      </c>
      <c r="I2120" s="58">
        <v>85042</v>
      </c>
      <c r="J2120" s="234" t="s">
        <v>1640</v>
      </c>
      <c r="K2120" s="58">
        <v>9.99</v>
      </c>
      <c r="L2120" s="58">
        <v>0.28999999999999998</v>
      </c>
      <c r="M2120" s="58">
        <v>0</v>
      </c>
      <c r="N2120" s="58">
        <v>1</v>
      </c>
      <c r="O2120" s="181">
        <f t="shared" si="16"/>
        <v>9.7000000000000011</v>
      </c>
      <c r="P2120" s="247">
        <f t="shared" si="17"/>
        <v>9.7000000000000011</v>
      </c>
    </row>
    <row r="2121" spans="1:16" ht="14.25">
      <c r="A2121" s="224">
        <v>2120</v>
      </c>
      <c r="B2121" s="58">
        <v>34109</v>
      </c>
      <c r="C2121" s="57" t="s">
        <v>5914</v>
      </c>
      <c r="D2121" s="57" t="s">
        <v>45</v>
      </c>
      <c r="E2121" s="57" t="s">
        <v>4772</v>
      </c>
      <c r="F2121" s="58" t="s">
        <v>5915</v>
      </c>
      <c r="G2121" s="57">
        <v>9</v>
      </c>
      <c r="H2121" s="57" t="s">
        <v>2557</v>
      </c>
      <c r="I2121" s="58">
        <v>85786</v>
      </c>
      <c r="J2121" s="234" t="s">
        <v>1652</v>
      </c>
      <c r="K2121" s="58">
        <v>3.99</v>
      </c>
      <c r="L2121" s="58">
        <v>0.12</v>
      </c>
      <c r="M2121" s="58">
        <v>0</v>
      </c>
      <c r="N2121" s="58">
        <v>1</v>
      </c>
      <c r="O2121" s="181">
        <f t="shared" si="16"/>
        <v>3.87</v>
      </c>
      <c r="P2121" s="247">
        <f t="shared" si="17"/>
        <v>3.87</v>
      </c>
    </row>
    <row r="2122" spans="1:16" ht="14.25">
      <c r="A2122" s="224">
        <v>2121</v>
      </c>
      <c r="B2122" s="58">
        <v>1046</v>
      </c>
      <c r="C2122" s="57" t="s">
        <v>2827</v>
      </c>
      <c r="D2122" s="57" t="s">
        <v>45</v>
      </c>
      <c r="E2122" s="57" t="s">
        <v>2860</v>
      </c>
      <c r="F2122" s="58" t="s">
        <v>5916</v>
      </c>
      <c r="G2122" s="57">
        <v>9</v>
      </c>
      <c r="H2122" s="57" t="s">
        <v>2557</v>
      </c>
      <c r="I2122" s="58">
        <v>85798</v>
      </c>
      <c r="J2122" s="234" t="s">
        <v>5917</v>
      </c>
      <c r="K2122" s="58">
        <v>3.98</v>
      </c>
      <c r="L2122" s="58">
        <v>0</v>
      </c>
      <c r="M2122" s="58">
        <v>0</v>
      </c>
      <c r="N2122" s="58">
        <v>1</v>
      </c>
      <c r="O2122" s="181">
        <f t="shared" si="16"/>
        <v>3.98</v>
      </c>
      <c r="P2122" s="247">
        <f t="shared" si="17"/>
        <v>3.98</v>
      </c>
    </row>
    <row r="2123" spans="1:16" ht="14.25">
      <c r="A2123" s="224">
        <v>2122</v>
      </c>
      <c r="B2123" s="58">
        <v>27903</v>
      </c>
      <c r="C2123" s="57" t="s">
        <v>5168</v>
      </c>
      <c r="D2123" s="57" t="s">
        <v>45</v>
      </c>
      <c r="E2123" s="57" t="s">
        <v>2874</v>
      </c>
      <c r="F2123" s="58" t="s">
        <v>5918</v>
      </c>
      <c r="G2123" s="57">
        <v>9</v>
      </c>
      <c r="H2123" s="57" t="s">
        <v>2557</v>
      </c>
      <c r="I2123" s="58">
        <v>85702</v>
      </c>
      <c r="J2123" s="234" t="s">
        <v>5919</v>
      </c>
      <c r="K2123" s="58">
        <v>27.86</v>
      </c>
      <c r="L2123" s="58">
        <v>0</v>
      </c>
      <c r="M2123" s="58">
        <v>0</v>
      </c>
      <c r="N2123" s="58">
        <v>1</v>
      </c>
      <c r="O2123" s="181">
        <f t="shared" si="16"/>
        <v>27.86</v>
      </c>
      <c r="P2123" s="247">
        <f t="shared" si="17"/>
        <v>27.86</v>
      </c>
    </row>
    <row r="2124" spans="1:16" ht="14.25">
      <c r="A2124" s="224">
        <v>2123</v>
      </c>
      <c r="B2124" s="58">
        <v>34067</v>
      </c>
      <c r="C2124" s="57" t="s">
        <v>5920</v>
      </c>
      <c r="D2124" s="57" t="s">
        <v>2582</v>
      </c>
      <c r="E2124" s="57" t="s">
        <v>4772</v>
      </c>
      <c r="F2124" s="58" t="s">
        <v>5921</v>
      </c>
      <c r="G2124" s="57">
        <v>9</v>
      </c>
      <c r="H2124" s="57" t="s">
        <v>2557</v>
      </c>
      <c r="I2124" s="58">
        <v>85906</v>
      </c>
      <c r="J2124" s="234" t="s">
        <v>1649</v>
      </c>
      <c r="K2124" s="58">
        <v>147.22999999999999</v>
      </c>
      <c r="L2124" s="58">
        <v>0.6</v>
      </c>
      <c r="M2124" s="58">
        <v>0</v>
      </c>
      <c r="N2124" s="58">
        <v>7.11571</v>
      </c>
      <c r="O2124" s="181">
        <f t="shared" si="16"/>
        <v>146.63</v>
      </c>
      <c r="P2124" s="247">
        <f t="shared" si="17"/>
        <v>20.60651712900048</v>
      </c>
    </row>
    <row r="2125" spans="1:16" ht="14.25">
      <c r="A2125" s="224">
        <v>2124</v>
      </c>
      <c r="B2125" s="58">
        <v>23955</v>
      </c>
      <c r="C2125" s="57" t="s">
        <v>5922</v>
      </c>
      <c r="D2125" s="57" t="s">
        <v>2582</v>
      </c>
      <c r="E2125" s="57" t="s">
        <v>2860</v>
      </c>
      <c r="F2125" s="58" t="s">
        <v>5923</v>
      </c>
      <c r="G2125" s="57">
        <v>9</v>
      </c>
      <c r="H2125" s="57" t="s">
        <v>2557</v>
      </c>
      <c r="I2125" s="58">
        <v>85918</v>
      </c>
      <c r="J2125" s="234" t="s">
        <v>5924</v>
      </c>
      <c r="K2125" s="58">
        <v>31.95</v>
      </c>
      <c r="L2125" s="58">
        <v>0</v>
      </c>
      <c r="M2125" s="58">
        <v>0</v>
      </c>
      <c r="N2125" s="58">
        <v>7.11571</v>
      </c>
      <c r="O2125" s="181">
        <f t="shared" si="16"/>
        <v>31.95</v>
      </c>
      <c r="P2125" s="247">
        <f t="shared" si="17"/>
        <v>4.490064940814058</v>
      </c>
    </row>
    <row r="2126" spans="1:16" ht="14.25">
      <c r="A2126" s="224">
        <v>2125</v>
      </c>
      <c r="B2126" s="58">
        <v>23955</v>
      </c>
      <c r="C2126" s="57" t="s">
        <v>5922</v>
      </c>
      <c r="D2126" s="57" t="s">
        <v>2582</v>
      </c>
      <c r="E2126" s="57" t="s">
        <v>2860</v>
      </c>
      <c r="F2126" s="58" t="s">
        <v>5923</v>
      </c>
      <c r="G2126" s="57">
        <v>9</v>
      </c>
      <c r="H2126" s="57" t="s">
        <v>2557</v>
      </c>
      <c r="I2126" s="58">
        <v>85918</v>
      </c>
      <c r="J2126" s="234" t="s">
        <v>5924</v>
      </c>
      <c r="K2126" s="58">
        <v>31.95</v>
      </c>
      <c r="L2126" s="58">
        <v>0</v>
      </c>
      <c r="M2126" s="58">
        <v>0</v>
      </c>
      <c r="N2126" s="58">
        <v>7.11571</v>
      </c>
      <c r="O2126" s="181">
        <f t="shared" si="16"/>
        <v>31.95</v>
      </c>
      <c r="P2126" s="247">
        <f t="shared" si="17"/>
        <v>4.490064940814058</v>
      </c>
    </row>
    <row r="2127" spans="1:16" ht="14.25">
      <c r="A2127" s="224">
        <v>2126</v>
      </c>
      <c r="B2127" s="58">
        <v>19314</v>
      </c>
      <c r="C2127" s="57" t="s">
        <v>3119</v>
      </c>
      <c r="D2127" s="57" t="s">
        <v>45</v>
      </c>
      <c r="E2127" s="57" t="s">
        <v>2874</v>
      </c>
      <c r="F2127" s="58" t="s">
        <v>5925</v>
      </c>
      <c r="G2127" s="57">
        <v>9</v>
      </c>
      <c r="H2127" s="57" t="s">
        <v>2557</v>
      </c>
      <c r="I2127" s="58">
        <v>85990</v>
      </c>
      <c r="J2127" s="234"/>
      <c r="K2127" s="58">
        <v>337.27</v>
      </c>
      <c r="L2127" s="58">
        <v>0</v>
      </c>
      <c r="M2127" s="58">
        <v>0</v>
      </c>
      <c r="N2127" s="58">
        <v>1</v>
      </c>
      <c r="O2127" s="181">
        <f t="shared" si="16"/>
        <v>337.27</v>
      </c>
      <c r="P2127" s="247">
        <f t="shared" si="17"/>
        <v>337.27</v>
      </c>
    </row>
    <row r="2128" spans="1:16" ht="14.25">
      <c r="A2128" s="224">
        <v>2127</v>
      </c>
      <c r="B2128" s="58">
        <v>31793</v>
      </c>
      <c r="C2128" s="57" t="s">
        <v>5780</v>
      </c>
      <c r="D2128" s="57" t="s">
        <v>45</v>
      </c>
      <c r="E2128" s="57" t="s">
        <v>4772</v>
      </c>
      <c r="F2128" s="58" t="s">
        <v>5926</v>
      </c>
      <c r="G2128" s="57">
        <v>9</v>
      </c>
      <c r="H2128" s="57" t="s">
        <v>2557</v>
      </c>
      <c r="I2128" s="58">
        <v>85978</v>
      </c>
      <c r="J2128" s="234" t="s">
        <v>1658</v>
      </c>
      <c r="K2128" s="58">
        <v>18.989999999999998</v>
      </c>
      <c r="L2128" s="58">
        <v>0.55000000000000004</v>
      </c>
      <c r="M2128" s="58">
        <v>0</v>
      </c>
      <c r="N2128" s="58">
        <v>1</v>
      </c>
      <c r="O2128" s="181">
        <f t="shared" si="16"/>
        <v>18.439999999999998</v>
      </c>
      <c r="P2128" s="247">
        <f t="shared" si="17"/>
        <v>18.439999999999998</v>
      </c>
    </row>
    <row r="2129" spans="1:16" ht="14.25">
      <c r="A2129" s="224">
        <v>2128</v>
      </c>
      <c r="B2129" s="58">
        <v>29085</v>
      </c>
      <c r="C2129" s="57" t="s">
        <v>5469</v>
      </c>
      <c r="D2129" s="57" t="s">
        <v>2582</v>
      </c>
      <c r="E2129" s="57" t="s">
        <v>4772</v>
      </c>
      <c r="F2129" s="58" t="s">
        <v>5927</v>
      </c>
      <c r="G2129" s="57">
        <v>9</v>
      </c>
      <c r="H2129" s="57" t="s">
        <v>2557</v>
      </c>
      <c r="I2129" s="58">
        <v>86014</v>
      </c>
      <c r="J2129" s="234" t="s">
        <v>1655</v>
      </c>
      <c r="K2129" s="58">
        <v>135.06</v>
      </c>
      <c r="L2129" s="58">
        <v>0.55000000000000004</v>
      </c>
      <c r="M2129" s="58">
        <v>0</v>
      </c>
      <c r="N2129" s="58">
        <v>7.1121299999999996</v>
      </c>
      <c r="O2129" s="181">
        <f t="shared" si="16"/>
        <v>134.51</v>
      </c>
      <c r="P2129" s="247">
        <f t="shared" si="17"/>
        <v>18.912758906262962</v>
      </c>
    </row>
    <row r="2130" spans="1:16" ht="14.25">
      <c r="A2130" s="224">
        <v>2129</v>
      </c>
      <c r="B2130" s="58">
        <v>6794</v>
      </c>
      <c r="C2130" s="57" t="s">
        <v>2623</v>
      </c>
      <c r="D2130" s="57" t="s">
        <v>45</v>
      </c>
      <c r="E2130" s="57" t="s">
        <v>2874</v>
      </c>
      <c r="F2130" s="58" t="s">
        <v>5928</v>
      </c>
      <c r="G2130" s="57">
        <v>9</v>
      </c>
      <c r="H2130" s="57" t="s">
        <v>2557</v>
      </c>
      <c r="I2130" s="58">
        <v>86026</v>
      </c>
      <c r="J2130" s="234" t="s">
        <v>5929</v>
      </c>
      <c r="K2130" s="58">
        <v>28</v>
      </c>
      <c r="L2130" s="58">
        <v>0</v>
      </c>
      <c r="M2130" s="58">
        <v>0</v>
      </c>
      <c r="N2130" s="58">
        <v>1</v>
      </c>
      <c r="O2130" s="181">
        <f t="shared" si="16"/>
        <v>28</v>
      </c>
      <c r="P2130" s="247">
        <f t="shared" si="17"/>
        <v>28</v>
      </c>
    </row>
    <row r="2131" spans="1:16" ht="14.25">
      <c r="A2131" s="224">
        <v>2130</v>
      </c>
      <c r="B2131" s="58">
        <v>27659</v>
      </c>
      <c r="C2131" s="57" t="s">
        <v>4961</v>
      </c>
      <c r="D2131" s="57" t="s">
        <v>45</v>
      </c>
      <c r="E2131" s="57" t="s">
        <v>2874</v>
      </c>
      <c r="F2131" s="58" t="s">
        <v>5930</v>
      </c>
      <c r="G2131" s="57">
        <v>9</v>
      </c>
      <c r="H2131" s="57" t="s">
        <v>2557</v>
      </c>
      <c r="I2131" s="58">
        <v>84526</v>
      </c>
      <c r="J2131" s="234" t="s">
        <v>5931</v>
      </c>
      <c r="K2131" s="58">
        <v>84.99</v>
      </c>
      <c r="L2131" s="58">
        <v>0</v>
      </c>
      <c r="M2131" s="58">
        <v>0</v>
      </c>
      <c r="N2131" s="58">
        <v>1</v>
      </c>
      <c r="O2131" s="181">
        <f t="shared" si="16"/>
        <v>84.99</v>
      </c>
      <c r="P2131" s="247">
        <f t="shared" si="17"/>
        <v>84.99</v>
      </c>
    </row>
    <row r="2132" spans="1:16" ht="14.25">
      <c r="A2132" s="224">
        <v>2131</v>
      </c>
      <c r="B2132" s="58">
        <v>25262</v>
      </c>
      <c r="C2132" s="57" t="s">
        <v>4571</v>
      </c>
      <c r="D2132" s="57" t="s">
        <v>2582</v>
      </c>
      <c r="E2132" s="57" t="s">
        <v>2860</v>
      </c>
      <c r="F2132" s="58" t="s">
        <v>5932</v>
      </c>
      <c r="G2132" s="57">
        <v>9</v>
      </c>
      <c r="H2132" s="57" t="s">
        <v>2557</v>
      </c>
      <c r="I2132" s="58">
        <v>85234</v>
      </c>
      <c r="J2132" s="234" t="s">
        <v>5933</v>
      </c>
      <c r="K2132" s="58">
        <v>46.44</v>
      </c>
      <c r="L2132" s="58">
        <v>0</v>
      </c>
      <c r="M2132" s="58">
        <v>0</v>
      </c>
      <c r="N2132" s="58">
        <v>7.1117600000000003</v>
      </c>
      <c r="O2132" s="181">
        <f t="shared" si="16"/>
        <v>46.44</v>
      </c>
      <c r="P2132" s="247">
        <f t="shared" si="17"/>
        <v>6.5300291348414454</v>
      </c>
    </row>
    <row r="2133" spans="1:16" ht="14.25">
      <c r="A2133" s="224">
        <v>2132</v>
      </c>
      <c r="B2133" s="58">
        <v>7698</v>
      </c>
      <c r="C2133" s="57" t="s">
        <v>2710</v>
      </c>
      <c r="D2133" s="57" t="s">
        <v>45</v>
      </c>
      <c r="E2133" s="57" t="s">
        <v>2874</v>
      </c>
      <c r="F2133" s="58" t="s">
        <v>5934</v>
      </c>
      <c r="G2133" s="57">
        <v>9</v>
      </c>
      <c r="H2133" s="57" t="s">
        <v>2557</v>
      </c>
      <c r="I2133" s="58">
        <v>86050</v>
      </c>
      <c r="J2133" s="234" t="s">
        <v>5935</v>
      </c>
      <c r="K2133" s="58">
        <v>18.989999999999998</v>
      </c>
      <c r="L2133" s="58">
        <v>0</v>
      </c>
      <c r="M2133" s="58">
        <v>0</v>
      </c>
      <c r="N2133" s="58">
        <v>1</v>
      </c>
      <c r="O2133" s="181">
        <f t="shared" si="16"/>
        <v>18.989999999999998</v>
      </c>
      <c r="P2133" s="247">
        <f t="shared" si="17"/>
        <v>18.989999999999998</v>
      </c>
    </row>
    <row r="2134" spans="1:16" ht="14.25">
      <c r="A2134" s="224">
        <v>2133</v>
      </c>
      <c r="B2134" s="58">
        <v>22778</v>
      </c>
      <c r="C2134" s="57" t="s">
        <v>3929</v>
      </c>
      <c r="D2134" s="57" t="s">
        <v>45</v>
      </c>
      <c r="E2134" s="57" t="s">
        <v>2860</v>
      </c>
      <c r="F2134" s="58" t="s">
        <v>5936</v>
      </c>
      <c r="G2134" s="57">
        <v>9</v>
      </c>
      <c r="H2134" s="57" t="s">
        <v>2557</v>
      </c>
      <c r="I2134" s="58">
        <v>84550</v>
      </c>
      <c r="J2134" s="234" t="s">
        <v>5937</v>
      </c>
      <c r="K2134" s="58">
        <v>59.98</v>
      </c>
      <c r="L2134" s="58">
        <v>0</v>
      </c>
      <c r="M2134" s="58">
        <v>0</v>
      </c>
      <c r="N2134" s="58">
        <v>1</v>
      </c>
      <c r="O2134" s="181">
        <f t="shared" si="16"/>
        <v>59.98</v>
      </c>
      <c r="P2134" s="247">
        <f t="shared" si="17"/>
        <v>59.98</v>
      </c>
    </row>
    <row r="2135" spans="1:16" ht="14.25">
      <c r="A2135" s="224">
        <v>2134</v>
      </c>
      <c r="B2135" s="58">
        <v>34169</v>
      </c>
      <c r="C2135" s="57" t="s">
        <v>5938</v>
      </c>
      <c r="D2135" s="57" t="s">
        <v>45</v>
      </c>
      <c r="E2135" s="57" t="s">
        <v>4772</v>
      </c>
      <c r="F2135" s="58" t="s">
        <v>5939</v>
      </c>
      <c r="G2135" s="57">
        <v>9</v>
      </c>
      <c r="H2135" s="57" t="s">
        <v>2557</v>
      </c>
      <c r="I2135" s="58">
        <v>86062</v>
      </c>
      <c r="J2135" s="234" t="s">
        <v>1664</v>
      </c>
      <c r="K2135" s="58">
        <v>3.99</v>
      </c>
      <c r="L2135" s="58">
        <v>0.12</v>
      </c>
      <c r="M2135" s="58">
        <v>0</v>
      </c>
      <c r="N2135" s="58">
        <v>1</v>
      </c>
      <c r="O2135" s="181">
        <f t="shared" si="16"/>
        <v>3.87</v>
      </c>
      <c r="P2135" s="247">
        <f t="shared" si="17"/>
        <v>3.87</v>
      </c>
    </row>
    <row r="2136" spans="1:16" ht="14.25">
      <c r="A2136" s="224">
        <v>2135</v>
      </c>
      <c r="B2136" s="58">
        <v>29085</v>
      </c>
      <c r="C2136" s="57" t="s">
        <v>5469</v>
      </c>
      <c r="D2136" s="57" t="s">
        <v>2582</v>
      </c>
      <c r="E2136" s="57" t="s">
        <v>4772</v>
      </c>
      <c r="F2136" s="58" t="s">
        <v>5940</v>
      </c>
      <c r="G2136" s="57">
        <v>9</v>
      </c>
      <c r="H2136" s="57" t="s">
        <v>2557</v>
      </c>
      <c r="I2136" s="58">
        <v>86074</v>
      </c>
      <c r="J2136" s="234" t="s">
        <v>1661</v>
      </c>
      <c r="K2136" s="58">
        <v>28.38</v>
      </c>
      <c r="L2136" s="58">
        <v>0.12</v>
      </c>
      <c r="M2136" s="58">
        <v>0</v>
      </c>
      <c r="N2136" s="58">
        <v>7.1117600000000003</v>
      </c>
      <c r="O2136" s="181">
        <f t="shared" si="16"/>
        <v>28.259999999999998</v>
      </c>
      <c r="P2136" s="247">
        <f t="shared" si="17"/>
        <v>3.9736998998841351</v>
      </c>
    </row>
    <row r="2137" spans="1:16" ht="14.25">
      <c r="A2137" s="224">
        <v>2136</v>
      </c>
      <c r="B2137" s="58">
        <v>26470</v>
      </c>
      <c r="C2137" s="57" t="s">
        <v>4808</v>
      </c>
      <c r="D2137" s="57" t="s">
        <v>45</v>
      </c>
      <c r="E2137" s="57" t="s">
        <v>2860</v>
      </c>
      <c r="F2137" s="58" t="s">
        <v>5941</v>
      </c>
      <c r="G2137" s="57">
        <v>9</v>
      </c>
      <c r="H2137" s="57" t="s">
        <v>2557</v>
      </c>
      <c r="I2137" s="58">
        <v>84538</v>
      </c>
      <c r="J2137" s="234" t="s">
        <v>5942</v>
      </c>
      <c r="K2137" s="58">
        <v>38.97</v>
      </c>
      <c r="L2137" s="58">
        <v>0</v>
      </c>
      <c r="M2137" s="58">
        <v>0</v>
      </c>
      <c r="N2137" s="58">
        <v>1</v>
      </c>
      <c r="O2137" s="181">
        <f t="shared" si="16"/>
        <v>38.97</v>
      </c>
      <c r="P2137" s="247">
        <f t="shared" si="17"/>
        <v>38.97</v>
      </c>
    </row>
    <row r="2138" spans="1:16" ht="14.25">
      <c r="A2138" s="224">
        <v>2137</v>
      </c>
      <c r="B2138" s="58">
        <v>33769</v>
      </c>
      <c r="C2138" s="57" t="s">
        <v>5800</v>
      </c>
      <c r="D2138" s="57" t="s">
        <v>45</v>
      </c>
      <c r="E2138" s="57" t="s">
        <v>2874</v>
      </c>
      <c r="F2138" s="58" t="s">
        <v>5943</v>
      </c>
      <c r="G2138" s="57">
        <v>9</v>
      </c>
      <c r="H2138" s="57" t="s">
        <v>2557</v>
      </c>
      <c r="I2138" s="58">
        <v>86134</v>
      </c>
      <c r="J2138" s="234" t="s">
        <v>5944</v>
      </c>
      <c r="K2138" s="58">
        <v>12.78</v>
      </c>
      <c r="L2138" s="58">
        <v>0</v>
      </c>
      <c r="M2138" s="58">
        <v>0</v>
      </c>
      <c r="N2138" s="58">
        <v>1</v>
      </c>
      <c r="O2138" s="181">
        <f t="shared" si="16"/>
        <v>12.78</v>
      </c>
      <c r="P2138" s="247">
        <f t="shared" si="17"/>
        <v>12.78</v>
      </c>
    </row>
    <row r="2139" spans="1:16" ht="14.25">
      <c r="A2139" s="224">
        <v>2138</v>
      </c>
      <c r="B2139" s="58">
        <v>28543</v>
      </c>
      <c r="C2139" s="57" t="s">
        <v>5127</v>
      </c>
      <c r="D2139" s="57" t="s">
        <v>2582</v>
      </c>
      <c r="E2139" s="57" t="s">
        <v>4772</v>
      </c>
      <c r="F2139" s="58" t="s">
        <v>5945</v>
      </c>
      <c r="G2139" s="57">
        <v>9</v>
      </c>
      <c r="H2139" s="57" t="s">
        <v>2557</v>
      </c>
      <c r="I2139" s="58">
        <v>86182</v>
      </c>
      <c r="J2139" s="234" t="s">
        <v>1673</v>
      </c>
      <c r="K2139" s="58">
        <v>71.2</v>
      </c>
      <c r="L2139" s="58">
        <v>0.28999999999999998</v>
      </c>
      <c r="M2139" s="58">
        <v>0</v>
      </c>
      <c r="N2139" s="58">
        <v>7.1270800000000003</v>
      </c>
      <c r="O2139" s="181">
        <f t="shared" si="16"/>
        <v>70.91</v>
      </c>
      <c r="P2139" s="247">
        <f t="shared" si="17"/>
        <v>9.9493761821110454</v>
      </c>
    </row>
    <row r="2140" spans="1:16" ht="14.25">
      <c r="A2140" s="224">
        <v>2139</v>
      </c>
      <c r="B2140" s="58">
        <v>29080</v>
      </c>
      <c r="C2140" s="57" t="s">
        <v>5467</v>
      </c>
      <c r="D2140" s="57" t="s">
        <v>45</v>
      </c>
      <c r="E2140" s="57" t="s">
        <v>2860</v>
      </c>
      <c r="F2140" s="58" t="s">
        <v>5946</v>
      </c>
      <c r="G2140" s="57">
        <v>9</v>
      </c>
      <c r="H2140" s="57" t="s">
        <v>2557</v>
      </c>
      <c r="I2140" s="58">
        <v>86170</v>
      </c>
      <c r="J2140" s="234" t="s">
        <v>5947</v>
      </c>
      <c r="K2140" s="58">
        <v>16.989999999999998</v>
      </c>
      <c r="L2140" s="58">
        <v>0</v>
      </c>
      <c r="M2140" s="58">
        <v>0</v>
      </c>
      <c r="N2140" s="58">
        <v>1</v>
      </c>
      <c r="O2140" s="181">
        <f t="shared" si="16"/>
        <v>16.989999999999998</v>
      </c>
      <c r="P2140" s="247">
        <f t="shared" si="17"/>
        <v>16.989999999999998</v>
      </c>
    </row>
    <row r="2141" spans="1:16" ht="14.25">
      <c r="A2141" s="224">
        <v>2140</v>
      </c>
      <c r="B2141" s="58">
        <v>3582</v>
      </c>
      <c r="C2141" s="57" t="s">
        <v>3371</v>
      </c>
      <c r="D2141" s="57" t="s">
        <v>45</v>
      </c>
      <c r="E2141" s="57" t="s">
        <v>4772</v>
      </c>
      <c r="F2141" s="58" t="s">
        <v>5948</v>
      </c>
      <c r="G2141" s="57">
        <v>9</v>
      </c>
      <c r="H2141" s="57" t="s">
        <v>2557</v>
      </c>
      <c r="I2141" s="58">
        <v>86194</v>
      </c>
      <c r="J2141" s="234" t="s">
        <v>1670</v>
      </c>
      <c r="K2141" s="58">
        <v>7.99</v>
      </c>
      <c r="L2141" s="58">
        <v>0.24</v>
      </c>
      <c r="M2141" s="58">
        <v>0</v>
      </c>
      <c r="N2141" s="58">
        <v>1</v>
      </c>
      <c r="O2141" s="181">
        <f t="shared" si="16"/>
        <v>7.75</v>
      </c>
      <c r="P2141" s="247">
        <f t="shared" si="17"/>
        <v>7.75</v>
      </c>
    </row>
    <row r="2142" spans="1:16" ht="14.25">
      <c r="A2142" s="224">
        <v>2141</v>
      </c>
      <c r="B2142" s="58">
        <v>28946</v>
      </c>
      <c r="C2142" s="57" t="s">
        <v>5337</v>
      </c>
      <c r="D2142" s="57" t="s">
        <v>2582</v>
      </c>
      <c r="E2142" s="57" t="s">
        <v>2860</v>
      </c>
      <c r="F2142" s="58" t="s">
        <v>5949</v>
      </c>
      <c r="G2142" s="57">
        <v>9</v>
      </c>
      <c r="H2142" s="57" t="s">
        <v>2557</v>
      </c>
      <c r="I2142" s="58">
        <v>84514</v>
      </c>
      <c r="J2142" s="234"/>
      <c r="K2142" s="58">
        <v>0.02</v>
      </c>
      <c r="L2142" s="58">
        <v>0</v>
      </c>
      <c r="M2142" s="58">
        <v>0</v>
      </c>
      <c r="N2142" s="58">
        <v>7.1270800000000003</v>
      </c>
      <c r="O2142" s="181">
        <f t="shared" si="16"/>
        <v>0.02</v>
      </c>
      <c r="P2142" s="247">
        <f t="shared" si="17"/>
        <v>2.8061983308732327E-3</v>
      </c>
    </row>
    <row r="2143" spans="1:16" ht="14.25">
      <c r="A2143" s="224">
        <v>2142</v>
      </c>
      <c r="B2143" s="58">
        <v>29101</v>
      </c>
      <c r="C2143" s="57" t="s">
        <v>5495</v>
      </c>
      <c r="D2143" s="57" t="s">
        <v>2582</v>
      </c>
      <c r="E2143" s="57" t="s">
        <v>2860</v>
      </c>
      <c r="F2143" s="58" t="s">
        <v>5950</v>
      </c>
      <c r="G2143" s="57">
        <v>9</v>
      </c>
      <c r="H2143" s="57" t="s">
        <v>2557</v>
      </c>
      <c r="I2143" s="58">
        <v>84694</v>
      </c>
      <c r="J2143" s="234" t="s">
        <v>5951</v>
      </c>
      <c r="K2143" s="58">
        <v>83.89</v>
      </c>
      <c r="L2143" s="58">
        <v>0</v>
      </c>
      <c r="M2143" s="58">
        <v>0</v>
      </c>
      <c r="N2143" s="58">
        <v>7.1270800000000003</v>
      </c>
      <c r="O2143" s="181">
        <f t="shared" si="16"/>
        <v>83.89</v>
      </c>
      <c r="P2143" s="247">
        <f t="shared" si="17"/>
        <v>11.770598898847775</v>
      </c>
    </row>
    <row r="2144" spans="1:16" ht="14.25">
      <c r="A2144" s="224">
        <v>2143</v>
      </c>
      <c r="B2144" s="58">
        <v>28667</v>
      </c>
      <c r="C2144" s="57" t="s">
        <v>5199</v>
      </c>
      <c r="D2144" s="57" t="s">
        <v>2582</v>
      </c>
      <c r="E2144" s="57" t="s">
        <v>2874</v>
      </c>
      <c r="F2144" s="58" t="s">
        <v>5952</v>
      </c>
      <c r="G2144" s="57">
        <v>9</v>
      </c>
      <c r="H2144" s="57" t="s">
        <v>2557</v>
      </c>
      <c r="I2144" s="58">
        <v>84706</v>
      </c>
      <c r="J2144" s="234" t="s">
        <v>5953</v>
      </c>
      <c r="K2144" s="58">
        <v>2680</v>
      </c>
      <c r="L2144" s="58">
        <v>0</v>
      </c>
      <c r="M2144" s="58">
        <v>0</v>
      </c>
      <c r="N2144" s="58">
        <v>7.1270800000000003</v>
      </c>
      <c r="O2144" s="181">
        <f t="shared" si="16"/>
        <v>2680</v>
      </c>
      <c r="P2144" s="247">
        <f t="shared" si="17"/>
        <v>376.0305763370132</v>
      </c>
    </row>
    <row r="2145" spans="1:16" ht="14.25">
      <c r="A2145" s="224">
        <v>2144</v>
      </c>
      <c r="B2145" s="58">
        <v>34067</v>
      </c>
      <c r="C2145" s="57" t="s">
        <v>5920</v>
      </c>
      <c r="D2145" s="57" t="s">
        <v>2582</v>
      </c>
      <c r="E2145" s="57" t="s">
        <v>4772</v>
      </c>
      <c r="F2145" s="58" t="s">
        <v>5954</v>
      </c>
      <c r="G2145" s="57">
        <v>9</v>
      </c>
      <c r="H2145" s="57" t="s">
        <v>2557</v>
      </c>
      <c r="I2145" s="58">
        <v>86206</v>
      </c>
      <c r="J2145" s="234" t="s">
        <v>1667</v>
      </c>
      <c r="K2145" s="58">
        <v>45.56</v>
      </c>
      <c r="L2145" s="58">
        <v>0.19</v>
      </c>
      <c r="M2145" s="58">
        <v>0</v>
      </c>
      <c r="N2145" s="58">
        <v>7.1270800000000003</v>
      </c>
      <c r="O2145" s="181">
        <f t="shared" si="16"/>
        <v>45.370000000000005</v>
      </c>
      <c r="P2145" s="247">
        <f t="shared" si="17"/>
        <v>6.3658609135859292</v>
      </c>
    </row>
    <row r="2146" spans="1:16" ht="14.25">
      <c r="A2146" s="224">
        <v>2145</v>
      </c>
      <c r="B2146" s="58">
        <v>28533</v>
      </c>
      <c r="C2146" s="57" t="s">
        <v>5149</v>
      </c>
      <c r="D2146" s="57" t="s">
        <v>2582</v>
      </c>
      <c r="E2146" s="57" t="s">
        <v>4772</v>
      </c>
      <c r="F2146" s="58" t="s">
        <v>5955</v>
      </c>
      <c r="G2146" s="57">
        <v>9</v>
      </c>
      <c r="H2146" s="57" t="s">
        <v>2557</v>
      </c>
      <c r="I2146" s="58">
        <v>86278</v>
      </c>
      <c r="J2146" s="234" t="s">
        <v>1687</v>
      </c>
      <c r="K2146" s="58">
        <v>108.94</v>
      </c>
      <c r="L2146" s="58">
        <v>0.45</v>
      </c>
      <c r="M2146" s="58">
        <v>0</v>
      </c>
      <c r="N2146" s="58">
        <v>7.1241199999999996</v>
      </c>
      <c r="O2146" s="181">
        <f t="shared" si="16"/>
        <v>108.49</v>
      </c>
      <c r="P2146" s="247">
        <f t="shared" si="17"/>
        <v>15.228547525869862</v>
      </c>
    </row>
    <row r="2147" spans="1:16" ht="14.25">
      <c r="A2147" s="224">
        <v>2146</v>
      </c>
      <c r="B2147" s="58">
        <v>6584</v>
      </c>
      <c r="C2147" s="57" t="s">
        <v>2578</v>
      </c>
      <c r="D2147" s="57" t="s">
        <v>45</v>
      </c>
      <c r="E2147" s="57" t="s">
        <v>4772</v>
      </c>
      <c r="F2147" s="58" t="s">
        <v>5956</v>
      </c>
      <c r="G2147" s="57">
        <v>9</v>
      </c>
      <c r="H2147" s="57" t="s">
        <v>2557</v>
      </c>
      <c r="I2147" s="58">
        <v>86290</v>
      </c>
      <c r="J2147" s="234" t="s">
        <v>1682</v>
      </c>
      <c r="K2147" s="58">
        <v>20.25</v>
      </c>
      <c r="L2147" s="58">
        <v>0.59</v>
      </c>
      <c r="M2147" s="58">
        <v>0</v>
      </c>
      <c r="N2147" s="58">
        <v>1</v>
      </c>
      <c r="O2147" s="181">
        <f t="shared" si="16"/>
        <v>19.66</v>
      </c>
      <c r="P2147" s="247">
        <f t="shared" si="17"/>
        <v>19.66</v>
      </c>
    </row>
    <row r="2148" spans="1:16" ht="14.25">
      <c r="A2148" s="224">
        <v>2147</v>
      </c>
      <c r="B2148" s="58">
        <v>28946</v>
      </c>
      <c r="C2148" s="57" t="s">
        <v>5337</v>
      </c>
      <c r="D2148" s="57" t="s">
        <v>2582</v>
      </c>
      <c r="E2148" s="57" t="s">
        <v>4772</v>
      </c>
      <c r="F2148" s="58" t="s">
        <v>5957</v>
      </c>
      <c r="G2148" s="57">
        <v>9</v>
      </c>
      <c r="H2148" s="57" t="s">
        <v>2557</v>
      </c>
      <c r="I2148" s="58">
        <v>86302</v>
      </c>
      <c r="J2148" s="234" t="s">
        <v>1679</v>
      </c>
      <c r="K2148" s="58">
        <v>135.29</v>
      </c>
      <c r="L2148" s="58">
        <v>0.55000000000000004</v>
      </c>
      <c r="M2148" s="58">
        <v>0</v>
      </c>
      <c r="N2148" s="58">
        <v>7.1241199999999996</v>
      </c>
      <c r="O2148" s="181">
        <f t="shared" si="16"/>
        <v>134.73999999999998</v>
      </c>
      <c r="P2148" s="247">
        <f t="shared" si="17"/>
        <v>18.91321314071071</v>
      </c>
    </row>
    <row r="2149" spans="1:16" ht="14.25">
      <c r="A2149" s="224">
        <v>2148</v>
      </c>
      <c r="B2149" s="58">
        <v>29102</v>
      </c>
      <c r="C2149" s="57" t="s">
        <v>5498</v>
      </c>
      <c r="D2149" s="57" t="s">
        <v>45</v>
      </c>
      <c r="E2149" s="57" t="s">
        <v>2860</v>
      </c>
      <c r="F2149" s="58" t="s">
        <v>5958</v>
      </c>
      <c r="G2149" s="57">
        <v>9</v>
      </c>
      <c r="H2149" s="57" t="s">
        <v>2557</v>
      </c>
      <c r="I2149" s="58">
        <v>86110</v>
      </c>
      <c r="J2149" s="234" t="s">
        <v>5959</v>
      </c>
      <c r="K2149" s="58">
        <v>2.4900000000000002</v>
      </c>
      <c r="L2149" s="58">
        <v>0</v>
      </c>
      <c r="M2149" s="58">
        <v>0</v>
      </c>
      <c r="N2149" s="58">
        <v>1</v>
      </c>
      <c r="O2149" s="181">
        <f t="shared" si="16"/>
        <v>2.4900000000000002</v>
      </c>
      <c r="P2149" s="247">
        <f t="shared" si="17"/>
        <v>2.4900000000000002</v>
      </c>
    </row>
    <row r="2150" spans="1:16" ht="14.25">
      <c r="A2150" s="224">
        <v>2149</v>
      </c>
      <c r="B2150" s="58">
        <v>25274</v>
      </c>
      <c r="C2150" s="57" t="s">
        <v>4573</v>
      </c>
      <c r="D2150" s="57" t="s">
        <v>2582</v>
      </c>
      <c r="E2150" s="57" t="s">
        <v>2860</v>
      </c>
      <c r="F2150" s="58" t="s">
        <v>5960</v>
      </c>
      <c r="G2150" s="57">
        <v>9</v>
      </c>
      <c r="H2150" s="57" t="s">
        <v>2557</v>
      </c>
      <c r="I2150" s="58">
        <v>85198</v>
      </c>
      <c r="J2150" s="234" t="s">
        <v>5961</v>
      </c>
      <c r="K2150" s="58">
        <v>215.01</v>
      </c>
      <c r="L2150" s="58">
        <v>0</v>
      </c>
      <c r="M2150" s="58">
        <v>0</v>
      </c>
      <c r="N2150" s="58">
        <v>7.1241199999999996</v>
      </c>
      <c r="O2150" s="181">
        <f t="shared" si="16"/>
        <v>215.01</v>
      </c>
      <c r="P2150" s="247">
        <f t="shared" si="17"/>
        <v>30.180569670359287</v>
      </c>
    </row>
    <row r="2151" spans="1:16" ht="14.25">
      <c r="A2151" s="224">
        <v>2150</v>
      </c>
      <c r="B2151" s="58">
        <v>34248</v>
      </c>
      <c r="C2151" s="57" t="s">
        <v>5694</v>
      </c>
      <c r="D2151" s="57" t="s">
        <v>45</v>
      </c>
      <c r="E2151" s="57" t="s">
        <v>4772</v>
      </c>
      <c r="F2151" s="58" t="s">
        <v>5962</v>
      </c>
      <c r="G2151" s="57">
        <v>9</v>
      </c>
      <c r="H2151" s="57" t="s">
        <v>2557</v>
      </c>
      <c r="I2151" s="58">
        <v>86314</v>
      </c>
      <c r="J2151" s="234" t="s">
        <v>1676</v>
      </c>
      <c r="K2151" s="58">
        <v>2.4900000000000002</v>
      </c>
      <c r="L2151" s="58">
        <v>0.08</v>
      </c>
      <c r="M2151" s="58">
        <v>0</v>
      </c>
      <c r="N2151" s="58">
        <v>1</v>
      </c>
      <c r="O2151" s="181">
        <f t="shared" si="16"/>
        <v>2.41</v>
      </c>
      <c r="P2151" s="247">
        <f t="shared" si="17"/>
        <v>2.41</v>
      </c>
    </row>
    <row r="2152" spans="1:16" ht="14.25">
      <c r="A2152" s="224">
        <v>2151</v>
      </c>
      <c r="B2152" s="58">
        <v>3309</v>
      </c>
      <c r="C2152" s="57" t="s">
        <v>2722</v>
      </c>
      <c r="D2152" s="57" t="s">
        <v>45</v>
      </c>
      <c r="E2152" s="57" t="s">
        <v>2860</v>
      </c>
      <c r="F2152" s="58" t="s">
        <v>5963</v>
      </c>
      <c r="G2152" s="57">
        <v>9</v>
      </c>
      <c r="H2152" s="57" t="s">
        <v>2557</v>
      </c>
      <c r="I2152" s="58">
        <v>85822</v>
      </c>
      <c r="J2152" s="234" t="s">
        <v>5964</v>
      </c>
      <c r="K2152" s="58">
        <v>59.99</v>
      </c>
      <c r="L2152" s="58">
        <v>0</v>
      </c>
      <c r="M2152" s="58">
        <v>0</v>
      </c>
      <c r="N2152" s="58">
        <v>1</v>
      </c>
      <c r="O2152" s="181">
        <f t="shared" si="16"/>
        <v>59.99</v>
      </c>
      <c r="P2152" s="247">
        <f t="shared" si="17"/>
        <v>59.99</v>
      </c>
    </row>
    <row r="2153" spans="1:16" ht="14.25">
      <c r="A2153" s="224">
        <v>2152</v>
      </c>
      <c r="B2153" s="58">
        <v>3309</v>
      </c>
      <c r="C2153" s="57" t="s">
        <v>2722</v>
      </c>
      <c r="D2153" s="57" t="s">
        <v>45</v>
      </c>
      <c r="E2153" s="57" t="s">
        <v>4772</v>
      </c>
      <c r="F2153" s="58" t="s">
        <v>5965</v>
      </c>
      <c r="G2153" s="57">
        <v>9</v>
      </c>
      <c r="H2153" s="57" t="s">
        <v>2557</v>
      </c>
      <c r="I2153" s="58">
        <v>86386</v>
      </c>
      <c r="J2153" s="234" t="s">
        <v>1693</v>
      </c>
      <c r="K2153" s="58">
        <v>16.989999999999998</v>
      </c>
      <c r="L2153" s="58">
        <v>0.5</v>
      </c>
      <c r="M2153" s="58">
        <v>0</v>
      </c>
      <c r="N2153" s="58">
        <v>1</v>
      </c>
      <c r="O2153" s="181">
        <f t="shared" si="16"/>
        <v>16.489999999999998</v>
      </c>
      <c r="P2153" s="247">
        <f t="shared" si="17"/>
        <v>16.489999999999998</v>
      </c>
    </row>
    <row r="2154" spans="1:16" ht="14.25">
      <c r="A2154" s="224">
        <v>2153</v>
      </c>
      <c r="B2154" s="58">
        <v>7191</v>
      </c>
      <c r="C2154" s="57" t="s">
        <v>2650</v>
      </c>
      <c r="D2154" s="57" t="s">
        <v>45</v>
      </c>
      <c r="E2154" s="57" t="s">
        <v>2860</v>
      </c>
      <c r="F2154" s="58" t="s">
        <v>5966</v>
      </c>
      <c r="G2154" s="57">
        <v>9</v>
      </c>
      <c r="H2154" s="57" t="s">
        <v>2557</v>
      </c>
      <c r="I2154" s="58">
        <v>84190</v>
      </c>
      <c r="J2154" s="234" t="s">
        <v>5967</v>
      </c>
      <c r="K2154" s="58">
        <v>1.79</v>
      </c>
      <c r="L2154" s="58">
        <v>0</v>
      </c>
      <c r="M2154" s="58">
        <v>0</v>
      </c>
      <c r="N2154" s="58">
        <v>1</v>
      </c>
      <c r="O2154" s="181">
        <f t="shared" si="16"/>
        <v>1.79</v>
      </c>
      <c r="P2154" s="247">
        <f t="shared" si="17"/>
        <v>1.79</v>
      </c>
    </row>
    <row r="2155" spans="1:16" ht="14.25">
      <c r="A2155" s="224">
        <v>2154</v>
      </c>
      <c r="B2155" s="58">
        <v>27966</v>
      </c>
      <c r="C2155" s="57" t="s">
        <v>5007</v>
      </c>
      <c r="D2155" s="57" t="s">
        <v>2582</v>
      </c>
      <c r="E2155" s="57" t="s">
        <v>4772</v>
      </c>
      <c r="F2155" s="58" t="s">
        <v>5968</v>
      </c>
      <c r="G2155" s="57">
        <v>9</v>
      </c>
      <c r="H2155" s="57" t="s">
        <v>2557</v>
      </c>
      <c r="I2155" s="58">
        <v>86398</v>
      </c>
      <c r="J2155" s="234" t="s">
        <v>1690</v>
      </c>
      <c r="K2155" s="58">
        <v>83.45</v>
      </c>
      <c r="L2155" s="58">
        <v>0.34</v>
      </c>
      <c r="M2155" s="58">
        <v>0</v>
      </c>
      <c r="N2155" s="58">
        <v>7.1374199999999997</v>
      </c>
      <c r="O2155" s="181">
        <f t="shared" si="16"/>
        <v>83.11</v>
      </c>
      <c r="P2155" s="247">
        <f t="shared" si="17"/>
        <v>11.644263613462568</v>
      </c>
    </row>
    <row r="2156" spans="1:16" ht="14.25">
      <c r="A2156" s="224">
        <v>2155</v>
      </c>
      <c r="B2156" s="58">
        <v>28988</v>
      </c>
      <c r="C2156" s="57" t="s">
        <v>5376</v>
      </c>
      <c r="D2156" s="57" t="s">
        <v>45</v>
      </c>
      <c r="E2156" s="57" t="s">
        <v>9</v>
      </c>
      <c r="F2156" s="58" t="s">
        <v>5969</v>
      </c>
      <c r="G2156" s="57">
        <v>9</v>
      </c>
      <c r="H2156" s="57" t="s">
        <v>2557</v>
      </c>
      <c r="I2156" s="58">
        <v>84790</v>
      </c>
      <c r="J2156" s="234" t="s">
        <v>663</v>
      </c>
      <c r="K2156" s="58">
        <v>9.49</v>
      </c>
      <c r="L2156" s="58">
        <v>0.96</v>
      </c>
      <c r="M2156" s="58">
        <v>0</v>
      </c>
      <c r="N2156" s="58">
        <v>1</v>
      </c>
      <c r="O2156" s="181">
        <f t="shared" si="16"/>
        <v>8.5300000000000011</v>
      </c>
      <c r="P2156" s="247">
        <f t="shared" si="17"/>
        <v>8.5300000000000011</v>
      </c>
    </row>
    <row r="2157" spans="1:16" ht="14.25">
      <c r="A2157" s="224">
        <v>2156</v>
      </c>
      <c r="B2157" s="58">
        <v>19275</v>
      </c>
      <c r="C2157" s="57" t="s">
        <v>3112</v>
      </c>
      <c r="D2157" s="57" t="s">
        <v>45</v>
      </c>
      <c r="E2157" s="57" t="s">
        <v>2874</v>
      </c>
      <c r="F2157" s="58" t="s">
        <v>5970</v>
      </c>
      <c r="G2157" s="57">
        <v>9</v>
      </c>
      <c r="H2157" s="57" t="s">
        <v>2557</v>
      </c>
      <c r="I2157" s="58">
        <v>86482</v>
      </c>
      <c r="J2157" s="234" t="s">
        <v>5971</v>
      </c>
      <c r="K2157" s="58">
        <v>119.98</v>
      </c>
      <c r="L2157" s="58">
        <v>0</v>
      </c>
      <c r="M2157" s="58">
        <v>0</v>
      </c>
      <c r="N2157" s="58">
        <v>1</v>
      </c>
      <c r="O2157" s="181">
        <f t="shared" si="16"/>
        <v>119.98</v>
      </c>
      <c r="P2157" s="247">
        <f t="shared" si="17"/>
        <v>119.98</v>
      </c>
    </row>
    <row r="2158" spans="1:16" ht="14.25">
      <c r="A2158" s="224">
        <v>2157</v>
      </c>
      <c r="B2158" s="58">
        <v>3747</v>
      </c>
      <c r="C2158" s="57" t="s">
        <v>4039</v>
      </c>
      <c r="D2158" s="57" t="s">
        <v>2582</v>
      </c>
      <c r="E2158" s="57" t="s">
        <v>9</v>
      </c>
      <c r="F2158" s="58" t="s">
        <v>5972</v>
      </c>
      <c r="G2158" s="57">
        <v>9</v>
      </c>
      <c r="H2158" s="57" t="s">
        <v>2557</v>
      </c>
      <c r="I2158" s="58">
        <v>85246</v>
      </c>
      <c r="J2158" s="234" t="s">
        <v>665</v>
      </c>
      <c r="K2158" s="58">
        <v>51.89</v>
      </c>
      <c r="L2158" s="58">
        <v>5.28</v>
      </c>
      <c r="M2158" s="58">
        <v>0</v>
      </c>
      <c r="N2158" s="58">
        <v>7.1374199999999997</v>
      </c>
      <c r="O2158" s="181">
        <f t="shared" si="16"/>
        <v>46.61</v>
      </c>
      <c r="P2158" s="247">
        <f t="shared" si="17"/>
        <v>6.530370918343043</v>
      </c>
    </row>
    <row r="2159" spans="1:16" ht="14.25">
      <c r="A2159" s="224">
        <v>2158</v>
      </c>
      <c r="B2159" s="58">
        <v>34279</v>
      </c>
      <c r="C2159" s="57" t="s">
        <v>5973</v>
      </c>
      <c r="D2159" s="57" t="s">
        <v>2582</v>
      </c>
      <c r="E2159" s="57" t="s">
        <v>4772</v>
      </c>
      <c r="F2159" s="58" t="s">
        <v>5974</v>
      </c>
      <c r="G2159" s="57">
        <v>9</v>
      </c>
      <c r="H2159" s="57" t="s">
        <v>2557</v>
      </c>
      <c r="I2159" s="58">
        <v>86494</v>
      </c>
      <c r="J2159" s="234" t="s">
        <v>1696</v>
      </c>
      <c r="K2159" s="58">
        <v>121.26</v>
      </c>
      <c r="L2159" s="58">
        <v>0.5</v>
      </c>
      <c r="M2159" s="58">
        <v>0</v>
      </c>
      <c r="N2159" s="58">
        <v>7.1374199999999997</v>
      </c>
      <c r="O2159" s="181">
        <f t="shared" si="16"/>
        <v>120.76</v>
      </c>
      <c r="P2159" s="247">
        <f t="shared" si="17"/>
        <v>16.919278955140655</v>
      </c>
    </row>
    <row r="2160" spans="1:16" ht="14.25">
      <c r="A2160" s="224">
        <v>2159</v>
      </c>
      <c r="B2160" s="58">
        <v>25286</v>
      </c>
      <c r="C2160" s="57" t="s">
        <v>4583</v>
      </c>
      <c r="D2160" s="57" t="s">
        <v>2582</v>
      </c>
      <c r="E2160" s="57" t="s">
        <v>2860</v>
      </c>
      <c r="F2160" s="58" t="s">
        <v>5975</v>
      </c>
      <c r="G2160" s="57">
        <v>9</v>
      </c>
      <c r="H2160" s="57" t="s">
        <v>2557</v>
      </c>
      <c r="I2160" s="58">
        <v>85342</v>
      </c>
      <c r="J2160" s="234" t="s">
        <v>5976</v>
      </c>
      <c r="K2160" s="58">
        <v>143.6</v>
      </c>
      <c r="L2160" s="58">
        <v>0</v>
      </c>
      <c r="M2160" s="58">
        <v>0</v>
      </c>
      <c r="N2160" s="58">
        <v>7.1374199999999997</v>
      </c>
      <c r="O2160" s="181">
        <f t="shared" si="16"/>
        <v>143.6</v>
      </c>
      <c r="P2160" s="247">
        <f t="shared" si="17"/>
        <v>20.119314822442842</v>
      </c>
    </row>
    <row r="2161" spans="1:16" ht="14.25">
      <c r="A2161" s="224">
        <v>2160</v>
      </c>
      <c r="B2161" s="58">
        <v>26089</v>
      </c>
      <c r="C2161" s="57" t="s">
        <v>4759</v>
      </c>
      <c r="D2161" s="57" t="s">
        <v>2582</v>
      </c>
      <c r="E2161" s="57" t="s">
        <v>4772</v>
      </c>
      <c r="F2161" s="58" t="s">
        <v>5977</v>
      </c>
      <c r="G2161" s="57">
        <v>9</v>
      </c>
      <c r="H2161" s="57" t="s">
        <v>2557</v>
      </c>
      <c r="I2161" s="58">
        <v>85354</v>
      </c>
      <c r="J2161" s="234" t="s">
        <v>1702</v>
      </c>
      <c r="K2161" s="58">
        <v>393.84</v>
      </c>
      <c r="L2161" s="58">
        <v>1.6</v>
      </c>
      <c r="M2161" s="58">
        <v>0</v>
      </c>
      <c r="N2161" s="58">
        <v>7.1374199999999997</v>
      </c>
      <c r="O2161" s="181">
        <f t="shared" si="16"/>
        <v>392.23999999999995</v>
      </c>
      <c r="P2161" s="247">
        <f t="shared" si="17"/>
        <v>54.955432074895405</v>
      </c>
    </row>
    <row r="2162" spans="1:16" ht="14.25">
      <c r="A2162" s="224">
        <v>2161</v>
      </c>
      <c r="B2162" s="58">
        <v>20647</v>
      </c>
      <c r="C2162" s="57" t="s">
        <v>3558</v>
      </c>
      <c r="D2162" s="57" t="s">
        <v>2582</v>
      </c>
      <c r="E2162" s="57" t="s">
        <v>4772</v>
      </c>
      <c r="F2162" s="58" t="s">
        <v>5978</v>
      </c>
      <c r="G2162" s="57">
        <v>9</v>
      </c>
      <c r="H2162" s="57" t="s">
        <v>2557</v>
      </c>
      <c r="I2162" s="58">
        <v>86542</v>
      </c>
      <c r="J2162" s="234" t="s">
        <v>1699</v>
      </c>
      <c r="K2162" s="58">
        <v>57.03</v>
      </c>
      <c r="L2162" s="58">
        <v>0.24</v>
      </c>
      <c r="M2162" s="58">
        <v>0</v>
      </c>
      <c r="N2162" s="58">
        <v>7.1374199999999997</v>
      </c>
      <c r="O2162" s="181">
        <f t="shared" si="16"/>
        <v>56.79</v>
      </c>
      <c r="P2162" s="247">
        <f t="shared" si="17"/>
        <v>7.9566566070092559</v>
      </c>
    </row>
    <row r="2163" spans="1:16" ht="14.25">
      <c r="A2163" s="224">
        <v>2162</v>
      </c>
      <c r="B2163" s="58">
        <v>6794</v>
      </c>
      <c r="C2163" s="57" t="s">
        <v>2623</v>
      </c>
      <c r="D2163" s="57" t="s">
        <v>45</v>
      </c>
      <c r="E2163" s="57" t="s">
        <v>2874</v>
      </c>
      <c r="F2163" s="58" t="s">
        <v>5979</v>
      </c>
      <c r="G2163" s="57">
        <v>9</v>
      </c>
      <c r="H2163" s="57" t="s">
        <v>2557</v>
      </c>
      <c r="I2163" s="58">
        <v>85066</v>
      </c>
      <c r="J2163" s="234"/>
      <c r="K2163" s="58">
        <v>4500</v>
      </c>
      <c r="L2163" s="58">
        <v>0</v>
      </c>
      <c r="M2163" s="58">
        <v>0</v>
      </c>
      <c r="N2163" s="58">
        <v>1</v>
      </c>
      <c r="O2163" s="181">
        <f t="shared" si="16"/>
        <v>4500</v>
      </c>
      <c r="P2163" s="247">
        <f t="shared" si="17"/>
        <v>4500</v>
      </c>
    </row>
    <row r="2164" spans="1:16" ht="14.25">
      <c r="A2164" s="224">
        <v>2163</v>
      </c>
      <c r="B2164" s="58">
        <v>24044</v>
      </c>
      <c r="C2164" s="57" t="s">
        <v>4118</v>
      </c>
      <c r="D2164" s="57" t="s">
        <v>2582</v>
      </c>
      <c r="E2164" s="57" t="s">
        <v>9</v>
      </c>
      <c r="F2164" s="58" t="s">
        <v>5980</v>
      </c>
      <c r="G2164" s="57">
        <v>9</v>
      </c>
      <c r="H2164" s="57" t="s">
        <v>2557</v>
      </c>
      <c r="I2164" s="58">
        <v>86626</v>
      </c>
      <c r="J2164" s="234" t="s">
        <v>667</v>
      </c>
      <c r="K2164" s="58">
        <v>148.86000000000001</v>
      </c>
      <c r="L2164" s="58">
        <v>10.9</v>
      </c>
      <c r="M2164" s="58">
        <v>0</v>
      </c>
      <c r="N2164" s="58">
        <v>7.1212099999999996</v>
      </c>
      <c r="O2164" s="181">
        <f t="shared" si="16"/>
        <v>137.96</v>
      </c>
      <c r="P2164" s="247">
        <f t="shared" si="17"/>
        <v>19.373112153692983</v>
      </c>
    </row>
    <row r="2165" spans="1:16" ht="14.25">
      <c r="A2165" s="224">
        <v>2164</v>
      </c>
      <c r="B2165" s="58">
        <v>25464</v>
      </c>
      <c r="C2165" s="57" t="s">
        <v>4628</v>
      </c>
      <c r="D2165" s="57" t="s">
        <v>2582</v>
      </c>
      <c r="E2165" s="57" t="s">
        <v>2860</v>
      </c>
      <c r="F2165" s="58" t="s">
        <v>5981</v>
      </c>
      <c r="G2165" s="57">
        <v>9</v>
      </c>
      <c r="H2165" s="57" t="s">
        <v>2557</v>
      </c>
      <c r="I2165" s="58">
        <v>85054</v>
      </c>
      <c r="J2165" s="234" t="s">
        <v>5982</v>
      </c>
      <c r="K2165" s="58">
        <v>147.34</v>
      </c>
      <c r="L2165" s="58">
        <v>0</v>
      </c>
      <c r="M2165" s="58">
        <v>0</v>
      </c>
      <c r="N2165" s="58">
        <v>7.1212099999999996</v>
      </c>
      <c r="O2165" s="181">
        <f t="shared" si="16"/>
        <v>147.34</v>
      </c>
      <c r="P2165" s="247">
        <f t="shared" si="17"/>
        <v>20.690304035409714</v>
      </c>
    </row>
    <row r="2166" spans="1:16" ht="14.25">
      <c r="A2166" s="224">
        <v>2165</v>
      </c>
      <c r="B2166" s="58">
        <v>29746</v>
      </c>
      <c r="C2166" s="57" t="s">
        <v>5766</v>
      </c>
      <c r="D2166" s="57" t="s">
        <v>2582</v>
      </c>
      <c r="E2166" s="57" t="s">
        <v>4772</v>
      </c>
      <c r="F2166" s="58" t="s">
        <v>5983</v>
      </c>
      <c r="G2166" s="57">
        <v>9</v>
      </c>
      <c r="H2166" s="57" t="s">
        <v>2557</v>
      </c>
      <c r="I2166" s="58">
        <v>85222</v>
      </c>
      <c r="J2166" s="234" t="s">
        <v>1714</v>
      </c>
      <c r="K2166" s="58">
        <v>135.44999999999999</v>
      </c>
      <c r="L2166" s="58">
        <v>0.56000000000000005</v>
      </c>
      <c r="M2166" s="58">
        <v>0</v>
      </c>
      <c r="N2166" s="58">
        <v>7.1212099999999996</v>
      </c>
      <c r="O2166" s="181">
        <f t="shared" si="16"/>
        <v>134.88999999999999</v>
      </c>
      <c r="P2166" s="247">
        <f t="shared" si="17"/>
        <v>18.942005642299552</v>
      </c>
    </row>
    <row r="2167" spans="1:16" ht="14.25">
      <c r="A2167" s="224">
        <v>2166</v>
      </c>
      <c r="B2167" s="58">
        <v>31680</v>
      </c>
      <c r="C2167" s="57" t="s">
        <v>5775</v>
      </c>
      <c r="D2167" s="57" t="s">
        <v>2582</v>
      </c>
      <c r="E2167" s="57" t="s">
        <v>4772</v>
      </c>
      <c r="F2167" s="58" t="s">
        <v>5984</v>
      </c>
      <c r="G2167" s="57">
        <v>9</v>
      </c>
      <c r="H2167" s="57" t="s">
        <v>2557</v>
      </c>
      <c r="I2167" s="58">
        <v>85486</v>
      </c>
      <c r="J2167" s="234" t="s">
        <v>1711</v>
      </c>
      <c r="K2167" s="58">
        <v>17.79</v>
      </c>
      <c r="L2167" s="58">
        <v>0.08</v>
      </c>
      <c r="M2167" s="58">
        <v>0</v>
      </c>
      <c r="N2167" s="58">
        <v>7.1212099999999996</v>
      </c>
      <c r="O2167" s="181">
        <f t="shared" si="16"/>
        <v>17.71</v>
      </c>
      <c r="P2167" s="247">
        <f t="shared" si="17"/>
        <v>2.4869369110024846</v>
      </c>
    </row>
    <row r="2168" spans="1:16" ht="14.25">
      <c r="A2168" s="224">
        <v>2167</v>
      </c>
      <c r="B2168" s="58">
        <v>22778</v>
      </c>
      <c r="C2168" s="57" t="s">
        <v>3929</v>
      </c>
      <c r="D2168" s="57" t="s">
        <v>45</v>
      </c>
      <c r="E2168" s="57" t="s">
        <v>2860</v>
      </c>
      <c r="F2168" s="58" t="s">
        <v>5985</v>
      </c>
      <c r="G2168" s="57">
        <v>9</v>
      </c>
      <c r="H2168" s="57" t="s">
        <v>2557</v>
      </c>
      <c r="I2168" s="58">
        <v>85522</v>
      </c>
      <c r="J2168" s="234" t="s">
        <v>5986</v>
      </c>
      <c r="K2168" s="58">
        <v>8.7899999999999991</v>
      </c>
      <c r="L2168" s="58">
        <v>0</v>
      </c>
      <c r="M2168" s="58">
        <v>0</v>
      </c>
      <c r="N2168" s="58">
        <v>1</v>
      </c>
      <c r="O2168" s="181">
        <f t="shared" si="16"/>
        <v>8.7899999999999991</v>
      </c>
      <c r="P2168" s="247">
        <f t="shared" si="17"/>
        <v>8.7899999999999991</v>
      </c>
    </row>
    <row r="2169" spans="1:16" ht="14.25">
      <c r="A2169" s="224">
        <v>2168</v>
      </c>
      <c r="B2169" s="58">
        <v>22778</v>
      </c>
      <c r="C2169" s="57" t="s">
        <v>3929</v>
      </c>
      <c r="D2169" s="57" t="s">
        <v>45</v>
      </c>
      <c r="E2169" s="57" t="s">
        <v>4772</v>
      </c>
      <c r="F2169" s="58" t="s">
        <v>5987</v>
      </c>
      <c r="G2169" s="57">
        <v>9</v>
      </c>
      <c r="H2169" s="57" t="s">
        <v>2557</v>
      </c>
      <c r="I2169" s="58">
        <v>85390</v>
      </c>
      <c r="J2169" s="234" t="s">
        <v>1708</v>
      </c>
      <c r="K2169" s="58">
        <v>12.79</v>
      </c>
      <c r="L2169" s="58">
        <v>0.37</v>
      </c>
      <c r="M2169" s="58">
        <v>0</v>
      </c>
      <c r="N2169" s="58">
        <v>1</v>
      </c>
      <c r="O2169" s="181">
        <f t="shared" si="16"/>
        <v>12.42</v>
      </c>
      <c r="P2169" s="247">
        <f t="shared" si="17"/>
        <v>12.42</v>
      </c>
    </row>
    <row r="2170" spans="1:16" ht="14.25">
      <c r="A2170" s="224">
        <v>2169</v>
      </c>
      <c r="B2170" s="58">
        <v>34283</v>
      </c>
      <c r="C2170" s="57" t="s">
        <v>5988</v>
      </c>
      <c r="D2170" s="57" t="s">
        <v>2582</v>
      </c>
      <c r="E2170" s="57" t="s">
        <v>4772</v>
      </c>
      <c r="F2170" s="58" t="s">
        <v>5989</v>
      </c>
      <c r="G2170" s="57">
        <v>9</v>
      </c>
      <c r="H2170" s="57" t="s">
        <v>2557</v>
      </c>
      <c r="I2170" s="58">
        <v>86638</v>
      </c>
      <c r="J2170" s="234" t="s">
        <v>1705</v>
      </c>
      <c r="K2170" s="58">
        <v>64.069999999999993</v>
      </c>
      <c r="L2170" s="58">
        <v>0.26</v>
      </c>
      <c r="M2170" s="58">
        <v>0</v>
      </c>
      <c r="N2170" s="58">
        <v>7.1212099999999996</v>
      </c>
      <c r="O2170" s="181">
        <f t="shared" si="16"/>
        <v>63.809999999999995</v>
      </c>
      <c r="P2170" s="247">
        <f t="shared" si="17"/>
        <v>8.9605558605911071</v>
      </c>
    </row>
    <row r="2171" spans="1:16" ht="14.25">
      <c r="A2171" s="224">
        <v>2170</v>
      </c>
      <c r="B2171" s="58">
        <v>27903</v>
      </c>
      <c r="C2171" s="57" t="s">
        <v>5168</v>
      </c>
      <c r="D2171" s="57" t="s">
        <v>45</v>
      </c>
      <c r="E2171" s="57" t="s">
        <v>2874</v>
      </c>
      <c r="F2171" s="58" t="s">
        <v>5990</v>
      </c>
      <c r="G2171" s="57">
        <v>9</v>
      </c>
      <c r="H2171" s="57" t="s">
        <v>2557</v>
      </c>
      <c r="I2171" s="58">
        <v>86506</v>
      </c>
      <c r="J2171" s="234" t="s">
        <v>5991</v>
      </c>
      <c r="K2171" s="58">
        <v>390</v>
      </c>
      <c r="L2171" s="58">
        <v>0</v>
      </c>
      <c r="M2171" s="58">
        <v>0</v>
      </c>
      <c r="N2171" s="58">
        <v>1</v>
      </c>
      <c r="O2171" s="181">
        <f t="shared" si="16"/>
        <v>390</v>
      </c>
      <c r="P2171" s="247">
        <f t="shared" si="17"/>
        <v>390</v>
      </c>
    </row>
    <row r="2172" spans="1:16" ht="14.25">
      <c r="A2172" s="224">
        <v>2171</v>
      </c>
      <c r="B2172" s="58">
        <v>1042</v>
      </c>
      <c r="C2172" s="57" t="s">
        <v>5898</v>
      </c>
      <c r="D2172" s="57" t="s">
        <v>45</v>
      </c>
      <c r="E2172" s="57" t="s">
        <v>9</v>
      </c>
      <c r="F2172" s="233">
        <v>45667.421527777777</v>
      </c>
      <c r="G2172" s="57">
        <v>10</v>
      </c>
      <c r="H2172" s="57" t="s">
        <v>2557</v>
      </c>
      <c r="I2172" s="58">
        <v>86674</v>
      </c>
      <c r="J2172" s="234" t="s">
        <v>669</v>
      </c>
      <c r="K2172" s="58">
        <v>192.01</v>
      </c>
      <c r="L2172" s="58">
        <v>10.07</v>
      </c>
      <c r="M2172" s="58">
        <v>0</v>
      </c>
      <c r="N2172" s="58">
        <v>1</v>
      </c>
      <c r="O2172" s="181">
        <f t="shared" si="16"/>
        <v>181.94</v>
      </c>
      <c r="P2172" s="247">
        <f t="shared" si="17"/>
        <v>181.94</v>
      </c>
    </row>
    <row r="2173" spans="1:16" ht="14.25">
      <c r="A2173" s="224">
        <v>2172</v>
      </c>
      <c r="B2173" s="58">
        <v>357</v>
      </c>
      <c r="C2173" s="57" t="s">
        <v>5992</v>
      </c>
      <c r="D2173" s="57" t="s">
        <v>45</v>
      </c>
      <c r="E2173" s="57" t="s">
        <v>4772</v>
      </c>
      <c r="F2173" s="233">
        <v>45667.762499999997</v>
      </c>
      <c r="G2173" s="57">
        <v>10</v>
      </c>
      <c r="H2173" s="57" t="s">
        <v>2557</v>
      </c>
      <c r="I2173" s="58">
        <v>86686</v>
      </c>
      <c r="J2173" s="234" t="s">
        <v>1718</v>
      </c>
      <c r="K2173" s="58">
        <v>1.99</v>
      </c>
      <c r="L2173" s="58">
        <v>0.06</v>
      </c>
      <c r="M2173" s="58">
        <v>0</v>
      </c>
      <c r="N2173" s="58">
        <v>1</v>
      </c>
      <c r="O2173" s="181">
        <f t="shared" si="16"/>
        <v>1.93</v>
      </c>
      <c r="P2173" s="247">
        <f t="shared" si="17"/>
        <v>1.93</v>
      </c>
    </row>
    <row r="2174" spans="1:16" ht="14.25">
      <c r="A2174" s="224">
        <v>2173</v>
      </c>
      <c r="B2174" s="58">
        <v>21791</v>
      </c>
      <c r="C2174" s="57" t="s">
        <v>3855</v>
      </c>
      <c r="D2174" s="57" t="s">
        <v>45</v>
      </c>
      <c r="E2174" s="57" t="s">
        <v>2874</v>
      </c>
      <c r="F2174" s="233">
        <v>45667.99722222222</v>
      </c>
      <c r="G2174" s="57">
        <v>10</v>
      </c>
      <c r="H2174" s="57" t="s">
        <v>2557</v>
      </c>
      <c r="I2174" s="58">
        <v>86710</v>
      </c>
      <c r="J2174" s="234" t="s">
        <v>5993</v>
      </c>
      <c r="K2174" s="58">
        <v>22.99</v>
      </c>
      <c r="L2174" s="58">
        <v>0</v>
      </c>
      <c r="M2174" s="58">
        <v>0</v>
      </c>
      <c r="N2174" s="58">
        <v>1</v>
      </c>
      <c r="O2174" s="181">
        <f t="shared" si="16"/>
        <v>22.99</v>
      </c>
      <c r="P2174" s="247">
        <f t="shared" si="17"/>
        <v>22.99</v>
      </c>
    </row>
    <row r="2175" spans="1:16" ht="14.25">
      <c r="A2175" s="224">
        <v>2174</v>
      </c>
      <c r="B2175" s="58">
        <v>21791</v>
      </c>
      <c r="C2175" s="57" t="s">
        <v>3855</v>
      </c>
      <c r="D2175" s="57" t="s">
        <v>45</v>
      </c>
      <c r="E2175" s="57" t="s">
        <v>2874</v>
      </c>
      <c r="F2175" s="233">
        <v>45698.003472222219</v>
      </c>
      <c r="G2175" s="57">
        <v>10</v>
      </c>
      <c r="H2175" s="57" t="s">
        <v>2557</v>
      </c>
      <c r="I2175" s="58">
        <v>86698</v>
      </c>
      <c r="J2175" s="234" t="s">
        <v>5994</v>
      </c>
      <c r="K2175" s="58">
        <v>9.49</v>
      </c>
      <c r="L2175" s="58">
        <v>0</v>
      </c>
      <c r="M2175" s="58">
        <v>0</v>
      </c>
      <c r="N2175" s="58">
        <v>1</v>
      </c>
      <c r="O2175" s="181">
        <f t="shared" si="16"/>
        <v>9.49</v>
      </c>
      <c r="P2175" s="247">
        <f t="shared" si="17"/>
        <v>9.49</v>
      </c>
    </row>
    <row r="2176" spans="1:16" ht="14.25">
      <c r="A2176" s="224">
        <v>2175</v>
      </c>
      <c r="B2176" s="58">
        <v>34311</v>
      </c>
      <c r="C2176" s="57" t="s">
        <v>5995</v>
      </c>
      <c r="D2176" s="57" t="s">
        <v>2582</v>
      </c>
      <c r="E2176" s="57" t="s">
        <v>4772</v>
      </c>
      <c r="F2176" s="233">
        <v>45698.638194444444</v>
      </c>
      <c r="G2176" s="57">
        <v>10</v>
      </c>
      <c r="H2176" s="57" t="s">
        <v>2557</v>
      </c>
      <c r="I2176" s="58">
        <v>86854</v>
      </c>
      <c r="J2176" s="234" t="s">
        <v>1726</v>
      </c>
      <c r="K2176" s="58">
        <v>108.86</v>
      </c>
      <c r="L2176" s="58">
        <v>0.45</v>
      </c>
      <c r="M2176" s="58">
        <v>0</v>
      </c>
      <c r="N2176" s="58">
        <v>7.11958</v>
      </c>
      <c r="O2176" s="181">
        <f t="shared" si="16"/>
        <v>108.41</v>
      </c>
      <c r="P2176" s="247">
        <f t="shared" si="17"/>
        <v>15.227021818702788</v>
      </c>
    </row>
    <row r="2177" spans="1:16" ht="14.25">
      <c r="A2177" s="224">
        <v>2176</v>
      </c>
      <c r="B2177" s="58">
        <v>26237</v>
      </c>
      <c r="C2177" s="57" t="s">
        <v>4786</v>
      </c>
      <c r="D2177" s="57" t="s">
        <v>45</v>
      </c>
      <c r="E2177" s="57" t="s">
        <v>4772</v>
      </c>
      <c r="F2177" s="233">
        <v>45698.662499999999</v>
      </c>
      <c r="G2177" s="57">
        <v>10</v>
      </c>
      <c r="H2177" s="57" t="s">
        <v>2557</v>
      </c>
      <c r="I2177" s="58">
        <v>86830</v>
      </c>
      <c r="J2177" s="234" t="s">
        <v>1724</v>
      </c>
      <c r="K2177" s="58">
        <v>56.79</v>
      </c>
      <c r="L2177" s="58">
        <v>1.65</v>
      </c>
      <c r="M2177" s="58">
        <v>0</v>
      </c>
      <c r="N2177" s="58">
        <v>1</v>
      </c>
      <c r="O2177" s="181">
        <f t="shared" si="16"/>
        <v>55.14</v>
      </c>
      <c r="P2177" s="247">
        <f t="shared" si="17"/>
        <v>55.14</v>
      </c>
    </row>
    <row r="2178" spans="1:16" ht="14.25">
      <c r="A2178" s="224">
        <v>2177</v>
      </c>
      <c r="B2178" s="58">
        <v>34273</v>
      </c>
      <c r="C2178" s="57" t="s">
        <v>5996</v>
      </c>
      <c r="D2178" s="57" t="s">
        <v>2582</v>
      </c>
      <c r="E2178" s="57" t="s">
        <v>4772</v>
      </c>
      <c r="F2178" s="233">
        <v>45698.804861111108</v>
      </c>
      <c r="G2178" s="57">
        <v>10</v>
      </c>
      <c r="H2178" s="57" t="s">
        <v>2557</v>
      </c>
      <c r="I2178" s="58">
        <v>86866</v>
      </c>
      <c r="J2178" s="234" t="s">
        <v>1722</v>
      </c>
      <c r="K2178" s="58">
        <v>83.23</v>
      </c>
      <c r="L2178" s="58">
        <v>0.34</v>
      </c>
      <c r="M2178" s="58">
        <v>0</v>
      </c>
      <c r="N2178" s="58">
        <v>7.11958</v>
      </c>
      <c r="O2178" s="181">
        <f t="shared" si="16"/>
        <v>82.89</v>
      </c>
      <c r="P2178" s="247">
        <f t="shared" si="17"/>
        <v>11.642540711671193</v>
      </c>
    </row>
    <row r="2179" spans="1:16" ht="14.25">
      <c r="A2179" s="224">
        <v>2178</v>
      </c>
      <c r="B2179" s="58">
        <v>34312</v>
      </c>
      <c r="C2179" s="57" t="s">
        <v>5997</v>
      </c>
      <c r="D2179" s="57" t="s">
        <v>2582</v>
      </c>
      <c r="E2179" s="57" t="s">
        <v>4772</v>
      </c>
      <c r="F2179" s="233">
        <v>45698.882638888892</v>
      </c>
      <c r="G2179" s="57">
        <v>10</v>
      </c>
      <c r="H2179" s="57" t="s">
        <v>2557</v>
      </c>
      <c r="I2179" s="58">
        <v>86878</v>
      </c>
      <c r="J2179" s="234" t="s">
        <v>1720</v>
      </c>
      <c r="K2179" s="58">
        <v>92.48</v>
      </c>
      <c r="L2179" s="58">
        <v>0.38</v>
      </c>
      <c r="M2179" s="58">
        <v>0</v>
      </c>
      <c r="N2179" s="58">
        <v>7.11958</v>
      </c>
      <c r="O2179" s="181">
        <f t="shared" si="16"/>
        <v>92.100000000000009</v>
      </c>
      <c r="P2179" s="247">
        <f t="shared" si="17"/>
        <v>12.936156346301328</v>
      </c>
    </row>
    <row r="2180" spans="1:16" ht="14.25">
      <c r="A2180" s="224">
        <v>2179</v>
      </c>
      <c r="B2180" s="58">
        <v>28570</v>
      </c>
      <c r="C2180" s="57" t="s">
        <v>5137</v>
      </c>
      <c r="D2180" s="57" t="s">
        <v>2582</v>
      </c>
      <c r="E2180" s="57" t="s">
        <v>4772</v>
      </c>
      <c r="F2180" s="233">
        <v>45726.769444444442</v>
      </c>
      <c r="G2180" s="57">
        <v>10</v>
      </c>
      <c r="H2180" s="57" t="s">
        <v>2557</v>
      </c>
      <c r="I2180" s="58">
        <v>87010</v>
      </c>
      <c r="J2180" s="234" t="s">
        <v>1731</v>
      </c>
      <c r="K2180" s="58">
        <v>67.56</v>
      </c>
      <c r="L2180" s="58">
        <v>0.28000000000000003</v>
      </c>
      <c r="M2180" s="58">
        <v>0</v>
      </c>
      <c r="N2180" s="58">
        <v>7.1195300000000001</v>
      </c>
      <c r="O2180" s="181">
        <f t="shared" si="16"/>
        <v>67.28</v>
      </c>
      <c r="P2180" s="247">
        <f t="shared" si="17"/>
        <v>9.4500620125204886</v>
      </c>
    </row>
    <row r="2181" spans="1:16" ht="14.25">
      <c r="A2181" s="224">
        <v>2180</v>
      </c>
      <c r="B2181" s="58">
        <v>6391</v>
      </c>
      <c r="C2181" s="57" t="s">
        <v>5998</v>
      </c>
      <c r="D2181" s="57" t="s">
        <v>2582</v>
      </c>
      <c r="E2181" s="57" t="s">
        <v>4772</v>
      </c>
      <c r="F2181" s="233">
        <v>45726.863888888889</v>
      </c>
      <c r="G2181" s="57">
        <v>10</v>
      </c>
      <c r="H2181" s="57" t="s">
        <v>2557</v>
      </c>
      <c r="I2181" s="58">
        <v>87022</v>
      </c>
      <c r="J2181" s="234" t="s">
        <v>1728</v>
      </c>
      <c r="K2181" s="58">
        <v>64.05</v>
      </c>
      <c r="L2181" s="58">
        <v>0.26</v>
      </c>
      <c r="M2181" s="58">
        <v>0</v>
      </c>
      <c r="N2181" s="58">
        <v>7.1195300000000001</v>
      </c>
      <c r="O2181" s="181">
        <f t="shared" si="16"/>
        <v>63.79</v>
      </c>
      <c r="P2181" s="247">
        <f t="shared" si="17"/>
        <v>8.9598611144274969</v>
      </c>
    </row>
    <row r="2182" spans="1:16" ht="14.25">
      <c r="A2182" s="224">
        <v>2181</v>
      </c>
      <c r="B2182" s="58">
        <v>29098</v>
      </c>
      <c r="C2182" s="57" t="s">
        <v>5491</v>
      </c>
      <c r="D2182" s="57" t="s">
        <v>2582</v>
      </c>
      <c r="E2182" s="57" t="s">
        <v>4772</v>
      </c>
      <c r="F2182" s="233">
        <v>45757.379861111112</v>
      </c>
      <c r="G2182" s="57">
        <v>10</v>
      </c>
      <c r="H2182" s="57" t="s">
        <v>2557</v>
      </c>
      <c r="I2182" s="58">
        <v>85858</v>
      </c>
      <c r="J2182" s="234" t="s">
        <v>1737</v>
      </c>
      <c r="K2182" s="58">
        <v>62.75</v>
      </c>
      <c r="L2182" s="58">
        <v>0.26</v>
      </c>
      <c r="M2182" s="58">
        <v>0</v>
      </c>
      <c r="N2182" s="58">
        <v>7.1195700000000004</v>
      </c>
      <c r="O2182" s="181">
        <f t="shared" si="16"/>
        <v>62.49</v>
      </c>
      <c r="P2182" s="247">
        <f t="shared" si="17"/>
        <v>8.7772154779010521</v>
      </c>
    </row>
    <row r="2183" spans="1:16" ht="14.25">
      <c r="A2183" s="224">
        <v>2182</v>
      </c>
      <c r="B2183" s="58">
        <v>3747</v>
      </c>
      <c r="C2183" s="57" t="s">
        <v>4039</v>
      </c>
      <c r="D2183" s="57" t="s">
        <v>2582</v>
      </c>
      <c r="E2183" s="57" t="s">
        <v>9</v>
      </c>
      <c r="F2183" s="233">
        <v>45757.818055555559</v>
      </c>
      <c r="G2183" s="57">
        <v>10</v>
      </c>
      <c r="H2183" s="57" t="s">
        <v>2557</v>
      </c>
      <c r="I2183" s="58">
        <v>85246</v>
      </c>
      <c r="J2183" s="234" t="s">
        <v>670</v>
      </c>
      <c r="K2183" s="58">
        <v>51.76</v>
      </c>
      <c r="L2183" s="58">
        <v>5.27</v>
      </c>
      <c r="M2183" s="58">
        <v>0</v>
      </c>
      <c r="N2183" s="58">
        <v>7.1195700000000004</v>
      </c>
      <c r="O2183" s="181">
        <f t="shared" si="16"/>
        <v>46.489999999999995</v>
      </c>
      <c r="P2183" s="247">
        <f t="shared" si="17"/>
        <v>6.5298887432808428</v>
      </c>
    </row>
    <row r="2184" spans="1:16" ht="14.25">
      <c r="A2184" s="224">
        <v>2183</v>
      </c>
      <c r="B2184" s="58">
        <v>29014</v>
      </c>
      <c r="C2184" s="57" t="s">
        <v>5478</v>
      </c>
      <c r="D2184" s="57" t="s">
        <v>45</v>
      </c>
      <c r="E2184" s="57" t="s">
        <v>2860</v>
      </c>
      <c r="F2184" s="233">
        <v>45757.821527777778</v>
      </c>
      <c r="G2184" s="57">
        <v>10</v>
      </c>
      <c r="H2184" s="57" t="s">
        <v>2557</v>
      </c>
      <c r="I2184" s="58">
        <v>85738</v>
      </c>
      <c r="J2184" s="234" t="s">
        <v>5999</v>
      </c>
      <c r="K2184" s="58">
        <v>20.69</v>
      </c>
      <c r="L2184" s="58">
        <v>0</v>
      </c>
      <c r="M2184" s="58">
        <v>0</v>
      </c>
      <c r="N2184" s="58">
        <v>1</v>
      </c>
      <c r="O2184" s="181">
        <f t="shared" si="16"/>
        <v>20.69</v>
      </c>
      <c r="P2184" s="247">
        <f t="shared" si="17"/>
        <v>20.69</v>
      </c>
    </row>
    <row r="2185" spans="1:16" ht="14.25">
      <c r="A2185" s="224">
        <v>2184</v>
      </c>
      <c r="B2185" s="58">
        <v>20647</v>
      </c>
      <c r="C2185" s="57" t="s">
        <v>3558</v>
      </c>
      <c r="D2185" s="57" t="s">
        <v>2582</v>
      </c>
      <c r="E2185" s="57" t="s">
        <v>4772</v>
      </c>
      <c r="F2185" s="233">
        <v>45757.850694444445</v>
      </c>
      <c r="G2185" s="57">
        <v>10</v>
      </c>
      <c r="H2185" s="57" t="s">
        <v>2557</v>
      </c>
      <c r="I2185" s="58">
        <v>87190</v>
      </c>
      <c r="J2185" s="234" t="s">
        <v>1735</v>
      </c>
      <c r="K2185" s="58">
        <v>56.89</v>
      </c>
      <c r="L2185" s="58">
        <v>0.24</v>
      </c>
      <c r="M2185" s="58">
        <v>0</v>
      </c>
      <c r="N2185" s="58">
        <v>7.1195700000000004</v>
      </c>
      <c r="O2185" s="181">
        <f t="shared" si="16"/>
        <v>56.65</v>
      </c>
      <c r="P2185" s="247">
        <f t="shared" si="17"/>
        <v>7.9569412197646763</v>
      </c>
    </row>
    <row r="2186" spans="1:16" ht="14.25">
      <c r="A2186" s="224">
        <v>2185</v>
      </c>
      <c r="B2186" s="58">
        <v>392</v>
      </c>
      <c r="C2186" s="57" t="s">
        <v>2876</v>
      </c>
      <c r="D2186" s="57" t="s">
        <v>2582</v>
      </c>
      <c r="E2186" s="57" t="s">
        <v>4772</v>
      </c>
      <c r="F2186" s="233">
        <v>45757.865277777775</v>
      </c>
      <c r="G2186" s="57">
        <v>10</v>
      </c>
      <c r="H2186" s="57" t="s">
        <v>2557</v>
      </c>
      <c r="I2186" s="58">
        <v>87202</v>
      </c>
      <c r="J2186" s="234" t="s">
        <v>1733</v>
      </c>
      <c r="K2186" s="58">
        <v>138.47999999999999</v>
      </c>
      <c r="L2186" s="58">
        <v>0.56999999999999995</v>
      </c>
      <c r="M2186" s="58">
        <v>0</v>
      </c>
      <c r="N2186" s="58">
        <v>7.1195700000000004</v>
      </c>
      <c r="O2186" s="181">
        <f t="shared" si="16"/>
        <v>137.91</v>
      </c>
      <c r="P2186" s="247">
        <f t="shared" si="17"/>
        <v>19.37055187321706</v>
      </c>
    </row>
    <row r="2187" spans="1:16" ht="14.25">
      <c r="A2187" s="224">
        <v>2186</v>
      </c>
      <c r="B2187" s="58">
        <v>6794</v>
      </c>
      <c r="C2187" s="57" t="s">
        <v>2623</v>
      </c>
      <c r="D2187" s="57" t="s">
        <v>45</v>
      </c>
      <c r="E2187" s="57" t="s">
        <v>2874</v>
      </c>
      <c r="F2187" s="233">
        <v>45787.432638888888</v>
      </c>
      <c r="G2187" s="57">
        <v>10</v>
      </c>
      <c r="H2187" s="57" t="s">
        <v>2557</v>
      </c>
      <c r="I2187" s="58">
        <v>87214</v>
      </c>
      <c r="J2187" s="234" t="s">
        <v>6000</v>
      </c>
      <c r="K2187" s="58">
        <v>24.6</v>
      </c>
      <c r="L2187" s="58">
        <v>0</v>
      </c>
      <c r="M2187" s="58">
        <v>0</v>
      </c>
      <c r="N2187" s="58">
        <v>1</v>
      </c>
      <c r="O2187" s="181">
        <f t="shared" si="16"/>
        <v>24.6</v>
      </c>
      <c r="P2187" s="247">
        <f t="shared" si="17"/>
        <v>24.6</v>
      </c>
    </row>
    <row r="2188" spans="1:16" ht="14.25">
      <c r="A2188" s="224">
        <v>2187</v>
      </c>
      <c r="B2188" s="58">
        <v>19972</v>
      </c>
      <c r="C2188" s="57" t="s">
        <v>3283</v>
      </c>
      <c r="D2188" s="57" t="s">
        <v>45</v>
      </c>
      <c r="E2188" s="57" t="s">
        <v>2860</v>
      </c>
      <c r="F2188" s="233">
        <v>45787.752083333333</v>
      </c>
      <c r="G2188" s="57">
        <v>10</v>
      </c>
      <c r="H2188" s="57" t="s">
        <v>2557</v>
      </c>
      <c r="I2188" s="58">
        <v>87094</v>
      </c>
      <c r="J2188" s="234" t="s">
        <v>6001</v>
      </c>
      <c r="K2188" s="58">
        <v>17.989999999999998</v>
      </c>
      <c r="L2188" s="58">
        <v>0</v>
      </c>
      <c r="M2188" s="58">
        <v>0</v>
      </c>
      <c r="N2188" s="58">
        <v>1</v>
      </c>
      <c r="O2188" s="181">
        <f t="shared" si="16"/>
        <v>17.989999999999998</v>
      </c>
      <c r="P2188" s="247">
        <f t="shared" si="17"/>
        <v>17.989999999999998</v>
      </c>
    </row>
    <row r="2189" spans="1:16" ht="14.25">
      <c r="A2189" s="224">
        <v>2188</v>
      </c>
      <c r="B2189" s="58">
        <v>396</v>
      </c>
      <c r="C2189" s="57" t="s">
        <v>2674</v>
      </c>
      <c r="D2189" s="57" t="s">
        <v>45</v>
      </c>
      <c r="E2189" s="57" t="s">
        <v>9</v>
      </c>
      <c r="F2189" s="233">
        <v>45787.758333333331</v>
      </c>
      <c r="G2189" s="57">
        <v>10</v>
      </c>
      <c r="H2189" s="57" t="s">
        <v>2557</v>
      </c>
      <c r="I2189" s="58">
        <v>61556</v>
      </c>
      <c r="J2189" s="234" t="s">
        <v>671</v>
      </c>
      <c r="K2189" s="58">
        <v>1.0900000000000001</v>
      </c>
      <c r="L2189" s="58">
        <v>0.54</v>
      </c>
      <c r="M2189" s="58">
        <v>0</v>
      </c>
      <c r="N2189" s="58">
        <v>1</v>
      </c>
      <c r="O2189" s="181">
        <f t="shared" si="16"/>
        <v>0.55000000000000004</v>
      </c>
      <c r="P2189" s="247">
        <f t="shared" si="17"/>
        <v>0.55000000000000004</v>
      </c>
    </row>
    <row r="2190" spans="1:16" ht="14.25">
      <c r="A2190" s="224">
        <v>2189</v>
      </c>
      <c r="B2190" s="58">
        <v>200</v>
      </c>
      <c r="C2190" s="57" t="s">
        <v>6002</v>
      </c>
      <c r="D2190" s="57" t="s">
        <v>2582</v>
      </c>
      <c r="E2190" s="57" t="s">
        <v>4772</v>
      </c>
      <c r="F2190" s="233">
        <v>45787.785416666666</v>
      </c>
      <c r="G2190" s="57">
        <v>10</v>
      </c>
      <c r="H2190" s="57" t="s">
        <v>2557</v>
      </c>
      <c r="I2190" s="58">
        <v>87286</v>
      </c>
      <c r="J2190" s="234" t="s">
        <v>1743</v>
      </c>
      <c r="K2190" s="58">
        <v>91.32</v>
      </c>
      <c r="L2190" s="58">
        <v>0.38</v>
      </c>
      <c r="M2190" s="58">
        <v>0</v>
      </c>
      <c r="N2190" s="58">
        <v>7.1195700000000004</v>
      </c>
      <c r="O2190" s="181">
        <f t="shared" si="16"/>
        <v>90.94</v>
      </c>
      <c r="P2190" s="247">
        <f t="shared" si="17"/>
        <v>12.77324332789761</v>
      </c>
    </row>
    <row r="2191" spans="1:16" ht="14.25">
      <c r="A2191" s="224">
        <v>2190</v>
      </c>
      <c r="B2191" s="58">
        <v>34312</v>
      </c>
      <c r="C2191" s="57" t="s">
        <v>5997</v>
      </c>
      <c r="D2191" s="57" t="s">
        <v>2582</v>
      </c>
      <c r="E2191" s="57" t="s">
        <v>4772</v>
      </c>
      <c r="F2191" s="233">
        <v>45787.86041666667</v>
      </c>
      <c r="G2191" s="57">
        <v>10</v>
      </c>
      <c r="H2191" s="57" t="s">
        <v>2557</v>
      </c>
      <c r="I2191" s="58">
        <v>87298</v>
      </c>
      <c r="J2191" s="234" t="s">
        <v>1741</v>
      </c>
      <c r="K2191" s="58">
        <v>92.48</v>
      </c>
      <c r="L2191" s="58">
        <v>0.38</v>
      </c>
      <c r="M2191" s="58">
        <v>0</v>
      </c>
      <c r="N2191" s="58">
        <v>7.1195700000000004</v>
      </c>
      <c r="O2191" s="181">
        <f t="shared" si="16"/>
        <v>92.100000000000009</v>
      </c>
      <c r="P2191" s="247">
        <f t="shared" si="17"/>
        <v>12.936174516157577</v>
      </c>
    </row>
    <row r="2192" spans="1:16" ht="14.25">
      <c r="A2192" s="224">
        <v>2191</v>
      </c>
      <c r="B2192" s="58">
        <v>29319</v>
      </c>
      <c r="C2192" s="57" t="s">
        <v>5694</v>
      </c>
      <c r="D2192" s="57" t="s">
        <v>2582</v>
      </c>
      <c r="E2192" s="57" t="s">
        <v>4772</v>
      </c>
      <c r="F2192" s="233">
        <v>45787.869444444441</v>
      </c>
      <c r="G2192" s="57">
        <v>10</v>
      </c>
      <c r="H2192" s="57" t="s">
        <v>2557</v>
      </c>
      <c r="I2192" s="58">
        <v>87310</v>
      </c>
      <c r="J2192" s="234" t="s">
        <v>1739</v>
      </c>
      <c r="K2192" s="58">
        <v>71.13</v>
      </c>
      <c r="L2192" s="58">
        <v>0.28999999999999998</v>
      </c>
      <c r="M2192" s="58">
        <v>0</v>
      </c>
      <c r="N2192" s="58">
        <v>7.1195700000000004</v>
      </c>
      <c r="O2192" s="181">
        <f t="shared" si="16"/>
        <v>70.839999999999989</v>
      </c>
      <c r="P2192" s="247">
        <f t="shared" si="17"/>
        <v>9.9500391175309719</v>
      </c>
    </row>
    <row r="2193" spans="1:16" ht="14.25">
      <c r="A2193" s="224">
        <v>2192</v>
      </c>
      <c r="B2193" s="58">
        <v>18477</v>
      </c>
      <c r="C2193" s="57" t="s">
        <v>2966</v>
      </c>
      <c r="D2193" s="57" t="s">
        <v>45</v>
      </c>
      <c r="E2193" s="57" t="s">
        <v>2874</v>
      </c>
      <c r="F2193" s="233">
        <v>45787.929861111108</v>
      </c>
      <c r="G2193" s="57">
        <v>10</v>
      </c>
      <c r="H2193" s="57" t="s">
        <v>2557</v>
      </c>
      <c r="I2193" s="58">
        <v>85714</v>
      </c>
      <c r="J2193" s="234"/>
      <c r="K2193" s="58">
        <v>110</v>
      </c>
      <c r="L2193" s="58">
        <v>0</v>
      </c>
      <c r="M2193" s="58">
        <v>0</v>
      </c>
      <c r="N2193" s="58">
        <v>1</v>
      </c>
      <c r="O2193" s="181">
        <f t="shared" si="16"/>
        <v>110</v>
      </c>
      <c r="P2193" s="247">
        <f t="shared" si="17"/>
        <v>110</v>
      </c>
    </row>
    <row r="2194" spans="1:16" ht="14.25">
      <c r="A2194" s="224">
        <v>2193</v>
      </c>
      <c r="B2194" s="58">
        <v>34362</v>
      </c>
      <c r="C2194" s="57" t="s">
        <v>6003</v>
      </c>
      <c r="D2194" s="57" t="s">
        <v>2582</v>
      </c>
      <c r="E2194" s="57" t="s">
        <v>9</v>
      </c>
      <c r="F2194" s="233">
        <v>45787.941666666666</v>
      </c>
      <c r="G2194" s="57">
        <v>10</v>
      </c>
      <c r="H2194" s="57" t="s">
        <v>2557</v>
      </c>
      <c r="I2194" s="58">
        <v>87334</v>
      </c>
      <c r="J2194" s="234" t="s">
        <v>673</v>
      </c>
      <c r="K2194" s="58">
        <v>17.73</v>
      </c>
      <c r="L2194" s="58">
        <v>4.34</v>
      </c>
      <c r="M2194" s="58">
        <v>0</v>
      </c>
      <c r="N2194" s="58">
        <v>7.1195700000000004</v>
      </c>
      <c r="O2194" s="181">
        <f t="shared" si="16"/>
        <v>13.39</v>
      </c>
      <c r="P2194" s="247">
        <f t="shared" si="17"/>
        <v>1.8807315610352873</v>
      </c>
    </row>
    <row r="2195" spans="1:16" ht="14.25">
      <c r="A2195" s="224">
        <v>2194</v>
      </c>
      <c r="B2195" s="58">
        <v>34362</v>
      </c>
      <c r="C2195" s="57" t="s">
        <v>6003</v>
      </c>
      <c r="D2195" s="57" t="s">
        <v>2582</v>
      </c>
      <c r="E2195" s="57" t="s">
        <v>9</v>
      </c>
      <c r="F2195" s="233">
        <v>45818.786111111112</v>
      </c>
      <c r="G2195" s="57">
        <v>10</v>
      </c>
      <c r="H2195" s="57" t="s">
        <v>2557</v>
      </c>
      <c r="I2195" s="58">
        <v>87466</v>
      </c>
      <c r="J2195" s="234" t="s">
        <v>674</v>
      </c>
      <c r="K2195" s="58">
        <v>39.090000000000003</v>
      </c>
      <c r="L2195" s="58">
        <v>5.41</v>
      </c>
      <c r="M2195" s="58">
        <v>0</v>
      </c>
      <c r="N2195" s="58">
        <v>7.1195700000000004</v>
      </c>
      <c r="O2195" s="181">
        <f t="shared" si="16"/>
        <v>33.680000000000007</v>
      </c>
      <c r="P2195" s="247">
        <f t="shared" si="17"/>
        <v>4.7306227763755402</v>
      </c>
    </row>
    <row r="2196" spans="1:16" ht="14.25">
      <c r="A2196" s="224">
        <v>2195</v>
      </c>
      <c r="B2196" s="58">
        <v>19314</v>
      </c>
      <c r="C2196" s="57" t="s">
        <v>3119</v>
      </c>
      <c r="D2196" s="57" t="s">
        <v>45</v>
      </c>
      <c r="E2196" s="57" t="s">
        <v>2860</v>
      </c>
      <c r="F2196" s="233">
        <v>45818.874305555553</v>
      </c>
      <c r="G2196" s="57">
        <v>10</v>
      </c>
      <c r="H2196" s="57" t="s">
        <v>2557</v>
      </c>
      <c r="I2196" s="58">
        <v>86350</v>
      </c>
      <c r="J2196" s="234"/>
      <c r="K2196" s="58">
        <v>15.25</v>
      </c>
      <c r="L2196" s="58">
        <v>0</v>
      </c>
      <c r="M2196" s="58">
        <v>0</v>
      </c>
      <c r="N2196" s="58">
        <v>1</v>
      </c>
      <c r="O2196" s="181">
        <f t="shared" si="16"/>
        <v>15.25</v>
      </c>
      <c r="P2196" s="247">
        <f t="shared" si="17"/>
        <v>15.25</v>
      </c>
    </row>
    <row r="2197" spans="1:16" ht="14.25">
      <c r="A2197" s="224">
        <v>2196</v>
      </c>
      <c r="B2197" s="58">
        <v>19314</v>
      </c>
      <c r="C2197" s="57" t="s">
        <v>3119</v>
      </c>
      <c r="D2197" s="57" t="s">
        <v>45</v>
      </c>
      <c r="E2197" s="57" t="s">
        <v>2860</v>
      </c>
      <c r="F2197" s="233">
        <v>45818.874305555553</v>
      </c>
      <c r="G2197" s="57">
        <v>10</v>
      </c>
      <c r="H2197" s="57" t="s">
        <v>2557</v>
      </c>
      <c r="I2197" s="58">
        <v>86218</v>
      </c>
      <c r="J2197" s="234"/>
      <c r="K2197" s="58">
        <v>12.25</v>
      </c>
      <c r="L2197" s="58">
        <v>0</v>
      </c>
      <c r="M2197" s="58">
        <v>0</v>
      </c>
      <c r="N2197" s="58">
        <v>1</v>
      </c>
      <c r="O2197" s="181">
        <f t="shared" si="16"/>
        <v>12.25</v>
      </c>
      <c r="P2197" s="247">
        <f t="shared" si="17"/>
        <v>12.25</v>
      </c>
    </row>
    <row r="2198" spans="1:16" ht="14.25">
      <c r="A2198" s="224">
        <v>2197</v>
      </c>
      <c r="B2198" s="58">
        <v>29101</v>
      </c>
      <c r="C2198" s="57" t="s">
        <v>5495</v>
      </c>
      <c r="D2198" s="57" t="s">
        <v>2582</v>
      </c>
      <c r="E2198" s="57" t="s">
        <v>4772</v>
      </c>
      <c r="F2198" s="233">
        <v>45818.879861111112</v>
      </c>
      <c r="G2198" s="57">
        <v>10</v>
      </c>
      <c r="H2198" s="57" t="s">
        <v>2557</v>
      </c>
      <c r="I2198" s="58">
        <v>87478</v>
      </c>
      <c r="J2198" s="234" t="s">
        <v>1745</v>
      </c>
      <c r="K2198" s="58">
        <v>83.23</v>
      </c>
      <c r="L2198" s="58">
        <v>0.34</v>
      </c>
      <c r="M2198" s="58">
        <v>0</v>
      </c>
      <c r="N2198" s="58">
        <v>7.1195700000000004</v>
      </c>
      <c r="O2198" s="181">
        <f t="shared" si="16"/>
        <v>82.89</v>
      </c>
      <c r="P2198" s="247">
        <f t="shared" si="17"/>
        <v>11.642557064541819</v>
      </c>
    </row>
    <row r="2199" spans="1:16" ht="14.25">
      <c r="A2199" s="224">
        <v>2198</v>
      </c>
      <c r="B2199" s="58">
        <v>21403</v>
      </c>
      <c r="C2199" s="57" t="s">
        <v>3690</v>
      </c>
      <c r="D2199" s="57" t="s">
        <v>45</v>
      </c>
      <c r="E2199" s="57" t="s">
        <v>2860</v>
      </c>
      <c r="F2199" s="233">
        <v>45818.888194444444</v>
      </c>
      <c r="G2199" s="57">
        <v>10</v>
      </c>
      <c r="H2199" s="57" t="s">
        <v>2557</v>
      </c>
      <c r="I2199" s="58">
        <v>87358</v>
      </c>
      <c r="J2199" s="234" t="s">
        <v>6004</v>
      </c>
      <c r="K2199" s="58">
        <v>1.19</v>
      </c>
      <c r="L2199" s="58">
        <v>0</v>
      </c>
      <c r="M2199" s="58">
        <v>0</v>
      </c>
      <c r="N2199" s="58">
        <v>1</v>
      </c>
      <c r="O2199" s="181">
        <f t="shared" si="16"/>
        <v>1.19</v>
      </c>
      <c r="P2199" s="247">
        <f t="shared" si="17"/>
        <v>1.19</v>
      </c>
    </row>
    <row r="2200" spans="1:16" ht="14.25">
      <c r="A2200" s="224">
        <v>2199</v>
      </c>
      <c r="B2200" s="58">
        <v>1560</v>
      </c>
      <c r="C2200" s="57" t="s">
        <v>2630</v>
      </c>
      <c r="D2200" s="57" t="s">
        <v>45</v>
      </c>
      <c r="E2200" s="57" t="s">
        <v>2860</v>
      </c>
      <c r="F2200" s="233">
        <v>45848.525000000001</v>
      </c>
      <c r="G2200" s="57">
        <v>10</v>
      </c>
      <c r="H2200" s="57" t="s">
        <v>2557</v>
      </c>
      <c r="I2200" s="58">
        <v>85930</v>
      </c>
      <c r="J2200" s="234" t="s">
        <v>6005</v>
      </c>
      <c r="K2200" s="58">
        <v>8.9700000000000006</v>
      </c>
      <c r="L2200" s="58">
        <v>0</v>
      </c>
      <c r="M2200" s="58">
        <v>0</v>
      </c>
      <c r="N2200" s="58">
        <v>1</v>
      </c>
      <c r="O2200" s="181">
        <f t="shared" si="16"/>
        <v>8.9700000000000006</v>
      </c>
      <c r="P2200" s="247">
        <f t="shared" si="17"/>
        <v>8.9700000000000006</v>
      </c>
    </row>
    <row r="2201" spans="1:16" ht="14.25">
      <c r="A2201" s="224">
        <v>2200</v>
      </c>
      <c r="B2201" s="58">
        <v>1560</v>
      </c>
      <c r="C2201" s="57" t="s">
        <v>2630</v>
      </c>
      <c r="D2201" s="57" t="s">
        <v>45</v>
      </c>
      <c r="E2201" s="57" t="s">
        <v>2860</v>
      </c>
      <c r="F2201" s="233">
        <v>45848.525694444441</v>
      </c>
      <c r="G2201" s="57">
        <v>10</v>
      </c>
      <c r="H2201" s="57" t="s">
        <v>2557</v>
      </c>
      <c r="I2201" s="58">
        <v>85930</v>
      </c>
      <c r="J2201" s="234" t="s">
        <v>6005</v>
      </c>
      <c r="K2201" s="58">
        <v>8.9700000000000006</v>
      </c>
      <c r="L2201" s="58">
        <v>0</v>
      </c>
      <c r="M2201" s="58">
        <v>0</v>
      </c>
      <c r="N2201" s="58">
        <v>1</v>
      </c>
      <c r="O2201" s="181">
        <f t="shared" si="16"/>
        <v>8.9700000000000006</v>
      </c>
      <c r="P2201" s="247">
        <f t="shared" si="17"/>
        <v>8.9700000000000006</v>
      </c>
    </row>
    <row r="2202" spans="1:16" ht="14.25">
      <c r="A2202" s="224">
        <v>2201</v>
      </c>
      <c r="B2202" s="58">
        <v>34384</v>
      </c>
      <c r="C2202" s="57" t="s">
        <v>6006</v>
      </c>
      <c r="D2202" s="57" t="s">
        <v>45</v>
      </c>
      <c r="E2202" s="57" t="s">
        <v>4772</v>
      </c>
      <c r="F2202" s="233">
        <v>45848.679166666669</v>
      </c>
      <c r="G2202" s="57">
        <v>10</v>
      </c>
      <c r="H2202" s="57" t="s">
        <v>2557</v>
      </c>
      <c r="I2202" s="58">
        <v>87526</v>
      </c>
      <c r="J2202" s="234" t="s">
        <v>1753</v>
      </c>
      <c r="K2202" s="58">
        <v>5.99</v>
      </c>
      <c r="L2202" s="58">
        <v>0.18</v>
      </c>
      <c r="M2202" s="58">
        <v>0</v>
      </c>
      <c r="N2202" s="58">
        <v>1</v>
      </c>
      <c r="O2202" s="181">
        <f t="shared" si="16"/>
        <v>5.8100000000000005</v>
      </c>
      <c r="P2202" s="247">
        <f t="shared" si="17"/>
        <v>5.8100000000000005</v>
      </c>
    </row>
    <row r="2203" spans="1:16" ht="14.25">
      <c r="A2203" s="224">
        <v>2202</v>
      </c>
      <c r="B2203" s="58">
        <v>28946</v>
      </c>
      <c r="C2203" s="57" t="s">
        <v>5337</v>
      </c>
      <c r="D2203" s="57" t="s">
        <v>2582</v>
      </c>
      <c r="E2203" s="57" t="s">
        <v>4772</v>
      </c>
      <c r="F2203" s="233">
        <v>45848.751388888886</v>
      </c>
      <c r="G2203" s="57">
        <v>10</v>
      </c>
      <c r="H2203" s="57" t="s">
        <v>2557</v>
      </c>
      <c r="I2203" s="58">
        <v>87538</v>
      </c>
      <c r="J2203" s="234" t="s">
        <v>1751</v>
      </c>
      <c r="K2203" s="58">
        <v>147.31</v>
      </c>
      <c r="L2203" s="58">
        <v>0.6</v>
      </c>
      <c r="M2203" s="58">
        <v>0</v>
      </c>
      <c r="N2203" s="58">
        <v>7.1195399999999998</v>
      </c>
      <c r="O2203" s="181">
        <f t="shared" si="16"/>
        <v>146.71</v>
      </c>
      <c r="P2203" s="247">
        <f t="shared" si="17"/>
        <v>20.606668408352228</v>
      </c>
    </row>
    <row r="2204" spans="1:16" ht="14.25">
      <c r="A2204" s="224">
        <v>2203</v>
      </c>
      <c r="B2204" s="58">
        <v>19889</v>
      </c>
      <c r="C2204" s="57" t="s">
        <v>3227</v>
      </c>
      <c r="D2204" s="57" t="s">
        <v>45</v>
      </c>
      <c r="E2204" s="57" t="s">
        <v>2860</v>
      </c>
      <c r="F2204" s="233">
        <v>45848.839583333334</v>
      </c>
      <c r="G2204" s="57">
        <v>10</v>
      </c>
      <c r="H2204" s="57" t="s">
        <v>2557</v>
      </c>
      <c r="I2204" s="58">
        <v>87550</v>
      </c>
      <c r="J2204" s="234" t="s">
        <v>6007</v>
      </c>
      <c r="K2204" s="58">
        <v>8.2799999999999994</v>
      </c>
      <c r="L2204" s="58">
        <v>0</v>
      </c>
      <c r="M2204" s="58">
        <v>0</v>
      </c>
      <c r="N2204" s="58">
        <v>1</v>
      </c>
      <c r="O2204" s="181">
        <f t="shared" si="16"/>
        <v>8.2799999999999994</v>
      </c>
      <c r="P2204" s="247">
        <f t="shared" si="17"/>
        <v>8.2799999999999994</v>
      </c>
    </row>
    <row r="2205" spans="1:16" ht="14.25">
      <c r="A2205" s="224">
        <v>2204</v>
      </c>
      <c r="B2205" s="58">
        <v>28533</v>
      </c>
      <c r="C2205" s="57" t="s">
        <v>5149</v>
      </c>
      <c r="D2205" s="57" t="s">
        <v>2582</v>
      </c>
      <c r="E2205" s="57" t="s">
        <v>4772</v>
      </c>
      <c r="F2205" s="233">
        <v>45848.841666666667</v>
      </c>
      <c r="G2205" s="57">
        <v>10</v>
      </c>
      <c r="H2205" s="57" t="s">
        <v>2557</v>
      </c>
      <c r="I2205" s="58">
        <v>87562</v>
      </c>
      <c r="J2205" s="234" t="s">
        <v>1749</v>
      </c>
      <c r="K2205" s="58">
        <v>108.94</v>
      </c>
      <c r="L2205" s="58">
        <v>0.45</v>
      </c>
      <c r="M2205" s="58">
        <v>0</v>
      </c>
      <c r="N2205" s="58">
        <v>7.1195399999999998</v>
      </c>
      <c r="O2205" s="181">
        <f t="shared" si="16"/>
        <v>108.49</v>
      </c>
      <c r="P2205" s="247">
        <f t="shared" si="17"/>
        <v>15.238344050317858</v>
      </c>
    </row>
    <row r="2206" spans="1:16" ht="14.25">
      <c r="A2206" s="224">
        <v>2205</v>
      </c>
      <c r="B2206" s="58">
        <v>28946</v>
      </c>
      <c r="C2206" s="57" t="s">
        <v>5337</v>
      </c>
      <c r="D2206" s="57" t="s">
        <v>2582</v>
      </c>
      <c r="E2206" s="57" t="s">
        <v>4772</v>
      </c>
      <c r="F2206" s="233">
        <v>45848.986111111109</v>
      </c>
      <c r="G2206" s="57">
        <v>10</v>
      </c>
      <c r="H2206" s="57" t="s">
        <v>2557</v>
      </c>
      <c r="I2206" s="58">
        <v>86650</v>
      </c>
      <c r="J2206" s="234" t="s">
        <v>1747</v>
      </c>
      <c r="K2206" s="58">
        <v>83.27</v>
      </c>
      <c r="L2206" s="58">
        <v>0.34</v>
      </c>
      <c r="M2206" s="58">
        <v>0</v>
      </c>
      <c r="N2206" s="58">
        <v>7.1195399999999998</v>
      </c>
      <c r="O2206" s="181">
        <f t="shared" si="16"/>
        <v>82.929999999999993</v>
      </c>
      <c r="P2206" s="247">
        <f t="shared" si="17"/>
        <v>11.648224463940085</v>
      </c>
    </row>
    <row r="2207" spans="1:16" ht="14.25">
      <c r="A2207" s="224">
        <v>2206</v>
      </c>
      <c r="B2207" s="58">
        <v>20196</v>
      </c>
      <c r="C2207" s="57" t="s">
        <v>3404</v>
      </c>
      <c r="D2207" s="57" t="s">
        <v>45</v>
      </c>
      <c r="E2207" s="57" t="s">
        <v>2860</v>
      </c>
      <c r="F2207" s="233">
        <v>45879.365277777775</v>
      </c>
      <c r="G2207" s="57">
        <v>10</v>
      </c>
      <c r="H2207" s="57" t="s">
        <v>2557</v>
      </c>
      <c r="I2207" s="58">
        <v>87490</v>
      </c>
      <c r="J2207" s="234" t="s">
        <v>6008</v>
      </c>
      <c r="K2207" s="58">
        <v>8.99</v>
      </c>
      <c r="L2207" s="58">
        <v>0</v>
      </c>
      <c r="M2207" s="58">
        <v>0</v>
      </c>
      <c r="N2207" s="58">
        <v>1</v>
      </c>
      <c r="O2207" s="181">
        <f t="shared" si="16"/>
        <v>8.99</v>
      </c>
      <c r="P2207" s="247">
        <f t="shared" si="17"/>
        <v>8.99</v>
      </c>
    </row>
    <row r="2208" spans="1:16" ht="14.25">
      <c r="A2208" s="224">
        <v>2207</v>
      </c>
      <c r="B2208" s="58">
        <v>26470</v>
      </c>
      <c r="C2208" s="57" t="s">
        <v>4808</v>
      </c>
      <c r="D2208" s="57" t="s">
        <v>45</v>
      </c>
      <c r="E2208" s="57" t="s">
        <v>2860</v>
      </c>
      <c r="F2208" s="233">
        <v>45879.509027777778</v>
      </c>
      <c r="G2208" s="57">
        <v>10</v>
      </c>
      <c r="H2208" s="57" t="s">
        <v>2557</v>
      </c>
      <c r="I2208" s="58">
        <v>87646</v>
      </c>
      <c r="J2208" s="234" t="s">
        <v>6009</v>
      </c>
      <c r="K2208" s="58">
        <v>42</v>
      </c>
      <c r="L2208" s="58">
        <v>0</v>
      </c>
      <c r="M2208" s="58">
        <v>0</v>
      </c>
      <c r="N2208" s="58">
        <v>1</v>
      </c>
      <c r="O2208" s="181">
        <f t="shared" si="16"/>
        <v>42</v>
      </c>
      <c r="P2208" s="247">
        <f t="shared" si="17"/>
        <v>42</v>
      </c>
    </row>
    <row r="2209" spans="1:16" ht="14.25">
      <c r="A2209" s="224">
        <v>2208</v>
      </c>
      <c r="B2209" s="58">
        <v>3229</v>
      </c>
      <c r="C2209" s="57" t="s">
        <v>2762</v>
      </c>
      <c r="D2209" s="57" t="s">
        <v>45</v>
      </c>
      <c r="E2209" s="57" t="s">
        <v>4772</v>
      </c>
      <c r="F2209" s="233">
        <v>45879.708333333336</v>
      </c>
      <c r="G2209" s="57">
        <v>10</v>
      </c>
      <c r="H2209" s="57" t="s">
        <v>2557</v>
      </c>
      <c r="I2209" s="58">
        <v>87658</v>
      </c>
      <c r="J2209" s="234" t="s">
        <v>1765</v>
      </c>
      <c r="K2209" s="58">
        <v>5.49</v>
      </c>
      <c r="L2209" s="58">
        <v>0.16</v>
      </c>
      <c r="M2209" s="58">
        <v>0</v>
      </c>
      <c r="N2209" s="58">
        <v>1</v>
      </c>
      <c r="O2209" s="181">
        <f t="shared" si="16"/>
        <v>5.33</v>
      </c>
      <c r="P2209" s="247">
        <f t="shared" si="17"/>
        <v>5.33</v>
      </c>
    </row>
    <row r="2210" spans="1:16" ht="14.25">
      <c r="A2210" s="224">
        <v>2209</v>
      </c>
      <c r="B2210" s="58">
        <v>33737</v>
      </c>
      <c r="C2210" s="57" t="s">
        <v>5787</v>
      </c>
      <c r="D2210" s="57" t="s">
        <v>2582</v>
      </c>
      <c r="E2210" s="57" t="s">
        <v>4772</v>
      </c>
      <c r="F2210" s="233">
        <v>45879.873611111114</v>
      </c>
      <c r="G2210" s="57">
        <v>10</v>
      </c>
      <c r="H2210" s="57" t="s">
        <v>2557</v>
      </c>
      <c r="I2210" s="58">
        <v>86038</v>
      </c>
      <c r="J2210" s="234" t="s">
        <v>1763</v>
      </c>
      <c r="K2210" s="58">
        <v>17.77</v>
      </c>
      <c r="L2210" s="58">
        <v>0.08</v>
      </c>
      <c r="M2210" s="58">
        <v>0</v>
      </c>
      <c r="N2210" s="58">
        <v>7.11958</v>
      </c>
      <c r="O2210" s="181">
        <f t="shared" si="16"/>
        <v>17.690000000000001</v>
      </c>
      <c r="P2210" s="247">
        <f t="shared" si="17"/>
        <v>2.4846971310105372</v>
      </c>
    </row>
    <row r="2211" spans="1:16" ht="14.25">
      <c r="A2211" s="224">
        <v>2210</v>
      </c>
      <c r="B2211" s="58">
        <v>34384</v>
      </c>
      <c r="C2211" s="57" t="s">
        <v>6006</v>
      </c>
      <c r="D2211" s="57" t="s">
        <v>45</v>
      </c>
      <c r="E2211" s="57" t="s">
        <v>4772</v>
      </c>
      <c r="F2211" s="233">
        <v>45879.910416666666</v>
      </c>
      <c r="G2211" s="57">
        <v>10</v>
      </c>
      <c r="H2211" s="57" t="s">
        <v>6010</v>
      </c>
      <c r="I2211" s="58">
        <v>87526</v>
      </c>
      <c r="J2211" s="234"/>
      <c r="K2211" s="58">
        <v>0</v>
      </c>
      <c r="L2211" s="58">
        <v>-0.18</v>
      </c>
      <c r="M2211" s="58">
        <v>5.81</v>
      </c>
      <c r="N2211" s="58">
        <v>1</v>
      </c>
      <c r="O2211" s="181">
        <f t="shared" si="16"/>
        <v>-5.63</v>
      </c>
      <c r="P2211" s="247">
        <f t="shared" si="17"/>
        <v>-5.63</v>
      </c>
    </row>
    <row r="2212" spans="1:16" ht="14.25">
      <c r="A2212" s="224">
        <v>2211</v>
      </c>
      <c r="B2212" s="58">
        <v>28946</v>
      </c>
      <c r="C2212" s="57" t="s">
        <v>5337</v>
      </c>
      <c r="D2212" s="57" t="s">
        <v>2582</v>
      </c>
      <c r="E2212" s="57" t="s">
        <v>4772</v>
      </c>
      <c r="F2212" s="233">
        <v>45879.915972222225</v>
      </c>
      <c r="G2212" s="57">
        <v>10</v>
      </c>
      <c r="H2212" s="57" t="s">
        <v>6011</v>
      </c>
      <c r="I2212" s="58">
        <v>87538</v>
      </c>
      <c r="J2212" s="234"/>
      <c r="K2212" s="58">
        <v>0</v>
      </c>
      <c r="L2212" s="58">
        <v>-0.6</v>
      </c>
      <c r="M2212" s="58">
        <v>143</v>
      </c>
      <c r="N2212" s="58">
        <v>7.1195399999999998</v>
      </c>
      <c r="O2212" s="181">
        <f t="shared" si="16"/>
        <v>-142.4</v>
      </c>
      <c r="P2212" s="247">
        <f t="shared" si="17"/>
        <v>-20.001292218317477</v>
      </c>
    </row>
    <row r="2213" spans="1:16" ht="14.25">
      <c r="A2213" s="224">
        <v>2212</v>
      </c>
      <c r="B2213" s="58">
        <v>28532</v>
      </c>
      <c r="C2213" s="57" t="s">
        <v>5186</v>
      </c>
      <c r="D2213" s="57" t="s">
        <v>45</v>
      </c>
      <c r="E2213" s="57" t="s">
        <v>4772</v>
      </c>
      <c r="F2213" s="233">
        <v>45879.943749999999</v>
      </c>
      <c r="G2213" s="57">
        <v>10</v>
      </c>
      <c r="H2213" s="57" t="s">
        <v>2557</v>
      </c>
      <c r="I2213" s="58">
        <v>87670</v>
      </c>
      <c r="J2213" s="234" t="s">
        <v>1757</v>
      </c>
      <c r="K2213" s="58">
        <v>11.69</v>
      </c>
      <c r="L2213" s="58">
        <v>0.34</v>
      </c>
      <c r="M2213" s="58">
        <v>0</v>
      </c>
      <c r="N2213" s="58">
        <v>1</v>
      </c>
      <c r="O2213" s="181">
        <f t="shared" si="16"/>
        <v>11.35</v>
      </c>
      <c r="P2213" s="247">
        <f t="shared" si="17"/>
        <v>11.35</v>
      </c>
    </row>
    <row r="2214" spans="1:16" ht="14.25">
      <c r="A2214" s="224">
        <v>2213</v>
      </c>
      <c r="B2214" s="58">
        <v>36</v>
      </c>
      <c r="C2214" s="57" t="s">
        <v>2646</v>
      </c>
      <c r="D2214" s="57" t="s">
        <v>45</v>
      </c>
      <c r="E2214" s="57" t="s">
        <v>2874</v>
      </c>
      <c r="F2214" s="233">
        <v>45910.010416666664</v>
      </c>
      <c r="G2214" s="57">
        <v>10</v>
      </c>
      <c r="H2214" s="57" t="s">
        <v>2557</v>
      </c>
      <c r="I2214" s="58">
        <v>86338</v>
      </c>
      <c r="J2214" s="234"/>
      <c r="K2214" s="58">
        <v>600</v>
      </c>
      <c r="L2214" s="58">
        <v>0</v>
      </c>
      <c r="M2214" s="58">
        <v>0</v>
      </c>
      <c r="N2214" s="58">
        <v>1</v>
      </c>
      <c r="O2214" s="181">
        <f t="shared" si="16"/>
        <v>600</v>
      </c>
      <c r="P2214" s="247">
        <f t="shared" si="17"/>
        <v>600</v>
      </c>
    </row>
    <row r="2215" spans="1:16" ht="14.25">
      <c r="A2215" s="224">
        <v>2214</v>
      </c>
      <c r="B2215" s="58">
        <v>28960</v>
      </c>
      <c r="C2215" s="57" t="s">
        <v>6012</v>
      </c>
      <c r="D2215" s="57" t="s">
        <v>2582</v>
      </c>
      <c r="E2215" s="57" t="s">
        <v>4772</v>
      </c>
      <c r="F2215" s="233">
        <v>45910.01458333333</v>
      </c>
      <c r="G2215" s="57">
        <v>10</v>
      </c>
      <c r="H2215" s="57" t="s">
        <v>2557</v>
      </c>
      <c r="I2215" s="58">
        <v>87682</v>
      </c>
      <c r="J2215" s="234" t="s">
        <v>1755</v>
      </c>
      <c r="K2215" s="58">
        <v>185.76</v>
      </c>
      <c r="L2215" s="58">
        <v>0.76</v>
      </c>
      <c r="M2215" s="58">
        <v>0</v>
      </c>
      <c r="N2215" s="58">
        <v>7.11958</v>
      </c>
      <c r="O2215" s="181">
        <f t="shared" si="16"/>
        <v>185</v>
      </c>
      <c r="P2215" s="247">
        <f t="shared" si="17"/>
        <v>25.984678871506464</v>
      </c>
    </row>
    <row r="2216" spans="1:16" ht="14.25">
      <c r="A2216" s="224">
        <v>2215</v>
      </c>
      <c r="B2216" s="58">
        <v>28642</v>
      </c>
      <c r="C2216" s="57" t="s">
        <v>5177</v>
      </c>
      <c r="D2216" s="57" t="s">
        <v>2582</v>
      </c>
      <c r="E2216" s="57" t="s">
        <v>2860</v>
      </c>
      <c r="F2216" s="233">
        <v>45910.184027777781</v>
      </c>
      <c r="G2216" s="57">
        <v>10</v>
      </c>
      <c r="H2216" s="57" t="s">
        <v>2557</v>
      </c>
      <c r="I2216" s="58">
        <v>87154</v>
      </c>
      <c r="J2216" s="234" t="s">
        <v>6013</v>
      </c>
      <c r="K2216" s="58">
        <v>31.97</v>
      </c>
      <c r="L2216" s="58">
        <v>0</v>
      </c>
      <c r="M2216" s="58">
        <v>0</v>
      </c>
      <c r="N2216" s="58">
        <v>7.11958</v>
      </c>
      <c r="O2216" s="181">
        <f t="shared" si="16"/>
        <v>31.97</v>
      </c>
      <c r="P2216" s="247">
        <f t="shared" si="17"/>
        <v>4.4904334244435766</v>
      </c>
    </row>
    <row r="2217" spans="1:16" ht="14.25">
      <c r="A2217" s="224">
        <v>2216</v>
      </c>
      <c r="B2217" s="58">
        <v>18946</v>
      </c>
      <c r="C2217" s="57" t="s">
        <v>3070</v>
      </c>
      <c r="D2217" s="57" t="s">
        <v>2582</v>
      </c>
      <c r="E2217" s="57" t="s">
        <v>9</v>
      </c>
      <c r="F2217" s="233">
        <v>45910.357638888891</v>
      </c>
      <c r="G2217" s="57">
        <v>10</v>
      </c>
      <c r="H2217" s="57" t="s">
        <v>2557</v>
      </c>
      <c r="I2217" s="58">
        <v>85174</v>
      </c>
      <c r="J2217" s="234" t="s">
        <v>676</v>
      </c>
      <c r="K2217" s="58">
        <v>8.66</v>
      </c>
      <c r="L2217" s="58">
        <v>3.92</v>
      </c>
      <c r="M2217" s="58">
        <v>0</v>
      </c>
      <c r="N2217" s="58">
        <v>7.11958</v>
      </c>
      <c r="O2217" s="181">
        <f t="shared" si="16"/>
        <v>4.74</v>
      </c>
      <c r="P2217" s="247">
        <f t="shared" si="17"/>
        <v>0.66576961000508461</v>
      </c>
    </row>
    <row r="2218" spans="1:16" ht="14.25">
      <c r="A2218" s="224">
        <v>2217</v>
      </c>
      <c r="B2218" s="58">
        <v>20047</v>
      </c>
      <c r="C2218" s="57" t="s">
        <v>4066</v>
      </c>
      <c r="D2218" s="57" t="s">
        <v>2582</v>
      </c>
      <c r="E2218" s="57" t="s">
        <v>2860</v>
      </c>
      <c r="F2218" s="233">
        <v>45910.394444444442</v>
      </c>
      <c r="G2218" s="57">
        <v>10</v>
      </c>
      <c r="H2218" s="57" t="s">
        <v>2557</v>
      </c>
      <c r="I2218" s="58">
        <v>86098</v>
      </c>
      <c r="J2218" s="234" t="s">
        <v>6014</v>
      </c>
      <c r="K2218" s="58">
        <v>111.06</v>
      </c>
      <c r="L2218" s="58">
        <v>0</v>
      </c>
      <c r="M2218" s="58">
        <v>0</v>
      </c>
      <c r="N2218" s="58">
        <v>7.1195500000000003</v>
      </c>
      <c r="O2218" s="181">
        <f t="shared" si="16"/>
        <v>111.06</v>
      </c>
      <c r="P2218" s="247">
        <f t="shared" si="17"/>
        <v>15.599300517588892</v>
      </c>
    </row>
    <row r="2219" spans="1:16" ht="14.25">
      <c r="A2219" s="224">
        <v>2218</v>
      </c>
      <c r="B2219" s="58">
        <v>20047</v>
      </c>
      <c r="C2219" s="57" t="s">
        <v>4066</v>
      </c>
      <c r="D2219" s="57" t="s">
        <v>2582</v>
      </c>
      <c r="E2219" s="57" t="s">
        <v>2860</v>
      </c>
      <c r="F2219" s="233">
        <v>45910.408333333333</v>
      </c>
      <c r="G2219" s="57">
        <v>10</v>
      </c>
      <c r="H2219" s="57" t="s">
        <v>2557</v>
      </c>
      <c r="I2219" s="58">
        <v>86098</v>
      </c>
      <c r="J2219" s="234"/>
      <c r="K2219" s="58">
        <v>0.01</v>
      </c>
      <c r="L2219" s="58">
        <v>0</v>
      </c>
      <c r="M2219" s="58">
        <v>0</v>
      </c>
      <c r="N2219" s="58">
        <v>7.1195500000000003</v>
      </c>
      <c r="O2219" s="181">
        <f t="shared" si="16"/>
        <v>0.01</v>
      </c>
      <c r="P2219" s="247">
        <f t="shared" si="17"/>
        <v>1.404583154834224E-3</v>
      </c>
    </row>
    <row r="2220" spans="1:16" ht="14.25">
      <c r="A2220" s="224">
        <v>2219</v>
      </c>
      <c r="B2220" s="58">
        <v>34433</v>
      </c>
      <c r="C2220" s="57" t="s">
        <v>6015</v>
      </c>
      <c r="D2220" s="57" t="s">
        <v>45</v>
      </c>
      <c r="E2220" s="57" t="s">
        <v>2860</v>
      </c>
      <c r="F2220" s="233">
        <v>45910.875</v>
      </c>
      <c r="G2220" s="57">
        <v>10</v>
      </c>
      <c r="H2220" s="57" t="s">
        <v>2557</v>
      </c>
      <c r="I2220" s="58">
        <v>87730</v>
      </c>
      <c r="J2220" s="234" t="s">
        <v>6016</v>
      </c>
      <c r="K2220" s="58">
        <v>13.58</v>
      </c>
      <c r="L2220" s="58">
        <v>0</v>
      </c>
      <c r="M2220" s="58">
        <v>0</v>
      </c>
      <c r="N2220" s="58">
        <v>1</v>
      </c>
      <c r="O2220" s="181">
        <f t="shared" si="16"/>
        <v>13.58</v>
      </c>
      <c r="P2220" s="247">
        <f t="shared" si="17"/>
        <v>13.58</v>
      </c>
    </row>
    <row r="2221" spans="1:16" ht="14.25">
      <c r="A2221" s="224">
        <v>2220</v>
      </c>
      <c r="B2221" s="58">
        <v>34433</v>
      </c>
      <c r="C2221" s="57" t="s">
        <v>6015</v>
      </c>
      <c r="D2221" s="57" t="s">
        <v>45</v>
      </c>
      <c r="E2221" s="57" t="s">
        <v>2860</v>
      </c>
      <c r="F2221" s="233">
        <v>45910.875</v>
      </c>
      <c r="G2221" s="57">
        <v>10</v>
      </c>
      <c r="H2221" s="57" t="s">
        <v>2557</v>
      </c>
      <c r="I2221" s="58">
        <v>87730</v>
      </c>
      <c r="J2221" s="234" t="s">
        <v>6016</v>
      </c>
      <c r="K2221" s="58">
        <v>13.58</v>
      </c>
      <c r="L2221" s="58">
        <v>0</v>
      </c>
      <c r="M2221" s="58">
        <v>0</v>
      </c>
      <c r="N2221" s="58">
        <v>1</v>
      </c>
      <c r="O2221" s="181">
        <f t="shared" si="16"/>
        <v>13.58</v>
      </c>
      <c r="P2221" s="247">
        <f t="shared" si="17"/>
        <v>13.58</v>
      </c>
    </row>
    <row r="2222" spans="1:16" ht="14.25">
      <c r="A2222" s="224">
        <v>2221</v>
      </c>
      <c r="B2222" s="58">
        <v>7698</v>
      </c>
      <c r="C2222" s="57" t="s">
        <v>2710</v>
      </c>
      <c r="D2222" s="57" t="s">
        <v>45</v>
      </c>
      <c r="E2222" s="57" t="s">
        <v>2874</v>
      </c>
      <c r="F2222" s="233">
        <v>45910.946527777778</v>
      </c>
      <c r="G2222" s="57">
        <v>10</v>
      </c>
      <c r="H2222" s="57" t="s">
        <v>2557</v>
      </c>
      <c r="I2222" s="58">
        <v>86734</v>
      </c>
      <c r="J2222" s="234" t="s">
        <v>6017</v>
      </c>
      <c r="K2222" s="58">
        <v>17.989999999999998</v>
      </c>
      <c r="L2222" s="58">
        <v>0</v>
      </c>
      <c r="M2222" s="58">
        <v>0</v>
      </c>
      <c r="N2222" s="58">
        <v>1</v>
      </c>
      <c r="O2222" s="181">
        <f t="shared" si="16"/>
        <v>17.989999999999998</v>
      </c>
      <c r="P2222" s="247">
        <f t="shared" si="17"/>
        <v>17.989999999999998</v>
      </c>
    </row>
    <row r="2223" spans="1:16" ht="14.25">
      <c r="A2223" s="224">
        <v>2222</v>
      </c>
      <c r="B2223" s="58">
        <v>28960</v>
      </c>
      <c r="C2223" s="57" t="s">
        <v>6012</v>
      </c>
      <c r="D2223" s="57" t="s">
        <v>2582</v>
      </c>
      <c r="E2223" s="57" t="s">
        <v>4772</v>
      </c>
      <c r="F2223" s="233">
        <v>45940.388194444444</v>
      </c>
      <c r="G2223" s="57">
        <v>10</v>
      </c>
      <c r="H2223" s="57" t="s">
        <v>2557</v>
      </c>
      <c r="I2223" s="58">
        <v>87802</v>
      </c>
      <c r="J2223" s="234" t="s">
        <v>1771</v>
      </c>
      <c r="K2223" s="58">
        <v>147.37</v>
      </c>
      <c r="L2223" s="58">
        <v>0.6</v>
      </c>
      <c r="M2223" s="58">
        <v>0</v>
      </c>
      <c r="N2223" s="58">
        <v>7.1223799999999997</v>
      </c>
      <c r="O2223" s="181">
        <f t="shared" si="16"/>
        <v>146.77000000000001</v>
      </c>
      <c r="P2223" s="247">
        <f t="shared" si="17"/>
        <v>20.60687579151913</v>
      </c>
    </row>
    <row r="2224" spans="1:16" ht="14.25">
      <c r="A2224" s="224">
        <v>2223</v>
      </c>
      <c r="B2224" s="58">
        <v>27977</v>
      </c>
      <c r="C2224" s="57" t="s">
        <v>5012</v>
      </c>
      <c r="D2224" s="57" t="s">
        <v>45</v>
      </c>
      <c r="E2224" s="57" t="s">
        <v>4772</v>
      </c>
      <c r="F2224" s="233">
        <v>45940.390972222223</v>
      </c>
      <c r="G2224" s="57">
        <v>10</v>
      </c>
      <c r="H2224" s="57" t="s">
        <v>2557</v>
      </c>
      <c r="I2224" s="58">
        <v>86230</v>
      </c>
      <c r="J2224" s="234" t="s">
        <v>1769</v>
      </c>
      <c r="K2224" s="58">
        <v>60.99</v>
      </c>
      <c r="L2224" s="58">
        <v>1.77</v>
      </c>
      <c r="M2224" s="58">
        <v>0</v>
      </c>
      <c r="N2224" s="58">
        <v>1</v>
      </c>
      <c r="O2224" s="181">
        <f t="shared" si="16"/>
        <v>59.22</v>
      </c>
      <c r="P2224" s="247">
        <f t="shared" si="17"/>
        <v>59.22</v>
      </c>
    </row>
    <row r="2225" spans="1:16" ht="14.25">
      <c r="A2225" s="224">
        <v>2224</v>
      </c>
      <c r="B2225" s="58">
        <v>21990</v>
      </c>
      <c r="C2225" s="57" t="s">
        <v>3821</v>
      </c>
      <c r="D2225" s="57" t="s">
        <v>45</v>
      </c>
      <c r="E2225" s="57" t="s">
        <v>2860</v>
      </c>
      <c r="F2225" s="233">
        <v>45940.443055555559</v>
      </c>
      <c r="G2225" s="57">
        <v>10</v>
      </c>
      <c r="H2225" s="57" t="s">
        <v>2557</v>
      </c>
      <c r="I2225" s="58">
        <v>86746</v>
      </c>
      <c r="J2225" s="234" t="s">
        <v>6018</v>
      </c>
      <c r="K2225" s="58">
        <v>37.090000000000003</v>
      </c>
      <c r="L2225" s="58">
        <v>0</v>
      </c>
      <c r="M2225" s="58">
        <v>0</v>
      </c>
      <c r="N2225" s="58">
        <v>1</v>
      </c>
      <c r="O2225" s="181">
        <f t="shared" si="16"/>
        <v>37.090000000000003</v>
      </c>
      <c r="P2225" s="247">
        <f t="shared" si="17"/>
        <v>37.090000000000003</v>
      </c>
    </row>
    <row r="2226" spans="1:16" ht="14.25">
      <c r="A2226" s="224">
        <v>2225</v>
      </c>
      <c r="B2226" s="58">
        <v>31676</v>
      </c>
      <c r="C2226" s="57" t="s">
        <v>6019</v>
      </c>
      <c r="D2226" s="57" t="s">
        <v>45</v>
      </c>
      <c r="E2226" s="57" t="s">
        <v>2874</v>
      </c>
      <c r="F2226" s="233">
        <v>45940.626388888886</v>
      </c>
      <c r="G2226" s="57">
        <v>10</v>
      </c>
      <c r="H2226" s="57" t="s">
        <v>2557</v>
      </c>
      <c r="I2226" s="58">
        <v>87814</v>
      </c>
      <c r="J2226" s="234" t="s">
        <v>6020</v>
      </c>
      <c r="K2226" s="58">
        <v>9.49</v>
      </c>
      <c r="L2226" s="58">
        <v>0</v>
      </c>
      <c r="M2226" s="58">
        <v>0</v>
      </c>
      <c r="N2226" s="58">
        <v>1</v>
      </c>
      <c r="O2226" s="181">
        <f t="shared" si="16"/>
        <v>9.49</v>
      </c>
      <c r="P2226" s="247">
        <f t="shared" si="17"/>
        <v>9.49</v>
      </c>
    </row>
    <row r="2227" spans="1:16" ht="14.25">
      <c r="A2227" s="224">
        <v>2226</v>
      </c>
      <c r="B2227" s="58">
        <v>25163</v>
      </c>
      <c r="C2227" s="57" t="s">
        <v>4531</v>
      </c>
      <c r="D2227" s="57" t="s">
        <v>45</v>
      </c>
      <c r="E2227" s="57" t="s">
        <v>2860</v>
      </c>
      <c r="F2227" s="233">
        <v>45940.801388888889</v>
      </c>
      <c r="G2227" s="57">
        <v>10</v>
      </c>
      <c r="H2227" s="57" t="s">
        <v>2557</v>
      </c>
      <c r="I2227" s="58">
        <v>86242</v>
      </c>
      <c r="J2227" s="234" t="s">
        <v>6021</v>
      </c>
      <c r="K2227" s="58">
        <v>4.49</v>
      </c>
      <c r="L2227" s="58">
        <v>0</v>
      </c>
      <c r="M2227" s="58">
        <v>0</v>
      </c>
      <c r="N2227" s="58">
        <v>1</v>
      </c>
      <c r="O2227" s="181">
        <f t="shared" si="16"/>
        <v>4.49</v>
      </c>
      <c r="P2227" s="247">
        <f t="shared" si="17"/>
        <v>4.49</v>
      </c>
    </row>
    <row r="2228" spans="1:16" ht="14.25">
      <c r="A2228" s="224">
        <v>2227</v>
      </c>
      <c r="B2228" s="58">
        <v>29086</v>
      </c>
      <c r="C2228" s="57" t="s">
        <v>5514</v>
      </c>
      <c r="D2228" s="57" t="s">
        <v>2582</v>
      </c>
      <c r="E2228" s="57" t="s">
        <v>2860</v>
      </c>
      <c r="F2228" s="233">
        <v>45940.802777777775</v>
      </c>
      <c r="G2228" s="57">
        <v>10</v>
      </c>
      <c r="H2228" s="57" t="s">
        <v>2557</v>
      </c>
      <c r="I2228" s="58">
        <v>86362</v>
      </c>
      <c r="J2228" s="234" t="s">
        <v>6022</v>
      </c>
      <c r="K2228" s="58">
        <v>430.98</v>
      </c>
      <c r="L2228" s="58">
        <v>0</v>
      </c>
      <c r="M2228" s="58">
        <v>0</v>
      </c>
      <c r="N2228" s="58">
        <v>7.1223799999999997</v>
      </c>
      <c r="O2228" s="181">
        <f t="shared" si="16"/>
        <v>430.98</v>
      </c>
      <c r="P2228" s="247">
        <f t="shared" si="17"/>
        <v>60.510671994473761</v>
      </c>
    </row>
    <row r="2229" spans="1:16" ht="14.25">
      <c r="A2229" s="224">
        <v>2228</v>
      </c>
      <c r="B2229" s="58">
        <v>27587</v>
      </c>
      <c r="C2229" s="57" t="s">
        <v>6023</v>
      </c>
      <c r="D2229" s="57" t="s">
        <v>45</v>
      </c>
      <c r="E2229" s="57" t="s">
        <v>4772</v>
      </c>
      <c r="F2229" s="233">
        <v>45940.826388888891</v>
      </c>
      <c r="G2229" s="57">
        <v>10</v>
      </c>
      <c r="H2229" s="57" t="s">
        <v>2557</v>
      </c>
      <c r="I2229" s="58">
        <v>87826</v>
      </c>
      <c r="J2229" s="234" t="s">
        <v>1767</v>
      </c>
      <c r="K2229" s="58">
        <v>1.99</v>
      </c>
      <c r="L2229" s="58">
        <v>0.06</v>
      </c>
      <c r="M2229" s="58">
        <v>0</v>
      </c>
      <c r="N2229" s="58">
        <v>1</v>
      </c>
      <c r="O2229" s="181">
        <f t="shared" si="16"/>
        <v>1.93</v>
      </c>
      <c r="P2229" s="247">
        <f t="shared" si="17"/>
        <v>1.93</v>
      </c>
    </row>
    <row r="2230" spans="1:16" ht="14.25">
      <c r="A2230" s="224">
        <v>2229</v>
      </c>
      <c r="B2230" s="58">
        <v>33999</v>
      </c>
      <c r="C2230" s="57" t="s">
        <v>5865</v>
      </c>
      <c r="D2230" s="57" t="s">
        <v>45</v>
      </c>
      <c r="E2230" s="57" t="s">
        <v>2860</v>
      </c>
      <c r="F2230" s="233">
        <v>45940.961111111108</v>
      </c>
      <c r="G2230" s="57">
        <v>10</v>
      </c>
      <c r="H2230" s="57" t="s">
        <v>2557</v>
      </c>
      <c r="I2230" s="58">
        <v>86974</v>
      </c>
      <c r="J2230" s="234" t="s">
        <v>6024</v>
      </c>
      <c r="K2230" s="58">
        <v>2.4900000000000002</v>
      </c>
      <c r="L2230" s="58">
        <v>0</v>
      </c>
      <c r="M2230" s="58">
        <v>0</v>
      </c>
      <c r="N2230" s="58">
        <v>1</v>
      </c>
      <c r="O2230" s="181">
        <f t="shared" si="16"/>
        <v>2.4900000000000002</v>
      </c>
      <c r="P2230" s="247">
        <f t="shared" si="17"/>
        <v>2.4900000000000002</v>
      </c>
    </row>
    <row r="2231" spans="1:16" ht="14.25">
      <c r="A2231" s="224">
        <v>2230</v>
      </c>
      <c r="B2231" s="58">
        <v>6798</v>
      </c>
      <c r="C2231" s="57" t="s">
        <v>2921</v>
      </c>
      <c r="D2231" s="57" t="s">
        <v>45</v>
      </c>
      <c r="E2231" s="57" t="s">
        <v>3655</v>
      </c>
      <c r="F2231" s="233">
        <v>45971.220833333333</v>
      </c>
      <c r="G2231" s="57">
        <v>10</v>
      </c>
      <c r="H2231" s="57" t="s">
        <v>2557</v>
      </c>
      <c r="I2231" s="58">
        <v>87574</v>
      </c>
      <c r="J2231" s="234"/>
      <c r="K2231" s="58">
        <v>827</v>
      </c>
      <c r="L2231" s="58">
        <v>0</v>
      </c>
      <c r="M2231" s="58">
        <v>0</v>
      </c>
      <c r="N2231" s="58">
        <v>1</v>
      </c>
      <c r="O2231" s="181">
        <f t="shared" si="16"/>
        <v>827</v>
      </c>
      <c r="P2231" s="247">
        <f t="shared" si="17"/>
        <v>827</v>
      </c>
    </row>
    <row r="2232" spans="1:16" ht="14.25">
      <c r="A2232" s="224">
        <v>2231</v>
      </c>
      <c r="B2232" s="58">
        <v>6798</v>
      </c>
      <c r="C2232" s="57" t="s">
        <v>2921</v>
      </c>
      <c r="D2232" s="57" t="s">
        <v>45</v>
      </c>
      <c r="E2232" s="57" t="s">
        <v>3655</v>
      </c>
      <c r="F2232" s="233">
        <v>45971.22152777778</v>
      </c>
      <c r="G2232" s="57">
        <v>10</v>
      </c>
      <c r="H2232" s="57" t="s">
        <v>2557</v>
      </c>
      <c r="I2232" s="58">
        <v>85162</v>
      </c>
      <c r="J2232" s="234"/>
      <c r="K2232" s="58">
        <v>232</v>
      </c>
      <c r="L2232" s="58">
        <v>0</v>
      </c>
      <c r="M2232" s="58">
        <v>0</v>
      </c>
      <c r="N2232" s="58">
        <v>1</v>
      </c>
      <c r="O2232" s="181">
        <f t="shared" si="16"/>
        <v>232</v>
      </c>
      <c r="P2232" s="247">
        <f t="shared" si="17"/>
        <v>232</v>
      </c>
    </row>
    <row r="2233" spans="1:16" ht="14.25">
      <c r="A2233" s="224">
        <v>2232</v>
      </c>
      <c r="B2233" s="58">
        <v>1008</v>
      </c>
      <c r="C2233" s="244">
        <v>45658</v>
      </c>
      <c r="D2233" s="57" t="s">
        <v>2582</v>
      </c>
      <c r="E2233" s="57" t="s">
        <v>2860</v>
      </c>
      <c r="F2233" s="233">
        <v>45971.402777777781</v>
      </c>
      <c r="G2233" s="57">
        <v>10</v>
      </c>
      <c r="H2233" s="57" t="s">
        <v>2557</v>
      </c>
      <c r="I2233" s="58">
        <v>87886</v>
      </c>
      <c r="J2233" s="234" t="s">
        <v>6025</v>
      </c>
      <c r="K2233" s="58">
        <v>205.14</v>
      </c>
      <c r="L2233" s="58">
        <v>0</v>
      </c>
      <c r="M2233" s="58">
        <v>0</v>
      </c>
      <c r="N2233" s="58">
        <v>7.1228400000000001</v>
      </c>
      <c r="O2233" s="181">
        <f t="shared" si="16"/>
        <v>205.14</v>
      </c>
      <c r="P2233" s="247">
        <f t="shared" si="17"/>
        <v>28.800309988712364</v>
      </c>
    </row>
    <row r="2234" spans="1:16" ht="14.25">
      <c r="A2234" s="224">
        <v>2233</v>
      </c>
      <c r="B2234" s="58">
        <v>1008</v>
      </c>
      <c r="C2234" s="244">
        <v>45658</v>
      </c>
      <c r="D2234" s="57" t="s">
        <v>2582</v>
      </c>
      <c r="E2234" s="57" t="s">
        <v>2860</v>
      </c>
      <c r="F2234" s="233">
        <v>45971.40347222222</v>
      </c>
      <c r="G2234" s="57">
        <v>10</v>
      </c>
      <c r="H2234" s="57" t="s">
        <v>2557</v>
      </c>
      <c r="I2234" s="58">
        <v>87886</v>
      </c>
      <c r="J2234" s="234" t="s">
        <v>6025</v>
      </c>
      <c r="K2234" s="58">
        <v>205.14</v>
      </c>
      <c r="L2234" s="58">
        <v>0</v>
      </c>
      <c r="M2234" s="58">
        <v>0</v>
      </c>
      <c r="N2234" s="58">
        <v>7.1228400000000001</v>
      </c>
      <c r="O2234" s="181">
        <f t="shared" si="16"/>
        <v>205.14</v>
      </c>
      <c r="P2234" s="247">
        <f t="shared" si="17"/>
        <v>28.800309988712364</v>
      </c>
    </row>
    <row r="2235" spans="1:16" ht="14.25">
      <c r="A2235" s="224">
        <v>2234</v>
      </c>
      <c r="B2235" s="58">
        <v>6794</v>
      </c>
      <c r="C2235" s="57" t="s">
        <v>2623</v>
      </c>
      <c r="D2235" s="57" t="s">
        <v>45</v>
      </c>
      <c r="E2235" s="57" t="s">
        <v>2874</v>
      </c>
      <c r="F2235" s="233">
        <v>45971.479861111111</v>
      </c>
      <c r="G2235" s="57">
        <v>10</v>
      </c>
      <c r="H2235" s="57" t="s">
        <v>2557</v>
      </c>
      <c r="I2235" s="58">
        <v>87898</v>
      </c>
      <c r="J2235" s="234" t="s">
        <v>6026</v>
      </c>
      <c r="K2235" s="58">
        <v>24.5</v>
      </c>
      <c r="L2235" s="58">
        <v>0</v>
      </c>
      <c r="M2235" s="58">
        <v>0</v>
      </c>
      <c r="N2235" s="58">
        <v>1</v>
      </c>
      <c r="O2235" s="181">
        <f t="shared" si="16"/>
        <v>24.5</v>
      </c>
      <c r="P2235" s="247">
        <f t="shared" si="17"/>
        <v>24.5</v>
      </c>
    </row>
    <row r="2236" spans="1:16" ht="14.25">
      <c r="A2236" s="224">
        <v>2235</v>
      </c>
      <c r="B2236" s="58">
        <v>21339</v>
      </c>
      <c r="C2236" s="57" t="s">
        <v>3675</v>
      </c>
      <c r="D2236" s="57" t="s">
        <v>45</v>
      </c>
      <c r="E2236" s="57" t="s">
        <v>4772</v>
      </c>
      <c r="F2236" s="233">
        <v>45971.56527777778</v>
      </c>
      <c r="G2236" s="57">
        <v>10</v>
      </c>
      <c r="H2236" s="57" t="s">
        <v>2557</v>
      </c>
      <c r="I2236" s="58">
        <v>87910</v>
      </c>
      <c r="J2236" s="234" t="s">
        <v>1775</v>
      </c>
      <c r="K2236" s="58">
        <v>11.69</v>
      </c>
      <c r="L2236" s="58">
        <v>0.34</v>
      </c>
      <c r="M2236" s="58">
        <v>0</v>
      </c>
      <c r="N2236" s="58">
        <v>1</v>
      </c>
      <c r="O2236" s="181">
        <f t="shared" si="16"/>
        <v>11.35</v>
      </c>
      <c r="P2236" s="247">
        <f t="shared" si="17"/>
        <v>11.35</v>
      </c>
    </row>
    <row r="2237" spans="1:16" ht="14.25">
      <c r="A2237" s="224">
        <v>2236</v>
      </c>
      <c r="B2237" s="58">
        <v>28208</v>
      </c>
      <c r="C2237" s="57" t="s">
        <v>2856</v>
      </c>
      <c r="D2237" s="57" t="s">
        <v>2582</v>
      </c>
      <c r="E2237" s="57" t="s">
        <v>4772</v>
      </c>
      <c r="F2237" s="233">
        <v>45971.694444444445</v>
      </c>
      <c r="G2237" s="57">
        <v>10</v>
      </c>
      <c r="H2237" s="57" t="s">
        <v>2557</v>
      </c>
      <c r="I2237" s="58">
        <v>87142</v>
      </c>
      <c r="J2237" s="234" t="s">
        <v>1773</v>
      </c>
      <c r="K2237" s="58">
        <v>146.99</v>
      </c>
      <c r="L2237" s="58">
        <v>0.6</v>
      </c>
      <c r="M2237" s="58">
        <v>0</v>
      </c>
      <c r="N2237" s="58">
        <v>7.1228400000000001</v>
      </c>
      <c r="O2237" s="181">
        <f t="shared" si="16"/>
        <v>146.39000000000001</v>
      </c>
      <c r="P2237" s="247">
        <f t="shared" si="17"/>
        <v>20.552195472592395</v>
      </c>
    </row>
    <row r="2238" spans="1:16" ht="14.25">
      <c r="A2238" s="224">
        <v>2237</v>
      </c>
      <c r="B2238" s="58">
        <v>34482</v>
      </c>
      <c r="C2238" s="57" t="s">
        <v>6027</v>
      </c>
      <c r="D2238" s="57" t="s">
        <v>2582</v>
      </c>
      <c r="E2238" s="57" t="s">
        <v>4772</v>
      </c>
      <c r="F2238" s="233">
        <v>46001.513888888891</v>
      </c>
      <c r="G2238" s="57">
        <v>10</v>
      </c>
      <c r="H2238" s="57" t="s">
        <v>2557</v>
      </c>
      <c r="I2238" s="58">
        <v>88102</v>
      </c>
      <c r="J2238" s="234" t="s">
        <v>1787</v>
      </c>
      <c r="K2238" s="58">
        <v>85.34</v>
      </c>
      <c r="L2238" s="58">
        <v>0.35</v>
      </c>
      <c r="M2238" s="58">
        <v>0</v>
      </c>
      <c r="N2238" s="58">
        <v>7.1228400000000001</v>
      </c>
      <c r="O2238" s="181">
        <f t="shared" si="16"/>
        <v>84.990000000000009</v>
      </c>
      <c r="P2238" s="247">
        <f t="shared" si="17"/>
        <v>11.932038344255943</v>
      </c>
    </row>
    <row r="2239" spans="1:16" ht="14.25">
      <c r="A2239" s="224">
        <v>2238</v>
      </c>
      <c r="B2239" s="58">
        <v>28447</v>
      </c>
      <c r="C2239" s="57" t="s">
        <v>5093</v>
      </c>
      <c r="D2239" s="57" t="s">
        <v>45</v>
      </c>
      <c r="E2239" s="57" t="s">
        <v>4772</v>
      </c>
      <c r="F2239" s="233">
        <v>46001.6875</v>
      </c>
      <c r="G2239" s="57">
        <v>10</v>
      </c>
      <c r="H2239" s="57" t="s">
        <v>2557</v>
      </c>
      <c r="I2239" s="58">
        <v>86410</v>
      </c>
      <c r="J2239" s="234" t="s">
        <v>1785</v>
      </c>
      <c r="K2239" s="58">
        <v>72.87</v>
      </c>
      <c r="L2239" s="58">
        <v>2.12</v>
      </c>
      <c r="M2239" s="58">
        <v>0</v>
      </c>
      <c r="N2239" s="58">
        <v>1</v>
      </c>
      <c r="O2239" s="181">
        <f t="shared" si="16"/>
        <v>70.75</v>
      </c>
      <c r="P2239" s="247">
        <f t="shared" si="17"/>
        <v>70.75</v>
      </c>
    </row>
    <row r="2240" spans="1:16" ht="14.25">
      <c r="A2240" s="224">
        <v>2239</v>
      </c>
      <c r="B2240" s="58">
        <v>1560</v>
      </c>
      <c r="C2240" s="57" t="s">
        <v>2630</v>
      </c>
      <c r="D2240" s="57" t="s">
        <v>45</v>
      </c>
      <c r="E2240" s="57" t="s">
        <v>2860</v>
      </c>
      <c r="F2240" s="233">
        <v>46001.803472222222</v>
      </c>
      <c r="G2240" s="57">
        <v>10</v>
      </c>
      <c r="H2240" s="57" t="s">
        <v>2557</v>
      </c>
      <c r="I2240" s="58">
        <v>88006</v>
      </c>
      <c r="J2240" s="234" t="s">
        <v>6028</v>
      </c>
      <c r="K2240" s="58">
        <v>2.99</v>
      </c>
      <c r="L2240" s="58">
        <v>0</v>
      </c>
      <c r="M2240" s="58">
        <v>0</v>
      </c>
      <c r="N2240" s="58">
        <v>1</v>
      </c>
      <c r="O2240" s="181">
        <f t="shared" si="16"/>
        <v>2.99</v>
      </c>
      <c r="P2240" s="247">
        <f t="shared" si="17"/>
        <v>2.99</v>
      </c>
    </row>
    <row r="2241" spans="1:16" ht="14.25">
      <c r="A2241" s="224">
        <v>2240</v>
      </c>
      <c r="B2241" s="58">
        <v>1560</v>
      </c>
      <c r="C2241" s="57" t="s">
        <v>2630</v>
      </c>
      <c r="D2241" s="57" t="s">
        <v>45</v>
      </c>
      <c r="E2241" s="57" t="s">
        <v>2860</v>
      </c>
      <c r="F2241" s="233">
        <v>46001.813888888886</v>
      </c>
      <c r="G2241" s="57">
        <v>10</v>
      </c>
      <c r="H2241" s="57" t="s">
        <v>2557</v>
      </c>
      <c r="I2241" s="58">
        <v>86422</v>
      </c>
      <c r="J2241" s="234" t="s">
        <v>6029</v>
      </c>
      <c r="K2241" s="58">
        <v>28.91</v>
      </c>
      <c r="L2241" s="58">
        <v>0</v>
      </c>
      <c r="M2241" s="58">
        <v>0</v>
      </c>
      <c r="N2241" s="58">
        <v>1</v>
      </c>
      <c r="O2241" s="181">
        <f t="shared" si="16"/>
        <v>28.91</v>
      </c>
      <c r="P2241" s="247">
        <f t="shared" si="17"/>
        <v>28.91</v>
      </c>
    </row>
    <row r="2242" spans="1:16" ht="14.25">
      <c r="A2242" s="224">
        <v>2241</v>
      </c>
      <c r="B2242" s="58">
        <v>1560</v>
      </c>
      <c r="C2242" s="57" t="s">
        <v>2630</v>
      </c>
      <c r="D2242" s="57" t="s">
        <v>45</v>
      </c>
      <c r="E2242" s="57" t="s">
        <v>2860</v>
      </c>
      <c r="F2242" s="233">
        <v>46001.814583333333</v>
      </c>
      <c r="G2242" s="57">
        <v>10</v>
      </c>
      <c r="H2242" s="57" t="s">
        <v>2557</v>
      </c>
      <c r="I2242" s="58">
        <v>86422</v>
      </c>
      <c r="J2242" s="234" t="s">
        <v>6029</v>
      </c>
      <c r="K2242" s="58">
        <v>28.91</v>
      </c>
      <c r="L2242" s="58">
        <v>0</v>
      </c>
      <c r="M2242" s="58">
        <v>0</v>
      </c>
      <c r="N2242" s="58">
        <v>1</v>
      </c>
      <c r="O2242" s="181">
        <f t="shared" si="16"/>
        <v>28.91</v>
      </c>
      <c r="P2242" s="247">
        <f t="shared" si="17"/>
        <v>28.91</v>
      </c>
    </row>
    <row r="2243" spans="1:16" ht="14.25">
      <c r="A2243" s="224">
        <v>2242</v>
      </c>
      <c r="B2243" s="58">
        <v>1560</v>
      </c>
      <c r="C2243" s="57" t="s">
        <v>2630</v>
      </c>
      <c r="D2243" s="57" t="s">
        <v>45</v>
      </c>
      <c r="E2243" s="57" t="s">
        <v>2860</v>
      </c>
      <c r="F2243" s="233">
        <v>46001.820138888892</v>
      </c>
      <c r="G2243" s="57">
        <v>10</v>
      </c>
      <c r="H2243" s="57" t="s">
        <v>2557</v>
      </c>
      <c r="I2243" s="58">
        <v>83422</v>
      </c>
      <c r="J2243" s="234" t="s">
        <v>6030</v>
      </c>
      <c r="K2243" s="58">
        <v>3.99</v>
      </c>
      <c r="L2243" s="58">
        <v>0</v>
      </c>
      <c r="M2243" s="58">
        <v>0</v>
      </c>
      <c r="N2243" s="58">
        <v>1</v>
      </c>
      <c r="O2243" s="181">
        <f t="shared" si="16"/>
        <v>3.99</v>
      </c>
      <c r="P2243" s="247">
        <f t="shared" si="17"/>
        <v>3.99</v>
      </c>
    </row>
    <row r="2244" spans="1:16" ht="14.25">
      <c r="A2244" s="224">
        <v>2243</v>
      </c>
      <c r="B2244" s="58">
        <v>1560</v>
      </c>
      <c r="C2244" s="57" t="s">
        <v>2630</v>
      </c>
      <c r="D2244" s="57" t="s">
        <v>45</v>
      </c>
      <c r="E2244" s="57" t="s">
        <v>2860</v>
      </c>
      <c r="F2244" s="233">
        <v>46001.831944444442</v>
      </c>
      <c r="G2244" s="57">
        <v>10</v>
      </c>
      <c r="H2244" s="57" t="s">
        <v>2557</v>
      </c>
      <c r="I2244" s="58">
        <v>87070</v>
      </c>
      <c r="J2244" s="234" t="s">
        <v>6031</v>
      </c>
      <c r="K2244" s="58">
        <v>5.98</v>
      </c>
      <c r="L2244" s="58">
        <v>0</v>
      </c>
      <c r="M2244" s="58">
        <v>0</v>
      </c>
      <c r="N2244" s="58">
        <v>1</v>
      </c>
      <c r="O2244" s="181">
        <f t="shared" si="16"/>
        <v>5.98</v>
      </c>
      <c r="P2244" s="247">
        <f t="shared" si="17"/>
        <v>5.98</v>
      </c>
    </row>
    <row r="2245" spans="1:16" ht="14.25">
      <c r="A2245" s="224">
        <v>2244</v>
      </c>
      <c r="B2245" s="58">
        <v>26937</v>
      </c>
      <c r="C2245" s="57" t="s">
        <v>6032</v>
      </c>
      <c r="D2245" s="57" t="s">
        <v>45</v>
      </c>
      <c r="E2245" s="57" t="s">
        <v>4772</v>
      </c>
      <c r="F2245" s="233">
        <v>46001.907638888886</v>
      </c>
      <c r="G2245" s="57">
        <v>10</v>
      </c>
      <c r="H2245" s="57" t="s">
        <v>2557</v>
      </c>
      <c r="I2245" s="58">
        <v>88114</v>
      </c>
      <c r="J2245" s="234" t="s">
        <v>1783</v>
      </c>
      <c r="K2245" s="58">
        <v>6.49</v>
      </c>
      <c r="L2245" s="58">
        <v>0.19</v>
      </c>
      <c r="M2245" s="58">
        <v>0</v>
      </c>
      <c r="N2245" s="58">
        <v>1</v>
      </c>
      <c r="O2245" s="181">
        <f t="shared" si="16"/>
        <v>6.3</v>
      </c>
      <c r="P2245" s="247">
        <f t="shared" si="17"/>
        <v>6.3</v>
      </c>
    </row>
    <row r="2246" spans="1:16" ht="14.25">
      <c r="A2246" s="224">
        <v>2245</v>
      </c>
      <c r="B2246" s="58">
        <v>34490</v>
      </c>
      <c r="C2246" s="57" t="s">
        <v>6033</v>
      </c>
      <c r="D2246" s="57" t="s">
        <v>2582</v>
      </c>
      <c r="E2246" s="57" t="s">
        <v>4772</v>
      </c>
      <c r="F2246" s="233">
        <v>46001.943749999999</v>
      </c>
      <c r="G2246" s="57">
        <v>10</v>
      </c>
      <c r="H2246" s="57" t="s">
        <v>2557</v>
      </c>
      <c r="I2246" s="58">
        <v>88126</v>
      </c>
      <c r="J2246" s="234" t="s">
        <v>1781</v>
      </c>
      <c r="K2246" s="58">
        <v>108.92</v>
      </c>
      <c r="L2246" s="58">
        <v>0.45</v>
      </c>
      <c r="M2246" s="58">
        <v>0</v>
      </c>
      <c r="N2246" s="58">
        <v>7.1228400000000001</v>
      </c>
      <c r="O2246" s="181">
        <f t="shared" si="16"/>
        <v>108.47</v>
      </c>
      <c r="P2246" s="247">
        <f t="shared" si="17"/>
        <v>15.228476281932487</v>
      </c>
    </row>
    <row r="2247" spans="1:16" ht="14.25">
      <c r="A2247" s="224">
        <v>2246</v>
      </c>
      <c r="B2247" s="58">
        <v>34493</v>
      </c>
      <c r="C2247" s="57" t="s">
        <v>6034</v>
      </c>
      <c r="D2247" s="57" t="s">
        <v>45</v>
      </c>
      <c r="E2247" s="57" t="s">
        <v>4772</v>
      </c>
      <c r="F2247" s="58" t="s">
        <v>6035</v>
      </c>
      <c r="G2247" s="57">
        <v>10</v>
      </c>
      <c r="H2247" s="57" t="s">
        <v>2557</v>
      </c>
      <c r="I2247" s="58">
        <v>88138</v>
      </c>
      <c r="J2247" s="234" t="s">
        <v>1779</v>
      </c>
      <c r="K2247" s="58">
        <v>12.99</v>
      </c>
      <c r="L2247" s="58">
        <v>0.38</v>
      </c>
      <c r="M2247" s="58">
        <v>0</v>
      </c>
      <c r="N2247" s="58">
        <v>1</v>
      </c>
      <c r="O2247" s="181">
        <f t="shared" si="16"/>
        <v>12.61</v>
      </c>
      <c r="P2247" s="247">
        <f t="shared" si="17"/>
        <v>12.61</v>
      </c>
    </row>
    <row r="2248" spans="1:16" ht="14.25">
      <c r="A2248" s="224">
        <v>2247</v>
      </c>
      <c r="B2248" s="58">
        <v>34494</v>
      </c>
      <c r="C2248" s="57" t="s">
        <v>6036</v>
      </c>
      <c r="D2248" s="57" t="s">
        <v>45</v>
      </c>
      <c r="E2248" s="57" t="s">
        <v>4772</v>
      </c>
      <c r="F2248" s="58" t="s">
        <v>6037</v>
      </c>
      <c r="G2248" s="57">
        <v>10</v>
      </c>
      <c r="H2248" s="57" t="s">
        <v>2557</v>
      </c>
      <c r="I2248" s="58">
        <v>88150</v>
      </c>
      <c r="J2248" s="234" t="s">
        <v>1777</v>
      </c>
      <c r="K2248" s="58">
        <v>2.99</v>
      </c>
      <c r="L2248" s="58">
        <v>0.09</v>
      </c>
      <c r="M2248" s="58">
        <v>0</v>
      </c>
      <c r="N2248" s="58">
        <v>1</v>
      </c>
      <c r="O2248" s="181">
        <f t="shared" si="16"/>
        <v>2.9000000000000004</v>
      </c>
      <c r="P2248" s="247">
        <f t="shared" si="17"/>
        <v>2.9000000000000004</v>
      </c>
    </row>
    <row r="2249" spans="1:16" ht="14.25">
      <c r="A2249" s="224">
        <v>2248</v>
      </c>
      <c r="B2249" s="58">
        <v>34493</v>
      </c>
      <c r="C2249" s="57" t="s">
        <v>6034</v>
      </c>
      <c r="D2249" s="57" t="s">
        <v>45</v>
      </c>
      <c r="E2249" s="57" t="s">
        <v>4772</v>
      </c>
      <c r="F2249" s="58" t="s">
        <v>6038</v>
      </c>
      <c r="G2249" s="57">
        <v>10</v>
      </c>
      <c r="H2249" s="57" t="s">
        <v>2557</v>
      </c>
      <c r="I2249" s="58">
        <v>88258</v>
      </c>
      <c r="J2249" s="234" t="s">
        <v>1796</v>
      </c>
      <c r="K2249" s="58">
        <v>4.99</v>
      </c>
      <c r="L2249" s="58">
        <v>0.15</v>
      </c>
      <c r="M2249" s="58">
        <v>0</v>
      </c>
      <c r="N2249" s="58">
        <v>1</v>
      </c>
      <c r="O2249" s="181">
        <f t="shared" si="16"/>
        <v>4.84</v>
      </c>
      <c r="P2249" s="247">
        <f t="shared" si="17"/>
        <v>4.84</v>
      </c>
    </row>
    <row r="2250" spans="1:16" ht="14.25">
      <c r="A2250" s="224">
        <v>2249</v>
      </c>
      <c r="B2250" s="58">
        <v>34508</v>
      </c>
      <c r="C2250" s="57" t="s">
        <v>6039</v>
      </c>
      <c r="D2250" s="57" t="s">
        <v>45</v>
      </c>
      <c r="E2250" s="57" t="s">
        <v>2874</v>
      </c>
      <c r="F2250" s="58" t="s">
        <v>6040</v>
      </c>
      <c r="G2250" s="57">
        <v>10</v>
      </c>
      <c r="H2250" s="57" t="s">
        <v>2557</v>
      </c>
      <c r="I2250" s="58">
        <v>88246</v>
      </c>
      <c r="J2250" s="234" t="s">
        <v>6041</v>
      </c>
      <c r="K2250" s="58">
        <v>1.99</v>
      </c>
      <c r="L2250" s="58">
        <v>0</v>
      </c>
      <c r="M2250" s="58">
        <v>0</v>
      </c>
      <c r="N2250" s="58">
        <v>1</v>
      </c>
      <c r="O2250" s="181">
        <f t="shared" si="16"/>
        <v>1.99</v>
      </c>
      <c r="P2250" s="247">
        <f t="shared" si="17"/>
        <v>1.99</v>
      </c>
    </row>
    <row r="2251" spans="1:16" ht="14.25">
      <c r="A2251" s="224">
        <v>2250</v>
      </c>
      <c r="B2251" s="58">
        <v>34509</v>
      </c>
      <c r="C2251" s="57" t="s">
        <v>6042</v>
      </c>
      <c r="D2251" s="57" t="s">
        <v>45</v>
      </c>
      <c r="E2251" s="57" t="s">
        <v>4772</v>
      </c>
      <c r="F2251" s="58" t="s">
        <v>6043</v>
      </c>
      <c r="G2251" s="57">
        <v>10</v>
      </c>
      <c r="H2251" s="57" t="s">
        <v>2557</v>
      </c>
      <c r="I2251" s="58">
        <v>88270</v>
      </c>
      <c r="J2251" s="234" t="s">
        <v>1793</v>
      </c>
      <c r="K2251" s="58">
        <v>3.99</v>
      </c>
      <c r="L2251" s="58">
        <v>0.12</v>
      </c>
      <c r="M2251" s="58">
        <v>0</v>
      </c>
      <c r="N2251" s="58">
        <v>1</v>
      </c>
      <c r="O2251" s="181">
        <f t="shared" si="16"/>
        <v>3.87</v>
      </c>
      <c r="P2251" s="247">
        <f t="shared" si="17"/>
        <v>3.87</v>
      </c>
    </row>
    <row r="2252" spans="1:16" ht="14.25">
      <c r="A2252" s="224">
        <v>2251</v>
      </c>
      <c r="B2252" s="58">
        <v>34513</v>
      </c>
      <c r="C2252" s="57" t="s">
        <v>6044</v>
      </c>
      <c r="D2252" s="57" t="s">
        <v>45</v>
      </c>
      <c r="E2252" s="57" t="s">
        <v>9</v>
      </c>
      <c r="F2252" s="58" t="s">
        <v>6045</v>
      </c>
      <c r="G2252" s="57">
        <v>10</v>
      </c>
      <c r="H2252" s="57" t="s">
        <v>2557</v>
      </c>
      <c r="I2252" s="58">
        <v>88282</v>
      </c>
      <c r="J2252" s="234" t="s">
        <v>679</v>
      </c>
      <c r="K2252" s="58">
        <v>8.99</v>
      </c>
      <c r="L2252" s="58">
        <v>0.8</v>
      </c>
      <c r="M2252" s="58">
        <v>0</v>
      </c>
      <c r="N2252" s="58">
        <v>1</v>
      </c>
      <c r="O2252" s="181">
        <f t="shared" si="16"/>
        <v>8.19</v>
      </c>
      <c r="P2252" s="247">
        <f t="shared" si="17"/>
        <v>8.19</v>
      </c>
    </row>
    <row r="2253" spans="1:16" ht="14.25">
      <c r="A2253" s="224">
        <v>2252</v>
      </c>
      <c r="B2253" s="58">
        <v>28543</v>
      </c>
      <c r="C2253" s="57" t="s">
        <v>5127</v>
      </c>
      <c r="D2253" s="57" t="s">
        <v>2582</v>
      </c>
      <c r="E2253" s="57" t="s">
        <v>2860</v>
      </c>
      <c r="F2253" s="58" t="s">
        <v>6046</v>
      </c>
      <c r="G2253" s="57">
        <v>10</v>
      </c>
      <c r="H2253" s="57" t="s">
        <v>2557</v>
      </c>
      <c r="I2253" s="58">
        <v>86614</v>
      </c>
      <c r="J2253" s="234" t="s">
        <v>6047</v>
      </c>
      <c r="K2253" s="58">
        <v>892.78</v>
      </c>
      <c r="L2253" s="58">
        <v>0</v>
      </c>
      <c r="M2253" s="58">
        <v>0</v>
      </c>
      <c r="N2253" s="58">
        <v>7.1228400000000001</v>
      </c>
      <c r="O2253" s="181">
        <f t="shared" si="16"/>
        <v>892.78</v>
      </c>
      <c r="P2253" s="247">
        <f t="shared" si="17"/>
        <v>125.34045408853771</v>
      </c>
    </row>
    <row r="2254" spans="1:16" ht="14.25">
      <c r="A2254" s="224">
        <v>2253</v>
      </c>
      <c r="B2254" s="58">
        <v>28543</v>
      </c>
      <c r="C2254" s="57" t="s">
        <v>5127</v>
      </c>
      <c r="D2254" s="57" t="s">
        <v>2582</v>
      </c>
      <c r="E2254" s="57" t="s">
        <v>2860</v>
      </c>
      <c r="F2254" s="58" t="s">
        <v>6048</v>
      </c>
      <c r="G2254" s="57">
        <v>10</v>
      </c>
      <c r="H2254" s="57" t="s">
        <v>2557</v>
      </c>
      <c r="I2254" s="58">
        <v>86614</v>
      </c>
      <c r="J2254" s="234"/>
      <c r="K2254" s="58">
        <v>0.01</v>
      </c>
      <c r="L2254" s="58">
        <v>0</v>
      </c>
      <c r="M2254" s="58">
        <v>0</v>
      </c>
      <c r="N2254" s="58">
        <v>7.1228400000000001</v>
      </c>
      <c r="O2254" s="181">
        <f t="shared" si="16"/>
        <v>0.01</v>
      </c>
      <c r="P2254" s="247">
        <f t="shared" si="17"/>
        <v>1.4039343857225489E-3</v>
      </c>
    </row>
    <row r="2255" spans="1:16" ht="14.25">
      <c r="A2255" s="224">
        <v>2254</v>
      </c>
      <c r="B2255" s="58">
        <v>6367</v>
      </c>
      <c r="C2255" s="57" t="s">
        <v>6049</v>
      </c>
      <c r="D2255" s="57" t="s">
        <v>2582</v>
      </c>
      <c r="E2255" s="57" t="s">
        <v>4772</v>
      </c>
      <c r="F2255" s="58" t="s">
        <v>6050</v>
      </c>
      <c r="G2255" s="57">
        <v>10</v>
      </c>
      <c r="H2255" s="57" t="s">
        <v>2557</v>
      </c>
      <c r="I2255" s="58">
        <v>88294</v>
      </c>
      <c r="J2255" s="234" t="s">
        <v>1790</v>
      </c>
      <c r="K2255" s="58">
        <v>61.27</v>
      </c>
      <c r="L2255" s="58">
        <v>0.25</v>
      </c>
      <c r="M2255" s="58">
        <v>0</v>
      </c>
      <c r="N2255" s="58">
        <v>7.1228400000000001</v>
      </c>
      <c r="O2255" s="181">
        <f t="shared" si="16"/>
        <v>61.02</v>
      </c>
      <c r="P2255" s="247">
        <f t="shared" si="17"/>
        <v>8.5668076216789935</v>
      </c>
    </row>
    <row r="2256" spans="1:16" ht="14.25">
      <c r="A2256" s="224">
        <v>2255</v>
      </c>
      <c r="B2256" s="58">
        <v>28784</v>
      </c>
      <c r="C2256" s="57" t="s">
        <v>5262</v>
      </c>
      <c r="D2256" s="57" t="s">
        <v>45</v>
      </c>
      <c r="E2256" s="57" t="s">
        <v>4772</v>
      </c>
      <c r="F2256" s="58" t="s">
        <v>6051</v>
      </c>
      <c r="G2256" s="57">
        <v>10</v>
      </c>
      <c r="H2256" s="57" t="s">
        <v>2557</v>
      </c>
      <c r="I2256" s="58">
        <v>88414</v>
      </c>
      <c r="J2256" s="234" t="s">
        <v>1802</v>
      </c>
      <c r="K2256" s="58">
        <v>7.59</v>
      </c>
      <c r="L2256" s="58">
        <v>0.22</v>
      </c>
      <c r="M2256" s="58">
        <v>0</v>
      </c>
      <c r="N2256" s="58">
        <v>1</v>
      </c>
      <c r="O2256" s="181">
        <f t="shared" si="16"/>
        <v>7.37</v>
      </c>
      <c r="P2256" s="247">
        <f t="shared" si="17"/>
        <v>7.37</v>
      </c>
    </row>
    <row r="2257" spans="1:16" ht="14.25">
      <c r="A2257" s="224">
        <v>2256</v>
      </c>
      <c r="B2257" s="58">
        <v>6529</v>
      </c>
      <c r="C2257" s="57" t="s">
        <v>2566</v>
      </c>
      <c r="D2257" s="57" t="s">
        <v>45</v>
      </c>
      <c r="E2257" s="57" t="s">
        <v>2860</v>
      </c>
      <c r="F2257" s="58" t="s">
        <v>6052</v>
      </c>
      <c r="G2257" s="57">
        <v>10</v>
      </c>
      <c r="H2257" s="57" t="s">
        <v>2557</v>
      </c>
      <c r="I2257" s="58">
        <v>87382</v>
      </c>
      <c r="J2257" s="234" t="s">
        <v>6053</v>
      </c>
      <c r="K2257" s="58">
        <v>8.99</v>
      </c>
      <c r="L2257" s="58">
        <v>0</v>
      </c>
      <c r="M2257" s="58">
        <v>0</v>
      </c>
      <c r="N2257" s="58">
        <v>1</v>
      </c>
      <c r="O2257" s="181">
        <f t="shared" si="16"/>
        <v>8.99</v>
      </c>
      <c r="P2257" s="247">
        <f t="shared" si="17"/>
        <v>8.99</v>
      </c>
    </row>
    <row r="2258" spans="1:16" ht="14.25">
      <c r="A2258" s="224">
        <v>2257</v>
      </c>
      <c r="B2258" s="58">
        <v>33906</v>
      </c>
      <c r="C2258" s="57" t="s">
        <v>680</v>
      </c>
      <c r="D2258" s="57" t="s">
        <v>2582</v>
      </c>
      <c r="E2258" s="57" t="s">
        <v>9</v>
      </c>
      <c r="F2258" s="58" t="s">
        <v>6054</v>
      </c>
      <c r="G2258" s="57">
        <v>10</v>
      </c>
      <c r="H2258" s="57" t="s">
        <v>2557</v>
      </c>
      <c r="I2258" s="58">
        <v>86590</v>
      </c>
      <c r="J2258" s="234" t="s">
        <v>681</v>
      </c>
      <c r="K2258" s="58">
        <v>113.89</v>
      </c>
      <c r="L2258" s="58">
        <v>7.49</v>
      </c>
      <c r="M2258" s="58">
        <v>0</v>
      </c>
      <c r="N2258" s="58">
        <v>7.1320800000000002</v>
      </c>
      <c r="O2258" s="181">
        <f t="shared" si="16"/>
        <v>106.4</v>
      </c>
      <c r="P2258" s="247">
        <f t="shared" si="17"/>
        <v>14.918509046449284</v>
      </c>
    </row>
    <row r="2259" spans="1:16" ht="14.25">
      <c r="A2259" s="224">
        <v>2258</v>
      </c>
      <c r="B2259" s="58">
        <v>5079</v>
      </c>
      <c r="C2259" s="57" t="s">
        <v>2970</v>
      </c>
      <c r="D2259" s="57" t="s">
        <v>45</v>
      </c>
      <c r="E2259" s="57" t="s">
        <v>2860</v>
      </c>
      <c r="F2259" s="58" t="s">
        <v>6055</v>
      </c>
      <c r="G2259" s="57">
        <v>10</v>
      </c>
      <c r="H2259" s="57" t="s">
        <v>2557</v>
      </c>
      <c r="I2259" s="58">
        <v>87430</v>
      </c>
      <c r="J2259" s="234" t="s">
        <v>6056</v>
      </c>
      <c r="K2259" s="58">
        <v>3.99</v>
      </c>
      <c r="L2259" s="58">
        <v>0</v>
      </c>
      <c r="M2259" s="58">
        <v>0</v>
      </c>
      <c r="N2259" s="58">
        <v>1</v>
      </c>
      <c r="O2259" s="181">
        <f t="shared" si="16"/>
        <v>3.99</v>
      </c>
      <c r="P2259" s="247">
        <f t="shared" si="17"/>
        <v>3.99</v>
      </c>
    </row>
    <row r="2260" spans="1:16" ht="14.25">
      <c r="A2260" s="224">
        <v>2259</v>
      </c>
      <c r="B2260" s="58">
        <v>25736</v>
      </c>
      <c r="C2260" s="57" t="s">
        <v>4691</v>
      </c>
      <c r="D2260" s="57" t="s">
        <v>45</v>
      </c>
      <c r="E2260" s="57" t="s">
        <v>2860</v>
      </c>
      <c r="F2260" s="58" t="s">
        <v>6057</v>
      </c>
      <c r="G2260" s="57">
        <v>10</v>
      </c>
      <c r="H2260" s="57" t="s">
        <v>2557</v>
      </c>
      <c r="I2260" s="58">
        <v>87418</v>
      </c>
      <c r="J2260" s="234" t="s">
        <v>6058</v>
      </c>
      <c r="K2260" s="58">
        <v>37.090000000000003</v>
      </c>
      <c r="L2260" s="58">
        <v>0</v>
      </c>
      <c r="M2260" s="58">
        <v>0</v>
      </c>
      <c r="N2260" s="58">
        <v>1</v>
      </c>
      <c r="O2260" s="181">
        <f t="shared" si="16"/>
        <v>37.090000000000003</v>
      </c>
      <c r="P2260" s="247">
        <f t="shared" si="17"/>
        <v>37.090000000000003</v>
      </c>
    </row>
    <row r="2261" spans="1:16" ht="14.25">
      <c r="A2261" s="224">
        <v>2260</v>
      </c>
      <c r="B2261" s="58">
        <v>27587</v>
      </c>
      <c r="C2261" s="57" t="s">
        <v>6023</v>
      </c>
      <c r="D2261" s="57" t="s">
        <v>45</v>
      </c>
      <c r="E2261" s="57" t="s">
        <v>4772</v>
      </c>
      <c r="F2261" s="58" t="s">
        <v>6059</v>
      </c>
      <c r="G2261" s="57">
        <v>10</v>
      </c>
      <c r="H2261" s="57" t="s">
        <v>2557</v>
      </c>
      <c r="I2261" s="58">
        <v>88426</v>
      </c>
      <c r="J2261" s="234" t="s">
        <v>1799</v>
      </c>
      <c r="K2261" s="58">
        <v>0.84</v>
      </c>
      <c r="L2261" s="58">
        <v>0.03</v>
      </c>
      <c r="M2261" s="58">
        <v>0</v>
      </c>
      <c r="N2261" s="58">
        <v>1</v>
      </c>
      <c r="O2261" s="181">
        <f t="shared" si="16"/>
        <v>0.80999999999999994</v>
      </c>
      <c r="P2261" s="247">
        <f t="shared" si="17"/>
        <v>0.80999999999999994</v>
      </c>
    </row>
    <row r="2262" spans="1:16" ht="14.25">
      <c r="A2262" s="224">
        <v>2261</v>
      </c>
      <c r="B2262" s="58">
        <v>27903</v>
      </c>
      <c r="C2262" s="57" t="s">
        <v>5168</v>
      </c>
      <c r="D2262" s="57" t="s">
        <v>45</v>
      </c>
      <c r="E2262" s="57" t="s">
        <v>2874</v>
      </c>
      <c r="F2262" s="58" t="s">
        <v>6060</v>
      </c>
      <c r="G2262" s="57">
        <v>10</v>
      </c>
      <c r="H2262" s="57" t="s">
        <v>2557</v>
      </c>
      <c r="I2262" s="58">
        <v>86770</v>
      </c>
      <c r="J2262" s="234"/>
      <c r="K2262" s="58">
        <v>470.5</v>
      </c>
      <c r="L2262" s="58">
        <v>0</v>
      </c>
      <c r="M2262" s="58">
        <v>0</v>
      </c>
      <c r="N2262" s="58">
        <v>1</v>
      </c>
      <c r="O2262" s="181">
        <f t="shared" si="16"/>
        <v>470.5</v>
      </c>
      <c r="P2262" s="247">
        <f t="shared" si="17"/>
        <v>470.5</v>
      </c>
    </row>
    <row r="2263" spans="1:16" ht="14.25">
      <c r="A2263" s="224">
        <v>2262</v>
      </c>
      <c r="B2263" s="58">
        <v>5079</v>
      </c>
      <c r="C2263" s="57" t="s">
        <v>2970</v>
      </c>
      <c r="D2263" s="57" t="s">
        <v>45</v>
      </c>
      <c r="E2263" s="57" t="s">
        <v>2860</v>
      </c>
      <c r="F2263" s="58" t="s">
        <v>6061</v>
      </c>
      <c r="G2263" s="57">
        <v>10</v>
      </c>
      <c r="H2263" s="57" t="s">
        <v>2557</v>
      </c>
      <c r="I2263" s="58">
        <v>88498</v>
      </c>
      <c r="J2263" s="234" t="s">
        <v>6062</v>
      </c>
      <c r="K2263" s="58">
        <v>3.59</v>
      </c>
      <c r="L2263" s="58">
        <v>0</v>
      </c>
      <c r="M2263" s="58">
        <v>0</v>
      </c>
      <c r="N2263" s="58">
        <v>1</v>
      </c>
      <c r="O2263" s="181">
        <f t="shared" si="16"/>
        <v>3.59</v>
      </c>
      <c r="P2263" s="247">
        <f t="shared" si="17"/>
        <v>3.59</v>
      </c>
    </row>
    <row r="2264" spans="1:16" ht="14.25">
      <c r="A2264" s="224">
        <v>2263</v>
      </c>
      <c r="B2264" s="58">
        <v>21905</v>
      </c>
      <c r="C2264" s="57" t="s">
        <v>3796</v>
      </c>
      <c r="D2264" s="57" t="s">
        <v>2582</v>
      </c>
      <c r="E2264" s="57" t="s">
        <v>4772</v>
      </c>
      <c r="F2264" s="58" t="s">
        <v>6063</v>
      </c>
      <c r="G2264" s="57">
        <v>10</v>
      </c>
      <c r="H2264" s="57" t="s">
        <v>2557</v>
      </c>
      <c r="I2264" s="58">
        <v>86818</v>
      </c>
      <c r="J2264" s="234" t="s">
        <v>1817</v>
      </c>
      <c r="K2264" s="58">
        <v>46.22</v>
      </c>
      <c r="L2264" s="58">
        <v>0.19</v>
      </c>
      <c r="M2264" s="58">
        <v>0</v>
      </c>
      <c r="N2264" s="58">
        <v>7.1264000000000003</v>
      </c>
      <c r="O2264" s="181">
        <f t="shared" si="16"/>
        <v>46.03</v>
      </c>
      <c r="P2264" s="247">
        <f t="shared" si="17"/>
        <v>6.4590817242927701</v>
      </c>
    </row>
    <row r="2265" spans="1:16" ht="14.25">
      <c r="A2265" s="224">
        <v>2264</v>
      </c>
      <c r="B2265" s="58">
        <v>21905</v>
      </c>
      <c r="C2265" s="57" t="s">
        <v>3796</v>
      </c>
      <c r="D2265" s="57" t="s">
        <v>2582</v>
      </c>
      <c r="E2265" s="57" t="s">
        <v>4772</v>
      </c>
      <c r="F2265" s="58" t="s">
        <v>6064</v>
      </c>
      <c r="G2265" s="57">
        <v>10</v>
      </c>
      <c r="H2265" s="57" t="s">
        <v>2557</v>
      </c>
      <c r="I2265" s="58">
        <v>88642</v>
      </c>
      <c r="J2265" s="234" t="s">
        <v>1814</v>
      </c>
      <c r="K2265" s="58">
        <v>46.22</v>
      </c>
      <c r="L2265" s="58">
        <v>0.19</v>
      </c>
      <c r="M2265" s="58">
        <v>0</v>
      </c>
      <c r="N2265" s="58">
        <v>7.1264000000000003</v>
      </c>
      <c r="O2265" s="181">
        <f t="shared" si="16"/>
        <v>46.03</v>
      </c>
      <c r="P2265" s="247">
        <f t="shared" si="17"/>
        <v>6.4590817242927701</v>
      </c>
    </row>
    <row r="2266" spans="1:16" ht="14.25">
      <c r="A2266" s="224">
        <v>2265</v>
      </c>
      <c r="B2266" s="58">
        <v>34572</v>
      </c>
      <c r="C2266" s="57" t="s">
        <v>6065</v>
      </c>
      <c r="D2266" s="57" t="s">
        <v>45</v>
      </c>
      <c r="E2266" s="57" t="s">
        <v>4772</v>
      </c>
      <c r="F2266" s="58" t="s">
        <v>6066</v>
      </c>
      <c r="G2266" s="57">
        <v>10</v>
      </c>
      <c r="H2266" s="57" t="s">
        <v>2557</v>
      </c>
      <c r="I2266" s="58">
        <v>88654</v>
      </c>
      <c r="J2266" s="234" t="s">
        <v>1811</v>
      </c>
      <c r="K2266" s="58">
        <v>2.4900000000000002</v>
      </c>
      <c r="L2266" s="58">
        <v>0.08</v>
      </c>
      <c r="M2266" s="58">
        <v>0</v>
      </c>
      <c r="N2266" s="58">
        <v>1</v>
      </c>
      <c r="O2266" s="181">
        <f t="shared" si="16"/>
        <v>2.41</v>
      </c>
      <c r="P2266" s="247">
        <f t="shared" si="17"/>
        <v>2.41</v>
      </c>
    </row>
    <row r="2267" spans="1:16" ht="14.25">
      <c r="A2267" s="224">
        <v>2266</v>
      </c>
      <c r="B2267" s="58">
        <v>153</v>
      </c>
      <c r="C2267" s="57" t="s">
        <v>4935</v>
      </c>
      <c r="D2267" s="57" t="s">
        <v>45</v>
      </c>
      <c r="E2267" s="57" t="s">
        <v>2860</v>
      </c>
      <c r="F2267" s="58" t="s">
        <v>6067</v>
      </c>
      <c r="G2267" s="57">
        <v>10</v>
      </c>
      <c r="H2267" s="57" t="s">
        <v>2557</v>
      </c>
      <c r="I2267" s="58">
        <v>88366</v>
      </c>
      <c r="J2267" s="234" t="s">
        <v>6068</v>
      </c>
      <c r="K2267" s="58">
        <v>4.3899999999999997</v>
      </c>
      <c r="L2267" s="58">
        <v>0</v>
      </c>
      <c r="M2267" s="58">
        <v>0</v>
      </c>
      <c r="N2267" s="58">
        <v>1</v>
      </c>
      <c r="O2267" s="181">
        <f t="shared" si="16"/>
        <v>4.3899999999999997</v>
      </c>
      <c r="P2267" s="247">
        <f t="shared" si="17"/>
        <v>4.3899999999999997</v>
      </c>
    </row>
    <row r="2268" spans="1:16" ht="14.25">
      <c r="A2268" s="224">
        <v>2267</v>
      </c>
      <c r="B2268" s="58">
        <v>28864</v>
      </c>
      <c r="C2268" s="57" t="s">
        <v>6069</v>
      </c>
      <c r="D2268" s="57" t="s">
        <v>2582</v>
      </c>
      <c r="E2268" s="57" t="s">
        <v>2874</v>
      </c>
      <c r="F2268" s="58" t="s">
        <v>6070</v>
      </c>
      <c r="G2268" s="57">
        <v>10</v>
      </c>
      <c r="H2268" s="57" t="s">
        <v>2557</v>
      </c>
      <c r="I2268" s="58">
        <v>88678</v>
      </c>
      <c r="J2268" s="234" t="s">
        <v>6071</v>
      </c>
      <c r="K2268" s="58">
        <v>121.08</v>
      </c>
      <c r="L2268" s="58">
        <v>0</v>
      </c>
      <c r="M2268" s="58">
        <v>0</v>
      </c>
      <c r="N2268" s="58">
        <v>7.1264000000000003</v>
      </c>
      <c r="O2268" s="181">
        <f t="shared" si="16"/>
        <v>121.08</v>
      </c>
      <c r="P2268" s="247">
        <f t="shared" si="17"/>
        <v>16.99034575662326</v>
      </c>
    </row>
    <row r="2269" spans="1:16" ht="14.25">
      <c r="A2269" s="224">
        <v>2268</v>
      </c>
      <c r="B2269" s="58">
        <v>351</v>
      </c>
      <c r="C2269" s="57" t="s">
        <v>2707</v>
      </c>
      <c r="D2269" s="57" t="s">
        <v>45</v>
      </c>
      <c r="E2269" s="57" t="s">
        <v>9</v>
      </c>
      <c r="F2269" s="58" t="s">
        <v>6072</v>
      </c>
      <c r="G2269" s="57">
        <v>10</v>
      </c>
      <c r="H2269" s="57" t="s">
        <v>2557</v>
      </c>
      <c r="I2269" s="58">
        <v>85834</v>
      </c>
      <c r="J2269" s="234" t="s">
        <v>685</v>
      </c>
      <c r="K2269" s="58">
        <v>1.0900000000000001</v>
      </c>
      <c r="L2269" s="58">
        <v>0.54</v>
      </c>
      <c r="M2269" s="58">
        <v>0</v>
      </c>
      <c r="N2269" s="58">
        <v>1</v>
      </c>
      <c r="O2269" s="181">
        <f t="shared" si="16"/>
        <v>0.55000000000000004</v>
      </c>
      <c r="P2269" s="247">
        <f t="shared" si="17"/>
        <v>0.55000000000000004</v>
      </c>
    </row>
    <row r="2270" spans="1:16" ht="14.25">
      <c r="A2270" s="224">
        <v>2269</v>
      </c>
      <c r="B2270" s="58">
        <v>19040</v>
      </c>
      <c r="C2270" s="57" t="s">
        <v>3084</v>
      </c>
      <c r="D2270" s="57" t="s">
        <v>45</v>
      </c>
      <c r="E2270" s="57" t="s">
        <v>4772</v>
      </c>
      <c r="F2270" s="58" t="s">
        <v>6073</v>
      </c>
      <c r="G2270" s="57">
        <v>10</v>
      </c>
      <c r="H2270" s="57" t="s">
        <v>2557</v>
      </c>
      <c r="I2270" s="58">
        <v>74002</v>
      </c>
      <c r="J2270" s="234" t="s">
        <v>6074</v>
      </c>
      <c r="K2270" s="58">
        <v>1.79</v>
      </c>
      <c r="L2270" s="58">
        <v>0</v>
      </c>
      <c r="M2270" s="58">
        <v>0</v>
      </c>
      <c r="N2270" s="58">
        <v>1</v>
      </c>
      <c r="O2270" s="181">
        <f t="shared" si="16"/>
        <v>1.79</v>
      </c>
      <c r="P2270" s="247">
        <f t="shared" si="17"/>
        <v>1.79</v>
      </c>
    </row>
    <row r="2271" spans="1:16" ht="14.25">
      <c r="A2271" s="224">
        <v>2270</v>
      </c>
      <c r="B2271" s="58">
        <v>20647</v>
      </c>
      <c r="C2271" s="57" t="s">
        <v>3558</v>
      </c>
      <c r="D2271" s="57" t="s">
        <v>2582</v>
      </c>
      <c r="E2271" s="57" t="s">
        <v>4772</v>
      </c>
      <c r="F2271" s="58" t="s">
        <v>6075</v>
      </c>
      <c r="G2271" s="57">
        <v>10</v>
      </c>
      <c r="H2271" s="57" t="s">
        <v>2557</v>
      </c>
      <c r="I2271" s="58">
        <v>88690</v>
      </c>
      <c r="J2271" s="234" t="s">
        <v>1808</v>
      </c>
      <c r="K2271" s="58">
        <v>56.94</v>
      </c>
      <c r="L2271" s="58">
        <v>0.24</v>
      </c>
      <c r="M2271" s="58">
        <v>0</v>
      </c>
      <c r="N2271" s="58">
        <v>7.1264000000000003</v>
      </c>
      <c r="O2271" s="181">
        <f t="shared" si="16"/>
        <v>56.699999999999996</v>
      </c>
      <c r="P2271" s="247">
        <f t="shared" si="17"/>
        <v>7.9563313875168378</v>
      </c>
    </row>
    <row r="2272" spans="1:16" ht="14.25">
      <c r="A2272" s="224">
        <v>2271</v>
      </c>
      <c r="B2272" s="58">
        <v>29080</v>
      </c>
      <c r="C2272" s="57" t="s">
        <v>5467</v>
      </c>
      <c r="D2272" s="57" t="s">
        <v>45</v>
      </c>
      <c r="E2272" s="57" t="s">
        <v>2860</v>
      </c>
      <c r="F2272" s="58" t="s">
        <v>6076</v>
      </c>
      <c r="G2272" s="57">
        <v>10</v>
      </c>
      <c r="H2272" s="57" t="s">
        <v>2557</v>
      </c>
      <c r="I2272" s="58">
        <v>88390</v>
      </c>
      <c r="J2272" s="234" t="s">
        <v>6077</v>
      </c>
      <c r="K2272" s="58">
        <v>16.989999999999998</v>
      </c>
      <c r="L2272" s="58">
        <v>0</v>
      </c>
      <c r="M2272" s="58">
        <v>0</v>
      </c>
      <c r="N2272" s="58">
        <v>1</v>
      </c>
      <c r="O2272" s="181">
        <f t="shared" si="16"/>
        <v>16.989999999999998</v>
      </c>
      <c r="P2272" s="247">
        <f t="shared" si="17"/>
        <v>16.989999999999998</v>
      </c>
    </row>
    <row r="2273" spans="1:16" ht="14.25">
      <c r="A2273" s="224">
        <v>2272</v>
      </c>
      <c r="B2273" s="58">
        <v>19972</v>
      </c>
      <c r="C2273" s="57" t="s">
        <v>3283</v>
      </c>
      <c r="D2273" s="57" t="s">
        <v>45</v>
      </c>
      <c r="E2273" s="57" t="s">
        <v>2860</v>
      </c>
      <c r="F2273" s="58" t="s">
        <v>6078</v>
      </c>
      <c r="G2273" s="57">
        <v>10</v>
      </c>
      <c r="H2273" s="57" t="s">
        <v>2557</v>
      </c>
      <c r="I2273" s="58">
        <v>88702</v>
      </c>
      <c r="J2273" s="234" t="s">
        <v>6079</v>
      </c>
      <c r="K2273" s="58">
        <v>30.3</v>
      </c>
      <c r="L2273" s="58">
        <v>0</v>
      </c>
      <c r="M2273" s="58">
        <v>0</v>
      </c>
      <c r="N2273" s="58">
        <v>1</v>
      </c>
      <c r="O2273" s="181">
        <f t="shared" si="16"/>
        <v>30.3</v>
      </c>
      <c r="P2273" s="247">
        <f t="shared" si="17"/>
        <v>30.3</v>
      </c>
    </row>
    <row r="2274" spans="1:16" ht="14.25">
      <c r="A2274" s="224">
        <v>2273</v>
      </c>
      <c r="B2274" s="58">
        <v>34574</v>
      </c>
      <c r="C2274" s="57" t="s">
        <v>6080</v>
      </c>
      <c r="D2274" s="57" t="s">
        <v>45</v>
      </c>
      <c r="E2274" s="57" t="s">
        <v>4772</v>
      </c>
      <c r="F2274" s="58" t="s">
        <v>6081</v>
      </c>
      <c r="G2274" s="57">
        <v>10</v>
      </c>
      <c r="H2274" s="57" t="s">
        <v>2557</v>
      </c>
      <c r="I2274" s="58">
        <v>88714</v>
      </c>
      <c r="J2274" s="234" t="s">
        <v>1805</v>
      </c>
      <c r="K2274" s="58">
        <v>6.49</v>
      </c>
      <c r="L2274" s="58">
        <v>0.19</v>
      </c>
      <c r="M2274" s="58">
        <v>0</v>
      </c>
      <c r="N2274" s="58">
        <v>1</v>
      </c>
      <c r="O2274" s="181">
        <f t="shared" si="16"/>
        <v>6.3</v>
      </c>
      <c r="P2274" s="247">
        <f t="shared" si="17"/>
        <v>6.3</v>
      </c>
    </row>
    <row r="2275" spans="1:16" ht="14.25">
      <c r="A2275" s="224">
        <v>2274</v>
      </c>
      <c r="B2275" s="58">
        <v>6794</v>
      </c>
      <c r="C2275" s="57" t="s">
        <v>2623</v>
      </c>
      <c r="D2275" s="57" t="s">
        <v>45</v>
      </c>
      <c r="E2275" s="57" t="s">
        <v>2874</v>
      </c>
      <c r="F2275" s="58" t="s">
        <v>6082</v>
      </c>
      <c r="G2275" s="57">
        <v>10</v>
      </c>
      <c r="H2275" s="57" t="s">
        <v>2557</v>
      </c>
      <c r="I2275" s="58">
        <v>88726</v>
      </c>
      <c r="J2275" s="234" t="s">
        <v>6083</v>
      </c>
      <c r="K2275" s="58">
        <v>24.57</v>
      </c>
      <c r="L2275" s="58">
        <v>0</v>
      </c>
      <c r="M2275" s="58">
        <v>0</v>
      </c>
      <c r="N2275" s="58">
        <v>1</v>
      </c>
      <c r="O2275" s="181">
        <f t="shared" si="16"/>
        <v>24.57</v>
      </c>
      <c r="P2275" s="247">
        <f t="shared" si="17"/>
        <v>24.57</v>
      </c>
    </row>
    <row r="2276" spans="1:16" ht="14.25">
      <c r="A2276" s="224">
        <v>2275</v>
      </c>
      <c r="B2276" s="58">
        <v>21915</v>
      </c>
      <c r="C2276" s="57" t="s">
        <v>3808</v>
      </c>
      <c r="D2276" s="57" t="s">
        <v>45</v>
      </c>
      <c r="E2276" s="57" t="s">
        <v>2874</v>
      </c>
      <c r="F2276" s="58" t="s">
        <v>6084</v>
      </c>
      <c r="G2276" s="57">
        <v>10</v>
      </c>
      <c r="H2276" s="57" t="s">
        <v>2557</v>
      </c>
      <c r="I2276" s="58">
        <v>87034</v>
      </c>
      <c r="J2276" s="234" t="s">
        <v>6085</v>
      </c>
      <c r="K2276" s="58">
        <v>283.08</v>
      </c>
      <c r="L2276" s="58">
        <v>0</v>
      </c>
      <c r="M2276" s="58">
        <v>0</v>
      </c>
      <c r="N2276" s="58">
        <v>1</v>
      </c>
      <c r="O2276" s="181">
        <f t="shared" si="16"/>
        <v>283.08</v>
      </c>
      <c r="P2276" s="247">
        <f t="shared" si="17"/>
        <v>283.08</v>
      </c>
    </row>
    <row r="2277" spans="1:16" ht="14.25">
      <c r="A2277" s="224">
        <v>2276</v>
      </c>
      <c r="B2277" s="58">
        <v>34576</v>
      </c>
      <c r="C2277" s="57" t="s">
        <v>6086</v>
      </c>
      <c r="D2277" s="57" t="s">
        <v>45</v>
      </c>
      <c r="E2277" s="57" t="s">
        <v>4772</v>
      </c>
      <c r="F2277" s="58" t="s">
        <v>6087</v>
      </c>
      <c r="G2277" s="57">
        <v>10</v>
      </c>
      <c r="H2277" s="57" t="s">
        <v>2557</v>
      </c>
      <c r="I2277" s="58">
        <v>88774</v>
      </c>
      <c r="J2277" s="234" t="s">
        <v>1832</v>
      </c>
      <c r="K2277" s="58">
        <v>3.99</v>
      </c>
      <c r="L2277" s="58">
        <v>0.12</v>
      </c>
      <c r="M2277" s="58">
        <v>0</v>
      </c>
      <c r="N2277" s="58">
        <v>1</v>
      </c>
      <c r="O2277" s="181">
        <f t="shared" si="16"/>
        <v>3.87</v>
      </c>
      <c r="P2277" s="247">
        <f t="shared" si="17"/>
        <v>3.87</v>
      </c>
    </row>
    <row r="2278" spans="1:16" ht="14.25">
      <c r="A2278" s="224">
        <v>2277</v>
      </c>
      <c r="B2278" s="58">
        <v>7677</v>
      </c>
      <c r="C2278" s="57" t="s">
        <v>2705</v>
      </c>
      <c r="D2278" s="57" t="s">
        <v>45</v>
      </c>
      <c r="E2278" s="57" t="s">
        <v>4772</v>
      </c>
      <c r="F2278" s="58" t="s">
        <v>6088</v>
      </c>
      <c r="G2278" s="57">
        <v>10</v>
      </c>
      <c r="H2278" s="57" t="s">
        <v>2557</v>
      </c>
      <c r="I2278" s="58">
        <v>88786</v>
      </c>
      <c r="J2278" s="234" t="s">
        <v>1829</v>
      </c>
      <c r="K2278" s="58">
        <v>4.49</v>
      </c>
      <c r="L2278" s="58">
        <v>0.13</v>
      </c>
      <c r="M2278" s="58">
        <v>0</v>
      </c>
      <c r="N2278" s="58">
        <v>1</v>
      </c>
      <c r="O2278" s="181">
        <f t="shared" si="16"/>
        <v>4.3600000000000003</v>
      </c>
      <c r="P2278" s="247">
        <f t="shared" si="17"/>
        <v>4.3600000000000003</v>
      </c>
    </row>
    <row r="2279" spans="1:16" ht="14.25">
      <c r="A2279" s="224">
        <v>2278</v>
      </c>
      <c r="B2279" s="58">
        <v>7677</v>
      </c>
      <c r="C2279" s="57" t="s">
        <v>2705</v>
      </c>
      <c r="D2279" s="57" t="s">
        <v>45</v>
      </c>
      <c r="E2279" s="57" t="s">
        <v>4772</v>
      </c>
      <c r="F2279" s="58" t="s">
        <v>6089</v>
      </c>
      <c r="G2279" s="57">
        <v>10</v>
      </c>
      <c r="H2279" s="57" t="s">
        <v>2557</v>
      </c>
      <c r="I2279" s="58">
        <v>88798</v>
      </c>
      <c r="J2279" s="234" t="s">
        <v>1826</v>
      </c>
      <c r="K2279" s="58">
        <v>2.4900000000000002</v>
      </c>
      <c r="L2279" s="58">
        <v>0.08</v>
      </c>
      <c r="M2279" s="58">
        <v>0</v>
      </c>
      <c r="N2279" s="58">
        <v>1</v>
      </c>
      <c r="O2279" s="181">
        <f t="shared" si="16"/>
        <v>2.41</v>
      </c>
      <c r="P2279" s="247">
        <f t="shared" si="17"/>
        <v>2.41</v>
      </c>
    </row>
    <row r="2280" spans="1:16" ht="14.25">
      <c r="A2280" s="224">
        <v>2279</v>
      </c>
      <c r="B2280" s="58">
        <v>7677</v>
      </c>
      <c r="C2280" s="57" t="s">
        <v>2705</v>
      </c>
      <c r="D2280" s="57" t="s">
        <v>45</v>
      </c>
      <c r="E2280" s="57" t="s">
        <v>4772</v>
      </c>
      <c r="F2280" s="58" t="s">
        <v>6090</v>
      </c>
      <c r="G2280" s="57">
        <v>10</v>
      </c>
      <c r="H2280" s="57" t="s">
        <v>2557</v>
      </c>
      <c r="I2280" s="58">
        <v>88810</v>
      </c>
      <c r="J2280" s="234" t="s">
        <v>1823</v>
      </c>
      <c r="K2280" s="58">
        <v>2.4900000000000002</v>
      </c>
      <c r="L2280" s="58">
        <v>0.08</v>
      </c>
      <c r="M2280" s="58">
        <v>0</v>
      </c>
      <c r="N2280" s="58">
        <v>1</v>
      </c>
      <c r="O2280" s="181">
        <f t="shared" si="16"/>
        <v>2.41</v>
      </c>
      <c r="P2280" s="247">
        <f t="shared" si="17"/>
        <v>2.41</v>
      </c>
    </row>
    <row r="2281" spans="1:16" ht="14.25">
      <c r="A2281" s="224">
        <v>2280</v>
      </c>
      <c r="B2281" s="58">
        <v>34576</v>
      </c>
      <c r="C2281" s="57" t="s">
        <v>6086</v>
      </c>
      <c r="D2281" s="57" t="s">
        <v>45</v>
      </c>
      <c r="E2281" s="57" t="s">
        <v>2874</v>
      </c>
      <c r="F2281" s="58" t="s">
        <v>6091</v>
      </c>
      <c r="G2281" s="57">
        <v>10</v>
      </c>
      <c r="H2281" s="57" t="s">
        <v>2557</v>
      </c>
      <c r="I2281" s="58">
        <v>88822</v>
      </c>
      <c r="J2281" s="234" t="s">
        <v>6092</v>
      </c>
      <c r="K2281" s="58">
        <v>20.69</v>
      </c>
      <c r="L2281" s="58">
        <v>0</v>
      </c>
      <c r="M2281" s="58">
        <v>0</v>
      </c>
      <c r="N2281" s="58">
        <v>1</v>
      </c>
      <c r="O2281" s="181">
        <f t="shared" si="16"/>
        <v>20.69</v>
      </c>
      <c r="P2281" s="247">
        <f t="shared" si="17"/>
        <v>20.69</v>
      </c>
    </row>
    <row r="2282" spans="1:16" ht="14.25">
      <c r="A2282" s="224">
        <v>2281</v>
      </c>
      <c r="B2282" s="58">
        <v>27880</v>
      </c>
      <c r="C2282" s="57" t="s">
        <v>4998</v>
      </c>
      <c r="D2282" s="57" t="s">
        <v>45</v>
      </c>
      <c r="E2282" s="57" t="s">
        <v>4772</v>
      </c>
      <c r="F2282" s="58" t="s">
        <v>6093</v>
      </c>
      <c r="G2282" s="57">
        <v>10</v>
      </c>
      <c r="H2282" s="57" t="s">
        <v>2557</v>
      </c>
      <c r="I2282" s="58">
        <v>88846</v>
      </c>
      <c r="J2282" s="234" t="s">
        <v>1820</v>
      </c>
      <c r="K2282" s="58">
        <v>19.98</v>
      </c>
      <c r="L2282" s="58">
        <v>0.57999999999999996</v>
      </c>
      <c r="M2282" s="58">
        <v>0</v>
      </c>
      <c r="N2282" s="58">
        <v>1</v>
      </c>
      <c r="O2282" s="181">
        <f t="shared" si="16"/>
        <v>19.400000000000002</v>
      </c>
      <c r="P2282" s="247">
        <f t="shared" si="17"/>
        <v>19.400000000000002</v>
      </c>
    </row>
    <row r="2283" spans="1:16" ht="14.25">
      <c r="A2283" s="224">
        <v>2282</v>
      </c>
      <c r="B2283" s="58">
        <v>30374</v>
      </c>
      <c r="C2283" s="57" t="s">
        <v>5794</v>
      </c>
      <c r="D2283" s="57" t="s">
        <v>2582</v>
      </c>
      <c r="E2283" s="57" t="s">
        <v>4772</v>
      </c>
      <c r="F2283" s="58" t="s">
        <v>6094</v>
      </c>
      <c r="G2283" s="57">
        <v>10</v>
      </c>
      <c r="H2283" s="57" t="s">
        <v>2557</v>
      </c>
      <c r="I2283" s="58">
        <v>87130</v>
      </c>
      <c r="J2283" s="234" t="s">
        <v>1841</v>
      </c>
      <c r="K2283" s="58">
        <v>21.24</v>
      </c>
      <c r="L2283" s="58">
        <v>0.09</v>
      </c>
      <c r="M2283" s="58">
        <v>0</v>
      </c>
      <c r="N2283" s="58">
        <v>7.1223400000000003</v>
      </c>
      <c r="O2283" s="181">
        <f t="shared" si="16"/>
        <v>21.15</v>
      </c>
      <c r="P2283" s="247">
        <f t="shared" si="17"/>
        <v>2.969529677044342</v>
      </c>
    </row>
    <row r="2284" spans="1:16" ht="14.25">
      <c r="A2284" s="224">
        <v>2283</v>
      </c>
      <c r="B2284" s="58">
        <v>24787</v>
      </c>
      <c r="C2284" s="57" t="s">
        <v>4298</v>
      </c>
      <c r="D2284" s="57" t="s">
        <v>45</v>
      </c>
      <c r="E2284" s="57" t="s">
        <v>2860</v>
      </c>
      <c r="F2284" s="58" t="s">
        <v>6095</v>
      </c>
      <c r="G2284" s="57">
        <v>10</v>
      </c>
      <c r="H2284" s="57" t="s">
        <v>2557</v>
      </c>
      <c r="I2284" s="58">
        <v>88378</v>
      </c>
      <c r="J2284" s="234" t="s">
        <v>6096</v>
      </c>
      <c r="K2284" s="58">
        <v>19.989999999999998</v>
      </c>
      <c r="L2284" s="58">
        <v>0</v>
      </c>
      <c r="M2284" s="58">
        <v>0</v>
      </c>
      <c r="N2284" s="58">
        <v>1</v>
      </c>
      <c r="O2284" s="181">
        <f t="shared" si="16"/>
        <v>19.989999999999998</v>
      </c>
      <c r="P2284" s="247">
        <f t="shared" si="17"/>
        <v>19.989999999999998</v>
      </c>
    </row>
    <row r="2285" spans="1:16" ht="14.25">
      <c r="A2285" s="224">
        <v>2284</v>
      </c>
      <c r="B2285" s="58">
        <v>34588</v>
      </c>
      <c r="C2285" s="57" t="s">
        <v>6097</v>
      </c>
      <c r="D2285" s="57" t="s">
        <v>2582</v>
      </c>
      <c r="E2285" s="57" t="s">
        <v>4772</v>
      </c>
      <c r="F2285" s="58" t="s">
        <v>6098</v>
      </c>
      <c r="G2285" s="57">
        <v>10</v>
      </c>
      <c r="H2285" s="57" t="s">
        <v>2557</v>
      </c>
      <c r="I2285" s="58">
        <v>89038</v>
      </c>
      <c r="J2285" s="234" t="s">
        <v>1838</v>
      </c>
      <c r="K2285" s="58">
        <v>21.3</v>
      </c>
      <c r="L2285" s="58">
        <v>0.09</v>
      </c>
      <c r="M2285" s="58">
        <v>0</v>
      </c>
      <c r="N2285" s="58">
        <v>7.1223400000000003</v>
      </c>
      <c r="O2285" s="181">
        <f t="shared" si="16"/>
        <v>21.21</v>
      </c>
      <c r="P2285" s="247">
        <f t="shared" si="17"/>
        <v>2.9779538747097161</v>
      </c>
    </row>
    <row r="2286" spans="1:16" ht="14.25">
      <c r="A2286" s="224">
        <v>2285</v>
      </c>
      <c r="B2286" s="58">
        <v>121</v>
      </c>
      <c r="C2286" s="57" t="s">
        <v>2890</v>
      </c>
      <c r="D2286" s="57" t="s">
        <v>45</v>
      </c>
      <c r="E2286" s="57" t="s">
        <v>4772</v>
      </c>
      <c r="F2286" s="58" t="s">
        <v>6099</v>
      </c>
      <c r="G2286" s="57">
        <v>10</v>
      </c>
      <c r="H2286" s="57" t="s">
        <v>2557</v>
      </c>
      <c r="I2286" s="58">
        <v>89050</v>
      </c>
      <c r="J2286" s="234" t="s">
        <v>1835</v>
      </c>
      <c r="K2286" s="58">
        <v>1.98</v>
      </c>
      <c r="L2286" s="58">
        <v>0.06</v>
      </c>
      <c r="M2286" s="58">
        <v>0</v>
      </c>
      <c r="N2286" s="58">
        <v>1</v>
      </c>
      <c r="O2286" s="181">
        <f t="shared" si="16"/>
        <v>1.92</v>
      </c>
      <c r="P2286" s="247">
        <f t="shared" si="17"/>
        <v>1.92</v>
      </c>
    </row>
    <row r="2287" spans="1:16" ht="14.25">
      <c r="A2287" s="224">
        <v>2286</v>
      </c>
      <c r="B2287" s="58">
        <v>18477</v>
      </c>
      <c r="C2287" s="57" t="s">
        <v>2966</v>
      </c>
      <c r="D2287" s="57" t="s">
        <v>45</v>
      </c>
      <c r="E2287" s="57" t="s">
        <v>2874</v>
      </c>
      <c r="F2287" s="58" t="s">
        <v>6100</v>
      </c>
      <c r="G2287" s="57">
        <v>10</v>
      </c>
      <c r="H2287" s="57" t="s">
        <v>2557</v>
      </c>
      <c r="I2287" s="58">
        <v>87046</v>
      </c>
      <c r="J2287" s="234"/>
      <c r="K2287" s="58">
        <v>110</v>
      </c>
      <c r="L2287" s="58">
        <v>0</v>
      </c>
      <c r="M2287" s="58">
        <v>0</v>
      </c>
      <c r="N2287" s="58">
        <v>1</v>
      </c>
      <c r="O2287" s="181">
        <f t="shared" si="16"/>
        <v>110</v>
      </c>
      <c r="P2287" s="247">
        <f t="shared" si="17"/>
        <v>110</v>
      </c>
    </row>
    <row r="2288" spans="1:16" ht="14.25">
      <c r="A2288" s="224">
        <v>2287</v>
      </c>
      <c r="B2288" s="58">
        <v>6794</v>
      </c>
      <c r="C2288" s="57" t="s">
        <v>2623</v>
      </c>
      <c r="D2288" s="57" t="s">
        <v>45</v>
      </c>
      <c r="E2288" s="57" t="s">
        <v>2874</v>
      </c>
      <c r="F2288" s="58" t="s">
        <v>6101</v>
      </c>
      <c r="G2288" s="57">
        <v>10</v>
      </c>
      <c r="H2288" s="57" t="s">
        <v>2557</v>
      </c>
      <c r="I2288" s="58">
        <v>89062</v>
      </c>
      <c r="J2288" s="234" t="s">
        <v>6102</v>
      </c>
      <c r="K2288" s="58">
        <v>589.26</v>
      </c>
      <c r="L2288" s="58">
        <v>0</v>
      </c>
      <c r="M2288" s="58">
        <v>0</v>
      </c>
      <c r="N2288" s="58">
        <v>1</v>
      </c>
      <c r="O2288" s="181">
        <f t="shared" si="16"/>
        <v>589.26</v>
      </c>
      <c r="P2288" s="247">
        <f t="shared" si="17"/>
        <v>589.26</v>
      </c>
    </row>
    <row r="2289" spans="1:16" ht="14.25">
      <c r="A2289" s="224">
        <v>2288</v>
      </c>
      <c r="B2289" s="58">
        <v>26470</v>
      </c>
      <c r="C2289" s="57" t="s">
        <v>4808</v>
      </c>
      <c r="D2289" s="57" t="s">
        <v>45</v>
      </c>
      <c r="E2289" s="57" t="s">
        <v>2860</v>
      </c>
      <c r="F2289" s="58" t="s">
        <v>6103</v>
      </c>
      <c r="G2289" s="57">
        <v>10</v>
      </c>
      <c r="H2289" s="57" t="s">
        <v>2557</v>
      </c>
      <c r="I2289" s="58">
        <v>87250</v>
      </c>
      <c r="J2289" s="234" t="s">
        <v>6104</v>
      </c>
      <c r="K2289" s="58">
        <v>29.99</v>
      </c>
      <c r="L2289" s="58">
        <v>0</v>
      </c>
      <c r="M2289" s="58">
        <v>0</v>
      </c>
      <c r="N2289" s="58">
        <v>1</v>
      </c>
      <c r="O2289" s="181">
        <f t="shared" si="16"/>
        <v>29.99</v>
      </c>
      <c r="P2289" s="247">
        <f t="shared" si="17"/>
        <v>29.99</v>
      </c>
    </row>
    <row r="2290" spans="1:16" ht="14.25">
      <c r="A2290" s="224">
        <v>2289</v>
      </c>
      <c r="B2290" s="58">
        <v>26470</v>
      </c>
      <c r="C2290" s="57" t="s">
        <v>4808</v>
      </c>
      <c r="D2290" s="57" t="s">
        <v>45</v>
      </c>
      <c r="E2290" s="57" t="s">
        <v>2860</v>
      </c>
      <c r="F2290" s="58" t="s">
        <v>6105</v>
      </c>
      <c r="G2290" s="57">
        <v>10</v>
      </c>
      <c r="H2290" s="57" t="s">
        <v>2557</v>
      </c>
      <c r="I2290" s="58">
        <v>88834</v>
      </c>
      <c r="J2290" s="234" t="s">
        <v>6106</v>
      </c>
      <c r="K2290" s="58">
        <v>42</v>
      </c>
      <c r="L2290" s="58">
        <v>0</v>
      </c>
      <c r="M2290" s="58">
        <v>0</v>
      </c>
      <c r="N2290" s="58">
        <v>1</v>
      </c>
      <c r="O2290" s="181">
        <f t="shared" si="16"/>
        <v>42</v>
      </c>
      <c r="P2290" s="247">
        <f t="shared" si="17"/>
        <v>42</v>
      </c>
    </row>
    <row r="2291" spans="1:16" ht="14.25">
      <c r="A2291" s="224">
        <v>2290</v>
      </c>
      <c r="B2291" s="58">
        <v>6145</v>
      </c>
      <c r="C2291" s="57" t="s">
        <v>2805</v>
      </c>
      <c r="D2291" s="57" t="s">
        <v>45</v>
      </c>
      <c r="E2291" s="57" t="s">
        <v>2860</v>
      </c>
      <c r="F2291" s="58" t="s">
        <v>6107</v>
      </c>
      <c r="G2291" s="57">
        <v>10</v>
      </c>
      <c r="H2291" s="57" t="s">
        <v>2557</v>
      </c>
      <c r="I2291" s="58">
        <v>88018</v>
      </c>
      <c r="J2291" s="234" t="s">
        <v>6108</v>
      </c>
      <c r="K2291" s="58">
        <v>3.99</v>
      </c>
      <c r="L2291" s="58">
        <v>0</v>
      </c>
      <c r="M2291" s="58">
        <v>0</v>
      </c>
      <c r="N2291" s="58">
        <v>1</v>
      </c>
      <c r="O2291" s="181">
        <f t="shared" si="16"/>
        <v>3.99</v>
      </c>
      <c r="P2291" s="247">
        <f t="shared" si="17"/>
        <v>3.99</v>
      </c>
    </row>
    <row r="2292" spans="1:16" ht="14.25">
      <c r="A2292" s="224">
        <v>2291</v>
      </c>
      <c r="B2292" s="58">
        <v>6794</v>
      </c>
      <c r="C2292" s="57" t="s">
        <v>2623</v>
      </c>
      <c r="D2292" s="57" t="s">
        <v>45</v>
      </c>
      <c r="E2292" s="57" t="s">
        <v>2874</v>
      </c>
      <c r="F2292" s="58" t="s">
        <v>6109</v>
      </c>
      <c r="G2292" s="57">
        <v>10</v>
      </c>
      <c r="H2292" s="57" t="s">
        <v>2557</v>
      </c>
      <c r="I2292" s="58">
        <v>89207</v>
      </c>
      <c r="J2292" s="234" t="s">
        <v>6110</v>
      </c>
      <c r="K2292" s="58">
        <v>24.55</v>
      </c>
      <c r="L2292" s="58">
        <v>0</v>
      </c>
      <c r="M2292" s="58">
        <v>0</v>
      </c>
      <c r="N2292" s="58">
        <v>1</v>
      </c>
      <c r="O2292" s="181">
        <f t="shared" si="16"/>
        <v>24.55</v>
      </c>
      <c r="P2292" s="247">
        <f t="shared" si="17"/>
        <v>24.55</v>
      </c>
    </row>
    <row r="2293" spans="1:16" ht="14.25">
      <c r="A2293" s="224">
        <v>2292</v>
      </c>
      <c r="B2293" s="58">
        <v>392</v>
      </c>
      <c r="C2293" s="57" t="s">
        <v>2876</v>
      </c>
      <c r="D2293" s="57" t="s">
        <v>2582</v>
      </c>
      <c r="E2293" s="57" t="s">
        <v>4772</v>
      </c>
      <c r="F2293" s="58" t="s">
        <v>6111</v>
      </c>
      <c r="G2293" s="57">
        <v>10</v>
      </c>
      <c r="H2293" s="57" t="s">
        <v>2557</v>
      </c>
      <c r="I2293" s="58">
        <v>87370</v>
      </c>
      <c r="J2293" s="234" t="s">
        <v>1844</v>
      </c>
      <c r="K2293" s="58">
        <v>29.07</v>
      </c>
      <c r="L2293" s="58">
        <v>0.12</v>
      </c>
      <c r="M2293" s="58">
        <v>0</v>
      </c>
      <c r="N2293" s="58">
        <v>7.1223400000000003</v>
      </c>
      <c r="O2293" s="181">
        <f t="shared" si="16"/>
        <v>28.95</v>
      </c>
      <c r="P2293" s="247">
        <f t="shared" si="17"/>
        <v>4.0646753735429648</v>
      </c>
    </row>
    <row r="2294" spans="1:16" ht="14.25">
      <c r="A2294" s="224">
        <v>2293</v>
      </c>
      <c r="B2294" s="58">
        <v>26470</v>
      </c>
      <c r="C2294" s="57" t="s">
        <v>4808</v>
      </c>
      <c r="D2294" s="57" t="s">
        <v>45</v>
      </c>
      <c r="E2294" s="57" t="s">
        <v>2860</v>
      </c>
      <c r="F2294" s="58" t="s">
        <v>6112</v>
      </c>
      <c r="G2294" s="57">
        <v>10</v>
      </c>
      <c r="H2294" s="57" t="s">
        <v>2557</v>
      </c>
      <c r="I2294" s="58">
        <v>89339</v>
      </c>
      <c r="J2294" s="234" t="s">
        <v>6113</v>
      </c>
      <c r="K2294" s="58">
        <v>59.49</v>
      </c>
      <c r="L2294" s="58">
        <v>0</v>
      </c>
      <c r="M2294" s="58">
        <v>0</v>
      </c>
      <c r="N2294" s="58">
        <v>1</v>
      </c>
      <c r="O2294" s="181">
        <f t="shared" si="16"/>
        <v>59.49</v>
      </c>
      <c r="P2294" s="247">
        <f t="shared" si="17"/>
        <v>59.49</v>
      </c>
    </row>
    <row r="2295" spans="1:16" ht="14.25">
      <c r="A2295" s="224">
        <v>2294</v>
      </c>
      <c r="B2295" s="58">
        <v>27052</v>
      </c>
      <c r="C2295" s="57" t="s">
        <v>4895</v>
      </c>
      <c r="D2295" s="57" t="s">
        <v>2582</v>
      </c>
      <c r="E2295" s="57" t="s">
        <v>4772</v>
      </c>
      <c r="F2295" s="58" t="s">
        <v>6114</v>
      </c>
      <c r="G2295" s="57">
        <v>10</v>
      </c>
      <c r="H2295" s="57" t="s">
        <v>2557</v>
      </c>
      <c r="I2295" s="58">
        <v>89363</v>
      </c>
      <c r="J2295" s="234" t="s">
        <v>1859</v>
      </c>
      <c r="K2295" s="58">
        <v>147.37</v>
      </c>
      <c r="L2295" s="58">
        <v>0.6</v>
      </c>
      <c r="M2295" s="58">
        <v>0</v>
      </c>
      <c r="N2295" s="58">
        <v>7.1223400000000003</v>
      </c>
      <c r="O2295" s="181">
        <f t="shared" si="16"/>
        <v>146.77000000000001</v>
      </c>
      <c r="P2295" s="247">
        <f t="shared" si="17"/>
        <v>20.606991522449082</v>
      </c>
    </row>
    <row r="2296" spans="1:16" ht="14.25">
      <c r="A2296" s="224">
        <v>2295</v>
      </c>
      <c r="B2296" s="58">
        <v>34669</v>
      </c>
      <c r="C2296" s="57" t="s">
        <v>6115</v>
      </c>
      <c r="D2296" s="57" t="s">
        <v>45</v>
      </c>
      <c r="E2296" s="57" t="s">
        <v>4772</v>
      </c>
      <c r="F2296" s="58" t="s">
        <v>6116</v>
      </c>
      <c r="G2296" s="57">
        <v>10</v>
      </c>
      <c r="H2296" s="57" t="s">
        <v>2557</v>
      </c>
      <c r="I2296" s="58">
        <v>89387</v>
      </c>
      <c r="J2296" s="234" t="s">
        <v>1856</v>
      </c>
      <c r="K2296" s="58">
        <v>4.99</v>
      </c>
      <c r="L2296" s="58">
        <v>0.15</v>
      </c>
      <c r="M2296" s="58">
        <v>0</v>
      </c>
      <c r="N2296" s="58">
        <v>1</v>
      </c>
      <c r="O2296" s="181">
        <f t="shared" si="16"/>
        <v>4.84</v>
      </c>
      <c r="P2296" s="247">
        <f t="shared" si="17"/>
        <v>4.84</v>
      </c>
    </row>
    <row r="2297" spans="1:16" ht="14.25">
      <c r="A2297" s="224">
        <v>2296</v>
      </c>
      <c r="B2297" s="58">
        <v>417</v>
      </c>
      <c r="C2297" s="57" t="s">
        <v>2682</v>
      </c>
      <c r="D2297" s="57" t="s">
        <v>2582</v>
      </c>
      <c r="E2297" s="57" t="s">
        <v>2860</v>
      </c>
      <c r="F2297" s="58" t="s">
        <v>6117</v>
      </c>
      <c r="G2297" s="57">
        <v>10</v>
      </c>
      <c r="H2297" s="57" t="s">
        <v>2557</v>
      </c>
      <c r="I2297" s="58">
        <v>87694</v>
      </c>
      <c r="J2297" s="234" t="s">
        <v>6118</v>
      </c>
      <c r="K2297" s="58">
        <v>7.76</v>
      </c>
      <c r="L2297" s="58">
        <v>0</v>
      </c>
      <c r="M2297" s="58">
        <v>0</v>
      </c>
      <c r="N2297" s="58">
        <v>7.1223400000000003</v>
      </c>
      <c r="O2297" s="181">
        <f t="shared" ref="O2297:O2551" si="18">K2297-L2297-M2297</f>
        <v>7.76</v>
      </c>
      <c r="P2297" s="247">
        <f t="shared" ref="P2297:P2551" si="19">IF(D2297="USD",O2297,O2297/N2297)</f>
        <v>1.0895295647217065</v>
      </c>
    </row>
    <row r="2298" spans="1:16" ht="14.25">
      <c r="A2298" s="224">
        <v>2297</v>
      </c>
      <c r="B2298" s="58">
        <v>3309</v>
      </c>
      <c r="C2298" s="57" t="s">
        <v>2722</v>
      </c>
      <c r="D2298" s="57" t="s">
        <v>45</v>
      </c>
      <c r="E2298" s="57" t="s">
        <v>4772</v>
      </c>
      <c r="F2298" s="58" t="s">
        <v>6119</v>
      </c>
      <c r="G2298" s="57">
        <v>10</v>
      </c>
      <c r="H2298" s="57" t="s">
        <v>2557</v>
      </c>
      <c r="I2298" s="58">
        <v>88210</v>
      </c>
      <c r="J2298" s="234" t="s">
        <v>1850</v>
      </c>
      <c r="K2298" s="58">
        <v>16.989999999999998</v>
      </c>
      <c r="L2298" s="58">
        <v>0.5</v>
      </c>
      <c r="M2298" s="58">
        <v>0</v>
      </c>
      <c r="N2298" s="58">
        <v>1</v>
      </c>
      <c r="O2298" s="181">
        <f t="shared" si="18"/>
        <v>16.489999999999998</v>
      </c>
      <c r="P2298" s="247">
        <f t="shared" si="19"/>
        <v>16.489999999999998</v>
      </c>
    </row>
    <row r="2299" spans="1:16" ht="14.25">
      <c r="A2299" s="224">
        <v>2298</v>
      </c>
      <c r="B2299" s="58">
        <v>3309</v>
      </c>
      <c r="C2299" s="57" t="s">
        <v>2722</v>
      </c>
      <c r="D2299" s="57" t="s">
        <v>45</v>
      </c>
      <c r="E2299" s="57" t="s">
        <v>4772</v>
      </c>
      <c r="F2299" s="58" t="s">
        <v>6120</v>
      </c>
      <c r="G2299" s="57">
        <v>10</v>
      </c>
      <c r="H2299" s="57" t="s">
        <v>2557</v>
      </c>
      <c r="I2299" s="58">
        <v>89447</v>
      </c>
      <c r="J2299" s="234" t="s">
        <v>1847</v>
      </c>
      <c r="K2299" s="58">
        <v>59.99</v>
      </c>
      <c r="L2299" s="58">
        <v>1.74</v>
      </c>
      <c r="M2299" s="58">
        <v>0</v>
      </c>
      <c r="N2299" s="58">
        <v>1</v>
      </c>
      <c r="O2299" s="181">
        <f t="shared" si="18"/>
        <v>58.25</v>
      </c>
      <c r="P2299" s="247">
        <f t="shared" si="19"/>
        <v>58.25</v>
      </c>
    </row>
    <row r="2300" spans="1:16" ht="14.25">
      <c r="A2300" s="224">
        <v>2299</v>
      </c>
      <c r="B2300" s="58">
        <v>3974</v>
      </c>
      <c r="C2300" s="57" t="s">
        <v>2844</v>
      </c>
      <c r="D2300" s="57" t="s">
        <v>45</v>
      </c>
      <c r="E2300" s="57" t="s">
        <v>2860</v>
      </c>
      <c r="F2300" s="58" t="s">
        <v>6121</v>
      </c>
      <c r="G2300" s="57">
        <v>10</v>
      </c>
      <c r="H2300" s="57" t="s">
        <v>2557</v>
      </c>
      <c r="I2300" s="58">
        <v>89483</v>
      </c>
      <c r="J2300" s="234" t="s">
        <v>6122</v>
      </c>
      <c r="K2300" s="58">
        <v>1.99</v>
      </c>
      <c r="L2300" s="58">
        <v>0</v>
      </c>
      <c r="M2300" s="58">
        <v>0</v>
      </c>
      <c r="N2300" s="58">
        <v>1</v>
      </c>
      <c r="O2300" s="181">
        <f t="shared" si="18"/>
        <v>1.99</v>
      </c>
      <c r="P2300" s="247">
        <f t="shared" si="19"/>
        <v>1.99</v>
      </c>
    </row>
    <row r="2301" spans="1:16" ht="14.25">
      <c r="A2301" s="224">
        <v>2300</v>
      </c>
      <c r="B2301" s="58">
        <v>23955</v>
      </c>
      <c r="C2301" s="57" t="s">
        <v>5922</v>
      </c>
      <c r="D2301" s="57" t="s">
        <v>2582</v>
      </c>
      <c r="E2301" s="57" t="s">
        <v>4772</v>
      </c>
      <c r="F2301" s="58" t="s">
        <v>6123</v>
      </c>
      <c r="G2301" s="57">
        <v>10</v>
      </c>
      <c r="H2301" s="57" t="s">
        <v>2557</v>
      </c>
      <c r="I2301" s="58">
        <v>89543</v>
      </c>
      <c r="J2301" s="234" t="s">
        <v>1865</v>
      </c>
      <c r="K2301" s="58">
        <v>168.8</v>
      </c>
      <c r="L2301" s="58">
        <v>0.69</v>
      </c>
      <c r="M2301" s="58">
        <v>0</v>
      </c>
      <c r="N2301" s="58">
        <v>7.1234700000000002</v>
      </c>
      <c r="O2301" s="181">
        <f t="shared" si="18"/>
        <v>168.11</v>
      </c>
      <c r="P2301" s="247">
        <f t="shared" si="19"/>
        <v>23.599453637061714</v>
      </c>
    </row>
    <row r="2302" spans="1:16" ht="14.25">
      <c r="A2302" s="224">
        <v>2301</v>
      </c>
      <c r="B2302" s="58">
        <v>1865</v>
      </c>
      <c r="C2302" s="57" t="s">
        <v>6124</v>
      </c>
      <c r="D2302" s="57" t="s">
        <v>45</v>
      </c>
      <c r="E2302" s="57" t="s">
        <v>2860</v>
      </c>
      <c r="F2302" s="58" t="s">
        <v>6125</v>
      </c>
      <c r="G2302" s="57">
        <v>10</v>
      </c>
      <c r="H2302" s="57" t="s">
        <v>2557</v>
      </c>
      <c r="I2302" s="58">
        <v>89459</v>
      </c>
      <c r="J2302" s="234" t="s">
        <v>6126</v>
      </c>
      <c r="K2302" s="58">
        <v>12.04</v>
      </c>
      <c r="L2302" s="58">
        <v>0</v>
      </c>
      <c r="M2302" s="58">
        <v>0</v>
      </c>
      <c r="N2302" s="58">
        <v>1</v>
      </c>
      <c r="O2302" s="181">
        <f t="shared" si="18"/>
        <v>12.04</v>
      </c>
      <c r="P2302" s="247">
        <f t="shared" si="19"/>
        <v>12.04</v>
      </c>
    </row>
    <row r="2303" spans="1:16" ht="14.25">
      <c r="A2303" s="224">
        <v>2302</v>
      </c>
      <c r="B2303" s="58">
        <v>5906</v>
      </c>
      <c r="C2303" s="57" t="s">
        <v>2768</v>
      </c>
      <c r="D2303" s="57" t="s">
        <v>45</v>
      </c>
      <c r="E2303" s="57" t="s">
        <v>9</v>
      </c>
      <c r="F2303" s="58" t="s">
        <v>6127</v>
      </c>
      <c r="G2303" s="57">
        <v>10</v>
      </c>
      <c r="H2303" s="57" t="s">
        <v>2557</v>
      </c>
      <c r="I2303" s="58">
        <v>84094</v>
      </c>
      <c r="J2303" s="234" t="s">
        <v>686</v>
      </c>
      <c r="K2303" s="58">
        <v>4.99</v>
      </c>
      <c r="L2303" s="58">
        <v>0.74</v>
      </c>
      <c r="M2303" s="58">
        <v>0</v>
      </c>
      <c r="N2303" s="58">
        <v>1</v>
      </c>
      <c r="O2303" s="181">
        <f t="shared" si="18"/>
        <v>4.25</v>
      </c>
      <c r="P2303" s="247">
        <f t="shared" si="19"/>
        <v>4.25</v>
      </c>
    </row>
    <row r="2304" spans="1:16" ht="14.25">
      <c r="A2304" s="224">
        <v>2303</v>
      </c>
      <c r="B2304" s="58">
        <v>3826</v>
      </c>
      <c r="C2304" s="57" t="s">
        <v>423</v>
      </c>
      <c r="D2304" s="57" t="s">
        <v>45</v>
      </c>
      <c r="E2304" s="57" t="s">
        <v>9</v>
      </c>
      <c r="F2304" s="58" t="s">
        <v>6128</v>
      </c>
      <c r="G2304" s="57">
        <v>10</v>
      </c>
      <c r="H2304" s="57" t="s">
        <v>2557</v>
      </c>
      <c r="I2304" s="58">
        <v>89110</v>
      </c>
      <c r="J2304" s="234" t="s">
        <v>687</v>
      </c>
      <c r="K2304" s="58">
        <v>1.0900000000000001</v>
      </c>
      <c r="L2304" s="58">
        <v>0.54</v>
      </c>
      <c r="M2304" s="58">
        <v>0</v>
      </c>
      <c r="N2304" s="58">
        <v>1</v>
      </c>
      <c r="O2304" s="181">
        <f t="shared" si="18"/>
        <v>0.55000000000000004</v>
      </c>
      <c r="P2304" s="247">
        <f t="shared" si="19"/>
        <v>0.55000000000000004</v>
      </c>
    </row>
    <row r="2305" spans="1:16" ht="14.25">
      <c r="A2305" s="224">
        <v>2304</v>
      </c>
      <c r="B2305" s="58">
        <v>34067</v>
      </c>
      <c r="C2305" s="57" t="s">
        <v>5920</v>
      </c>
      <c r="D2305" s="57" t="s">
        <v>2582</v>
      </c>
      <c r="E2305" s="57" t="s">
        <v>4772</v>
      </c>
      <c r="F2305" s="58" t="s">
        <v>6129</v>
      </c>
      <c r="G2305" s="57">
        <v>10</v>
      </c>
      <c r="H2305" s="57" t="s">
        <v>2557</v>
      </c>
      <c r="I2305" s="58">
        <v>87622</v>
      </c>
      <c r="J2305" s="234" t="s">
        <v>1862</v>
      </c>
      <c r="K2305" s="58">
        <v>147.22999999999999</v>
      </c>
      <c r="L2305" s="58">
        <v>0.6</v>
      </c>
      <c r="M2305" s="58">
        <v>0</v>
      </c>
      <c r="N2305" s="58">
        <v>7.1234700000000002</v>
      </c>
      <c r="O2305" s="181">
        <f t="shared" si="18"/>
        <v>146.63</v>
      </c>
      <c r="P2305" s="247">
        <f t="shared" si="19"/>
        <v>20.584069280842062</v>
      </c>
    </row>
    <row r="2306" spans="1:16" ht="14.25">
      <c r="A2306" s="224">
        <v>2305</v>
      </c>
      <c r="B2306" s="58">
        <v>19314</v>
      </c>
      <c r="C2306" s="57" t="s">
        <v>3119</v>
      </c>
      <c r="D2306" s="57" t="s">
        <v>45</v>
      </c>
      <c r="E2306" s="57" t="s">
        <v>2874</v>
      </c>
      <c r="F2306" s="58" t="s">
        <v>6130</v>
      </c>
      <c r="G2306" s="57">
        <v>10</v>
      </c>
      <c r="H2306" s="57" t="s">
        <v>2557</v>
      </c>
      <c r="I2306" s="58">
        <v>89555</v>
      </c>
      <c r="J2306" s="234"/>
      <c r="K2306" s="58">
        <v>337.27</v>
      </c>
      <c r="L2306" s="58">
        <v>0</v>
      </c>
      <c r="M2306" s="58">
        <v>0</v>
      </c>
      <c r="N2306" s="58">
        <v>1</v>
      </c>
      <c r="O2306" s="181">
        <f t="shared" si="18"/>
        <v>337.27</v>
      </c>
      <c r="P2306" s="247">
        <f t="shared" si="19"/>
        <v>337.27</v>
      </c>
    </row>
    <row r="2307" spans="1:16" ht="14.25">
      <c r="A2307" s="224">
        <v>2306</v>
      </c>
      <c r="B2307" s="58">
        <v>34732</v>
      </c>
      <c r="C2307" s="57" t="s">
        <v>6131</v>
      </c>
      <c r="D2307" s="57" t="s">
        <v>2582</v>
      </c>
      <c r="E2307" s="57" t="s">
        <v>4772</v>
      </c>
      <c r="F2307" s="58" t="s">
        <v>6132</v>
      </c>
      <c r="G2307" s="57">
        <v>10</v>
      </c>
      <c r="H2307" s="57" t="s">
        <v>2557</v>
      </c>
      <c r="I2307" s="58">
        <v>89687</v>
      </c>
      <c r="J2307" s="234" t="s">
        <v>1874</v>
      </c>
      <c r="K2307" s="58">
        <v>17.73</v>
      </c>
      <c r="L2307" s="58">
        <v>0.08</v>
      </c>
      <c r="M2307" s="58">
        <v>0</v>
      </c>
      <c r="N2307" s="58">
        <v>7.1186400000000001</v>
      </c>
      <c r="O2307" s="181">
        <f t="shared" si="18"/>
        <v>17.650000000000002</v>
      </c>
      <c r="P2307" s="247">
        <f t="shared" si="19"/>
        <v>2.4794061787082931</v>
      </c>
    </row>
    <row r="2308" spans="1:16" ht="14.25">
      <c r="A2308" s="224">
        <v>2307</v>
      </c>
      <c r="B2308" s="58">
        <v>3339</v>
      </c>
      <c r="C2308" s="57" t="s">
        <v>6133</v>
      </c>
      <c r="D2308" s="57" t="s">
        <v>45</v>
      </c>
      <c r="E2308" s="57" t="s">
        <v>2874</v>
      </c>
      <c r="F2308" s="58" t="s">
        <v>6134</v>
      </c>
      <c r="G2308" s="57">
        <v>10</v>
      </c>
      <c r="H2308" s="57" t="s">
        <v>2557</v>
      </c>
      <c r="I2308" s="58">
        <v>89699</v>
      </c>
      <c r="J2308" s="234" t="s">
        <v>6135</v>
      </c>
      <c r="K2308" s="58">
        <v>12.6</v>
      </c>
      <c r="L2308" s="58">
        <v>0</v>
      </c>
      <c r="M2308" s="58">
        <v>0</v>
      </c>
      <c r="N2308" s="58">
        <v>1</v>
      </c>
      <c r="O2308" s="181">
        <f t="shared" si="18"/>
        <v>12.6</v>
      </c>
      <c r="P2308" s="247">
        <f t="shared" si="19"/>
        <v>12.6</v>
      </c>
    </row>
    <row r="2309" spans="1:16" ht="14.25">
      <c r="A2309" s="224">
        <v>2308</v>
      </c>
      <c r="B2309" s="58">
        <v>34732</v>
      </c>
      <c r="C2309" s="57" t="s">
        <v>6131</v>
      </c>
      <c r="D2309" s="57" t="s">
        <v>2582</v>
      </c>
      <c r="E2309" s="57" t="s">
        <v>4772</v>
      </c>
      <c r="F2309" s="58" t="s">
        <v>6136</v>
      </c>
      <c r="G2309" s="57">
        <v>10</v>
      </c>
      <c r="H2309" s="57" t="s">
        <v>2557</v>
      </c>
      <c r="I2309" s="58">
        <v>89711</v>
      </c>
      <c r="J2309" s="234" t="s">
        <v>1870</v>
      </c>
      <c r="K2309" s="58">
        <v>39.08</v>
      </c>
      <c r="L2309" s="58">
        <v>0.16</v>
      </c>
      <c r="M2309" s="58">
        <v>0</v>
      </c>
      <c r="N2309" s="58">
        <v>7.1186400000000001</v>
      </c>
      <c r="O2309" s="181">
        <f t="shared" si="18"/>
        <v>38.92</v>
      </c>
      <c r="P2309" s="247">
        <f t="shared" si="19"/>
        <v>5.4673364575255947</v>
      </c>
    </row>
    <row r="2310" spans="1:16" ht="14.25">
      <c r="A2310" s="224">
        <v>2309</v>
      </c>
      <c r="B2310" s="58">
        <v>1833</v>
      </c>
      <c r="C2310" s="57" t="s">
        <v>6137</v>
      </c>
      <c r="D2310" s="57" t="s">
        <v>2582</v>
      </c>
      <c r="E2310" s="57" t="s">
        <v>2860</v>
      </c>
      <c r="F2310" s="58" t="s">
        <v>6138</v>
      </c>
      <c r="G2310" s="57">
        <v>10</v>
      </c>
      <c r="H2310" s="57" t="s">
        <v>2557</v>
      </c>
      <c r="I2310" s="58">
        <v>89471</v>
      </c>
      <c r="J2310" s="234" t="s">
        <v>6139</v>
      </c>
      <c r="K2310" s="58">
        <v>85.64</v>
      </c>
      <c r="L2310" s="58">
        <v>0</v>
      </c>
      <c r="M2310" s="58">
        <v>0</v>
      </c>
      <c r="N2310" s="58">
        <v>7.1186400000000001</v>
      </c>
      <c r="O2310" s="181">
        <f t="shared" si="18"/>
        <v>85.64</v>
      </c>
      <c r="P2310" s="247">
        <f t="shared" si="19"/>
        <v>12.030387826888282</v>
      </c>
    </row>
    <row r="2311" spans="1:16" ht="14.25">
      <c r="A2311" s="224">
        <v>2310</v>
      </c>
      <c r="B2311" s="58">
        <v>34732</v>
      </c>
      <c r="C2311" s="57" t="s">
        <v>6131</v>
      </c>
      <c r="D2311" s="57" t="s">
        <v>2582</v>
      </c>
      <c r="E2311" s="57" t="s">
        <v>4772</v>
      </c>
      <c r="F2311" s="58" t="s">
        <v>6140</v>
      </c>
      <c r="G2311" s="57">
        <v>10</v>
      </c>
      <c r="H2311" s="57" t="s">
        <v>6141</v>
      </c>
      <c r="I2311" s="58">
        <v>89711</v>
      </c>
      <c r="J2311" s="234"/>
      <c r="K2311" s="58">
        <v>0</v>
      </c>
      <c r="L2311" s="58">
        <v>-0.16</v>
      </c>
      <c r="M2311" s="58">
        <v>37.92</v>
      </c>
      <c r="N2311" s="58">
        <v>7.1186400000000001</v>
      </c>
      <c r="O2311" s="181">
        <f t="shared" si="18"/>
        <v>-37.760000000000005</v>
      </c>
      <c r="P2311" s="247">
        <f t="shared" si="19"/>
        <v>-5.3043839834575151</v>
      </c>
    </row>
    <row r="2312" spans="1:16" ht="14.25">
      <c r="A2312" s="224">
        <v>2311</v>
      </c>
      <c r="B2312" s="58">
        <v>27903</v>
      </c>
      <c r="C2312" s="57" t="s">
        <v>5168</v>
      </c>
      <c r="D2312" s="57" t="s">
        <v>45</v>
      </c>
      <c r="E2312" s="57" t="s">
        <v>2874</v>
      </c>
      <c r="F2312" s="58" t="s">
        <v>6142</v>
      </c>
      <c r="G2312" s="57">
        <v>10</v>
      </c>
      <c r="H2312" s="57" t="s">
        <v>2557</v>
      </c>
      <c r="I2312" s="58">
        <v>89567</v>
      </c>
      <c r="J2312" s="234" t="s">
        <v>6143</v>
      </c>
      <c r="K2312" s="58">
        <v>27.86</v>
      </c>
      <c r="L2312" s="58">
        <v>0</v>
      </c>
      <c r="M2312" s="58">
        <v>0</v>
      </c>
      <c r="N2312" s="58">
        <v>1</v>
      </c>
      <c r="O2312" s="181">
        <f t="shared" si="18"/>
        <v>27.86</v>
      </c>
      <c r="P2312" s="247">
        <f t="shared" si="19"/>
        <v>27.86</v>
      </c>
    </row>
    <row r="2313" spans="1:16" ht="14.25">
      <c r="A2313" s="224">
        <v>2312</v>
      </c>
      <c r="B2313" s="58">
        <v>34761</v>
      </c>
      <c r="C2313" s="57" t="s">
        <v>6144</v>
      </c>
      <c r="D2313" s="57" t="s">
        <v>2582</v>
      </c>
      <c r="E2313" s="57" t="s">
        <v>9</v>
      </c>
      <c r="F2313" s="58" t="s">
        <v>6145</v>
      </c>
      <c r="G2313" s="57">
        <v>10</v>
      </c>
      <c r="H2313" s="57" t="s">
        <v>2557</v>
      </c>
      <c r="I2313" s="58">
        <v>89831</v>
      </c>
      <c r="J2313" s="234" t="s">
        <v>691</v>
      </c>
      <c r="K2313" s="58">
        <v>32</v>
      </c>
      <c r="L2313" s="58">
        <v>5.0599999999999996</v>
      </c>
      <c r="M2313" s="58">
        <v>0</v>
      </c>
      <c r="N2313" s="58">
        <v>7.1266100000000003</v>
      </c>
      <c r="O2313" s="181">
        <f t="shared" si="18"/>
        <v>26.94</v>
      </c>
      <c r="P2313" s="247">
        <f t="shared" si="19"/>
        <v>3.7801984393701913</v>
      </c>
    </row>
    <row r="2314" spans="1:16" ht="14.25">
      <c r="A2314" s="224">
        <v>2313</v>
      </c>
      <c r="B2314" s="58">
        <v>34757</v>
      </c>
      <c r="C2314" s="57" t="s">
        <v>6146</v>
      </c>
      <c r="D2314" s="57" t="s">
        <v>2582</v>
      </c>
      <c r="E2314" s="57" t="s">
        <v>4772</v>
      </c>
      <c r="F2314" s="58" t="s">
        <v>6147</v>
      </c>
      <c r="G2314" s="57">
        <v>10</v>
      </c>
      <c r="H2314" s="57" t="s">
        <v>2557</v>
      </c>
      <c r="I2314" s="58">
        <v>89843</v>
      </c>
      <c r="J2314" s="234" t="s">
        <v>1881</v>
      </c>
      <c r="K2314" s="58">
        <v>206.6</v>
      </c>
      <c r="L2314" s="58">
        <v>0.84</v>
      </c>
      <c r="M2314" s="58">
        <v>0</v>
      </c>
      <c r="N2314" s="58">
        <v>7.1266100000000003</v>
      </c>
      <c r="O2314" s="181">
        <f t="shared" si="18"/>
        <v>205.76</v>
      </c>
      <c r="P2314" s="247">
        <f t="shared" si="19"/>
        <v>28.872072415917241</v>
      </c>
    </row>
    <row r="2315" spans="1:16" ht="14.25">
      <c r="A2315" s="224">
        <v>2314</v>
      </c>
      <c r="B2315" s="58">
        <v>27659</v>
      </c>
      <c r="C2315" s="57" t="s">
        <v>4961</v>
      </c>
      <c r="D2315" s="57" t="s">
        <v>45</v>
      </c>
      <c r="E2315" s="57" t="s">
        <v>2874</v>
      </c>
      <c r="F2315" s="58" t="s">
        <v>6148</v>
      </c>
      <c r="G2315" s="57">
        <v>10</v>
      </c>
      <c r="H2315" s="57" t="s">
        <v>2557</v>
      </c>
      <c r="I2315" s="58">
        <v>87850</v>
      </c>
      <c r="J2315" s="234" t="s">
        <v>6149</v>
      </c>
      <c r="K2315" s="58">
        <v>84.99</v>
      </c>
      <c r="L2315" s="58">
        <v>0</v>
      </c>
      <c r="M2315" s="58">
        <v>0</v>
      </c>
      <c r="N2315" s="58">
        <v>1</v>
      </c>
      <c r="O2315" s="181">
        <f t="shared" si="18"/>
        <v>84.99</v>
      </c>
      <c r="P2315" s="247">
        <f t="shared" si="19"/>
        <v>84.99</v>
      </c>
    </row>
    <row r="2316" spans="1:16" ht="14.25">
      <c r="A2316" s="224">
        <v>2315</v>
      </c>
      <c r="B2316" s="58">
        <v>28946</v>
      </c>
      <c r="C2316" s="57" t="s">
        <v>5337</v>
      </c>
      <c r="D2316" s="57" t="s">
        <v>2582</v>
      </c>
      <c r="E2316" s="57" t="s">
        <v>4772</v>
      </c>
      <c r="F2316" s="58" t="s">
        <v>6150</v>
      </c>
      <c r="G2316" s="57">
        <v>10</v>
      </c>
      <c r="H2316" s="57" t="s">
        <v>2557</v>
      </c>
      <c r="I2316" s="58">
        <v>89855</v>
      </c>
      <c r="J2316" s="234" t="s">
        <v>1877</v>
      </c>
      <c r="K2316" s="58">
        <v>206.6</v>
      </c>
      <c r="L2316" s="58">
        <v>0.84</v>
      </c>
      <c r="M2316" s="58">
        <v>0</v>
      </c>
      <c r="N2316" s="58">
        <v>7.1266100000000003</v>
      </c>
      <c r="O2316" s="181">
        <f t="shared" si="18"/>
        <v>205.76</v>
      </c>
      <c r="P2316" s="247">
        <f t="shared" si="19"/>
        <v>28.872072415917241</v>
      </c>
    </row>
    <row r="2317" spans="1:16" ht="14.25">
      <c r="A2317" s="224">
        <v>2316</v>
      </c>
      <c r="B2317" s="58">
        <v>34761</v>
      </c>
      <c r="C2317" s="57" t="s">
        <v>6144</v>
      </c>
      <c r="D2317" s="57" t="s">
        <v>2582</v>
      </c>
      <c r="E2317" s="57" t="s">
        <v>9</v>
      </c>
      <c r="F2317" s="58" t="s">
        <v>6151</v>
      </c>
      <c r="G2317" s="57">
        <v>10</v>
      </c>
      <c r="H2317" s="57" t="s">
        <v>2557</v>
      </c>
      <c r="I2317" s="58">
        <v>89939</v>
      </c>
      <c r="J2317" s="234" t="s">
        <v>692</v>
      </c>
      <c r="K2317" s="58">
        <v>46.24</v>
      </c>
      <c r="L2317" s="58">
        <v>5.77</v>
      </c>
      <c r="M2317" s="58">
        <v>0</v>
      </c>
      <c r="N2317" s="58">
        <v>7.12439</v>
      </c>
      <c r="O2317" s="181">
        <f t="shared" si="18"/>
        <v>40.47</v>
      </c>
      <c r="P2317" s="247">
        <f t="shared" si="19"/>
        <v>5.6804863293559169</v>
      </c>
    </row>
    <row r="2318" spans="1:16" ht="14.25">
      <c r="A2318" s="224">
        <v>2317</v>
      </c>
      <c r="B2318" s="58">
        <v>1571</v>
      </c>
      <c r="C2318" s="57" t="s">
        <v>6152</v>
      </c>
      <c r="D2318" s="57" t="s">
        <v>45</v>
      </c>
      <c r="E2318" s="57" t="s">
        <v>4772</v>
      </c>
      <c r="F2318" s="58" t="s">
        <v>6153</v>
      </c>
      <c r="G2318" s="57">
        <v>10</v>
      </c>
      <c r="H2318" s="57" t="s">
        <v>2557</v>
      </c>
      <c r="I2318" s="58">
        <v>89951</v>
      </c>
      <c r="J2318" s="234" t="s">
        <v>1897</v>
      </c>
      <c r="K2318" s="58">
        <v>8.99</v>
      </c>
      <c r="L2318" s="58">
        <v>0.26</v>
      </c>
      <c r="M2318" s="58">
        <v>0</v>
      </c>
      <c r="N2318" s="58">
        <v>1</v>
      </c>
      <c r="O2318" s="181">
        <f t="shared" si="18"/>
        <v>8.73</v>
      </c>
      <c r="P2318" s="247">
        <f t="shared" si="19"/>
        <v>8.73</v>
      </c>
    </row>
    <row r="2319" spans="1:16" ht="14.25">
      <c r="A2319" s="224">
        <v>2318</v>
      </c>
      <c r="B2319" s="58">
        <v>19972</v>
      </c>
      <c r="C2319" s="57" t="s">
        <v>3283</v>
      </c>
      <c r="D2319" s="57" t="s">
        <v>45</v>
      </c>
      <c r="E2319" s="57" t="s">
        <v>2860</v>
      </c>
      <c r="F2319" s="58" t="s">
        <v>6154</v>
      </c>
      <c r="G2319" s="57">
        <v>10</v>
      </c>
      <c r="H2319" s="57" t="s">
        <v>2557</v>
      </c>
      <c r="I2319" s="58">
        <v>89963</v>
      </c>
      <c r="J2319" s="234" t="s">
        <v>6155</v>
      </c>
      <c r="K2319" s="58">
        <v>731.99</v>
      </c>
      <c r="L2319" s="58">
        <v>0</v>
      </c>
      <c r="M2319" s="58">
        <v>0</v>
      </c>
      <c r="N2319" s="58">
        <v>1</v>
      </c>
      <c r="O2319" s="181">
        <f t="shared" si="18"/>
        <v>731.99</v>
      </c>
      <c r="P2319" s="247">
        <f t="shared" si="19"/>
        <v>731.99</v>
      </c>
    </row>
    <row r="2320" spans="1:16" ht="14.25">
      <c r="A2320" s="224">
        <v>2319</v>
      </c>
      <c r="B2320" s="58">
        <v>34788</v>
      </c>
      <c r="C2320" s="57" t="s">
        <v>6156</v>
      </c>
      <c r="D2320" s="57" t="s">
        <v>2582</v>
      </c>
      <c r="E2320" s="57" t="s">
        <v>4772</v>
      </c>
      <c r="F2320" s="58" t="s">
        <v>6157</v>
      </c>
      <c r="G2320" s="57">
        <v>10</v>
      </c>
      <c r="H2320" s="57" t="s">
        <v>2557</v>
      </c>
      <c r="I2320" s="58">
        <v>89975</v>
      </c>
      <c r="J2320" s="234" t="s">
        <v>1894</v>
      </c>
      <c r="K2320" s="58">
        <v>4.49</v>
      </c>
      <c r="L2320" s="58">
        <v>0.13</v>
      </c>
      <c r="M2320" s="58">
        <v>0</v>
      </c>
      <c r="N2320" s="58">
        <v>1</v>
      </c>
      <c r="O2320" s="181">
        <f t="shared" si="18"/>
        <v>4.3600000000000003</v>
      </c>
      <c r="P2320" s="247">
        <f t="shared" si="19"/>
        <v>4.3600000000000003</v>
      </c>
    </row>
    <row r="2321" spans="1:16" ht="14.25">
      <c r="A2321" s="224">
        <v>2320</v>
      </c>
      <c r="B2321" s="58">
        <v>34791</v>
      </c>
      <c r="C2321" s="57" t="s">
        <v>6158</v>
      </c>
      <c r="D2321" s="57" t="s">
        <v>45</v>
      </c>
      <c r="E2321" s="57" t="s">
        <v>4772</v>
      </c>
      <c r="F2321" s="58" t="s">
        <v>6159</v>
      </c>
      <c r="G2321" s="57">
        <v>10</v>
      </c>
      <c r="H2321" s="57" t="s">
        <v>2557</v>
      </c>
      <c r="I2321" s="58">
        <v>89987</v>
      </c>
      <c r="J2321" s="234" t="s">
        <v>1891</v>
      </c>
      <c r="K2321" s="58">
        <v>4.49</v>
      </c>
      <c r="L2321" s="58">
        <v>0.13</v>
      </c>
      <c r="M2321" s="58">
        <v>0</v>
      </c>
      <c r="N2321" s="58">
        <v>1</v>
      </c>
      <c r="O2321" s="181">
        <f t="shared" si="18"/>
        <v>4.3600000000000003</v>
      </c>
      <c r="P2321" s="247">
        <f t="shared" si="19"/>
        <v>4.3600000000000003</v>
      </c>
    </row>
    <row r="2322" spans="1:16" ht="14.25">
      <c r="A2322" s="224">
        <v>2321</v>
      </c>
      <c r="B2322" s="58">
        <v>34641</v>
      </c>
      <c r="C2322" s="57" t="s">
        <v>6160</v>
      </c>
      <c r="D2322" s="57" t="s">
        <v>2582</v>
      </c>
      <c r="E2322" s="57" t="s">
        <v>4772</v>
      </c>
      <c r="F2322" s="58" t="s">
        <v>6161</v>
      </c>
      <c r="G2322" s="57">
        <v>10</v>
      </c>
      <c r="H2322" s="57" t="s">
        <v>2557</v>
      </c>
      <c r="I2322" s="58">
        <v>89999</v>
      </c>
      <c r="J2322" s="234" t="s">
        <v>1887</v>
      </c>
      <c r="K2322" s="58">
        <v>17.739999999999998</v>
      </c>
      <c r="L2322" s="58">
        <v>0.08</v>
      </c>
      <c r="M2322" s="58">
        <v>0</v>
      </c>
      <c r="N2322" s="58">
        <v>7.12439</v>
      </c>
      <c r="O2322" s="181">
        <f t="shared" si="18"/>
        <v>17.66</v>
      </c>
      <c r="P2322" s="247">
        <f t="shared" si="19"/>
        <v>2.4788087120441187</v>
      </c>
    </row>
    <row r="2323" spans="1:16" ht="14.25">
      <c r="A2323" s="224">
        <v>2322</v>
      </c>
      <c r="B2323" s="58">
        <v>28667</v>
      </c>
      <c r="C2323" s="57" t="s">
        <v>5199</v>
      </c>
      <c r="D2323" s="57" t="s">
        <v>2582</v>
      </c>
      <c r="E2323" s="57" t="s">
        <v>2874</v>
      </c>
      <c r="F2323" s="58" t="s">
        <v>6162</v>
      </c>
      <c r="G2323" s="57">
        <v>10</v>
      </c>
      <c r="H2323" s="57" t="s">
        <v>2557</v>
      </c>
      <c r="I2323" s="58">
        <v>88090</v>
      </c>
      <c r="J2323" s="234" t="s">
        <v>6163</v>
      </c>
      <c r="K2323" s="58">
        <v>2680</v>
      </c>
      <c r="L2323" s="58">
        <v>0</v>
      </c>
      <c r="M2323" s="58">
        <v>0</v>
      </c>
      <c r="N2323" s="58">
        <v>7.12439</v>
      </c>
      <c r="O2323" s="181">
        <f t="shared" si="18"/>
        <v>2680</v>
      </c>
      <c r="P2323" s="247">
        <f t="shared" si="19"/>
        <v>376.17255652764658</v>
      </c>
    </row>
    <row r="2324" spans="1:16" ht="14.25">
      <c r="A2324" s="224">
        <v>2323</v>
      </c>
      <c r="B2324" s="58">
        <v>34799</v>
      </c>
      <c r="C2324" s="57" t="s">
        <v>6164</v>
      </c>
      <c r="D2324" s="57" t="s">
        <v>2582</v>
      </c>
      <c r="E2324" s="57" t="s">
        <v>4772</v>
      </c>
      <c r="F2324" s="58" t="s">
        <v>6165</v>
      </c>
      <c r="G2324" s="57">
        <v>10</v>
      </c>
      <c r="H2324" s="57" t="s">
        <v>2557</v>
      </c>
      <c r="I2324" s="58">
        <v>90023</v>
      </c>
      <c r="J2324" s="234" t="s">
        <v>1884</v>
      </c>
      <c r="K2324" s="58">
        <v>64.09</v>
      </c>
      <c r="L2324" s="58">
        <v>0.26</v>
      </c>
      <c r="M2324" s="58">
        <v>0</v>
      </c>
      <c r="N2324" s="58">
        <v>7.12439</v>
      </c>
      <c r="O2324" s="181">
        <f t="shared" si="18"/>
        <v>63.830000000000005</v>
      </c>
      <c r="P2324" s="247">
        <f t="shared" si="19"/>
        <v>8.9593635384924184</v>
      </c>
    </row>
    <row r="2325" spans="1:16" ht="14.25">
      <c r="A2325" s="224">
        <v>2324</v>
      </c>
      <c r="B2325" s="58">
        <v>29100</v>
      </c>
      <c r="C2325" s="57" t="s">
        <v>6166</v>
      </c>
      <c r="D2325" s="57" t="s">
        <v>2582</v>
      </c>
      <c r="E2325" s="57" t="s">
        <v>4772</v>
      </c>
      <c r="F2325" s="58" t="s">
        <v>6167</v>
      </c>
      <c r="G2325" s="57">
        <v>10</v>
      </c>
      <c r="H2325" s="57" t="s">
        <v>2557</v>
      </c>
      <c r="I2325" s="58">
        <v>90131</v>
      </c>
      <c r="J2325" s="234" t="s">
        <v>1906</v>
      </c>
      <c r="K2325" s="58">
        <v>28.42</v>
      </c>
      <c r="L2325" s="58">
        <v>0.12</v>
      </c>
      <c r="M2325" s="58">
        <v>0</v>
      </c>
      <c r="N2325" s="58">
        <v>7.1224600000000002</v>
      </c>
      <c r="O2325" s="181">
        <f t="shared" si="18"/>
        <v>28.3</v>
      </c>
      <c r="P2325" s="247">
        <f t="shared" si="19"/>
        <v>3.9733462876590391</v>
      </c>
    </row>
    <row r="2326" spans="1:16" ht="14.25">
      <c r="A2326" s="224">
        <v>2325</v>
      </c>
      <c r="B2326" s="58">
        <v>34791</v>
      </c>
      <c r="C2326" s="57" t="s">
        <v>6158</v>
      </c>
      <c r="D2326" s="57" t="s">
        <v>45</v>
      </c>
      <c r="E2326" s="57" t="s">
        <v>4772</v>
      </c>
      <c r="F2326" s="58" t="s">
        <v>6168</v>
      </c>
      <c r="G2326" s="57">
        <v>10</v>
      </c>
      <c r="H2326" s="57" t="s">
        <v>6169</v>
      </c>
      <c r="I2326" s="58">
        <v>89987</v>
      </c>
      <c r="J2326" s="234"/>
      <c r="K2326" s="58">
        <v>0</v>
      </c>
      <c r="L2326" s="58">
        <v>-0.13</v>
      </c>
      <c r="M2326" s="58">
        <v>4.3600000000000003</v>
      </c>
      <c r="N2326" s="58">
        <v>1</v>
      </c>
      <c r="O2326" s="181">
        <f t="shared" si="18"/>
        <v>-4.2300000000000004</v>
      </c>
      <c r="P2326" s="247">
        <f t="shared" si="19"/>
        <v>-4.2300000000000004</v>
      </c>
    </row>
    <row r="2327" spans="1:16" ht="14.25">
      <c r="A2327" s="224">
        <v>2326</v>
      </c>
      <c r="B2327" s="58">
        <v>34810</v>
      </c>
      <c r="C2327" s="57" t="s">
        <v>6170</v>
      </c>
      <c r="D2327" s="57" t="s">
        <v>2582</v>
      </c>
      <c r="E2327" s="57" t="s">
        <v>4772</v>
      </c>
      <c r="F2327" s="58" t="s">
        <v>6171</v>
      </c>
      <c r="G2327" s="57">
        <v>10</v>
      </c>
      <c r="H2327" s="57" t="s">
        <v>2557</v>
      </c>
      <c r="I2327" s="58">
        <v>90143</v>
      </c>
      <c r="J2327" s="234" t="s">
        <v>1900</v>
      </c>
      <c r="K2327" s="58">
        <v>31.98</v>
      </c>
      <c r="L2327" s="58">
        <v>0.13</v>
      </c>
      <c r="M2327" s="58">
        <v>0</v>
      </c>
      <c r="N2327" s="58">
        <v>7.1224600000000002</v>
      </c>
      <c r="O2327" s="181">
        <f t="shared" si="18"/>
        <v>31.85</v>
      </c>
      <c r="P2327" s="247">
        <f t="shared" si="19"/>
        <v>4.4717695852275758</v>
      </c>
    </row>
    <row r="2328" spans="1:16" ht="14.25">
      <c r="A2328" s="224">
        <v>2327</v>
      </c>
      <c r="B2328" s="58">
        <v>29319</v>
      </c>
      <c r="C2328" s="57" t="s">
        <v>5694</v>
      </c>
      <c r="D2328" s="57" t="s">
        <v>2582</v>
      </c>
      <c r="E2328" s="57" t="s">
        <v>2860</v>
      </c>
      <c r="F2328" s="58" t="s">
        <v>6172</v>
      </c>
      <c r="G2328" s="57">
        <v>10</v>
      </c>
      <c r="H2328" s="57" t="s">
        <v>2557</v>
      </c>
      <c r="I2328" s="58">
        <v>88030</v>
      </c>
      <c r="J2328" s="234" t="s">
        <v>6173</v>
      </c>
      <c r="K2328" s="58">
        <v>71.72</v>
      </c>
      <c r="L2328" s="58">
        <v>0</v>
      </c>
      <c r="M2328" s="58">
        <v>0</v>
      </c>
      <c r="N2328" s="58">
        <v>7.1224600000000002</v>
      </c>
      <c r="O2328" s="181">
        <f t="shared" si="18"/>
        <v>71.72</v>
      </c>
      <c r="P2328" s="247">
        <f t="shared" si="19"/>
        <v>10.069554620173367</v>
      </c>
    </row>
    <row r="2329" spans="1:16" ht="14.25">
      <c r="A2329" s="224">
        <v>2328</v>
      </c>
      <c r="B2329" s="58">
        <v>29319</v>
      </c>
      <c r="C2329" s="57" t="s">
        <v>5694</v>
      </c>
      <c r="D2329" s="57" t="s">
        <v>2582</v>
      </c>
      <c r="E2329" s="57" t="s">
        <v>2860</v>
      </c>
      <c r="F2329" s="58" t="s">
        <v>6174</v>
      </c>
      <c r="G2329" s="57">
        <v>10</v>
      </c>
      <c r="H2329" s="57" t="s">
        <v>2557</v>
      </c>
      <c r="I2329" s="58">
        <v>88030</v>
      </c>
      <c r="J2329" s="234"/>
      <c r="K2329" s="58">
        <v>0.01</v>
      </c>
      <c r="L2329" s="58">
        <v>0</v>
      </c>
      <c r="M2329" s="58">
        <v>0</v>
      </c>
      <c r="N2329" s="58">
        <v>7.1224600000000002</v>
      </c>
      <c r="O2329" s="181">
        <f t="shared" si="18"/>
        <v>0.01</v>
      </c>
      <c r="P2329" s="247">
        <f t="shared" si="19"/>
        <v>1.4040092889254555E-3</v>
      </c>
    </row>
    <row r="2330" spans="1:16" ht="14.25">
      <c r="A2330" s="224">
        <v>2329</v>
      </c>
      <c r="B2330" s="58">
        <v>34789</v>
      </c>
      <c r="C2330" s="57" t="s">
        <v>6175</v>
      </c>
      <c r="D2330" s="57" t="s">
        <v>2582</v>
      </c>
      <c r="E2330" s="57" t="s">
        <v>4772</v>
      </c>
      <c r="F2330" s="58" t="s">
        <v>6176</v>
      </c>
      <c r="G2330" s="57">
        <v>10</v>
      </c>
      <c r="H2330" s="57" t="s">
        <v>2557</v>
      </c>
      <c r="I2330" s="58">
        <v>90263</v>
      </c>
      <c r="J2330" s="234" t="s">
        <v>1912</v>
      </c>
      <c r="K2330" s="58">
        <v>46.22</v>
      </c>
      <c r="L2330" s="58">
        <v>0.19</v>
      </c>
      <c r="M2330" s="58">
        <v>0</v>
      </c>
      <c r="N2330" s="58">
        <v>7.1224600000000002</v>
      </c>
      <c r="O2330" s="181">
        <f t="shared" si="18"/>
        <v>46.03</v>
      </c>
      <c r="P2330" s="247">
        <f t="shared" si="19"/>
        <v>6.4626547569238717</v>
      </c>
    </row>
    <row r="2331" spans="1:16" ht="14.25">
      <c r="A2331" s="224">
        <v>2330</v>
      </c>
      <c r="B2331" s="58">
        <v>34857</v>
      </c>
      <c r="C2331" s="57" t="s">
        <v>6177</v>
      </c>
      <c r="D2331" s="57" t="s">
        <v>45</v>
      </c>
      <c r="E2331" s="57" t="s">
        <v>2860</v>
      </c>
      <c r="F2331" s="58" t="s">
        <v>6178</v>
      </c>
      <c r="G2331" s="57">
        <v>10</v>
      </c>
      <c r="H2331" s="57" t="s">
        <v>2557</v>
      </c>
      <c r="I2331" s="58">
        <v>90275</v>
      </c>
      <c r="J2331" s="234" t="s">
        <v>6179</v>
      </c>
      <c r="K2331" s="58">
        <v>137.99</v>
      </c>
      <c r="L2331" s="58">
        <v>0</v>
      </c>
      <c r="M2331" s="58">
        <v>0</v>
      </c>
      <c r="N2331" s="58">
        <v>1</v>
      </c>
      <c r="O2331" s="181">
        <f t="shared" si="18"/>
        <v>137.99</v>
      </c>
      <c r="P2331" s="247">
        <f t="shared" si="19"/>
        <v>137.99</v>
      </c>
    </row>
    <row r="2332" spans="1:16" ht="14.25">
      <c r="A2332" s="224">
        <v>2331</v>
      </c>
      <c r="B2332" s="58">
        <v>34860</v>
      </c>
      <c r="C2332" s="57" t="s">
        <v>6180</v>
      </c>
      <c r="D2332" s="57" t="s">
        <v>45</v>
      </c>
      <c r="E2332" s="57" t="s">
        <v>4772</v>
      </c>
      <c r="F2332" s="58" t="s">
        <v>6181</v>
      </c>
      <c r="G2332" s="57">
        <v>10</v>
      </c>
      <c r="H2332" s="57" t="s">
        <v>2557</v>
      </c>
      <c r="I2332" s="58">
        <v>90287</v>
      </c>
      <c r="J2332" s="234" t="s">
        <v>1909</v>
      </c>
      <c r="K2332" s="58">
        <v>2.4900000000000002</v>
      </c>
      <c r="L2332" s="58">
        <v>0.08</v>
      </c>
      <c r="M2332" s="58">
        <v>0</v>
      </c>
      <c r="N2332" s="58">
        <v>1</v>
      </c>
      <c r="O2332" s="181">
        <f t="shared" si="18"/>
        <v>2.41</v>
      </c>
      <c r="P2332" s="247">
        <f t="shared" si="19"/>
        <v>2.41</v>
      </c>
    </row>
    <row r="2333" spans="1:16" ht="14.25">
      <c r="A2333" s="224">
        <v>2332</v>
      </c>
      <c r="B2333" s="58">
        <v>27966</v>
      </c>
      <c r="C2333" s="57" t="s">
        <v>5007</v>
      </c>
      <c r="D2333" s="57" t="s">
        <v>2582</v>
      </c>
      <c r="E2333" s="57" t="s">
        <v>4772</v>
      </c>
      <c r="F2333" s="58" t="s">
        <v>6182</v>
      </c>
      <c r="G2333" s="57">
        <v>10</v>
      </c>
      <c r="H2333" s="57" t="s">
        <v>2557</v>
      </c>
      <c r="I2333" s="58">
        <v>88222</v>
      </c>
      <c r="J2333" s="234" t="s">
        <v>1927</v>
      </c>
      <c r="K2333" s="58">
        <v>83.45</v>
      </c>
      <c r="L2333" s="58">
        <v>0.34</v>
      </c>
      <c r="M2333" s="58">
        <v>0</v>
      </c>
      <c r="N2333" s="58">
        <v>7.1224600000000002</v>
      </c>
      <c r="O2333" s="181">
        <f t="shared" si="18"/>
        <v>83.11</v>
      </c>
      <c r="P2333" s="247">
        <f t="shared" si="19"/>
        <v>11.66872120025946</v>
      </c>
    </row>
    <row r="2334" spans="1:16" ht="14.25">
      <c r="A2334" s="224">
        <v>2333</v>
      </c>
      <c r="B2334" s="58">
        <v>34311</v>
      </c>
      <c r="C2334" s="57" t="s">
        <v>5995</v>
      </c>
      <c r="D2334" s="57" t="s">
        <v>2582</v>
      </c>
      <c r="E2334" s="57" t="s">
        <v>4772</v>
      </c>
      <c r="F2334" s="58" t="s">
        <v>6183</v>
      </c>
      <c r="G2334" s="57">
        <v>10</v>
      </c>
      <c r="H2334" s="57" t="s">
        <v>2557</v>
      </c>
      <c r="I2334" s="58">
        <v>90383</v>
      </c>
      <c r="J2334" s="234" t="s">
        <v>1924</v>
      </c>
      <c r="K2334" s="58">
        <v>206.48</v>
      </c>
      <c r="L2334" s="58">
        <v>0.84</v>
      </c>
      <c r="M2334" s="58">
        <v>0</v>
      </c>
      <c r="N2334" s="58">
        <v>7.1224600000000002</v>
      </c>
      <c r="O2334" s="181">
        <f t="shared" si="18"/>
        <v>205.64</v>
      </c>
      <c r="P2334" s="247">
        <f t="shared" si="19"/>
        <v>28.872047017463064</v>
      </c>
    </row>
    <row r="2335" spans="1:16" ht="14.25">
      <c r="A2335" s="224">
        <v>2334</v>
      </c>
      <c r="B2335" s="58">
        <v>18944</v>
      </c>
      <c r="C2335" s="57" t="s">
        <v>3068</v>
      </c>
      <c r="D2335" s="57" t="s">
        <v>45</v>
      </c>
      <c r="E2335" s="57" t="s">
        <v>4772</v>
      </c>
      <c r="F2335" s="58" t="s">
        <v>6184</v>
      </c>
      <c r="G2335" s="57">
        <v>10</v>
      </c>
      <c r="H2335" s="57" t="s">
        <v>2557</v>
      </c>
      <c r="I2335" s="58">
        <v>90395</v>
      </c>
      <c r="J2335" s="234" t="s">
        <v>1921</v>
      </c>
      <c r="K2335" s="58">
        <v>23.99</v>
      </c>
      <c r="L2335" s="58">
        <v>0.7</v>
      </c>
      <c r="M2335" s="58">
        <v>0</v>
      </c>
      <c r="N2335" s="58">
        <v>1</v>
      </c>
      <c r="O2335" s="181">
        <f t="shared" si="18"/>
        <v>23.29</v>
      </c>
      <c r="P2335" s="247">
        <f t="shared" si="19"/>
        <v>23.29</v>
      </c>
    </row>
    <row r="2336" spans="1:16" ht="14.25">
      <c r="A2336" s="224">
        <v>2335</v>
      </c>
      <c r="B2336" s="58">
        <v>34791</v>
      </c>
      <c r="C2336" s="57" t="s">
        <v>6158</v>
      </c>
      <c r="D2336" s="57" t="s">
        <v>45</v>
      </c>
      <c r="E2336" s="57" t="s">
        <v>4772</v>
      </c>
      <c r="F2336" s="58" t="s">
        <v>6185</v>
      </c>
      <c r="G2336" s="57">
        <v>10</v>
      </c>
      <c r="H2336" s="57" t="s">
        <v>2557</v>
      </c>
      <c r="I2336" s="58">
        <v>90419</v>
      </c>
      <c r="J2336" s="234" t="s">
        <v>1918</v>
      </c>
      <c r="K2336" s="58">
        <v>2.4900000000000002</v>
      </c>
      <c r="L2336" s="58">
        <v>0.08</v>
      </c>
      <c r="M2336" s="58">
        <v>0</v>
      </c>
      <c r="N2336" s="58">
        <v>1</v>
      </c>
      <c r="O2336" s="181">
        <f t="shared" si="18"/>
        <v>2.41</v>
      </c>
      <c r="P2336" s="247">
        <f t="shared" si="19"/>
        <v>2.41</v>
      </c>
    </row>
    <row r="2337" spans="1:16" ht="14.25">
      <c r="A2337" s="224">
        <v>2336</v>
      </c>
      <c r="B2337" s="58">
        <v>1554</v>
      </c>
      <c r="C2337" s="57" t="s">
        <v>6186</v>
      </c>
      <c r="D2337" s="57" t="s">
        <v>45</v>
      </c>
      <c r="E2337" s="57" t="s">
        <v>2874</v>
      </c>
      <c r="F2337" s="58" t="s">
        <v>6187</v>
      </c>
      <c r="G2337" s="57">
        <v>10</v>
      </c>
      <c r="H2337" s="57" t="s">
        <v>2557</v>
      </c>
      <c r="I2337" s="58">
        <v>88162</v>
      </c>
      <c r="J2337" s="234" t="s">
        <v>6188</v>
      </c>
      <c r="K2337" s="58">
        <v>197.25</v>
      </c>
      <c r="L2337" s="58">
        <v>0</v>
      </c>
      <c r="M2337" s="58">
        <v>0</v>
      </c>
      <c r="N2337" s="58">
        <v>1</v>
      </c>
      <c r="O2337" s="181">
        <f t="shared" si="18"/>
        <v>197.25</v>
      </c>
      <c r="P2337" s="247">
        <f t="shared" si="19"/>
        <v>197.25</v>
      </c>
    </row>
    <row r="2338" spans="1:16" ht="14.25">
      <c r="A2338" s="224">
        <v>2337</v>
      </c>
      <c r="B2338" s="58">
        <v>3274</v>
      </c>
      <c r="C2338" s="57" t="s">
        <v>6189</v>
      </c>
      <c r="D2338" s="57" t="s">
        <v>45</v>
      </c>
      <c r="E2338" s="57" t="s">
        <v>2860</v>
      </c>
      <c r="F2338" s="58" t="s">
        <v>6190</v>
      </c>
      <c r="G2338" s="57">
        <v>10</v>
      </c>
      <c r="H2338" s="57" t="s">
        <v>2557</v>
      </c>
      <c r="I2338" s="58">
        <v>90443</v>
      </c>
      <c r="J2338" s="234" t="s">
        <v>6191</v>
      </c>
      <c r="K2338" s="58">
        <v>16.2</v>
      </c>
      <c r="L2338" s="58">
        <v>0</v>
      </c>
      <c r="M2338" s="58">
        <v>0</v>
      </c>
      <c r="N2338" s="58">
        <v>1</v>
      </c>
      <c r="O2338" s="181">
        <f t="shared" si="18"/>
        <v>16.2</v>
      </c>
      <c r="P2338" s="247">
        <f t="shared" si="19"/>
        <v>16.2</v>
      </c>
    </row>
    <row r="2339" spans="1:16" ht="14.25">
      <c r="A2339" s="224">
        <v>2338</v>
      </c>
      <c r="B2339" s="58">
        <v>34878</v>
      </c>
      <c r="C2339" s="57" t="s">
        <v>6192</v>
      </c>
      <c r="D2339" s="57" t="s">
        <v>45</v>
      </c>
      <c r="E2339" s="57" t="s">
        <v>4772</v>
      </c>
      <c r="F2339" s="58" t="s">
        <v>6193</v>
      </c>
      <c r="G2339" s="57">
        <v>10</v>
      </c>
      <c r="H2339" s="57" t="s">
        <v>2557</v>
      </c>
      <c r="I2339" s="58">
        <v>90455</v>
      </c>
      <c r="J2339" s="234" t="s">
        <v>1915</v>
      </c>
      <c r="K2339" s="58">
        <v>3.99</v>
      </c>
      <c r="L2339" s="58">
        <v>0.12</v>
      </c>
      <c r="M2339" s="58">
        <v>0</v>
      </c>
      <c r="N2339" s="58">
        <v>1</v>
      </c>
      <c r="O2339" s="181">
        <f t="shared" si="18"/>
        <v>3.87</v>
      </c>
      <c r="P2339" s="247">
        <f t="shared" si="19"/>
        <v>3.87</v>
      </c>
    </row>
    <row r="2340" spans="1:16" ht="14.25">
      <c r="A2340" s="224">
        <v>2339</v>
      </c>
      <c r="B2340" s="58">
        <v>25274</v>
      </c>
      <c r="C2340" s="57" t="s">
        <v>4573</v>
      </c>
      <c r="D2340" s="57" t="s">
        <v>2582</v>
      </c>
      <c r="E2340" s="57" t="s">
        <v>2860</v>
      </c>
      <c r="F2340" s="58" t="s">
        <v>6194</v>
      </c>
      <c r="G2340" s="57">
        <v>10</v>
      </c>
      <c r="H2340" s="57" t="s">
        <v>2557</v>
      </c>
      <c r="I2340" s="58">
        <v>89002</v>
      </c>
      <c r="J2340" s="234" t="s">
        <v>6195</v>
      </c>
      <c r="K2340" s="58">
        <v>214.96</v>
      </c>
      <c r="L2340" s="58">
        <v>0</v>
      </c>
      <c r="M2340" s="58">
        <v>0</v>
      </c>
      <c r="N2340" s="58">
        <v>7.1224600000000002</v>
      </c>
      <c r="O2340" s="181">
        <f t="shared" si="18"/>
        <v>214.96</v>
      </c>
      <c r="P2340" s="247">
        <f t="shared" si="19"/>
        <v>30.180583674741591</v>
      </c>
    </row>
    <row r="2341" spans="1:16" ht="14.25">
      <c r="A2341" s="224">
        <v>2340</v>
      </c>
      <c r="B2341" s="58">
        <v>25274</v>
      </c>
      <c r="C2341" s="57" t="s">
        <v>4573</v>
      </c>
      <c r="D2341" s="57" t="s">
        <v>2582</v>
      </c>
      <c r="E2341" s="57" t="s">
        <v>2860</v>
      </c>
      <c r="F2341" s="58" t="s">
        <v>6196</v>
      </c>
      <c r="G2341" s="57">
        <v>10</v>
      </c>
      <c r="H2341" s="57" t="s">
        <v>2557</v>
      </c>
      <c r="I2341" s="58">
        <v>89002</v>
      </c>
      <c r="J2341" s="234"/>
      <c r="K2341" s="58">
        <v>0.03</v>
      </c>
      <c r="L2341" s="58">
        <v>0</v>
      </c>
      <c r="M2341" s="58">
        <v>0</v>
      </c>
      <c r="N2341" s="58">
        <v>7.1224600000000002</v>
      </c>
      <c r="O2341" s="181">
        <f t="shared" si="18"/>
        <v>0.03</v>
      </c>
      <c r="P2341" s="247">
        <f t="shared" si="19"/>
        <v>4.2120278667763661E-3</v>
      </c>
    </row>
    <row r="2342" spans="1:16" ht="14.25">
      <c r="A2342" s="224">
        <v>2341</v>
      </c>
      <c r="B2342" s="58">
        <v>34872</v>
      </c>
      <c r="C2342" s="57" t="s">
        <v>2578</v>
      </c>
      <c r="D2342" s="57" t="s">
        <v>45</v>
      </c>
      <c r="E2342" s="57" t="s">
        <v>4772</v>
      </c>
      <c r="F2342" s="58" t="s">
        <v>6197</v>
      </c>
      <c r="G2342" s="57">
        <v>10</v>
      </c>
      <c r="H2342" s="57" t="s">
        <v>2557</v>
      </c>
      <c r="I2342" s="58">
        <v>90467</v>
      </c>
      <c r="J2342" s="234" t="s">
        <v>1936</v>
      </c>
      <c r="K2342" s="58">
        <v>77.989999999999995</v>
      </c>
      <c r="L2342" s="58">
        <v>2.27</v>
      </c>
      <c r="M2342" s="58">
        <v>0</v>
      </c>
      <c r="N2342" s="58">
        <v>1</v>
      </c>
      <c r="O2342" s="181">
        <f t="shared" si="18"/>
        <v>75.72</v>
      </c>
      <c r="P2342" s="247">
        <f t="shared" si="19"/>
        <v>75.72</v>
      </c>
    </row>
    <row r="2343" spans="1:16" ht="14.25">
      <c r="A2343" s="224">
        <v>2342</v>
      </c>
      <c r="B2343" s="58">
        <v>21791</v>
      </c>
      <c r="C2343" s="57" t="s">
        <v>3855</v>
      </c>
      <c r="D2343" s="57" t="s">
        <v>45</v>
      </c>
      <c r="E2343" s="57" t="s">
        <v>2874</v>
      </c>
      <c r="F2343" s="58" t="s">
        <v>6198</v>
      </c>
      <c r="G2343" s="57">
        <v>10</v>
      </c>
      <c r="H2343" s="57" t="s">
        <v>2557</v>
      </c>
      <c r="I2343" s="58">
        <v>88978</v>
      </c>
      <c r="J2343" s="234" t="s">
        <v>6199</v>
      </c>
      <c r="K2343" s="58">
        <v>22.99</v>
      </c>
      <c r="L2343" s="58">
        <v>0</v>
      </c>
      <c r="M2343" s="58">
        <v>0</v>
      </c>
      <c r="N2343" s="58">
        <v>1</v>
      </c>
      <c r="O2343" s="181">
        <f t="shared" si="18"/>
        <v>22.99</v>
      </c>
      <c r="P2343" s="247">
        <f t="shared" si="19"/>
        <v>22.99</v>
      </c>
    </row>
    <row r="2344" spans="1:16" ht="14.25">
      <c r="A2344" s="224">
        <v>2343</v>
      </c>
      <c r="B2344" s="58">
        <v>34923</v>
      </c>
      <c r="C2344" s="57" t="s">
        <v>6200</v>
      </c>
      <c r="D2344" s="57" t="s">
        <v>45</v>
      </c>
      <c r="E2344" s="57" t="s">
        <v>4772</v>
      </c>
      <c r="F2344" s="58" t="s">
        <v>6201</v>
      </c>
      <c r="G2344" s="57">
        <v>10</v>
      </c>
      <c r="H2344" s="57" t="s">
        <v>2557</v>
      </c>
      <c r="I2344" s="58">
        <v>90563</v>
      </c>
      <c r="J2344" s="234" t="s">
        <v>1933</v>
      </c>
      <c r="K2344" s="58">
        <v>4.49</v>
      </c>
      <c r="L2344" s="58">
        <v>0.13</v>
      </c>
      <c r="M2344" s="58">
        <v>0</v>
      </c>
      <c r="N2344" s="58">
        <v>1</v>
      </c>
      <c r="O2344" s="181">
        <f t="shared" si="18"/>
        <v>4.3600000000000003</v>
      </c>
      <c r="P2344" s="247">
        <f t="shared" si="19"/>
        <v>4.3600000000000003</v>
      </c>
    </row>
    <row r="2345" spans="1:16" ht="14.25">
      <c r="A2345" s="224">
        <v>2344</v>
      </c>
      <c r="B2345" s="58">
        <v>3747</v>
      </c>
      <c r="C2345" s="57" t="s">
        <v>4039</v>
      </c>
      <c r="D2345" s="57" t="s">
        <v>2582</v>
      </c>
      <c r="E2345" s="57" t="s">
        <v>9</v>
      </c>
      <c r="F2345" s="58" t="s">
        <v>6202</v>
      </c>
      <c r="G2345" s="57">
        <v>10</v>
      </c>
      <c r="H2345" s="57" t="s">
        <v>2557</v>
      </c>
      <c r="I2345" s="58">
        <v>89026</v>
      </c>
      <c r="J2345" s="234" t="s">
        <v>697</v>
      </c>
      <c r="K2345" s="58">
        <v>51.67</v>
      </c>
      <c r="L2345" s="58">
        <v>5.26</v>
      </c>
      <c r="M2345" s="58">
        <v>0</v>
      </c>
      <c r="N2345" s="58">
        <v>7.1074700000000002</v>
      </c>
      <c r="O2345" s="181">
        <f t="shared" si="18"/>
        <v>46.410000000000004</v>
      </c>
      <c r="P2345" s="247">
        <f t="shared" si="19"/>
        <v>6.5297496858938553</v>
      </c>
    </row>
    <row r="2346" spans="1:16" ht="14.25">
      <c r="A2346" s="224">
        <v>2345</v>
      </c>
      <c r="B2346" s="58">
        <v>19625</v>
      </c>
      <c r="C2346" s="57" t="s">
        <v>5017</v>
      </c>
      <c r="D2346" s="57" t="s">
        <v>2582</v>
      </c>
      <c r="E2346" s="57" t="s">
        <v>4772</v>
      </c>
      <c r="F2346" s="58" t="s">
        <v>6203</v>
      </c>
      <c r="G2346" s="57">
        <v>10</v>
      </c>
      <c r="H2346" s="57" t="s">
        <v>2557</v>
      </c>
      <c r="I2346" s="58">
        <v>90611</v>
      </c>
      <c r="J2346" s="234" t="s">
        <v>1930</v>
      </c>
      <c r="K2346" s="58">
        <v>28.36</v>
      </c>
      <c r="L2346" s="58">
        <v>0.12</v>
      </c>
      <c r="M2346" s="58">
        <v>0</v>
      </c>
      <c r="N2346" s="58">
        <v>7.1074700000000002</v>
      </c>
      <c r="O2346" s="181">
        <f t="shared" si="18"/>
        <v>28.24</v>
      </c>
      <c r="P2346" s="247">
        <f t="shared" si="19"/>
        <v>3.9732844458013887</v>
      </c>
    </row>
    <row r="2347" spans="1:16" ht="14.25">
      <c r="A2347" s="224">
        <v>2346</v>
      </c>
      <c r="B2347" s="58">
        <v>29098</v>
      </c>
      <c r="C2347" s="57" t="s">
        <v>5491</v>
      </c>
      <c r="D2347" s="57" t="s">
        <v>2582</v>
      </c>
      <c r="E2347" s="57" t="s">
        <v>4772</v>
      </c>
      <c r="F2347" s="58" t="s">
        <v>6204</v>
      </c>
      <c r="G2347" s="57">
        <v>10</v>
      </c>
      <c r="H2347" s="57" t="s">
        <v>2557</v>
      </c>
      <c r="I2347" s="58">
        <v>90707</v>
      </c>
      <c r="J2347" s="234" t="s">
        <v>1945</v>
      </c>
      <c r="K2347" s="58">
        <v>545.35</v>
      </c>
      <c r="L2347" s="58">
        <v>2.23</v>
      </c>
      <c r="M2347" s="58">
        <v>0</v>
      </c>
      <c r="N2347" s="58">
        <v>7.1013799999999998</v>
      </c>
      <c r="O2347" s="181">
        <f t="shared" si="18"/>
        <v>543.12</v>
      </c>
      <c r="P2347" s="247">
        <f t="shared" si="19"/>
        <v>76.480909344380947</v>
      </c>
    </row>
    <row r="2348" spans="1:16" ht="14.25">
      <c r="A2348" s="224">
        <v>2347</v>
      </c>
      <c r="B2348" s="58">
        <v>34761</v>
      </c>
      <c r="C2348" s="57" t="s">
        <v>6144</v>
      </c>
      <c r="D2348" s="57" t="s">
        <v>2582</v>
      </c>
      <c r="E2348" s="57" t="s">
        <v>9</v>
      </c>
      <c r="F2348" s="58" t="s">
        <v>6205</v>
      </c>
      <c r="G2348" s="57">
        <v>10</v>
      </c>
      <c r="H2348" s="57" t="s">
        <v>6206</v>
      </c>
      <c r="I2348" s="58">
        <v>89939</v>
      </c>
      <c r="J2348" s="234"/>
      <c r="K2348" s="58">
        <v>0</v>
      </c>
      <c r="L2348" s="58">
        <v>-5.77</v>
      </c>
      <c r="M2348" s="58">
        <v>46.24</v>
      </c>
      <c r="N2348" s="58">
        <v>7.12439</v>
      </c>
      <c r="O2348" s="181">
        <f t="shared" si="18"/>
        <v>-40.47</v>
      </c>
      <c r="P2348" s="247">
        <f t="shared" si="19"/>
        <v>-5.6804863293559169</v>
      </c>
    </row>
    <row r="2349" spans="1:16" ht="14.25">
      <c r="A2349" s="224">
        <v>2348</v>
      </c>
      <c r="B2349" s="58">
        <v>34761</v>
      </c>
      <c r="C2349" s="57" t="s">
        <v>6144</v>
      </c>
      <c r="D2349" s="57" t="s">
        <v>2582</v>
      </c>
      <c r="E2349" s="57" t="s">
        <v>9</v>
      </c>
      <c r="F2349" s="58" t="s">
        <v>6207</v>
      </c>
      <c r="G2349" s="57">
        <v>10</v>
      </c>
      <c r="H2349" s="57" t="s">
        <v>6208</v>
      </c>
      <c r="I2349" s="58">
        <v>89831</v>
      </c>
      <c r="J2349" s="234"/>
      <c r="K2349" s="58">
        <v>0</v>
      </c>
      <c r="L2349" s="58">
        <v>-5.0599999999999996</v>
      </c>
      <c r="M2349" s="58">
        <v>32</v>
      </c>
      <c r="N2349" s="58">
        <v>7.1266100000000003</v>
      </c>
      <c r="O2349" s="181">
        <f t="shared" si="18"/>
        <v>-26.94</v>
      </c>
      <c r="P2349" s="247">
        <f t="shared" si="19"/>
        <v>-3.7801984393701913</v>
      </c>
    </row>
    <row r="2350" spans="1:16" ht="14.25">
      <c r="A2350" s="224">
        <v>2349</v>
      </c>
      <c r="B2350" s="58">
        <v>1554</v>
      </c>
      <c r="C2350" s="57" t="s">
        <v>6186</v>
      </c>
      <c r="D2350" s="57" t="s">
        <v>45</v>
      </c>
      <c r="E2350" s="57" t="s">
        <v>2874</v>
      </c>
      <c r="F2350" s="58" t="s">
        <v>6209</v>
      </c>
      <c r="G2350" s="57">
        <v>10</v>
      </c>
      <c r="H2350" s="57" t="s">
        <v>6210</v>
      </c>
      <c r="I2350" s="58">
        <v>23203</v>
      </c>
      <c r="J2350" s="234"/>
      <c r="K2350" s="58">
        <v>0</v>
      </c>
      <c r="L2350" s="58">
        <v>0</v>
      </c>
      <c r="M2350" s="58">
        <v>192.25</v>
      </c>
      <c r="N2350" s="58">
        <v>1</v>
      </c>
      <c r="O2350" s="181">
        <f t="shared" si="18"/>
        <v>-192.25</v>
      </c>
      <c r="P2350" s="247">
        <f t="shared" si="19"/>
        <v>-192.25</v>
      </c>
    </row>
    <row r="2351" spans="1:16" ht="14.25">
      <c r="A2351" s="224">
        <v>2350</v>
      </c>
      <c r="B2351" s="58">
        <v>27903</v>
      </c>
      <c r="C2351" s="57" t="s">
        <v>5168</v>
      </c>
      <c r="D2351" s="57" t="s">
        <v>45</v>
      </c>
      <c r="E2351" s="57" t="s">
        <v>2874</v>
      </c>
      <c r="F2351" s="58" t="s">
        <v>6211</v>
      </c>
      <c r="G2351" s="57">
        <v>10</v>
      </c>
      <c r="H2351" s="57" t="s">
        <v>2557</v>
      </c>
      <c r="I2351" s="58">
        <v>90599</v>
      </c>
      <c r="J2351" s="234" t="s">
        <v>6212</v>
      </c>
      <c r="K2351" s="58">
        <v>300</v>
      </c>
      <c r="L2351" s="58">
        <v>0</v>
      </c>
      <c r="M2351" s="58">
        <v>0</v>
      </c>
      <c r="N2351" s="58">
        <v>1</v>
      </c>
      <c r="O2351" s="181">
        <f t="shared" si="18"/>
        <v>300</v>
      </c>
      <c r="P2351" s="247">
        <f t="shared" si="19"/>
        <v>300</v>
      </c>
    </row>
    <row r="2352" spans="1:16" ht="14.25">
      <c r="A2352" s="224">
        <v>2351</v>
      </c>
      <c r="B2352" s="58">
        <v>25464</v>
      </c>
      <c r="C2352" s="57" t="s">
        <v>4628</v>
      </c>
      <c r="D2352" s="57" t="s">
        <v>2582</v>
      </c>
      <c r="E2352" s="57" t="s">
        <v>4772</v>
      </c>
      <c r="F2352" s="58" t="s">
        <v>6213</v>
      </c>
      <c r="G2352" s="57">
        <v>10</v>
      </c>
      <c r="H2352" s="57" t="s">
        <v>2557</v>
      </c>
      <c r="I2352" s="58">
        <v>88618</v>
      </c>
      <c r="J2352" s="234" t="s">
        <v>1942</v>
      </c>
      <c r="K2352" s="58">
        <v>264.08999999999997</v>
      </c>
      <c r="L2352" s="58">
        <v>1.08</v>
      </c>
      <c r="M2352" s="58">
        <v>0</v>
      </c>
      <c r="N2352" s="58">
        <v>7.1013799999999998</v>
      </c>
      <c r="O2352" s="181">
        <f t="shared" si="18"/>
        <v>263.01</v>
      </c>
      <c r="P2352" s="247">
        <f t="shared" si="19"/>
        <v>37.036463335295394</v>
      </c>
    </row>
    <row r="2353" spans="1:16" ht="14.25">
      <c r="A2353" s="224">
        <v>2352</v>
      </c>
      <c r="B2353" s="58">
        <v>3747</v>
      </c>
      <c r="C2353" s="57" t="s">
        <v>4039</v>
      </c>
      <c r="D2353" s="57" t="s">
        <v>2582</v>
      </c>
      <c r="E2353" s="57" t="s">
        <v>9</v>
      </c>
      <c r="F2353" s="58" t="s">
        <v>6214</v>
      </c>
      <c r="G2353" s="57">
        <v>10</v>
      </c>
      <c r="H2353" s="57" t="s">
        <v>2557</v>
      </c>
      <c r="I2353" s="58">
        <v>89026</v>
      </c>
      <c r="J2353" s="234" t="s">
        <v>701</v>
      </c>
      <c r="K2353" s="58">
        <v>51.63</v>
      </c>
      <c r="L2353" s="58">
        <v>5.26</v>
      </c>
      <c r="M2353" s="58">
        <v>0</v>
      </c>
      <c r="N2353" s="58">
        <v>7.1013799999999998</v>
      </c>
      <c r="O2353" s="181">
        <f t="shared" si="18"/>
        <v>46.370000000000005</v>
      </c>
      <c r="P2353" s="247">
        <f t="shared" si="19"/>
        <v>6.5297167592777754</v>
      </c>
    </row>
    <row r="2354" spans="1:16" ht="14.25">
      <c r="A2354" s="224">
        <v>2353</v>
      </c>
      <c r="B2354" s="58">
        <v>34118</v>
      </c>
      <c r="C2354" s="57" t="s">
        <v>6215</v>
      </c>
      <c r="D2354" s="57" t="s">
        <v>2582</v>
      </c>
      <c r="E2354" s="57" t="s">
        <v>4772</v>
      </c>
      <c r="F2354" s="58" t="s">
        <v>6216</v>
      </c>
      <c r="G2354" s="57">
        <v>10</v>
      </c>
      <c r="H2354" s="57" t="s">
        <v>2557</v>
      </c>
      <c r="I2354" s="58">
        <v>90731</v>
      </c>
      <c r="J2354" s="234" t="s">
        <v>1939</v>
      </c>
      <c r="K2354" s="58">
        <v>96.44</v>
      </c>
      <c r="L2354" s="58">
        <v>0.4</v>
      </c>
      <c r="M2354" s="58">
        <v>0</v>
      </c>
      <c r="N2354" s="58">
        <v>7.1013799999999998</v>
      </c>
      <c r="O2354" s="181">
        <f t="shared" si="18"/>
        <v>96.039999999999992</v>
      </c>
      <c r="P2354" s="247">
        <f t="shared" si="19"/>
        <v>13.524131929286982</v>
      </c>
    </row>
    <row r="2355" spans="1:16" ht="14.25">
      <c r="A2355" s="224">
        <v>2354</v>
      </c>
      <c r="B2355" s="58">
        <v>6794</v>
      </c>
      <c r="C2355" s="57" t="s">
        <v>2623</v>
      </c>
      <c r="D2355" s="57" t="s">
        <v>45</v>
      </c>
      <c r="E2355" s="57" t="s">
        <v>2874</v>
      </c>
      <c r="F2355" s="58" t="s">
        <v>6217</v>
      </c>
      <c r="G2355" s="57">
        <v>10</v>
      </c>
      <c r="H2355" s="57" t="s">
        <v>2557</v>
      </c>
      <c r="I2355" s="58">
        <v>90767</v>
      </c>
      <c r="J2355" s="234" t="s">
        <v>6218</v>
      </c>
      <c r="K2355" s="58">
        <v>24.65</v>
      </c>
      <c r="L2355" s="58">
        <v>0</v>
      </c>
      <c r="M2355" s="58">
        <v>0</v>
      </c>
      <c r="N2355" s="58">
        <v>1</v>
      </c>
      <c r="O2355" s="181">
        <f t="shared" si="18"/>
        <v>24.65</v>
      </c>
      <c r="P2355" s="247">
        <f t="shared" si="19"/>
        <v>24.65</v>
      </c>
    </row>
    <row r="2356" spans="1:16" ht="14.25">
      <c r="A2356" s="224">
        <v>2355</v>
      </c>
      <c r="B2356" s="58">
        <v>24044</v>
      </c>
      <c r="C2356" s="57" t="s">
        <v>4118</v>
      </c>
      <c r="D2356" s="57" t="s">
        <v>2582</v>
      </c>
      <c r="E2356" s="57" t="s">
        <v>9</v>
      </c>
      <c r="F2356" s="58" t="s">
        <v>6219</v>
      </c>
      <c r="G2356" s="57">
        <v>10</v>
      </c>
      <c r="H2356" s="57" t="s">
        <v>2557</v>
      </c>
      <c r="I2356" s="58">
        <v>90827</v>
      </c>
      <c r="J2356" s="234" t="s">
        <v>702</v>
      </c>
      <c r="K2356" s="58">
        <v>150</v>
      </c>
      <c r="L2356" s="58">
        <v>10.93</v>
      </c>
      <c r="M2356" s="58">
        <v>0</v>
      </c>
      <c r="N2356" s="58">
        <v>7.0994299999999999</v>
      </c>
      <c r="O2356" s="181">
        <f t="shared" si="18"/>
        <v>139.07</v>
      </c>
      <c r="P2356" s="247">
        <f t="shared" si="19"/>
        <v>19.588896573386876</v>
      </c>
    </row>
    <row r="2357" spans="1:16" ht="14.25">
      <c r="A2357" s="224">
        <v>2356</v>
      </c>
      <c r="B2357" s="58">
        <v>35009</v>
      </c>
      <c r="C2357" s="57" t="s">
        <v>5030</v>
      </c>
      <c r="D2357" s="57" t="s">
        <v>2582</v>
      </c>
      <c r="E2357" s="57" t="s">
        <v>4772</v>
      </c>
      <c r="F2357" s="58" t="s">
        <v>6220</v>
      </c>
      <c r="G2357" s="57">
        <v>10</v>
      </c>
      <c r="H2357" s="57" t="s">
        <v>2557</v>
      </c>
      <c r="I2357" s="58">
        <v>90839</v>
      </c>
      <c r="J2357" s="234" t="s">
        <v>1954</v>
      </c>
      <c r="K2357" s="58">
        <v>17.68</v>
      </c>
      <c r="L2357" s="58">
        <v>0.08</v>
      </c>
      <c r="M2357" s="58">
        <v>0</v>
      </c>
      <c r="N2357" s="58">
        <v>7.0994299999999999</v>
      </c>
      <c r="O2357" s="181">
        <f t="shared" si="18"/>
        <v>17.600000000000001</v>
      </c>
      <c r="P2357" s="247">
        <f t="shared" si="19"/>
        <v>2.479072263547919</v>
      </c>
    </row>
    <row r="2358" spans="1:16" ht="14.25">
      <c r="A2358" s="224">
        <v>2357</v>
      </c>
      <c r="B2358" s="58">
        <v>35012</v>
      </c>
      <c r="C2358" s="57" t="s">
        <v>6221</v>
      </c>
      <c r="D2358" s="57" t="s">
        <v>2582</v>
      </c>
      <c r="E2358" s="57" t="s">
        <v>4772</v>
      </c>
      <c r="F2358" s="58" t="s">
        <v>6222</v>
      </c>
      <c r="G2358" s="57">
        <v>10</v>
      </c>
      <c r="H2358" s="57" t="s">
        <v>2557</v>
      </c>
      <c r="I2358" s="58">
        <v>90863</v>
      </c>
      <c r="J2358" s="234" t="s">
        <v>1951</v>
      </c>
      <c r="K2358" s="58">
        <v>28.33</v>
      </c>
      <c r="L2358" s="58">
        <v>0.12</v>
      </c>
      <c r="M2358" s="58">
        <v>0</v>
      </c>
      <c r="N2358" s="58">
        <v>7.0994299999999999</v>
      </c>
      <c r="O2358" s="181">
        <f t="shared" si="18"/>
        <v>28.209999999999997</v>
      </c>
      <c r="P2358" s="247">
        <f t="shared" si="19"/>
        <v>3.9735584406072033</v>
      </c>
    </row>
    <row r="2359" spans="1:16" ht="14.25">
      <c r="A2359" s="224">
        <v>2358</v>
      </c>
      <c r="B2359" s="58">
        <v>26470</v>
      </c>
      <c r="C2359" s="57" t="s">
        <v>4808</v>
      </c>
      <c r="D2359" s="57" t="s">
        <v>45</v>
      </c>
      <c r="E2359" s="57" t="s">
        <v>2860</v>
      </c>
      <c r="F2359" s="58" t="s">
        <v>6223</v>
      </c>
      <c r="G2359" s="57">
        <v>10</v>
      </c>
      <c r="H2359" s="57" t="s">
        <v>2557</v>
      </c>
      <c r="I2359" s="58">
        <v>90875</v>
      </c>
      <c r="J2359" s="234" t="s">
        <v>6224</v>
      </c>
      <c r="K2359" s="58">
        <v>57</v>
      </c>
      <c r="L2359" s="58">
        <v>0</v>
      </c>
      <c r="M2359" s="58">
        <v>0</v>
      </c>
      <c r="N2359" s="58">
        <v>1</v>
      </c>
      <c r="O2359" s="181">
        <f t="shared" si="18"/>
        <v>57</v>
      </c>
      <c r="P2359" s="247">
        <f t="shared" si="19"/>
        <v>57</v>
      </c>
    </row>
    <row r="2360" spans="1:16" ht="14.25">
      <c r="A2360" s="224">
        <v>2359</v>
      </c>
      <c r="B2360" s="58">
        <v>28946</v>
      </c>
      <c r="C2360" s="57" t="s">
        <v>5337</v>
      </c>
      <c r="D2360" s="57" t="s">
        <v>2582</v>
      </c>
      <c r="E2360" s="57" t="s">
        <v>4772</v>
      </c>
      <c r="F2360" s="58" t="s">
        <v>6225</v>
      </c>
      <c r="G2360" s="57">
        <v>10</v>
      </c>
      <c r="H2360" s="57" t="s">
        <v>2557</v>
      </c>
      <c r="I2360" s="58">
        <v>90899</v>
      </c>
      <c r="J2360" s="234" t="s">
        <v>1948</v>
      </c>
      <c r="K2360" s="58">
        <v>83.27</v>
      </c>
      <c r="L2360" s="58">
        <v>0.34</v>
      </c>
      <c r="M2360" s="58">
        <v>0</v>
      </c>
      <c r="N2360" s="58">
        <v>7.0994299999999999</v>
      </c>
      <c r="O2360" s="181">
        <f t="shared" si="18"/>
        <v>82.929999999999993</v>
      </c>
      <c r="P2360" s="247">
        <f t="shared" si="19"/>
        <v>11.68121947818346</v>
      </c>
    </row>
    <row r="2361" spans="1:16" ht="14.25">
      <c r="A2361" s="224">
        <v>2360</v>
      </c>
      <c r="B2361" s="58">
        <v>6794</v>
      </c>
      <c r="C2361" s="57" t="s">
        <v>2623</v>
      </c>
      <c r="D2361" s="57" t="s">
        <v>45</v>
      </c>
      <c r="E2361" s="57" t="s">
        <v>2874</v>
      </c>
      <c r="F2361" s="58" t="s">
        <v>1959</v>
      </c>
      <c r="G2361" s="57">
        <v>10</v>
      </c>
      <c r="H2361" s="57" t="s">
        <v>2557</v>
      </c>
      <c r="I2361" s="58">
        <v>90887</v>
      </c>
      <c r="J2361" s="234" t="s">
        <v>6226</v>
      </c>
      <c r="K2361" s="58">
        <v>5278.87</v>
      </c>
      <c r="L2361" s="58">
        <v>0</v>
      </c>
      <c r="M2361" s="58">
        <v>0</v>
      </c>
      <c r="N2361" s="58">
        <v>1</v>
      </c>
      <c r="O2361" s="181">
        <f t="shared" si="18"/>
        <v>5278.87</v>
      </c>
      <c r="P2361" s="247">
        <f t="shared" si="19"/>
        <v>5278.87</v>
      </c>
    </row>
    <row r="2362" spans="1:16" ht="14.25">
      <c r="A2362" s="224">
        <v>2361</v>
      </c>
      <c r="B2362" s="58">
        <v>35037</v>
      </c>
      <c r="C2362" s="57" t="s">
        <v>6227</v>
      </c>
      <c r="D2362" s="57" t="s">
        <v>45</v>
      </c>
      <c r="E2362" s="57" t="s">
        <v>2874</v>
      </c>
      <c r="F2362" s="58" t="s">
        <v>6228</v>
      </c>
      <c r="G2362" s="57">
        <v>10</v>
      </c>
      <c r="H2362" s="57" t="s">
        <v>2557</v>
      </c>
      <c r="I2362" s="58">
        <v>91043</v>
      </c>
      <c r="J2362" s="234" t="s">
        <v>6229</v>
      </c>
      <c r="K2362" s="58">
        <v>7.99</v>
      </c>
      <c r="L2362" s="58">
        <v>0</v>
      </c>
      <c r="M2362" s="58">
        <v>0</v>
      </c>
      <c r="N2362" s="58">
        <v>1</v>
      </c>
      <c r="O2362" s="181">
        <f t="shared" si="18"/>
        <v>7.99</v>
      </c>
      <c r="P2362" s="247">
        <f t="shared" si="19"/>
        <v>7.99</v>
      </c>
    </row>
    <row r="2363" spans="1:16" ht="14.25">
      <c r="A2363" s="224">
        <v>2362</v>
      </c>
      <c r="B2363" s="58">
        <v>33769</v>
      </c>
      <c r="C2363" s="57" t="s">
        <v>5800</v>
      </c>
      <c r="D2363" s="57" t="s">
        <v>45</v>
      </c>
      <c r="E2363" s="57" t="s">
        <v>9</v>
      </c>
      <c r="F2363" s="58" t="s">
        <v>6230</v>
      </c>
      <c r="G2363" s="57">
        <v>10</v>
      </c>
      <c r="H2363" s="57" t="s">
        <v>2557</v>
      </c>
      <c r="I2363" s="58">
        <v>90239</v>
      </c>
      <c r="J2363" s="234" t="s">
        <v>705</v>
      </c>
      <c r="K2363" s="58">
        <v>12.78</v>
      </c>
      <c r="L2363" s="58">
        <v>1.1299999999999999</v>
      </c>
      <c r="M2363" s="58">
        <v>0</v>
      </c>
      <c r="N2363" s="58">
        <v>1</v>
      </c>
      <c r="O2363" s="181">
        <f t="shared" si="18"/>
        <v>11.649999999999999</v>
      </c>
      <c r="P2363" s="247">
        <f t="shared" si="19"/>
        <v>11.649999999999999</v>
      </c>
    </row>
    <row r="2364" spans="1:16" ht="14.25">
      <c r="A2364" s="224">
        <v>2363</v>
      </c>
      <c r="B2364" s="58">
        <v>33906</v>
      </c>
      <c r="C2364" s="57" t="s">
        <v>680</v>
      </c>
      <c r="D2364" s="57" t="s">
        <v>2582</v>
      </c>
      <c r="E2364" s="57" t="s">
        <v>9</v>
      </c>
      <c r="F2364" s="58" t="s">
        <v>6231</v>
      </c>
      <c r="G2364" s="57">
        <v>10</v>
      </c>
      <c r="H2364" s="57" t="s">
        <v>2557</v>
      </c>
      <c r="I2364" s="58">
        <v>91019</v>
      </c>
      <c r="J2364" s="234" t="s">
        <v>707</v>
      </c>
      <c r="K2364" s="58">
        <v>113.89</v>
      </c>
      <c r="L2364" s="58">
        <v>7.47</v>
      </c>
      <c r="M2364" s="58">
        <v>0</v>
      </c>
      <c r="N2364" s="58">
        <v>7.1142899999999996</v>
      </c>
      <c r="O2364" s="181">
        <f t="shared" si="18"/>
        <v>106.42</v>
      </c>
      <c r="P2364" s="247">
        <f t="shared" si="19"/>
        <v>14.958625526932416</v>
      </c>
    </row>
    <row r="2365" spans="1:16" ht="14.25">
      <c r="A2365" s="224">
        <v>2364</v>
      </c>
      <c r="B2365" s="58">
        <v>29746</v>
      </c>
      <c r="C2365" s="57" t="s">
        <v>5766</v>
      </c>
      <c r="D2365" s="57" t="s">
        <v>2582</v>
      </c>
      <c r="E2365" s="57" t="s">
        <v>4772</v>
      </c>
      <c r="F2365" s="58" t="s">
        <v>6232</v>
      </c>
      <c r="G2365" s="57">
        <v>10</v>
      </c>
      <c r="H2365" s="57" t="s">
        <v>2557</v>
      </c>
      <c r="I2365" s="58">
        <v>89014</v>
      </c>
      <c r="J2365" s="234" t="s">
        <v>1966</v>
      </c>
      <c r="K2365" s="58">
        <v>135.44999999999999</v>
      </c>
      <c r="L2365" s="58">
        <v>0.56000000000000005</v>
      </c>
      <c r="M2365" s="58">
        <v>0</v>
      </c>
      <c r="N2365" s="58">
        <v>7.1142899999999996</v>
      </c>
      <c r="O2365" s="181">
        <f t="shared" si="18"/>
        <v>134.88999999999999</v>
      </c>
      <c r="P2365" s="247">
        <f t="shared" si="19"/>
        <v>18.96043034512228</v>
      </c>
    </row>
    <row r="2366" spans="1:16" ht="14.25">
      <c r="A2366" s="224">
        <v>2365</v>
      </c>
      <c r="B2366" s="58">
        <v>3629</v>
      </c>
      <c r="C2366" s="57" t="s">
        <v>6233</v>
      </c>
      <c r="D2366" s="57" t="s">
        <v>45</v>
      </c>
      <c r="E2366" s="57" t="s">
        <v>4772</v>
      </c>
      <c r="F2366" s="58" t="s">
        <v>6234</v>
      </c>
      <c r="G2366" s="57">
        <v>10</v>
      </c>
      <c r="H2366" s="57" t="s">
        <v>2557</v>
      </c>
      <c r="I2366" s="58">
        <v>91067</v>
      </c>
      <c r="J2366" s="234" t="s">
        <v>1963</v>
      </c>
      <c r="K2366" s="58">
        <v>12.6</v>
      </c>
      <c r="L2366" s="58">
        <v>0.37</v>
      </c>
      <c r="M2366" s="58">
        <v>0</v>
      </c>
      <c r="N2366" s="58">
        <v>1</v>
      </c>
      <c r="O2366" s="181">
        <f t="shared" si="18"/>
        <v>12.23</v>
      </c>
      <c r="P2366" s="247">
        <f t="shared" si="19"/>
        <v>12.23</v>
      </c>
    </row>
    <row r="2367" spans="1:16" ht="14.25">
      <c r="A2367" s="224">
        <v>2366</v>
      </c>
      <c r="B2367" s="58">
        <v>19275</v>
      </c>
      <c r="C2367" s="57" t="s">
        <v>3112</v>
      </c>
      <c r="D2367" s="57" t="s">
        <v>45</v>
      </c>
      <c r="E2367" s="57" t="s">
        <v>4772</v>
      </c>
      <c r="F2367" s="58" t="s">
        <v>6235</v>
      </c>
      <c r="G2367" s="57">
        <v>10</v>
      </c>
      <c r="H2367" s="57" t="s">
        <v>2557</v>
      </c>
      <c r="I2367" s="58">
        <v>91079</v>
      </c>
      <c r="J2367" s="234" t="s">
        <v>1960</v>
      </c>
      <c r="K2367" s="58">
        <v>119.98</v>
      </c>
      <c r="L2367" s="58">
        <v>3.48</v>
      </c>
      <c r="M2367" s="58">
        <v>0</v>
      </c>
      <c r="N2367" s="58">
        <v>1</v>
      </c>
      <c r="O2367" s="181">
        <f t="shared" si="18"/>
        <v>116.5</v>
      </c>
      <c r="P2367" s="247">
        <f t="shared" si="19"/>
        <v>116.5</v>
      </c>
    </row>
    <row r="2368" spans="1:16" ht="14.25">
      <c r="A2368" s="224">
        <v>2367</v>
      </c>
      <c r="B2368" s="58">
        <v>1626</v>
      </c>
      <c r="C2368" s="57" t="s">
        <v>3051</v>
      </c>
      <c r="D2368" s="57" t="s">
        <v>45</v>
      </c>
      <c r="E2368" s="57" t="s">
        <v>9</v>
      </c>
      <c r="F2368" s="58" t="s">
        <v>6236</v>
      </c>
      <c r="G2368" s="57">
        <v>10</v>
      </c>
      <c r="H2368" s="57" t="s">
        <v>2557</v>
      </c>
      <c r="I2368" s="58">
        <v>88954</v>
      </c>
      <c r="J2368" s="234" t="s">
        <v>709</v>
      </c>
      <c r="K2368" s="58">
        <v>4.3899999999999997</v>
      </c>
      <c r="L2368" s="58">
        <v>0.71</v>
      </c>
      <c r="M2368" s="58">
        <v>0</v>
      </c>
      <c r="N2368" s="58">
        <v>1</v>
      </c>
      <c r="O2368" s="181">
        <f t="shared" si="18"/>
        <v>3.6799999999999997</v>
      </c>
      <c r="P2368" s="247">
        <f t="shared" si="19"/>
        <v>3.6799999999999997</v>
      </c>
    </row>
    <row r="2369" spans="1:16" ht="14.25">
      <c r="A2369" s="224">
        <v>2368</v>
      </c>
      <c r="B2369" s="58">
        <v>35044</v>
      </c>
      <c r="C2369" s="57" t="s">
        <v>6237</v>
      </c>
      <c r="D2369" s="57" t="s">
        <v>2582</v>
      </c>
      <c r="E2369" s="57" t="s">
        <v>4772</v>
      </c>
      <c r="F2369" s="58" t="s">
        <v>6238</v>
      </c>
      <c r="G2369" s="57">
        <v>10</v>
      </c>
      <c r="H2369" s="57" t="s">
        <v>2557</v>
      </c>
      <c r="I2369" s="58">
        <v>91103</v>
      </c>
      <c r="J2369" s="234" t="s">
        <v>1957</v>
      </c>
      <c r="K2369" s="58">
        <v>56.84</v>
      </c>
      <c r="L2369" s="58">
        <v>0.24</v>
      </c>
      <c r="M2369" s="58">
        <v>0</v>
      </c>
      <c r="N2369" s="58">
        <v>7.1142899999999996</v>
      </c>
      <c r="O2369" s="181">
        <f t="shared" si="18"/>
        <v>56.6</v>
      </c>
      <c r="P2369" s="247">
        <f t="shared" si="19"/>
        <v>7.9558185005109445</v>
      </c>
    </row>
    <row r="2370" spans="1:16" ht="14.25">
      <c r="A2370" s="224">
        <v>2369</v>
      </c>
      <c r="B2370" s="58">
        <v>6794</v>
      </c>
      <c r="C2370" s="57" t="s">
        <v>2623</v>
      </c>
      <c r="D2370" s="57" t="s">
        <v>45</v>
      </c>
      <c r="E2370" s="57" t="s">
        <v>2874</v>
      </c>
      <c r="F2370" s="233">
        <v>45668.030555555553</v>
      </c>
      <c r="G2370" s="234" t="s">
        <v>216</v>
      </c>
      <c r="H2370" s="57" t="s">
        <v>2557</v>
      </c>
      <c r="I2370" s="58">
        <v>91115</v>
      </c>
      <c r="J2370" s="57" t="s">
        <v>6239</v>
      </c>
      <c r="K2370" s="58">
        <v>98.44</v>
      </c>
      <c r="L2370" s="58">
        <v>0</v>
      </c>
      <c r="M2370" s="58">
        <v>0</v>
      </c>
      <c r="N2370" s="58">
        <v>1</v>
      </c>
      <c r="O2370" s="181">
        <f t="shared" si="18"/>
        <v>98.44</v>
      </c>
      <c r="P2370" s="247">
        <f t="shared" si="19"/>
        <v>98.44</v>
      </c>
    </row>
    <row r="2371" spans="1:16" ht="14.25">
      <c r="A2371" s="224">
        <v>2370</v>
      </c>
      <c r="B2371" s="58">
        <v>20647</v>
      </c>
      <c r="C2371" s="57" t="s">
        <v>3558</v>
      </c>
      <c r="D2371" s="57" t="s">
        <v>2582</v>
      </c>
      <c r="E2371" s="57" t="s">
        <v>4772</v>
      </c>
      <c r="F2371" s="233">
        <v>45668.460416666669</v>
      </c>
      <c r="G2371" s="234" t="s">
        <v>216</v>
      </c>
      <c r="H2371" s="57" t="s">
        <v>2557</v>
      </c>
      <c r="I2371" s="58">
        <v>91175</v>
      </c>
      <c r="J2371" s="57" t="s">
        <v>1973</v>
      </c>
      <c r="K2371" s="58">
        <v>56.86</v>
      </c>
      <c r="L2371" s="58">
        <v>0.24</v>
      </c>
      <c r="M2371" s="58">
        <v>0</v>
      </c>
      <c r="N2371" s="58">
        <v>7.1161500000000002</v>
      </c>
      <c r="O2371" s="181">
        <f t="shared" si="18"/>
        <v>56.62</v>
      </c>
      <c r="P2371" s="247">
        <f t="shared" si="19"/>
        <v>7.9565495387252936</v>
      </c>
    </row>
    <row r="2372" spans="1:16" ht="14.25">
      <c r="A2372" s="224">
        <v>2371</v>
      </c>
      <c r="B2372" s="58">
        <v>25286</v>
      </c>
      <c r="C2372" s="57" t="s">
        <v>4583</v>
      </c>
      <c r="D2372" s="57" t="s">
        <v>2582</v>
      </c>
      <c r="E2372" s="57" t="s">
        <v>2860</v>
      </c>
      <c r="F2372" s="233">
        <v>45668.697222222225</v>
      </c>
      <c r="G2372" s="234" t="s">
        <v>216</v>
      </c>
      <c r="H2372" s="57" t="s">
        <v>2557</v>
      </c>
      <c r="I2372" s="58">
        <v>89158</v>
      </c>
      <c r="J2372" s="57" t="s">
        <v>6240</v>
      </c>
      <c r="K2372" s="58">
        <v>143.82</v>
      </c>
      <c r="L2372" s="58">
        <v>0</v>
      </c>
      <c r="M2372" s="58">
        <v>0</v>
      </c>
      <c r="N2372" s="58">
        <v>7.1161500000000002</v>
      </c>
      <c r="O2372" s="181">
        <f t="shared" si="18"/>
        <v>143.82</v>
      </c>
      <c r="P2372" s="247">
        <f t="shared" si="19"/>
        <v>20.21036656056997</v>
      </c>
    </row>
    <row r="2373" spans="1:16" ht="14.25">
      <c r="A2373" s="224">
        <v>2372</v>
      </c>
      <c r="B2373" s="58">
        <v>35112</v>
      </c>
      <c r="C2373" s="57" t="s">
        <v>6241</v>
      </c>
      <c r="D2373" s="57" t="s">
        <v>2582</v>
      </c>
      <c r="E2373" s="57" t="s">
        <v>4772</v>
      </c>
      <c r="F2373" s="233">
        <v>45668.856249999997</v>
      </c>
      <c r="G2373" s="234" t="s">
        <v>216</v>
      </c>
      <c r="H2373" s="57" t="s">
        <v>2557</v>
      </c>
      <c r="I2373" s="58">
        <v>91211</v>
      </c>
      <c r="J2373" s="57" t="s">
        <v>1971</v>
      </c>
      <c r="K2373" s="58">
        <v>725.81</v>
      </c>
      <c r="L2373" s="58">
        <v>2.96</v>
      </c>
      <c r="M2373" s="58">
        <v>0</v>
      </c>
      <c r="N2373" s="58">
        <v>7.1161500000000002</v>
      </c>
      <c r="O2373" s="181">
        <f t="shared" si="18"/>
        <v>722.84999999999991</v>
      </c>
      <c r="P2373" s="247">
        <f t="shared" si="19"/>
        <v>101.57880314495898</v>
      </c>
    </row>
    <row r="2374" spans="1:16" ht="14.25">
      <c r="A2374" s="224">
        <v>2373</v>
      </c>
      <c r="B2374" s="58">
        <v>35118</v>
      </c>
      <c r="C2374" s="57" t="s">
        <v>6242</v>
      </c>
      <c r="D2374" s="57" t="s">
        <v>2582</v>
      </c>
      <c r="E2374" s="57" t="s">
        <v>4772</v>
      </c>
      <c r="F2374" s="233">
        <v>45699.131944444445</v>
      </c>
      <c r="G2374" s="234" t="s">
        <v>216</v>
      </c>
      <c r="H2374" s="57" t="s">
        <v>2557</v>
      </c>
      <c r="I2374" s="58">
        <v>91235</v>
      </c>
      <c r="J2374" s="57" t="s">
        <v>1969</v>
      </c>
      <c r="K2374" s="58">
        <v>71.09</v>
      </c>
      <c r="L2374" s="58">
        <v>0.28999999999999998</v>
      </c>
      <c r="M2374" s="58">
        <v>0</v>
      </c>
      <c r="N2374" s="58">
        <v>7.1161500000000002</v>
      </c>
      <c r="O2374" s="181">
        <f t="shared" si="18"/>
        <v>70.8</v>
      </c>
      <c r="P2374" s="247">
        <f t="shared" si="19"/>
        <v>9.9492000590206775</v>
      </c>
    </row>
    <row r="2375" spans="1:16" ht="14.25">
      <c r="A2375" s="224">
        <v>2374</v>
      </c>
      <c r="B2375" s="58">
        <v>26237</v>
      </c>
      <c r="C2375" s="57" t="s">
        <v>4786</v>
      </c>
      <c r="D2375" s="57" t="s">
        <v>45</v>
      </c>
      <c r="E2375" s="57" t="s">
        <v>4772</v>
      </c>
      <c r="F2375" s="233">
        <v>45699.477083333331</v>
      </c>
      <c r="G2375" s="234" t="s">
        <v>216</v>
      </c>
      <c r="H2375" s="57" t="s">
        <v>2557</v>
      </c>
      <c r="I2375" s="58">
        <v>91319</v>
      </c>
      <c r="J2375" s="57" t="s">
        <v>1983</v>
      </c>
      <c r="K2375" s="58">
        <v>56.79</v>
      </c>
      <c r="L2375" s="58">
        <v>1.65</v>
      </c>
      <c r="M2375" s="58">
        <v>0</v>
      </c>
      <c r="N2375" s="58">
        <v>1</v>
      </c>
      <c r="O2375" s="181">
        <f t="shared" si="18"/>
        <v>55.14</v>
      </c>
      <c r="P2375" s="247">
        <f t="shared" si="19"/>
        <v>55.14</v>
      </c>
    </row>
    <row r="2376" spans="1:16" ht="14.25">
      <c r="A2376" s="224">
        <v>2375</v>
      </c>
      <c r="B2376" s="58">
        <v>34641</v>
      </c>
      <c r="C2376" s="57" t="s">
        <v>6160</v>
      </c>
      <c r="D2376" s="57" t="s">
        <v>2582</v>
      </c>
      <c r="E2376" s="57" t="s">
        <v>4772</v>
      </c>
      <c r="F2376" s="233">
        <v>45699.492361111108</v>
      </c>
      <c r="G2376" s="234" t="s">
        <v>216</v>
      </c>
      <c r="H2376" s="57" t="s">
        <v>2557</v>
      </c>
      <c r="I2376" s="58">
        <v>91223</v>
      </c>
      <c r="J2376" s="57" t="s">
        <v>1981</v>
      </c>
      <c r="K2376" s="58">
        <v>333</v>
      </c>
      <c r="L2376" s="58">
        <v>1.36</v>
      </c>
      <c r="M2376" s="58">
        <v>0</v>
      </c>
      <c r="N2376" s="58">
        <v>7.1161500000000002</v>
      </c>
      <c r="O2376" s="181">
        <f t="shared" si="18"/>
        <v>331.64</v>
      </c>
      <c r="P2376" s="247">
        <f t="shared" si="19"/>
        <v>46.603851801887252</v>
      </c>
    </row>
    <row r="2377" spans="1:16" ht="14.25">
      <c r="A2377" s="224">
        <v>2376</v>
      </c>
      <c r="B2377" s="58">
        <v>25241</v>
      </c>
      <c r="C2377" s="57" t="s">
        <v>6243</v>
      </c>
      <c r="D2377" s="57" t="s">
        <v>2582</v>
      </c>
      <c r="E2377" s="57" t="s">
        <v>4772</v>
      </c>
      <c r="F2377" s="233">
        <v>45699.538888888892</v>
      </c>
      <c r="G2377" s="234" t="s">
        <v>216</v>
      </c>
      <c r="H2377" s="57" t="s">
        <v>2557</v>
      </c>
      <c r="I2377" s="58">
        <v>91331</v>
      </c>
      <c r="J2377" s="57" t="s">
        <v>1979</v>
      </c>
      <c r="K2377" s="58">
        <v>45.49</v>
      </c>
      <c r="L2377" s="58">
        <v>0.19</v>
      </c>
      <c r="M2377" s="58">
        <v>0</v>
      </c>
      <c r="N2377" s="58">
        <v>7.1161500000000002</v>
      </c>
      <c r="O2377" s="181">
        <f t="shared" si="18"/>
        <v>45.300000000000004</v>
      </c>
      <c r="P2377" s="247">
        <f t="shared" si="19"/>
        <v>6.3658017326784853</v>
      </c>
    </row>
    <row r="2378" spans="1:16" ht="14.25">
      <c r="A2378" s="224">
        <v>2377</v>
      </c>
      <c r="B2378" s="58">
        <v>35114</v>
      </c>
      <c r="C2378" s="57" t="s">
        <v>6244</v>
      </c>
      <c r="D2378" s="57" t="s">
        <v>2582</v>
      </c>
      <c r="E2378" s="57" t="s">
        <v>9</v>
      </c>
      <c r="F2378" s="233">
        <v>45699.689583333333</v>
      </c>
      <c r="G2378" s="234" t="s">
        <v>216</v>
      </c>
      <c r="H2378" s="57" t="s">
        <v>2557</v>
      </c>
      <c r="I2378" s="58">
        <v>91343</v>
      </c>
      <c r="J2378" s="57" t="s">
        <v>711</v>
      </c>
      <c r="K2378" s="58">
        <v>31.95</v>
      </c>
      <c r="L2378" s="58">
        <v>5.05</v>
      </c>
      <c r="M2378" s="58">
        <v>0</v>
      </c>
      <c r="N2378" s="58">
        <v>7.1161500000000002</v>
      </c>
      <c r="O2378" s="181">
        <f t="shared" si="18"/>
        <v>26.9</v>
      </c>
      <c r="P2378" s="247">
        <f t="shared" si="19"/>
        <v>3.7801339207296079</v>
      </c>
    </row>
    <row r="2379" spans="1:16" ht="14.25">
      <c r="A2379" s="224">
        <v>2378</v>
      </c>
      <c r="B2379" s="58">
        <v>26089</v>
      </c>
      <c r="C2379" s="57" t="s">
        <v>4759</v>
      </c>
      <c r="D2379" s="57" t="s">
        <v>2582</v>
      </c>
      <c r="E2379" s="57" t="s">
        <v>4772</v>
      </c>
      <c r="F2379" s="233">
        <v>45699.797222222223</v>
      </c>
      <c r="G2379" s="234" t="s">
        <v>216</v>
      </c>
      <c r="H2379" s="57" t="s">
        <v>2557</v>
      </c>
      <c r="I2379" s="58">
        <v>89170</v>
      </c>
      <c r="J2379" s="57" t="s">
        <v>1977</v>
      </c>
      <c r="K2379" s="58">
        <v>393.84</v>
      </c>
      <c r="L2379" s="58">
        <v>1.61</v>
      </c>
      <c r="M2379" s="58">
        <v>0</v>
      </c>
      <c r="N2379" s="58">
        <v>7.1161500000000002</v>
      </c>
      <c r="O2379" s="181">
        <f t="shared" si="18"/>
        <v>392.22999999999996</v>
      </c>
      <c r="P2379" s="247">
        <f t="shared" si="19"/>
        <v>55.118287276125429</v>
      </c>
    </row>
    <row r="2380" spans="1:16" ht="14.25">
      <c r="A2380" s="224">
        <v>2379</v>
      </c>
      <c r="B2380" s="58">
        <v>21990</v>
      </c>
      <c r="C2380" s="57" t="s">
        <v>3821</v>
      </c>
      <c r="D2380" s="57" t="s">
        <v>45</v>
      </c>
      <c r="E2380" s="57" t="s">
        <v>2860</v>
      </c>
      <c r="F2380" s="233">
        <v>45699.857638888891</v>
      </c>
      <c r="G2380" s="234" t="s">
        <v>216</v>
      </c>
      <c r="H2380" s="57" t="s">
        <v>2557</v>
      </c>
      <c r="I2380" s="58">
        <v>91283</v>
      </c>
      <c r="J2380" s="57" t="s">
        <v>6245</v>
      </c>
      <c r="K2380" s="58">
        <v>37.090000000000003</v>
      </c>
      <c r="L2380" s="58">
        <v>0</v>
      </c>
      <c r="M2380" s="58">
        <v>0</v>
      </c>
      <c r="N2380" s="58">
        <v>1</v>
      </c>
      <c r="O2380" s="181">
        <f t="shared" si="18"/>
        <v>37.090000000000003</v>
      </c>
      <c r="P2380" s="247">
        <f t="shared" si="19"/>
        <v>37.090000000000003</v>
      </c>
    </row>
    <row r="2381" spans="1:16" ht="14.25">
      <c r="A2381" s="224">
        <v>2380</v>
      </c>
      <c r="B2381" s="58">
        <v>22778</v>
      </c>
      <c r="C2381" s="57" t="s">
        <v>3929</v>
      </c>
      <c r="D2381" s="57" t="s">
        <v>45</v>
      </c>
      <c r="E2381" s="57" t="s">
        <v>9</v>
      </c>
      <c r="F2381" s="233">
        <v>45699.861805555556</v>
      </c>
      <c r="G2381" s="234" t="s">
        <v>216</v>
      </c>
      <c r="H2381" s="57" t="s">
        <v>2557</v>
      </c>
      <c r="I2381" s="58">
        <v>91355</v>
      </c>
      <c r="J2381" s="57" t="s">
        <v>712</v>
      </c>
      <c r="K2381" s="58">
        <v>4.49</v>
      </c>
      <c r="L2381" s="58">
        <v>0.71</v>
      </c>
      <c r="M2381" s="58">
        <v>0</v>
      </c>
      <c r="N2381" s="58">
        <v>1</v>
      </c>
      <c r="O2381" s="181">
        <f t="shared" si="18"/>
        <v>3.7800000000000002</v>
      </c>
      <c r="P2381" s="247">
        <f t="shared" si="19"/>
        <v>3.7800000000000002</v>
      </c>
    </row>
    <row r="2382" spans="1:16" ht="14.25">
      <c r="A2382" s="224">
        <v>2381</v>
      </c>
      <c r="B2382" s="58">
        <v>29080</v>
      </c>
      <c r="C2382" s="57" t="s">
        <v>5467</v>
      </c>
      <c r="D2382" s="57" t="s">
        <v>45</v>
      </c>
      <c r="E2382" s="57" t="s">
        <v>4772</v>
      </c>
      <c r="F2382" s="233">
        <v>45699.913194444445</v>
      </c>
      <c r="G2382" s="234" t="s">
        <v>216</v>
      </c>
      <c r="H2382" s="57" t="s">
        <v>2557</v>
      </c>
      <c r="I2382" s="58">
        <v>91379</v>
      </c>
      <c r="J2382" s="57" t="s">
        <v>1975</v>
      </c>
      <c r="K2382" s="58">
        <v>28.99</v>
      </c>
      <c r="L2382" s="58">
        <v>0.84</v>
      </c>
      <c r="M2382" s="58">
        <v>0</v>
      </c>
      <c r="N2382" s="58">
        <v>1</v>
      </c>
      <c r="O2382" s="181">
        <f t="shared" si="18"/>
        <v>28.15</v>
      </c>
      <c r="P2382" s="247">
        <f t="shared" si="19"/>
        <v>28.15</v>
      </c>
    </row>
    <row r="2383" spans="1:16" ht="14.25">
      <c r="A2383" s="224">
        <v>2382</v>
      </c>
      <c r="B2383" s="58">
        <v>29363</v>
      </c>
      <c r="C2383" s="244">
        <v>45658</v>
      </c>
      <c r="D2383" s="57" t="s">
        <v>2582</v>
      </c>
      <c r="E2383" s="57" t="s">
        <v>9</v>
      </c>
      <c r="F2383" s="233">
        <v>45727.034722222219</v>
      </c>
      <c r="G2383" s="234" t="s">
        <v>216</v>
      </c>
      <c r="H2383" s="57" t="s">
        <v>2557</v>
      </c>
      <c r="I2383" s="58">
        <v>84922</v>
      </c>
      <c r="J2383" s="57" t="s">
        <v>714</v>
      </c>
      <c r="K2383" s="58">
        <v>164.65</v>
      </c>
      <c r="L2383" s="58">
        <v>11.67</v>
      </c>
      <c r="M2383" s="58">
        <v>0</v>
      </c>
      <c r="N2383" s="58">
        <v>7.1161500000000002</v>
      </c>
      <c r="O2383" s="181">
        <f t="shared" si="18"/>
        <v>152.98000000000002</v>
      </c>
      <c r="P2383" s="247">
        <f t="shared" si="19"/>
        <v>21.497579449561915</v>
      </c>
    </row>
    <row r="2384" spans="1:16" ht="14.25">
      <c r="A2384" s="224">
        <v>2383</v>
      </c>
      <c r="B2384" s="58">
        <v>29086</v>
      </c>
      <c r="C2384" s="57" t="s">
        <v>5514</v>
      </c>
      <c r="D2384" s="57" t="s">
        <v>2582</v>
      </c>
      <c r="E2384" s="57" t="s">
        <v>2860</v>
      </c>
      <c r="F2384" s="233">
        <v>45727.243055555555</v>
      </c>
      <c r="G2384" s="234" t="s">
        <v>216</v>
      </c>
      <c r="H2384" s="57" t="s">
        <v>2557</v>
      </c>
      <c r="I2384" s="58">
        <v>90503</v>
      </c>
      <c r="J2384" s="57" t="s">
        <v>6246</v>
      </c>
      <c r="K2384" s="58">
        <v>430.95</v>
      </c>
      <c r="L2384" s="58">
        <v>0</v>
      </c>
      <c r="M2384" s="58">
        <v>0</v>
      </c>
      <c r="N2384" s="58">
        <v>7.1161500000000002</v>
      </c>
      <c r="O2384" s="181">
        <f t="shared" si="18"/>
        <v>430.95</v>
      </c>
      <c r="P2384" s="247">
        <f t="shared" si="19"/>
        <v>60.559431715183067</v>
      </c>
    </row>
    <row r="2385" spans="1:16" ht="14.25">
      <c r="A2385" s="224">
        <v>2384</v>
      </c>
      <c r="B2385" s="58">
        <v>27801</v>
      </c>
      <c r="C2385" s="57" t="s">
        <v>6247</v>
      </c>
      <c r="D2385" s="57" t="s">
        <v>2582</v>
      </c>
      <c r="E2385" s="57" t="s">
        <v>4772</v>
      </c>
      <c r="F2385" s="233">
        <v>45727.460416666669</v>
      </c>
      <c r="G2385" s="234" t="s">
        <v>216</v>
      </c>
      <c r="H2385" s="57" t="s">
        <v>2557</v>
      </c>
      <c r="I2385" s="58">
        <v>91523</v>
      </c>
      <c r="J2385" s="57" t="s">
        <v>1997</v>
      </c>
      <c r="K2385" s="58">
        <v>25.25</v>
      </c>
      <c r="L2385" s="58">
        <v>0.11</v>
      </c>
      <c r="M2385" s="58">
        <v>0</v>
      </c>
      <c r="N2385" s="58">
        <v>7.1161500000000002</v>
      </c>
      <c r="O2385" s="181">
        <f t="shared" si="18"/>
        <v>25.14</v>
      </c>
      <c r="P2385" s="247">
        <f t="shared" si="19"/>
        <v>3.5328091734997153</v>
      </c>
    </row>
    <row r="2386" spans="1:16" ht="14.25">
      <c r="A2386" s="224">
        <v>2385</v>
      </c>
      <c r="B2386" s="58">
        <v>34576</v>
      </c>
      <c r="C2386" s="57" t="s">
        <v>6086</v>
      </c>
      <c r="D2386" s="57" t="s">
        <v>45</v>
      </c>
      <c r="E2386" s="57" t="s">
        <v>4772</v>
      </c>
      <c r="F2386" s="233">
        <v>45727.470138888886</v>
      </c>
      <c r="G2386" s="234" t="s">
        <v>216</v>
      </c>
      <c r="H2386" s="57" t="s">
        <v>2557</v>
      </c>
      <c r="I2386" s="58">
        <v>91571</v>
      </c>
      <c r="J2386" s="57" t="s">
        <v>1995</v>
      </c>
      <c r="K2386" s="58">
        <v>120</v>
      </c>
      <c r="L2386" s="58">
        <v>3.48</v>
      </c>
      <c r="M2386" s="58">
        <v>0</v>
      </c>
      <c r="N2386" s="58">
        <v>1</v>
      </c>
      <c r="O2386" s="181">
        <f t="shared" si="18"/>
        <v>116.52</v>
      </c>
      <c r="P2386" s="247">
        <f t="shared" si="19"/>
        <v>116.52</v>
      </c>
    </row>
    <row r="2387" spans="1:16" ht="14.25">
      <c r="A2387" s="224">
        <v>2386</v>
      </c>
      <c r="B2387" s="58">
        <v>35114</v>
      </c>
      <c r="C2387" s="57" t="s">
        <v>6244</v>
      </c>
      <c r="D2387" s="57" t="s">
        <v>2582</v>
      </c>
      <c r="E2387" s="57" t="s">
        <v>9</v>
      </c>
      <c r="F2387" s="233">
        <v>45727.495138888888</v>
      </c>
      <c r="G2387" s="234" t="s">
        <v>216</v>
      </c>
      <c r="H2387" s="57" t="s">
        <v>6248</v>
      </c>
      <c r="I2387" s="58">
        <v>91343</v>
      </c>
      <c r="J2387" s="57"/>
      <c r="K2387" s="58">
        <v>0</v>
      </c>
      <c r="L2387" s="58">
        <v>-5.05</v>
      </c>
      <c r="M2387" s="58">
        <v>31.95</v>
      </c>
      <c r="N2387" s="58">
        <v>7.1161500000000002</v>
      </c>
      <c r="O2387" s="181">
        <f t="shared" si="18"/>
        <v>-26.9</v>
      </c>
      <c r="P2387" s="247">
        <f t="shared" si="19"/>
        <v>-3.7801339207296079</v>
      </c>
    </row>
    <row r="2388" spans="1:16" ht="14.25">
      <c r="A2388" s="224">
        <v>2387</v>
      </c>
      <c r="B2388" s="58">
        <v>35163</v>
      </c>
      <c r="C2388" s="57" t="s">
        <v>6249</v>
      </c>
      <c r="D2388" s="57" t="s">
        <v>45</v>
      </c>
      <c r="E2388" s="57" t="s">
        <v>4772</v>
      </c>
      <c r="F2388" s="233">
        <v>45727.5</v>
      </c>
      <c r="G2388" s="234" t="s">
        <v>216</v>
      </c>
      <c r="H2388" s="57" t="s">
        <v>2557</v>
      </c>
      <c r="I2388" s="58">
        <v>91595</v>
      </c>
      <c r="J2388" s="57" t="s">
        <v>1993</v>
      </c>
      <c r="K2388" s="58">
        <v>60</v>
      </c>
      <c r="L2388" s="58">
        <v>1.74</v>
      </c>
      <c r="M2388" s="58">
        <v>0</v>
      </c>
      <c r="N2388" s="58">
        <v>1</v>
      </c>
      <c r="O2388" s="181">
        <f t="shared" si="18"/>
        <v>58.26</v>
      </c>
      <c r="P2388" s="247">
        <f t="shared" si="19"/>
        <v>58.26</v>
      </c>
    </row>
    <row r="2389" spans="1:16" ht="14.25">
      <c r="A2389" s="224">
        <v>2388</v>
      </c>
      <c r="B2389" s="58">
        <v>35165</v>
      </c>
      <c r="C2389" s="57" t="s">
        <v>6250</v>
      </c>
      <c r="D2389" s="57" t="s">
        <v>45</v>
      </c>
      <c r="E2389" s="57" t="s">
        <v>2860</v>
      </c>
      <c r="F2389" s="233">
        <v>45727.567361111112</v>
      </c>
      <c r="G2389" s="234" t="s">
        <v>216</v>
      </c>
      <c r="H2389" s="57" t="s">
        <v>2557</v>
      </c>
      <c r="I2389" s="58">
        <v>91607</v>
      </c>
      <c r="J2389" s="57" t="s">
        <v>6251</v>
      </c>
      <c r="K2389" s="58">
        <v>60</v>
      </c>
      <c r="L2389" s="58">
        <v>0</v>
      </c>
      <c r="M2389" s="58">
        <v>0</v>
      </c>
      <c r="N2389" s="58">
        <v>1</v>
      </c>
      <c r="O2389" s="181">
        <f t="shared" si="18"/>
        <v>60</v>
      </c>
      <c r="P2389" s="247">
        <f t="shared" si="19"/>
        <v>60</v>
      </c>
    </row>
    <row r="2390" spans="1:16" ht="14.25">
      <c r="A2390" s="224">
        <v>2389</v>
      </c>
      <c r="B2390" s="58">
        <v>8817</v>
      </c>
      <c r="C2390" s="57" t="s">
        <v>2775</v>
      </c>
      <c r="D2390" s="57" t="s">
        <v>45</v>
      </c>
      <c r="E2390" s="57" t="s">
        <v>4772</v>
      </c>
      <c r="F2390" s="233">
        <v>45727.594444444447</v>
      </c>
      <c r="G2390" s="234" t="s">
        <v>216</v>
      </c>
      <c r="H2390" s="57" t="s">
        <v>2557</v>
      </c>
      <c r="I2390" s="58">
        <v>91619</v>
      </c>
      <c r="J2390" s="57" t="s">
        <v>1991</v>
      </c>
      <c r="K2390" s="58">
        <v>120</v>
      </c>
      <c r="L2390" s="58">
        <v>3.48</v>
      </c>
      <c r="M2390" s="58">
        <v>0</v>
      </c>
      <c r="N2390" s="58">
        <v>1</v>
      </c>
      <c r="O2390" s="181">
        <f t="shared" si="18"/>
        <v>116.52</v>
      </c>
      <c r="P2390" s="247">
        <f t="shared" si="19"/>
        <v>116.52</v>
      </c>
    </row>
    <row r="2391" spans="1:16" ht="14.25">
      <c r="A2391" s="224">
        <v>2390</v>
      </c>
      <c r="B2391" s="58">
        <v>25274</v>
      </c>
      <c r="C2391" s="57" t="s">
        <v>4573</v>
      </c>
      <c r="D2391" s="57" t="s">
        <v>2582</v>
      </c>
      <c r="E2391" s="57" t="s">
        <v>2860</v>
      </c>
      <c r="F2391" s="233">
        <v>45727.63958333333</v>
      </c>
      <c r="G2391" s="234" t="s">
        <v>216</v>
      </c>
      <c r="H2391" s="57" t="s">
        <v>2557</v>
      </c>
      <c r="I2391" s="58">
        <v>90215</v>
      </c>
      <c r="J2391" s="57" t="s">
        <v>6252</v>
      </c>
      <c r="K2391" s="58">
        <v>109.87</v>
      </c>
      <c r="L2391" s="58">
        <v>0</v>
      </c>
      <c r="M2391" s="58">
        <v>0</v>
      </c>
      <c r="N2391" s="58">
        <v>7.1161500000000002</v>
      </c>
      <c r="O2391" s="181">
        <f t="shared" si="18"/>
        <v>109.87</v>
      </c>
      <c r="P2391" s="247">
        <f t="shared" si="19"/>
        <v>15.439528396675168</v>
      </c>
    </row>
    <row r="2392" spans="1:16" ht="14.25">
      <c r="A2392" s="224">
        <v>2391</v>
      </c>
      <c r="B2392" s="58">
        <v>25274</v>
      </c>
      <c r="C2392" s="57" t="s">
        <v>4573</v>
      </c>
      <c r="D2392" s="57" t="s">
        <v>2582</v>
      </c>
      <c r="E2392" s="57" t="s">
        <v>4772</v>
      </c>
      <c r="F2392" s="233">
        <v>45727.652777777781</v>
      </c>
      <c r="G2392" s="234" t="s">
        <v>216</v>
      </c>
      <c r="H2392" s="57" t="s">
        <v>2557</v>
      </c>
      <c r="I2392" s="58">
        <v>91631</v>
      </c>
      <c r="J2392" s="57" t="s">
        <v>1989</v>
      </c>
      <c r="K2392" s="58">
        <v>214.97</v>
      </c>
      <c r="L2392" s="58">
        <v>0.88</v>
      </c>
      <c r="M2392" s="58">
        <v>0</v>
      </c>
      <c r="N2392" s="58">
        <v>7.1161500000000002</v>
      </c>
      <c r="O2392" s="181">
        <f t="shared" si="18"/>
        <v>214.09</v>
      </c>
      <c r="P2392" s="247">
        <f t="shared" si="19"/>
        <v>30.085088144572556</v>
      </c>
    </row>
    <row r="2393" spans="1:16" ht="14.25">
      <c r="A2393" s="224">
        <v>2392</v>
      </c>
      <c r="B2393" s="58">
        <v>21339</v>
      </c>
      <c r="C2393" s="57" t="s">
        <v>3675</v>
      </c>
      <c r="D2393" s="57" t="s">
        <v>45</v>
      </c>
      <c r="E2393" s="57" t="s">
        <v>4772</v>
      </c>
      <c r="F2393" s="233">
        <v>45727.824999999997</v>
      </c>
      <c r="G2393" s="234" t="s">
        <v>216</v>
      </c>
      <c r="H2393" s="57" t="s">
        <v>2557</v>
      </c>
      <c r="I2393" s="58">
        <v>90515</v>
      </c>
      <c r="J2393" s="57" t="s">
        <v>1987</v>
      </c>
      <c r="K2393" s="58">
        <v>11.69</v>
      </c>
      <c r="L2393" s="58">
        <v>0.34</v>
      </c>
      <c r="M2393" s="58">
        <v>0</v>
      </c>
      <c r="N2393" s="58">
        <v>1</v>
      </c>
      <c r="O2393" s="181">
        <f t="shared" si="18"/>
        <v>11.35</v>
      </c>
      <c r="P2393" s="247">
        <f t="shared" si="19"/>
        <v>11.35</v>
      </c>
    </row>
    <row r="2394" spans="1:16" ht="14.25">
      <c r="A2394" s="224">
        <v>2393</v>
      </c>
      <c r="B2394" s="58">
        <v>35173</v>
      </c>
      <c r="C2394" s="57" t="s">
        <v>6253</v>
      </c>
      <c r="D2394" s="57" t="s">
        <v>45</v>
      </c>
      <c r="E2394" s="57" t="s">
        <v>4772</v>
      </c>
      <c r="F2394" s="233">
        <v>45727.938194444447</v>
      </c>
      <c r="G2394" s="234" t="s">
        <v>216</v>
      </c>
      <c r="H2394" s="57" t="s">
        <v>2557</v>
      </c>
      <c r="I2394" s="58">
        <v>91643</v>
      </c>
      <c r="J2394" s="57" t="s">
        <v>1985</v>
      </c>
      <c r="K2394" s="58">
        <v>3.99</v>
      </c>
      <c r="L2394" s="58">
        <v>0.12</v>
      </c>
      <c r="M2394" s="58">
        <v>0</v>
      </c>
      <c r="N2394" s="58">
        <v>1</v>
      </c>
      <c r="O2394" s="181">
        <f t="shared" si="18"/>
        <v>3.87</v>
      </c>
      <c r="P2394" s="247">
        <f t="shared" si="19"/>
        <v>3.87</v>
      </c>
    </row>
    <row r="2395" spans="1:16" ht="14.25">
      <c r="A2395" s="224">
        <v>2394</v>
      </c>
      <c r="B2395" s="58">
        <v>19314</v>
      </c>
      <c r="C2395" s="57" t="s">
        <v>3119</v>
      </c>
      <c r="D2395" s="57" t="s">
        <v>45</v>
      </c>
      <c r="E2395" s="57" t="s">
        <v>2860</v>
      </c>
      <c r="F2395" s="233">
        <v>45758.40902777778</v>
      </c>
      <c r="G2395" s="234" t="s">
        <v>216</v>
      </c>
      <c r="H2395" s="57" t="s">
        <v>2557</v>
      </c>
      <c r="I2395" s="58">
        <v>91691</v>
      </c>
      <c r="J2395" s="57"/>
      <c r="K2395" s="58">
        <v>49.18</v>
      </c>
      <c r="L2395" s="58">
        <v>0</v>
      </c>
      <c r="M2395" s="58">
        <v>0</v>
      </c>
      <c r="N2395" s="58">
        <v>1</v>
      </c>
      <c r="O2395" s="181">
        <f t="shared" si="18"/>
        <v>49.18</v>
      </c>
      <c r="P2395" s="247">
        <f t="shared" si="19"/>
        <v>49.18</v>
      </c>
    </row>
    <row r="2396" spans="1:16" ht="14.25">
      <c r="A2396" s="224">
        <v>2395</v>
      </c>
      <c r="B2396" s="58">
        <v>6794</v>
      </c>
      <c r="C2396" s="57" t="s">
        <v>2623</v>
      </c>
      <c r="D2396" s="57" t="s">
        <v>45</v>
      </c>
      <c r="E2396" s="57" t="s">
        <v>2874</v>
      </c>
      <c r="F2396" s="233">
        <v>45758.426388888889</v>
      </c>
      <c r="G2396" s="234" t="s">
        <v>216</v>
      </c>
      <c r="H2396" s="57" t="s">
        <v>2557</v>
      </c>
      <c r="I2396" s="58">
        <v>91703</v>
      </c>
      <c r="J2396" s="57" t="s">
        <v>6254</v>
      </c>
      <c r="K2396" s="58">
        <v>147.54</v>
      </c>
      <c r="L2396" s="58">
        <v>0</v>
      </c>
      <c r="M2396" s="58">
        <v>0</v>
      </c>
      <c r="N2396" s="58">
        <v>1</v>
      </c>
      <c r="O2396" s="181">
        <f t="shared" si="18"/>
        <v>147.54</v>
      </c>
      <c r="P2396" s="247">
        <f t="shared" si="19"/>
        <v>147.54</v>
      </c>
    </row>
    <row r="2397" spans="1:16" ht="14.25">
      <c r="A2397" s="224">
        <v>2396</v>
      </c>
      <c r="B2397" s="58">
        <v>3340</v>
      </c>
      <c r="C2397" s="57" t="s">
        <v>6255</v>
      </c>
      <c r="D2397" s="57" t="s">
        <v>45</v>
      </c>
      <c r="E2397" s="57" t="s">
        <v>4772</v>
      </c>
      <c r="F2397" s="233">
        <v>45758.484722222223</v>
      </c>
      <c r="G2397" s="234" t="s">
        <v>216</v>
      </c>
      <c r="H2397" s="57" t="s">
        <v>2557</v>
      </c>
      <c r="I2397" s="58">
        <v>91859</v>
      </c>
      <c r="J2397" s="57" t="s">
        <v>2005</v>
      </c>
      <c r="K2397" s="58">
        <v>12.6</v>
      </c>
      <c r="L2397" s="58">
        <v>0.37</v>
      </c>
      <c r="M2397" s="58">
        <v>0</v>
      </c>
      <c r="N2397" s="58">
        <v>1</v>
      </c>
      <c r="O2397" s="181">
        <f t="shared" si="18"/>
        <v>12.23</v>
      </c>
      <c r="P2397" s="247">
        <f t="shared" si="19"/>
        <v>12.23</v>
      </c>
    </row>
    <row r="2398" spans="1:16" ht="14.25">
      <c r="A2398" s="224">
        <v>2397</v>
      </c>
      <c r="B2398" s="58">
        <v>18946</v>
      </c>
      <c r="C2398" s="57" t="s">
        <v>3070</v>
      </c>
      <c r="D2398" s="57" t="s">
        <v>2582</v>
      </c>
      <c r="E2398" s="57" t="s">
        <v>9</v>
      </c>
      <c r="F2398" s="233">
        <v>45758.572222222225</v>
      </c>
      <c r="G2398" s="234" t="s">
        <v>216</v>
      </c>
      <c r="H2398" s="57" t="s">
        <v>2557</v>
      </c>
      <c r="I2398" s="58">
        <v>90335</v>
      </c>
      <c r="J2398" s="57" t="s">
        <v>717</v>
      </c>
      <c r="K2398" s="58">
        <v>8.66</v>
      </c>
      <c r="L2398" s="58">
        <v>3.92</v>
      </c>
      <c r="M2398" s="58">
        <v>0</v>
      </c>
      <c r="N2398" s="58">
        <v>7.1206399999999999</v>
      </c>
      <c r="O2398" s="181">
        <f t="shared" si="18"/>
        <v>4.74</v>
      </c>
      <c r="P2398" s="247">
        <f t="shared" si="19"/>
        <v>0.6656705015279526</v>
      </c>
    </row>
    <row r="2399" spans="1:16" ht="14.25">
      <c r="A2399" s="224">
        <v>2398</v>
      </c>
      <c r="B2399" s="58">
        <v>35208</v>
      </c>
      <c r="C2399" s="57" t="s">
        <v>6256</v>
      </c>
      <c r="D2399" s="57" t="s">
        <v>45</v>
      </c>
      <c r="E2399" s="57" t="s">
        <v>4772</v>
      </c>
      <c r="F2399" s="233">
        <v>45758.591666666667</v>
      </c>
      <c r="G2399" s="234" t="s">
        <v>216</v>
      </c>
      <c r="H2399" s="57" t="s">
        <v>2557</v>
      </c>
      <c r="I2399" s="58">
        <v>91871</v>
      </c>
      <c r="J2399" s="57" t="s">
        <v>2003</v>
      </c>
      <c r="K2399" s="58">
        <v>60</v>
      </c>
      <c r="L2399" s="58">
        <v>1.74</v>
      </c>
      <c r="M2399" s="58">
        <v>0</v>
      </c>
      <c r="N2399" s="58">
        <v>1</v>
      </c>
      <c r="O2399" s="181">
        <f t="shared" si="18"/>
        <v>58.26</v>
      </c>
      <c r="P2399" s="247">
        <f t="shared" si="19"/>
        <v>58.26</v>
      </c>
    </row>
    <row r="2400" spans="1:16" ht="14.25">
      <c r="A2400" s="224">
        <v>2399</v>
      </c>
      <c r="B2400" s="58">
        <v>33999</v>
      </c>
      <c r="C2400" s="57" t="s">
        <v>5865</v>
      </c>
      <c r="D2400" s="57" t="s">
        <v>45</v>
      </c>
      <c r="E2400" s="57" t="s">
        <v>4772</v>
      </c>
      <c r="F2400" s="233">
        <v>45758.8125</v>
      </c>
      <c r="G2400" s="234" t="s">
        <v>216</v>
      </c>
      <c r="H2400" s="57" t="s">
        <v>2557</v>
      </c>
      <c r="I2400" s="58">
        <v>91499</v>
      </c>
      <c r="J2400" s="57" t="s">
        <v>2001</v>
      </c>
      <c r="K2400" s="58">
        <v>2.4900000000000002</v>
      </c>
      <c r="L2400" s="58">
        <v>0.08</v>
      </c>
      <c r="M2400" s="58">
        <v>0</v>
      </c>
      <c r="N2400" s="58">
        <v>1</v>
      </c>
      <c r="O2400" s="181">
        <f t="shared" si="18"/>
        <v>2.41</v>
      </c>
      <c r="P2400" s="247">
        <f t="shared" si="19"/>
        <v>2.41</v>
      </c>
    </row>
    <row r="2401" spans="1:16" ht="14.25">
      <c r="A2401" s="224">
        <v>2400</v>
      </c>
      <c r="B2401" s="58">
        <v>18477</v>
      </c>
      <c r="C2401" s="57" t="s">
        <v>2966</v>
      </c>
      <c r="D2401" s="57" t="s">
        <v>45</v>
      </c>
      <c r="E2401" s="57" t="s">
        <v>2874</v>
      </c>
      <c r="F2401" s="233">
        <v>45758.879166666666</v>
      </c>
      <c r="G2401" s="234" t="s">
        <v>216</v>
      </c>
      <c r="H2401" s="57" t="s">
        <v>2557</v>
      </c>
      <c r="I2401" s="58">
        <v>89579</v>
      </c>
      <c r="J2401" s="57"/>
      <c r="K2401" s="58">
        <v>110</v>
      </c>
      <c r="L2401" s="58">
        <v>0</v>
      </c>
      <c r="M2401" s="58">
        <v>0</v>
      </c>
      <c r="N2401" s="58">
        <v>1</v>
      </c>
      <c r="O2401" s="181">
        <f t="shared" si="18"/>
        <v>110</v>
      </c>
      <c r="P2401" s="247">
        <f t="shared" si="19"/>
        <v>110</v>
      </c>
    </row>
    <row r="2402" spans="1:16" ht="14.25">
      <c r="A2402" s="224">
        <v>2401</v>
      </c>
      <c r="B2402" s="58">
        <v>20647</v>
      </c>
      <c r="C2402" s="57" t="s">
        <v>3558</v>
      </c>
      <c r="D2402" s="57" t="s">
        <v>2582</v>
      </c>
      <c r="E2402" s="57" t="s">
        <v>4772</v>
      </c>
      <c r="F2402" s="233">
        <v>45758.9</v>
      </c>
      <c r="G2402" s="234" t="s">
        <v>216</v>
      </c>
      <c r="H2402" s="57" t="s">
        <v>2557</v>
      </c>
      <c r="I2402" s="58">
        <v>89495</v>
      </c>
      <c r="J2402" s="57" t="s">
        <v>1999</v>
      </c>
      <c r="K2402" s="58">
        <v>56.89</v>
      </c>
      <c r="L2402" s="58">
        <v>0.24</v>
      </c>
      <c r="M2402" s="58">
        <v>0</v>
      </c>
      <c r="N2402" s="58">
        <v>7.1206399999999999</v>
      </c>
      <c r="O2402" s="181">
        <f t="shared" si="18"/>
        <v>56.65</v>
      </c>
      <c r="P2402" s="247">
        <f t="shared" si="19"/>
        <v>7.9557455509617112</v>
      </c>
    </row>
    <row r="2403" spans="1:16" ht="14.25">
      <c r="A2403" s="224">
        <v>2402</v>
      </c>
      <c r="B2403" s="58">
        <v>24669</v>
      </c>
      <c r="C2403" s="57" t="s">
        <v>6257</v>
      </c>
      <c r="D2403" s="57" t="s">
        <v>2582</v>
      </c>
      <c r="E2403" s="57" t="s">
        <v>4772</v>
      </c>
      <c r="F2403" s="233">
        <v>45788.37777777778</v>
      </c>
      <c r="G2403" s="234" t="s">
        <v>216</v>
      </c>
      <c r="H2403" s="57" t="s">
        <v>2557</v>
      </c>
      <c r="I2403" s="58">
        <v>91943</v>
      </c>
      <c r="J2403" s="57" t="s">
        <v>2037</v>
      </c>
      <c r="K2403" s="58">
        <v>36.99</v>
      </c>
      <c r="L2403" s="58">
        <v>0.15</v>
      </c>
      <c r="M2403" s="58">
        <v>0</v>
      </c>
      <c r="N2403" s="58">
        <v>7.1253200000000003</v>
      </c>
      <c r="O2403" s="181">
        <f t="shared" si="18"/>
        <v>36.840000000000003</v>
      </c>
      <c r="P2403" s="247">
        <f t="shared" si="19"/>
        <v>5.1702941060892709</v>
      </c>
    </row>
    <row r="2404" spans="1:16" ht="14.25">
      <c r="A2404" s="224">
        <v>2403</v>
      </c>
      <c r="B2404" s="58">
        <v>33737</v>
      </c>
      <c r="C2404" s="57" t="s">
        <v>5787</v>
      </c>
      <c r="D2404" s="57" t="s">
        <v>2582</v>
      </c>
      <c r="E2404" s="57" t="s">
        <v>4772</v>
      </c>
      <c r="F2404" s="233">
        <v>45788.429166666669</v>
      </c>
      <c r="G2404" s="234" t="s">
        <v>216</v>
      </c>
      <c r="H2404" s="57" t="s">
        <v>2557</v>
      </c>
      <c r="I2404" s="58">
        <v>90107</v>
      </c>
      <c r="J2404" s="57" t="s">
        <v>2035</v>
      </c>
      <c r="K2404" s="58">
        <v>17.77</v>
      </c>
      <c r="L2404" s="58">
        <v>0.08</v>
      </c>
      <c r="M2404" s="58">
        <v>0</v>
      </c>
      <c r="N2404" s="58">
        <v>7.1253200000000003</v>
      </c>
      <c r="O2404" s="181">
        <f t="shared" si="18"/>
        <v>17.690000000000001</v>
      </c>
      <c r="P2404" s="247">
        <f t="shared" si="19"/>
        <v>2.4826955140260369</v>
      </c>
    </row>
    <row r="2405" spans="1:16" ht="14.25">
      <c r="A2405" s="224">
        <v>2404</v>
      </c>
      <c r="B2405" s="58">
        <v>28208</v>
      </c>
      <c r="C2405" s="57" t="s">
        <v>2856</v>
      </c>
      <c r="D2405" s="57" t="s">
        <v>2582</v>
      </c>
      <c r="E2405" s="57" t="s">
        <v>4772</v>
      </c>
      <c r="F2405" s="233">
        <v>45788.43472222222</v>
      </c>
      <c r="G2405" s="234" t="s">
        <v>216</v>
      </c>
      <c r="H2405" s="57" t="s">
        <v>2557</v>
      </c>
      <c r="I2405" s="58">
        <v>91823</v>
      </c>
      <c r="J2405" s="57" t="s">
        <v>2033</v>
      </c>
      <c r="K2405" s="58">
        <v>146.99</v>
      </c>
      <c r="L2405" s="58">
        <v>0.6</v>
      </c>
      <c r="M2405" s="58">
        <v>0</v>
      </c>
      <c r="N2405" s="58">
        <v>7.1253200000000003</v>
      </c>
      <c r="O2405" s="181">
        <f t="shared" si="18"/>
        <v>146.39000000000001</v>
      </c>
      <c r="P2405" s="247">
        <f t="shared" si="19"/>
        <v>20.545042187578947</v>
      </c>
    </row>
    <row r="2406" spans="1:16" ht="14.25">
      <c r="A2406" s="224">
        <v>2405</v>
      </c>
      <c r="B2406" s="58">
        <v>18786</v>
      </c>
      <c r="C2406" s="57" t="s">
        <v>2898</v>
      </c>
      <c r="D2406" s="57" t="s">
        <v>45</v>
      </c>
      <c r="E2406" s="57" t="s">
        <v>4772</v>
      </c>
      <c r="F2406" s="233">
        <v>45788.456944444442</v>
      </c>
      <c r="G2406" s="234" t="s">
        <v>216</v>
      </c>
      <c r="H2406" s="57" t="s">
        <v>2557</v>
      </c>
      <c r="I2406" s="58">
        <v>91955</v>
      </c>
      <c r="J2406" s="57" t="s">
        <v>2031</v>
      </c>
      <c r="K2406" s="58">
        <v>5.19</v>
      </c>
      <c r="L2406" s="58">
        <v>0.15</v>
      </c>
      <c r="M2406" s="58">
        <v>0</v>
      </c>
      <c r="N2406" s="58">
        <v>1</v>
      </c>
      <c r="O2406" s="181">
        <f t="shared" si="18"/>
        <v>5.04</v>
      </c>
      <c r="P2406" s="247">
        <f t="shared" si="19"/>
        <v>5.04</v>
      </c>
    </row>
    <row r="2407" spans="1:16" ht="14.25">
      <c r="A2407" s="224">
        <v>2406</v>
      </c>
      <c r="B2407" s="58">
        <v>18786</v>
      </c>
      <c r="C2407" s="57" t="s">
        <v>2898</v>
      </c>
      <c r="D2407" s="57" t="s">
        <v>45</v>
      </c>
      <c r="E2407" s="57" t="s">
        <v>4772</v>
      </c>
      <c r="F2407" s="233">
        <v>45788.473611111112</v>
      </c>
      <c r="G2407" s="234" t="s">
        <v>216</v>
      </c>
      <c r="H2407" s="57" t="s">
        <v>6258</v>
      </c>
      <c r="I2407" s="58">
        <v>91955</v>
      </c>
      <c r="J2407" s="57"/>
      <c r="K2407" s="58">
        <v>0</v>
      </c>
      <c r="L2407" s="58">
        <v>-0.15</v>
      </c>
      <c r="M2407" s="58">
        <v>5.04</v>
      </c>
      <c r="N2407" s="58">
        <v>1</v>
      </c>
      <c r="O2407" s="181">
        <f t="shared" si="18"/>
        <v>-4.8899999999999997</v>
      </c>
      <c r="P2407" s="247">
        <f t="shared" si="19"/>
        <v>-4.8899999999999997</v>
      </c>
    </row>
    <row r="2408" spans="1:16" ht="14.25">
      <c r="A2408" s="224">
        <v>2407</v>
      </c>
      <c r="B2408" s="58">
        <v>29102</v>
      </c>
      <c r="C2408" s="57" t="s">
        <v>5498</v>
      </c>
      <c r="D2408" s="57" t="s">
        <v>45</v>
      </c>
      <c r="E2408" s="57" t="s">
        <v>4772</v>
      </c>
      <c r="F2408" s="233">
        <v>45788.568749999999</v>
      </c>
      <c r="G2408" s="234" t="s">
        <v>216</v>
      </c>
      <c r="H2408" s="57" t="s">
        <v>2557</v>
      </c>
      <c r="I2408" s="58">
        <v>90227</v>
      </c>
      <c r="J2408" s="57" t="s">
        <v>2027</v>
      </c>
      <c r="K2408" s="58">
        <v>2.4900000000000002</v>
      </c>
      <c r="L2408" s="58">
        <v>0.08</v>
      </c>
      <c r="M2408" s="58">
        <v>0</v>
      </c>
      <c r="N2408" s="58">
        <v>1</v>
      </c>
      <c r="O2408" s="181">
        <f t="shared" si="18"/>
        <v>2.41</v>
      </c>
      <c r="P2408" s="247">
        <f t="shared" si="19"/>
        <v>2.41</v>
      </c>
    </row>
    <row r="2409" spans="1:16" ht="14.25">
      <c r="A2409" s="224">
        <v>2408</v>
      </c>
      <c r="B2409" s="58">
        <v>1980</v>
      </c>
      <c r="C2409" s="57" t="s">
        <v>3346</v>
      </c>
      <c r="D2409" s="57" t="s">
        <v>45</v>
      </c>
      <c r="E2409" s="57" t="s">
        <v>4772</v>
      </c>
      <c r="F2409" s="233">
        <v>45788.597916666666</v>
      </c>
      <c r="G2409" s="234" t="s">
        <v>216</v>
      </c>
      <c r="H2409" s="57" t="s">
        <v>2557</v>
      </c>
      <c r="I2409" s="58">
        <v>91967</v>
      </c>
      <c r="J2409" s="57" t="s">
        <v>2025</v>
      </c>
      <c r="K2409" s="58">
        <v>240</v>
      </c>
      <c r="L2409" s="58">
        <v>6.96</v>
      </c>
      <c r="M2409" s="58">
        <v>0</v>
      </c>
      <c r="N2409" s="58">
        <v>1</v>
      </c>
      <c r="O2409" s="181">
        <f t="shared" si="18"/>
        <v>233.04</v>
      </c>
      <c r="P2409" s="247">
        <f t="shared" si="19"/>
        <v>233.04</v>
      </c>
    </row>
    <row r="2410" spans="1:16" ht="14.25">
      <c r="A2410" s="224">
        <v>2409</v>
      </c>
      <c r="B2410" s="58">
        <v>1980</v>
      </c>
      <c r="C2410" s="57" t="s">
        <v>3346</v>
      </c>
      <c r="D2410" s="57" t="s">
        <v>45</v>
      </c>
      <c r="E2410" s="57" t="s">
        <v>4772</v>
      </c>
      <c r="F2410" s="233">
        <v>45788.61041666667</v>
      </c>
      <c r="G2410" s="234" t="s">
        <v>216</v>
      </c>
      <c r="H2410" s="57" t="s">
        <v>2557</v>
      </c>
      <c r="I2410" s="58">
        <v>91979</v>
      </c>
      <c r="J2410" s="57" t="s">
        <v>2023</v>
      </c>
      <c r="K2410" s="58">
        <v>76.790000000000006</v>
      </c>
      <c r="L2410" s="58">
        <v>2.23</v>
      </c>
      <c r="M2410" s="58">
        <v>0</v>
      </c>
      <c r="N2410" s="58">
        <v>1</v>
      </c>
      <c r="O2410" s="181">
        <f t="shared" si="18"/>
        <v>74.56</v>
      </c>
      <c r="P2410" s="247">
        <f t="shared" si="19"/>
        <v>74.56</v>
      </c>
    </row>
    <row r="2411" spans="1:16" ht="14.25">
      <c r="A2411" s="224">
        <v>2410</v>
      </c>
      <c r="B2411" s="58">
        <v>7698</v>
      </c>
      <c r="C2411" s="57" t="s">
        <v>2710</v>
      </c>
      <c r="D2411" s="57" t="s">
        <v>45</v>
      </c>
      <c r="E2411" s="57" t="s">
        <v>2874</v>
      </c>
      <c r="F2411" s="233">
        <v>45788.633333333331</v>
      </c>
      <c r="G2411" s="234" t="s">
        <v>216</v>
      </c>
      <c r="H2411" s="57" t="s">
        <v>2557</v>
      </c>
      <c r="I2411" s="58">
        <v>91247</v>
      </c>
      <c r="J2411" s="57" t="s">
        <v>6259</v>
      </c>
      <c r="K2411" s="58">
        <v>17.989999999999998</v>
      </c>
      <c r="L2411" s="58">
        <v>0</v>
      </c>
      <c r="M2411" s="58">
        <v>0</v>
      </c>
      <c r="N2411" s="58">
        <v>1</v>
      </c>
      <c r="O2411" s="181">
        <f t="shared" si="18"/>
        <v>17.989999999999998</v>
      </c>
      <c r="P2411" s="247">
        <f t="shared" si="19"/>
        <v>17.989999999999998</v>
      </c>
    </row>
    <row r="2412" spans="1:16" ht="14.25">
      <c r="A2412" s="224">
        <v>2411</v>
      </c>
      <c r="B2412" s="58">
        <v>28642</v>
      </c>
      <c r="C2412" s="57" t="s">
        <v>5177</v>
      </c>
      <c r="D2412" s="57" t="s">
        <v>2582</v>
      </c>
      <c r="E2412" s="57" t="s">
        <v>2860</v>
      </c>
      <c r="F2412" s="233">
        <v>45788.674305555556</v>
      </c>
      <c r="G2412" s="234" t="s">
        <v>216</v>
      </c>
      <c r="H2412" s="57" t="s">
        <v>2557</v>
      </c>
      <c r="I2412" s="58">
        <v>91835</v>
      </c>
      <c r="J2412" s="57" t="s">
        <v>6260</v>
      </c>
      <c r="K2412" s="58">
        <v>31.92</v>
      </c>
      <c r="L2412" s="58">
        <v>0</v>
      </c>
      <c r="M2412" s="58">
        <v>0</v>
      </c>
      <c r="N2412" s="58">
        <v>7.1253200000000003</v>
      </c>
      <c r="O2412" s="181">
        <f t="shared" si="18"/>
        <v>31.92</v>
      </c>
      <c r="P2412" s="247">
        <f t="shared" si="19"/>
        <v>4.4797988020187161</v>
      </c>
    </row>
    <row r="2413" spans="1:16" ht="14.25">
      <c r="A2413" s="224">
        <v>2412</v>
      </c>
      <c r="B2413" s="58">
        <v>25285</v>
      </c>
      <c r="C2413" s="57" t="s">
        <v>4585</v>
      </c>
      <c r="D2413" s="57" t="s">
        <v>45</v>
      </c>
      <c r="E2413" s="57" t="s">
        <v>4772</v>
      </c>
      <c r="F2413" s="233">
        <v>45788.688194444447</v>
      </c>
      <c r="G2413" s="234" t="s">
        <v>216</v>
      </c>
      <c r="H2413" s="57" t="s">
        <v>2557</v>
      </c>
      <c r="I2413" s="58">
        <v>91991</v>
      </c>
      <c r="J2413" s="57" t="s">
        <v>2021</v>
      </c>
      <c r="K2413" s="58">
        <v>60</v>
      </c>
      <c r="L2413" s="58">
        <v>1.74</v>
      </c>
      <c r="M2413" s="58">
        <v>0</v>
      </c>
      <c r="N2413" s="58">
        <v>1</v>
      </c>
      <c r="O2413" s="181">
        <f t="shared" si="18"/>
        <v>58.26</v>
      </c>
      <c r="P2413" s="247">
        <f t="shared" si="19"/>
        <v>58.26</v>
      </c>
    </row>
    <row r="2414" spans="1:16" ht="14.25">
      <c r="A2414" s="224">
        <v>2413</v>
      </c>
      <c r="B2414" s="58">
        <v>35258</v>
      </c>
      <c r="C2414" s="57" t="s">
        <v>6261</v>
      </c>
      <c r="D2414" s="57" t="s">
        <v>2582</v>
      </c>
      <c r="E2414" s="57" t="s">
        <v>4772</v>
      </c>
      <c r="F2414" s="233">
        <v>45788.749305555553</v>
      </c>
      <c r="G2414" s="234" t="s">
        <v>216</v>
      </c>
      <c r="H2414" s="57" t="s">
        <v>2557</v>
      </c>
      <c r="I2414" s="58">
        <v>92015</v>
      </c>
      <c r="J2414" s="57" t="s">
        <v>2019</v>
      </c>
      <c r="K2414" s="58">
        <v>36.99</v>
      </c>
      <c r="L2414" s="58">
        <v>0.15</v>
      </c>
      <c r="M2414" s="58">
        <v>0</v>
      </c>
      <c r="N2414" s="58">
        <v>7.1253200000000003</v>
      </c>
      <c r="O2414" s="181">
        <f t="shared" si="18"/>
        <v>36.840000000000003</v>
      </c>
      <c r="P2414" s="247">
        <f t="shared" si="19"/>
        <v>5.1702941060892709</v>
      </c>
    </row>
    <row r="2415" spans="1:16" ht="14.25">
      <c r="A2415" s="224">
        <v>2414</v>
      </c>
      <c r="B2415" s="58">
        <v>35261</v>
      </c>
      <c r="C2415" s="57" t="s">
        <v>6262</v>
      </c>
      <c r="D2415" s="57" t="s">
        <v>2582</v>
      </c>
      <c r="E2415" s="57" t="s">
        <v>4772</v>
      </c>
      <c r="F2415" s="233">
        <v>45788.761805555558</v>
      </c>
      <c r="G2415" s="234" t="s">
        <v>216</v>
      </c>
      <c r="H2415" s="57" t="s">
        <v>2557</v>
      </c>
      <c r="I2415" s="58">
        <v>92027</v>
      </c>
      <c r="J2415" s="57" t="s">
        <v>2017</v>
      </c>
      <c r="K2415" s="58">
        <v>273.58</v>
      </c>
      <c r="L2415" s="58">
        <v>1.1200000000000001</v>
      </c>
      <c r="M2415" s="58">
        <v>0</v>
      </c>
      <c r="N2415" s="58">
        <v>7.1253200000000003</v>
      </c>
      <c r="O2415" s="181">
        <f t="shared" si="18"/>
        <v>272.45999999999998</v>
      </c>
      <c r="P2415" s="247">
        <f t="shared" si="19"/>
        <v>38.238282631516896</v>
      </c>
    </row>
    <row r="2416" spans="1:16" ht="14.25">
      <c r="A2416" s="224">
        <v>2415</v>
      </c>
      <c r="B2416" s="58">
        <v>7266</v>
      </c>
      <c r="C2416" s="57" t="s">
        <v>2712</v>
      </c>
      <c r="D2416" s="57" t="s">
        <v>45</v>
      </c>
      <c r="E2416" s="57" t="s">
        <v>4772</v>
      </c>
      <c r="F2416" s="233">
        <v>45788.77847222222</v>
      </c>
      <c r="G2416" s="234" t="s">
        <v>216</v>
      </c>
      <c r="H2416" s="57" t="s">
        <v>2557</v>
      </c>
      <c r="I2416" s="58">
        <v>92039</v>
      </c>
      <c r="J2416" s="57" t="s">
        <v>2015</v>
      </c>
      <c r="K2416" s="58">
        <v>1</v>
      </c>
      <c r="L2416" s="58">
        <v>0.03</v>
      </c>
      <c r="M2416" s="58">
        <v>0</v>
      </c>
      <c r="N2416" s="58">
        <v>1</v>
      </c>
      <c r="O2416" s="181">
        <f t="shared" si="18"/>
        <v>0.97</v>
      </c>
      <c r="P2416" s="247">
        <f t="shared" si="19"/>
        <v>0.97</v>
      </c>
    </row>
    <row r="2417" spans="1:16" ht="14.25">
      <c r="A2417" s="224">
        <v>2416</v>
      </c>
      <c r="B2417" s="58">
        <v>28976</v>
      </c>
      <c r="C2417" s="57" t="s">
        <v>5353</v>
      </c>
      <c r="D2417" s="57" t="s">
        <v>2582</v>
      </c>
      <c r="E2417" s="57" t="s">
        <v>2860</v>
      </c>
      <c r="F2417" s="233">
        <v>45788.89166666667</v>
      </c>
      <c r="G2417" s="234" t="s">
        <v>216</v>
      </c>
      <c r="H2417" s="57" t="s">
        <v>2557</v>
      </c>
      <c r="I2417" s="58">
        <v>80494</v>
      </c>
      <c r="J2417" s="57" t="s">
        <v>6263</v>
      </c>
      <c r="K2417" s="58">
        <v>502.12</v>
      </c>
      <c r="L2417" s="58">
        <v>0</v>
      </c>
      <c r="M2417" s="58">
        <v>0</v>
      </c>
      <c r="N2417" s="58">
        <v>7.1253200000000003</v>
      </c>
      <c r="O2417" s="181">
        <f t="shared" si="18"/>
        <v>502.12</v>
      </c>
      <c r="P2417" s="247">
        <f t="shared" si="19"/>
        <v>70.469817495915976</v>
      </c>
    </row>
    <row r="2418" spans="1:16" ht="14.25">
      <c r="A2418" s="224">
        <v>2417</v>
      </c>
      <c r="B2418" s="58">
        <v>28976</v>
      </c>
      <c r="C2418" s="57" t="s">
        <v>5353</v>
      </c>
      <c r="D2418" s="57" t="s">
        <v>2582</v>
      </c>
      <c r="E2418" s="57" t="s">
        <v>4772</v>
      </c>
      <c r="F2418" s="233">
        <v>45788.893750000003</v>
      </c>
      <c r="G2418" s="234" t="s">
        <v>216</v>
      </c>
      <c r="H2418" s="57" t="s">
        <v>2557</v>
      </c>
      <c r="I2418" s="58">
        <v>92051</v>
      </c>
      <c r="J2418" s="57" t="s">
        <v>2013</v>
      </c>
      <c r="K2418" s="58">
        <v>584.17999999999995</v>
      </c>
      <c r="L2418" s="58">
        <v>2.38</v>
      </c>
      <c r="M2418" s="58">
        <v>0</v>
      </c>
      <c r="N2418" s="58">
        <v>7.1253200000000003</v>
      </c>
      <c r="O2418" s="181">
        <f t="shared" si="18"/>
        <v>581.79999999999995</v>
      </c>
      <c r="P2418" s="247">
        <f t="shared" si="19"/>
        <v>81.65247315208299</v>
      </c>
    </row>
    <row r="2419" spans="1:16" ht="14.25">
      <c r="A2419" s="224">
        <v>2418</v>
      </c>
      <c r="B2419" s="58">
        <v>34739</v>
      </c>
      <c r="C2419" s="57" t="s">
        <v>6264</v>
      </c>
      <c r="D2419" s="57" t="s">
        <v>45</v>
      </c>
      <c r="E2419" s="57" t="s">
        <v>2874</v>
      </c>
      <c r="F2419" s="233">
        <v>45788.936805555553</v>
      </c>
      <c r="G2419" s="234" t="s">
        <v>216</v>
      </c>
      <c r="H2419" s="57" t="s">
        <v>2557</v>
      </c>
      <c r="I2419" s="58">
        <v>92075</v>
      </c>
      <c r="J2419" s="57" t="s">
        <v>6265</v>
      </c>
      <c r="K2419" s="58">
        <v>70.989999999999995</v>
      </c>
      <c r="L2419" s="58">
        <v>0</v>
      </c>
      <c r="M2419" s="58">
        <v>0</v>
      </c>
      <c r="N2419" s="58">
        <v>1</v>
      </c>
      <c r="O2419" s="181">
        <f t="shared" si="18"/>
        <v>70.989999999999995</v>
      </c>
      <c r="P2419" s="247">
        <f t="shared" si="19"/>
        <v>70.989999999999995</v>
      </c>
    </row>
    <row r="2420" spans="1:16" ht="14.25">
      <c r="A2420" s="224">
        <v>2419</v>
      </c>
      <c r="B2420" s="58">
        <v>35266</v>
      </c>
      <c r="C2420" s="57" t="s">
        <v>2795</v>
      </c>
      <c r="D2420" s="57" t="s">
        <v>45</v>
      </c>
      <c r="E2420" s="57" t="s">
        <v>2874</v>
      </c>
      <c r="F2420" s="233">
        <v>45788.969444444447</v>
      </c>
      <c r="G2420" s="234" t="s">
        <v>216</v>
      </c>
      <c r="H2420" s="57" t="s">
        <v>2557</v>
      </c>
      <c r="I2420" s="58">
        <v>92087</v>
      </c>
      <c r="J2420" s="57" t="s">
        <v>6266</v>
      </c>
      <c r="K2420" s="58">
        <v>38.39</v>
      </c>
      <c r="L2420" s="58">
        <v>0</v>
      </c>
      <c r="M2420" s="58">
        <v>0</v>
      </c>
      <c r="N2420" s="58">
        <v>1</v>
      </c>
      <c r="O2420" s="181">
        <f t="shared" si="18"/>
        <v>38.39</v>
      </c>
      <c r="P2420" s="247">
        <f t="shared" si="19"/>
        <v>38.39</v>
      </c>
    </row>
    <row r="2421" spans="1:16" ht="14.25">
      <c r="A2421" s="224">
        <v>2420</v>
      </c>
      <c r="B2421" s="58">
        <v>34788</v>
      </c>
      <c r="C2421" s="57" t="s">
        <v>6156</v>
      </c>
      <c r="D2421" s="57" t="s">
        <v>2582</v>
      </c>
      <c r="E2421" s="57" t="s">
        <v>4772</v>
      </c>
      <c r="F2421" s="233">
        <v>45788.984027777777</v>
      </c>
      <c r="G2421" s="234" t="s">
        <v>216</v>
      </c>
      <c r="H2421" s="57" t="s">
        <v>2557</v>
      </c>
      <c r="I2421" s="58">
        <v>92099</v>
      </c>
      <c r="J2421" s="57" t="s">
        <v>2011</v>
      </c>
      <c r="K2421" s="58">
        <v>36.99</v>
      </c>
      <c r="L2421" s="58">
        <v>0.15</v>
      </c>
      <c r="M2421" s="58">
        <v>0</v>
      </c>
      <c r="N2421" s="58">
        <v>7.1253200000000003</v>
      </c>
      <c r="O2421" s="181">
        <f t="shared" si="18"/>
        <v>36.840000000000003</v>
      </c>
      <c r="P2421" s="247">
        <f t="shared" si="19"/>
        <v>5.1702941060892709</v>
      </c>
    </row>
    <row r="2422" spans="1:16" ht="14.25">
      <c r="A2422" s="224">
        <v>2421</v>
      </c>
      <c r="B2422" s="58">
        <v>34857</v>
      </c>
      <c r="C2422" s="57" t="s">
        <v>6177</v>
      </c>
      <c r="D2422" s="57" t="s">
        <v>45</v>
      </c>
      <c r="E2422" s="57" t="s">
        <v>2860</v>
      </c>
      <c r="F2422" s="233">
        <v>45788.990277777775</v>
      </c>
      <c r="G2422" s="234" t="s">
        <v>216</v>
      </c>
      <c r="H2422" s="57" t="s">
        <v>2557</v>
      </c>
      <c r="I2422" s="58">
        <v>92123</v>
      </c>
      <c r="J2422" s="57" t="s">
        <v>6267</v>
      </c>
      <c r="K2422" s="58">
        <v>60</v>
      </c>
      <c r="L2422" s="58">
        <v>0</v>
      </c>
      <c r="M2422" s="58">
        <v>0</v>
      </c>
      <c r="N2422" s="58">
        <v>1</v>
      </c>
      <c r="O2422" s="181">
        <f t="shared" si="18"/>
        <v>60</v>
      </c>
      <c r="P2422" s="247">
        <f t="shared" si="19"/>
        <v>60</v>
      </c>
    </row>
    <row r="2423" spans="1:16" ht="14.25">
      <c r="A2423" s="224">
        <v>2422</v>
      </c>
      <c r="B2423" s="58">
        <v>35310</v>
      </c>
      <c r="C2423" s="57" t="s">
        <v>6268</v>
      </c>
      <c r="D2423" s="57" t="s">
        <v>45</v>
      </c>
      <c r="E2423" s="57" t="s">
        <v>4772</v>
      </c>
      <c r="F2423" s="233">
        <v>45819</v>
      </c>
      <c r="G2423" s="234" t="s">
        <v>216</v>
      </c>
      <c r="H2423" s="57" t="s">
        <v>2557</v>
      </c>
      <c r="I2423" s="58">
        <v>92339</v>
      </c>
      <c r="J2423" s="57"/>
      <c r="K2423" s="58">
        <v>0</v>
      </c>
      <c r="L2423" s="58">
        <v>0</v>
      </c>
      <c r="M2423" s="58">
        <v>0</v>
      </c>
      <c r="N2423" s="58">
        <v>1</v>
      </c>
      <c r="O2423" s="181">
        <f t="shared" si="18"/>
        <v>0</v>
      </c>
      <c r="P2423" s="247">
        <f t="shared" si="19"/>
        <v>0</v>
      </c>
    </row>
    <row r="2424" spans="1:16" ht="14.25">
      <c r="A2424" s="224">
        <v>2423</v>
      </c>
      <c r="B2424" s="58">
        <v>35258</v>
      </c>
      <c r="C2424" s="57" t="s">
        <v>6261</v>
      </c>
      <c r="D2424" s="57" t="s">
        <v>2582</v>
      </c>
      <c r="E2424" s="57" t="s">
        <v>4772</v>
      </c>
      <c r="F2424" s="233">
        <v>45819.020138888889</v>
      </c>
      <c r="G2424" s="234" t="s">
        <v>216</v>
      </c>
      <c r="H2424" s="57" t="s">
        <v>2557</v>
      </c>
      <c r="I2424" s="58">
        <v>92147</v>
      </c>
      <c r="J2424" s="57" t="s">
        <v>2009</v>
      </c>
      <c r="K2424" s="58">
        <v>28.43</v>
      </c>
      <c r="L2424" s="58">
        <v>0.12</v>
      </c>
      <c r="M2424" s="58">
        <v>0</v>
      </c>
      <c r="N2424" s="58">
        <v>7.1253200000000003</v>
      </c>
      <c r="O2424" s="181">
        <f t="shared" si="18"/>
        <v>28.31</v>
      </c>
      <c r="P2424" s="247">
        <f t="shared" si="19"/>
        <v>3.973154889885647</v>
      </c>
    </row>
    <row r="2425" spans="1:16" ht="14.25">
      <c r="A2425" s="224">
        <v>2424</v>
      </c>
      <c r="B2425" s="58">
        <v>35272</v>
      </c>
      <c r="C2425" s="57" t="s">
        <v>6269</v>
      </c>
      <c r="D2425" s="57" t="s">
        <v>45</v>
      </c>
      <c r="E2425" s="57" t="s">
        <v>4772</v>
      </c>
      <c r="F2425" s="233">
        <v>45819.064583333333</v>
      </c>
      <c r="G2425" s="234" t="s">
        <v>216</v>
      </c>
      <c r="H2425" s="57" t="s">
        <v>2557</v>
      </c>
      <c r="I2425" s="58">
        <v>92159</v>
      </c>
      <c r="J2425" s="57" t="s">
        <v>2007</v>
      </c>
      <c r="K2425" s="58">
        <v>3.99</v>
      </c>
      <c r="L2425" s="58">
        <v>0.12</v>
      </c>
      <c r="M2425" s="58">
        <v>0</v>
      </c>
      <c r="N2425" s="58">
        <v>1</v>
      </c>
      <c r="O2425" s="181">
        <f t="shared" si="18"/>
        <v>3.87</v>
      </c>
      <c r="P2425" s="247">
        <f t="shared" si="19"/>
        <v>3.87</v>
      </c>
    </row>
    <row r="2426" spans="1:16" ht="14.25">
      <c r="A2426" s="224">
        <v>2425</v>
      </c>
      <c r="B2426" s="58">
        <v>1979</v>
      </c>
      <c r="C2426" s="57" t="s">
        <v>3943</v>
      </c>
      <c r="D2426" s="57" t="s">
        <v>2582</v>
      </c>
      <c r="E2426" s="57" t="s">
        <v>2860</v>
      </c>
      <c r="F2426" s="233">
        <v>45819.086111111108</v>
      </c>
      <c r="G2426" s="234" t="s">
        <v>216</v>
      </c>
      <c r="H2426" s="57" t="s">
        <v>2557</v>
      </c>
      <c r="I2426" s="58">
        <v>89591</v>
      </c>
      <c r="J2426" s="57" t="s">
        <v>6270</v>
      </c>
      <c r="K2426" s="58">
        <v>56.72</v>
      </c>
      <c r="L2426" s="58">
        <v>0</v>
      </c>
      <c r="M2426" s="58">
        <v>0</v>
      </c>
      <c r="N2426" s="58">
        <v>7.1253200000000003</v>
      </c>
      <c r="O2426" s="181">
        <f t="shared" si="18"/>
        <v>56.72</v>
      </c>
      <c r="P2426" s="247">
        <f t="shared" si="19"/>
        <v>7.9603442371711024</v>
      </c>
    </row>
    <row r="2427" spans="1:16" ht="14.25">
      <c r="A2427" s="224">
        <v>2426</v>
      </c>
      <c r="B2427" s="58">
        <v>20047</v>
      </c>
      <c r="C2427" s="57" t="s">
        <v>4066</v>
      </c>
      <c r="D2427" s="57" t="s">
        <v>2582</v>
      </c>
      <c r="E2427" s="57" t="s">
        <v>2860</v>
      </c>
      <c r="F2427" s="233">
        <v>45819.45208333333</v>
      </c>
      <c r="G2427" s="234" t="s">
        <v>216</v>
      </c>
      <c r="H2427" s="57" t="s">
        <v>2557</v>
      </c>
      <c r="I2427" s="58">
        <v>90203</v>
      </c>
      <c r="J2427" s="57" t="s">
        <v>6271</v>
      </c>
      <c r="K2427" s="58">
        <v>111.11</v>
      </c>
      <c r="L2427" s="58">
        <v>0</v>
      </c>
      <c r="M2427" s="58">
        <v>0</v>
      </c>
      <c r="N2427" s="58">
        <v>7.1271300000000002</v>
      </c>
      <c r="O2427" s="181">
        <f t="shared" si="18"/>
        <v>111.11</v>
      </c>
      <c r="P2427" s="247">
        <f t="shared" si="19"/>
        <v>15.589725457512349</v>
      </c>
    </row>
    <row r="2428" spans="1:16" ht="14.25">
      <c r="A2428" s="224">
        <v>2427</v>
      </c>
      <c r="B2428" s="58">
        <v>27880</v>
      </c>
      <c r="C2428" s="57" t="s">
        <v>4998</v>
      </c>
      <c r="D2428" s="57" t="s">
        <v>45</v>
      </c>
      <c r="E2428" s="57" t="s">
        <v>2860</v>
      </c>
      <c r="F2428" s="233">
        <v>45819.468055555553</v>
      </c>
      <c r="G2428" s="234" t="s">
        <v>216</v>
      </c>
      <c r="H2428" s="57" t="s">
        <v>2557</v>
      </c>
      <c r="I2428" s="58">
        <v>91463</v>
      </c>
      <c r="J2428" s="57" t="s">
        <v>6272</v>
      </c>
      <c r="K2428" s="58">
        <v>9.99</v>
      </c>
      <c r="L2428" s="58">
        <v>0</v>
      </c>
      <c r="M2428" s="58">
        <v>0</v>
      </c>
      <c r="N2428" s="58">
        <v>1</v>
      </c>
      <c r="O2428" s="181">
        <f t="shared" si="18"/>
        <v>9.99</v>
      </c>
      <c r="P2428" s="247">
        <f t="shared" si="19"/>
        <v>9.99</v>
      </c>
    </row>
    <row r="2429" spans="1:16" ht="14.25">
      <c r="A2429" s="224">
        <v>2428</v>
      </c>
      <c r="B2429" s="58">
        <v>27903</v>
      </c>
      <c r="C2429" s="57" t="s">
        <v>5168</v>
      </c>
      <c r="D2429" s="57" t="s">
        <v>45</v>
      </c>
      <c r="E2429" s="57" t="s">
        <v>2874</v>
      </c>
      <c r="F2429" s="233">
        <v>45819.598611111112</v>
      </c>
      <c r="G2429" s="234" t="s">
        <v>216</v>
      </c>
      <c r="H2429" s="57" t="s">
        <v>2557</v>
      </c>
      <c r="I2429" s="58">
        <v>92135</v>
      </c>
      <c r="J2429" s="57" t="s">
        <v>6273</v>
      </c>
      <c r="K2429" s="58">
        <v>300</v>
      </c>
      <c r="L2429" s="58">
        <v>0</v>
      </c>
      <c r="M2429" s="58">
        <v>0</v>
      </c>
      <c r="N2429" s="58">
        <v>1</v>
      </c>
      <c r="O2429" s="181">
        <f t="shared" si="18"/>
        <v>300</v>
      </c>
      <c r="P2429" s="247">
        <f t="shared" si="19"/>
        <v>300</v>
      </c>
    </row>
    <row r="2430" spans="1:16" ht="14.25">
      <c r="A2430" s="224">
        <v>2429</v>
      </c>
      <c r="B2430" s="58">
        <v>35258</v>
      </c>
      <c r="C2430" s="57" t="s">
        <v>6261</v>
      </c>
      <c r="D2430" s="57" t="s">
        <v>2582</v>
      </c>
      <c r="E2430" s="57" t="s">
        <v>4772</v>
      </c>
      <c r="F2430" s="233">
        <v>45819.782638888886</v>
      </c>
      <c r="G2430" s="234" t="s">
        <v>216</v>
      </c>
      <c r="H2430" s="57" t="s">
        <v>2557</v>
      </c>
      <c r="I2430" s="58">
        <v>92387</v>
      </c>
      <c r="J2430" s="57" t="s">
        <v>2047</v>
      </c>
      <c r="K2430" s="58">
        <v>45.56</v>
      </c>
      <c r="L2430" s="58">
        <v>0.19</v>
      </c>
      <c r="M2430" s="58">
        <v>0</v>
      </c>
      <c r="N2430" s="58">
        <v>7.1271300000000002</v>
      </c>
      <c r="O2430" s="181">
        <f t="shared" si="18"/>
        <v>45.370000000000005</v>
      </c>
      <c r="P2430" s="247">
        <f t="shared" si="19"/>
        <v>6.3658162542285606</v>
      </c>
    </row>
    <row r="2431" spans="1:16" ht="14.25">
      <c r="A2431" s="224">
        <v>2430</v>
      </c>
      <c r="B2431" s="58">
        <v>35353</v>
      </c>
      <c r="C2431" s="57" t="s">
        <v>6274</v>
      </c>
      <c r="D2431" s="57" t="s">
        <v>45</v>
      </c>
      <c r="E2431" s="57" t="s">
        <v>4772</v>
      </c>
      <c r="F2431" s="233">
        <v>45819.930555555555</v>
      </c>
      <c r="G2431" s="234" t="s">
        <v>216</v>
      </c>
      <c r="H2431" s="57" t="s">
        <v>2557</v>
      </c>
      <c r="I2431" s="58">
        <v>92399</v>
      </c>
      <c r="J2431" s="57" t="s">
        <v>2045</v>
      </c>
      <c r="K2431" s="58">
        <v>7.99</v>
      </c>
      <c r="L2431" s="58">
        <v>0.24</v>
      </c>
      <c r="M2431" s="58">
        <v>0</v>
      </c>
      <c r="N2431" s="58">
        <v>1</v>
      </c>
      <c r="O2431" s="181">
        <f t="shared" si="18"/>
        <v>7.75</v>
      </c>
      <c r="P2431" s="247">
        <f t="shared" si="19"/>
        <v>7.75</v>
      </c>
    </row>
    <row r="2432" spans="1:16" ht="14.25">
      <c r="A2432" s="224">
        <v>2431</v>
      </c>
      <c r="B2432" s="58">
        <v>35357</v>
      </c>
      <c r="C2432" s="57" t="s">
        <v>6275</v>
      </c>
      <c r="D2432" s="57" t="s">
        <v>45</v>
      </c>
      <c r="E2432" s="57" t="s">
        <v>4772</v>
      </c>
      <c r="F2432" s="233">
        <v>45819.982638888891</v>
      </c>
      <c r="G2432" s="234" t="s">
        <v>216</v>
      </c>
      <c r="H2432" s="57" t="s">
        <v>2557</v>
      </c>
      <c r="I2432" s="58">
        <v>92411</v>
      </c>
      <c r="J2432" s="57" t="s">
        <v>2043</v>
      </c>
      <c r="K2432" s="58">
        <v>4.99</v>
      </c>
      <c r="L2432" s="58">
        <v>0.15</v>
      </c>
      <c r="M2432" s="58">
        <v>0</v>
      </c>
      <c r="N2432" s="58">
        <v>1</v>
      </c>
      <c r="O2432" s="181">
        <f t="shared" si="18"/>
        <v>4.84</v>
      </c>
      <c r="P2432" s="247">
        <f t="shared" si="19"/>
        <v>4.84</v>
      </c>
    </row>
    <row r="2433" spans="1:16" ht="14.25">
      <c r="A2433" s="224">
        <v>2432</v>
      </c>
      <c r="B2433" s="58">
        <v>28960</v>
      </c>
      <c r="C2433" s="57" t="s">
        <v>6012</v>
      </c>
      <c r="D2433" s="57" t="s">
        <v>2582</v>
      </c>
      <c r="E2433" s="57" t="s">
        <v>4772</v>
      </c>
      <c r="F2433" s="233">
        <v>45849.072222222225</v>
      </c>
      <c r="G2433" s="234" t="s">
        <v>216</v>
      </c>
      <c r="H2433" s="57" t="s">
        <v>2557</v>
      </c>
      <c r="I2433" s="58">
        <v>90311</v>
      </c>
      <c r="J2433" s="57" t="s">
        <v>2041</v>
      </c>
      <c r="K2433" s="58">
        <v>147.37</v>
      </c>
      <c r="L2433" s="58">
        <v>0.6</v>
      </c>
      <c r="M2433" s="58">
        <v>0</v>
      </c>
      <c r="N2433" s="58">
        <v>7.1271300000000002</v>
      </c>
      <c r="O2433" s="181">
        <f t="shared" si="18"/>
        <v>146.77000000000001</v>
      </c>
      <c r="P2433" s="247">
        <f t="shared" si="19"/>
        <v>20.593141980011591</v>
      </c>
    </row>
    <row r="2434" spans="1:16" ht="14.25">
      <c r="A2434" s="224">
        <v>2433</v>
      </c>
      <c r="B2434" s="58">
        <v>35362</v>
      </c>
      <c r="C2434" s="57" t="s">
        <v>6276</v>
      </c>
      <c r="D2434" s="57" t="s">
        <v>45</v>
      </c>
      <c r="E2434" s="57" t="s">
        <v>4772</v>
      </c>
      <c r="F2434" s="233">
        <v>45849.079861111109</v>
      </c>
      <c r="G2434" s="234" t="s">
        <v>216</v>
      </c>
      <c r="H2434" s="57" t="s">
        <v>2557</v>
      </c>
      <c r="I2434" s="58">
        <v>92447</v>
      </c>
      <c r="J2434" s="57" t="s">
        <v>2039</v>
      </c>
      <c r="K2434" s="58">
        <v>120</v>
      </c>
      <c r="L2434" s="58">
        <v>3.48</v>
      </c>
      <c r="M2434" s="58">
        <v>0</v>
      </c>
      <c r="N2434" s="58">
        <v>1</v>
      </c>
      <c r="O2434" s="181">
        <f t="shared" si="18"/>
        <v>116.52</v>
      </c>
      <c r="P2434" s="247">
        <f t="shared" si="19"/>
        <v>116.52</v>
      </c>
    </row>
    <row r="2435" spans="1:16" ht="14.25">
      <c r="A2435" s="224">
        <v>2434</v>
      </c>
      <c r="B2435" s="58">
        <v>35382</v>
      </c>
      <c r="C2435" s="57" t="s">
        <v>6277</v>
      </c>
      <c r="D2435" s="57" t="s">
        <v>45</v>
      </c>
      <c r="E2435" s="57" t="s">
        <v>4772</v>
      </c>
      <c r="F2435" s="233">
        <v>45849.452777777777</v>
      </c>
      <c r="G2435" s="234" t="s">
        <v>216</v>
      </c>
      <c r="H2435" s="57" t="s">
        <v>2557</v>
      </c>
      <c r="I2435" s="58">
        <v>92663</v>
      </c>
      <c r="J2435" s="57" t="s">
        <v>2062</v>
      </c>
      <c r="K2435" s="58">
        <v>77.25</v>
      </c>
      <c r="L2435" s="58">
        <v>2.2400000000000002</v>
      </c>
      <c r="M2435" s="58">
        <v>0</v>
      </c>
      <c r="N2435" s="58">
        <v>1</v>
      </c>
      <c r="O2435" s="181">
        <f t="shared" si="18"/>
        <v>75.010000000000005</v>
      </c>
      <c r="P2435" s="247">
        <f t="shared" si="19"/>
        <v>75.010000000000005</v>
      </c>
    </row>
    <row r="2436" spans="1:16" ht="14.25">
      <c r="A2436" s="224">
        <v>2435</v>
      </c>
      <c r="B2436" s="58">
        <v>28532</v>
      </c>
      <c r="C2436" s="57" t="s">
        <v>5186</v>
      </c>
      <c r="D2436" s="57" t="s">
        <v>45</v>
      </c>
      <c r="E2436" s="57" t="s">
        <v>4772</v>
      </c>
      <c r="F2436" s="233">
        <v>45849.615972222222</v>
      </c>
      <c r="G2436" s="234" t="s">
        <v>216</v>
      </c>
      <c r="H2436" s="57" t="s">
        <v>2557</v>
      </c>
      <c r="I2436" s="58">
        <v>90083</v>
      </c>
      <c r="J2436" s="57" t="s">
        <v>2060</v>
      </c>
      <c r="K2436" s="58">
        <v>11.69</v>
      </c>
      <c r="L2436" s="58">
        <v>0.34</v>
      </c>
      <c r="M2436" s="58">
        <v>0</v>
      </c>
      <c r="N2436" s="58">
        <v>1</v>
      </c>
      <c r="O2436" s="181">
        <f t="shared" si="18"/>
        <v>11.35</v>
      </c>
      <c r="P2436" s="247">
        <f t="shared" si="19"/>
        <v>11.35</v>
      </c>
    </row>
    <row r="2437" spans="1:16" ht="14.25">
      <c r="A2437" s="224">
        <v>2436</v>
      </c>
      <c r="B2437" s="58">
        <v>19314</v>
      </c>
      <c r="C2437" s="57" t="s">
        <v>3119</v>
      </c>
      <c r="D2437" s="57" t="s">
        <v>45</v>
      </c>
      <c r="E2437" s="57" t="s">
        <v>2874</v>
      </c>
      <c r="F2437" s="233">
        <v>45849.697916666664</v>
      </c>
      <c r="G2437" s="234" t="s">
        <v>216</v>
      </c>
      <c r="H2437" s="57" t="s">
        <v>2557</v>
      </c>
      <c r="I2437" s="58">
        <v>92699</v>
      </c>
      <c r="J2437" s="57"/>
      <c r="K2437" s="58">
        <v>24.6</v>
      </c>
      <c r="L2437" s="58">
        <v>0</v>
      </c>
      <c r="M2437" s="58">
        <v>0</v>
      </c>
      <c r="N2437" s="58">
        <v>1</v>
      </c>
      <c r="O2437" s="181">
        <f t="shared" si="18"/>
        <v>24.6</v>
      </c>
      <c r="P2437" s="247">
        <f t="shared" si="19"/>
        <v>24.6</v>
      </c>
    </row>
    <row r="2438" spans="1:16" ht="14.25">
      <c r="A2438" s="224">
        <v>2437</v>
      </c>
      <c r="B2438" s="58">
        <v>35394</v>
      </c>
      <c r="C2438" s="57" t="s">
        <v>6278</v>
      </c>
      <c r="D2438" s="57" t="s">
        <v>2582</v>
      </c>
      <c r="E2438" s="57" t="s">
        <v>4772</v>
      </c>
      <c r="F2438" s="233">
        <v>45849.7</v>
      </c>
      <c r="G2438" s="234" t="s">
        <v>216</v>
      </c>
      <c r="H2438" s="57" t="s">
        <v>2557</v>
      </c>
      <c r="I2438" s="58">
        <v>92711</v>
      </c>
      <c r="J2438" s="57" t="s">
        <v>2058</v>
      </c>
      <c r="K2438" s="58">
        <v>31.97</v>
      </c>
      <c r="L2438" s="58">
        <v>0.13</v>
      </c>
      <c r="M2438" s="58">
        <v>0</v>
      </c>
      <c r="N2438" s="58">
        <v>7.1194800000000003</v>
      </c>
      <c r="O2438" s="181">
        <f t="shared" si="18"/>
        <v>31.84</v>
      </c>
      <c r="P2438" s="247">
        <f t="shared" si="19"/>
        <v>4.4722367363908599</v>
      </c>
    </row>
    <row r="2439" spans="1:16" ht="14.25">
      <c r="A2439" s="224">
        <v>2438</v>
      </c>
      <c r="B2439" s="58">
        <v>21403</v>
      </c>
      <c r="C2439" s="57" t="s">
        <v>3690</v>
      </c>
      <c r="D2439" s="57" t="s">
        <v>45</v>
      </c>
      <c r="E2439" s="57" t="s">
        <v>2860</v>
      </c>
      <c r="F2439" s="233">
        <v>45849.740277777775</v>
      </c>
      <c r="G2439" s="234" t="s">
        <v>216</v>
      </c>
      <c r="H2439" s="57" t="s">
        <v>2557</v>
      </c>
      <c r="I2439" s="58">
        <v>92255</v>
      </c>
      <c r="J2439" s="57" t="s">
        <v>6279</v>
      </c>
      <c r="K2439" s="58">
        <v>1.19</v>
      </c>
      <c r="L2439" s="58">
        <v>0</v>
      </c>
      <c r="M2439" s="58">
        <v>0</v>
      </c>
      <c r="N2439" s="58">
        <v>1</v>
      </c>
      <c r="O2439" s="181">
        <f t="shared" si="18"/>
        <v>1.19</v>
      </c>
      <c r="P2439" s="247">
        <f t="shared" si="19"/>
        <v>1.19</v>
      </c>
    </row>
    <row r="2440" spans="1:16" ht="14.25">
      <c r="A2440" s="224">
        <v>2439</v>
      </c>
      <c r="B2440" s="58">
        <v>35114</v>
      </c>
      <c r="C2440" s="57" t="s">
        <v>6244</v>
      </c>
      <c r="D2440" s="57" t="s">
        <v>2582</v>
      </c>
      <c r="E2440" s="57" t="s">
        <v>4772</v>
      </c>
      <c r="F2440" s="233">
        <v>45849.87222222222</v>
      </c>
      <c r="G2440" s="234" t="s">
        <v>216</v>
      </c>
      <c r="H2440" s="57" t="s">
        <v>2557</v>
      </c>
      <c r="I2440" s="58">
        <v>92723</v>
      </c>
      <c r="J2440" s="57" t="s">
        <v>2056</v>
      </c>
      <c r="K2440" s="58">
        <v>46.21</v>
      </c>
      <c r="L2440" s="58">
        <v>0.19</v>
      </c>
      <c r="M2440" s="58">
        <v>0</v>
      </c>
      <c r="N2440" s="58">
        <v>7.1194800000000003</v>
      </c>
      <c r="O2440" s="181">
        <f t="shared" si="18"/>
        <v>46.02</v>
      </c>
      <c r="P2440" s="247">
        <f t="shared" si="19"/>
        <v>6.4639552326855334</v>
      </c>
    </row>
    <row r="2441" spans="1:16" ht="14.25">
      <c r="A2441" s="224">
        <v>2440</v>
      </c>
      <c r="B2441" s="58">
        <v>26470</v>
      </c>
      <c r="C2441" s="57" t="s">
        <v>4808</v>
      </c>
      <c r="D2441" s="57" t="s">
        <v>45</v>
      </c>
      <c r="E2441" s="57" t="s">
        <v>2860</v>
      </c>
      <c r="F2441" s="233">
        <v>45849.941666666666</v>
      </c>
      <c r="G2441" s="234" t="s">
        <v>216</v>
      </c>
      <c r="H2441" s="57" t="s">
        <v>2557</v>
      </c>
      <c r="I2441" s="58">
        <v>92675</v>
      </c>
      <c r="J2441" s="57" t="s">
        <v>6280</v>
      </c>
      <c r="K2441" s="58">
        <v>600</v>
      </c>
      <c r="L2441" s="58">
        <v>0</v>
      </c>
      <c r="M2441" s="58">
        <v>0</v>
      </c>
      <c r="N2441" s="58">
        <v>1</v>
      </c>
      <c r="O2441" s="181">
        <f t="shared" si="18"/>
        <v>600</v>
      </c>
      <c r="P2441" s="247">
        <f t="shared" si="19"/>
        <v>600</v>
      </c>
    </row>
    <row r="2442" spans="1:16" ht="14.25">
      <c r="A2442" s="224">
        <v>2441</v>
      </c>
      <c r="B2442" s="58">
        <v>21990</v>
      </c>
      <c r="C2442" s="57" t="s">
        <v>3821</v>
      </c>
      <c r="D2442" s="57" t="s">
        <v>45</v>
      </c>
      <c r="E2442" s="57" t="s">
        <v>4772</v>
      </c>
      <c r="F2442" s="233">
        <v>45849.951388888891</v>
      </c>
      <c r="G2442" s="234" t="s">
        <v>216</v>
      </c>
      <c r="H2442" s="57" t="s">
        <v>2557</v>
      </c>
      <c r="I2442" s="58">
        <v>92735</v>
      </c>
      <c r="J2442" s="57" t="s">
        <v>2053</v>
      </c>
      <c r="K2442" s="58">
        <v>120</v>
      </c>
      <c r="L2442" s="58">
        <v>3.48</v>
      </c>
      <c r="M2442" s="58">
        <v>0</v>
      </c>
      <c r="N2442" s="58">
        <v>1</v>
      </c>
      <c r="O2442" s="181">
        <f t="shared" si="18"/>
        <v>116.52</v>
      </c>
      <c r="P2442" s="247">
        <f t="shared" si="19"/>
        <v>116.52</v>
      </c>
    </row>
    <row r="2443" spans="1:16" ht="14.25">
      <c r="A2443" s="224">
        <v>2442</v>
      </c>
      <c r="B2443" s="58">
        <v>21990</v>
      </c>
      <c r="C2443" s="57" t="s">
        <v>3821</v>
      </c>
      <c r="D2443" s="57" t="s">
        <v>45</v>
      </c>
      <c r="E2443" s="57" t="s">
        <v>2860</v>
      </c>
      <c r="F2443" s="233">
        <v>45849.953472222223</v>
      </c>
      <c r="G2443" s="234" t="s">
        <v>216</v>
      </c>
      <c r="H2443" s="57" t="s">
        <v>6281</v>
      </c>
      <c r="I2443" s="58">
        <v>86746</v>
      </c>
      <c r="J2443" s="57"/>
      <c r="K2443" s="58">
        <v>0</v>
      </c>
      <c r="L2443" s="58">
        <v>0</v>
      </c>
      <c r="M2443" s="58">
        <v>20</v>
      </c>
      <c r="N2443" s="58">
        <v>1</v>
      </c>
      <c r="O2443" s="181">
        <f t="shared" si="18"/>
        <v>-20</v>
      </c>
      <c r="P2443" s="247">
        <f t="shared" si="19"/>
        <v>-20</v>
      </c>
    </row>
    <row r="2444" spans="1:16" ht="14.25">
      <c r="A2444" s="224">
        <v>2443</v>
      </c>
      <c r="B2444" s="58">
        <v>21990</v>
      </c>
      <c r="C2444" s="57" t="s">
        <v>3821</v>
      </c>
      <c r="D2444" s="57" t="s">
        <v>45</v>
      </c>
      <c r="E2444" s="57" t="s">
        <v>2860</v>
      </c>
      <c r="F2444" s="233">
        <v>45849.963888888888</v>
      </c>
      <c r="G2444" s="234" t="s">
        <v>216</v>
      </c>
      <c r="H2444" s="57" t="s">
        <v>6282</v>
      </c>
      <c r="I2444" s="58">
        <v>91283</v>
      </c>
      <c r="J2444" s="57"/>
      <c r="K2444" s="58">
        <v>0</v>
      </c>
      <c r="L2444" s="58">
        <v>0</v>
      </c>
      <c r="M2444" s="58">
        <v>37.090000000000003</v>
      </c>
      <c r="N2444" s="58">
        <v>1</v>
      </c>
      <c r="O2444" s="181">
        <f t="shared" si="18"/>
        <v>-37.090000000000003</v>
      </c>
      <c r="P2444" s="247">
        <f t="shared" si="19"/>
        <v>-37.090000000000003</v>
      </c>
    </row>
    <row r="2445" spans="1:16" ht="14.25">
      <c r="A2445" s="224">
        <v>2444</v>
      </c>
      <c r="B2445" s="58">
        <v>25064</v>
      </c>
      <c r="C2445" s="57" t="s">
        <v>4448</v>
      </c>
      <c r="D2445" s="57" t="s">
        <v>45</v>
      </c>
      <c r="E2445" s="57" t="s">
        <v>9</v>
      </c>
      <c r="F2445" s="233">
        <v>45849.976388888892</v>
      </c>
      <c r="G2445" s="234" t="s">
        <v>216</v>
      </c>
      <c r="H2445" s="57" t="s">
        <v>2557</v>
      </c>
      <c r="I2445" s="58">
        <v>92747</v>
      </c>
      <c r="J2445" s="57" t="s">
        <v>719</v>
      </c>
      <c r="K2445" s="58">
        <v>77.39</v>
      </c>
      <c r="L2445" s="58">
        <v>4.3499999999999996</v>
      </c>
      <c r="M2445" s="58">
        <v>0</v>
      </c>
      <c r="N2445" s="58">
        <v>1</v>
      </c>
      <c r="O2445" s="181">
        <f t="shared" si="18"/>
        <v>73.040000000000006</v>
      </c>
      <c r="P2445" s="247">
        <f t="shared" si="19"/>
        <v>73.040000000000006</v>
      </c>
    </row>
    <row r="2446" spans="1:16" ht="14.25">
      <c r="A2446" s="224">
        <v>2445</v>
      </c>
      <c r="B2446" s="58">
        <v>35407</v>
      </c>
      <c r="C2446" s="57" t="s">
        <v>6283</v>
      </c>
      <c r="D2446" s="57" t="s">
        <v>2582</v>
      </c>
      <c r="E2446" s="57" t="s">
        <v>4772</v>
      </c>
      <c r="F2446" s="233">
        <v>45880.065972222219</v>
      </c>
      <c r="G2446" s="234" t="s">
        <v>216</v>
      </c>
      <c r="H2446" s="57" t="s">
        <v>2557</v>
      </c>
      <c r="I2446" s="58">
        <v>92771</v>
      </c>
      <c r="J2446" s="57" t="s">
        <v>2051</v>
      </c>
      <c r="K2446" s="58">
        <v>31.97</v>
      </c>
      <c r="L2446" s="58">
        <v>0.13</v>
      </c>
      <c r="M2446" s="58">
        <v>0</v>
      </c>
      <c r="N2446" s="58">
        <v>7.1194800000000003</v>
      </c>
      <c r="O2446" s="181">
        <f t="shared" si="18"/>
        <v>31.84</v>
      </c>
      <c r="P2446" s="247">
        <f t="shared" si="19"/>
        <v>4.4722367363908599</v>
      </c>
    </row>
    <row r="2447" spans="1:16" ht="14.25">
      <c r="A2447" s="224">
        <v>2446</v>
      </c>
      <c r="B2447" s="58">
        <v>35412</v>
      </c>
      <c r="C2447" s="57" t="s">
        <v>6284</v>
      </c>
      <c r="D2447" s="57" t="s">
        <v>45</v>
      </c>
      <c r="E2447" s="57" t="s">
        <v>4772</v>
      </c>
      <c r="F2447" s="233">
        <v>45880.164583333331</v>
      </c>
      <c r="G2447" s="234" t="s">
        <v>216</v>
      </c>
      <c r="H2447" s="57" t="s">
        <v>2557</v>
      </c>
      <c r="I2447" s="58">
        <v>92795</v>
      </c>
      <c r="J2447" s="57" t="s">
        <v>2049</v>
      </c>
      <c r="K2447" s="58">
        <v>173.99</v>
      </c>
      <c r="L2447" s="58">
        <v>5.05</v>
      </c>
      <c r="M2447" s="58">
        <v>0</v>
      </c>
      <c r="N2447" s="58">
        <v>1</v>
      </c>
      <c r="O2447" s="181">
        <f t="shared" si="18"/>
        <v>168.94</v>
      </c>
      <c r="P2447" s="247">
        <f t="shared" si="19"/>
        <v>168.94</v>
      </c>
    </row>
    <row r="2448" spans="1:16" ht="14.25">
      <c r="A2448" s="224">
        <v>2447</v>
      </c>
      <c r="B2448" s="58">
        <v>34788</v>
      </c>
      <c r="C2448" s="57" t="s">
        <v>6156</v>
      </c>
      <c r="D2448" s="57" t="s">
        <v>2582</v>
      </c>
      <c r="E2448" s="57" t="s">
        <v>4772</v>
      </c>
      <c r="F2448" s="233">
        <v>45880.584027777775</v>
      </c>
      <c r="G2448" s="234" t="s">
        <v>216</v>
      </c>
      <c r="H2448" s="57" t="s">
        <v>2557</v>
      </c>
      <c r="I2448" s="58">
        <v>92999</v>
      </c>
      <c r="J2448" s="57" t="s">
        <v>2072</v>
      </c>
      <c r="K2448" s="58">
        <v>39.090000000000003</v>
      </c>
      <c r="L2448" s="58">
        <v>0.16</v>
      </c>
      <c r="M2448" s="58">
        <v>0</v>
      </c>
      <c r="N2448" s="58">
        <v>7.1208400000000003</v>
      </c>
      <c r="O2448" s="181">
        <f t="shared" si="18"/>
        <v>38.930000000000007</v>
      </c>
      <c r="P2448" s="247">
        <f t="shared" si="19"/>
        <v>5.4670516399750602</v>
      </c>
    </row>
    <row r="2449" spans="1:16" ht="14.25">
      <c r="A2449" s="224">
        <v>2448</v>
      </c>
      <c r="B2449" s="58">
        <v>35435</v>
      </c>
      <c r="C2449" s="57" t="s">
        <v>6285</v>
      </c>
      <c r="D2449" s="57" t="s">
        <v>2582</v>
      </c>
      <c r="E2449" s="57" t="s">
        <v>4772</v>
      </c>
      <c r="F2449" s="233">
        <v>45880.6</v>
      </c>
      <c r="G2449" s="234" t="s">
        <v>216</v>
      </c>
      <c r="H2449" s="57" t="s">
        <v>2557</v>
      </c>
      <c r="I2449" s="58">
        <v>93011</v>
      </c>
      <c r="J2449" s="57" t="s">
        <v>2070</v>
      </c>
      <c r="K2449" s="58">
        <v>28.41</v>
      </c>
      <c r="L2449" s="58">
        <v>0.12</v>
      </c>
      <c r="M2449" s="58">
        <v>0</v>
      </c>
      <c r="N2449" s="58">
        <v>7.1208400000000003</v>
      </c>
      <c r="O2449" s="181">
        <f t="shared" si="18"/>
        <v>28.29</v>
      </c>
      <c r="P2449" s="247">
        <f t="shared" si="19"/>
        <v>3.9728459002027847</v>
      </c>
    </row>
    <row r="2450" spans="1:16" ht="14.25">
      <c r="A2450" s="224">
        <v>2449</v>
      </c>
      <c r="B2450" s="58">
        <v>35438</v>
      </c>
      <c r="C2450" s="57" t="s">
        <v>6286</v>
      </c>
      <c r="D2450" s="57" t="s">
        <v>45</v>
      </c>
      <c r="E2450" s="57" t="s">
        <v>2860</v>
      </c>
      <c r="F2450" s="233">
        <v>45880.75</v>
      </c>
      <c r="G2450" s="234" t="s">
        <v>216</v>
      </c>
      <c r="H2450" s="57" t="s">
        <v>2557</v>
      </c>
      <c r="I2450" s="58">
        <v>93023</v>
      </c>
      <c r="J2450" s="57" t="s">
        <v>6287</v>
      </c>
      <c r="K2450" s="58">
        <v>120</v>
      </c>
      <c r="L2450" s="58">
        <v>0</v>
      </c>
      <c r="M2450" s="58">
        <v>0</v>
      </c>
      <c r="N2450" s="58">
        <v>1</v>
      </c>
      <c r="O2450" s="181">
        <f t="shared" si="18"/>
        <v>120</v>
      </c>
      <c r="P2450" s="247">
        <f t="shared" si="19"/>
        <v>120</v>
      </c>
    </row>
    <row r="2451" spans="1:16" ht="14.25">
      <c r="A2451" s="224">
        <v>2450</v>
      </c>
      <c r="B2451" s="58">
        <v>34118</v>
      </c>
      <c r="C2451" s="57" t="s">
        <v>6215</v>
      </c>
      <c r="D2451" s="57" t="s">
        <v>2582</v>
      </c>
      <c r="E2451" s="57" t="s">
        <v>4772</v>
      </c>
      <c r="F2451" s="233">
        <v>45880.806944444441</v>
      </c>
      <c r="G2451" s="234" t="s">
        <v>216</v>
      </c>
      <c r="H2451" s="57" t="s">
        <v>2557</v>
      </c>
      <c r="I2451" s="58">
        <v>93059</v>
      </c>
      <c r="J2451" s="57" t="s">
        <v>2068</v>
      </c>
      <c r="K2451" s="58">
        <v>427.25</v>
      </c>
      <c r="L2451" s="58">
        <v>1.74</v>
      </c>
      <c r="M2451" s="58">
        <v>0</v>
      </c>
      <c r="N2451" s="58">
        <v>7.1208400000000003</v>
      </c>
      <c r="O2451" s="181">
        <f t="shared" si="18"/>
        <v>425.51</v>
      </c>
      <c r="P2451" s="247">
        <f t="shared" si="19"/>
        <v>59.75559063256582</v>
      </c>
    </row>
    <row r="2452" spans="1:16" ht="14.25">
      <c r="A2452" s="224">
        <v>2451</v>
      </c>
      <c r="B2452" s="58">
        <v>35272</v>
      </c>
      <c r="C2452" s="57" t="s">
        <v>6269</v>
      </c>
      <c r="D2452" s="57" t="s">
        <v>45</v>
      </c>
      <c r="E2452" s="57" t="s">
        <v>4772</v>
      </c>
      <c r="F2452" s="233">
        <v>45880.990277777775</v>
      </c>
      <c r="G2452" s="234" t="s">
        <v>216</v>
      </c>
      <c r="H2452" s="57" t="s">
        <v>2557</v>
      </c>
      <c r="I2452" s="58">
        <v>93071</v>
      </c>
      <c r="J2452" s="57" t="s">
        <v>2066</v>
      </c>
      <c r="K2452" s="58">
        <v>120</v>
      </c>
      <c r="L2452" s="58">
        <v>3.48</v>
      </c>
      <c r="M2452" s="58">
        <v>0</v>
      </c>
      <c r="N2452" s="58">
        <v>1</v>
      </c>
      <c r="O2452" s="181">
        <f t="shared" si="18"/>
        <v>116.52</v>
      </c>
      <c r="P2452" s="247">
        <f t="shared" si="19"/>
        <v>116.52</v>
      </c>
    </row>
    <row r="2453" spans="1:16" ht="14.25">
      <c r="A2453" s="224">
        <v>2452</v>
      </c>
      <c r="B2453" s="58">
        <v>28960</v>
      </c>
      <c r="C2453" s="57" t="s">
        <v>6012</v>
      </c>
      <c r="D2453" s="57" t="s">
        <v>2582</v>
      </c>
      <c r="E2453" s="57" t="s">
        <v>4772</v>
      </c>
      <c r="F2453" s="233">
        <v>45911.071527777778</v>
      </c>
      <c r="G2453" s="234" t="s">
        <v>216</v>
      </c>
      <c r="H2453" s="57" t="s">
        <v>2557</v>
      </c>
      <c r="I2453" s="58">
        <v>90179</v>
      </c>
      <c r="J2453" s="57" t="s">
        <v>2064</v>
      </c>
      <c r="K2453" s="58">
        <v>185.76</v>
      </c>
      <c r="L2453" s="58">
        <v>0.76</v>
      </c>
      <c r="M2453" s="58">
        <v>0</v>
      </c>
      <c r="N2453" s="58">
        <v>7.1208400000000003</v>
      </c>
      <c r="O2453" s="181">
        <f t="shared" si="18"/>
        <v>185</v>
      </c>
      <c r="P2453" s="247">
        <f t="shared" si="19"/>
        <v>25.980081001679576</v>
      </c>
    </row>
    <row r="2454" spans="1:16" ht="14.25">
      <c r="A2454" s="224">
        <v>2453</v>
      </c>
      <c r="B2454" s="58">
        <v>18979</v>
      </c>
      <c r="C2454" s="57" t="s">
        <v>3074</v>
      </c>
      <c r="D2454" s="57" t="s">
        <v>45</v>
      </c>
      <c r="E2454" s="57" t="s">
        <v>2860</v>
      </c>
      <c r="F2454" s="233">
        <v>45911.487500000003</v>
      </c>
      <c r="G2454" s="234" t="s">
        <v>216</v>
      </c>
      <c r="H2454" s="57" t="s">
        <v>2557</v>
      </c>
      <c r="I2454" s="58">
        <v>93263</v>
      </c>
      <c r="J2454" s="57" t="s">
        <v>6288</v>
      </c>
      <c r="K2454" s="58">
        <v>2.99</v>
      </c>
      <c r="L2454" s="58">
        <v>0</v>
      </c>
      <c r="M2454" s="58">
        <v>0</v>
      </c>
      <c r="N2454" s="58">
        <v>1</v>
      </c>
      <c r="O2454" s="181">
        <f t="shared" si="18"/>
        <v>2.99</v>
      </c>
      <c r="P2454" s="247">
        <f t="shared" si="19"/>
        <v>2.99</v>
      </c>
    </row>
    <row r="2455" spans="1:16" ht="14.25">
      <c r="A2455" s="224">
        <v>2454</v>
      </c>
      <c r="B2455" s="58">
        <v>19314</v>
      </c>
      <c r="C2455" s="57" t="s">
        <v>3119</v>
      </c>
      <c r="D2455" s="57" t="s">
        <v>45</v>
      </c>
      <c r="E2455" s="57" t="s">
        <v>2874</v>
      </c>
      <c r="F2455" s="233">
        <v>45911.515972222223</v>
      </c>
      <c r="G2455" s="234" t="s">
        <v>216</v>
      </c>
      <c r="H2455" s="57" t="s">
        <v>2557</v>
      </c>
      <c r="I2455" s="58">
        <v>92687</v>
      </c>
      <c r="J2455" s="57"/>
      <c r="K2455" s="58">
        <v>24.58</v>
      </c>
      <c r="L2455" s="58">
        <v>0</v>
      </c>
      <c r="M2455" s="58">
        <v>0</v>
      </c>
      <c r="N2455" s="58">
        <v>1</v>
      </c>
      <c r="O2455" s="181">
        <f t="shared" si="18"/>
        <v>24.58</v>
      </c>
      <c r="P2455" s="247">
        <f t="shared" si="19"/>
        <v>24.58</v>
      </c>
    </row>
    <row r="2456" spans="1:16" ht="14.25">
      <c r="A2456" s="224">
        <v>2455</v>
      </c>
      <c r="B2456" s="58">
        <v>34001</v>
      </c>
      <c r="C2456" s="57" t="s">
        <v>720</v>
      </c>
      <c r="D2456" s="57" t="s">
        <v>2582</v>
      </c>
      <c r="E2456" s="57" t="s">
        <v>9</v>
      </c>
      <c r="F2456" s="233">
        <v>45911.701388888891</v>
      </c>
      <c r="G2456" s="234" t="s">
        <v>216</v>
      </c>
      <c r="H2456" s="57" t="s">
        <v>2557</v>
      </c>
      <c r="I2456" s="58">
        <v>91487</v>
      </c>
      <c r="J2456" s="57" t="s">
        <v>721</v>
      </c>
      <c r="K2456" s="58">
        <v>39.06</v>
      </c>
      <c r="L2456" s="58">
        <v>5.41</v>
      </c>
      <c r="M2456" s="58">
        <v>0</v>
      </c>
      <c r="N2456" s="58">
        <v>7.1208400000000003</v>
      </c>
      <c r="O2456" s="181">
        <f t="shared" si="18"/>
        <v>33.650000000000006</v>
      </c>
      <c r="P2456" s="247">
        <f t="shared" si="19"/>
        <v>4.7255660849000964</v>
      </c>
    </row>
    <row r="2457" spans="1:16" ht="14.25">
      <c r="A2457" s="224">
        <v>2456</v>
      </c>
      <c r="B2457" s="58">
        <v>35473</v>
      </c>
      <c r="C2457" s="57" t="s">
        <v>6289</v>
      </c>
      <c r="D2457" s="57" t="s">
        <v>45</v>
      </c>
      <c r="E2457" s="57" t="s">
        <v>2874</v>
      </c>
      <c r="F2457" s="233">
        <v>45911.886111111111</v>
      </c>
      <c r="G2457" s="234" t="s">
        <v>216</v>
      </c>
      <c r="H2457" s="57" t="s">
        <v>2557</v>
      </c>
      <c r="I2457" s="58">
        <v>93251</v>
      </c>
      <c r="J2457" s="57" t="s">
        <v>6290</v>
      </c>
      <c r="K2457" s="58">
        <v>16.989999999999998</v>
      </c>
      <c r="L2457" s="58">
        <v>0</v>
      </c>
      <c r="M2457" s="58">
        <v>0</v>
      </c>
      <c r="N2457" s="58">
        <v>1</v>
      </c>
      <c r="O2457" s="181">
        <f t="shared" si="18"/>
        <v>16.989999999999998</v>
      </c>
      <c r="P2457" s="247">
        <f t="shared" si="19"/>
        <v>16.989999999999998</v>
      </c>
    </row>
    <row r="2458" spans="1:16" ht="14.25">
      <c r="A2458" s="224">
        <v>2457</v>
      </c>
      <c r="B2458" s="58">
        <v>28784</v>
      </c>
      <c r="C2458" s="57" t="s">
        <v>5262</v>
      </c>
      <c r="D2458" s="57" t="s">
        <v>45</v>
      </c>
      <c r="E2458" s="57" t="s">
        <v>4772</v>
      </c>
      <c r="F2458" s="233">
        <v>45911.89166666667</v>
      </c>
      <c r="G2458" s="234" t="s">
        <v>216</v>
      </c>
      <c r="H2458" s="57" t="s">
        <v>2557</v>
      </c>
      <c r="I2458" s="58">
        <v>90983</v>
      </c>
      <c r="J2458" s="57" t="s">
        <v>2080</v>
      </c>
      <c r="K2458" s="58">
        <v>7.59</v>
      </c>
      <c r="L2458" s="58">
        <v>0.22</v>
      </c>
      <c r="M2458" s="58">
        <v>0</v>
      </c>
      <c r="N2458" s="58">
        <v>1</v>
      </c>
      <c r="O2458" s="181">
        <f t="shared" si="18"/>
        <v>7.37</v>
      </c>
      <c r="P2458" s="247">
        <f t="shared" si="19"/>
        <v>7.37</v>
      </c>
    </row>
    <row r="2459" spans="1:16" ht="14.25">
      <c r="A2459" s="224">
        <v>2458</v>
      </c>
      <c r="B2459" s="58">
        <v>35412</v>
      </c>
      <c r="C2459" s="57" t="s">
        <v>6284</v>
      </c>
      <c r="D2459" s="57" t="s">
        <v>45</v>
      </c>
      <c r="E2459" s="57" t="s">
        <v>4772</v>
      </c>
      <c r="F2459" s="233">
        <v>45911.980555555558</v>
      </c>
      <c r="G2459" s="234" t="s">
        <v>216</v>
      </c>
      <c r="H2459" s="57" t="s">
        <v>2557</v>
      </c>
      <c r="I2459" s="58">
        <v>93275</v>
      </c>
      <c r="J2459" s="57" t="s">
        <v>2078</v>
      </c>
      <c r="K2459" s="58">
        <v>3.99</v>
      </c>
      <c r="L2459" s="58">
        <v>0.12</v>
      </c>
      <c r="M2459" s="58">
        <v>0</v>
      </c>
      <c r="N2459" s="58">
        <v>1</v>
      </c>
      <c r="O2459" s="181">
        <f t="shared" si="18"/>
        <v>3.87</v>
      </c>
      <c r="P2459" s="247">
        <f t="shared" si="19"/>
        <v>3.87</v>
      </c>
    </row>
    <row r="2460" spans="1:16" ht="14.25">
      <c r="A2460" s="224">
        <v>2459</v>
      </c>
      <c r="B2460" s="58">
        <v>35528</v>
      </c>
      <c r="C2460" s="57" t="s">
        <v>6291</v>
      </c>
      <c r="D2460" s="57" t="s">
        <v>45</v>
      </c>
      <c r="E2460" s="57" t="s">
        <v>4772</v>
      </c>
      <c r="F2460" s="233">
        <v>45941</v>
      </c>
      <c r="G2460" s="234" t="s">
        <v>216</v>
      </c>
      <c r="H2460" s="57" t="s">
        <v>2557</v>
      </c>
      <c r="I2460" s="58">
        <v>93515</v>
      </c>
      <c r="J2460" s="57"/>
      <c r="K2460" s="58">
        <v>0</v>
      </c>
      <c r="L2460" s="58">
        <v>0</v>
      </c>
      <c r="M2460" s="58">
        <v>0</v>
      </c>
      <c r="N2460" s="58">
        <v>1</v>
      </c>
      <c r="O2460" s="181">
        <f t="shared" si="18"/>
        <v>0</v>
      </c>
      <c r="P2460" s="247">
        <f t="shared" si="19"/>
        <v>0</v>
      </c>
    </row>
    <row r="2461" spans="1:16" ht="14.25">
      <c r="A2461" s="224">
        <v>2460</v>
      </c>
      <c r="B2461" s="58">
        <v>35258</v>
      </c>
      <c r="C2461" s="57" t="s">
        <v>6261</v>
      </c>
      <c r="D2461" s="57" t="s">
        <v>2582</v>
      </c>
      <c r="E2461" s="57" t="s">
        <v>4772</v>
      </c>
      <c r="F2461" s="233">
        <v>45941.007638888892</v>
      </c>
      <c r="G2461" s="234" t="s">
        <v>216</v>
      </c>
      <c r="H2461" s="57" t="s">
        <v>2557</v>
      </c>
      <c r="I2461" s="58">
        <v>93287</v>
      </c>
      <c r="J2461" s="57" t="s">
        <v>2076</v>
      </c>
      <c r="K2461" s="58">
        <v>23.52</v>
      </c>
      <c r="L2461" s="58">
        <v>0.1</v>
      </c>
      <c r="M2461" s="58">
        <v>0</v>
      </c>
      <c r="N2461" s="58">
        <v>7.1208400000000003</v>
      </c>
      <c r="O2461" s="181">
        <f t="shared" si="18"/>
        <v>23.419999999999998</v>
      </c>
      <c r="P2461" s="247">
        <f t="shared" si="19"/>
        <v>3.2889378219423548</v>
      </c>
    </row>
    <row r="2462" spans="1:16" ht="14.25">
      <c r="A2462" s="224">
        <v>2461</v>
      </c>
      <c r="B2462" s="58">
        <v>392</v>
      </c>
      <c r="C2462" s="57" t="s">
        <v>2876</v>
      </c>
      <c r="D2462" s="57" t="s">
        <v>2582</v>
      </c>
      <c r="E2462" s="57" t="s">
        <v>4772</v>
      </c>
      <c r="F2462" s="233">
        <v>45941.226388888892</v>
      </c>
      <c r="G2462" s="234" t="s">
        <v>216</v>
      </c>
      <c r="H2462" s="57" t="s">
        <v>2557</v>
      </c>
      <c r="I2462" s="58">
        <v>93323</v>
      </c>
      <c r="J2462" s="57" t="s">
        <v>2074</v>
      </c>
      <c r="K2462" s="58">
        <v>22.27</v>
      </c>
      <c r="L2462" s="58">
        <v>0.09</v>
      </c>
      <c r="M2462" s="58">
        <v>0</v>
      </c>
      <c r="N2462" s="58">
        <v>7.1208400000000003</v>
      </c>
      <c r="O2462" s="181">
        <f t="shared" si="18"/>
        <v>22.18</v>
      </c>
      <c r="P2462" s="247">
        <f t="shared" si="19"/>
        <v>3.1148010627959621</v>
      </c>
    </row>
    <row r="2463" spans="1:16" ht="14.25">
      <c r="A2463" s="224">
        <v>2462</v>
      </c>
      <c r="B2463" s="58">
        <v>28657</v>
      </c>
      <c r="C2463" s="57" t="s">
        <v>5183</v>
      </c>
      <c r="D2463" s="57" t="s">
        <v>45</v>
      </c>
      <c r="E2463" s="57" t="s">
        <v>2860</v>
      </c>
      <c r="F2463" s="233">
        <v>45941.381944444445</v>
      </c>
      <c r="G2463" s="234" t="s">
        <v>216</v>
      </c>
      <c r="H2463" s="57" t="s">
        <v>2557</v>
      </c>
      <c r="I2463" s="58">
        <v>91451</v>
      </c>
      <c r="J2463" s="57" t="s">
        <v>6292</v>
      </c>
      <c r="K2463" s="58">
        <v>12.79</v>
      </c>
      <c r="L2463" s="58">
        <v>0</v>
      </c>
      <c r="M2463" s="58">
        <v>0</v>
      </c>
      <c r="N2463" s="58">
        <v>1</v>
      </c>
      <c r="O2463" s="181">
        <f t="shared" si="18"/>
        <v>12.79</v>
      </c>
      <c r="P2463" s="247">
        <f t="shared" si="19"/>
        <v>12.79</v>
      </c>
    </row>
    <row r="2464" spans="1:16" ht="14.25">
      <c r="A2464" s="224">
        <v>2463</v>
      </c>
      <c r="B2464" s="58">
        <v>31676</v>
      </c>
      <c r="C2464" s="57" t="s">
        <v>6019</v>
      </c>
      <c r="D2464" s="57" t="s">
        <v>45</v>
      </c>
      <c r="E2464" s="57" t="s">
        <v>2874</v>
      </c>
      <c r="F2464" s="233">
        <v>45941.418055555558</v>
      </c>
      <c r="G2464" s="234" t="s">
        <v>216</v>
      </c>
      <c r="H2464" s="57" t="s">
        <v>2557</v>
      </c>
      <c r="I2464" s="58">
        <v>90299</v>
      </c>
      <c r="J2464" s="57"/>
      <c r="K2464" s="58">
        <v>9.49</v>
      </c>
      <c r="L2464" s="58">
        <v>0</v>
      </c>
      <c r="M2464" s="58">
        <v>0</v>
      </c>
      <c r="N2464" s="58">
        <v>1</v>
      </c>
      <c r="O2464" s="181">
        <f t="shared" si="18"/>
        <v>9.49</v>
      </c>
      <c r="P2464" s="247">
        <f t="shared" si="19"/>
        <v>9.49</v>
      </c>
    </row>
    <row r="2465" spans="1:16" ht="14.25">
      <c r="A2465" s="224">
        <v>2464</v>
      </c>
      <c r="B2465" s="58">
        <v>31676</v>
      </c>
      <c r="C2465" s="57" t="s">
        <v>6019</v>
      </c>
      <c r="D2465" s="57" t="s">
        <v>45</v>
      </c>
      <c r="E2465" s="57" t="s">
        <v>2874</v>
      </c>
      <c r="F2465" s="233">
        <v>45941.427083333336</v>
      </c>
      <c r="G2465" s="234" t="s">
        <v>216</v>
      </c>
      <c r="H2465" s="57" t="s">
        <v>2557</v>
      </c>
      <c r="I2465" s="58">
        <v>93527</v>
      </c>
      <c r="J2465" s="57"/>
      <c r="K2465" s="58">
        <v>9.49</v>
      </c>
      <c r="L2465" s="58">
        <v>0</v>
      </c>
      <c r="M2465" s="58">
        <v>0</v>
      </c>
      <c r="N2465" s="58">
        <v>1</v>
      </c>
      <c r="O2465" s="181">
        <f t="shared" si="18"/>
        <v>9.49</v>
      </c>
      <c r="P2465" s="247">
        <f t="shared" si="19"/>
        <v>9.49</v>
      </c>
    </row>
    <row r="2466" spans="1:16" ht="14.25">
      <c r="A2466" s="224">
        <v>2465</v>
      </c>
      <c r="B2466" s="58">
        <v>35534</v>
      </c>
      <c r="C2466" s="57" t="s">
        <v>6293</v>
      </c>
      <c r="D2466" s="57" t="s">
        <v>45</v>
      </c>
      <c r="E2466" s="57" t="s">
        <v>4772</v>
      </c>
      <c r="F2466" s="233">
        <v>45941.472916666666</v>
      </c>
      <c r="G2466" s="234" t="s">
        <v>216</v>
      </c>
      <c r="H2466" s="57" t="s">
        <v>2557</v>
      </c>
      <c r="I2466" s="58">
        <v>93563</v>
      </c>
      <c r="J2466" s="57" t="s">
        <v>2086</v>
      </c>
      <c r="K2466" s="58">
        <v>12.49</v>
      </c>
      <c r="L2466" s="58">
        <v>0.37</v>
      </c>
      <c r="M2466" s="58">
        <v>0</v>
      </c>
      <c r="N2466" s="58">
        <v>1</v>
      </c>
      <c r="O2466" s="181">
        <f t="shared" si="18"/>
        <v>12.120000000000001</v>
      </c>
      <c r="P2466" s="247">
        <f t="shared" si="19"/>
        <v>12.120000000000001</v>
      </c>
    </row>
    <row r="2467" spans="1:16" ht="14.25">
      <c r="A2467" s="224">
        <v>2466</v>
      </c>
      <c r="B2467" s="58">
        <v>6794</v>
      </c>
      <c r="C2467" s="57" t="s">
        <v>2623</v>
      </c>
      <c r="D2467" s="57" t="s">
        <v>45</v>
      </c>
      <c r="E2467" s="57" t="s">
        <v>2874</v>
      </c>
      <c r="F2467" s="233">
        <v>45941.475694444445</v>
      </c>
      <c r="G2467" s="234" t="s">
        <v>216</v>
      </c>
      <c r="H2467" s="57" t="s">
        <v>2557</v>
      </c>
      <c r="I2467" s="58">
        <v>93311</v>
      </c>
      <c r="J2467" s="57" t="s">
        <v>6294</v>
      </c>
      <c r="K2467" s="58">
        <v>42</v>
      </c>
      <c r="L2467" s="58">
        <v>0</v>
      </c>
      <c r="M2467" s="58">
        <v>0</v>
      </c>
      <c r="N2467" s="58">
        <v>1</v>
      </c>
      <c r="O2467" s="181">
        <f t="shared" si="18"/>
        <v>42</v>
      </c>
      <c r="P2467" s="247">
        <f t="shared" si="19"/>
        <v>42</v>
      </c>
    </row>
    <row r="2468" spans="1:16" ht="14.25">
      <c r="A2468" s="224">
        <v>2467</v>
      </c>
      <c r="B2468" s="58">
        <v>27977</v>
      </c>
      <c r="C2468" s="57" t="s">
        <v>5012</v>
      </c>
      <c r="D2468" s="57" t="s">
        <v>45</v>
      </c>
      <c r="E2468" s="57" t="s">
        <v>4772</v>
      </c>
      <c r="F2468" s="233">
        <v>45941.509722222225</v>
      </c>
      <c r="G2468" s="234" t="s">
        <v>216</v>
      </c>
      <c r="H2468" s="57" t="s">
        <v>2557</v>
      </c>
      <c r="I2468" s="58">
        <v>90347</v>
      </c>
      <c r="J2468" s="57" t="s">
        <v>2084</v>
      </c>
      <c r="K2468" s="58">
        <v>60.99</v>
      </c>
      <c r="L2468" s="58">
        <v>1.77</v>
      </c>
      <c r="M2468" s="58">
        <v>0</v>
      </c>
      <c r="N2468" s="58">
        <v>1</v>
      </c>
      <c r="O2468" s="181">
        <f t="shared" si="18"/>
        <v>59.22</v>
      </c>
      <c r="P2468" s="247">
        <f t="shared" si="19"/>
        <v>59.22</v>
      </c>
    </row>
    <row r="2469" spans="1:16" ht="14.25">
      <c r="A2469" s="224">
        <v>2468</v>
      </c>
      <c r="B2469" s="58">
        <v>3363</v>
      </c>
      <c r="C2469" s="57" t="s">
        <v>6295</v>
      </c>
      <c r="D2469" s="57" t="s">
        <v>45</v>
      </c>
      <c r="E2469" s="57" t="s">
        <v>9</v>
      </c>
      <c r="F2469" s="233">
        <v>45941.522222222222</v>
      </c>
      <c r="G2469" s="234" t="s">
        <v>216</v>
      </c>
      <c r="H2469" s="57" t="s">
        <v>2557</v>
      </c>
      <c r="I2469" s="58">
        <v>93419</v>
      </c>
      <c r="J2469" s="57" t="s">
        <v>723</v>
      </c>
      <c r="K2469" s="58">
        <v>12.6</v>
      </c>
      <c r="L2469" s="58">
        <v>0.93</v>
      </c>
      <c r="M2469" s="58">
        <v>0</v>
      </c>
      <c r="N2469" s="58">
        <v>1</v>
      </c>
      <c r="O2469" s="181">
        <f t="shared" si="18"/>
        <v>11.67</v>
      </c>
      <c r="P2469" s="247">
        <f t="shared" si="19"/>
        <v>11.67</v>
      </c>
    </row>
    <row r="2470" spans="1:16" ht="14.25">
      <c r="A2470" s="224">
        <v>2469</v>
      </c>
      <c r="B2470" s="58">
        <v>36</v>
      </c>
      <c r="C2470" s="57" t="s">
        <v>2646</v>
      </c>
      <c r="D2470" s="57" t="s">
        <v>45</v>
      </c>
      <c r="E2470" s="57" t="s">
        <v>2874</v>
      </c>
      <c r="F2470" s="233">
        <v>45941.65347222222</v>
      </c>
      <c r="G2470" s="234" t="s">
        <v>216</v>
      </c>
      <c r="H2470" s="57" t="s">
        <v>2557</v>
      </c>
      <c r="I2470" s="58">
        <v>90479</v>
      </c>
      <c r="J2470" s="57"/>
      <c r="K2470" s="58">
        <v>600</v>
      </c>
      <c r="L2470" s="58">
        <v>0</v>
      </c>
      <c r="M2470" s="58">
        <v>0</v>
      </c>
      <c r="N2470" s="58">
        <v>1</v>
      </c>
      <c r="O2470" s="181">
        <f t="shared" si="18"/>
        <v>600</v>
      </c>
      <c r="P2470" s="247">
        <f t="shared" si="19"/>
        <v>600</v>
      </c>
    </row>
    <row r="2471" spans="1:16" ht="14.25">
      <c r="A2471" s="224">
        <v>2470</v>
      </c>
      <c r="B2471" s="58">
        <v>7368</v>
      </c>
      <c r="C2471" s="57" t="s">
        <v>6296</v>
      </c>
      <c r="D2471" s="57" t="s">
        <v>45</v>
      </c>
      <c r="E2471" s="57" t="s">
        <v>2860</v>
      </c>
      <c r="F2471" s="233">
        <v>45941.676388888889</v>
      </c>
      <c r="G2471" s="234" t="s">
        <v>216</v>
      </c>
      <c r="H2471" s="57" t="s">
        <v>2557</v>
      </c>
      <c r="I2471" s="58">
        <v>93611</v>
      </c>
      <c r="J2471" s="57" t="s">
        <v>6297</v>
      </c>
      <c r="K2471" s="58">
        <v>60</v>
      </c>
      <c r="L2471" s="58">
        <v>0</v>
      </c>
      <c r="M2471" s="58">
        <v>0</v>
      </c>
      <c r="N2471" s="58">
        <v>1</v>
      </c>
      <c r="O2471" s="181">
        <f t="shared" si="18"/>
        <v>60</v>
      </c>
      <c r="P2471" s="247">
        <f t="shared" si="19"/>
        <v>60</v>
      </c>
    </row>
    <row r="2472" spans="1:16" ht="14.25">
      <c r="A2472" s="224">
        <v>2471</v>
      </c>
      <c r="B2472" s="58">
        <v>5905</v>
      </c>
      <c r="C2472" s="57" t="s">
        <v>6298</v>
      </c>
      <c r="D2472" s="57" t="s">
        <v>45</v>
      </c>
      <c r="E2472" s="57" t="s">
        <v>4772</v>
      </c>
      <c r="F2472" s="233">
        <v>45941.804861111108</v>
      </c>
      <c r="G2472" s="234" t="s">
        <v>216</v>
      </c>
      <c r="H2472" s="57" t="s">
        <v>2557</v>
      </c>
      <c r="I2472" s="58">
        <v>93623</v>
      </c>
      <c r="J2472" s="57" t="s">
        <v>2082</v>
      </c>
      <c r="K2472" s="58">
        <v>8.4</v>
      </c>
      <c r="L2472" s="58">
        <v>0.25</v>
      </c>
      <c r="M2472" s="58">
        <v>0</v>
      </c>
      <c r="N2472" s="58">
        <v>1</v>
      </c>
      <c r="O2472" s="181">
        <f t="shared" si="18"/>
        <v>8.15</v>
      </c>
      <c r="P2472" s="247">
        <f t="shared" si="19"/>
        <v>8.15</v>
      </c>
    </row>
    <row r="2473" spans="1:16" ht="14.25">
      <c r="A2473" s="224">
        <v>2472</v>
      </c>
      <c r="B2473" s="58">
        <v>22778</v>
      </c>
      <c r="C2473" s="57" t="s">
        <v>3929</v>
      </c>
      <c r="D2473" s="57" t="s">
        <v>45</v>
      </c>
      <c r="E2473" s="57" t="s">
        <v>9</v>
      </c>
      <c r="F2473" s="233">
        <v>45941.879861111112</v>
      </c>
      <c r="G2473" s="234" t="s">
        <v>216</v>
      </c>
      <c r="H2473" s="57" t="s">
        <v>2557</v>
      </c>
      <c r="I2473" s="58">
        <v>93635</v>
      </c>
      <c r="J2473" s="57" t="s">
        <v>724</v>
      </c>
      <c r="K2473" s="58">
        <v>10.99</v>
      </c>
      <c r="L2473" s="58">
        <v>1.04</v>
      </c>
      <c r="M2473" s="58">
        <v>0</v>
      </c>
      <c r="N2473" s="58">
        <v>1</v>
      </c>
      <c r="O2473" s="181">
        <f t="shared" si="18"/>
        <v>9.9499999999999993</v>
      </c>
      <c r="P2473" s="247">
        <f t="shared" si="19"/>
        <v>9.9499999999999993</v>
      </c>
    </row>
    <row r="2474" spans="1:16" ht="14.25">
      <c r="A2474" s="224">
        <v>2473</v>
      </c>
      <c r="B2474" s="58">
        <v>20196</v>
      </c>
      <c r="C2474" s="57" t="s">
        <v>3404</v>
      </c>
      <c r="D2474" s="57" t="s">
        <v>45</v>
      </c>
      <c r="E2474" s="57" t="s">
        <v>2860</v>
      </c>
      <c r="F2474" s="233">
        <v>45941.957638888889</v>
      </c>
      <c r="G2474" s="234" t="s">
        <v>216</v>
      </c>
      <c r="H2474" s="57" t="s">
        <v>2557</v>
      </c>
      <c r="I2474" s="58">
        <v>92627</v>
      </c>
      <c r="J2474" s="57" t="s">
        <v>6299</v>
      </c>
      <c r="K2474" s="58">
        <v>8.99</v>
      </c>
      <c r="L2474" s="58">
        <v>0</v>
      </c>
      <c r="M2474" s="58">
        <v>0</v>
      </c>
      <c r="N2474" s="58">
        <v>1</v>
      </c>
      <c r="O2474" s="181">
        <f t="shared" si="18"/>
        <v>8.99</v>
      </c>
      <c r="P2474" s="247">
        <f t="shared" si="19"/>
        <v>8.99</v>
      </c>
    </row>
    <row r="2475" spans="1:16" ht="14.25">
      <c r="A2475" s="224">
        <v>2474</v>
      </c>
      <c r="B2475" s="58">
        <v>6794</v>
      </c>
      <c r="C2475" s="57" t="s">
        <v>2623</v>
      </c>
      <c r="D2475" s="57" t="s">
        <v>45</v>
      </c>
      <c r="E2475" s="57" t="s">
        <v>2874</v>
      </c>
      <c r="F2475" s="233">
        <v>45941.969444444447</v>
      </c>
      <c r="G2475" s="234" t="s">
        <v>216</v>
      </c>
      <c r="H2475" s="57" t="s">
        <v>2557</v>
      </c>
      <c r="I2475" s="58">
        <v>93659</v>
      </c>
      <c r="J2475" s="57" t="s">
        <v>6300</v>
      </c>
      <c r="K2475" s="58">
        <v>355.56</v>
      </c>
      <c r="L2475" s="58">
        <v>0</v>
      </c>
      <c r="M2475" s="58">
        <v>0</v>
      </c>
      <c r="N2475" s="58">
        <v>1</v>
      </c>
      <c r="O2475" s="181">
        <f t="shared" si="18"/>
        <v>355.56</v>
      </c>
      <c r="P2475" s="247">
        <f t="shared" si="19"/>
        <v>355.56</v>
      </c>
    </row>
    <row r="2476" spans="1:16" ht="14.25">
      <c r="A2476" s="224">
        <v>2475</v>
      </c>
      <c r="B2476" s="58">
        <v>35539</v>
      </c>
      <c r="C2476" s="57" t="s">
        <v>6301</v>
      </c>
      <c r="D2476" s="57" t="s">
        <v>45</v>
      </c>
      <c r="E2476" s="57" t="s">
        <v>2874</v>
      </c>
      <c r="F2476" s="233">
        <v>45972.002083333333</v>
      </c>
      <c r="G2476" s="234" t="s">
        <v>216</v>
      </c>
      <c r="H2476" s="57" t="s">
        <v>2557</v>
      </c>
      <c r="I2476" s="58">
        <v>93671</v>
      </c>
      <c r="J2476" s="57"/>
      <c r="K2476" s="58">
        <v>60</v>
      </c>
      <c r="L2476" s="58">
        <v>0</v>
      </c>
      <c r="M2476" s="58">
        <v>0</v>
      </c>
      <c r="N2476" s="58">
        <v>1</v>
      </c>
      <c r="O2476" s="181">
        <f t="shared" si="18"/>
        <v>60</v>
      </c>
      <c r="P2476" s="247">
        <f t="shared" si="19"/>
        <v>60</v>
      </c>
    </row>
    <row r="2477" spans="1:16" ht="14.25">
      <c r="A2477" s="224">
        <v>2476</v>
      </c>
      <c r="B2477" s="58">
        <v>3283</v>
      </c>
      <c r="C2477" s="57" t="s">
        <v>6302</v>
      </c>
      <c r="D2477" s="57" t="s">
        <v>45</v>
      </c>
      <c r="E2477" s="57" t="s">
        <v>2860</v>
      </c>
      <c r="F2477" s="233">
        <v>45972.356249999997</v>
      </c>
      <c r="G2477" s="234" t="s">
        <v>216</v>
      </c>
      <c r="H2477" s="57" t="s">
        <v>2557</v>
      </c>
      <c r="I2477" s="58">
        <v>92855</v>
      </c>
      <c r="J2477" s="57" t="s">
        <v>6303</v>
      </c>
      <c r="K2477" s="58">
        <v>16.2</v>
      </c>
      <c r="L2477" s="58">
        <v>0</v>
      </c>
      <c r="M2477" s="58">
        <v>0</v>
      </c>
      <c r="N2477" s="58">
        <v>1</v>
      </c>
      <c r="O2477" s="181">
        <f t="shared" si="18"/>
        <v>16.2</v>
      </c>
      <c r="P2477" s="247">
        <f t="shared" si="19"/>
        <v>16.2</v>
      </c>
    </row>
    <row r="2478" spans="1:16" ht="14.25">
      <c r="A2478" s="224">
        <v>2477</v>
      </c>
      <c r="B2478" s="58">
        <v>35541</v>
      </c>
      <c r="C2478" s="57" t="s">
        <v>6304</v>
      </c>
      <c r="D2478" s="57" t="s">
        <v>2582</v>
      </c>
      <c r="E2478" s="57" t="s">
        <v>4772</v>
      </c>
      <c r="F2478" s="233">
        <v>45972.397916666669</v>
      </c>
      <c r="G2478" s="234" t="s">
        <v>216</v>
      </c>
      <c r="H2478" s="57" t="s">
        <v>2557</v>
      </c>
      <c r="I2478" s="58">
        <v>93743</v>
      </c>
      <c r="J2478" s="57" t="s">
        <v>2102</v>
      </c>
      <c r="K2478" s="58">
        <v>56.88</v>
      </c>
      <c r="L2478" s="58">
        <v>0.24</v>
      </c>
      <c r="M2478" s="58">
        <v>0</v>
      </c>
      <c r="N2478" s="58">
        <v>7.1192599999999997</v>
      </c>
      <c r="O2478" s="181">
        <f t="shared" si="18"/>
        <v>56.64</v>
      </c>
      <c r="P2478" s="247">
        <f t="shared" si="19"/>
        <v>7.9558830552613617</v>
      </c>
    </row>
    <row r="2479" spans="1:16" ht="14.25">
      <c r="A2479" s="224">
        <v>2478</v>
      </c>
      <c r="B2479" s="58">
        <v>27977</v>
      </c>
      <c r="C2479" s="57" t="s">
        <v>5012</v>
      </c>
      <c r="D2479" s="57" t="s">
        <v>45</v>
      </c>
      <c r="E2479" s="57" t="s">
        <v>4772</v>
      </c>
      <c r="F2479" s="233">
        <v>45972.413888888892</v>
      </c>
      <c r="G2479" s="234" t="s">
        <v>216</v>
      </c>
      <c r="H2479" s="57" t="s">
        <v>2557</v>
      </c>
      <c r="I2479" s="58">
        <v>90491</v>
      </c>
      <c r="J2479" s="57" t="s">
        <v>2100</v>
      </c>
      <c r="K2479" s="58">
        <v>99.99</v>
      </c>
      <c r="L2479" s="58">
        <v>2.9</v>
      </c>
      <c r="M2479" s="58">
        <v>0</v>
      </c>
      <c r="N2479" s="58">
        <v>1</v>
      </c>
      <c r="O2479" s="181">
        <f t="shared" si="18"/>
        <v>97.089999999999989</v>
      </c>
      <c r="P2479" s="247">
        <f t="shared" si="19"/>
        <v>97.089999999999989</v>
      </c>
    </row>
    <row r="2480" spans="1:16" ht="14.25">
      <c r="A2480" s="224">
        <v>2479</v>
      </c>
      <c r="B2480" s="58">
        <v>5079</v>
      </c>
      <c r="C2480" s="57" t="s">
        <v>2970</v>
      </c>
      <c r="D2480" s="57" t="s">
        <v>45</v>
      </c>
      <c r="E2480" s="57" t="s">
        <v>4772</v>
      </c>
      <c r="F2480" s="233">
        <v>45972.475694444445</v>
      </c>
      <c r="G2480" s="234" t="s">
        <v>216</v>
      </c>
      <c r="H2480" s="57" t="s">
        <v>2557</v>
      </c>
      <c r="I2480" s="58">
        <v>93755</v>
      </c>
      <c r="J2480" s="57" t="s">
        <v>2098</v>
      </c>
      <c r="K2480" s="58">
        <v>3.59</v>
      </c>
      <c r="L2480" s="58">
        <v>0.11</v>
      </c>
      <c r="M2480" s="58">
        <v>0</v>
      </c>
      <c r="N2480" s="58">
        <v>1</v>
      </c>
      <c r="O2480" s="181">
        <f t="shared" si="18"/>
        <v>3.48</v>
      </c>
      <c r="P2480" s="247">
        <f t="shared" si="19"/>
        <v>3.48</v>
      </c>
    </row>
    <row r="2481" spans="1:16" ht="14.25">
      <c r="A2481" s="224">
        <v>2480</v>
      </c>
      <c r="B2481" s="58">
        <v>35598</v>
      </c>
      <c r="C2481" s="57" t="s">
        <v>6305</v>
      </c>
      <c r="D2481" s="57" t="s">
        <v>45</v>
      </c>
      <c r="E2481" s="57" t="s">
        <v>4772</v>
      </c>
      <c r="F2481" s="233">
        <v>45972.519444444442</v>
      </c>
      <c r="G2481" s="234" t="s">
        <v>216</v>
      </c>
      <c r="H2481" s="57" t="s">
        <v>2557</v>
      </c>
      <c r="I2481" s="58">
        <v>93767</v>
      </c>
      <c r="J2481" s="57" t="s">
        <v>2096</v>
      </c>
      <c r="K2481" s="58">
        <v>120</v>
      </c>
      <c r="L2481" s="58">
        <v>3.48</v>
      </c>
      <c r="M2481" s="58">
        <v>0</v>
      </c>
      <c r="N2481" s="58">
        <v>1</v>
      </c>
      <c r="O2481" s="181">
        <f t="shared" si="18"/>
        <v>116.52</v>
      </c>
      <c r="P2481" s="247">
        <f t="shared" si="19"/>
        <v>116.52</v>
      </c>
    </row>
    <row r="2482" spans="1:16" ht="14.25">
      <c r="A2482" s="224">
        <v>2481</v>
      </c>
      <c r="B2482" s="58">
        <v>24044</v>
      </c>
      <c r="C2482" s="57" t="s">
        <v>4118</v>
      </c>
      <c r="D2482" s="57" t="s">
        <v>2582</v>
      </c>
      <c r="E2482" s="57" t="s">
        <v>4772</v>
      </c>
      <c r="F2482" s="233">
        <v>45972.834722222222</v>
      </c>
      <c r="G2482" s="234" t="s">
        <v>216</v>
      </c>
      <c r="H2482" s="57" t="s">
        <v>2557</v>
      </c>
      <c r="I2482" s="58">
        <v>93839</v>
      </c>
      <c r="J2482" s="57" t="s">
        <v>2094</v>
      </c>
      <c r="K2482" s="58">
        <v>35.82</v>
      </c>
      <c r="L2482" s="58">
        <v>0.15</v>
      </c>
      <c r="M2482" s="58">
        <v>0</v>
      </c>
      <c r="N2482" s="58">
        <v>7.1192599999999997</v>
      </c>
      <c r="O2482" s="181">
        <f t="shared" si="18"/>
        <v>35.67</v>
      </c>
      <c r="P2482" s="247">
        <f t="shared" si="19"/>
        <v>5.0103521995263556</v>
      </c>
    </row>
    <row r="2483" spans="1:16" ht="14.25">
      <c r="A2483" s="224">
        <v>2482</v>
      </c>
      <c r="B2483" s="58">
        <v>25274</v>
      </c>
      <c r="C2483" s="57" t="s">
        <v>4573</v>
      </c>
      <c r="D2483" s="57" t="s">
        <v>2582</v>
      </c>
      <c r="E2483" s="57" t="s">
        <v>4772</v>
      </c>
      <c r="F2483" s="233">
        <v>45972.947916666664</v>
      </c>
      <c r="G2483" s="234" t="s">
        <v>216</v>
      </c>
      <c r="H2483" s="57" t="s">
        <v>2557</v>
      </c>
      <c r="I2483" s="58">
        <v>93851</v>
      </c>
      <c r="J2483" s="57" t="s">
        <v>2092</v>
      </c>
      <c r="K2483" s="58">
        <v>109.84</v>
      </c>
      <c r="L2483" s="58">
        <v>0.45</v>
      </c>
      <c r="M2483" s="58">
        <v>0</v>
      </c>
      <c r="N2483" s="58">
        <v>7.1192599999999997</v>
      </c>
      <c r="O2483" s="181">
        <f t="shared" si="18"/>
        <v>109.39</v>
      </c>
      <c r="P2483" s="247">
        <f t="shared" si="19"/>
        <v>15.365361006621475</v>
      </c>
    </row>
    <row r="2484" spans="1:16" ht="14.25">
      <c r="A2484" s="224">
        <v>2483</v>
      </c>
      <c r="B2484" s="58">
        <v>35339</v>
      </c>
      <c r="C2484" s="57" t="s">
        <v>6306</v>
      </c>
      <c r="D2484" s="57" t="s">
        <v>45</v>
      </c>
      <c r="E2484" s="57" t="s">
        <v>4772</v>
      </c>
      <c r="F2484" s="233">
        <v>45972.961805555555</v>
      </c>
      <c r="G2484" s="234" t="s">
        <v>216</v>
      </c>
      <c r="H2484" s="57" t="s">
        <v>2557</v>
      </c>
      <c r="I2484" s="58">
        <v>92375</v>
      </c>
      <c r="J2484" s="57" t="s">
        <v>2090</v>
      </c>
      <c r="K2484" s="58">
        <v>179.99</v>
      </c>
      <c r="L2484" s="58">
        <v>5.22</v>
      </c>
      <c r="M2484" s="58">
        <v>0</v>
      </c>
      <c r="N2484" s="58">
        <v>1</v>
      </c>
      <c r="O2484" s="181">
        <f t="shared" si="18"/>
        <v>174.77</v>
      </c>
      <c r="P2484" s="247">
        <f t="shared" si="19"/>
        <v>174.77</v>
      </c>
    </row>
    <row r="2485" spans="1:16" ht="14.25">
      <c r="A2485" s="224">
        <v>2484</v>
      </c>
      <c r="B2485" s="58">
        <v>19314</v>
      </c>
      <c r="C2485" s="57" t="s">
        <v>3119</v>
      </c>
      <c r="D2485" s="57" t="s">
        <v>45</v>
      </c>
      <c r="E2485" s="57" t="s">
        <v>2874</v>
      </c>
      <c r="F2485" s="233">
        <v>46002</v>
      </c>
      <c r="G2485" s="234" t="s">
        <v>216</v>
      </c>
      <c r="H2485" s="57" t="s">
        <v>2557</v>
      </c>
      <c r="I2485" s="58">
        <v>93791</v>
      </c>
      <c r="J2485" s="57"/>
      <c r="K2485" s="58">
        <v>368.7</v>
      </c>
      <c r="L2485" s="58">
        <v>0</v>
      </c>
      <c r="M2485" s="58">
        <v>0</v>
      </c>
      <c r="N2485" s="58">
        <v>1</v>
      </c>
      <c r="O2485" s="181">
        <f t="shared" si="18"/>
        <v>368.7</v>
      </c>
      <c r="P2485" s="247">
        <f t="shared" si="19"/>
        <v>368.7</v>
      </c>
    </row>
    <row r="2486" spans="1:16" ht="14.25">
      <c r="A2486" s="224">
        <v>2485</v>
      </c>
      <c r="B2486" s="58">
        <v>35622</v>
      </c>
      <c r="C2486" s="57" t="s">
        <v>6307</v>
      </c>
      <c r="D2486" s="57" t="s">
        <v>45</v>
      </c>
      <c r="E2486" s="57" t="s">
        <v>4772</v>
      </c>
      <c r="F2486" s="233">
        <v>46002</v>
      </c>
      <c r="G2486" s="234" t="s">
        <v>216</v>
      </c>
      <c r="H2486" s="57" t="s">
        <v>2557</v>
      </c>
      <c r="I2486" s="58">
        <v>94115</v>
      </c>
      <c r="J2486" s="57"/>
      <c r="K2486" s="58">
        <v>0</v>
      </c>
      <c r="L2486" s="58">
        <v>0</v>
      </c>
      <c r="M2486" s="58">
        <v>0</v>
      </c>
      <c r="N2486" s="58">
        <v>1</v>
      </c>
      <c r="O2486" s="181">
        <f t="shared" si="18"/>
        <v>0</v>
      </c>
      <c r="P2486" s="247">
        <f t="shared" si="19"/>
        <v>0</v>
      </c>
    </row>
    <row r="2487" spans="1:16" ht="14.25">
      <c r="A2487" s="224">
        <v>2486</v>
      </c>
      <c r="B2487" s="58">
        <v>35539</v>
      </c>
      <c r="C2487" s="57" t="s">
        <v>6301</v>
      </c>
      <c r="D2487" s="57" t="s">
        <v>45</v>
      </c>
      <c r="E2487" s="57" t="s">
        <v>4772</v>
      </c>
      <c r="F2487" s="233">
        <v>46002.156944444447</v>
      </c>
      <c r="G2487" s="234" t="s">
        <v>216</v>
      </c>
      <c r="H2487" s="57" t="s">
        <v>2557</v>
      </c>
      <c r="I2487" s="58">
        <v>93863</v>
      </c>
      <c r="J2487" s="57" t="s">
        <v>2088</v>
      </c>
      <c r="K2487" s="58">
        <v>5.19</v>
      </c>
      <c r="L2487" s="58">
        <v>0.15</v>
      </c>
      <c r="M2487" s="58">
        <v>0</v>
      </c>
      <c r="N2487" s="58">
        <v>1</v>
      </c>
      <c r="O2487" s="181">
        <f t="shared" si="18"/>
        <v>5.04</v>
      </c>
      <c r="P2487" s="247">
        <f t="shared" si="19"/>
        <v>5.04</v>
      </c>
    </row>
    <row r="2488" spans="1:16" ht="14.25">
      <c r="A2488" s="224">
        <v>2487</v>
      </c>
      <c r="B2488" s="58">
        <v>1570</v>
      </c>
      <c r="C2488" s="57" t="s">
        <v>6308</v>
      </c>
      <c r="D2488" s="57" t="s">
        <v>45</v>
      </c>
      <c r="E2488" s="57" t="s">
        <v>2860</v>
      </c>
      <c r="F2488" s="233">
        <v>46002.370833333334</v>
      </c>
      <c r="G2488" s="234" t="s">
        <v>216</v>
      </c>
      <c r="H2488" s="57" t="s">
        <v>2557</v>
      </c>
      <c r="I2488" s="58">
        <v>93395</v>
      </c>
      <c r="J2488" s="57" t="s">
        <v>6309</v>
      </c>
      <c r="K2488" s="58">
        <v>25.2</v>
      </c>
      <c r="L2488" s="58">
        <v>0</v>
      </c>
      <c r="M2488" s="58">
        <v>0</v>
      </c>
      <c r="N2488" s="58">
        <v>1</v>
      </c>
      <c r="O2488" s="181">
        <f t="shared" si="18"/>
        <v>25.2</v>
      </c>
      <c r="P2488" s="247">
        <f t="shared" si="19"/>
        <v>25.2</v>
      </c>
    </row>
    <row r="2489" spans="1:16" ht="14.25">
      <c r="A2489" s="224">
        <v>2488</v>
      </c>
      <c r="B2489" s="58">
        <v>1571</v>
      </c>
      <c r="C2489" s="57" t="s">
        <v>6152</v>
      </c>
      <c r="D2489" s="57" t="s">
        <v>45</v>
      </c>
      <c r="E2489" s="57" t="s">
        <v>2860</v>
      </c>
      <c r="F2489" s="233">
        <v>46002.381944444445</v>
      </c>
      <c r="G2489" s="234" t="s">
        <v>216</v>
      </c>
      <c r="H2489" s="57" t="s">
        <v>2557</v>
      </c>
      <c r="I2489" s="58">
        <v>93971</v>
      </c>
      <c r="J2489" s="57" t="s">
        <v>6310</v>
      </c>
      <c r="K2489" s="58">
        <v>12.6</v>
      </c>
      <c r="L2489" s="58">
        <v>0</v>
      </c>
      <c r="M2489" s="58">
        <v>0</v>
      </c>
      <c r="N2489" s="58">
        <v>1</v>
      </c>
      <c r="O2489" s="181">
        <f t="shared" si="18"/>
        <v>12.6</v>
      </c>
      <c r="P2489" s="247">
        <f t="shared" si="19"/>
        <v>12.6</v>
      </c>
    </row>
    <row r="2490" spans="1:16" ht="14.25">
      <c r="A2490" s="224">
        <v>2489</v>
      </c>
      <c r="B2490" s="58">
        <v>35114</v>
      </c>
      <c r="C2490" s="57" t="s">
        <v>6244</v>
      </c>
      <c r="D2490" s="57" t="s">
        <v>2582</v>
      </c>
      <c r="E2490" s="57" t="s">
        <v>4772</v>
      </c>
      <c r="F2490" s="233">
        <v>46002.443749999999</v>
      </c>
      <c r="G2490" s="234" t="s">
        <v>216</v>
      </c>
      <c r="H2490" s="57" t="s">
        <v>6311</v>
      </c>
      <c r="I2490" s="58">
        <v>92723</v>
      </c>
      <c r="J2490" s="57"/>
      <c r="K2490" s="58">
        <v>0</v>
      </c>
      <c r="L2490" s="58">
        <v>-0.19</v>
      </c>
      <c r="M2490" s="58">
        <v>42</v>
      </c>
      <c r="N2490" s="58">
        <v>7.1194800000000003</v>
      </c>
      <c r="O2490" s="181">
        <f t="shared" si="18"/>
        <v>-41.81</v>
      </c>
      <c r="P2490" s="247">
        <f t="shared" si="19"/>
        <v>-5.8726199104428973</v>
      </c>
    </row>
    <row r="2491" spans="1:16" ht="14.25">
      <c r="A2491" s="224">
        <v>2490</v>
      </c>
      <c r="B2491" s="58">
        <v>3342</v>
      </c>
      <c r="C2491" s="57" t="s">
        <v>6312</v>
      </c>
      <c r="D2491" s="57" t="s">
        <v>45</v>
      </c>
      <c r="E2491" s="57" t="s">
        <v>9</v>
      </c>
      <c r="F2491" s="233">
        <v>46002.494444444441</v>
      </c>
      <c r="G2491" s="234" t="s">
        <v>216</v>
      </c>
      <c r="H2491" s="57" t="s">
        <v>2557</v>
      </c>
      <c r="I2491" s="58">
        <v>93107</v>
      </c>
      <c r="J2491" s="57" t="s">
        <v>726</v>
      </c>
      <c r="K2491" s="58">
        <v>12.6</v>
      </c>
      <c r="L2491" s="58">
        <v>1.1200000000000001</v>
      </c>
      <c r="M2491" s="58">
        <v>0</v>
      </c>
      <c r="N2491" s="58">
        <v>1</v>
      </c>
      <c r="O2491" s="181">
        <f t="shared" si="18"/>
        <v>11.48</v>
      </c>
      <c r="P2491" s="247">
        <f t="shared" si="19"/>
        <v>11.48</v>
      </c>
    </row>
    <row r="2492" spans="1:16" ht="14.25">
      <c r="A2492" s="224">
        <v>2491</v>
      </c>
      <c r="B2492" s="58">
        <v>24787</v>
      </c>
      <c r="C2492" s="57" t="s">
        <v>4298</v>
      </c>
      <c r="D2492" s="57" t="s">
        <v>45</v>
      </c>
      <c r="E2492" s="57" t="s">
        <v>4772</v>
      </c>
      <c r="F2492" s="233">
        <v>46002.526388888888</v>
      </c>
      <c r="G2492" s="234" t="s">
        <v>216</v>
      </c>
      <c r="H2492" s="57" t="s">
        <v>2557</v>
      </c>
      <c r="I2492" s="58">
        <v>94103</v>
      </c>
      <c r="J2492" s="57" t="s">
        <v>2106</v>
      </c>
      <c r="K2492" s="58">
        <v>19.989999999999998</v>
      </c>
      <c r="L2492" s="58">
        <v>0.57999999999999996</v>
      </c>
      <c r="M2492" s="58">
        <v>0</v>
      </c>
      <c r="N2492" s="58">
        <v>1</v>
      </c>
      <c r="O2492" s="181">
        <f t="shared" si="18"/>
        <v>19.41</v>
      </c>
      <c r="P2492" s="247">
        <f t="shared" si="19"/>
        <v>19.41</v>
      </c>
    </row>
    <row r="2493" spans="1:16" ht="14.25">
      <c r="A2493" s="224">
        <v>2492</v>
      </c>
      <c r="B2493" s="58">
        <v>283</v>
      </c>
      <c r="C2493" s="57" t="s">
        <v>3548</v>
      </c>
      <c r="D2493" s="57" t="s">
        <v>45</v>
      </c>
      <c r="E2493" s="57" t="s">
        <v>2860</v>
      </c>
      <c r="F2493" s="233">
        <v>46002.563888888886</v>
      </c>
      <c r="G2493" s="234" t="s">
        <v>216</v>
      </c>
      <c r="H2493" s="57" t="s">
        <v>2557</v>
      </c>
      <c r="I2493" s="58">
        <v>62600</v>
      </c>
      <c r="J2493" s="57" t="s">
        <v>6313</v>
      </c>
      <c r="K2493" s="58">
        <v>1.79</v>
      </c>
      <c r="L2493" s="58">
        <v>0</v>
      </c>
      <c r="M2493" s="58">
        <v>0</v>
      </c>
      <c r="N2493" s="58">
        <v>1</v>
      </c>
      <c r="O2493" s="181">
        <f t="shared" si="18"/>
        <v>1.79</v>
      </c>
      <c r="P2493" s="247">
        <f t="shared" si="19"/>
        <v>1.79</v>
      </c>
    </row>
    <row r="2494" spans="1:16" ht="14.25">
      <c r="A2494" s="224">
        <v>2493</v>
      </c>
      <c r="B2494" s="58">
        <v>1788</v>
      </c>
      <c r="C2494" s="57" t="s">
        <v>6314</v>
      </c>
      <c r="D2494" s="57" t="s">
        <v>45</v>
      </c>
      <c r="E2494" s="57" t="s">
        <v>2860</v>
      </c>
      <c r="F2494" s="233">
        <v>46002.655555555553</v>
      </c>
      <c r="G2494" s="234" t="s">
        <v>216</v>
      </c>
      <c r="H2494" s="57" t="s">
        <v>2557</v>
      </c>
      <c r="I2494" s="58">
        <v>92819</v>
      </c>
      <c r="J2494" s="57" t="s">
        <v>6315</v>
      </c>
      <c r="K2494" s="58">
        <v>12.6</v>
      </c>
      <c r="L2494" s="58">
        <v>0</v>
      </c>
      <c r="M2494" s="58">
        <v>0</v>
      </c>
      <c r="N2494" s="58">
        <v>1</v>
      </c>
      <c r="O2494" s="181">
        <f t="shared" si="18"/>
        <v>12.6</v>
      </c>
      <c r="P2494" s="247">
        <f t="shared" si="19"/>
        <v>12.6</v>
      </c>
    </row>
    <row r="2495" spans="1:16" ht="14.25">
      <c r="A2495" s="224">
        <v>2494</v>
      </c>
      <c r="B2495" s="58">
        <v>3242</v>
      </c>
      <c r="C2495" s="57" t="s">
        <v>6316</v>
      </c>
      <c r="D2495" s="57" t="s">
        <v>45</v>
      </c>
      <c r="E2495" s="57" t="s">
        <v>9</v>
      </c>
      <c r="F2495" s="233">
        <v>46002.706250000003</v>
      </c>
      <c r="G2495" s="234" t="s">
        <v>216</v>
      </c>
      <c r="H2495" s="57" t="s">
        <v>2557</v>
      </c>
      <c r="I2495" s="58">
        <v>92507</v>
      </c>
      <c r="J2495" s="57" t="s">
        <v>728</v>
      </c>
      <c r="K2495" s="58">
        <v>12.6</v>
      </c>
      <c r="L2495" s="58">
        <v>1.1200000000000001</v>
      </c>
      <c r="M2495" s="58">
        <v>0</v>
      </c>
      <c r="N2495" s="58">
        <v>1</v>
      </c>
      <c r="O2495" s="181">
        <f t="shared" si="18"/>
        <v>11.48</v>
      </c>
      <c r="P2495" s="247">
        <f t="shared" si="19"/>
        <v>11.48</v>
      </c>
    </row>
    <row r="2496" spans="1:16" ht="14.25">
      <c r="A2496" s="224">
        <v>2495</v>
      </c>
      <c r="B2496" s="58">
        <v>24669</v>
      </c>
      <c r="C2496" s="57" t="s">
        <v>6257</v>
      </c>
      <c r="D2496" s="57" t="s">
        <v>2582</v>
      </c>
      <c r="E2496" s="57" t="s">
        <v>4772</v>
      </c>
      <c r="F2496" s="233">
        <v>46002.768750000003</v>
      </c>
      <c r="G2496" s="234" t="s">
        <v>216</v>
      </c>
      <c r="H2496" s="57" t="s">
        <v>2557</v>
      </c>
      <c r="I2496" s="58">
        <v>94139</v>
      </c>
      <c r="J2496" s="57" t="s">
        <v>2104</v>
      </c>
      <c r="K2496" s="58">
        <v>427.08</v>
      </c>
      <c r="L2496" s="58">
        <v>1.74</v>
      </c>
      <c r="M2496" s="58">
        <v>0</v>
      </c>
      <c r="N2496" s="58">
        <v>7.1185299999999998</v>
      </c>
      <c r="O2496" s="181">
        <f t="shared" si="18"/>
        <v>425.34</v>
      </c>
      <c r="P2496" s="247">
        <f t="shared" si="19"/>
        <v>59.75110029739286</v>
      </c>
    </row>
    <row r="2497" spans="1:16" ht="14.25">
      <c r="A2497" s="224">
        <v>2496</v>
      </c>
      <c r="B2497" s="58">
        <v>3575</v>
      </c>
      <c r="C2497" s="57" t="s">
        <v>6317</v>
      </c>
      <c r="D2497" s="57" t="s">
        <v>45</v>
      </c>
      <c r="E2497" s="57" t="s">
        <v>4772</v>
      </c>
      <c r="F2497" s="58" t="s">
        <v>6318</v>
      </c>
      <c r="G2497" s="234" t="s">
        <v>216</v>
      </c>
      <c r="H2497" s="57" t="s">
        <v>2557</v>
      </c>
      <c r="I2497" s="58">
        <v>94247</v>
      </c>
      <c r="J2497" s="57" t="s">
        <v>2114</v>
      </c>
      <c r="K2497" s="58">
        <v>12.6</v>
      </c>
      <c r="L2497" s="58">
        <v>0.37</v>
      </c>
      <c r="M2497" s="58">
        <v>0</v>
      </c>
      <c r="N2497" s="58">
        <v>1</v>
      </c>
      <c r="O2497" s="181">
        <f t="shared" si="18"/>
        <v>12.23</v>
      </c>
      <c r="P2497" s="247">
        <f t="shared" si="19"/>
        <v>12.23</v>
      </c>
    </row>
    <row r="2498" spans="1:16" ht="14.25">
      <c r="A2498" s="224">
        <v>2497</v>
      </c>
      <c r="B2498" s="58">
        <v>19889</v>
      </c>
      <c r="C2498" s="57" t="s">
        <v>3227</v>
      </c>
      <c r="D2498" s="57" t="s">
        <v>45</v>
      </c>
      <c r="E2498" s="57" t="s">
        <v>2860</v>
      </c>
      <c r="F2498" s="58" t="s">
        <v>6319</v>
      </c>
      <c r="G2498" s="234" t="s">
        <v>216</v>
      </c>
      <c r="H2498" s="57" t="s">
        <v>2557</v>
      </c>
      <c r="I2498" s="58">
        <v>94367</v>
      </c>
      <c r="J2498" s="57" t="s">
        <v>6320</v>
      </c>
      <c r="K2498" s="58">
        <v>8.2799999999999994</v>
      </c>
      <c r="L2498" s="58">
        <v>0</v>
      </c>
      <c r="M2498" s="58">
        <v>0</v>
      </c>
      <c r="N2498" s="58">
        <v>1</v>
      </c>
      <c r="O2498" s="181">
        <f t="shared" si="18"/>
        <v>8.2799999999999994</v>
      </c>
      <c r="P2498" s="247">
        <f t="shared" si="19"/>
        <v>8.2799999999999994</v>
      </c>
    </row>
    <row r="2499" spans="1:16" ht="14.25">
      <c r="A2499" s="224">
        <v>2498</v>
      </c>
      <c r="B2499" s="58">
        <v>34872</v>
      </c>
      <c r="C2499" s="57" t="s">
        <v>2578</v>
      </c>
      <c r="D2499" s="57" t="s">
        <v>45</v>
      </c>
      <c r="E2499" s="57" t="s">
        <v>4772</v>
      </c>
      <c r="F2499" s="58" t="s">
        <v>6321</v>
      </c>
      <c r="G2499" s="234" t="s">
        <v>216</v>
      </c>
      <c r="H2499" s="57" t="s">
        <v>2557</v>
      </c>
      <c r="I2499" s="58">
        <v>92459</v>
      </c>
      <c r="J2499" s="57" t="s">
        <v>2111</v>
      </c>
      <c r="K2499" s="58">
        <v>60</v>
      </c>
      <c r="L2499" s="58">
        <v>1.74</v>
      </c>
      <c r="M2499" s="58">
        <v>0</v>
      </c>
      <c r="N2499" s="58">
        <v>1</v>
      </c>
      <c r="O2499" s="181">
        <f t="shared" si="18"/>
        <v>58.26</v>
      </c>
      <c r="P2499" s="247">
        <f t="shared" si="19"/>
        <v>58.26</v>
      </c>
    </row>
    <row r="2500" spans="1:16" ht="14.25">
      <c r="A2500" s="224">
        <v>2499</v>
      </c>
      <c r="B2500" s="58">
        <v>27903</v>
      </c>
      <c r="C2500" s="57" t="s">
        <v>5168</v>
      </c>
      <c r="D2500" s="57" t="s">
        <v>45</v>
      </c>
      <c r="E2500" s="57" t="s">
        <v>2874</v>
      </c>
      <c r="F2500" s="58" t="s">
        <v>6322</v>
      </c>
      <c r="G2500" s="234" t="s">
        <v>216</v>
      </c>
      <c r="H2500" s="57" t="s">
        <v>2557</v>
      </c>
      <c r="I2500" s="58">
        <v>91295</v>
      </c>
      <c r="J2500" s="57"/>
      <c r="K2500" s="58">
        <v>470.5</v>
      </c>
      <c r="L2500" s="58">
        <v>0</v>
      </c>
      <c r="M2500" s="58">
        <v>0</v>
      </c>
      <c r="N2500" s="58">
        <v>1</v>
      </c>
      <c r="O2500" s="181">
        <f t="shared" si="18"/>
        <v>470.5</v>
      </c>
      <c r="P2500" s="247">
        <f t="shared" si="19"/>
        <v>470.5</v>
      </c>
    </row>
    <row r="2501" spans="1:16" ht="14.25">
      <c r="A2501" s="224">
        <v>2500</v>
      </c>
      <c r="B2501" s="58">
        <v>6794</v>
      </c>
      <c r="C2501" s="57" t="s">
        <v>2623</v>
      </c>
      <c r="D2501" s="57" t="s">
        <v>45</v>
      </c>
      <c r="E2501" s="57" t="s">
        <v>2874</v>
      </c>
      <c r="F2501" s="58" t="s">
        <v>6323</v>
      </c>
      <c r="G2501" s="234" t="s">
        <v>216</v>
      </c>
      <c r="H2501" s="57" t="s">
        <v>2557</v>
      </c>
      <c r="I2501" s="58">
        <v>93779</v>
      </c>
      <c r="J2501" s="57"/>
      <c r="K2501" s="58">
        <v>662.22</v>
      </c>
      <c r="L2501" s="58">
        <v>0</v>
      </c>
      <c r="M2501" s="58">
        <v>0</v>
      </c>
      <c r="N2501" s="58">
        <v>1</v>
      </c>
      <c r="O2501" s="181">
        <f t="shared" si="18"/>
        <v>662.22</v>
      </c>
      <c r="P2501" s="247">
        <f t="shared" si="19"/>
        <v>662.22</v>
      </c>
    </row>
    <row r="2502" spans="1:16" ht="14.25">
      <c r="A2502" s="224">
        <v>2501</v>
      </c>
      <c r="B2502" s="58">
        <v>28543</v>
      </c>
      <c r="C2502" s="57" t="s">
        <v>5127</v>
      </c>
      <c r="D2502" s="57" t="s">
        <v>2582</v>
      </c>
      <c r="E2502" s="57" t="s">
        <v>2860</v>
      </c>
      <c r="F2502" s="58" t="s">
        <v>6324</v>
      </c>
      <c r="G2502" s="234" t="s">
        <v>216</v>
      </c>
      <c r="H2502" s="57" t="s">
        <v>2557</v>
      </c>
      <c r="I2502" s="58">
        <v>91031</v>
      </c>
      <c r="J2502" s="57" t="s">
        <v>6325</v>
      </c>
      <c r="K2502" s="58">
        <v>892.77</v>
      </c>
      <c r="L2502" s="58">
        <v>0</v>
      </c>
      <c r="M2502" s="58">
        <v>0</v>
      </c>
      <c r="N2502" s="58">
        <v>7.11653</v>
      </c>
      <c r="O2502" s="181">
        <f t="shared" si="18"/>
        <v>892.77</v>
      </c>
      <c r="P2502" s="247">
        <f t="shared" si="19"/>
        <v>125.45018428925333</v>
      </c>
    </row>
    <row r="2503" spans="1:16" ht="14.25">
      <c r="A2503" s="224">
        <v>2502</v>
      </c>
      <c r="B2503" s="58">
        <v>6794</v>
      </c>
      <c r="C2503" s="57" t="s">
        <v>2623</v>
      </c>
      <c r="D2503" s="57" t="s">
        <v>45</v>
      </c>
      <c r="E2503" s="57" t="s">
        <v>2874</v>
      </c>
      <c r="F2503" s="58" t="s">
        <v>6326</v>
      </c>
      <c r="G2503" s="234" t="s">
        <v>216</v>
      </c>
      <c r="H2503" s="57" t="s">
        <v>2557</v>
      </c>
      <c r="I2503" s="58">
        <v>94379</v>
      </c>
      <c r="J2503" s="57"/>
      <c r="K2503" s="58">
        <v>98.41</v>
      </c>
      <c r="L2503" s="58">
        <v>0</v>
      </c>
      <c r="M2503" s="58">
        <v>0</v>
      </c>
      <c r="N2503" s="58">
        <v>1</v>
      </c>
      <c r="O2503" s="181">
        <f t="shared" si="18"/>
        <v>98.41</v>
      </c>
      <c r="P2503" s="247">
        <f t="shared" si="19"/>
        <v>98.41</v>
      </c>
    </row>
    <row r="2504" spans="1:16" ht="14.25">
      <c r="A2504" s="224">
        <v>2503</v>
      </c>
      <c r="B2504" s="58">
        <v>3347</v>
      </c>
      <c r="C2504" s="57" t="s">
        <v>6327</v>
      </c>
      <c r="D2504" s="57" t="s">
        <v>45</v>
      </c>
      <c r="E2504" s="57" t="s">
        <v>2874</v>
      </c>
      <c r="F2504" s="58" t="s">
        <v>6328</v>
      </c>
      <c r="G2504" s="234" t="s">
        <v>216</v>
      </c>
      <c r="H2504" s="57" t="s">
        <v>2557</v>
      </c>
      <c r="I2504" s="58">
        <v>93155</v>
      </c>
      <c r="J2504" s="57"/>
      <c r="K2504" s="58">
        <v>12.6</v>
      </c>
      <c r="L2504" s="58">
        <v>0</v>
      </c>
      <c r="M2504" s="58">
        <v>0</v>
      </c>
      <c r="N2504" s="58">
        <v>1</v>
      </c>
      <c r="O2504" s="181">
        <f t="shared" si="18"/>
        <v>12.6</v>
      </c>
      <c r="P2504" s="247">
        <f t="shared" si="19"/>
        <v>12.6</v>
      </c>
    </row>
    <row r="2505" spans="1:16" ht="14.25">
      <c r="A2505" s="224">
        <v>2504</v>
      </c>
      <c r="B2505" s="58">
        <v>283</v>
      </c>
      <c r="C2505" s="57" t="s">
        <v>3548</v>
      </c>
      <c r="D2505" s="57" t="s">
        <v>45</v>
      </c>
      <c r="E2505" s="57" t="s">
        <v>2860</v>
      </c>
      <c r="F2505" s="58" t="s">
        <v>6329</v>
      </c>
      <c r="G2505" s="234" t="s">
        <v>216</v>
      </c>
      <c r="H2505" s="57" t="s">
        <v>6330</v>
      </c>
      <c r="I2505" s="58">
        <v>62600</v>
      </c>
      <c r="J2505" s="57"/>
      <c r="K2505" s="58">
        <v>0</v>
      </c>
      <c r="L2505" s="58">
        <v>0</v>
      </c>
      <c r="M2505" s="58">
        <v>1.6</v>
      </c>
      <c r="N2505" s="58">
        <v>1</v>
      </c>
      <c r="O2505" s="181">
        <f t="shared" si="18"/>
        <v>-1.6</v>
      </c>
      <c r="P2505" s="247">
        <f t="shared" si="19"/>
        <v>-1.6</v>
      </c>
    </row>
    <row r="2506" spans="1:16" ht="14.25">
      <c r="A2506" s="224">
        <v>2505</v>
      </c>
      <c r="B2506" s="58">
        <v>26470</v>
      </c>
      <c r="C2506" s="57" t="s">
        <v>4808</v>
      </c>
      <c r="D2506" s="57" t="s">
        <v>45</v>
      </c>
      <c r="E2506" s="57" t="s">
        <v>2860</v>
      </c>
      <c r="F2506" s="58" t="s">
        <v>6331</v>
      </c>
      <c r="G2506" s="234" t="s">
        <v>216</v>
      </c>
      <c r="H2506" s="57" t="s">
        <v>2557</v>
      </c>
      <c r="I2506" s="58">
        <v>91931</v>
      </c>
      <c r="J2506" s="57" t="s">
        <v>6332</v>
      </c>
      <c r="K2506" s="58">
        <v>180</v>
      </c>
      <c r="L2506" s="58">
        <v>0</v>
      </c>
      <c r="M2506" s="58">
        <v>0</v>
      </c>
      <c r="N2506" s="58">
        <v>1</v>
      </c>
      <c r="O2506" s="181">
        <f t="shared" si="18"/>
        <v>180</v>
      </c>
      <c r="P2506" s="247">
        <f t="shared" si="19"/>
        <v>180</v>
      </c>
    </row>
    <row r="2507" spans="1:16" ht="14.25">
      <c r="A2507" s="224">
        <v>2506</v>
      </c>
      <c r="B2507" s="58">
        <v>28543</v>
      </c>
      <c r="C2507" s="57" t="s">
        <v>5127</v>
      </c>
      <c r="D2507" s="57" t="s">
        <v>2582</v>
      </c>
      <c r="E2507" s="57" t="s">
        <v>2860</v>
      </c>
      <c r="F2507" s="58" t="s">
        <v>6333</v>
      </c>
      <c r="G2507" s="234" t="s">
        <v>216</v>
      </c>
      <c r="H2507" s="57" t="s">
        <v>2557</v>
      </c>
      <c r="I2507" s="58">
        <v>91031</v>
      </c>
      <c r="J2507" s="57"/>
      <c r="K2507" s="58">
        <v>0.02</v>
      </c>
      <c r="L2507" s="58">
        <v>0</v>
      </c>
      <c r="M2507" s="58">
        <v>0</v>
      </c>
      <c r="N2507" s="58">
        <v>7.0961400000000001</v>
      </c>
      <c r="O2507" s="181">
        <f t="shared" si="18"/>
        <v>0.02</v>
      </c>
      <c r="P2507" s="247">
        <f t="shared" si="19"/>
        <v>2.8184336836646401E-3</v>
      </c>
    </row>
    <row r="2508" spans="1:16" ht="14.25">
      <c r="A2508" s="224">
        <v>2507</v>
      </c>
      <c r="B2508" s="58">
        <v>3521</v>
      </c>
      <c r="C2508" s="57" t="s">
        <v>6334</v>
      </c>
      <c r="D2508" s="57" t="s">
        <v>45</v>
      </c>
      <c r="E2508" s="57" t="s">
        <v>9</v>
      </c>
      <c r="F2508" s="58" t="s">
        <v>6335</v>
      </c>
      <c r="G2508" s="234" t="s">
        <v>216</v>
      </c>
      <c r="H2508" s="57" t="s">
        <v>2557</v>
      </c>
      <c r="I2508" s="58">
        <v>93995</v>
      </c>
      <c r="J2508" s="57" t="s">
        <v>731</v>
      </c>
      <c r="K2508" s="58">
        <v>12.6</v>
      </c>
      <c r="L2508" s="58">
        <v>1.1200000000000001</v>
      </c>
      <c r="M2508" s="58">
        <v>0</v>
      </c>
      <c r="N2508" s="58">
        <v>1</v>
      </c>
      <c r="O2508" s="181">
        <f t="shared" si="18"/>
        <v>11.48</v>
      </c>
      <c r="P2508" s="247">
        <f t="shared" si="19"/>
        <v>11.48</v>
      </c>
    </row>
    <row r="2509" spans="1:16" ht="14.25">
      <c r="A2509" s="224">
        <v>2508</v>
      </c>
      <c r="B2509" s="58">
        <v>34788</v>
      </c>
      <c r="C2509" s="57" t="s">
        <v>6156</v>
      </c>
      <c r="D2509" s="57" t="s">
        <v>2582</v>
      </c>
      <c r="E2509" s="57" t="s">
        <v>4772</v>
      </c>
      <c r="F2509" s="58" t="s">
        <v>6336</v>
      </c>
      <c r="G2509" s="234" t="s">
        <v>216</v>
      </c>
      <c r="H2509" s="57" t="s">
        <v>2557</v>
      </c>
      <c r="I2509" s="58">
        <v>94559</v>
      </c>
      <c r="J2509" s="57" t="s">
        <v>2117</v>
      </c>
      <c r="K2509" s="58">
        <v>36.840000000000003</v>
      </c>
      <c r="L2509" s="58">
        <v>0.15</v>
      </c>
      <c r="M2509" s="58">
        <v>0</v>
      </c>
      <c r="N2509" s="58">
        <v>7.0961400000000001</v>
      </c>
      <c r="O2509" s="181">
        <f t="shared" si="18"/>
        <v>36.690000000000005</v>
      </c>
      <c r="P2509" s="247">
        <f t="shared" si="19"/>
        <v>5.1704165926827832</v>
      </c>
    </row>
    <row r="2510" spans="1:16" ht="14.25">
      <c r="A2510" s="224">
        <v>2509</v>
      </c>
      <c r="B2510" s="58">
        <v>3291</v>
      </c>
      <c r="C2510" s="57" t="s">
        <v>6337</v>
      </c>
      <c r="D2510" s="57" t="s">
        <v>45</v>
      </c>
      <c r="E2510" s="57" t="s">
        <v>2860</v>
      </c>
      <c r="F2510" s="58" t="s">
        <v>6338</v>
      </c>
      <c r="G2510" s="234" t="s">
        <v>216</v>
      </c>
      <c r="H2510" s="57" t="s">
        <v>2557</v>
      </c>
      <c r="I2510" s="58">
        <v>92891</v>
      </c>
      <c r="J2510" s="57" t="s">
        <v>6339</v>
      </c>
      <c r="K2510" s="58">
        <v>12.6</v>
      </c>
      <c r="L2510" s="58">
        <v>0</v>
      </c>
      <c r="M2510" s="58">
        <v>0</v>
      </c>
      <c r="N2510" s="58">
        <v>1</v>
      </c>
      <c r="O2510" s="181">
        <f t="shared" si="18"/>
        <v>12.6</v>
      </c>
      <c r="P2510" s="247">
        <f t="shared" si="19"/>
        <v>12.6</v>
      </c>
    </row>
    <row r="2511" spans="1:16" ht="14.25">
      <c r="A2511" s="224">
        <v>2510</v>
      </c>
      <c r="B2511" s="58">
        <v>3350</v>
      </c>
      <c r="C2511" s="57" t="s">
        <v>6340</v>
      </c>
      <c r="D2511" s="57" t="s">
        <v>45</v>
      </c>
      <c r="E2511" s="57" t="s">
        <v>2860</v>
      </c>
      <c r="F2511" s="58" t="s">
        <v>6341</v>
      </c>
      <c r="G2511" s="234" t="s">
        <v>216</v>
      </c>
      <c r="H2511" s="57" t="s">
        <v>2557</v>
      </c>
      <c r="I2511" s="58">
        <v>93191</v>
      </c>
      <c r="J2511" s="57" t="s">
        <v>6342</v>
      </c>
      <c r="K2511" s="58">
        <v>12.6</v>
      </c>
      <c r="L2511" s="58">
        <v>0</v>
      </c>
      <c r="M2511" s="58">
        <v>0</v>
      </c>
      <c r="N2511" s="58">
        <v>1</v>
      </c>
      <c r="O2511" s="181">
        <f t="shared" si="18"/>
        <v>12.6</v>
      </c>
      <c r="P2511" s="247">
        <f t="shared" si="19"/>
        <v>12.6</v>
      </c>
    </row>
    <row r="2512" spans="1:16" ht="14.25">
      <c r="A2512" s="224">
        <v>2511</v>
      </c>
      <c r="B2512" s="58">
        <v>6529</v>
      </c>
      <c r="C2512" s="57" t="s">
        <v>2566</v>
      </c>
      <c r="D2512" s="57" t="s">
        <v>45</v>
      </c>
      <c r="E2512" s="57" t="s">
        <v>2860</v>
      </c>
      <c r="F2512" s="58" t="s">
        <v>6343</v>
      </c>
      <c r="G2512" s="234" t="s">
        <v>216</v>
      </c>
      <c r="H2512" s="57" t="s">
        <v>2557</v>
      </c>
      <c r="I2512" s="58">
        <v>92267</v>
      </c>
      <c r="J2512" s="57" t="s">
        <v>6344</v>
      </c>
      <c r="K2512" s="58">
        <v>8.99</v>
      </c>
      <c r="L2512" s="58">
        <v>0</v>
      </c>
      <c r="M2512" s="58">
        <v>0</v>
      </c>
      <c r="N2512" s="58">
        <v>1</v>
      </c>
      <c r="O2512" s="181">
        <f t="shared" si="18"/>
        <v>8.99</v>
      </c>
      <c r="P2512" s="247">
        <f t="shared" si="19"/>
        <v>8.99</v>
      </c>
    </row>
    <row r="2513" spans="1:16" ht="14.25">
      <c r="A2513" s="224">
        <v>2512</v>
      </c>
      <c r="B2513" s="58">
        <v>2742</v>
      </c>
      <c r="C2513" s="57" t="s">
        <v>6345</v>
      </c>
      <c r="D2513" s="57" t="s">
        <v>45</v>
      </c>
      <c r="E2513" s="57" t="s">
        <v>9</v>
      </c>
      <c r="F2513" s="58" t="s">
        <v>6346</v>
      </c>
      <c r="G2513" s="234" t="s">
        <v>216</v>
      </c>
      <c r="H2513" s="57" t="s">
        <v>2557</v>
      </c>
      <c r="I2513" s="58">
        <v>91139</v>
      </c>
      <c r="J2513" s="57" t="s">
        <v>734</v>
      </c>
      <c r="K2513" s="58">
        <v>17.989999999999998</v>
      </c>
      <c r="L2513" s="58">
        <v>1.39</v>
      </c>
      <c r="M2513" s="58">
        <v>0</v>
      </c>
      <c r="N2513" s="58">
        <v>1</v>
      </c>
      <c r="O2513" s="181">
        <f t="shared" si="18"/>
        <v>16.599999999999998</v>
      </c>
      <c r="P2513" s="247">
        <f t="shared" si="19"/>
        <v>16.599999999999998</v>
      </c>
    </row>
    <row r="2514" spans="1:16" ht="14.25">
      <c r="A2514" s="224">
        <v>2513</v>
      </c>
      <c r="B2514" s="58">
        <v>3616</v>
      </c>
      <c r="C2514" s="57" t="s">
        <v>6347</v>
      </c>
      <c r="D2514" s="57" t="s">
        <v>45</v>
      </c>
      <c r="E2514" s="57" t="s">
        <v>9</v>
      </c>
      <c r="F2514" s="58" t="s">
        <v>6348</v>
      </c>
      <c r="G2514" s="234" t="s">
        <v>216</v>
      </c>
      <c r="H2514" s="57" t="s">
        <v>2557</v>
      </c>
      <c r="I2514" s="58">
        <v>94355</v>
      </c>
      <c r="J2514" s="57" t="s">
        <v>736</v>
      </c>
      <c r="K2514" s="58">
        <v>12.6</v>
      </c>
      <c r="L2514" s="58">
        <v>1.1200000000000001</v>
      </c>
      <c r="M2514" s="58">
        <v>0</v>
      </c>
      <c r="N2514" s="58">
        <v>1</v>
      </c>
      <c r="O2514" s="181">
        <f t="shared" si="18"/>
        <v>11.48</v>
      </c>
      <c r="P2514" s="247">
        <f t="shared" si="19"/>
        <v>11.48</v>
      </c>
    </row>
    <row r="2515" spans="1:16" ht="14.25">
      <c r="A2515" s="224">
        <v>2514</v>
      </c>
      <c r="B2515" s="58">
        <v>35843</v>
      </c>
      <c r="C2515" s="57" t="s">
        <v>6349</v>
      </c>
      <c r="D2515" s="57" t="s">
        <v>45</v>
      </c>
      <c r="E2515" s="57" t="s">
        <v>2874</v>
      </c>
      <c r="F2515" s="58" t="s">
        <v>6350</v>
      </c>
      <c r="G2515" s="234" t="s">
        <v>216</v>
      </c>
      <c r="H2515" s="57" t="s">
        <v>2557</v>
      </c>
      <c r="I2515" s="58">
        <v>94799</v>
      </c>
      <c r="J2515" s="57"/>
      <c r="K2515" s="58">
        <v>16.989999999999998</v>
      </c>
      <c r="L2515" s="58">
        <v>0</v>
      </c>
      <c r="M2515" s="58">
        <v>0</v>
      </c>
      <c r="N2515" s="58">
        <v>1</v>
      </c>
      <c r="O2515" s="181">
        <f t="shared" si="18"/>
        <v>16.989999999999998</v>
      </c>
      <c r="P2515" s="247">
        <f t="shared" si="19"/>
        <v>16.989999999999998</v>
      </c>
    </row>
    <row r="2516" spans="1:16" ht="14.25">
      <c r="A2516" s="224">
        <v>2515</v>
      </c>
      <c r="B2516" s="58">
        <v>351</v>
      </c>
      <c r="C2516" s="57" t="s">
        <v>2707</v>
      </c>
      <c r="D2516" s="57" t="s">
        <v>45</v>
      </c>
      <c r="E2516" s="57" t="s">
        <v>9</v>
      </c>
      <c r="F2516" s="58" t="s">
        <v>6351</v>
      </c>
      <c r="G2516" s="234" t="s">
        <v>216</v>
      </c>
      <c r="H2516" s="57" t="s">
        <v>2557</v>
      </c>
      <c r="I2516" s="58">
        <v>89747</v>
      </c>
      <c r="J2516" s="57" t="s">
        <v>738</v>
      </c>
      <c r="K2516" s="58">
        <v>1.0900000000000001</v>
      </c>
      <c r="L2516" s="58">
        <v>0.54</v>
      </c>
      <c r="M2516" s="58">
        <v>0</v>
      </c>
      <c r="N2516" s="58">
        <v>1</v>
      </c>
      <c r="O2516" s="181">
        <f t="shared" si="18"/>
        <v>0.55000000000000004</v>
      </c>
      <c r="P2516" s="247">
        <f t="shared" si="19"/>
        <v>0.55000000000000004</v>
      </c>
    </row>
    <row r="2517" spans="1:16" ht="14.25">
      <c r="A2517" s="224">
        <v>2516</v>
      </c>
      <c r="B2517" s="58">
        <v>35863</v>
      </c>
      <c r="C2517" s="57" t="s">
        <v>6352</v>
      </c>
      <c r="D2517" s="57" t="s">
        <v>45</v>
      </c>
      <c r="E2517" s="57" t="s">
        <v>4772</v>
      </c>
      <c r="F2517" s="58" t="s">
        <v>6353</v>
      </c>
      <c r="G2517" s="234" t="s">
        <v>216</v>
      </c>
      <c r="H2517" s="57" t="s">
        <v>2557</v>
      </c>
      <c r="I2517" s="58">
        <v>94811</v>
      </c>
      <c r="J2517" s="57" t="s">
        <v>2120</v>
      </c>
      <c r="K2517" s="58">
        <v>28.99</v>
      </c>
      <c r="L2517" s="58">
        <v>0.84</v>
      </c>
      <c r="M2517" s="58">
        <v>0</v>
      </c>
      <c r="N2517" s="58">
        <v>1</v>
      </c>
      <c r="O2517" s="181">
        <f t="shared" si="18"/>
        <v>28.15</v>
      </c>
      <c r="P2517" s="247">
        <f t="shared" si="19"/>
        <v>28.15</v>
      </c>
    </row>
    <row r="2518" spans="1:16" ht="14.25">
      <c r="A2518" s="224">
        <v>2517</v>
      </c>
      <c r="B2518" s="58">
        <v>6227</v>
      </c>
      <c r="C2518" s="57" t="s">
        <v>6354</v>
      </c>
      <c r="D2518" s="57" t="s">
        <v>45</v>
      </c>
      <c r="E2518" s="57" t="s">
        <v>9</v>
      </c>
      <c r="F2518" s="58" t="s">
        <v>6355</v>
      </c>
      <c r="G2518" s="234" t="s">
        <v>216</v>
      </c>
      <c r="H2518" s="57" t="s">
        <v>2557</v>
      </c>
      <c r="I2518" s="58">
        <v>94943</v>
      </c>
      <c r="J2518" s="57" t="s">
        <v>740</v>
      </c>
      <c r="K2518" s="58">
        <v>20.25</v>
      </c>
      <c r="L2518" s="58">
        <v>1.5</v>
      </c>
      <c r="M2518" s="58">
        <v>0</v>
      </c>
      <c r="N2518" s="58">
        <v>1</v>
      </c>
      <c r="O2518" s="181">
        <f t="shared" si="18"/>
        <v>18.75</v>
      </c>
      <c r="P2518" s="247">
        <f t="shared" si="19"/>
        <v>18.75</v>
      </c>
    </row>
    <row r="2519" spans="1:16" ht="14.25">
      <c r="A2519" s="224">
        <v>2518</v>
      </c>
      <c r="B2519" s="58">
        <v>3867</v>
      </c>
      <c r="C2519" s="57" t="s">
        <v>2998</v>
      </c>
      <c r="D2519" s="57" t="s">
        <v>45</v>
      </c>
      <c r="E2519" s="57" t="s">
        <v>2860</v>
      </c>
      <c r="F2519" s="58" t="s">
        <v>6356</v>
      </c>
      <c r="G2519" s="234" t="s">
        <v>216</v>
      </c>
      <c r="H2519" s="57" t="s">
        <v>2557</v>
      </c>
      <c r="I2519" s="58">
        <v>94991</v>
      </c>
      <c r="J2519" s="57" t="s">
        <v>6357</v>
      </c>
      <c r="K2519" s="58">
        <v>11.99</v>
      </c>
      <c r="L2519" s="58">
        <v>0</v>
      </c>
      <c r="M2519" s="58">
        <v>0</v>
      </c>
      <c r="N2519" s="58">
        <v>1</v>
      </c>
      <c r="O2519" s="181">
        <f t="shared" si="18"/>
        <v>11.99</v>
      </c>
      <c r="P2519" s="247">
        <f t="shared" si="19"/>
        <v>11.99</v>
      </c>
    </row>
    <row r="2520" spans="1:16" ht="14.25">
      <c r="A2520" s="224">
        <v>2519</v>
      </c>
      <c r="B2520" s="58">
        <v>6798</v>
      </c>
      <c r="C2520" s="57" t="s">
        <v>2921</v>
      </c>
      <c r="D2520" s="57" t="s">
        <v>45</v>
      </c>
      <c r="E2520" s="57" t="s">
        <v>3655</v>
      </c>
      <c r="F2520" s="58" t="s">
        <v>6358</v>
      </c>
      <c r="G2520" s="234" t="s">
        <v>216</v>
      </c>
      <c r="H2520" s="57" t="s">
        <v>2557</v>
      </c>
      <c r="I2520" s="58">
        <v>92471</v>
      </c>
      <c r="J2520" s="57"/>
      <c r="K2520" s="58">
        <v>810</v>
      </c>
      <c r="L2520" s="58">
        <v>0</v>
      </c>
      <c r="M2520" s="58">
        <v>0</v>
      </c>
      <c r="N2520" s="58">
        <v>1</v>
      </c>
      <c r="O2520" s="181">
        <f t="shared" si="18"/>
        <v>810</v>
      </c>
      <c r="P2520" s="247">
        <f t="shared" si="19"/>
        <v>810</v>
      </c>
    </row>
    <row r="2521" spans="1:16" ht="14.25">
      <c r="A2521" s="224">
        <v>2520</v>
      </c>
      <c r="B2521" s="58">
        <v>27903</v>
      </c>
      <c r="C2521" s="57" t="s">
        <v>5168</v>
      </c>
      <c r="D2521" s="57" t="s">
        <v>45</v>
      </c>
      <c r="E2521" s="57" t="s">
        <v>2874</v>
      </c>
      <c r="F2521" s="58" t="s">
        <v>6359</v>
      </c>
      <c r="G2521" s="234" t="s">
        <v>216</v>
      </c>
      <c r="H2521" s="57" t="s">
        <v>2557</v>
      </c>
      <c r="I2521" s="58">
        <v>94955</v>
      </c>
      <c r="J2521" s="57"/>
      <c r="K2521" s="58">
        <v>486</v>
      </c>
      <c r="L2521" s="58">
        <v>0</v>
      </c>
      <c r="M2521" s="58">
        <v>0</v>
      </c>
      <c r="N2521" s="58">
        <v>1</v>
      </c>
      <c r="O2521" s="181">
        <f t="shared" si="18"/>
        <v>486</v>
      </c>
      <c r="P2521" s="247">
        <f t="shared" si="19"/>
        <v>486</v>
      </c>
    </row>
    <row r="2522" spans="1:16" ht="14.25">
      <c r="A2522" s="224">
        <v>2521</v>
      </c>
      <c r="B2522" s="58">
        <v>18477</v>
      </c>
      <c r="C2522" s="57" t="s">
        <v>2966</v>
      </c>
      <c r="D2522" s="57" t="s">
        <v>45</v>
      </c>
      <c r="E2522" s="57" t="s">
        <v>2874</v>
      </c>
      <c r="F2522" s="58" t="s">
        <v>6360</v>
      </c>
      <c r="G2522" s="234" t="s">
        <v>216</v>
      </c>
      <c r="H2522" s="57" t="s">
        <v>2557</v>
      </c>
      <c r="I2522" s="58">
        <v>91727</v>
      </c>
      <c r="J2522" s="57"/>
      <c r="K2522" s="58">
        <v>110</v>
      </c>
      <c r="L2522" s="58">
        <v>0</v>
      </c>
      <c r="M2522" s="58">
        <v>0</v>
      </c>
      <c r="N2522" s="58">
        <v>1</v>
      </c>
      <c r="O2522" s="181">
        <f t="shared" si="18"/>
        <v>110</v>
      </c>
      <c r="P2522" s="247">
        <f t="shared" si="19"/>
        <v>110</v>
      </c>
    </row>
    <row r="2523" spans="1:16" ht="14.25">
      <c r="A2523" s="224">
        <v>2522</v>
      </c>
      <c r="B2523" s="58">
        <v>35932</v>
      </c>
      <c r="C2523" s="57" t="s">
        <v>6361</v>
      </c>
      <c r="D2523" s="57" t="s">
        <v>2582</v>
      </c>
      <c r="E2523" s="57" t="s">
        <v>2874</v>
      </c>
      <c r="F2523" s="58" t="s">
        <v>6362</v>
      </c>
      <c r="G2523" s="234" t="s">
        <v>216</v>
      </c>
      <c r="H2523" s="57" t="s">
        <v>2557</v>
      </c>
      <c r="I2523" s="58">
        <v>95052</v>
      </c>
      <c r="J2523" s="57"/>
      <c r="K2523" s="58">
        <v>96.61</v>
      </c>
      <c r="L2523" s="58">
        <v>0</v>
      </c>
      <c r="M2523" s="58">
        <v>0</v>
      </c>
      <c r="N2523" s="58">
        <v>7.1075600000000003</v>
      </c>
      <c r="O2523" s="181">
        <f t="shared" si="18"/>
        <v>96.61</v>
      </c>
      <c r="P2523" s="247">
        <f t="shared" si="19"/>
        <v>13.592569039163932</v>
      </c>
    </row>
    <row r="2524" spans="1:16" ht="14.25">
      <c r="A2524" s="224">
        <v>2523</v>
      </c>
      <c r="B2524" s="58">
        <v>28642</v>
      </c>
      <c r="C2524" s="57" t="s">
        <v>5177</v>
      </c>
      <c r="D2524" s="57" t="s">
        <v>2582</v>
      </c>
      <c r="E2524" s="57" t="s">
        <v>2860</v>
      </c>
      <c r="F2524" s="58" t="s">
        <v>6363</v>
      </c>
      <c r="G2524" s="234" t="s">
        <v>216</v>
      </c>
      <c r="H2524" s="57" t="s">
        <v>2557</v>
      </c>
      <c r="I2524" s="58">
        <v>95148</v>
      </c>
      <c r="J2524" s="57" t="s">
        <v>6364</v>
      </c>
      <c r="K2524" s="58">
        <v>31.93</v>
      </c>
      <c r="L2524" s="58">
        <v>0</v>
      </c>
      <c r="M2524" s="58">
        <v>0</v>
      </c>
      <c r="N2524" s="58">
        <v>7.1104399999999996</v>
      </c>
      <c r="O2524" s="181">
        <f t="shared" si="18"/>
        <v>31.93</v>
      </c>
      <c r="P2524" s="247">
        <f t="shared" si="19"/>
        <v>4.4905800484920766</v>
      </c>
    </row>
    <row r="2525" spans="1:16" ht="14.25">
      <c r="A2525" s="224">
        <v>2524</v>
      </c>
      <c r="B2525" s="58">
        <v>28642</v>
      </c>
      <c r="C2525" s="57" t="s">
        <v>5177</v>
      </c>
      <c r="D2525" s="57" t="s">
        <v>2582</v>
      </c>
      <c r="E2525" s="57" t="s">
        <v>2860</v>
      </c>
      <c r="F2525" s="58" t="s">
        <v>6365</v>
      </c>
      <c r="G2525" s="234" t="s">
        <v>216</v>
      </c>
      <c r="H2525" s="57" t="s">
        <v>2557</v>
      </c>
      <c r="I2525" s="58">
        <v>95148</v>
      </c>
      <c r="J2525" s="57"/>
      <c r="K2525" s="58">
        <v>0.02</v>
      </c>
      <c r="L2525" s="58">
        <v>0</v>
      </c>
      <c r="M2525" s="58">
        <v>0</v>
      </c>
      <c r="N2525" s="58">
        <v>7.1104399999999996</v>
      </c>
      <c r="O2525" s="181">
        <f t="shared" si="18"/>
        <v>0.02</v>
      </c>
      <c r="P2525" s="247">
        <f t="shared" si="19"/>
        <v>2.8127654547397915E-3</v>
      </c>
    </row>
    <row r="2526" spans="1:16" ht="14.25">
      <c r="A2526" s="224">
        <v>2525</v>
      </c>
      <c r="B2526" s="58">
        <v>28642</v>
      </c>
      <c r="C2526" s="57" t="s">
        <v>5177</v>
      </c>
      <c r="D2526" s="57" t="s">
        <v>2582</v>
      </c>
      <c r="E2526" s="57" t="s">
        <v>2860</v>
      </c>
      <c r="F2526" s="58" t="s">
        <v>6366</v>
      </c>
      <c r="G2526" s="234" t="s">
        <v>216</v>
      </c>
      <c r="H2526" s="57" t="s">
        <v>2557</v>
      </c>
      <c r="I2526" s="58">
        <v>95160</v>
      </c>
      <c r="J2526" s="57" t="s">
        <v>6367</v>
      </c>
      <c r="K2526" s="58">
        <v>31.93</v>
      </c>
      <c r="L2526" s="58">
        <v>0</v>
      </c>
      <c r="M2526" s="58">
        <v>0</v>
      </c>
      <c r="N2526" s="58">
        <v>7.1104399999999996</v>
      </c>
      <c r="O2526" s="181">
        <f t="shared" si="18"/>
        <v>31.93</v>
      </c>
      <c r="P2526" s="247">
        <f t="shared" si="19"/>
        <v>4.4905800484920766</v>
      </c>
    </row>
    <row r="2527" spans="1:16" ht="14.25">
      <c r="A2527" s="224">
        <v>2526</v>
      </c>
      <c r="B2527" s="58">
        <v>34672</v>
      </c>
      <c r="C2527" s="57" t="s">
        <v>6368</v>
      </c>
      <c r="D2527" s="57" t="s">
        <v>45</v>
      </c>
      <c r="E2527" s="57" t="s">
        <v>4772</v>
      </c>
      <c r="F2527" s="58" t="s">
        <v>6369</v>
      </c>
      <c r="G2527" s="234" t="s">
        <v>216</v>
      </c>
      <c r="H2527" s="57" t="s">
        <v>2557</v>
      </c>
      <c r="I2527" s="58">
        <v>92207</v>
      </c>
      <c r="J2527" s="57"/>
      <c r="K2527" s="58">
        <v>15.59</v>
      </c>
      <c r="L2527" s="58">
        <v>0</v>
      </c>
      <c r="M2527" s="58">
        <v>0</v>
      </c>
      <c r="N2527" s="58">
        <v>1</v>
      </c>
      <c r="O2527" s="181">
        <f t="shared" si="18"/>
        <v>15.59</v>
      </c>
      <c r="P2527" s="247">
        <f t="shared" si="19"/>
        <v>15.59</v>
      </c>
    </row>
    <row r="2528" spans="1:16" ht="14.25">
      <c r="A2528" s="224">
        <v>2527</v>
      </c>
      <c r="B2528" s="58">
        <v>6794</v>
      </c>
      <c r="C2528" s="57" t="s">
        <v>2623</v>
      </c>
      <c r="D2528" s="57" t="s">
        <v>45</v>
      </c>
      <c r="E2528" s="57" t="s">
        <v>2874</v>
      </c>
      <c r="F2528" s="58" t="s">
        <v>6370</v>
      </c>
      <c r="G2528" s="234" t="s">
        <v>216</v>
      </c>
      <c r="H2528" s="57" t="s">
        <v>2557</v>
      </c>
      <c r="I2528" s="58">
        <v>95172</v>
      </c>
      <c r="J2528" s="57"/>
      <c r="K2528" s="58">
        <v>99</v>
      </c>
      <c r="L2528" s="58">
        <v>0</v>
      </c>
      <c r="M2528" s="58">
        <v>0</v>
      </c>
      <c r="N2528" s="58">
        <v>1</v>
      </c>
      <c r="O2528" s="181">
        <f t="shared" si="18"/>
        <v>99</v>
      </c>
      <c r="P2528" s="247">
        <f t="shared" si="19"/>
        <v>99</v>
      </c>
    </row>
    <row r="2529" spans="1:16" ht="14.25">
      <c r="A2529" s="224">
        <v>2528</v>
      </c>
      <c r="B2529" s="58">
        <v>29014</v>
      </c>
      <c r="C2529" s="57" t="s">
        <v>5478</v>
      </c>
      <c r="D2529" s="57" t="s">
        <v>45</v>
      </c>
      <c r="E2529" s="57" t="s">
        <v>4772</v>
      </c>
      <c r="F2529" s="58" t="s">
        <v>6371</v>
      </c>
      <c r="G2529" s="234" t="s">
        <v>216</v>
      </c>
      <c r="H2529" s="57" t="s">
        <v>2557</v>
      </c>
      <c r="I2529" s="58">
        <v>95196</v>
      </c>
      <c r="J2529" s="57" t="s">
        <v>2126</v>
      </c>
      <c r="K2529" s="58">
        <v>23.19</v>
      </c>
      <c r="L2529" s="58">
        <v>0.68</v>
      </c>
      <c r="M2529" s="58">
        <v>0</v>
      </c>
      <c r="N2529" s="58">
        <v>1</v>
      </c>
      <c r="O2529" s="181">
        <f t="shared" si="18"/>
        <v>22.51</v>
      </c>
      <c r="P2529" s="247">
        <f t="shared" si="19"/>
        <v>22.51</v>
      </c>
    </row>
    <row r="2530" spans="1:16" ht="14.25">
      <c r="A2530" s="224">
        <v>2529</v>
      </c>
      <c r="B2530" s="58">
        <v>35936</v>
      </c>
      <c r="C2530" s="57" t="s">
        <v>6372</v>
      </c>
      <c r="D2530" s="57" t="s">
        <v>2582</v>
      </c>
      <c r="E2530" s="57" t="s">
        <v>2860</v>
      </c>
      <c r="F2530" s="58" t="s">
        <v>6373</v>
      </c>
      <c r="G2530" s="234" t="s">
        <v>216</v>
      </c>
      <c r="H2530" s="57" t="s">
        <v>2557</v>
      </c>
      <c r="I2530" s="58">
        <v>95220</v>
      </c>
      <c r="J2530" s="57" t="s">
        <v>6374</v>
      </c>
      <c r="K2530" s="58">
        <v>56.81</v>
      </c>
      <c r="L2530" s="58">
        <v>0</v>
      </c>
      <c r="M2530" s="58">
        <v>0</v>
      </c>
      <c r="N2530" s="58">
        <v>7.1104399999999996</v>
      </c>
      <c r="O2530" s="181">
        <f t="shared" si="18"/>
        <v>56.81</v>
      </c>
      <c r="P2530" s="247">
        <f t="shared" si="19"/>
        <v>7.9896602741883775</v>
      </c>
    </row>
    <row r="2531" spans="1:16" ht="14.25">
      <c r="A2531" s="224">
        <v>2530</v>
      </c>
      <c r="B2531" s="58">
        <v>19040</v>
      </c>
      <c r="C2531" s="57" t="s">
        <v>3084</v>
      </c>
      <c r="D2531" s="57" t="s">
        <v>45</v>
      </c>
      <c r="E2531" s="57" t="s">
        <v>2860</v>
      </c>
      <c r="F2531" s="58" t="s">
        <v>6375</v>
      </c>
      <c r="G2531" s="234" t="s">
        <v>216</v>
      </c>
      <c r="H2531" s="57" t="s">
        <v>2557</v>
      </c>
      <c r="I2531" s="58">
        <v>87082</v>
      </c>
      <c r="J2531" s="57" t="s">
        <v>6376</v>
      </c>
      <c r="K2531" s="58">
        <v>1.79</v>
      </c>
      <c r="L2531" s="58">
        <v>0</v>
      </c>
      <c r="M2531" s="58">
        <v>0</v>
      </c>
      <c r="N2531" s="58">
        <v>1</v>
      </c>
      <c r="O2531" s="181">
        <f t="shared" si="18"/>
        <v>1.79</v>
      </c>
      <c r="P2531" s="247">
        <f t="shared" si="19"/>
        <v>1.79</v>
      </c>
    </row>
    <row r="2532" spans="1:16" ht="14.25">
      <c r="A2532" s="224">
        <v>2531</v>
      </c>
      <c r="B2532" s="58">
        <v>21915</v>
      </c>
      <c r="C2532" s="57" t="s">
        <v>3808</v>
      </c>
      <c r="D2532" s="57" t="s">
        <v>45</v>
      </c>
      <c r="E2532" s="57" t="s">
        <v>2874</v>
      </c>
      <c r="F2532" s="58" t="s">
        <v>6377</v>
      </c>
      <c r="G2532" s="234" t="s">
        <v>216</v>
      </c>
      <c r="H2532" s="57" t="s">
        <v>2557</v>
      </c>
      <c r="I2532" s="58">
        <v>95256</v>
      </c>
      <c r="J2532" s="57"/>
      <c r="K2532" s="58">
        <v>189.93</v>
      </c>
      <c r="L2532" s="58">
        <v>0</v>
      </c>
      <c r="M2532" s="58">
        <v>0</v>
      </c>
      <c r="N2532" s="58">
        <v>1</v>
      </c>
      <c r="O2532" s="181">
        <f t="shared" si="18"/>
        <v>189.93</v>
      </c>
      <c r="P2532" s="247">
        <f t="shared" si="19"/>
        <v>189.93</v>
      </c>
    </row>
    <row r="2533" spans="1:16" ht="14.25">
      <c r="A2533" s="224">
        <v>2532</v>
      </c>
      <c r="B2533" s="58">
        <v>34641</v>
      </c>
      <c r="C2533" s="57" t="s">
        <v>6160</v>
      </c>
      <c r="D2533" s="57" t="s">
        <v>2582</v>
      </c>
      <c r="E2533" s="57" t="s">
        <v>4772</v>
      </c>
      <c r="F2533" s="58" t="s">
        <v>6378</v>
      </c>
      <c r="G2533" s="234" t="s">
        <v>216</v>
      </c>
      <c r="H2533" s="57" t="s">
        <v>2557</v>
      </c>
      <c r="I2533" s="58">
        <v>95268</v>
      </c>
      <c r="J2533" s="57"/>
      <c r="K2533" s="58">
        <v>153.53</v>
      </c>
      <c r="L2533" s="58">
        <v>0</v>
      </c>
      <c r="M2533" s="58">
        <v>0</v>
      </c>
      <c r="N2533" s="58">
        <v>7.1104399999999996</v>
      </c>
      <c r="O2533" s="181">
        <f t="shared" si="18"/>
        <v>153.53</v>
      </c>
      <c r="P2533" s="247">
        <f t="shared" si="19"/>
        <v>21.592194013310007</v>
      </c>
    </row>
    <row r="2534" spans="1:16" ht="14.25">
      <c r="A2534" s="224">
        <v>2533</v>
      </c>
      <c r="B2534" s="58">
        <v>6798</v>
      </c>
      <c r="C2534" s="57" t="s">
        <v>2921</v>
      </c>
      <c r="D2534" s="57" t="s">
        <v>45</v>
      </c>
      <c r="E2534" s="57" t="s">
        <v>3655</v>
      </c>
      <c r="F2534" s="58" t="s">
        <v>6379</v>
      </c>
      <c r="G2534" s="234" t="s">
        <v>216</v>
      </c>
      <c r="H2534" s="57" t="s">
        <v>2557</v>
      </c>
      <c r="I2534" s="58">
        <v>95184</v>
      </c>
      <c r="J2534" s="57"/>
      <c r="K2534" s="58">
        <v>633</v>
      </c>
      <c r="L2534" s="58">
        <v>0</v>
      </c>
      <c r="M2534" s="58">
        <v>0</v>
      </c>
      <c r="N2534" s="58">
        <v>1</v>
      </c>
      <c r="O2534" s="181">
        <f t="shared" si="18"/>
        <v>633</v>
      </c>
      <c r="P2534" s="247">
        <f t="shared" si="19"/>
        <v>633</v>
      </c>
    </row>
    <row r="2535" spans="1:16" ht="14.25">
      <c r="A2535" s="224">
        <v>2534</v>
      </c>
      <c r="B2535" s="58">
        <v>3445</v>
      </c>
      <c r="C2535" s="57" t="s">
        <v>6380</v>
      </c>
      <c r="D2535" s="57" t="s">
        <v>45</v>
      </c>
      <c r="E2535" s="57" t="s">
        <v>2860</v>
      </c>
      <c r="F2535" s="58" t="s">
        <v>6381</v>
      </c>
      <c r="G2535" s="234" t="s">
        <v>216</v>
      </c>
      <c r="H2535" s="57" t="s">
        <v>2557</v>
      </c>
      <c r="I2535" s="58">
        <v>93923</v>
      </c>
      <c r="J2535" s="57" t="s">
        <v>6382</v>
      </c>
      <c r="K2535" s="58">
        <v>12.6</v>
      </c>
      <c r="L2535" s="58">
        <v>0</v>
      </c>
      <c r="M2535" s="58">
        <v>0</v>
      </c>
      <c r="N2535" s="58">
        <v>1</v>
      </c>
      <c r="O2535" s="181">
        <f t="shared" si="18"/>
        <v>12.6</v>
      </c>
      <c r="P2535" s="247">
        <f t="shared" si="19"/>
        <v>12.6</v>
      </c>
    </row>
    <row r="2536" spans="1:16" ht="14.25">
      <c r="A2536" s="224">
        <v>2535</v>
      </c>
      <c r="B2536" s="58">
        <v>3306</v>
      </c>
      <c r="C2536" s="57" t="s">
        <v>3018</v>
      </c>
      <c r="D2536" s="57" t="s">
        <v>45</v>
      </c>
      <c r="E2536" s="57" t="s">
        <v>9</v>
      </c>
      <c r="F2536" s="58" t="s">
        <v>6383</v>
      </c>
      <c r="G2536" s="234" t="s">
        <v>216</v>
      </c>
      <c r="H2536" s="57" t="s">
        <v>2557</v>
      </c>
      <c r="I2536" s="58">
        <v>92903</v>
      </c>
      <c r="J2536" s="57" t="s">
        <v>742</v>
      </c>
      <c r="K2536" s="58">
        <v>12.6</v>
      </c>
      <c r="L2536" s="58">
        <v>0.93</v>
      </c>
      <c r="M2536" s="58">
        <v>0</v>
      </c>
      <c r="N2536" s="58">
        <v>1</v>
      </c>
      <c r="O2536" s="181">
        <f t="shared" si="18"/>
        <v>11.67</v>
      </c>
      <c r="P2536" s="247">
        <f t="shared" si="19"/>
        <v>11.67</v>
      </c>
    </row>
    <row r="2537" spans="1:16" ht="14.25">
      <c r="A2537" s="224">
        <v>2536</v>
      </c>
      <c r="B2537" s="58">
        <v>3974</v>
      </c>
      <c r="C2537" s="57" t="s">
        <v>2844</v>
      </c>
      <c r="D2537" s="57" t="s">
        <v>45</v>
      </c>
      <c r="E2537" s="57" t="s">
        <v>4772</v>
      </c>
      <c r="F2537" s="58" t="s">
        <v>6384</v>
      </c>
      <c r="G2537" s="234" t="s">
        <v>216</v>
      </c>
      <c r="H2537" s="57" t="s">
        <v>2557</v>
      </c>
      <c r="I2537" s="58">
        <v>95304</v>
      </c>
      <c r="J2537" s="57" t="s">
        <v>2149</v>
      </c>
      <c r="K2537" s="58">
        <v>1.99</v>
      </c>
      <c r="L2537" s="58">
        <v>0.06</v>
      </c>
      <c r="M2537" s="58">
        <v>0</v>
      </c>
      <c r="N2537" s="58">
        <v>1</v>
      </c>
      <c r="O2537" s="181">
        <f t="shared" si="18"/>
        <v>1.93</v>
      </c>
      <c r="P2537" s="247">
        <f t="shared" si="19"/>
        <v>1.93</v>
      </c>
    </row>
    <row r="2538" spans="1:16" ht="14.25">
      <c r="A2538" s="224">
        <v>2537</v>
      </c>
      <c r="B2538" s="58">
        <v>28864</v>
      </c>
      <c r="C2538" s="57" t="s">
        <v>6069</v>
      </c>
      <c r="D2538" s="57" t="s">
        <v>2582</v>
      </c>
      <c r="E2538" s="57" t="s">
        <v>4772</v>
      </c>
      <c r="F2538" s="58" t="s">
        <v>6385</v>
      </c>
      <c r="G2538" s="234" t="s">
        <v>216</v>
      </c>
      <c r="H2538" s="57" t="s">
        <v>2557</v>
      </c>
      <c r="I2538" s="58">
        <v>95340</v>
      </c>
      <c r="J2538" s="57"/>
      <c r="K2538" s="58">
        <v>164.9</v>
      </c>
      <c r="L2538" s="58">
        <v>0</v>
      </c>
      <c r="M2538" s="58">
        <v>0</v>
      </c>
      <c r="N2538" s="58">
        <v>7.1103300000000003</v>
      </c>
      <c r="O2538" s="181">
        <f t="shared" si="18"/>
        <v>164.9</v>
      </c>
      <c r="P2538" s="247">
        <f t="shared" si="19"/>
        <v>23.19160995340582</v>
      </c>
    </row>
    <row r="2539" spans="1:16" ht="14.25">
      <c r="A2539" s="224">
        <v>2538</v>
      </c>
      <c r="B2539" s="58">
        <v>6145</v>
      </c>
      <c r="C2539" s="57" t="s">
        <v>2805</v>
      </c>
      <c r="D2539" s="57" t="s">
        <v>45</v>
      </c>
      <c r="E2539" s="57" t="s">
        <v>2860</v>
      </c>
      <c r="F2539" s="58" t="s">
        <v>6386</v>
      </c>
      <c r="G2539" s="234" t="s">
        <v>216</v>
      </c>
      <c r="H2539" s="57" t="s">
        <v>2557</v>
      </c>
      <c r="I2539" s="58">
        <v>94031</v>
      </c>
      <c r="J2539" s="57" t="s">
        <v>6387</v>
      </c>
      <c r="K2539" s="58">
        <v>3.99</v>
      </c>
      <c r="L2539" s="58">
        <v>0</v>
      </c>
      <c r="M2539" s="58">
        <v>0</v>
      </c>
      <c r="N2539" s="58">
        <v>1</v>
      </c>
      <c r="O2539" s="181">
        <f t="shared" si="18"/>
        <v>3.99</v>
      </c>
      <c r="P2539" s="247">
        <f t="shared" si="19"/>
        <v>3.99</v>
      </c>
    </row>
    <row r="2540" spans="1:16" ht="14.25">
      <c r="A2540" s="224">
        <v>2539</v>
      </c>
      <c r="B2540" s="58">
        <v>7191</v>
      </c>
      <c r="C2540" s="57" t="s">
        <v>2650</v>
      </c>
      <c r="D2540" s="57" t="s">
        <v>45</v>
      </c>
      <c r="E2540" s="57" t="s">
        <v>4772</v>
      </c>
      <c r="F2540" s="58" t="s">
        <v>6388</v>
      </c>
      <c r="G2540" s="234" t="s">
        <v>216</v>
      </c>
      <c r="H2540" s="57" t="s">
        <v>2557</v>
      </c>
      <c r="I2540" s="58">
        <v>90683</v>
      </c>
      <c r="J2540" s="57" t="s">
        <v>2140</v>
      </c>
      <c r="K2540" s="58">
        <v>1.79</v>
      </c>
      <c r="L2540" s="58">
        <v>0.06</v>
      </c>
      <c r="M2540" s="58">
        <v>0</v>
      </c>
      <c r="N2540" s="58">
        <v>1</v>
      </c>
      <c r="O2540" s="181">
        <f t="shared" si="18"/>
        <v>1.73</v>
      </c>
      <c r="P2540" s="247">
        <f t="shared" si="19"/>
        <v>1.73</v>
      </c>
    </row>
    <row r="2541" spans="1:16" ht="14.25">
      <c r="A2541" s="224">
        <v>2540</v>
      </c>
      <c r="B2541" s="58">
        <v>29086</v>
      </c>
      <c r="C2541" s="57" t="s">
        <v>5514</v>
      </c>
      <c r="D2541" s="57" t="s">
        <v>2582</v>
      </c>
      <c r="E2541" s="57" t="s">
        <v>2860</v>
      </c>
      <c r="F2541" s="58" t="s">
        <v>6389</v>
      </c>
      <c r="G2541" s="234" t="s">
        <v>216</v>
      </c>
      <c r="H2541" s="57" t="s">
        <v>2557</v>
      </c>
      <c r="I2541" s="58">
        <v>95376</v>
      </c>
      <c r="J2541" s="57" t="s">
        <v>6390</v>
      </c>
      <c r="K2541" s="58">
        <v>42.59</v>
      </c>
      <c r="L2541" s="58">
        <v>0</v>
      </c>
      <c r="M2541" s="58">
        <v>0</v>
      </c>
      <c r="N2541" s="58">
        <v>7.1103300000000003</v>
      </c>
      <c r="O2541" s="181">
        <f t="shared" si="18"/>
        <v>42.59</v>
      </c>
      <c r="P2541" s="247">
        <f t="shared" si="19"/>
        <v>5.9898767005188231</v>
      </c>
    </row>
    <row r="2542" spans="1:16" ht="14.25">
      <c r="A2542" s="224">
        <v>2541</v>
      </c>
      <c r="B2542" s="58">
        <v>35962</v>
      </c>
      <c r="C2542" s="57" t="s">
        <v>6391</v>
      </c>
      <c r="D2542" s="57" t="s">
        <v>45</v>
      </c>
      <c r="E2542" s="57" t="s">
        <v>4772</v>
      </c>
      <c r="F2542" s="58" t="s">
        <v>6392</v>
      </c>
      <c r="G2542" s="234" t="s">
        <v>216</v>
      </c>
      <c r="H2542" s="57" t="s">
        <v>2557</v>
      </c>
      <c r="I2542" s="58">
        <v>95352</v>
      </c>
      <c r="J2542" s="57"/>
      <c r="K2542" s="58">
        <v>46.74</v>
      </c>
      <c r="L2542" s="58">
        <v>0</v>
      </c>
      <c r="M2542" s="58">
        <v>0</v>
      </c>
      <c r="N2542" s="58">
        <v>1</v>
      </c>
      <c r="O2542" s="181">
        <f t="shared" si="18"/>
        <v>46.74</v>
      </c>
      <c r="P2542" s="247">
        <f t="shared" si="19"/>
        <v>46.74</v>
      </c>
    </row>
    <row r="2543" spans="1:16" ht="14.25">
      <c r="A2543" s="224">
        <v>2542</v>
      </c>
      <c r="B2543" s="58">
        <v>35977</v>
      </c>
      <c r="C2543" s="57" t="s">
        <v>6393</v>
      </c>
      <c r="D2543" s="57" t="s">
        <v>2582</v>
      </c>
      <c r="E2543" s="57" t="s">
        <v>4772</v>
      </c>
      <c r="F2543" s="58" t="s">
        <v>6394</v>
      </c>
      <c r="G2543" s="234" t="s">
        <v>216</v>
      </c>
      <c r="H2543" s="57" t="s">
        <v>2557</v>
      </c>
      <c r="I2543" s="58">
        <v>95388</v>
      </c>
      <c r="J2543" s="57" t="s">
        <v>2134</v>
      </c>
      <c r="K2543" s="58">
        <v>164.9</v>
      </c>
      <c r="L2543" s="58">
        <v>0.68</v>
      </c>
      <c r="M2543" s="58">
        <v>0</v>
      </c>
      <c r="N2543" s="58">
        <v>7.1103300000000003</v>
      </c>
      <c r="O2543" s="181">
        <f t="shared" si="18"/>
        <v>164.22</v>
      </c>
      <c r="P2543" s="247">
        <f t="shared" si="19"/>
        <v>23.095974448443322</v>
      </c>
    </row>
    <row r="2544" spans="1:16" ht="14.25">
      <c r="A2544" s="224">
        <v>2543</v>
      </c>
      <c r="B2544" s="58">
        <v>35962</v>
      </c>
      <c r="C2544" s="57" t="s">
        <v>6391</v>
      </c>
      <c r="D2544" s="57" t="s">
        <v>45</v>
      </c>
      <c r="E2544" s="57" t="s">
        <v>4772</v>
      </c>
      <c r="F2544" s="58" t="s">
        <v>6395</v>
      </c>
      <c r="G2544" s="234" t="s">
        <v>216</v>
      </c>
      <c r="H2544" s="57" t="s">
        <v>2557</v>
      </c>
      <c r="I2544" s="58">
        <v>95580</v>
      </c>
      <c r="J2544" s="57" t="s">
        <v>2159</v>
      </c>
      <c r="K2544" s="58">
        <v>22.95</v>
      </c>
      <c r="L2544" s="58">
        <v>0.67</v>
      </c>
      <c r="M2544" s="58">
        <v>0</v>
      </c>
      <c r="N2544" s="58">
        <v>1</v>
      </c>
      <c r="O2544" s="181">
        <f t="shared" si="18"/>
        <v>22.279999999999998</v>
      </c>
      <c r="P2544" s="247">
        <f t="shared" si="19"/>
        <v>22.279999999999998</v>
      </c>
    </row>
    <row r="2545" spans="1:16" ht="14.25">
      <c r="A2545" s="224">
        <v>2544</v>
      </c>
      <c r="B2545" s="58">
        <v>3826</v>
      </c>
      <c r="C2545" s="57" t="s">
        <v>423</v>
      </c>
      <c r="D2545" s="57" t="s">
        <v>45</v>
      </c>
      <c r="E2545" s="57" t="s">
        <v>9</v>
      </c>
      <c r="F2545" s="58" t="s">
        <v>6396</v>
      </c>
      <c r="G2545" s="234" t="s">
        <v>216</v>
      </c>
      <c r="H2545" s="57" t="s">
        <v>2557</v>
      </c>
      <c r="I2545" s="58">
        <v>94979</v>
      </c>
      <c r="J2545" s="57" t="s">
        <v>744</v>
      </c>
      <c r="K2545" s="58">
        <v>1.0900000000000001</v>
      </c>
      <c r="L2545" s="58">
        <v>0.54</v>
      </c>
      <c r="M2545" s="58">
        <v>0</v>
      </c>
      <c r="N2545" s="58">
        <v>1</v>
      </c>
      <c r="O2545" s="181">
        <f t="shared" si="18"/>
        <v>0.55000000000000004</v>
      </c>
      <c r="P2545" s="247">
        <f t="shared" si="19"/>
        <v>0.55000000000000004</v>
      </c>
    </row>
    <row r="2546" spans="1:16" ht="14.25">
      <c r="A2546" s="224">
        <v>2545</v>
      </c>
      <c r="B2546" s="58">
        <v>35973</v>
      </c>
      <c r="C2546" s="57" t="s">
        <v>6397</v>
      </c>
      <c r="D2546" s="57" t="s">
        <v>2582</v>
      </c>
      <c r="E2546" s="57" t="s">
        <v>4772</v>
      </c>
      <c r="F2546" s="58" t="s">
        <v>6398</v>
      </c>
      <c r="G2546" s="234" t="s">
        <v>216</v>
      </c>
      <c r="H2546" s="57" t="s">
        <v>2557</v>
      </c>
      <c r="I2546" s="58">
        <v>95592</v>
      </c>
      <c r="J2546" s="57" t="s">
        <v>2156</v>
      </c>
      <c r="K2546" s="58">
        <v>28.38</v>
      </c>
      <c r="L2546" s="58">
        <v>0.12</v>
      </c>
      <c r="M2546" s="58">
        <v>0</v>
      </c>
      <c r="N2546" s="58">
        <v>7.1137699999999997</v>
      </c>
      <c r="O2546" s="181">
        <f t="shared" si="18"/>
        <v>28.259999999999998</v>
      </c>
      <c r="P2546" s="247">
        <f t="shared" si="19"/>
        <v>3.9725771285830156</v>
      </c>
    </row>
    <row r="2547" spans="1:16" ht="14.25">
      <c r="A2547" s="224">
        <v>2546</v>
      </c>
      <c r="B2547" s="58">
        <v>21709</v>
      </c>
      <c r="C2547" s="57" t="s">
        <v>3740</v>
      </c>
      <c r="D2547" s="57" t="s">
        <v>2582</v>
      </c>
      <c r="E2547" s="57" t="s">
        <v>4772</v>
      </c>
      <c r="F2547" s="58" t="s">
        <v>6399</v>
      </c>
      <c r="G2547" s="234" t="s">
        <v>216</v>
      </c>
      <c r="H2547" s="57" t="s">
        <v>2557</v>
      </c>
      <c r="I2547" s="58">
        <v>95604</v>
      </c>
      <c r="J2547" s="57" t="s">
        <v>2152</v>
      </c>
      <c r="K2547" s="58">
        <v>28.38</v>
      </c>
      <c r="L2547" s="58">
        <v>0.12</v>
      </c>
      <c r="M2547" s="58">
        <v>0</v>
      </c>
      <c r="N2547" s="58">
        <v>7.1137699999999997</v>
      </c>
      <c r="O2547" s="181">
        <f t="shared" si="18"/>
        <v>28.259999999999998</v>
      </c>
      <c r="P2547" s="247">
        <f t="shared" si="19"/>
        <v>3.9725771285830156</v>
      </c>
    </row>
    <row r="2548" spans="1:16" ht="14.25">
      <c r="A2548" s="224">
        <v>2547</v>
      </c>
      <c r="B2548" s="58">
        <v>3224</v>
      </c>
      <c r="C2548" s="57"/>
      <c r="D2548" s="57" t="s">
        <v>45</v>
      </c>
      <c r="E2548" s="57" t="s">
        <v>2860</v>
      </c>
      <c r="F2548" s="58" t="s">
        <v>6400</v>
      </c>
      <c r="G2548" s="234" t="s">
        <v>216</v>
      </c>
      <c r="H2548" s="57" t="s">
        <v>2557</v>
      </c>
      <c r="I2548" s="58">
        <v>92831</v>
      </c>
      <c r="J2548" s="57" t="s">
        <v>6401</v>
      </c>
      <c r="K2548" s="58">
        <v>12.6</v>
      </c>
      <c r="L2548" s="58">
        <v>0</v>
      </c>
      <c r="M2548" s="58">
        <v>0</v>
      </c>
      <c r="N2548" s="58">
        <v>1</v>
      </c>
      <c r="O2548" s="181">
        <f t="shared" si="18"/>
        <v>12.6</v>
      </c>
      <c r="P2548" s="247">
        <f t="shared" si="19"/>
        <v>12.6</v>
      </c>
    </row>
    <row r="2549" spans="1:16" ht="14.25">
      <c r="A2549" s="224">
        <v>2548</v>
      </c>
      <c r="B2549" s="58">
        <v>3224</v>
      </c>
      <c r="C2549" s="57"/>
      <c r="D2549" s="57" t="s">
        <v>45</v>
      </c>
      <c r="E2549" s="57" t="s">
        <v>2860</v>
      </c>
      <c r="F2549" s="58" t="s">
        <v>6400</v>
      </c>
      <c r="G2549" s="234" t="s">
        <v>216</v>
      </c>
      <c r="H2549" s="57" t="s">
        <v>2557</v>
      </c>
      <c r="I2549" s="58">
        <v>92831</v>
      </c>
      <c r="J2549" s="57" t="s">
        <v>6401</v>
      </c>
      <c r="K2549" s="58">
        <v>12.6</v>
      </c>
      <c r="L2549" s="58">
        <v>0</v>
      </c>
      <c r="M2549" s="58">
        <v>0</v>
      </c>
      <c r="N2549" s="58">
        <v>1</v>
      </c>
      <c r="O2549" s="181">
        <f t="shared" si="18"/>
        <v>12.6</v>
      </c>
      <c r="P2549" s="247">
        <f t="shared" si="19"/>
        <v>12.6</v>
      </c>
    </row>
    <row r="2550" spans="1:16" ht="14.25">
      <c r="A2550" s="224">
        <v>2549</v>
      </c>
      <c r="B2550" s="58">
        <v>34067</v>
      </c>
      <c r="C2550" s="57" t="s">
        <v>5920</v>
      </c>
      <c r="D2550" s="57" t="s">
        <v>2582</v>
      </c>
      <c r="E2550" s="57" t="s">
        <v>4772</v>
      </c>
      <c r="F2550" s="58" t="s">
        <v>6402</v>
      </c>
      <c r="G2550" s="234" t="s">
        <v>216</v>
      </c>
      <c r="H2550" s="57" t="s">
        <v>2557</v>
      </c>
      <c r="I2550" s="58">
        <v>92951</v>
      </c>
      <c r="J2550" s="57" t="s">
        <v>2168</v>
      </c>
      <c r="K2550" s="58">
        <v>147.22999999999999</v>
      </c>
      <c r="L2550" s="58">
        <v>0.6</v>
      </c>
      <c r="M2550" s="58">
        <v>0</v>
      </c>
      <c r="N2550" s="58">
        <v>7.1098100000000004</v>
      </c>
      <c r="O2550" s="181">
        <f t="shared" si="18"/>
        <v>146.63</v>
      </c>
      <c r="P2550" s="247">
        <f t="shared" si="19"/>
        <v>20.623617227464585</v>
      </c>
    </row>
    <row r="2551" spans="1:16" ht="14.25">
      <c r="A2551" s="224">
        <v>2550</v>
      </c>
      <c r="B2551" s="58">
        <v>6794</v>
      </c>
      <c r="C2551" s="57" t="s">
        <v>2623</v>
      </c>
      <c r="D2551" s="57" t="s">
        <v>45</v>
      </c>
      <c r="E2551" s="57" t="s">
        <v>2874</v>
      </c>
      <c r="F2551" s="58" t="s">
        <v>6403</v>
      </c>
      <c r="G2551" s="234" t="s">
        <v>216</v>
      </c>
      <c r="H2551" s="57" t="s">
        <v>2557</v>
      </c>
      <c r="I2551" s="58">
        <v>95736</v>
      </c>
      <c r="J2551" s="57"/>
      <c r="K2551" s="58">
        <v>99</v>
      </c>
      <c r="L2551" s="58">
        <v>0</v>
      </c>
      <c r="M2551" s="58">
        <v>0</v>
      </c>
      <c r="N2551" s="58">
        <v>1</v>
      </c>
      <c r="O2551" s="181">
        <f t="shared" si="18"/>
        <v>99</v>
      </c>
      <c r="P2551" s="247">
        <f t="shared" si="19"/>
        <v>99</v>
      </c>
    </row>
    <row r="2552" spans="1:16" ht="14.25">
      <c r="A2552" s="224">
        <v>2551</v>
      </c>
      <c r="B2552" s="58">
        <v>36156</v>
      </c>
      <c r="C2552" s="57" t="s">
        <v>6404</v>
      </c>
      <c r="D2552" s="57" t="s">
        <v>2582</v>
      </c>
      <c r="E2552" s="57" t="s">
        <v>2860</v>
      </c>
      <c r="F2552" s="58" t="s">
        <v>6405</v>
      </c>
      <c r="G2552" s="234" t="s">
        <v>216</v>
      </c>
      <c r="H2552" s="57" t="s">
        <v>2557</v>
      </c>
      <c r="I2552" s="58">
        <v>95868</v>
      </c>
      <c r="J2552" s="57" t="s">
        <v>6401</v>
      </c>
      <c r="K2552" s="58">
        <v>90.12</v>
      </c>
      <c r="L2552" s="58">
        <v>0</v>
      </c>
      <c r="M2552" s="58">
        <v>0</v>
      </c>
      <c r="N2552" s="58">
        <v>7.1098100000000004</v>
      </c>
      <c r="O2552" s="181">
        <f t="shared" ref="O2552:O2806" si="20">K2552-L2552-M2552</f>
        <v>90.12</v>
      </c>
      <c r="P2552" s="247">
        <f t="shared" ref="P2552:P2806" si="21">IF(D2552="USD",O2552,O2552/N2552)</f>
        <v>12.675444210182832</v>
      </c>
    </row>
    <row r="2553" spans="1:16" ht="14.25">
      <c r="A2553" s="224">
        <v>2552</v>
      </c>
      <c r="B2553" s="58">
        <v>36126</v>
      </c>
      <c r="C2553" s="57" t="s">
        <v>6406</v>
      </c>
      <c r="D2553" s="57" t="s">
        <v>45</v>
      </c>
      <c r="E2553" s="57" t="s">
        <v>4772</v>
      </c>
      <c r="F2553" s="58" t="s">
        <v>6407</v>
      </c>
      <c r="G2553" s="234" t="s">
        <v>216</v>
      </c>
      <c r="H2553" s="57" t="s">
        <v>2557</v>
      </c>
      <c r="I2553" s="58">
        <v>95772</v>
      </c>
      <c r="J2553" s="57" t="s">
        <v>2165</v>
      </c>
      <c r="K2553" s="58">
        <v>60</v>
      </c>
      <c r="L2553" s="58">
        <v>1.74</v>
      </c>
      <c r="M2553" s="58">
        <v>0</v>
      </c>
      <c r="N2553" s="58">
        <v>1</v>
      </c>
      <c r="O2553" s="181">
        <f t="shared" si="20"/>
        <v>58.26</v>
      </c>
      <c r="P2553" s="247">
        <f t="shared" si="21"/>
        <v>58.26</v>
      </c>
    </row>
    <row r="2554" spans="1:16" ht="14.25">
      <c r="A2554" s="224">
        <v>2553</v>
      </c>
      <c r="B2554" s="58">
        <v>21316</v>
      </c>
      <c r="C2554" s="57" t="s">
        <v>6408</v>
      </c>
      <c r="D2554" s="57" t="s">
        <v>2582</v>
      </c>
      <c r="E2554" s="57" t="s">
        <v>4772</v>
      </c>
      <c r="F2554" s="58" t="s">
        <v>6409</v>
      </c>
      <c r="G2554" s="234" t="s">
        <v>216</v>
      </c>
      <c r="H2554" s="57" t="s">
        <v>2557</v>
      </c>
      <c r="I2554" s="58">
        <v>95784</v>
      </c>
      <c r="J2554" s="57" t="s">
        <v>2162</v>
      </c>
      <c r="K2554" s="58">
        <v>426.59</v>
      </c>
      <c r="L2554" s="58">
        <v>1.74</v>
      </c>
      <c r="M2554" s="58">
        <v>0</v>
      </c>
      <c r="N2554" s="58">
        <v>7.1098100000000004</v>
      </c>
      <c r="O2554" s="181">
        <f t="shared" si="20"/>
        <v>424.84999999999997</v>
      </c>
      <c r="P2554" s="247">
        <f t="shared" si="21"/>
        <v>59.755464632669501</v>
      </c>
    </row>
    <row r="2555" spans="1:16" ht="14.25">
      <c r="A2555" s="224">
        <v>2554</v>
      </c>
      <c r="B2555" s="58">
        <v>3824</v>
      </c>
      <c r="C2555" s="57" t="s">
        <v>6410</v>
      </c>
      <c r="D2555" s="57" t="s">
        <v>45</v>
      </c>
      <c r="E2555" s="57" t="s">
        <v>2860</v>
      </c>
      <c r="F2555" s="58" t="s">
        <v>6411</v>
      </c>
      <c r="G2555" s="234" t="s">
        <v>216</v>
      </c>
      <c r="H2555" s="57" t="s">
        <v>2557</v>
      </c>
      <c r="I2555" s="58">
        <v>94691</v>
      </c>
      <c r="J2555" s="57" t="s">
        <v>6412</v>
      </c>
      <c r="K2555" s="58">
        <v>12.6</v>
      </c>
      <c r="L2555" s="58">
        <v>0</v>
      </c>
      <c r="M2555" s="58">
        <v>0</v>
      </c>
      <c r="N2555" s="58">
        <v>1</v>
      </c>
      <c r="O2555" s="181">
        <f t="shared" si="20"/>
        <v>12.6</v>
      </c>
      <c r="P2555" s="247">
        <f t="shared" si="21"/>
        <v>12.6</v>
      </c>
    </row>
    <row r="2556" spans="1:16" ht="14.25">
      <c r="A2556" s="224">
        <v>2555</v>
      </c>
      <c r="B2556" s="58">
        <v>3309</v>
      </c>
      <c r="C2556" s="57" t="s">
        <v>2722</v>
      </c>
      <c r="D2556" s="57" t="s">
        <v>45</v>
      </c>
      <c r="E2556" s="57" t="s">
        <v>4772</v>
      </c>
      <c r="F2556" s="58" t="s">
        <v>6413</v>
      </c>
      <c r="G2556" s="234" t="s">
        <v>216</v>
      </c>
      <c r="H2556" s="57" t="s">
        <v>2557</v>
      </c>
      <c r="I2556" s="58">
        <v>94319</v>
      </c>
      <c r="J2556" s="57" t="s">
        <v>2180</v>
      </c>
      <c r="K2556" s="58">
        <v>16.989999999999998</v>
      </c>
      <c r="L2556" s="58">
        <v>0.5</v>
      </c>
      <c r="M2556" s="58">
        <v>0</v>
      </c>
      <c r="N2556" s="58">
        <v>1</v>
      </c>
      <c r="O2556" s="181">
        <f t="shared" si="20"/>
        <v>16.489999999999998</v>
      </c>
      <c r="P2556" s="247">
        <f t="shared" si="21"/>
        <v>16.489999999999998</v>
      </c>
    </row>
    <row r="2557" spans="1:16" ht="14.25">
      <c r="A2557" s="224">
        <v>2556</v>
      </c>
      <c r="B2557" s="58">
        <v>3309</v>
      </c>
      <c r="C2557" s="57" t="s">
        <v>2722</v>
      </c>
      <c r="D2557" s="57" t="s">
        <v>45</v>
      </c>
      <c r="E2557" s="57" t="s">
        <v>2860</v>
      </c>
      <c r="F2557" s="58" t="s">
        <v>6414</v>
      </c>
      <c r="G2557" s="234" t="s">
        <v>216</v>
      </c>
      <c r="H2557" s="57" t="s">
        <v>2557</v>
      </c>
      <c r="I2557" s="58">
        <v>95652</v>
      </c>
      <c r="J2557" s="57" t="s">
        <v>6415</v>
      </c>
      <c r="K2557" s="58">
        <v>59.99</v>
      </c>
      <c r="L2557" s="58">
        <v>0</v>
      </c>
      <c r="M2557" s="58">
        <v>0</v>
      </c>
      <c r="N2557" s="58">
        <v>1</v>
      </c>
      <c r="O2557" s="181">
        <f t="shared" si="20"/>
        <v>59.99</v>
      </c>
      <c r="P2557" s="247">
        <f t="shared" si="21"/>
        <v>59.99</v>
      </c>
    </row>
    <row r="2558" spans="1:16" ht="14.25">
      <c r="A2558" s="224">
        <v>2557</v>
      </c>
      <c r="B2558" s="58">
        <v>28946</v>
      </c>
      <c r="C2558" s="57" t="s">
        <v>5337</v>
      </c>
      <c r="D2558" s="57" t="s">
        <v>2582</v>
      </c>
      <c r="E2558" s="57" t="s">
        <v>4772</v>
      </c>
      <c r="F2558" s="58" t="s">
        <v>6416</v>
      </c>
      <c r="G2558" s="234" t="s">
        <v>216</v>
      </c>
      <c r="H2558" s="57" t="s">
        <v>2557</v>
      </c>
      <c r="I2558" s="58">
        <v>93215</v>
      </c>
      <c r="J2558" s="57" t="s">
        <v>2177</v>
      </c>
      <c r="K2558" s="58">
        <v>206.6</v>
      </c>
      <c r="L2558" s="58">
        <v>0.85</v>
      </c>
      <c r="M2558" s="58">
        <v>0</v>
      </c>
      <c r="N2558" s="58">
        <v>7.1098100000000004</v>
      </c>
      <c r="O2558" s="181">
        <f t="shared" si="20"/>
        <v>205.75</v>
      </c>
      <c r="P2558" s="247">
        <f t="shared" si="21"/>
        <v>28.938888662284924</v>
      </c>
    </row>
    <row r="2559" spans="1:16" ht="14.25">
      <c r="A2559" s="224">
        <v>2558</v>
      </c>
      <c r="B2559" s="58">
        <v>36160</v>
      </c>
      <c r="C2559" s="57" t="s">
        <v>746</v>
      </c>
      <c r="D2559" s="57" t="s">
        <v>45</v>
      </c>
      <c r="E2559" s="57" t="s">
        <v>9</v>
      </c>
      <c r="F2559" s="58" t="s">
        <v>6417</v>
      </c>
      <c r="G2559" s="234" t="s">
        <v>216</v>
      </c>
      <c r="H2559" s="57" t="s">
        <v>2557</v>
      </c>
      <c r="I2559" s="58">
        <v>95880</v>
      </c>
      <c r="J2559" s="57" t="s">
        <v>747</v>
      </c>
      <c r="K2559" s="58">
        <v>5.49</v>
      </c>
      <c r="L2559" s="58">
        <v>0.68</v>
      </c>
      <c r="M2559" s="58">
        <v>0</v>
      </c>
      <c r="N2559" s="58">
        <v>1</v>
      </c>
      <c r="O2559" s="181">
        <f t="shared" si="20"/>
        <v>4.8100000000000005</v>
      </c>
      <c r="P2559" s="247">
        <f t="shared" si="21"/>
        <v>4.8100000000000005</v>
      </c>
    </row>
    <row r="2560" spans="1:16" ht="14.25">
      <c r="A2560" s="224">
        <v>2559</v>
      </c>
      <c r="B2560" s="58">
        <v>36162</v>
      </c>
      <c r="C2560" s="57" t="s">
        <v>6418</v>
      </c>
      <c r="D2560" s="57" t="s">
        <v>45</v>
      </c>
      <c r="E2560" s="57" t="s">
        <v>4772</v>
      </c>
      <c r="F2560" s="58" t="s">
        <v>6419</v>
      </c>
      <c r="G2560" s="234" t="s">
        <v>216</v>
      </c>
      <c r="H2560" s="57" t="s">
        <v>2557</v>
      </c>
      <c r="I2560" s="58">
        <v>95892</v>
      </c>
      <c r="J2560" s="57" t="s">
        <v>2174</v>
      </c>
      <c r="K2560" s="58">
        <v>5.99</v>
      </c>
      <c r="L2560" s="58">
        <v>0.18</v>
      </c>
      <c r="M2560" s="58">
        <v>0</v>
      </c>
      <c r="N2560" s="58">
        <v>1</v>
      </c>
      <c r="O2560" s="181">
        <f t="shared" si="20"/>
        <v>5.8100000000000005</v>
      </c>
      <c r="P2560" s="247">
        <f t="shared" si="21"/>
        <v>5.8100000000000005</v>
      </c>
    </row>
    <row r="2561" spans="1:16" ht="14.25">
      <c r="A2561" s="224">
        <v>2560</v>
      </c>
      <c r="B2561" s="58">
        <v>3363</v>
      </c>
      <c r="C2561" s="57" t="s">
        <v>6295</v>
      </c>
      <c r="D2561" s="57" t="s">
        <v>45</v>
      </c>
      <c r="E2561" s="57" t="s">
        <v>9</v>
      </c>
      <c r="F2561" s="58" t="s">
        <v>6420</v>
      </c>
      <c r="G2561" s="234" t="s">
        <v>216</v>
      </c>
      <c r="H2561" s="57" t="s">
        <v>2557</v>
      </c>
      <c r="I2561" s="58">
        <v>93419</v>
      </c>
      <c r="J2561" s="57" t="s">
        <v>749</v>
      </c>
      <c r="K2561" s="58">
        <v>12.6</v>
      </c>
      <c r="L2561" s="58">
        <v>0.93</v>
      </c>
      <c r="M2561" s="58">
        <v>0</v>
      </c>
      <c r="N2561" s="58">
        <v>1</v>
      </c>
      <c r="O2561" s="181">
        <f t="shared" si="20"/>
        <v>11.67</v>
      </c>
      <c r="P2561" s="247">
        <f t="shared" si="21"/>
        <v>11.67</v>
      </c>
    </row>
    <row r="2562" spans="1:16" ht="14.25">
      <c r="A2562" s="224">
        <v>2561</v>
      </c>
      <c r="B2562" s="58">
        <v>34788</v>
      </c>
      <c r="C2562" s="57" t="s">
        <v>6156</v>
      </c>
      <c r="D2562" s="57" t="s">
        <v>2582</v>
      </c>
      <c r="E2562" s="57" t="s">
        <v>4772</v>
      </c>
      <c r="F2562" s="58" t="s">
        <v>6421</v>
      </c>
      <c r="G2562" s="234" t="s">
        <v>216</v>
      </c>
      <c r="H2562" s="57" t="s">
        <v>2557</v>
      </c>
      <c r="I2562" s="58">
        <v>93491</v>
      </c>
      <c r="J2562" s="57" t="s">
        <v>2171</v>
      </c>
      <c r="K2562" s="58">
        <v>4.49</v>
      </c>
      <c r="L2562" s="58">
        <v>0.02</v>
      </c>
      <c r="M2562" s="58">
        <v>0</v>
      </c>
      <c r="N2562" s="58">
        <v>7.1098100000000004</v>
      </c>
      <c r="O2562" s="181">
        <f t="shared" si="20"/>
        <v>4.4700000000000006</v>
      </c>
      <c r="P2562" s="247">
        <f t="shared" si="21"/>
        <v>0.62870878406033359</v>
      </c>
    </row>
    <row r="2563" spans="1:16" ht="14.25">
      <c r="A2563" s="224">
        <v>2562</v>
      </c>
      <c r="B2563" s="58">
        <v>28667</v>
      </c>
      <c r="C2563" s="57" t="s">
        <v>5199</v>
      </c>
      <c r="D2563" s="57" t="s">
        <v>2582</v>
      </c>
      <c r="E2563" s="57" t="s">
        <v>2874</v>
      </c>
      <c r="F2563" s="58" t="s">
        <v>6422</v>
      </c>
      <c r="G2563" s="234" t="s">
        <v>216</v>
      </c>
      <c r="H2563" s="57" t="s">
        <v>2557</v>
      </c>
      <c r="I2563" s="58">
        <v>95400</v>
      </c>
      <c r="J2563" s="57" t="s">
        <v>6423</v>
      </c>
      <c r="K2563" s="58">
        <v>500</v>
      </c>
      <c r="L2563" s="58">
        <v>0</v>
      </c>
      <c r="M2563" s="58">
        <v>0</v>
      </c>
      <c r="N2563" s="58">
        <v>7.1098100000000004</v>
      </c>
      <c r="O2563" s="181">
        <f t="shared" si="20"/>
        <v>500</v>
      </c>
      <c r="P2563" s="247">
        <f t="shared" si="21"/>
        <v>70.325367344556327</v>
      </c>
    </row>
    <row r="2564" spans="1:16" ht="14.25">
      <c r="A2564" s="224">
        <v>2563</v>
      </c>
      <c r="B2564" s="58">
        <v>28667</v>
      </c>
      <c r="C2564" s="57" t="s">
        <v>5199</v>
      </c>
      <c r="D2564" s="57" t="s">
        <v>2582</v>
      </c>
      <c r="E2564" s="57" t="s">
        <v>2874</v>
      </c>
      <c r="F2564" s="58" t="s">
        <v>6422</v>
      </c>
      <c r="G2564" s="234" t="s">
        <v>216</v>
      </c>
      <c r="H2564" s="57" t="s">
        <v>2557</v>
      </c>
      <c r="I2564" s="58">
        <v>94079</v>
      </c>
      <c r="J2564" s="57" t="s">
        <v>6424</v>
      </c>
      <c r="K2564" s="58">
        <v>3180</v>
      </c>
      <c r="L2564" s="58">
        <v>0</v>
      </c>
      <c r="M2564" s="58">
        <v>0</v>
      </c>
      <c r="N2564" s="58">
        <v>7.1098100000000004</v>
      </c>
      <c r="O2564" s="181">
        <f t="shared" si="20"/>
        <v>3180</v>
      </c>
      <c r="P2564" s="247">
        <f t="shared" si="21"/>
        <v>447.2693363113782</v>
      </c>
    </row>
    <row r="2565" spans="1:16" ht="14.25">
      <c r="A2565" s="224">
        <v>2564</v>
      </c>
      <c r="B2565" s="58">
        <v>36200</v>
      </c>
      <c r="C2565" s="57" t="s">
        <v>6425</v>
      </c>
      <c r="D2565" s="57" t="s">
        <v>45</v>
      </c>
      <c r="E2565" s="57" t="s">
        <v>2874</v>
      </c>
      <c r="F2565" s="58" t="s">
        <v>6422</v>
      </c>
      <c r="G2565" s="234" t="s">
        <v>216</v>
      </c>
      <c r="H2565" s="57" t="s">
        <v>2557</v>
      </c>
      <c r="I2565" s="58">
        <v>95964</v>
      </c>
      <c r="J2565" s="57" t="s">
        <v>6426</v>
      </c>
      <c r="K2565" s="58">
        <v>81.99</v>
      </c>
      <c r="L2565" s="58">
        <v>0</v>
      </c>
      <c r="M2565" s="58">
        <v>0</v>
      </c>
      <c r="N2565" s="58">
        <v>1</v>
      </c>
      <c r="O2565" s="181">
        <f t="shared" si="20"/>
        <v>81.99</v>
      </c>
      <c r="P2565" s="247">
        <f t="shared" si="21"/>
        <v>81.99</v>
      </c>
    </row>
    <row r="2566" spans="1:16" ht="14.25">
      <c r="A2566" s="224">
        <v>2565</v>
      </c>
      <c r="B2566" s="58">
        <v>27659</v>
      </c>
      <c r="C2566" s="57" t="s">
        <v>4961</v>
      </c>
      <c r="D2566" s="57" t="s">
        <v>45</v>
      </c>
      <c r="E2566" s="57" t="s">
        <v>2874</v>
      </c>
      <c r="F2566" s="58" t="s">
        <v>6427</v>
      </c>
      <c r="G2566" s="234" t="s">
        <v>216</v>
      </c>
      <c r="H2566" s="57" t="s">
        <v>2557</v>
      </c>
      <c r="I2566" s="58">
        <v>93719</v>
      </c>
      <c r="J2566" s="57"/>
      <c r="K2566" s="58">
        <v>84.99</v>
      </c>
      <c r="L2566" s="58">
        <v>0</v>
      </c>
      <c r="M2566" s="58">
        <v>0</v>
      </c>
      <c r="N2566" s="58">
        <v>1</v>
      </c>
      <c r="O2566" s="181">
        <f t="shared" si="20"/>
        <v>84.99</v>
      </c>
      <c r="P2566" s="247">
        <f t="shared" si="21"/>
        <v>84.99</v>
      </c>
    </row>
    <row r="2567" spans="1:16" ht="14.25">
      <c r="A2567" s="224">
        <v>2566</v>
      </c>
      <c r="B2567" s="58">
        <v>3483</v>
      </c>
      <c r="C2567" s="57" t="s">
        <v>6428</v>
      </c>
      <c r="D2567" s="57" t="s">
        <v>45</v>
      </c>
      <c r="E2567" s="57" t="s">
        <v>9</v>
      </c>
      <c r="F2567" s="58" t="s">
        <v>6429</v>
      </c>
      <c r="G2567" s="234" t="s">
        <v>216</v>
      </c>
      <c r="H2567" s="57" t="s">
        <v>2557</v>
      </c>
      <c r="I2567" s="58">
        <v>94007</v>
      </c>
      <c r="J2567" s="57" t="s">
        <v>751</v>
      </c>
      <c r="K2567" s="58">
        <v>12.6</v>
      </c>
      <c r="L2567" s="58">
        <v>0.93</v>
      </c>
      <c r="M2567" s="58">
        <v>0</v>
      </c>
      <c r="N2567" s="58">
        <v>1</v>
      </c>
      <c r="O2567" s="181">
        <f t="shared" si="20"/>
        <v>11.67</v>
      </c>
      <c r="P2567" s="247">
        <f t="shared" si="21"/>
        <v>11.67</v>
      </c>
    </row>
    <row r="2568" spans="1:16" ht="14.25">
      <c r="A2568" s="224">
        <v>2567</v>
      </c>
      <c r="B2568" s="58">
        <v>6798</v>
      </c>
      <c r="C2568" s="57" t="s">
        <v>2921</v>
      </c>
      <c r="D2568" s="57" t="s">
        <v>45</v>
      </c>
      <c r="E2568" s="57" t="s">
        <v>6430</v>
      </c>
      <c r="F2568" s="58" t="s">
        <v>6431</v>
      </c>
      <c r="G2568" s="234" t="s">
        <v>216</v>
      </c>
      <c r="H2568" s="57" t="s">
        <v>2557</v>
      </c>
      <c r="I2568" s="58">
        <v>95988</v>
      </c>
      <c r="J2568" s="57"/>
      <c r="K2568" s="58">
        <v>182.91</v>
      </c>
      <c r="L2568" s="58">
        <v>0</v>
      </c>
      <c r="M2568" s="58">
        <v>0</v>
      </c>
      <c r="N2568" s="58">
        <v>1</v>
      </c>
      <c r="O2568" s="181">
        <f t="shared" si="20"/>
        <v>182.91</v>
      </c>
      <c r="P2568" s="247">
        <f t="shared" si="21"/>
        <v>182.91</v>
      </c>
    </row>
    <row r="2569" spans="1:16" ht="14.25">
      <c r="A2569" s="224">
        <v>2568</v>
      </c>
      <c r="B2569" s="58">
        <v>36218</v>
      </c>
      <c r="C2569" s="57" t="s">
        <v>6432</v>
      </c>
      <c r="D2569" s="57" t="s">
        <v>45</v>
      </c>
      <c r="E2569" s="57" t="s">
        <v>4772</v>
      </c>
      <c r="F2569" s="58" t="s">
        <v>6433</v>
      </c>
      <c r="G2569" s="234" t="s">
        <v>216</v>
      </c>
      <c r="H2569" s="57" t="s">
        <v>2557</v>
      </c>
      <c r="I2569" s="58">
        <v>96000</v>
      </c>
      <c r="J2569" s="57" t="s">
        <v>2183</v>
      </c>
      <c r="K2569" s="58">
        <v>2.99</v>
      </c>
      <c r="L2569" s="58">
        <v>0.09</v>
      </c>
      <c r="M2569" s="58">
        <v>0</v>
      </c>
      <c r="N2569" s="58">
        <v>1</v>
      </c>
      <c r="O2569" s="181">
        <f t="shared" si="20"/>
        <v>2.9000000000000004</v>
      </c>
      <c r="P2569" s="247">
        <f t="shared" si="21"/>
        <v>2.9000000000000004</v>
      </c>
    </row>
    <row r="2570" spans="1:16" ht="14.25">
      <c r="A2570" s="224">
        <v>2569</v>
      </c>
      <c r="B2570" s="58">
        <v>3618</v>
      </c>
      <c r="C2570" s="57" t="s">
        <v>6434</v>
      </c>
      <c r="D2570" s="57" t="s">
        <v>45</v>
      </c>
      <c r="E2570" s="57" t="s">
        <v>9</v>
      </c>
      <c r="F2570" s="58" t="s">
        <v>6435</v>
      </c>
      <c r="G2570" s="234" t="s">
        <v>216</v>
      </c>
      <c r="H2570" s="57" t="s">
        <v>2557</v>
      </c>
      <c r="I2570" s="58">
        <v>94199</v>
      </c>
      <c r="J2570" s="57" t="s">
        <v>754</v>
      </c>
      <c r="K2570" s="58">
        <v>12.6</v>
      </c>
      <c r="L2570" s="58">
        <v>1.1200000000000001</v>
      </c>
      <c r="M2570" s="58">
        <v>0</v>
      </c>
      <c r="N2570" s="58">
        <v>1</v>
      </c>
      <c r="O2570" s="181">
        <f t="shared" si="20"/>
        <v>11.48</v>
      </c>
      <c r="P2570" s="247">
        <f t="shared" si="21"/>
        <v>11.48</v>
      </c>
    </row>
    <row r="2571" spans="1:16" ht="14.25">
      <c r="A2571" s="224">
        <v>2570</v>
      </c>
      <c r="B2571" s="58">
        <v>36268</v>
      </c>
      <c r="C2571" s="57" t="s">
        <v>6436</v>
      </c>
      <c r="D2571" s="57" t="s">
        <v>2582</v>
      </c>
      <c r="E2571" s="57" t="s">
        <v>4772</v>
      </c>
      <c r="F2571" s="58" t="s">
        <v>6437</v>
      </c>
      <c r="G2571" s="234" t="s">
        <v>216</v>
      </c>
      <c r="H2571" s="57" t="s">
        <v>2557</v>
      </c>
      <c r="I2571" s="58">
        <v>96156</v>
      </c>
      <c r="J2571" s="57" t="s">
        <v>2192</v>
      </c>
      <c r="K2571" s="58">
        <v>46.01</v>
      </c>
      <c r="L2571" s="58">
        <v>0.19</v>
      </c>
      <c r="M2571" s="58">
        <v>0</v>
      </c>
      <c r="N2571" s="58">
        <v>7.0887900000000004</v>
      </c>
      <c r="O2571" s="181">
        <f t="shared" si="20"/>
        <v>45.82</v>
      </c>
      <c r="P2571" s="247">
        <f t="shared" si="21"/>
        <v>6.4637265316083559</v>
      </c>
    </row>
    <row r="2572" spans="1:16" ht="14.25">
      <c r="A2572" s="224">
        <v>2571</v>
      </c>
      <c r="B2572" s="58">
        <v>36280</v>
      </c>
      <c r="C2572" s="57" t="s">
        <v>6438</v>
      </c>
      <c r="D2572" s="57" t="s">
        <v>2582</v>
      </c>
      <c r="E2572" s="57" t="s">
        <v>4772</v>
      </c>
      <c r="F2572" s="58" t="s">
        <v>6439</v>
      </c>
      <c r="G2572" s="234" t="s">
        <v>216</v>
      </c>
      <c r="H2572" s="57" t="s">
        <v>2557</v>
      </c>
      <c r="I2572" s="58">
        <v>96228</v>
      </c>
      <c r="J2572" s="57" t="s">
        <v>2189</v>
      </c>
      <c r="K2572" s="58">
        <v>21.2</v>
      </c>
      <c r="L2572" s="58">
        <v>0.09</v>
      </c>
      <c r="M2572" s="58">
        <v>0</v>
      </c>
      <c r="N2572" s="58">
        <v>7.0887900000000004</v>
      </c>
      <c r="O2572" s="181">
        <f t="shared" si="20"/>
        <v>21.11</v>
      </c>
      <c r="P2572" s="247">
        <f t="shared" si="21"/>
        <v>2.9779412283337492</v>
      </c>
    </row>
    <row r="2573" spans="1:16" ht="14.25">
      <c r="A2573" s="224">
        <v>2572</v>
      </c>
      <c r="B2573" s="58">
        <v>6794</v>
      </c>
      <c r="C2573" s="57" t="s">
        <v>2623</v>
      </c>
      <c r="D2573" s="57" t="s">
        <v>45</v>
      </c>
      <c r="E2573" s="57" t="s">
        <v>2874</v>
      </c>
      <c r="F2573" s="58" t="s">
        <v>6440</v>
      </c>
      <c r="G2573" s="234" t="s">
        <v>216</v>
      </c>
      <c r="H2573" s="57" t="s">
        <v>2557</v>
      </c>
      <c r="I2573" s="58">
        <v>96168</v>
      </c>
      <c r="J2573" s="57"/>
      <c r="K2573" s="58">
        <v>198</v>
      </c>
      <c r="L2573" s="58">
        <v>0</v>
      </c>
      <c r="M2573" s="58">
        <v>0</v>
      </c>
      <c r="N2573" s="58">
        <v>1</v>
      </c>
      <c r="O2573" s="181">
        <f t="shared" si="20"/>
        <v>198</v>
      </c>
      <c r="P2573" s="247">
        <f t="shared" si="21"/>
        <v>198</v>
      </c>
    </row>
    <row r="2574" spans="1:16" ht="14.25">
      <c r="A2574" s="224">
        <v>2573</v>
      </c>
      <c r="B2574" s="58">
        <v>6794</v>
      </c>
      <c r="C2574" s="57" t="s">
        <v>2623</v>
      </c>
      <c r="D2574" s="57" t="s">
        <v>45</v>
      </c>
      <c r="E2574" s="57" t="s">
        <v>2874</v>
      </c>
      <c r="F2574" s="58" t="s">
        <v>6441</v>
      </c>
      <c r="G2574" s="234" t="s">
        <v>216</v>
      </c>
      <c r="H2574" s="57" t="s">
        <v>2557</v>
      </c>
      <c r="I2574" s="58">
        <v>96252</v>
      </c>
      <c r="J2574" s="57"/>
      <c r="K2574" s="58">
        <v>422</v>
      </c>
      <c r="L2574" s="58">
        <v>0</v>
      </c>
      <c r="M2574" s="58">
        <v>0</v>
      </c>
      <c r="N2574" s="58">
        <v>1</v>
      </c>
      <c r="O2574" s="181">
        <f t="shared" si="20"/>
        <v>422</v>
      </c>
      <c r="P2574" s="247">
        <f t="shared" si="21"/>
        <v>422</v>
      </c>
    </row>
    <row r="2575" spans="1:16" ht="14.25">
      <c r="A2575" s="224">
        <v>2574</v>
      </c>
      <c r="B2575" s="58">
        <v>3479</v>
      </c>
      <c r="C2575" s="57" t="s">
        <v>6442</v>
      </c>
      <c r="D2575" s="57" t="s">
        <v>2582</v>
      </c>
      <c r="E2575" s="57" t="s">
        <v>9</v>
      </c>
      <c r="F2575" s="58" t="s">
        <v>6443</v>
      </c>
      <c r="G2575" s="234" t="s">
        <v>216</v>
      </c>
      <c r="H2575" s="57" t="s">
        <v>2557</v>
      </c>
      <c r="I2575" s="58">
        <v>93911</v>
      </c>
      <c r="J2575" s="57" t="s">
        <v>758</v>
      </c>
      <c r="K2575" s="58">
        <v>91.24</v>
      </c>
      <c r="L2575" s="58">
        <v>6.59</v>
      </c>
      <c r="M2575" s="58">
        <v>0</v>
      </c>
      <c r="N2575" s="58">
        <v>7.0887900000000004</v>
      </c>
      <c r="O2575" s="181">
        <f t="shared" si="20"/>
        <v>84.649999999999991</v>
      </c>
      <c r="P2575" s="247">
        <f t="shared" si="21"/>
        <v>11.94138915103988</v>
      </c>
    </row>
    <row r="2576" spans="1:16" ht="14.25">
      <c r="A2576" s="224">
        <v>2575</v>
      </c>
      <c r="B2576" s="58">
        <v>36298</v>
      </c>
      <c r="C2576" s="57" t="s">
        <v>6444</v>
      </c>
      <c r="D2576" s="57" t="s">
        <v>45</v>
      </c>
      <c r="E2576" s="57" t="s">
        <v>2860</v>
      </c>
      <c r="F2576" s="58" t="s">
        <v>6445</v>
      </c>
      <c r="G2576" s="234" t="s">
        <v>216</v>
      </c>
      <c r="H2576" s="57" t="s">
        <v>2557</v>
      </c>
      <c r="I2576" s="58">
        <v>96264</v>
      </c>
      <c r="J2576" s="57" t="s">
        <v>6446</v>
      </c>
      <c r="K2576" s="58">
        <v>6.49</v>
      </c>
      <c r="L2576" s="58">
        <v>0</v>
      </c>
      <c r="M2576" s="58">
        <v>0</v>
      </c>
      <c r="N2576" s="58">
        <v>1</v>
      </c>
      <c r="O2576" s="181">
        <f t="shared" si="20"/>
        <v>6.49</v>
      </c>
      <c r="P2576" s="247">
        <f t="shared" si="21"/>
        <v>6.49</v>
      </c>
    </row>
    <row r="2577" spans="1:16" ht="14.25">
      <c r="A2577" s="224">
        <v>2576</v>
      </c>
      <c r="B2577" s="58">
        <v>3479</v>
      </c>
      <c r="C2577" s="57" t="s">
        <v>6442</v>
      </c>
      <c r="D2577" s="57" t="s">
        <v>2582</v>
      </c>
      <c r="E2577" s="57" t="s">
        <v>9</v>
      </c>
      <c r="F2577" s="58" t="s">
        <v>6447</v>
      </c>
      <c r="G2577" s="234" t="s">
        <v>216</v>
      </c>
      <c r="H2577" s="57" t="s">
        <v>6448</v>
      </c>
      <c r="I2577" s="58">
        <v>93911</v>
      </c>
      <c r="J2577" s="57"/>
      <c r="K2577" s="58">
        <v>0</v>
      </c>
      <c r="L2577" s="58">
        <v>-6.59</v>
      </c>
      <c r="M2577" s="58">
        <v>91.24</v>
      </c>
      <c r="N2577" s="58">
        <v>7.0887900000000004</v>
      </c>
      <c r="O2577" s="181">
        <f t="shared" si="20"/>
        <v>-84.649999999999991</v>
      </c>
      <c r="P2577" s="247">
        <f t="shared" si="21"/>
        <v>-11.94138915103988</v>
      </c>
    </row>
    <row r="2578" spans="1:16" ht="14.25">
      <c r="A2578" s="224">
        <v>2577</v>
      </c>
      <c r="B2578" s="58">
        <v>7191</v>
      </c>
      <c r="C2578" s="57" t="s">
        <v>2650</v>
      </c>
      <c r="D2578" s="57" t="s">
        <v>45</v>
      </c>
      <c r="E2578" s="57" t="s">
        <v>4772</v>
      </c>
      <c r="F2578" s="58" t="s">
        <v>6449</v>
      </c>
      <c r="G2578" s="234" t="s">
        <v>216</v>
      </c>
      <c r="H2578" s="57" t="s">
        <v>6450</v>
      </c>
      <c r="I2578" s="58">
        <v>90683</v>
      </c>
      <c r="J2578" s="57"/>
      <c r="K2578" s="58">
        <v>0</v>
      </c>
      <c r="L2578" s="58">
        <v>-0.06</v>
      </c>
      <c r="M2578" s="58">
        <v>1.79</v>
      </c>
      <c r="N2578" s="58">
        <v>1</v>
      </c>
      <c r="O2578" s="181">
        <f t="shared" si="20"/>
        <v>-1.73</v>
      </c>
      <c r="P2578" s="247">
        <f t="shared" si="21"/>
        <v>-1.73</v>
      </c>
    </row>
    <row r="2579" spans="1:16" ht="14.25">
      <c r="A2579" s="224">
        <v>2578</v>
      </c>
      <c r="B2579" s="58">
        <v>29319</v>
      </c>
      <c r="C2579" s="57" t="s">
        <v>5694</v>
      </c>
      <c r="D2579" s="57" t="s">
        <v>2582</v>
      </c>
      <c r="E2579" s="57" t="s">
        <v>2860</v>
      </c>
      <c r="F2579" s="58" t="s">
        <v>6451</v>
      </c>
      <c r="G2579" s="234" t="s">
        <v>216</v>
      </c>
      <c r="H2579" s="57" t="s">
        <v>2557</v>
      </c>
      <c r="I2579" s="58">
        <v>94055</v>
      </c>
      <c r="J2579" s="57" t="s">
        <v>6452</v>
      </c>
      <c r="K2579" s="58">
        <v>71.709999999999994</v>
      </c>
      <c r="L2579" s="58">
        <v>0</v>
      </c>
      <c r="M2579" s="58">
        <v>0</v>
      </c>
      <c r="N2579" s="58">
        <v>7.0855300000000003</v>
      </c>
      <c r="O2579" s="181">
        <f t="shared" si="20"/>
        <v>71.709999999999994</v>
      </c>
      <c r="P2579" s="247">
        <f t="shared" si="21"/>
        <v>10.120626121122907</v>
      </c>
    </row>
    <row r="2580" spans="1:16" ht="14.25">
      <c r="A2580" s="224">
        <v>2579</v>
      </c>
      <c r="B2580" s="58">
        <v>311</v>
      </c>
      <c r="C2580" s="57" t="s">
        <v>6453</v>
      </c>
      <c r="D2580" s="57" t="s">
        <v>45</v>
      </c>
      <c r="E2580" s="57" t="s">
        <v>2860</v>
      </c>
      <c r="F2580" s="58" t="s">
        <v>6454</v>
      </c>
      <c r="G2580" s="234" t="s">
        <v>216</v>
      </c>
      <c r="H2580" s="57" t="s">
        <v>2557</v>
      </c>
      <c r="I2580" s="58">
        <v>93935</v>
      </c>
      <c r="J2580" s="57" t="s">
        <v>6455</v>
      </c>
      <c r="K2580" s="58">
        <v>12.6</v>
      </c>
      <c r="L2580" s="58">
        <v>0</v>
      </c>
      <c r="M2580" s="58">
        <v>0</v>
      </c>
      <c r="N2580" s="58">
        <v>1</v>
      </c>
      <c r="O2580" s="181">
        <f t="shared" si="20"/>
        <v>12.6</v>
      </c>
      <c r="P2580" s="247">
        <f t="shared" si="21"/>
        <v>12.6</v>
      </c>
    </row>
    <row r="2581" spans="1:16" ht="14.25">
      <c r="A2581" s="224">
        <v>2580</v>
      </c>
      <c r="B2581" s="58">
        <v>25286</v>
      </c>
      <c r="C2581" s="57" t="s">
        <v>4583</v>
      </c>
      <c r="D2581" s="57" t="s">
        <v>2582</v>
      </c>
      <c r="E2581" s="57" t="s">
        <v>2860</v>
      </c>
      <c r="F2581" s="58" t="s">
        <v>6456</v>
      </c>
      <c r="G2581" s="234" t="s">
        <v>216</v>
      </c>
      <c r="H2581" s="57" t="s">
        <v>2557</v>
      </c>
      <c r="I2581" s="58">
        <v>95039</v>
      </c>
      <c r="J2581" s="57" t="s">
        <v>6457</v>
      </c>
      <c r="K2581" s="58">
        <v>143.77000000000001</v>
      </c>
      <c r="L2581" s="58">
        <v>0</v>
      </c>
      <c r="M2581" s="58">
        <v>0</v>
      </c>
      <c r="N2581" s="58">
        <v>7.0855300000000003</v>
      </c>
      <c r="O2581" s="181">
        <f t="shared" si="20"/>
        <v>143.77000000000001</v>
      </c>
      <c r="P2581" s="247">
        <f t="shared" si="21"/>
        <v>20.290648688242094</v>
      </c>
    </row>
    <row r="2582" spans="1:16" ht="14.25">
      <c r="A2582" s="224">
        <v>2581</v>
      </c>
      <c r="B2582" s="58">
        <v>25286</v>
      </c>
      <c r="C2582" s="57" t="s">
        <v>4583</v>
      </c>
      <c r="D2582" s="57" t="s">
        <v>2582</v>
      </c>
      <c r="E2582" s="57" t="s">
        <v>2860</v>
      </c>
      <c r="F2582" s="58" t="s">
        <v>6458</v>
      </c>
      <c r="G2582" s="234" t="s">
        <v>216</v>
      </c>
      <c r="H2582" s="57" t="s">
        <v>2557</v>
      </c>
      <c r="I2582" s="58">
        <v>95039</v>
      </c>
      <c r="J2582" s="57"/>
      <c r="K2582" s="58">
        <v>0.03</v>
      </c>
      <c r="L2582" s="58">
        <v>0</v>
      </c>
      <c r="M2582" s="58">
        <v>0</v>
      </c>
      <c r="N2582" s="58">
        <v>7.0855300000000003</v>
      </c>
      <c r="O2582" s="181">
        <f t="shared" si="20"/>
        <v>0.03</v>
      </c>
      <c r="P2582" s="247">
        <f t="shared" si="21"/>
        <v>4.2339810853951644E-3</v>
      </c>
    </row>
    <row r="2583" spans="1:16" ht="14.25">
      <c r="A2583" s="224">
        <v>2582</v>
      </c>
      <c r="B2583" s="58">
        <v>29319</v>
      </c>
      <c r="C2583" s="57" t="s">
        <v>5694</v>
      </c>
      <c r="D2583" s="57" t="s">
        <v>2582</v>
      </c>
      <c r="E2583" s="57" t="s">
        <v>2860</v>
      </c>
      <c r="F2583" s="58" t="s">
        <v>6459</v>
      </c>
      <c r="G2583" s="234" t="s">
        <v>216</v>
      </c>
      <c r="H2583" s="57" t="s">
        <v>2557</v>
      </c>
      <c r="I2583" s="58">
        <v>94055</v>
      </c>
      <c r="J2583" s="57"/>
      <c r="K2583" s="58">
        <v>0.02</v>
      </c>
      <c r="L2583" s="58">
        <v>0</v>
      </c>
      <c r="M2583" s="58">
        <v>0</v>
      </c>
      <c r="N2583" s="58">
        <v>7.0855300000000003</v>
      </c>
      <c r="O2583" s="181">
        <f t="shared" si="20"/>
        <v>0.02</v>
      </c>
      <c r="P2583" s="247">
        <f t="shared" si="21"/>
        <v>2.8226540569301095E-3</v>
      </c>
    </row>
    <row r="2584" spans="1:16" ht="14.25">
      <c r="A2584" s="224">
        <v>2583</v>
      </c>
      <c r="B2584" s="58">
        <v>36136</v>
      </c>
      <c r="C2584" s="57" t="s">
        <v>6460</v>
      </c>
      <c r="D2584" s="57" t="s">
        <v>45</v>
      </c>
      <c r="E2584" s="57" t="s">
        <v>4772</v>
      </c>
      <c r="F2584" s="58" t="s">
        <v>6461</v>
      </c>
      <c r="G2584" s="234" t="s">
        <v>216</v>
      </c>
      <c r="H2584" s="57" t="s">
        <v>2557</v>
      </c>
      <c r="I2584" s="58">
        <v>96420</v>
      </c>
      <c r="J2584" s="57" t="s">
        <v>2207</v>
      </c>
      <c r="K2584" s="58">
        <v>10.39</v>
      </c>
      <c r="L2584" s="58">
        <v>0.31</v>
      </c>
      <c r="M2584" s="58">
        <v>0</v>
      </c>
      <c r="N2584" s="58">
        <v>1</v>
      </c>
      <c r="O2584" s="181">
        <f t="shared" si="20"/>
        <v>10.08</v>
      </c>
      <c r="P2584" s="247">
        <f t="shared" si="21"/>
        <v>10.08</v>
      </c>
    </row>
    <row r="2585" spans="1:16" ht="14.25">
      <c r="A2585" s="224">
        <v>2584</v>
      </c>
      <c r="B2585" s="58">
        <v>33737</v>
      </c>
      <c r="C2585" s="57" t="s">
        <v>5787</v>
      </c>
      <c r="D2585" s="57" t="s">
        <v>2582</v>
      </c>
      <c r="E2585" s="57" t="s">
        <v>4772</v>
      </c>
      <c r="F2585" s="58" t="s">
        <v>6462</v>
      </c>
      <c r="G2585" s="234" t="s">
        <v>216</v>
      </c>
      <c r="H2585" s="57" t="s">
        <v>2557</v>
      </c>
      <c r="I2585" s="58">
        <v>95952</v>
      </c>
      <c r="J2585" s="57" t="s">
        <v>2204</v>
      </c>
      <c r="K2585" s="58">
        <v>17.77</v>
      </c>
      <c r="L2585" s="58">
        <v>0.08</v>
      </c>
      <c r="M2585" s="58">
        <v>0</v>
      </c>
      <c r="N2585" s="58">
        <v>7.0855300000000003</v>
      </c>
      <c r="O2585" s="181">
        <f t="shared" si="20"/>
        <v>17.690000000000001</v>
      </c>
      <c r="P2585" s="247">
        <f t="shared" si="21"/>
        <v>2.4966375133546821</v>
      </c>
    </row>
    <row r="2586" spans="1:16" ht="14.25">
      <c r="A2586" s="224">
        <v>2585</v>
      </c>
      <c r="B2586" s="58">
        <v>27880</v>
      </c>
      <c r="C2586" s="57" t="s">
        <v>4998</v>
      </c>
      <c r="D2586" s="57" t="s">
        <v>45</v>
      </c>
      <c r="E2586" s="57" t="s">
        <v>4772</v>
      </c>
      <c r="F2586" s="58" t="s">
        <v>6463</v>
      </c>
      <c r="G2586" s="234" t="s">
        <v>216</v>
      </c>
      <c r="H2586" s="57" t="s">
        <v>2557</v>
      </c>
      <c r="I2586" s="58">
        <v>94763</v>
      </c>
      <c r="J2586" s="57" t="s">
        <v>2201</v>
      </c>
      <c r="K2586" s="58">
        <v>9.99</v>
      </c>
      <c r="L2586" s="58">
        <v>0.28999999999999998</v>
      </c>
      <c r="M2586" s="58">
        <v>0</v>
      </c>
      <c r="N2586" s="58">
        <v>1</v>
      </c>
      <c r="O2586" s="181">
        <f t="shared" si="20"/>
        <v>9.7000000000000011</v>
      </c>
      <c r="P2586" s="247">
        <f t="shared" si="21"/>
        <v>9.7000000000000011</v>
      </c>
    </row>
    <row r="2587" spans="1:16" ht="14.25">
      <c r="A2587" s="224">
        <v>2586</v>
      </c>
      <c r="B2587" s="58">
        <v>27903</v>
      </c>
      <c r="C2587" s="57" t="s">
        <v>5168</v>
      </c>
      <c r="D2587" s="57" t="s">
        <v>45</v>
      </c>
      <c r="E2587" s="57" t="s">
        <v>2874</v>
      </c>
      <c r="F2587" s="58" t="s">
        <v>6463</v>
      </c>
      <c r="G2587" s="234" t="s">
        <v>216</v>
      </c>
      <c r="H2587" s="57" t="s">
        <v>2557</v>
      </c>
      <c r="I2587" s="58">
        <v>96276</v>
      </c>
      <c r="J2587" s="57"/>
      <c r="K2587" s="58">
        <v>300</v>
      </c>
      <c r="L2587" s="58">
        <v>0</v>
      </c>
      <c r="M2587" s="58">
        <v>0</v>
      </c>
      <c r="N2587" s="58">
        <v>1</v>
      </c>
      <c r="O2587" s="181">
        <f t="shared" si="20"/>
        <v>300</v>
      </c>
      <c r="P2587" s="247">
        <f t="shared" si="21"/>
        <v>300</v>
      </c>
    </row>
    <row r="2588" spans="1:16" ht="14.25">
      <c r="A2588" s="224">
        <v>2587</v>
      </c>
      <c r="B2588" s="58">
        <v>34311</v>
      </c>
      <c r="C2588" s="57" t="s">
        <v>5995</v>
      </c>
      <c r="D2588" s="57" t="s">
        <v>2582</v>
      </c>
      <c r="E2588" s="57" t="s">
        <v>4772</v>
      </c>
      <c r="F2588" s="58" t="s">
        <v>6464</v>
      </c>
      <c r="G2588" s="234" t="s">
        <v>216</v>
      </c>
      <c r="H2588" s="57" t="s">
        <v>2557</v>
      </c>
      <c r="I2588" s="58">
        <v>94295</v>
      </c>
      <c r="J2588" s="57" t="s">
        <v>2198</v>
      </c>
      <c r="K2588" s="58">
        <v>206.48</v>
      </c>
      <c r="L2588" s="58">
        <v>0.85</v>
      </c>
      <c r="M2588" s="58">
        <v>0</v>
      </c>
      <c r="N2588" s="58">
        <v>7.0855300000000003</v>
      </c>
      <c r="O2588" s="181">
        <f t="shared" si="20"/>
        <v>205.63</v>
      </c>
      <c r="P2588" s="247">
        <f t="shared" si="21"/>
        <v>29.021117686326921</v>
      </c>
    </row>
    <row r="2589" spans="1:16" ht="14.25">
      <c r="A2589" s="224">
        <v>2588</v>
      </c>
      <c r="B2589" s="58">
        <v>4610</v>
      </c>
      <c r="C2589" s="57" t="s">
        <v>6465</v>
      </c>
      <c r="D2589" s="57" t="s">
        <v>45</v>
      </c>
      <c r="E2589" s="57" t="s">
        <v>2860</v>
      </c>
      <c r="F2589" s="58" t="s">
        <v>6466</v>
      </c>
      <c r="G2589" s="234" t="s">
        <v>216</v>
      </c>
      <c r="H2589" s="57" t="s">
        <v>2557</v>
      </c>
      <c r="I2589" s="58">
        <v>96300</v>
      </c>
      <c r="J2589" s="57" t="s">
        <v>6467</v>
      </c>
      <c r="K2589" s="58">
        <v>21</v>
      </c>
      <c r="L2589" s="58">
        <v>0</v>
      </c>
      <c r="M2589" s="58">
        <v>0</v>
      </c>
      <c r="N2589" s="58">
        <v>1</v>
      </c>
      <c r="O2589" s="181">
        <f t="shared" si="20"/>
        <v>21</v>
      </c>
      <c r="P2589" s="247">
        <f t="shared" si="21"/>
        <v>21</v>
      </c>
    </row>
    <row r="2590" spans="1:16" ht="14.25">
      <c r="A2590" s="224">
        <v>2589</v>
      </c>
      <c r="B2590" s="58">
        <v>4481</v>
      </c>
      <c r="C2590" s="57" t="s">
        <v>3158</v>
      </c>
      <c r="D2590" s="57" t="s">
        <v>45</v>
      </c>
      <c r="E2590" s="57" t="s">
        <v>2860</v>
      </c>
      <c r="F2590" s="58" t="s">
        <v>6468</v>
      </c>
      <c r="G2590" s="234" t="s">
        <v>216</v>
      </c>
      <c r="H2590" s="57" t="s">
        <v>2557</v>
      </c>
      <c r="I2590" s="58">
        <v>96024</v>
      </c>
      <c r="J2590" s="57" t="s">
        <v>6469</v>
      </c>
      <c r="K2590" s="58">
        <v>11.99</v>
      </c>
      <c r="L2590" s="58">
        <v>0</v>
      </c>
      <c r="M2590" s="58">
        <v>0</v>
      </c>
      <c r="N2590" s="58">
        <v>1</v>
      </c>
      <c r="O2590" s="181">
        <f t="shared" si="20"/>
        <v>11.99</v>
      </c>
      <c r="P2590" s="247">
        <f t="shared" si="21"/>
        <v>11.99</v>
      </c>
    </row>
    <row r="2591" spans="1:16" ht="14.25">
      <c r="A2591" s="224">
        <v>2590</v>
      </c>
      <c r="B2591" s="58">
        <v>3513</v>
      </c>
      <c r="C2591" s="57" t="s">
        <v>6470</v>
      </c>
      <c r="D2591" s="57" t="s">
        <v>45</v>
      </c>
      <c r="E2591" s="57" t="s">
        <v>9</v>
      </c>
      <c r="F2591" s="58" t="s">
        <v>6471</v>
      </c>
      <c r="G2591" s="234" t="s">
        <v>216</v>
      </c>
      <c r="H2591" s="57" t="s">
        <v>2557</v>
      </c>
      <c r="I2591" s="58">
        <v>93959</v>
      </c>
      <c r="J2591" s="57" t="s">
        <v>764</v>
      </c>
      <c r="K2591" s="58">
        <v>12.6</v>
      </c>
      <c r="L2591" s="58">
        <v>1.1200000000000001</v>
      </c>
      <c r="M2591" s="58">
        <v>0</v>
      </c>
      <c r="N2591" s="58">
        <v>1</v>
      </c>
      <c r="O2591" s="181">
        <f t="shared" si="20"/>
        <v>11.48</v>
      </c>
      <c r="P2591" s="247">
        <f t="shared" si="21"/>
        <v>11.48</v>
      </c>
    </row>
    <row r="2592" spans="1:16" ht="14.25">
      <c r="A2592" s="224">
        <v>2591</v>
      </c>
      <c r="B2592" s="58">
        <v>3575</v>
      </c>
      <c r="C2592" s="57" t="s">
        <v>6317</v>
      </c>
      <c r="D2592" s="57" t="s">
        <v>45</v>
      </c>
      <c r="E2592" s="57" t="s">
        <v>9</v>
      </c>
      <c r="F2592" s="58" t="s">
        <v>6472</v>
      </c>
      <c r="G2592" s="234" t="s">
        <v>216</v>
      </c>
      <c r="H2592" s="57" t="s">
        <v>2557</v>
      </c>
      <c r="I2592" s="58">
        <v>94247</v>
      </c>
      <c r="J2592" s="57" t="s">
        <v>766</v>
      </c>
      <c r="K2592" s="58">
        <v>12.6</v>
      </c>
      <c r="L2592" s="58">
        <v>1.1200000000000001</v>
      </c>
      <c r="M2592" s="58">
        <v>0</v>
      </c>
      <c r="N2592" s="58">
        <v>1</v>
      </c>
      <c r="O2592" s="181">
        <f t="shared" si="20"/>
        <v>11.48</v>
      </c>
      <c r="P2592" s="247">
        <f t="shared" si="21"/>
        <v>11.48</v>
      </c>
    </row>
    <row r="2593" spans="1:16" ht="14.25">
      <c r="A2593" s="224">
        <v>2592</v>
      </c>
      <c r="B2593" s="58">
        <v>3513</v>
      </c>
      <c r="C2593" s="57" t="s">
        <v>6470</v>
      </c>
      <c r="D2593" s="57" t="s">
        <v>45</v>
      </c>
      <c r="E2593" s="57" t="s">
        <v>9</v>
      </c>
      <c r="F2593" s="58" t="s">
        <v>6473</v>
      </c>
      <c r="G2593" s="234" t="s">
        <v>216</v>
      </c>
      <c r="H2593" s="57" t="s">
        <v>6474</v>
      </c>
      <c r="I2593" s="58">
        <v>93959</v>
      </c>
      <c r="J2593" s="57" t="s">
        <v>767</v>
      </c>
      <c r="K2593" s="58">
        <v>0</v>
      </c>
      <c r="L2593" s="58">
        <v>-1.1200000000000001</v>
      </c>
      <c r="M2593" s="58">
        <v>12.6</v>
      </c>
      <c r="N2593" s="58">
        <v>1</v>
      </c>
      <c r="O2593" s="181">
        <f t="shared" si="20"/>
        <v>-11.48</v>
      </c>
      <c r="P2593" s="247">
        <f t="shared" si="21"/>
        <v>-11.48</v>
      </c>
    </row>
    <row r="2594" spans="1:16" ht="14.25">
      <c r="A2594" s="224">
        <v>2593</v>
      </c>
      <c r="B2594" s="58">
        <v>1560</v>
      </c>
      <c r="C2594" s="57" t="s">
        <v>2630</v>
      </c>
      <c r="D2594" s="57" t="s">
        <v>45</v>
      </c>
      <c r="E2594" s="57" t="s">
        <v>2860</v>
      </c>
      <c r="F2594" s="58" t="s">
        <v>6475</v>
      </c>
      <c r="G2594" s="234" t="s">
        <v>216</v>
      </c>
      <c r="H2594" s="57" t="s">
        <v>2557</v>
      </c>
      <c r="I2594" s="58">
        <v>93899</v>
      </c>
      <c r="J2594" s="57" t="s">
        <v>6476</v>
      </c>
      <c r="K2594" s="58">
        <v>8.9700000000000006</v>
      </c>
      <c r="L2594" s="58">
        <v>0</v>
      </c>
      <c r="M2594" s="58">
        <v>0</v>
      </c>
      <c r="N2594" s="58">
        <v>1</v>
      </c>
      <c r="O2594" s="181">
        <f t="shared" si="20"/>
        <v>8.9700000000000006</v>
      </c>
      <c r="P2594" s="247">
        <f t="shared" si="21"/>
        <v>8.9700000000000006</v>
      </c>
    </row>
    <row r="2595" spans="1:16" ht="14.25">
      <c r="A2595" s="224">
        <v>2594</v>
      </c>
      <c r="B2595" s="58">
        <v>1560</v>
      </c>
      <c r="C2595" s="57" t="s">
        <v>2630</v>
      </c>
      <c r="D2595" s="57" t="s">
        <v>45</v>
      </c>
      <c r="E2595" s="57" t="s">
        <v>2860</v>
      </c>
      <c r="F2595" s="58" t="s">
        <v>6475</v>
      </c>
      <c r="G2595" s="234" t="s">
        <v>216</v>
      </c>
      <c r="H2595" s="57" t="s">
        <v>2557</v>
      </c>
      <c r="I2595" s="58">
        <v>93899</v>
      </c>
      <c r="J2595" s="57" t="s">
        <v>6476</v>
      </c>
      <c r="K2595" s="58">
        <v>8.9700000000000006</v>
      </c>
      <c r="L2595" s="58">
        <v>0</v>
      </c>
      <c r="M2595" s="58">
        <v>0</v>
      </c>
      <c r="N2595" s="58">
        <v>1</v>
      </c>
      <c r="O2595" s="181">
        <f t="shared" si="20"/>
        <v>8.9700000000000006</v>
      </c>
      <c r="P2595" s="247">
        <f t="shared" si="21"/>
        <v>8.9700000000000006</v>
      </c>
    </row>
    <row r="2596" spans="1:16" ht="14.25">
      <c r="A2596" s="224">
        <v>2595</v>
      </c>
      <c r="B2596" s="58">
        <v>36136</v>
      </c>
      <c r="C2596" s="57" t="s">
        <v>6460</v>
      </c>
      <c r="D2596" s="57" t="s">
        <v>45</v>
      </c>
      <c r="E2596" s="57" t="s">
        <v>4772</v>
      </c>
      <c r="F2596" s="58" t="s">
        <v>6477</v>
      </c>
      <c r="G2596" s="234" t="s">
        <v>216</v>
      </c>
      <c r="H2596" s="57" t="s">
        <v>2557</v>
      </c>
      <c r="I2596" s="58">
        <v>96468</v>
      </c>
      <c r="J2596" s="57" t="s">
        <v>2195</v>
      </c>
      <c r="K2596" s="58">
        <v>60</v>
      </c>
      <c r="L2596" s="58">
        <v>1.74</v>
      </c>
      <c r="M2596" s="58">
        <v>0</v>
      </c>
      <c r="N2596" s="58">
        <v>1</v>
      </c>
      <c r="O2596" s="181">
        <f t="shared" si="20"/>
        <v>58.26</v>
      </c>
      <c r="P2596" s="247">
        <f t="shared" si="21"/>
        <v>58.26</v>
      </c>
    </row>
    <row r="2597" spans="1:16" ht="14.25">
      <c r="A2597" s="224">
        <v>2596</v>
      </c>
      <c r="B2597" s="58">
        <v>27903</v>
      </c>
      <c r="C2597" s="57" t="s">
        <v>5168</v>
      </c>
      <c r="D2597" s="57" t="s">
        <v>45</v>
      </c>
      <c r="E2597" s="57" t="s">
        <v>2874</v>
      </c>
      <c r="F2597" s="58" t="s">
        <v>6478</v>
      </c>
      <c r="G2597" s="234" t="s">
        <v>216</v>
      </c>
      <c r="H2597" s="57" t="s">
        <v>2557</v>
      </c>
      <c r="I2597" s="58">
        <v>95424</v>
      </c>
      <c r="J2597" s="57"/>
      <c r="K2597" s="58">
        <v>27.86</v>
      </c>
      <c r="L2597" s="58">
        <v>0</v>
      </c>
      <c r="M2597" s="58">
        <v>0</v>
      </c>
      <c r="N2597" s="58">
        <v>1</v>
      </c>
      <c r="O2597" s="181">
        <f t="shared" si="20"/>
        <v>27.86</v>
      </c>
      <c r="P2597" s="247">
        <f t="shared" si="21"/>
        <v>27.86</v>
      </c>
    </row>
    <row r="2598" spans="1:16" ht="14.25">
      <c r="A2598" s="224">
        <v>2597</v>
      </c>
      <c r="B2598" s="58">
        <v>6794</v>
      </c>
      <c r="C2598" s="57" t="s">
        <v>2623</v>
      </c>
      <c r="D2598" s="57" t="s">
        <v>45</v>
      </c>
      <c r="E2598" s="57" t="s">
        <v>2874</v>
      </c>
      <c r="F2598" s="58" t="s">
        <v>6479</v>
      </c>
      <c r="G2598" s="234" t="s">
        <v>216</v>
      </c>
      <c r="H2598" s="57" t="s">
        <v>2557</v>
      </c>
      <c r="I2598" s="58">
        <v>96480</v>
      </c>
      <c r="J2598" s="57"/>
      <c r="K2598" s="58">
        <v>173</v>
      </c>
      <c r="L2598" s="58">
        <v>0</v>
      </c>
      <c r="M2598" s="58">
        <v>0</v>
      </c>
      <c r="N2598" s="58">
        <v>1</v>
      </c>
      <c r="O2598" s="181">
        <f t="shared" si="20"/>
        <v>173</v>
      </c>
      <c r="P2598" s="247">
        <f t="shared" si="21"/>
        <v>173</v>
      </c>
    </row>
    <row r="2599" spans="1:16" ht="14.25">
      <c r="A2599" s="224">
        <v>2598</v>
      </c>
      <c r="B2599" s="58">
        <v>34791</v>
      </c>
      <c r="C2599" s="57" t="s">
        <v>6158</v>
      </c>
      <c r="D2599" s="57" t="s">
        <v>45</v>
      </c>
      <c r="E2599" s="57" t="s">
        <v>9</v>
      </c>
      <c r="F2599" s="58" t="s">
        <v>6480</v>
      </c>
      <c r="G2599" s="234" t="s">
        <v>216</v>
      </c>
      <c r="H2599" s="57" t="s">
        <v>2557</v>
      </c>
      <c r="I2599" s="58">
        <v>94307</v>
      </c>
      <c r="J2599" s="57" t="s">
        <v>769</v>
      </c>
      <c r="K2599" s="58">
        <v>2.4900000000000002</v>
      </c>
      <c r="L2599" s="58">
        <v>0.61</v>
      </c>
      <c r="M2599" s="58">
        <v>0</v>
      </c>
      <c r="N2599" s="58">
        <v>1</v>
      </c>
      <c r="O2599" s="181">
        <f t="shared" si="20"/>
        <v>1.8800000000000003</v>
      </c>
      <c r="P2599" s="247">
        <f t="shared" si="21"/>
        <v>1.8800000000000003</v>
      </c>
    </row>
    <row r="2600" spans="1:16" ht="14.25">
      <c r="A2600" s="224">
        <v>2599</v>
      </c>
      <c r="B2600" s="58">
        <v>3513</v>
      </c>
      <c r="C2600" s="57" t="s">
        <v>6470</v>
      </c>
      <c r="D2600" s="57" t="s">
        <v>45</v>
      </c>
      <c r="E2600" s="57" t="s">
        <v>9</v>
      </c>
      <c r="F2600" s="58" t="s">
        <v>6481</v>
      </c>
      <c r="G2600" s="234" t="s">
        <v>216</v>
      </c>
      <c r="H2600" s="57" t="s">
        <v>6482</v>
      </c>
      <c r="I2600" s="58">
        <v>32923</v>
      </c>
      <c r="J2600" s="57"/>
      <c r="K2600" s="58">
        <v>0</v>
      </c>
      <c r="L2600" s="58">
        <v>-1.1200000000000001</v>
      </c>
      <c r="M2600" s="58">
        <v>12.59</v>
      </c>
      <c r="N2600" s="58">
        <v>1</v>
      </c>
      <c r="O2600" s="181">
        <f t="shared" si="20"/>
        <v>-11.469999999999999</v>
      </c>
      <c r="P2600" s="247">
        <f t="shared" si="21"/>
        <v>-11.469999999999999</v>
      </c>
    </row>
    <row r="2601" spans="1:16" ht="14.25">
      <c r="A2601" s="224">
        <v>2600</v>
      </c>
      <c r="B2601" s="58">
        <v>35973</v>
      </c>
      <c r="C2601" s="57" t="s">
        <v>6397</v>
      </c>
      <c r="D2601" s="57" t="s">
        <v>2582</v>
      </c>
      <c r="E2601" s="57" t="s">
        <v>4772</v>
      </c>
      <c r="F2601" s="58" t="s">
        <v>6483</v>
      </c>
      <c r="G2601" s="234" t="s">
        <v>216</v>
      </c>
      <c r="H2601" s="57" t="s">
        <v>2557</v>
      </c>
      <c r="I2601" s="58">
        <v>96576</v>
      </c>
      <c r="J2601" s="57" t="s">
        <v>2216</v>
      </c>
      <c r="K2601" s="58">
        <v>277.45</v>
      </c>
      <c r="L2601" s="58">
        <v>1.1399999999999999</v>
      </c>
      <c r="M2601" s="58">
        <v>0</v>
      </c>
      <c r="N2601" s="58">
        <v>7.0794699999999997</v>
      </c>
      <c r="O2601" s="181">
        <f t="shared" si="20"/>
        <v>276.31</v>
      </c>
      <c r="P2601" s="247">
        <f t="shared" si="21"/>
        <v>39.02975787735523</v>
      </c>
    </row>
    <row r="2602" spans="1:16" ht="14.25">
      <c r="A2602" s="224">
        <v>2601</v>
      </c>
      <c r="B2602" s="58">
        <v>36373</v>
      </c>
      <c r="C2602" s="57" t="s">
        <v>6484</v>
      </c>
      <c r="D2602" s="57" t="s">
        <v>2582</v>
      </c>
      <c r="E2602" s="57" t="s">
        <v>4772</v>
      </c>
      <c r="F2602" s="58" t="s">
        <v>6485</v>
      </c>
      <c r="G2602" s="234" t="s">
        <v>216</v>
      </c>
      <c r="H2602" s="57" t="s">
        <v>2557</v>
      </c>
      <c r="I2602" s="58">
        <v>96588</v>
      </c>
      <c r="J2602" s="57" t="s">
        <v>2213</v>
      </c>
      <c r="K2602" s="58">
        <v>346.82</v>
      </c>
      <c r="L2602" s="58">
        <v>1.42</v>
      </c>
      <c r="M2602" s="58">
        <v>0</v>
      </c>
      <c r="N2602" s="58">
        <v>7.0794699999999997</v>
      </c>
      <c r="O2602" s="181">
        <f t="shared" si="20"/>
        <v>345.4</v>
      </c>
      <c r="P2602" s="247">
        <f t="shared" si="21"/>
        <v>48.788963015592977</v>
      </c>
    </row>
    <row r="2603" spans="1:16" ht="14.25">
      <c r="A2603" s="224">
        <v>2602</v>
      </c>
      <c r="B2603" s="58">
        <v>36040</v>
      </c>
      <c r="C2603" s="57" t="s">
        <v>6486</v>
      </c>
      <c r="D2603" s="57" t="s">
        <v>2582</v>
      </c>
      <c r="E2603" s="57" t="s">
        <v>4772</v>
      </c>
      <c r="F2603" s="58" t="s">
        <v>6487</v>
      </c>
      <c r="G2603" s="234" t="s">
        <v>216</v>
      </c>
      <c r="H2603" s="57" t="s">
        <v>2557</v>
      </c>
      <c r="I2603" s="58">
        <v>96600</v>
      </c>
      <c r="J2603" s="57" t="s">
        <v>2210</v>
      </c>
      <c r="K2603" s="58">
        <v>96.22</v>
      </c>
      <c r="L2603" s="58">
        <v>0.4</v>
      </c>
      <c r="M2603" s="58">
        <v>0</v>
      </c>
      <c r="N2603" s="58">
        <v>7.0794699999999997</v>
      </c>
      <c r="O2603" s="181">
        <f t="shared" si="20"/>
        <v>95.82</v>
      </c>
      <c r="P2603" s="247">
        <f t="shared" si="21"/>
        <v>13.534911511737461</v>
      </c>
    </row>
    <row r="2604" spans="1:16" ht="14.25">
      <c r="A2604" s="224">
        <v>2603</v>
      </c>
      <c r="B2604" s="58">
        <v>36449</v>
      </c>
      <c r="C2604" s="57" t="s">
        <v>6488</v>
      </c>
      <c r="D2604" s="57" t="s">
        <v>2582</v>
      </c>
      <c r="E2604" s="57" t="s">
        <v>4772</v>
      </c>
      <c r="F2604" s="58" t="s">
        <v>6489</v>
      </c>
      <c r="G2604" s="234" t="s">
        <v>216</v>
      </c>
      <c r="H2604" s="57" t="s">
        <v>2557</v>
      </c>
      <c r="I2604" s="58">
        <v>96696</v>
      </c>
      <c r="J2604" s="57" t="s">
        <v>2231</v>
      </c>
      <c r="K2604" s="58">
        <v>28.26</v>
      </c>
      <c r="L2604" s="58">
        <v>0.12</v>
      </c>
      <c r="M2604" s="58">
        <v>0</v>
      </c>
      <c r="N2604" s="58">
        <v>7.08338</v>
      </c>
      <c r="O2604" s="181">
        <f t="shared" si="20"/>
        <v>28.14</v>
      </c>
      <c r="P2604" s="247">
        <f t="shared" si="21"/>
        <v>3.9726797094042676</v>
      </c>
    </row>
    <row r="2605" spans="1:16" ht="14.25">
      <c r="A2605" s="224">
        <v>2604</v>
      </c>
      <c r="B2605" s="58">
        <v>35973</v>
      </c>
      <c r="C2605" s="57" t="s">
        <v>6397</v>
      </c>
      <c r="D2605" s="57" t="s">
        <v>2582</v>
      </c>
      <c r="E2605" s="57" t="s">
        <v>4772</v>
      </c>
      <c r="F2605" s="58" t="s">
        <v>6490</v>
      </c>
      <c r="G2605" s="234" t="s">
        <v>216</v>
      </c>
      <c r="H2605" s="57" t="s">
        <v>2557</v>
      </c>
      <c r="I2605" s="58">
        <v>96708</v>
      </c>
      <c r="J2605" s="57" t="s">
        <v>2228</v>
      </c>
      <c r="K2605" s="58">
        <v>53.77</v>
      </c>
      <c r="L2605" s="58">
        <v>0.22</v>
      </c>
      <c r="M2605" s="58">
        <v>0</v>
      </c>
      <c r="N2605" s="58">
        <v>7.08338</v>
      </c>
      <c r="O2605" s="181">
        <f t="shared" si="20"/>
        <v>53.550000000000004</v>
      </c>
      <c r="P2605" s="247">
        <f t="shared" si="21"/>
        <v>7.5599501932693158</v>
      </c>
    </row>
    <row r="2606" spans="1:16" ht="14.25">
      <c r="A2606" s="224">
        <v>2605</v>
      </c>
      <c r="B2606" s="58">
        <v>3747</v>
      </c>
      <c r="C2606" s="57" t="s">
        <v>4039</v>
      </c>
      <c r="D2606" s="57" t="s">
        <v>2582</v>
      </c>
      <c r="E2606" s="57" t="s">
        <v>9</v>
      </c>
      <c r="F2606" s="58" t="s">
        <v>6491</v>
      </c>
      <c r="G2606" s="234" t="s">
        <v>216</v>
      </c>
      <c r="H2606" s="57" t="s">
        <v>2557</v>
      </c>
      <c r="I2606" s="58">
        <v>94919</v>
      </c>
      <c r="J2606" s="57" t="s">
        <v>772</v>
      </c>
      <c r="K2606" s="58">
        <v>51.5</v>
      </c>
      <c r="L2606" s="58">
        <v>5.24</v>
      </c>
      <c r="M2606" s="58">
        <v>0</v>
      </c>
      <c r="N2606" s="58">
        <v>7.08338</v>
      </c>
      <c r="O2606" s="181">
        <f t="shared" si="20"/>
        <v>46.26</v>
      </c>
      <c r="P2606" s="247">
        <f t="shared" si="21"/>
        <v>6.5307805030931556</v>
      </c>
    </row>
    <row r="2607" spans="1:16" ht="14.25">
      <c r="A2607" s="224">
        <v>2606</v>
      </c>
      <c r="B2607" s="58">
        <v>28504</v>
      </c>
      <c r="C2607" s="57" t="s">
        <v>6492</v>
      </c>
      <c r="D2607" s="57" t="s">
        <v>2582</v>
      </c>
      <c r="E2607" s="57" t="s">
        <v>4772</v>
      </c>
      <c r="F2607" s="58" t="s">
        <v>6493</v>
      </c>
      <c r="G2607" s="234" t="s">
        <v>216</v>
      </c>
      <c r="H2607" s="57" t="s">
        <v>2557</v>
      </c>
      <c r="I2607" s="58">
        <v>96720</v>
      </c>
      <c r="J2607" s="57" t="s">
        <v>2225</v>
      </c>
      <c r="K2607" s="58">
        <v>120.35</v>
      </c>
      <c r="L2607" s="58">
        <v>0.5</v>
      </c>
      <c r="M2607" s="58">
        <v>0</v>
      </c>
      <c r="N2607" s="58">
        <v>7.08338</v>
      </c>
      <c r="O2607" s="181">
        <f t="shared" si="20"/>
        <v>119.85</v>
      </c>
      <c r="P2607" s="247">
        <f t="shared" si="21"/>
        <v>16.919888527793226</v>
      </c>
    </row>
    <row r="2608" spans="1:16" ht="14.25">
      <c r="A2608" s="224">
        <v>2607</v>
      </c>
      <c r="B2608" s="58">
        <v>29746</v>
      </c>
      <c r="C2608" s="57" t="s">
        <v>5766</v>
      </c>
      <c r="D2608" s="57" t="s">
        <v>2582</v>
      </c>
      <c r="E2608" s="57" t="s">
        <v>4772</v>
      </c>
      <c r="F2608" s="58" t="s">
        <v>6494</v>
      </c>
      <c r="G2608" s="234" t="s">
        <v>216</v>
      </c>
      <c r="H2608" s="57" t="s">
        <v>2557</v>
      </c>
      <c r="I2608" s="58">
        <v>94895</v>
      </c>
      <c r="J2608" s="57" t="s">
        <v>2222</v>
      </c>
      <c r="K2608" s="58">
        <v>135.44999999999999</v>
      </c>
      <c r="L2608" s="58">
        <v>0.56000000000000005</v>
      </c>
      <c r="M2608" s="58">
        <v>0</v>
      </c>
      <c r="N2608" s="58">
        <v>7.08338</v>
      </c>
      <c r="O2608" s="181">
        <f t="shared" si="20"/>
        <v>134.88999999999999</v>
      </c>
      <c r="P2608" s="247">
        <f t="shared" si="21"/>
        <v>19.043168656771201</v>
      </c>
    </row>
    <row r="2609" spans="1:16" ht="14.25">
      <c r="A2609" s="224">
        <v>2608</v>
      </c>
      <c r="B2609" s="58">
        <v>36560</v>
      </c>
      <c r="C2609" s="57" t="s">
        <v>6495</v>
      </c>
      <c r="D2609" s="57" t="s">
        <v>45</v>
      </c>
      <c r="E2609" s="57" t="s">
        <v>4772</v>
      </c>
      <c r="F2609" s="58" t="s">
        <v>6496</v>
      </c>
      <c r="G2609" s="234" t="s">
        <v>216</v>
      </c>
      <c r="H2609" s="57" t="s">
        <v>2557</v>
      </c>
      <c r="I2609" s="58">
        <v>96732</v>
      </c>
      <c r="J2609" s="57" t="s">
        <v>2219</v>
      </c>
      <c r="K2609" s="58">
        <v>12.99</v>
      </c>
      <c r="L2609" s="58">
        <v>0.38</v>
      </c>
      <c r="M2609" s="58">
        <v>0</v>
      </c>
      <c r="N2609" s="58">
        <v>1</v>
      </c>
      <c r="O2609" s="181">
        <f t="shared" si="20"/>
        <v>12.61</v>
      </c>
      <c r="P2609" s="247">
        <f t="shared" si="21"/>
        <v>12.61</v>
      </c>
    </row>
    <row r="2610" spans="1:16" ht="14.25">
      <c r="A2610" s="224">
        <v>2609</v>
      </c>
      <c r="B2610" s="58">
        <v>36701</v>
      </c>
      <c r="C2610" s="57" t="s">
        <v>6497</v>
      </c>
      <c r="D2610" s="57" t="s">
        <v>2582</v>
      </c>
      <c r="E2610" s="57" t="s">
        <v>4772</v>
      </c>
      <c r="F2610" s="58" t="s">
        <v>6498</v>
      </c>
      <c r="G2610" s="234" t="s">
        <v>216</v>
      </c>
      <c r="H2610" s="57" t="s">
        <v>2557</v>
      </c>
      <c r="I2610" s="58">
        <v>96756</v>
      </c>
      <c r="J2610" s="57" t="s">
        <v>2240</v>
      </c>
      <c r="K2610" s="58">
        <v>53.72</v>
      </c>
      <c r="L2610" s="58">
        <v>0.22</v>
      </c>
      <c r="M2610" s="58">
        <v>0</v>
      </c>
      <c r="N2610" s="58">
        <v>7.0755699999999999</v>
      </c>
      <c r="O2610" s="181">
        <f t="shared" si="20"/>
        <v>53.5</v>
      </c>
      <c r="P2610" s="247">
        <f t="shared" si="21"/>
        <v>7.5612282826683925</v>
      </c>
    </row>
    <row r="2611" spans="1:16" ht="14.25">
      <c r="A2611" s="224">
        <v>2610</v>
      </c>
      <c r="B2611" s="58">
        <v>3747</v>
      </c>
      <c r="C2611" s="57" t="s">
        <v>4039</v>
      </c>
      <c r="D2611" s="57" t="s">
        <v>2582</v>
      </c>
      <c r="E2611" s="57" t="s">
        <v>9</v>
      </c>
      <c r="F2611" s="58" t="s">
        <v>6499</v>
      </c>
      <c r="G2611" s="234" t="s">
        <v>216</v>
      </c>
      <c r="H2611" s="57" t="s">
        <v>2557</v>
      </c>
      <c r="I2611" s="58">
        <v>94919</v>
      </c>
      <c r="J2611" s="57" t="s">
        <v>774</v>
      </c>
      <c r="K2611" s="58">
        <v>51.44</v>
      </c>
      <c r="L2611" s="58">
        <v>5.24</v>
      </c>
      <c r="M2611" s="58">
        <v>0</v>
      </c>
      <c r="N2611" s="58">
        <v>7.0755699999999999</v>
      </c>
      <c r="O2611" s="181">
        <f t="shared" si="20"/>
        <v>46.199999999999996</v>
      </c>
      <c r="P2611" s="247">
        <f t="shared" si="21"/>
        <v>6.5295092833510227</v>
      </c>
    </row>
    <row r="2612" spans="1:16" ht="14.25">
      <c r="A2612" s="224">
        <v>2611</v>
      </c>
      <c r="B2612" s="58">
        <v>3812</v>
      </c>
      <c r="C2612" s="57" t="s">
        <v>6500</v>
      </c>
      <c r="D2612" s="57" t="s">
        <v>45</v>
      </c>
      <c r="E2612" s="57" t="s">
        <v>9</v>
      </c>
      <c r="F2612" s="58" t="s">
        <v>6501</v>
      </c>
      <c r="G2612" s="234" t="s">
        <v>216</v>
      </c>
      <c r="H2612" s="57" t="s">
        <v>2557</v>
      </c>
      <c r="I2612" s="58">
        <v>94727</v>
      </c>
      <c r="J2612" s="57" t="s">
        <v>776</v>
      </c>
      <c r="K2612" s="58">
        <v>12.6</v>
      </c>
      <c r="L2612" s="58">
        <v>0.93</v>
      </c>
      <c r="M2612" s="58">
        <v>0</v>
      </c>
      <c r="N2612" s="58">
        <v>1</v>
      </c>
      <c r="O2612" s="181">
        <f t="shared" si="20"/>
        <v>11.67</v>
      </c>
      <c r="P2612" s="247">
        <f t="shared" si="21"/>
        <v>11.67</v>
      </c>
    </row>
    <row r="2613" spans="1:16" ht="14.25">
      <c r="A2613" s="224">
        <v>2612</v>
      </c>
      <c r="B2613" s="58">
        <v>3751</v>
      </c>
      <c r="C2613" s="57" t="s">
        <v>6502</v>
      </c>
      <c r="D2613" s="57" t="s">
        <v>45</v>
      </c>
      <c r="E2613" s="57" t="s">
        <v>4772</v>
      </c>
      <c r="F2613" s="58" t="s">
        <v>6503</v>
      </c>
      <c r="G2613" s="234" t="s">
        <v>216</v>
      </c>
      <c r="H2613" s="57" t="s">
        <v>2557</v>
      </c>
      <c r="I2613" s="58">
        <v>94547</v>
      </c>
      <c r="J2613" s="57" t="s">
        <v>2237</v>
      </c>
      <c r="K2613" s="58">
        <v>12.6</v>
      </c>
      <c r="L2613" s="58">
        <v>0.37</v>
      </c>
      <c r="M2613" s="58">
        <v>0</v>
      </c>
      <c r="N2613" s="58">
        <v>1</v>
      </c>
      <c r="O2613" s="181">
        <f t="shared" si="20"/>
        <v>12.23</v>
      </c>
      <c r="P2613" s="247">
        <f t="shared" si="21"/>
        <v>12.23</v>
      </c>
    </row>
    <row r="2614" spans="1:16" ht="14.25">
      <c r="A2614" s="224">
        <v>2613</v>
      </c>
      <c r="B2614" s="58">
        <v>6132</v>
      </c>
      <c r="C2614" s="57" t="s">
        <v>6504</v>
      </c>
      <c r="D2614" s="57" t="s">
        <v>45</v>
      </c>
      <c r="E2614" s="57" t="s">
        <v>4772</v>
      </c>
      <c r="F2614" s="58" t="s">
        <v>6505</v>
      </c>
      <c r="G2614" s="234" t="s">
        <v>216</v>
      </c>
      <c r="H2614" s="57" t="s">
        <v>2557</v>
      </c>
      <c r="I2614" s="58">
        <v>96780</v>
      </c>
      <c r="J2614" s="57" t="s">
        <v>2234</v>
      </c>
      <c r="K2614" s="58">
        <v>8.4</v>
      </c>
      <c r="L2614" s="58">
        <v>0.25</v>
      </c>
      <c r="M2614" s="58">
        <v>0</v>
      </c>
      <c r="N2614" s="58">
        <v>1</v>
      </c>
      <c r="O2614" s="181">
        <f t="shared" si="20"/>
        <v>8.15</v>
      </c>
      <c r="P2614" s="247">
        <f t="shared" si="21"/>
        <v>8.15</v>
      </c>
    </row>
    <row r="2615" spans="1:16" ht="14.25">
      <c r="A2615" s="224">
        <v>2614</v>
      </c>
      <c r="B2615" s="58">
        <v>36768</v>
      </c>
      <c r="C2615" s="57" t="s">
        <v>6506</v>
      </c>
      <c r="D2615" s="57" t="s">
        <v>45</v>
      </c>
      <c r="E2615" s="57" t="s">
        <v>2874</v>
      </c>
      <c r="F2615" s="58" t="s">
        <v>6507</v>
      </c>
      <c r="G2615" s="234" t="s">
        <v>216</v>
      </c>
      <c r="H2615" s="57" t="s">
        <v>2557</v>
      </c>
      <c r="I2615" s="58">
        <v>96768</v>
      </c>
      <c r="J2615" s="57"/>
      <c r="K2615" s="58">
        <v>12.49</v>
      </c>
      <c r="L2615" s="58">
        <v>0</v>
      </c>
      <c r="M2615" s="58">
        <v>0</v>
      </c>
      <c r="N2615" s="58">
        <v>1</v>
      </c>
      <c r="O2615" s="181">
        <f t="shared" si="20"/>
        <v>12.49</v>
      </c>
      <c r="P2615" s="247">
        <f t="shared" si="21"/>
        <v>12.49</v>
      </c>
    </row>
    <row r="2616" spans="1:16" ht="14.25">
      <c r="A2616" s="224">
        <v>2615</v>
      </c>
      <c r="B2616" s="58">
        <v>19275</v>
      </c>
      <c r="C2616" s="57" t="s">
        <v>3112</v>
      </c>
      <c r="D2616" s="57" t="s">
        <v>45</v>
      </c>
      <c r="E2616" s="57" t="s">
        <v>4772</v>
      </c>
      <c r="F2616" s="58" t="s">
        <v>6508</v>
      </c>
      <c r="G2616" s="234" t="s">
        <v>216</v>
      </c>
      <c r="H2616" s="57" t="s">
        <v>2557</v>
      </c>
      <c r="I2616" s="58">
        <v>96888</v>
      </c>
      <c r="J2616" s="57" t="s">
        <v>2243</v>
      </c>
      <c r="K2616" s="58">
        <v>119.98</v>
      </c>
      <c r="L2616" s="58">
        <v>3.48</v>
      </c>
      <c r="M2616" s="58">
        <v>0</v>
      </c>
      <c r="N2616" s="58">
        <v>1</v>
      </c>
      <c r="O2616" s="181">
        <f t="shared" si="20"/>
        <v>116.5</v>
      </c>
      <c r="P2616" s="247">
        <f t="shared" si="21"/>
        <v>116.5</v>
      </c>
    </row>
    <row r="2617" spans="1:16" ht="14.25">
      <c r="A2617" s="224">
        <v>2616</v>
      </c>
      <c r="B2617" s="58">
        <v>25464</v>
      </c>
      <c r="C2617" s="57" t="s">
        <v>4628</v>
      </c>
      <c r="D2617" s="57" t="s">
        <v>2582</v>
      </c>
      <c r="E2617" s="57" t="s">
        <v>2860</v>
      </c>
      <c r="F2617" s="58" t="s">
        <v>6509</v>
      </c>
      <c r="G2617" s="234" t="s">
        <v>216</v>
      </c>
      <c r="H2617" s="57" t="s">
        <v>2557</v>
      </c>
      <c r="I2617" s="58">
        <v>94775</v>
      </c>
      <c r="J2617" s="57" t="s">
        <v>6510</v>
      </c>
      <c r="K2617" s="58">
        <v>264.06</v>
      </c>
      <c r="L2617" s="58">
        <v>0</v>
      </c>
      <c r="M2617" s="58">
        <v>0</v>
      </c>
      <c r="N2617" s="58">
        <v>7.0755699999999999</v>
      </c>
      <c r="O2617" s="181">
        <f t="shared" si="20"/>
        <v>264.06</v>
      </c>
      <c r="P2617" s="247">
        <f t="shared" si="21"/>
        <v>37.319961501334873</v>
      </c>
    </row>
    <row r="2618" spans="1:16" ht="14.25">
      <c r="A2618" s="224">
        <v>2617</v>
      </c>
      <c r="B2618" s="58">
        <v>3989</v>
      </c>
      <c r="C2618" s="57" t="s">
        <v>6511</v>
      </c>
      <c r="D2618" s="57" t="s">
        <v>45</v>
      </c>
      <c r="E2618" s="57" t="s">
        <v>2860</v>
      </c>
      <c r="F2618" s="58" t="s">
        <v>6512</v>
      </c>
      <c r="G2618" s="234" t="s">
        <v>216</v>
      </c>
      <c r="H2618" s="57" t="s">
        <v>2557</v>
      </c>
      <c r="I2618" s="58">
        <v>95064</v>
      </c>
      <c r="J2618" s="57" t="s">
        <v>6513</v>
      </c>
      <c r="K2618" s="58">
        <v>17.989999999999998</v>
      </c>
      <c r="L2618" s="58">
        <v>0</v>
      </c>
      <c r="M2618" s="58">
        <v>0</v>
      </c>
      <c r="N2618" s="58">
        <v>1</v>
      </c>
      <c r="O2618" s="181">
        <f t="shared" si="20"/>
        <v>17.989999999999998</v>
      </c>
      <c r="P2618" s="247">
        <f t="shared" si="21"/>
        <v>17.989999999999998</v>
      </c>
    </row>
    <row r="2619" spans="1:16" ht="14.25">
      <c r="A2619" s="224">
        <v>2618</v>
      </c>
      <c r="B2619" s="58">
        <v>25464</v>
      </c>
      <c r="C2619" s="57" t="s">
        <v>4628</v>
      </c>
      <c r="D2619" s="57" t="s">
        <v>2582</v>
      </c>
      <c r="E2619" s="57" t="s">
        <v>2860</v>
      </c>
      <c r="F2619" s="252">
        <v>45669.183333333334</v>
      </c>
      <c r="G2619" s="234" t="s">
        <v>233</v>
      </c>
      <c r="H2619" s="57" t="s">
        <v>2557</v>
      </c>
      <c r="I2619" s="58">
        <v>94775</v>
      </c>
      <c r="J2619" s="57"/>
      <c r="K2619" s="58">
        <v>0.03</v>
      </c>
      <c r="L2619" s="58">
        <v>0</v>
      </c>
      <c r="M2619" s="58">
        <v>0</v>
      </c>
      <c r="N2619" s="58">
        <v>7.0755699999999999</v>
      </c>
      <c r="O2619" s="181">
        <f t="shared" si="20"/>
        <v>0.03</v>
      </c>
      <c r="P2619" s="247">
        <f t="shared" si="21"/>
        <v>4.2399410930850801E-3</v>
      </c>
    </row>
    <row r="2620" spans="1:16" ht="14.25">
      <c r="A2620" s="224">
        <v>2619</v>
      </c>
      <c r="B2620" s="58">
        <v>6141</v>
      </c>
      <c r="C2620" s="57" t="s">
        <v>6514</v>
      </c>
      <c r="D2620" s="57" t="s">
        <v>45</v>
      </c>
      <c r="E2620" s="57" t="s">
        <v>9</v>
      </c>
      <c r="F2620" s="252">
        <v>45669.377083333333</v>
      </c>
      <c r="G2620" s="234" t="s">
        <v>233</v>
      </c>
      <c r="H2620" s="57" t="s">
        <v>2557</v>
      </c>
      <c r="I2620" s="58">
        <v>96948</v>
      </c>
      <c r="J2620" s="57" t="s">
        <v>779</v>
      </c>
      <c r="K2620" s="58">
        <v>14.7</v>
      </c>
      <c r="L2620" s="58">
        <v>1.22</v>
      </c>
      <c r="M2620" s="58">
        <v>0</v>
      </c>
      <c r="N2620" s="58">
        <v>1</v>
      </c>
      <c r="O2620" s="181">
        <f t="shared" si="20"/>
        <v>13.479999999999999</v>
      </c>
      <c r="P2620" s="247">
        <f t="shared" si="21"/>
        <v>13.479999999999999</v>
      </c>
    </row>
    <row r="2621" spans="1:16" ht="14.25">
      <c r="A2621" s="224">
        <v>2620</v>
      </c>
      <c r="B2621" s="58">
        <v>21339</v>
      </c>
      <c r="C2621" s="57" t="s">
        <v>3675</v>
      </c>
      <c r="D2621" s="57" t="s">
        <v>45</v>
      </c>
      <c r="E2621" s="57" t="s">
        <v>4772</v>
      </c>
      <c r="F2621" s="252">
        <v>45669.461805555555</v>
      </c>
      <c r="G2621" s="234" t="s">
        <v>233</v>
      </c>
      <c r="H2621" s="57" t="s">
        <v>2557</v>
      </c>
      <c r="I2621" s="58">
        <v>96564</v>
      </c>
      <c r="J2621" s="57" t="s">
        <v>2256</v>
      </c>
      <c r="K2621" s="58">
        <v>11.69</v>
      </c>
      <c r="L2621" s="58">
        <v>0.34</v>
      </c>
      <c r="M2621" s="58">
        <v>0</v>
      </c>
      <c r="N2621" s="58">
        <v>1</v>
      </c>
      <c r="O2621" s="181">
        <f t="shared" si="20"/>
        <v>11.35</v>
      </c>
      <c r="P2621" s="247">
        <f t="shared" si="21"/>
        <v>11.35</v>
      </c>
    </row>
    <row r="2622" spans="1:16" ht="14.25">
      <c r="A2622" s="224">
        <v>2621</v>
      </c>
      <c r="B2622" s="58">
        <v>33769</v>
      </c>
      <c r="C2622" s="57" t="s">
        <v>5800</v>
      </c>
      <c r="D2622" s="57" t="s">
        <v>45</v>
      </c>
      <c r="E2622" s="57" t="s">
        <v>9</v>
      </c>
      <c r="F2622" s="252">
        <v>45669.492361111108</v>
      </c>
      <c r="G2622" s="234" t="s">
        <v>233</v>
      </c>
      <c r="H2622" s="57" t="s">
        <v>2557</v>
      </c>
      <c r="I2622" s="58">
        <v>96132</v>
      </c>
      <c r="J2622" s="57" t="s">
        <v>780</v>
      </c>
      <c r="K2622" s="58">
        <v>12.78</v>
      </c>
      <c r="L2622" s="58">
        <v>1.1299999999999999</v>
      </c>
      <c r="M2622" s="58">
        <v>0</v>
      </c>
      <c r="N2622" s="58">
        <v>1</v>
      </c>
      <c r="O2622" s="181">
        <f t="shared" si="20"/>
        <v>11.649999999999999</v>
      </c>
      <c r="P2622" s="247">
        <f t="shared" si="21"/>
        <v>11.649999999999999</v>
      </c>
    </row>
    <row r="2623" spans="1:16" ht="14.25">
      <c r="A2623" s="224">
        <v>2622</v>
      </c>
      <c r="B2623" s="58">
        <v>29102</v>
      </c>
      <c r="C2623" s="57" t="s">
        <v>5498</v>
      </c>
      <c r="D2623" s="57" t="s">
        <v>45</v>
      </c>
      <c r="E2623" s="57" t="s">
        <v>4772</v>
      </c>
      <c r="F2623" s="252">
        <v>45669.597222222219</v>
      </c>
      <c r="G2623" s="234" t="s">
        <v>233</v>
      </c>
      <c r="H2623" s="57" t="s">
        <v>2557</v>
      </c>
      <c r="I2623" s="58">
        <v>96120</v>
      </c>
      <c r="J2623" s="57" t="s">
        <v>2254</v>
      </c>
      <c r="K2623" s="58">
        <v>2.4900000000000002</v>
      </c>
      <c r="L2623" s="58">
        <v>0.08</v>
      </c>
      <c r="M2623" s="58">
        <v>0</v>
      </c>
      <c r="N2623" s="58">
        <v>1</v>
      </c>
      <c r="O2623" s="181">
        <f t="shared" si="20"/>
        <v>2.41</v>
      </c>
      <c r="P2623" s="247">
        <f t="shared" si="21"/>
        <v>2.41</v>
      </c>
    </row>
    <row r="2624" spans="1:16" ht="14.25">
      <c r="A2624" s="224">
        <v>2623</v>
      </c>
      <c r="B2624" s="58">
        <v>4491</v>
      </c>
      <c r="C2624" s="57" t="s">
        <v>4282</v>
      </c>
      <c r="D2624" s="57" t="s">
        <v>2582</v>
      </c>
      <c r="E2624" s="57" t="s">
        <v>2860</v>
      </c>
      <c r="F2624" s="252">
        <v>45669.762499999997</v>
      </c>
      <c r="G2624" s="234" t="s">
        <v>233</v>
      </c>
      <c r="H2624" s="57" t="s">
        <v>2557</v>
      </c>
      <c r="I2624" s="58">
        <v>68432</v>
      </c>
      <c r="J2624" s="57" t="s">
        <v>6515</v>
      </c>
      <c r="K2624" s="58">
        <v>129.97999999999999</v>
      </c>
      <c r="L2624" s="58">
        <v>0</v>
      </c>
      <c r="M2624" s="58">
        <v>0</v>
      </c>
      <c r="N2624" s="58">
        <v>7.0755699999999999</v>
      </c>
      <c r="O2624" s="181">
        <f t="shared" si="20"/>
        <v>129.97999999999999</v>
      </c>
      <c r="P2624" s="247">
        <f t="shared" si="21"/>
        <v>18.370251442639955</v>
      </c>
    </row>
    <row r="2625" spans="1:16" ht="14.25">
      <c r="A2625" s="224">
        <v>2624</v>
      </c>
      <c r="B2625" s="58">
        <v>34641</v>
      </c>
      <c r="C2625" s="57" t="s">
        <v>6160</v>
      </c>
      <c r="D2625" s="57" t="s">
        <v>2582</v>
      </c>
      <c r="E2625" s="57" t="s">
        <v>4772</v>
      </c>
      <c r="F2625" s="252">
        <v>45669.803472222222</v>
      </c>
      <c r="G2625" s="234" t="s">
        <v>233</v>
      </c>
      <c r="H2625" s="57" t="s">
        <v>2557</v>
      </c>
      <c r="I2625" s="58">
        <v>96984</v>
      </c>
      <c r="J2625" s="57" t="s">
        <v>2252</v>
      </c>
      <c r="K2625" s="58">
        <v>487.06</v>
      </c>
      <c r="L2625" s="58">
        <v>2</v>
      </c>
      <c r="M2625" s="58">
        <v>0</v>
      </c>
      <c r="N2625" s="58">
        <v>7.0755699999999999</v>
      </c>
      <c r="O2625" s="181">
        <f t="shared" si="20"/>
        <v>485.06</v>
      </c>
      <c r="P2625" s="247">
        <f t="shared" si="21"/>
        <v>68.554194220394962</v>
      </c>
    </row>
    <row r="2626" spans="1:16" ht="14.25">
      <c r="A2626" s="224">
        <v>2625</v>
      </c>
      <c r="B2626" s="58">
        <v>27950</v>
      </c>
      <c r="C2626" s="57" t="s">
        <v>6516</v>
      </c>
      <c r="D2626" s="57" t="s">
        <v>45</v>
      </c>
      <c r="E2626" s="57" t="s">
        <v>4772</v>
      </c>
      <c r="F2626" s="252">
        <v>45669.805555555555</v>
      </c>
      <c r="G2626" s="234" t="s">
        <v>233</v>
      </c>
      <c r="H2626" s="57" t="s">
        <v>2557</v>
      </c>
      <c r="I2626" s="58">
        <v>96996</v>
      </c>
      <c r="J2626" s="57" t="s">
        <v>2250</v>
      </c>
      <c r="K2626" s="58">
        <v>22.99</v>
      </c>
      <c r="L2626" s="58">
        <v>0.67</v>
      </c>
      <c r="M2626" s="58">
        <v>0</v>
      </c>
      <c r="N2626" s="58">
        <v>1</v>
      </c>
      <c r="O2626" s="181">
        <f t="shared" si="20"/>
        <v>22.319999999999997</v>
      </c>
      <c r="P2626" s="247">
        <f t="shared" si="21"/>
        <v>22.319999999999997</v>
      </c>
    </row>
    <row r="2627" spans="1:16" ht="14.25">
      <c r="A2627" s="224">
        <v>2626</v>
      </c>
      <c r="B2627" s="58">
        <v>36851</v>
      </c>
      <c r="C2627" s="57" t="s">
        <v>6517</v>
      </c>
      <c r="D2627" s="57" t="s">
        <v>45</v>
      </c>
      <c r="E2627" s="57" t="s">
        <v>4772</v>
      </c>
      <c r="F2627" s="252">
        <v>45669.942361111112</v>
      </c>
      <c r="G2627" s="234" t="s">
        <v>233</v>
      </c>
      <c r="H2627" s="57" t="s">
        <v>2557</v>
      </c>
      <c r="I2627" s="58">
        <v>97020</v>
      </c>
      <c r="J2627" s="57" t="s">
        <v>2248</v>
      </c>
      <c r="K2627" s="58">
        <v>6.39</v>
      </c>
      <c r="L2627" s="58">
        <v>0.19</v>
      </c>
      <c r="M2627" s="58">
        <v>0</v>
      </c>
      <c r="N2627" s="58">
        <v>1</v>
      </c>
      <c r="O2627" s="181">
        <f t="shared" si="20"/>
        <v>6.1999999999999993</v>
      </c>
      <c r="P2627" s="247">
        <f t="shared" si="21"/>
        <v>6.1999999999999993</v>
      </c>
    </row>
    <row r="2628" spans="1:16" ht="14.25">
      <c r="A2628" s="224">
        <v>2627</v>
      </c>
      <c r="B2628" s="58">
        <v>36852</v>
      </c>
      <c r="C2628" s="57" t="s">
        <v>6518</v>
      </c>
      <c r="D2628" s="57" t="s">
        <v>45</v>
      </c>
      <c r="E2628" s="57" t="s">
        <v>4772</v>
      </c>
      <c r="F2628" s="252">
        <v>45669.98333333333</v>
      </c>
      <c r="G2628" s="234" t="s">
        <v>233</v>
      </c>
      <c r="H2628" s="57" t="s">
        <v>2557</v>
      </c>
      <c r="I2628" s="58">
        <v>97032</v>
      </c>
      <c r="J2628" s="57" t="s">
        <v>2246</v>
      </c>
      <c r="K2628" s="58">
        <v>8.7899999999999991</v>
      </c>
      <c r="L2628" s="58">
        <v>0.26</v>
      </c>
      <c r="M2628" s="58">
        <v>0</v>
      </c>
      <c r="N2628" s="58">
        <v>1</v>
      </c>
      <c r="O2628" s="181">
        <f t="shared" si="20"/>
        <v>8.5299999999999994</v>
      </c>
      <c r="P2628" s="247">
        <f t="shared" si="21"/>
        <v>8.5299999999999994</v>
      </c>
    </row>
    <row r="2629" spans="1:16" ht="14.25">
      <c r="A2629" s="224">
        <v>2628</v>
      </c>
      <c r="B2629" s="58">
        <v>36768</v>
      </c>
      <c r="C2629" s="57" t="s">
        <v>6506</v>
      </c>
      <c r="D2629" s="57" t="s">
        <v>45</v>
      </c>
      <c r="E2629" s="57" t="s">
        <v>2874</v>
      </c>
      <c r="F2629" s="252">
        <v>45700.459722222222</v>
      </c>
      <c r="G2629" s="234" t="s">
        <v>233</v>
      </c>
      <c r="H2629" s="57" t="s">
        <v>4508</v>
      </c>
      <c r="I2629" s="58">
        <v>96768</v>
      </c>
      <c r="J2629" s="57"/>
      <c r="K2629" s="58">
        <v>0</v>
      </c>
      <c r="L2629" s="58">
        <v>0</v>
      </c>
      <c r="M2629" s="58">
        <v>12.49</v>
      </c>
      <c r="N2629" s="58">
        <v>1</v>
      </c>
      <c r="O2629" s="181">
        <f t="shared" si="20"/>
        <v>-12.49</v>
      </c>
      <c r="P2629" s="247">
        <f t="shared" si="21"/>
        <v>-12.49</v>
      </c>
    </row>
    <row r="2630" spans="1:16" ht="14.25">
      <c r="A2630" s="224">
        <v>2629</v>
      </c>
      <c r="B2630" s="58">
        <v>26237</v>
      </c>
      <c r="C2630" s="57" t="s">
        <v>4786</v>
      </c>
      <c r="D2630" s="57" t="s">
        <v>45</v>
      </c>
      <c r="E2630" s="57" t="s">
        <v>4772</v>
      </c>
      <c r="F2630" s="252">
        <v>45700.722916666666</v>
      </c>
      <c r="G2630" s="234" t="s">
        <v>233</v>
      </c>
      <c r="H2630" s="57" t="s">
        <v>2557</v>
      </c>
      <c r="I2630" s="58">
        <v>97164</v>
      </c>
      <c r="J2630" s="57" t="s">
        <v>2262</v>
      </c>
      <c r="K2630" s="58">
        <v>56.79</v>
      </c>
      <c r="L2630" s="58">
        <v>1.65</v>
      </c>
      <c r="M2630" s="58">
        <v>0</v>
      </c>
      <c r="N2630" s="58">
        <v>1</v>
      </c>
      <c r="O2630" s="181">
        <f t="shared" si="20"/>
        <v>55.14</v>
      </c>
      <c r="P2630" s="247">
        <f t="shared" si="21"/>
        <v>55.14</v>
      </c>
    </row>
    <row r="2631" spans="1:16" ht="14.25">
      <c r="A2631" s="224">
        <v>2630</v>
      </c>
      <c r="B2631" s="58">
        <v>28960</v>
      </c>
      <c r="C2631" s="57" t="s">
        <v>6012</v>
      </c>
      <c r="D2631" s="57" t="s">
        <v>2582</v>
      </c>
      <c r="E2631" s="57" t="s">
        <v>4772</v>
      </c>
      <c r="F2631" s="252">
        <v>45700.738194444442</v>
      </c>
      <c r="G2631" s="234" t="s">
        <v>233</v>
      </c>
      <c r="H2631" s="57" t="s">
        <v>2557</v>
      </c>
      <c r="I2631" s="58">
        <v>97176</v>
      </c>
      <c r="J2631" s="57" t="s">
        <v>2260</v>
      </c>
      <c r="K2631" s="58">
        <v>7.07</v>
      </c>
      <c r="L2631" s="58">
        <v>0.03</v>
      </c>
      <c r="M2631" s="58">
        <v>0</v>
      </c>
      <c r="N2631" s="58">
        <v>7.0717800000000004</v>
      </c>
      <c r="O2631" s="181">
        <f t="shared" si="20"/>
        <v>7.04</v>
      </c>
      <c r="P2631" s="247">
        <f t="shared" si="21"/>
        <v>0.99550608191996914</v>
      </c>
    </row>
    <row r="2632" spans="1:16" ht="14.25">
      <c r="A2632" s="224">
        <v>2631</v>
      </c>
      <c r="B2632" s="58">
        <v>36933</v>
      </c>
      <c r="C2632" s="57" t="s">
        <v>6519</v>
      </c>
      <c r="D2632" s="57" t="s">
        <v>45</v>
      </c>
      <c r="E2632" s="57" t="s">
        <v>4772</v>
      </c>
      <c r="F2632" s="252">
        <v>45700.981249999997</v>
      </c>
      <c r="G2632" s="234" t="s">
        <v>233</v>
      </c>
      <c r="H2632" s="57" t="s">
        <v>2557</v>
      </c>
      <c r="I2632" s="58">
        <v>97188</v>
      </c>
      <c r="J2632" s="57" t="s">
        <v>2258</v>
      </c>
      <c r="K2632" s="58">
        <v>4.99</v>
      </c>
      <c r="L2632" s="58">
        <v>0.15</v>
      </c>
      <c r="M2632" s="58">
        <v>0</v>
      </c>
      <c r="N2632" s="58">
        <v>1</v>
      </c>
      <c r="O2632" s="181">
        <f t="shared" si="20"/>
        <v>4.84</v>
      </c>
      <c r="P2632" s="247">
        <f t="shared" si="21"/>
        <v>4.84</v>
      </c>
    </row>
    <row r="2633" spans="1:16" ht="14.25">
      <c r="A2633" s="224">
        <v>2632</v>
      </c>
      <c r="B2633" s="58">
        <v>4100</v>
      </c>
      <c r="C2633" s="57" t="s">
        <v>6520</v>
      </c>
      <c r="D2633" s="57" t="s">
        <v>45</v>
      </c>
      <c r="E2633" s="57" t="s">
        <v>9</v>
      </c>
      <c r="F2633" s="252">
        <v>45728.40625</v>
      </c>
      <c r="G2633" s="234" t="s">
        <v>233</v>
      </c>
      <c r="H2633" s="57" t="s">
        <v>2557</v>
      </c>
      <c r="I2633" s="58">
        <v>95484</v>
      </c>
      <c r="J2633" s="57" t="s">
        <v>782</v>
      </c>
      <c r="K2633" s="58">
        <v>23.99</v>
      </c>
      <c r="L2633" s="58">
        <v>1.33</v>
      </c>
      <c r="M2633" s="58">
        <v>0</v>
      </c>
      <c r="N2633" s="58">
        <v>1</v>
      </c>
      <c r="O2633" s="181">
        <f t="shared" si="20"/>
        <v>22.659999999999997</v>
      </c>
      <c r="P2633" s="247">
        <f t="shared" si="21"/>
        <v>22.659999999999997</v>
      </c>
    </row>
    <row r="2634" spans="1:16" ht="14.25">
      <c r="A2634" s="224">
        <v>2633</v>
      </c>
      <c r="B2634" s="58">
        <v>3812</v>
      </c>
      <c r="C2634" s="57" t="s">
        <v>6500</v>
      </c>
      <c r="D2634" s="57" t="s">
        <v>45</v>
      </c>
      <c r="E2634" s="57" t="s">
        <v>9</v>
      </c>
      <c r="F2634" s="252">
        <v>45728.654861111114</v>
      </c>
      <c r="G2634" s="234" t="s">
        <v>233</v>
      </c>
      <c r="H2634" s="57" t="s">
        <v>6521</v>
      </c>
      <c r="I2634" s="58">
        <v>94727</v>
      </c>
      <c r="J2634" s="57" t="s">
        <v>783</v>
      </c>
      <c r="K2634" s="58">
        <v>0</v>
      </c>
      <c r="L2634" s="58">
        <v>-0.93</v>
      </c>
      <c r="M2634" s="58">
        <v>12.6</v>
      </c>
      <c r="N2634" s="58">
        <v>1</v>
      </c>
      <c r="O2634" s="181">
        <f t="shared" si="20"/>
        <v>-11.67</v>
      </c>
      <c r="P2634" s="247">
        <f t="shared" si="21"/>
        <v>-11.67</v>
      </c>
    </row>
    <row r="2635" spans="1:16" ht="14.25">
      <c r="A2635" s="224">
        <v>2634</v>
      </c>
      <c r="B2635" s="58">
        <v>18946</v>
      </c>
      <c r="C2635" s="57" t="s">
        <v>3070</v>
      </c>
      <c r="D2635" s="57" t="s">
        <v>2582</v>
      </c>
      <c r="E2635" s="57" t="s">
        <v>9</v>
      </c>
      <c r="F2635" s="252">
        <v>45728.779166666667</v>
      </c>
      <c r="G2635" s="234" t="s">
        <v>233</v>
      </c>
      <c r="H2635" s="57" t="s">
        <v>2557</v>
      </c>
      <c r="I2635" s="58">
        <v>96360</v>
      </c>
      <c r="J2635" s="57" t="s">
        <v>785</v>
      </c>
      <c r="K2635" s="58">
        <v>8.66</v>
      </c>
      <c r="L2635" s="58">
        <v>3.89</v>
      </c>
      <c r="M2635" s="58">
        <v>0</v>
      </c>
      <c r="N2635" s="58">
        <v>7.0710300000000004</v>
      </c>
      <c r="O2635" s="181">
        <f t="shared" si="20"/>
        <v>4.7699999999999996</v>
      </c>
      <c r="P2635" s="247">
        <f t="shared" si="21"/>
        <v>0.67458347652322215</v>
      </c>
    </row>
    <row r="2636" spans="1:16" ht="14.25">
      <c r="A2636" s="224">
        <v>2635</v>
      </c>
      <c r="B2636" s="58">
        <v>37020</v>
      </c>
      <c r="C2636" s="57" t="s">
        <v>6522</v>
      </c>
      <c r="D2636" s="57" t="s">
        <v>45</v>
      </c>
      <c r="E2636" s="57" t="s">
        <v>4772</v>
      </c>
      <c r="F2636" s="252">
        <v>45728.864583333336</v>
      </c>
      <c r="G2636" s="234" t="s">
        <v>233</v>
      </c>
      <c r="H2636" s="57" t="s">
        <v>2557</v>
      </c>
      <c r="I2636" s="58">
        <v>97380</v>
      </c>
      <c r="J2636" s="57" t="s">
        <v>2264</v>
      </c>
      <c r="K2636" s="58">
        <v>120</v>
      </c>
      <c r="L2636" s="58">
        <v>3.48</v>
      </c>
      <c r="M2636" s="58">
        <v>0</v>
      </c>
      <c r="N2636" s="58">
        <v>1</v>
      </c>
      <c r="O2636" s="181">
        <f t="shared" si="20"/>
        <v>116.52</v>
      </c>
      <c r="P2636" s="247">
        <f t="shared" si="21"/>
        <v>116.52</v>
      </c>
    </row>
    <row r="2637" spans="1:16" ht="14.25">
      <c r="A2637" s="224">
        <v>2636</v>
      </c>
      <c r="B2637" s="58">
        <v>4483</v>
      </c>
      <c r="C2637" s="57" t="s">
        <v>6523</v>
      </c>
      <c r="D2637" s="57" t="s">
        <v>45</v>
      </c>
      <c r="E2637" s="57" t="s">
        <v>2860</v>
      </c>
      <c r="F2637" s="252">
        <v>45759.396527777775</v>
      </c>
      <c r="G2637" s="234" t="s">
        <v>233</v>
      </c>
      <c r="H2637" s="57" t="s">
        <v>2557</v>
      </c>
      <c r="I2637" s="58">
        <v>96036</v>
      </c>
      <c r="J2637" s="57" t="s">
        <v>6524</v>
      </c>
      <c r="K2637" s="58">
        <v>17.989999999999998</v>
      </c>
      <c r="L2637" s="58">
        <v>0</v>
      </c>
      <c r="M2637" s="58">
        <v>0</v>
      </c>
      <c r="N2637" s="58">
        <v>1</v>
      </c>
      <c r="O2637" s="181">
        <f t="shared" si="20"/>
        <v>17.989999999999998</v>
      </c>
      <c r="P2637" s="247">
        <f t="shared" si="21"/>
        <v>17.989999999999998</v>
      </c>
    </row>
    <row r="2638" spans="1:16" ht="14.25">
      <c r="A2638" s="224">
        <v>2637</v>
      </c>
      <c r="B2638" s="58">
        <v>31668</v>
      </c>
      <c r="C2638" s="57" t="s">
        <v>5770</v>
      </c>
      <c r="D2638" s="57" t="s">
        <v>2582</v>
      </c>
      <c r="E2638" s="57" t="s">
        <v>4772</v>
      </c>
      <c r="F2638" s="252">
        <v>45759.512499999997</v>
      </c>
      <c r="G2638" s="234" t="s">
        <v>233</v>
      </c>
      <c r="H2638" s="57" t="s">
        <v>2557</v>
      </c>
      <c r="I2638" s="58">
        <v>85366</v>
      </c>
      <c r="J2638" s="57" t="s">
        <v>2266</v>
      </c>
      <c r="K2638" s="58">
        <v>17.760000000000002</v>
      </c>
      <c r="L2638" s="58">
        <v>0.08</v>
      </c>
      <c r="M2638" s="58">
        <v>0</v>
      </c>
      <c r="N2638" s="58">
        <v>7.0638500000000004</v>
      </c>
      <c r="O2638" s="181">
        <f t="shared" si="20"/>
        <v>17.680000000000003</v>
      </c>
      <c r="P2638" s="247">
        <f t="shared" si="21"/>
        <v>2.5028844043970357</v>
      </c>
    </row>
    <row r="2639" spans="1:16" ht="14.25">
      <c r="A2639" s="224">
        <v>2638</v>
      </c>
      <c r="B2639" s="58">
        <v>27903</v>
      </c>
      <c r="C2639" s="57" t="s">
        <v>5168</v>
      </c>
      <c r="D2639" s="57" t="s">
        <v>45</v>
      </c>
      <c r="E2639" s="57" t="s">
        <v>2874</v>
      </c>
      <c r="F2639" s="252">
        <v>45759.599305555559</v>
      </c>
      <c r="G2639" s="234" t="s">
        <v>233</v>
      </c>
      <c r="H2639" s="57" t="s">
        <v>2557</v>
      </c>
      <c r="I2639" s="58">
        <v>97368</v>
      </c>
      <c r="J2639" s="57"/>
      <c r="K2639" s="58">
        <v>300</v>
      </c>
      <c r="L2639" s="58">
        <v>0</v>
      </c>
      <c r="M2639" s="58">
        <v>0</v>
      </c>
      <c r="N2639" s="58">
        <v>1</v>
      </c>
      <c r="O2639" s="181">
        <f t="shared" si="20"/>
        <v>300</v>
      </c>
      <c r="P2639" s="247">
        <f t="shared" si="21"/>
        <v>300</v>
      </c>
    </row>
    <row r="2640" spans="1:16" ht="14.25">
      <c r="A2640" s="224">
        <v>2639</v>
      </c>
      <c r="B2640" s="58">
        <v>27903</v>
      </c>
      <c r="C2640" s="57" t="s">
        <v>5168</v>
      </c>
      <c r="D2640" s="57" t="s">
        <v>45</v>
      </c>
      <c r="E2640" s="57" t="s">
        <v>2874</v>
      </c>
      <c r="F2640" s="252">
        <v>45759.599305555559</v>
      </c>
      <c r="G2640" s="234" t="s">
        <v>233</v>
      </c>
      <c r="H2640" s="57" t="s">
        <v>2557</v>
      </c>
      <c r="I2640" s="58">
        <v>97344</v>
      </c>
      <c r="J2640" s="57"/>
      <c r="K2640" s="58">
        <v>300</v>
      </c>
      <c r="L2640" s="58">
        <v>0</v>
      </c>
      <c r="M2640" s="58">
        <v>0</v>
      </c>
      <c r="N2640" s="58">
        <v>1</v>
      </c>
      <c r="O2640" s="181">
        <f t="shared" si="20"/>
        <v>300</v>
      </c>
      <c r="P2640" s="247">
        <f t="shared" si="21"/>
        <v>300</v>
      </c>
    </row>
    <row r="2641" spans="1:16" ht="14.25">
      <c r="A2641" s="224">
        <v>2640</v>
      </c>
      <c r="B2641" s="58">
        <v>28667</v>
      </c>
      <c r="C2641" s="57" t="s">
        <v>5199</v>
      </c>
      <c r="D2641" s="57" t="s">
        <v>2582</v>
      </c>
      <c r="E2641" s="57" t="s">
        <v>2874</v>
      </c>
      <c r="F2641" s="252">
        <v>45789.065972222219</v>
      </c>
      <c r="G2641" s="234" t="s">
        <v>233</v>
      </c>
      <c r="H2641" s="57" t="s">
        <v>2557</v>
      </c>
      <c r="I2641" s="58">
        <v>97008</v>
      </c>
      <c r="J2641" s="57"/>
      <c r="K2641" s="58">
        <v>680</v>
      </c>
      <c r="L2641" s="58">
        <v>0</v>
      </c>
      <c r="M2641" s="58">
        <v>0</v>
      </c>
      <c r="N2641" s="58">
        <v>7.0638500000000004</v>
      </c>
      <c r="O2641" s="181">
        <f t="shared" si="20"/>
        <v>680</v>
      </c>
      <c r="P2641" s="247">
        <f t="shared" si="21"/>
        <v>96.264784784501359</v>
      </c>
    </row>
    <row r="2642" spans="1:16" ht="14.25">
      <c r="A2642" s="224">
        <v>2641</v>
      </c>
      <c r="B2642" s="58">
        <v>18477</v>
      </c>
      <c r="C2642" s="57" t="s">
        <v>2966</v>
      </c>
      <c r="D2642" s="57" t="s">
        <v>45</v>
      </c>
      <c r="E2642" s="57" t="s">
        <v>2874</v>
      </c>
      <c r="F2642" s="252">
        <v>45789.068749999999</v>
      </c>
      <c r="G2642" s="234" t="s">
        <v>233</v>
      </c>
      <c r="H2642" s="57" t="s">
        <v>2557</v>
      </c>
      <c r="I2642" s="58">
        <v>95448</v>
      </c>
      <c r="J2642" s="57"/>
      <c r="K2642" s="58">
        <v>110</v>
      </c>
      <c r="L2642" s="58">
        <v>0</v>
      </c>
      <c r="M2642" s="58">
        <v>0</v>
      </c>
      <c r="N2642" s="58">
        <v>1</v>
      </c>
      <c r="O2642" s="181">
        <f t="shared" si="20"/>
        <v>110</v>
      </c>
      <c r="P2642" s="247">
        <f t="shared" si="21"/>
        <v>110</v>
      </c>
    </row>
    <row r="2643" spans="1:16" ht="14.25">
      <c r="A2643" s="224">
        <v>2642</v>
      </c>
      <c r="B2643" s="58">
        <v>34788</v>
      </c>
      <c r="C2643" s="57" t="s">
        <v>6156</v>
      </c>
      <c r="D2643" s="57" t="s">
        <v>2582</v>
      </c>
      <c r="E2643" s="57" t="s">
        <v>4772</v>
      </c>
      <c r="F2643" s="252">
        <v>45789.429166666669</v>
      </c>
      <c r="G2643" s="234" t="s">
        <v>233</v>
      </c>
      <c r="H2643" s="57" t="s">
        <v>2557</v>
      </c>
      <c r="I2643" s="58">
        <v>95568</v>
      </c>
      <c r="J2643" s="57" t="s">
        <v>2274</v>
      </c>
      <c r="K2643" s="58">
        <v>36.99</v>
      </c>
      <c r="L2643" s="58">
        <v>0.16</v>
      </c>
      <c r="M2643" s="58">
        <v>0</v>
      </c>
      <c r="N2643" s="58">
        <v>7.0716599999999996</v>
      </c>
      <c r="O2643" s="181">
        <f t="shared" si="20"/>
        <v>36.830000000000005</v>
      </c>
      <c r="P2643" s="247">
        <f t="shared" si="21"/>
        <v>5.2081123809685428</v>
      </c>
    </row>
    <row r="2644" spans="1:16" ht="14.25">
      <c r="A2644" s="224">
        <v>2643</v>
      </c>
      <c r="B2644" s="58">
        <v>22778</v>
      </c>
      <c r="C2644" s="57" t="s">
        <v>3929</v>
      </c>
      <c r="D2644" s="57" t="s">
        <v>45</v>
      </c>
      <c r="E2644" s="57" t="s">
        <v>9</v>
      </c>
      <c r="F2644" s="252">
        <v>45789.683333333334</v>
      </c>
      <c r="G2644" s="234" t="s">
        <v>233</v>
      </c>
      <c r="H2644" s="57" t="s">
        <v>2557</v>
      </c>
      <c r="I2644" s="58">
        <v>97536</v>
      </c>
      <c r="J2644" s="57" t="s">
        <v>786</v>
      </c>
      <c r="K2644" s="58">
        <v>8.7899999999999991</v>
      </c>
      <c r="L2644" s="58">
        <v>0.93</v>
      </c>
      <c r="M2644" s="58">
        <v>0</v>
      </c>
      <c r="N2644" s="58">
        <v>1</v>
      </c>
      <c r="O2644" s="181">
        <f t="shared" si="20"/>
        <v>7.8599999999999994</v>
      </c>
      <c r="P2644" s="247">
        <f t="shared" si="21"/>
        <v>7.8599999999999994</v>
      </c>
    </row>
    <row r="2645" spans="1:16" ht="14.25">
      <c r="A2645" s="224">
        <v>2644</v>
      </c>
      <c r="B2645" s="58">
        <v>37167</v>
      </c>
      <c r="C2645" s="57" t="s">
        <v>6525</v>
      </c>
      <c r="D2645" s="57" t="s">
        <v>2582</v>
      </c>
      <c r="E2645" s="57" t="s">
        <v>4772</v>
      </c>
      <c r="F2645" s="252">
        <v>45789.765277777777</v>
      </c>
      <c r="G2645" s="234" t="s">
        <v>233</v>
      </c>
      <c r="H2645" s="57" t="s">
        <v>2557</v>
      </c>
      <c r="I2645" s="58">
        <v>97548</v>
      </c>
      <c r="J2645" s="57" t="s">
        <v>2272</v>
      </c>
      <c r="K2645" s="58">
        <v>28.22</v>
      </c>
      <c r="L2645" s="58">
        <v>0.12</v>
      </c>
      <c r="M2645" s="58">
        <v>0</v>
      </c>
      <c r="N2645" s="58">
        <v>7.0716599999999996</v>
      </c>
      <c r="O2645" s="181">
        <f t="shared" si="20"/>
        <v>28.099999999999998</v>
      </c>
      <c r="P2645" s="247">
        <f t="shared" si="21"/>
        <v>3.9736073284066258</v>
      </c>
    </row>
    <row r="2646" spans="1:16" ht="14.25">
      <c r="A2646" s="224">
        <v>2645</v>
      </c>
      <c r="B2646" s="58">
        <v>37173</v>
      </c>
      <c r="C2646" s="57" t="s">
        <v>6526</v>
      </c>
      <c r="D2646" s="57" t="s">
        <v>45</v>
      </c>
      <c r="E2646" s="57" t="s">
        <v>4772</v>
      </c>
      <c r="F2646" s="252">
        <v>45789.925000000003</v>
      </c>
      <c r="G2646" s="234" t="s">
        <v>233</v>
      </c>
      <c r="H2646" s="57" t="s">
        <v>2557</v>
      </c>
      <c r="I2646" s="58">
        <v>97560</v>
      </c>
      <c r="J2646" s="57" t="s">
        <v>2270</v>
      </c>
      <c r="K2646" s="58">
        <v>13.59</v>
      </c>
      <c r="L2646" s="58">
        <v>0.4</v>
      </c>
      <c r="M2646" s="58">
        <v>0</v>
      </c>
      <c r="N2646" s="58">
        <v>1</v>
      </c>
      <c r="O2646" s="181">
        <f t="shared" si="20"/>
        <v>13.19</v>
      </c>
      <c r="P2646" s="247">
        <f t="shared" si="21"/>
        <v>13.19</v>
      </c>
    </row>
    <row r="2647" spans="1:16" ht="14.25">
      <c r="A2647" s="224">
        <v>2646</v>
      </c>
      <c r="B2647" s="58">
        <v>21385</v>
      </c>
      <c r="C2647" s="57" t="s">
        <v>3654</v>
      </c>
      <c r="D2647" s="57" t="s">
        <v>45</v>
      </c>
      <c r="E2647" s="57" t="s">
        <v>2860</v>
      </c>
      <c r="F2647" s="252">
        <v>45789.996527777781</v>
      </c>
      <c r="G2647" s="234" t="s">
        <v>233</v>
      </c>
      <c r="H2647" s="57" t="s">
        <v>2557</v>
      </c>
      <c r="I2647" s="58">
        <v>97524</v>
      </c>
      <c r="J2647" s="57"/>
      <c r="K2647" s="58">
        <v>460</v>
      </c>
      <c r="L2647" s="58">
        <v>0</v>
      </c>
      <c r="M2647" s="58">
        <v>0</v>
      </c>
      <c r="N2647" s="58">
        <v>1</v>
      </c>
      <c r="O2647" s="181">
        <f t="shared" si="20"/>
        <v>460</v>
      </c>
      <c r="P2647" s="247">
        <f t="shared" si="21"/>
        <v>460</v>
      </c>
    </row>
    <row r="2648" spans="1:16" ht="14.25">
      <c r="A2648" s="224">
        <v>2647</v>
      </c>
      <c r="B2648" s="58">
        <v>5081</v>
      </c>
      <c r="C2648" s="57" t="s">
        <v>6527</v>
      </c>
      <c r="D2648" s="57" t="s">
        <v>45</v>
      </c>
      <c r="E2648" s="57" t="s">
        <v>9</v>
      </c>
      <c r="F2648" s="252">
        <v>45820.089583333334</v>
      </c>
      <c r="G2648" s="234" t="s">
        <v>233</v>
      </c>
      <c r="H2648" s="57" t="s">
        <v>2557</v>
      </c>
      <c r="I2648" s="58">
        <v>97068</v>
      </c>
      <c r="J2648" s="57" t="s">
        <v>788</v>
      </c>
      <c r="K2648" s="58">
        <v>8.4</v>
      </c>
      <c r="L2648" s="58">
        <v>0.78</v>
      </c>
      <c r="M2648" s="58">
        <v>0</v>
      </c>
      <c r="N2648" s="58">
        <v>1</v>
      </c>
      <c r="O2648" s="181">
        <f t="shared" si="20"/>
        <v>7.62</v>
      </c>
      <c r="P2648" s="247">
        <f t="shared" si="21"/>
        <v>7.62</v>
      </c>
    </row>
    <row r="2649" spans="1:16" ht="14.25">
      <c r="A2649" s="224">
        <v>2648</v>
      </c>
      <c r="B2649" s="58">
        <v>6212</v>
      </c>
      <c r="C2649" s="57" t="s">
        <v>6528</v>
      </c>
      <c r="D2649" s="57" t="s">
        <v>45</v>
      </c>
      <c r="E2649" s="57" t="s">
        <v>4772</v>
      </c>
      <c r="F2649" s="252">
        <v>45820.300694444442</v>
      </c>
      <c r="G2649" s="234" t="s">
        <v>233</v>
      </c>
      <c r="H2649" s="57" t="s">
        <v>2557</v>
      </c>
      <c r="I2649" s="58">
        <v>97572</v>
      </c>
      <c r="J2649" s="57" t="s">
        <v>2268</v>
      </c>
      <c r="K2649" s="58">
        <v>8.4</v>
      </c>
      <c r="L2649" s="58">
        <v>0.25</v>
      </c>
      <c r="M2649" s="58">
        <v>0</v>
      </c>
      <c r="N2649" s="58">
        <v>1</v>
      </c>
      <c r="O2649" s="181">
        <f t="shared" si="20"/>
        <v>8.15</v>
      </c>
      <c r="P2649" s="247">
        <f t="shared" si="21"/>
        <v>8.15</v>
      </c>
    </row>
    <row r="2650" spans="1:16" ht="14.25">
      <c r="A2650" s="224">
        <v>2649</v>
      </c>
      <c r="B2650" s="58">
        <v>21403</v>
      </c>
      <c r="C2650" s="57" t="s">
        <v>3690</v>
      </c>
      <c r="D2650" s="57" t="s">
        <v>45</v>
      </c>
      <c r="E2650" s="57" t="s">
        <v>2860</v>
      </c>
      <c r="F2650" s="252">
        <v>45820.511111111111</v>
      </c>
      <c r="G2650" s="234" t="s">
        <v>233</v>
      </c>
      <c r="H2650" s="57" t="s">
        <v>2557</v>
      </c>
      <c r="I2650" s="58">
        <v>97608</v>
      </c>
      <c r="J2650" s="57" t="s">
        <v>6529</v>
      </c>
      <c r="K2650" s="58">
        <v>1.19</v>
      </c>
      <c r="L2650" s="58">
        <v>0</v>
      </c>
      <c r="M2650" s="58">
        <v>0</v>
      </c>
      <c r="N2650" s="58">
        <v>1</v>
      </c>
      <c r="O2650" s="181">
        <f t="shared" si="20"/>
        <v>1.19</v>
      </c>
      <c r="P2650" s="247">
        <f t="shared" si="21"/>
        <v>1.19</v>
      </c>
    </row>
    <row r="2651" spans="1:16" ht="14.25">
      <c r="A2651" s="224">
        <v>2650</v>
      </c>
      <c r="B2651" s="58">
        <v>20647</v>
      </c>
      <c r="C2651" s="57" t="s">
        <v>3558</v>
      </c>
      <c r="D2651" s="57" t="s">
        <v>2582</v>
      </c>
      <c r="E2651" s="57" t="s">
        <v>4772</v>
      </c>
      <c r="F2651" s="252">
        <v>45820.786111111112</v>
      </c>
      <c r="G2651" s="234" t="s">
        <v>233</v>
      </c>
      <c r="H2651" s="57" t="s">
        <v>2557</v>
      </c>
      <c r="I2651" s="58">
        <v>97668</v>
      </c>
      <c r="J2651" s="57" t="s">
        <v>2286</v>
      </c>
      <c r="K2651" s="58">
        <v>45.19</v>
      </c>
      <c r="L2651" s="58">
        <v>0.19</v>
      </c>
      <c r="M2651" s="58">
        <v>0</v>
      </c>
      <c r="N2651" s="58">
        <v>7.0702400000000001</v>
      </c>
      <c r="O2651" s="181">
        <f t="shared" si="20"/>
        <v>45</v>
      </c>
      <c r="P2651" s="247">
        <f t="shared" si="21"/>
        <v>6.3647061485890157</v>
      </c>
    </row>
    <row r="2652" spans="1:16" ht="14.25">
      <c r="A2652" s="224">
        <v>2651</v>
      </c>
      <c r="B2652" s="58">
        <v>37235</v>
      </c>
      <c r="C2652" s="57" t="s">
        <v>6530</v>
      </c>
      <c r="D2652" s="57" t="s">
        <v>45</v>
      </c>
      <c r="E2652" s="57" t="s">
        <v>4772</v>
      </c>
      <c r="F2652" s="252">
        <v>45820.84375</v>
      </c>
      <c r="G2652" s="234" t="s">
        <v>233</v>
      </c>
      <c r="H2652" s="57" t="s">
        <v>2557</v>
      </c>
      <c r="I2652" s="58">
        <v>97680</v>
      </c>
      <c r="J2652" s="57" t="s">
        <v>2284</v>
      </c>
      <c r="K2652" s="58">
        <v>1.99</v>
      </c>
      <c r="L2652" s="58">
        <v>0.06</v>
      </c>
      <c r="M2652" s="58">
        <v>0</v>
      </c>
      <c r="N2652" s="58">
        <v>1</v>
      </c>
      <c r="O2652" s="181">
        <f t="shared" si="20"/>
        <v>1.93</v>
      </c>
      <c r="P2652" s="247">
        <f t="shared" si="21"/>
        <v>1.93</v>
      </c>
    </row>
    <row r="2653" spans="1:16" ht="14.25">
      <c r="A2653" s="224">
        <v>2652</v>
      </c>
      <c r="B2653" s="58">
        <v>34791</v>
      </c>
      <c r="C2653" s="57" t="s">
        <v>6158</v>
      </c>
      <c r="D2653" s="57" t="s">
        <v>45</v>
      </c>
      <c r="E2653" s="57" t="s">
        <v>4772</v>
      </c>
      <c r="F2653" s="252">
        <v>45820.861805555556</v>
      </c>
      <c r="G2653" s="234" t="s">
        <v>233</v>
      </c>
      <c r="H2653" s="57" t="s">
        <v>2557</v>
      </c>
      <c r="I2653" s="58">
        <v>97692</v>
      </c>
      <c r="J2653" s="57" t="s">
        <v>2282</v>
      </c>
      <c r="K2653" s="58">
        <v>4.49</v>
      </c>
      <c r="L2653" s="58">
        <v>0.13</v>
      </c>
      <c r="M2653" s="58">
        <v>0</v>
      </c>
      <c r="N2653" s="58">
        <v>1</v>
      </c>
      <c r="O2653" s="181">
        <f t="shared" si="20"/>
        <v>4.3600000000000003</v>
      </c>
      <c r="P2653" s="247">
        <f t="shared" si="21"/>
        <v>4.3600000000000003</v>
      </c>
    </row>
    <row r="2654" spans="1:16" ht="14.25">
      <c r="A2654" s="224">
        <v>2653</v>
      </c>
      <c r="B2654" s="58">
        <v>34791</v>
      </c>
      <c r="C2654" s="57" t="s">
        <v>6158</v>
      </c>
      <c r="D2654" s="57" t="s">
        <v>45</v>
      </c>
      <c r="E2654" s="57" t="s">
        <v>4772</v>
      </c>
      <c r="F2654" s="252">
        <v>45820.899305555555</v>
      </c>
      <c r="G2654" s="234" t="s">
        <v>233</v>
      </c>
      <c r="H2654" s="57" t="s">
        <v>2557</v>
      </c>
      <c r="I2654" s="58">
        <v>97704</v>
      </c>
      <c r="J2654" s="57" t="s">
        <v>2280</v>
      </c>
      <c r="K2654" s="58">
        <v>4.49</v>
      </c>
      <c r="L2654" s="58">
        <v>0.13</v>
      </c>
      <c r="M2654" s="58">
        <v>0</v>
      </c>
      <c r="N2654" s="58">
        <v>1</v>
      </c>
      <c r="O2654" s="181">
        <f t="shared" si="20"/>
        <v>4.3600000000000003</v>
      </c>
      <c r="P2654" s="247">
        <f t="shared" si="21"/>
        <v>4.3600000000000003</v>
      </c>
    </row>
    <row r="2655" spans="1:16" ht="14.25">
      <c r="A2655" s="224">
        <v>2654</v>
      </c>
      <c r="B2655" s="58">
        <v>37190</v>
      </c>
      <c r="C2655" s="57" t="s">
        <v>6531</v>
      </c>
      <c r="D2655" s="57" t="s">
        <v>2582</v>
      </c>
      <c r="E2655" s="57" t="s">
        <v>4772</v>
      </c>
      <c r="F2655" s="252">
        <v>45820.94027777778</v>
      </c>
      <c r="G2655" s="234" t="s">
        <v>233</v>
      </c>
      <c r="H2655" s="57" t="s">
        <v>2557</v>
      </c>
      <c r="I2655" s="58">
        <v>97728</v>
      </c>
      <c r="J2655" s="57" t="s">
        <v>2278</v>
      </c>
      <c r="K2655" s="58">
        <v>204.97</v>
      </c>
      <c r="L2655" s="58">
        <v>0.84</v>
      </c>
      <c r="M2655" s="58">
        <v>0</v>
      </c>
      <c r="N2655" s="58">
        <v>7.0702400000000001</v>
      </c>
      <c r="O2655" s="181">
        <f t="shared" si="20"/>
        <v>204.13</v>
      </c>
      <c r="P2655" s="247">
        <f t="shared" si="21"/>
        <v>28.871721469143903</v>
      </c>
    </row>
    <row r="2656" spans="1:16" ht="14.25">
      <c r="A2656" s="224">
        <v>2655</v>
      </c>
      <c r="B2656" s="58">
        <v>37240</v>
      </c>
      <c r="C2656" s="57" t="s">
        <v>6532</v>
      </c>
      <c r="D2656" s="57" t="s">
        <v>45</v>
      </c>
      <c r="E2656" s="57" t="s">
        <v>9</v>
      </c>
      <c r="F2656" s="252">
        <v>45820.948611111111</v>
      </c>
      <c r="G2656" s="234" t="s">
        <v>233</v>
      </c>
      <c r="H2656" s="57" t="s">
        <v>2557</v>
      </c>
      <c r="I2656" s="58">
        <v>97740</v>
      </c>
      <c r="J2656" s="57" t="s">
        <v>790</v>
      </c>
      <c r="K2656" s="58">
        <v>6.49</v>
      </c>
      <c r="L2656" s="58">
        <v>0.81</v>
      </c>
      <c r="M2656" s="58">
        <v>0</v>
      </c>
      <c r="N2656" s="58">
        <v>1</v>
      </c>
      <c r="O2656" s="181">
        <f t="shared" si="20"/>
        <v>5.68</v>
      </c>
      <c r="P2656" s="247">
        <f t="shared" si="21"/>
        <v>5.68</v>
      </c>
    </row>
    <row r="2657" spans="1:16" ht="14.25">
      <c r="A2657" s="224">
        <v>2656</v>
      </c>
      <c r="B2657" s="58">
        <v>34038</v>
      </c>
      <c r="C2657" s="57" t="s">
        <v>5890</v>
      </c>
      <c r="D2657" s="57" t="s">
        <v>45</v>
      </c>
      <c r="E2657" s="57" t="s">
        <v>2874</v>
      </c>
      <c r="F2657" s="252">
        <v>45850</v>
      </c>
      <c r="G2657" s="234" t="s">
        <v>233</v>
      </c>
      <c r="H2657" s="57" t="s">
        <v>2557</v>
      </c>
      <c r="I2657" s="58">
        <v>97716</v>
      </c>
      <c r="J2657" s="57" t="s">
        <v>6533</v>
      </c>
      <c r="K2657" s="58">
        <v>3.99</v>
      </c>
      <c r="L2657" s="58">
        <v>0</v>
      </c>
      <c r="M2657" s="58">
        <v>0</v>
      </c>
      <c r="N2657" s="58">
        <v>1</v>
      </c>
      <c r="O2657" s="181">
        <f t="shared" si="20"/>
        <v>3.99</v>
      </c>
      <c r="P2657" s="247">
        <f t="shared" si="21"/>
        <v>3.99</v>
      </c>
    </row>
    <row r="2658" spans="1:16" ht="14.25">
      <c r="A2658" s="224">
        <v>2657</v>
      </c>
      <c r="B2658" s="58">
        <v>34791</v>
      </c>
      <c r="C2658" s="57" t="s">
        <v>6158</v>
      </c>
      <c r="D2658" s="57" t="s">
        <v>45</v>
      </c>
      <c r="E2658" s="57" t="s">
        <v>4772</v>
      </c>
      <c r="F2658" s="252">
        <v>45850.018055555556</v>
      </c>
      <c r="G2658" s="234" t="s">
        <v>233</v>
      </c>
      <c r="H2658" s="57" t="s">
        <v>2557</v>
      </c>
      <c r="I2658" s="58">
        <v>97752</v>
      </c>
      <c r="J2658" s="57" t="s">
        <v>2276</v>
      </c>
      <c r="K2658" s="58">
        <v>7.59</v>
      </c>
      <c r="L2658" s="58">
        <v>0.22</v>
      </c>
      <c r="M2658" s="58">
        <v>0</v>
      </c>
      <c r="N2658" s="58">
        <v>1</v>
      </c>
      <c r="O2658" s="181">
        <f t="shared" si="20"/>
        <v>7.37</v>
      </c>
      <c r="P2658" s="247">
        <f t="shared" si="21"/>
        <v>7.37</v>
      </c>
    </row>
    <row r="2659" spans="1:16" ht="14.25">
      <c r="A2659" s="224">
        <v>2658</v>
      </c>
      <c r="B2659" s="58">
        <v>27880</v>
      </c>
      <c r="C2659" s="57" t="s">
        <v>4998</v>
      </c>
      <c r="D2659" s="57" t="s">
        <v>45</v>
      </c>
      <c r="E2659" s="57" t="s">
        <v>2860</v>
      </c>
      <c r="F2659" s="252">
        <v>45850.044444444444</v>
      </c>
      <c r="G2659" s="234" t="s">
        <v>233</v>
      </c>
      <c r="H2659" s="57" t="s">
        <v>2557</v>
      </c>
      <c r="I2659" s="58">
        <v>97260</v>
      </c>
      <c r="J2659" s="57" t="s">
        <v>6534</v>
      </c>
      <c r="K2659" s="58">
        <v>9.99</v>
      </c>
      <c r="L2659" s="58">
        <v>0</v>
      </c>
      <c r="M2659" s="58">
        <v>0</v>
      </c>
      <c r="N2659" s="58">
        <v>1</v>
      </c>
      <c r="O2659" s="181">
        <f t="shared" si="20"/>
        <v>9.99</v>
      </c>
      <c r="P2659" s="247">
        <f t="shared" si="21"/>
        <v>9.99</v>
      </c>
    </row>
    <row r="2660" spans="1:16" ht="14.25">
      <c r="A2660" s="224">
        <v>2659</v>
      </c>
      <c r="B2660" s="58">
        <v>28208</v>
      </c>
      <c r="C2660" s="57" t="s">
        <v>2856</v>
      </c>
      <c r="D2660" s="57" t="s">
        <v>2582</v>
      </c>
      <c r="E2660" s="57" t="s">
        <v>4772</v>
      </c>
      <c r="F2660" s="252">
        <v>45850.45</v>
      </c>
      <c r="G2660" s="234" t="s">
        <v>233</v>
      </c>
      <c r="H2660" s="57" t="s">
        <v>2557</v>
      </c>
      <c r="I2660" s="58">
        <v>96864</v>
      </c>
      <c r="J2660" s="57" t="s">
        <v>2294</v>
      </c>
      <c r="K2660" s="58">
        <v>146.99</v>
      </c>
      <c r="L2660" s="58">
        <v>0.61</v>
      </c>
      <c r="M2660" s="58">
        <v>0</v>
      </c>
      <c r="N2660" s="58">
        <v>7.0702400000000001</v>
      </c>
      <c r="O2660" s="181">
        <f t="shared" si="20"/>
        <v>146.38</v>
      </c>
      <c r="P2660" s="247">
        <f t="shared" si="21"/>
        <v>20.703681911787999</v>
      </c>
    </row>
    <row r="2661" spans="1:16" ht="14.25">
      <c r="A2661" s="224">
        <v>2660</v>
      </c>
      <c r="B2661" s="58">
        <v>20279</v>
      </c>
      <c r="C2661" s="57" t="s">
        <v>3436</v>
      </c>
      <c r="D2661" s="57" t="s">
        <v>45</v>
      </c>
      <c r="E2661" s="57" t="s">
        <v>4772</v>
      </c>
      <c r="F2661" s="252">
        <v>45850.509722222225</v>
      </c>
      <c r="G2661" s="234" t="s">
        <v>233</v>
      </c>
      <c r="H2661" s="57" t="s">
        <v>2557</v>
      </c>
      <c r="I2661" s="58">
        <v>97896</v>
      </c>
      <c r="J2661" s="57" t="s">
        <v>2292</v>
      </c>
      <c r="K2661" s="58">
        <v>3.99</v>
      </c>
      <c r="L2661" s="58">
        <v>0.12</v>
      </c>
      <c r="M2661" s="58">
        <v>0</v>
      </c>
      <c r="N2661" s="58">
        <v>1</v>
      </c>
      <c r="O2661" s="181">
        <f t="shared" si="20"/>
        <v>3.87</v>
      </c>
      <c r="P2661" s="247">
        <f t="shared" si="21"/>
        <v>3.87</v>
      </c>
    </row>
    <row r="2662" spans="1:16" ht="14.25">
      <c r="A2662" s="224">
        <v>2661</v>
      </c>
      <c r="B2662" s="58">
        <v>35394</v>
      </c>
      <c r="C2662" s="57" t="s">
        <v>6278</v>
      </c>
      <c r="D2662" s="57" t="s">
        <v>2582</v>
      </c>
      <c r="E2662" s="57" t="s">
        <v>4772</v>
      </c>
      <c r="F2662" s="252">
        <v>45850.870833333334</v>
      </c>
      <c r="G2662" s="234" t="s">
        <v>233</v>
      </c>
      <c r="H2662" s="57" t="s">
        <v>2557</v>
      </c>
      <c r="I2662" s="58">
        <v>95844</v>
      </c>
      <c r="J2662" s="57" t="s">
        <v>2290</v>
      </c>
      <c r="K2662" s="58">
        <v>31.97</v>
      </c>
      <c r="L2662" s="58">
        <v>0.14000000000000001</v>
      </c>
      <c r="M2662" s="58">
        <v>0</v>
      </c>
      <c r="N2662" s="58">
        <v>7.0702400000000001</v>
      </c>
      <c r="O2662" s="181">
        <f t="shared" si="20"/>
        <v>31.83</v>
      </c>
      <c r="P2662" s="247">
        <f t="shared" si="21"/>
        <v>4.5019688157686302</v>
      </c>
    </row>
    <row r="2663" spans="1:16" ht="14.25">
      <c r="A2663" s="224">
        <v>2662</v>
      </c>
      <c r="B2663" s="58">
        <v>28784</v>
      </c>
      <c r="C2663" s="57" t="s">
        <v>5262</v>
      </c>
      <c r="D2663" s="57" t="s">
        <v>45</v>
      </c>
      <c r="E2663" s="57" t="s">
        <v>4772</v>
      </c>
      <c r="F2663" s="252">
        <v>45850.883333333331</v>
      </c>
      <c r="G2663" s="234" t="s">
        <v>233</v>
      </c>
      <c r="H2663" s="57" t="s">
        <v>2557</v>
      </c>
      <c r="I2663" s="58">
        <v>96816</v>
      </c>
      <c r="J2663" s="57" t="s">
        <v>2288</v>
      </c>
      <c r="K2663" s="58">
        <v>7.59</v>
      </c>
      <c r="L2663" s="58">
        <v>0.22</v>
      </c>
      <c r="M2663" s="58">
        <v>0</v>
      </c>
      <c r="N2663" s="58">
        <v>1</v>
      </c>
      <c r="O2663" s="181">
        <f t="shared" si="20"/>
        <v>7.37</v>
      </c>
      <c r="P2663" s="247">
        <f t="shared" si="21"/>
        <v>7.37</v>
      </c>
    </row>
    <row r="2664" spans="1:16" ht="14.25">
      <c r="A2664" s="224">
        <v>2663</v>
      </c>
      <c r="B2664" s="58">
        <v>20047</v>
      </c>
      <c r="C2664" s="57" t="s">
        <v>4066</v>
      </c>
      <c r="D2664" s="57" t="s">
        <v>2582</v>
      </c>
      <c r="E2664" s="57" t="s">
        <v>2860</v>
      </c>
      <c r="F2664" s="252">
        <v>45881.4375</v>
      </c>
      <c r="G2664" s="234" t="s">
        <v>233</v>
      </c>
      <c r="H2664" s="57" t="s">
        <v>2557</v>
      </c>
      <c r="I2664" s="58">
        <v>96108</v>
      </c>
      <c r="J2664" s="57" t="s">
        <v>6535</v>
      </c>
      <c r="K2664" s="58">
        <v>111.07</v>
      </c>
      <c r="L2664" s="58">
        <v>0</v>
      </c>
      <c r="M2664" s="58">
        <v>0</v>
      </c>
      <c r="N2664" s="58">
        <v>7.0702400000000001</v>
      </c>
      <c r="O2664" s="181">
        <f t="shared" si="20"/>
        <v>111.07</v>
      </c>
      <c r="P2664" s="247">
        <f t="shared" si="21"/>
        <v>15.70950915386182</v>
      </c>
    </row>
    <row r="2665" spans="1:16" ht="14.25">
      <c r="A2665" s="224">
        <v>2664</v>
      </c>
      <c r="B2665" s="58">
        <v>36921</v>
      </c>
      <c r="C2665" s="57" t="s">
        <v>6536</v>
      </c>
      <c r="D2665" s="57" t="s">
        <v>2582</v>
      </c>
      <c r="E2665" s="57" t="s">
        <v>4772</v>
      </c>
      <c r="F2665" s="252">
        <v>45881.457638888889</v>
      </c>
      <c r="G2665" s="234" t="s">
        <v>233</v>
      </c>
      <c r="H2665" s="57" t="s">
        <v>2557</v>
      </c>
      <c r="I2665" s="58">
        <v>97992</v>
      </c>
      <c r="J2665" s="57" t="s">
        <v>2300</v>
      </c>
      <c r="K2665" s="58">
        <v>848.43</v>
      </c>
      <c r="L2665" s="58">
        <v>3.48</v>
      </c>
      <c r="M2665" s="58">
        <v>0</v>
      </c>
      <c r="N2665" s="58">
        <v>7.0702400000000001</v>
      </c>
      <c r="O2665" s="181">
        <f t="shared" si="20"/>
        <v>844.94999999999993</v>
      </c>
      <c r="P2665" s="247">
        <f t="shared" si="21"/>
        <v>119.50796578333973</v>
      </c>
    </row>
    <row r="2666" spans="1:16" ht="14.25">
      <c r="A2666" s="224">
        <v>2665</v>
      </c>
      <c r="B2666" s="58">
        <v>6026</v>
      </c>
      <c r="C2666" s="244">
        <v>46023</v>
      </c>
      <c r="D2666" s="57" t="s">
        <v>45</v>
      </c>
      <c r="E2666" s="57" t="s">
        <v>4772</v>
      </c>
      <c r="F2666" s="252">
        <v>45881.581944444442</v>
      </c>
      <c r="G2666" s="234" t="s">
        <v>233</v>
      </c>
      <c r="H2666" s="57" t="s">
        <v>2557</v>
      </c>
      <c r="I2666" s="58">
        <v>98016</v>
      </c>
      <c r="J2666" s="57" t="s">
        <v>2298</v>
      </c>
      <c r="K2666" s="58">
        <v>8.4</v>
      </c>
      <c r="L2666" s="58">
        <v>0.25</v>
      </c>
      <c r="M2666" s="58">
        <v>0</v>
      </c>
      <c r="N2666" s="58">
        <v>1</v>
      </c>
      <c r="O2666" s="181">
        <f t="shared" si="20"/>
        <v>8.15</v>
      </c>
      <c r="P2666" s="247">
        <f t="shared" si="21"/>
        <v>8.15</v>
      </c>
    </row>
    <row r="2667" spans="1:16" ht="14.25">
      <c r="A2667" s="224">
        <v>2666</v>
      </c>
      <c r="B2667" s="58">
        <v>37396</v>
      </c>
      <c r="C2667" s="57" t="s">
        <v>6537</v>
      </c>
      <c r="D2667" s="57" t="s">
        <v>45</v>
      </c>
      <c r="E2667" s="57" t="s">
        <v>4772</v>
      </c>
      <c r="F2667" s="252">
        <v>45881.768750000003</v>
      </c>
      <c r="G2667" s="234" t="s">
        <v>233</v>
      </c>
      <c r="H2667" s="57" t="s">
        <v>2557</v>
      </c>
      <c r="I2667" s="58">
        <v>98028</v>
      </c>
      <c r="J2667" s="57" t="s">
        <v>2296</v>
      </c>
      <c r="K2667" s="58">
        <v>1.99</v>
      </c>
      <c r="L2667" s="58">
        <v>0.06</v>
      </c>
      <c r="M2667" s="58">
        <v>0</v>
      </c>
      <c r="N2667" s="58">
        <v>1</v>
      </c>
      <c r="O2667" s="181">
        <f t="shared" si="20"/>
        <v>1.93</v>
      </c>
      <c r="P2667" s="247">
        <f t="shared" si="21"/>
        <v>1.93</v>
      </c>
    </row>
    <row r="2668" spans="1:16" ht="14.25">
      <c r="A2668" s="224">
        <v>2667</v>
      </c>
      <c r="B2668" s="58">
        <v>4042</v>
      </c>
      <c r="C2668" s="57" t="s">
        <v>6538</v>
      </c>
      <c r="D2668" s="57" t="s">
        <v>45</v>
      </c>
      <c r="E2668" s="57" t="s">
        <v>9</v>
      </c>
      <c r="F2668" s="252">
        <v>45881.95416666667</v>
      </c>
      <c r="G2668" s="234" t="s">
        <v>233</v>
      </c>
      <c r="H2668" s="57" t="s">
        <v>2557</v>
      </c>
      <c r="I2668" s="58">
        <v>98052</v>
      </c>
      <c r="J2668" s="57" t="s">
        <v>792</v>
      </c>
      <c r="K2668" s="58">
        <v>122.38</v>
      </c>
      <c r="L2668" s="58">
        <v>9.5399999999999991</v>
      </c>
      <c r="M2668" s="58">
        <v>0</v>
      </c>
      <c r="N2668" s="58">
        <v>7.0702400000000001</v>
      </c>
      <c r="O2668" s="181">
        <f t="shared" si="20"/>
        <v>112.84</v>
      </c>
      <c r="P2668" s="247">
        <f t="shared" si="21"/>
        <v>112.84</v>
      </c>
    </row>
    <row r="2669" spans="1:16" ht="14.25">
      <c r="A2669" s="224">
        <v>2668</v>
      </c>
      <c r="B2669" s="58">
        <v>25163</v>
      </c>
      <c r="C2669" s="57" t="s">
        <v>4531</v>
      </c>
      <c r="D2669" s="57" t="s">
        <v>45</v>
      </c>
      <c r="E2669" s="57" t="s">
        <v>4772</v>
      </c>
      <c r="F2669" s="252">
        <v>45912.531944444447</v>
      </c>
      <c r="G2669" s="234" t="s">
        <v>233</v>
      </c>
      <c r="H2669" s="57" t="s">
        <v>2557</v>
      </c>
      <c r="I2669" s="58">
        <v>98088</v>
      </c>
      <c r="J2669" s="57" t="s">
        <v>2304</v>
      </c>
      <c r="K2669" s="58">
        <v>4.49</v>
      </c>
      <c r="L2669" s="58">
        <v>0.13</v>
      </c>
      <c r="M2669" s="58">
        <v>0</v>
      </c>
      <c r="N2669" s="58">
        <v>1</v>
      </c>
      <c r="O2669" s="181">
        <f t="shared" si="20"/>
        <v>4.3600000000000003</v>
      </c>
      <c r="P2669" s="247">
        <f t="shared" si="21"/>
        <v>4.3600000000000003</v>
      </c>
    </row>
    <row r="2670" spans="1:16" ht="14.25">
      <c r="A2670" s="224">
        <v>2669</v>
      </c>
      <c r="B2670" s="58">
        <v>27903</v>
      </c>
      <c r="C2670" s="57" t="s">
        <v>5168</v>
      </c>
      <c r="D2670" s="57" t="s">
        <v>45</v>
      </c>
      <c r="E2670" s="57" t="s">
        <v>2874</v>
      </c>
      <c r="F2670" s="252">
        <v>45912.588194444441</v>
      </c>
      <c r="G2670" s="234" t="s">
        <v>233</v>
      </c>
      <c r="H2670" s="57" t="s">
        <v>2557</v>
      </c>
      <c r="I2670" s="58">
        <v>98040</v>
      </c>
      <c r="J2670" s="57"/>
      <c r="K2670" s="58">
        <v>300</v>
      </c>
      <c r="L2670" s="58">
        <v>0</v>
      </c>
      <c r="M2670" s="58">
        <v>0</v>
      </c>
      <c r="N2670" s="58">
        <v>1</v>
      </c>
      <c r="O2670" s="181">
        <f t="shared" si="20"/>
        <v>300</v>
      </c>
      <c r="P2670" s="247">
        <f t="shared" si="21"/>
        <v>300</v>
      </c>
    </row>
    <row r="2671" spans="1:16" ht="14.25">
      <c r="A2671" s="224">
        <v>2670</v>
      </c>
      <c r="B2671" s="58">
        <v>392</v>
      </c>
      <c r="C2671" s="57" t="s">
        <v>2876</v>
      </c>
      <c r="D2671" s="57" t="s">
        <v>2582</v>
      </c>
      <c r="E2671" s="57" t="s">
        <v>4772</v>
      </c>
      <c r="F2671" s="252">
        <v>45912.811111111114</v>
      </c>
      <c r="G2671" s="234" t="s">
        <v>233</v>
      </c>
      <c r="H2671" s="57" t="s">
        <v>2557</v>
      </c>
      <c r="I2671" s="58">
        <v>98100</v>
      </c>
      <c r="J2671" s="57" t="s">
        <v>2302</v>
      </c>
      <c r="K2671" s="58">
        <v>22.27</v>
      </c>
      <c r="L2671" s="58">
        <v>0.1</v>
      </c>
      <c r="M2671" s="58">
        <v>0</v>
      </c>
      <c r="N2671" s="58">
        <v>7.0680399999999999</v>
      </c>
      <c r="O2671" s="181">
        <f t="shared" si="20"/>
        <v>22.169999999999998</v>
      </c>
      <c r="P2671" s="247">
        <f t="shared" si="21"/>
        <v>3.1366545746769967</v>
      </c>
    </row>
    <row r="2672" spans="1:16" ht="14.25">
      <c r="A2672" s="224">
        <v>2671</v>
      </c>
      <c r="B2672" s="58">
        <v>5079</v>
      </c>
      <c r="C2672" s="57" t="s">
        <v>2970</v>
      </c>
      <c r="D2672" s="57" t="s">
        <v>45</v>
      </c>
      <c r="E2672" s="57" t="s">
        <v>2860</v>
      </c>
      <c r="F2672" s="252">
        <v>45912.834722222222</v>
      </c>
      <c r="G2672" s="234" t="s">
        <v>233</v>
      </c>
      <c r="H2672" s="57" t="s">
        <v>2557</v>
      </c>
      <c r="I2672" s="58">
        <v>92315</v>
      </c>
      <c r="J2672" s="57" t="s">
        <v>6539</v>
      </c>
      <c r="K2672" s="58">
        <v>3.99</v>
      </c>
      <c r="L2672" s="58">
        <v>0</v>
      </c>
      <c r="M2672" s="58">
        <v>0</v>
      </c>
      <c r="N2672" s="58">
        <v>1</v>
      </c>
      <c r="O2672" s="181">
        <f t="shared" si="20"/>
        <v>3.99</v>
      </c>
      <c r="P2672" s="247">
        <f t="shared" si="21"/>
        <v>3.99</v>
      </c>
    </row>
    <row r="2673" spans="1:16" ht="14.25">
      <c r="A2673" s="224">
        <v>2672</v>
      </c>
      <c r="B2673" s="58">
        <v>5079</v>
      </c>
      <c r="C2673" s="57" t="s">
        <v>2970</v>
      </c>
      <c r="D2673" s="57" t="s">
        <v>45</v>
      </c>
      <c r="E2673" s="57" t="s">
        <v>2860</v>
      </c>
      <c r="F2673" s="252">
        <v>45912.836111111108</v>
      </c>
      <c r="G2673" s="234" t="s">
        <v>233</v>
      </c>
      <c r="H2673" s="57" t="s">
        <v>2557</v>
      </c>
      <c r="I2673" s="58">
        <v>97080</v>
      </c>
      <c r="J2673" s="57" t="s">
        <v>6540</v>
      </c>
      <c r="K2673" s="58">
        <v>8.4</v>
      </c>
      <c r="L2673" s="58">
        <v>0</v>
      </c>
      <c r="M2673" s="58">
        <v>0</v>
      </c>
      <c r="N2673" s="58">
        <v>1</v>
      </c>
      <c r="O2673" s="181">
        <f t="shared" si="20"/>
        <v>8.4</v>
      </c>
      <c r="P2673" s="247">
        <f t="shared" si="21"/>
        <v>8.4</v>
      </c>
    </row>
    <row r="2674" spans="1:16" ht="14.25">
      <c r="A2674" s="224">
        <v>2673</v>
      </c>
      <c r="B2674" s="58">
        <v>3307</v>
      </c>
      <c r="C2674" s="57" t="s">
        <v>2700</v>
      </c>
      <c r="D2674" s="57" t="s">
        <v>45</v>
      </c>
      <c r="E2674" s="57" t="s">
        <v>2860</v>
      </c>
      <c r="F2674" s="252">
        <v>45912.859027777777</v>
      </c>
      <c r="G2674" s="234" t="s">
        <v>233</v>
      </c>
      <c r="H2674" s="57" t="s">
        <v>2557</v>
      </c>
      <c r="I2674" s="58">
        <v>97932</v>
      </c>
      <c r="J2674" s="57" t="s">
        <v>6541</v>
      </c>
      <c r="K2674" s="58">
        <v>12.6</v>
      </c>
      <c r="L2674" s="58">
        <v>0</v>
      </c>
      <c r="M2674" s="58">
        <v>0</v>
      </c>
      <c r="N2674" s="58">
        <v>1</v>
      </c>
      <c r="O2674" s="181">
        <f t="shared" si="20"/>
        <v>12.6</v>
      </c>
      <c r="P2674" s="247">
        <f t="shared" si="21"/>
        <v>12.6</v>
      </c>
    </row>
    <row r="2675" spans="1:16" ht="14.25">
      <c r="A2675" s="224">
        <v>2674</v>
      </c>
      <c r="B2675" s="58">
        <v>20047</v>
      </c>
      <c r="C2675" s="57" t="s">
        <v>4066</v>
      </c>
      <c r="D2675" s="57" t="s">
        <v>2582</v>
      </c>
      <c r="E2675" s="57" t="s">
        <v>2860</v>
      </c>
      <c r="F2675" s="252">
        <v>45942.14166666667</v>
      </c>
      <c r="G2675" s="234" t="s">
        <v>233</v>
      </c>
      <c r="H2675" s="57" t="s">
        <v>2557</v>
      </c>
      <c r="I2675" s="58">
        <v>96108</v>
      </c>
      <c r="J2675" s="57"/>
      <c r="K2675" s="58">
        <v>0.02</v>
      </c>
      <c r="L2675" s="58">
        <v>0</v>
      </c>
      <c r="M2675" s="58">
        <v>0</v>
      </c>
      <c r="N2675" s="58">
        <v>7.0680399999999999</v>
      </c>
      <c r="O2675" s="181">
        <f t="shared" si="20"/>
        <v>0.02</v>
      </c>
      <c r="P2675" s="247">
        <f t="shared" si="21"/>
        <v>2.8296387683148369E-3</v>
      </c>
    </row>
    <row r="2676" spans="1:16" ht="14.25">
      <c r="A2676" s="224">
        <v>2675</v>
      </c>
      <c r="B2676" s="58">
        <v>27977</v>
      </c>
      <c r="C2676" s="57" t="s">
        <v>5012</v>
      </c>
      <c r="D2676" s="57" t="s">
        <v>45</v>
      </c>
      <c r="E2676" s="57" t="s">
        <v>9</v>
      </c>
      <c r="F2676" s="252">
        <v>45942.381249999999</v>
      </c>
      <c r="G2676" s="234" t="s">
        <v>233</v>
      </c>
      <c r="H2676" s="57" t="s">
        <v>2557</v>
      </c>
      <c r="I2676" s="58">
        <v>96372</v>
      </c>
      <c r="J2676" s="57" t="s">
        <v>794</v>
      </c>
      <c r="K2676" s="58">
        <v>60.99</v>
      </c>
      <c r="L2676" s="58">
        <v>3.53</v>
      </c>
      <c r="M2676" s="58">
        <v>0</v>
      </c>
      <c r="N2676" s="58">
        <v>1</v>
      </c>
      <c r="O2676" s="181">
        <f t="shared" si="20"/>
        <v>57.46</v>
      </c>
      <c r="P2676" s="247">
        <f t="shared" si="21"/>
        <v>57.46</v>
      </c>
    </row>
    <row r="2677" spans="1:16" ht="14.25">
      <c r="A2677" s="224">
        <v>2676</v>
      </c>
      <c r="B2677" s="58">
        <v>34001</v>
      </c>
      <c r="C2677" s="57" t="s">
        <v>720</v>
      </c>
      <c r="D2677" s="57" t="s">
        <v>2582</v>
      </c>
      <c r="E2677" s="57" t="s">
        <v>9</v>
      </c>
      <c r="F2677" s="252">
        <v>45942.386111111111</v>
      </c>
      <c r="G2677" s="234" t="s">
        <v>233</v>
      </c>
      <c r="H2677" s="57" t="s">
        <v>2557</v>
      </c>
      <c r="I2677" s="58">
        <v>97272</v>
      </c>
      <c r="J2677" s="57" t="s">
        <v>795</v>
      </c>
      <c r="K2677" s="58">
        <v>39.06</v>
      </c>
      <c r="L2677" s="58">
        <v>5.44</v>
      </c>
      <c r="M2677" s="58">
        <v>0</v>
      </c>
      <c r="N2677" s="58">
        <v>7.0642800000000001</v>
      </c>
      <c r="O2677" s="181">
        <f t="shared" si="20"/>
        <v>33.620000000000005</v>
      </c>
      <c r="P2677" s="247">
        <f t="shared" si="21"/>
        <v>4.7591545068995007</v>
      </c>
    </row>
    <row r="2678" spans="1:16" ht="14.25">
      <c r="A2678" s="224">
        <v>2677</v>
      </c>
      <c r="B2678" s="58">
        <v>28657</v>
      </c>
      <c r="C2678" s="57" t="s">
        <v>5183</v>
      </c>
      <c r="D2678" s="57" t="s">
        <v>45</v>
      </c>
      <c r="E2678" s="57" t="s">
        <v>2860</v>
      </c>
      <c r="F2678" s="252">
        <v>45942.430555555555</v>
      </c>
      <c r="G2678" s="234" t="s">
        <v>233</v>
      </c>
      <c r="H2678" s="57" t="s">
        <v>2557</v>
      </c>
      <c r="I2678" s="58">
        <v>97248</v>
      </c>
      <c r="J2678" s="57" t="s">
        <v>6542</v>
      </c>
      <c r="K2678" s="58">
        <v>12.79</v>
      </c>
      <c r="L2678" s="58">
        <v>0</v>
      </c>
      <c r="M2678" s="58">
        <v>0</v>
      </c>
      <c r="N2678" s="58">
        <v>1</v>
      </c>
      <c r="O2678" s="181">
        <f t="shared" si="20"/>
        <v>12.79</v>
      </c>
      <c r="P2678" s="247">
        <f t="shared" si="21"/>
        <v>12.79</v>
      </c>
    </row>
    <row r="2679" spans="1:16" ht="14.25">
      <c r="A2679" s="224">
        <v>2678</v>
      </c>
      <c r="B2679" s="58">
        <v>33973</v>
      </c>
      <c r="C2679" s="57" t="s">
        <v>6543</v>
      </c>
      <c r="D2679" s="57" t="s">
        <v>45</v>
      </c>
      <c r="E2679" s="57" t="s">
        <v>4772</v>
      </c>
      <c r="F2679" s="252">
        <v>45942.896527777775</v>
      </c>
      <c r="G2679" s="234" t="s">
        <v>233</v>
      </c>
      <c r="H2679" s="57" t="s">
        <v>2557</v>
      </c>
      <c r="I2679" s="58">
        <v>98232</v>
      </c>
      <c r="J2679" s="57" t="s">
        <v>2310</v>
      </c>
      <c r="K2679" s="58">
        <v>3.99</v>
      </c>
      <c r="L2679" s="58">
        <v>0.12</v>
      </c>
      <c r="M2679" s="58">
        <v>0</v>
      </c>
      <c r="N2679" s="58">
        <v>1</v>
      </c>
      <c r="O2679" s="181">
        <f t="shared" si="20"/>
        <v>3.87</v>
      </c>
      <c r="P2679" s="247">
        <f t="shared" si="21"/>
        <v>3.87</v>
      </c>
    </row>
    <row r="2680" spans="1:16" ht="14.25">
      <c r="A2680" s="224">
        <v>2679</v>
      </c>
      <c r="B2680" s="58">
        <v>33906</v>
      </c>
      <c r="C2680" s="57" t="s">
        <v>680</v>
      </c>
      <c r="D2680" s="57" t="s">
        <v>2582</v>
      </c>
      <c r="E2680" s="57" t="s">
        <v>4772</v>
      </c>
      <c r="F2680" s="252">
        <v>45942.901388888888</v>
      </c>
      <c r="G2680" s="234" t="s">
        <v>233</v>
      </c>
      <c r="H2680" s="57" t="s">
        <v>2557</v>
      </c>
      <c r="I2680" s="58">
        <v>96852</v>
      </c>
      <c r="J2680" s="57" t="s">
        <v>2308</v>
      </c>
      <c r="K2680" s="58">
        <v>113.89</v>
      </c>
      <c r="L2680" s="58">
        <v>0.47</v>
      </c>
      <c r="M2680" s="58">
        <v>0</v>
      </c>
      <c r="N2680" s="58">
        <v>7.0642800000000001</v>
      </c>
      <c r="O2680" s="181">
        <f t="shared" si="20"/>
        <v>113.42</v>
      </c>
      <c r="P2680" s="247">
        <f t="shared" si="21"/>
        <v>16.055422491747212</v>
      </c>
    </row>
    <row r="2681" spans="1:16" ht="14.25">
      <c r="A2681" s="224">
        <v>2680</v>
      </c>
      <c r="B2681" s="58">
        <v>36</v>
      </c>
      <c r="C2681" s="57" t="s">
        <v>2646</v>
      </c>
      <c r="D2681" s="57" t="s">
        <v>45</v>
      </c>
      <c r="E2681" s="57" t="s">
        <v>2874</v>
      </c>
      <c r="F2681" s="252">
        <v>45942.949305555558</v>
      </c>
      <c r="G2681" s="234" t="s">
        <v>233</v>
      </c>
      <c r="H2681" s="57" t="s">
        <v>2557</v>
      </c>
      <c r="I2681" s="58">
        <v>96504</v>
      </c>
      <c r="J2681" s="57"/>
      <c r="K2681" s="58">
        <v>600</v>
      </c>
      <c r="L2681" s="58">
        <v>0</v>
      </c>
      <c r="M2681" s="58">
        <v>0</v>
      </c>
      <c r="N2681" s="58">
        <v>1</v>
      </c>
      <c r="O2681" s="181">
        <f t="shared" si="20"/>
        <v>600</v>
      </c>
      <c r="P2681" s="247">
        <f t="shared" si="21"/>
        <v>600</v>
      </c>
    </row>
    <row r="2682" spans="1:16" ht="14.25">
      <c r="A2682" s="224">
        <v>2681</v>
      </c>
      <c r="B2682" s="58">
        <v>37499</v>
      </c>
      <c r="C2682" s="57" t="s">
        <v>6544</v>
      </c>
      <c r="D2682" s="57" t="s">
        <v>45</v>
      </c>
      <c r="E2682" s="57" t="s">
        <v>4772</v>
      </c>
      <c r="F2682" s="252">
        <v>45973.022916666669</v>
      </c>
      <c r="G2682" s="234" t="s">
        <v>233</v>
      </c>
      <c r="H2682" s="57" t="s">
        <v>2557</v>
      </c>
      <c r="I2682" s="58">
        <v>98244</v>
      </c>
      <c r="J2682" s="57" t="s">
        <v>2306</v>
      </c>
      <c r="K2682" s="58">
        <v>13.59</v>
      </c>
      <c r="L2682" s="58">
        <v>0.4</v>
      </c>
      <c r="M2682" s="58">
        <v>0</v>
      </c>
      <c r="N2682" s="58">
        <v>1</v>
      </c>
      <c r="O2682" s="181">
        <f t="shared" si="20"/>
        <v>13.19</v>
      </c>
      <c r="P2682" s="247">
        <f t="shared" si="21"/>
        <v>13.19</v>
      </c>
    </row>
    <row r="2683" spans="1:16" ht="14.25">
      <c r="A2683" s="224">
        <v>2682</v>
      </c>
      <c r="B2683" s="58">
        <v>33973</v>
      </c>
      <c r="C2683" s="57" t="s">
        <v>6543</v>
      </c>
      <c r="D2683" s="57" t="s">
        <v>45</v>
      </c>
      <c r="E2683" s="57" t="s">
        <v>4772</v>
      </c>
      <c r="F2683" s="252">
        <v>45973.409722222219</v>
      </c>
      <c r="G2683" s="234" t="s">
        <v>233</v>
      </c>
      <c r="H2683" s="57" t="s">
        <v>2557</v>
      </c>
      <c r="I2683" s="58">
        <v>98340</v>
      </c>
      <c r="J2683" s="57" t="s">
        <v>2326</v>
      </c>
      <c r="K2683" s="58">
        <v>3.99</v>
      </c>
      <c r="L2683" s="58">
        <v>0.12</v>
      </c>
      <c r="M2683" s="58">
        <v>0</v>
      </c>
      <c r="N2683" s="58">
        <v>1</v>
      </c>
      <c r="O2683" s="181">
        <f t="shared" si="20"/>
        <v>3.87</v>
      </c>
      <c r="P2683" s="247">
        <f t="shared" si="21"/>
        <v>3.87</v>
      </c>
    </row>
    <row r="2684" spans="1:16" ht="14.25">
      <c r="A2684" s="224">
        <v>2683</v>
      </c>
      <c r="B2684" s="58">
        <v>37528</v>
      </c>
      <c r="C2684" s="57" t="s">
        <v>6545</v>
      </c>
      <c r="D2684" s="57" t="s">
        <v>2582</v>
      </c>
      <c r="E2684" s="57" t="s">
        <v>4772</v>
      </c>
      <c r="F2684" s="252">
        <v>45973.474305555559</v>
      </c>
      <c r="G2684" s="234" t="s">
        <v>233</v>
      </c>
      <c r="H2684" s="57" t="s">
        <v>2557</v>
      </c>
      <c r="I2684" s="58">
        <v>98352</v>
      </c>
      <c r="J2684" s="57" t="s">
        <v>2324</v>
      </c>
      <c r="K2684" s="58">
        <v>28.18</v>
      </c>
      <c r="L2684" s="58">
        <v>0.12</v>
      </c>
      <c r="M2684" s="58">
        <v>0</v>
      </c>
      <c r="N2684" s="58">
        <v>7.0624900000000004</v>
      </c>
      <c r="O2684" s="181">
        <f t="shared" si="20"/>
        <v>28.06</v>
      </c>
      <c r="P2684" s="247">
        <f t="shared" si="21"/>
        <v>3.9731029707652681</v>
      </c>
    </row>
    <row r="2685" spans="1:16" ht="14.25">
      <c r="A2685" s="224">
        <v>2684</v>
      </c>
      <c r="B2685" s="58">
        <v>34791</v>
      </c>
      <c r="C2685" s="57" t="s">
        <v>6158</v>
      </c>
      <c r="D2685" s="57" t="s">
        <v>45</v>
      </c>
      <c r="E2685" s="57" t="s">
        <v>4772</v>
      </c>
      <c r="F2685" s="252">
        <v>45973.484027777777</v>
      </c>
      <c r="G2685" s="234" t="s">
        <v>233</v>
      </c>
      <c r="H2685" s="57" t="s">
        <v>6546</v>
      </c>
      <c r="I2685" s="58">
        <v>97752</v>
      </c>
      <c r="J2685" s="57"/>
      <c r="K2685" s="58">
        <v>0</v>
      </c>
      <c r="L2685" s="58">
        <v>-0.22</v>
      </c>
      <c r="M2685" s="58">
        <v>7.37</v>
      </c>
      <c r="N2685" s="58">
        <v>1</v>
      </c>
      <c r="O2685" s="181">
        <f t="shared" si="20"/>
        <v>-7.15</v>
      </c>
      <c r="P2685" s="247">
        <f t="shared" si="21"/>
        <v>-7.15</v>
      </c>
    </row>
    <row r="2686" spans="1:16" ht="14.25">
      <c r="A2686" s="224">
        <v>2685</v>
      </c>
      <c r="B2686" s="58">
        <v>34791</v>
      </c>
      <c r="C2686" s="57" t="s">
        <v>6158</v>
      </c>
      <c r="D2686" s="57" t="s">
        <v>45</v>
      </c>
      <c r="E2686" s="57" t="s">
        <v>4772</v>
      </c>
      <c r="F2686" s="252">
        <v>45973.48541666667</v>
      </c>
      <c r="G2686" s="234" t="s">
        <v>233</v>
      </c>
      <c r="H2686" s="57" t="s">
        <v>6547</v>
      </c>
      <c r="I2686" s="58">
        <v>97704</v>
      </c>
      <c r="J2686" s="57"/>
      <c r="K2686" s="58">
        <v>0</v>
      </c>
      <c r="L2686" s="58">
        <v>-0.13</v>
      </c>
      <c r="M2686" s="58">
        <v>4.3600000000000003</v>
      </c>
      <c r="N2686" s="58">
        <v>1</v>
      </c>
      <c r="O2686" s="181">
        <f t="shared" si="20"/>
        <v>-4.2300000000000004</v>
      </c>
      <c r="P2686" s="247">
        <f t="shared" si="21"/>
        <v>-4.2300000000000004</v>
      </c>
    </row>
    <row r="2687" spans="1:16" ht="14.25">
      <c r="A2687" s="224">
        <v>2686</v>
      </c>
      <c r="B2687" s="58">
        <v>34791</v>
      </c>
      <c r="C2687" s="57" t="s">
        <v>6158</v>
      </c>
      <c r="D2687" s="57" t="s">
        <v>45</v>
      </c>
      <c r="E2687" s="57" t="s">
        <v>4772</v>
      </c>
      <c r="F2687" s="252">
        <v>45973.486111111109</v>
      </c>
      <c r="G2687" s="234" t="s">
        <v>233</v>
      </c>
      <c r="H2687" s="57" t="s">
        <v>6548</v>
      </c>
      <c r="I2687" s="58">
        <v>97692</v>
      </c>
      <c r="J2687" s="57"/>
      <c r="K2687" s="58">
        <v>0</v>
      </c>
      <c r="L2687" s="58">
        <v>-0.13</v>
      </c>
      <c r="M2687" s="58">
        <v>4.3600000000000003</v>
      </c>
      <c r="N2687" s="58">
        <v>1</v>
      </c>
      <c r="O2687" s="181">
        <f t="shared" si="20"/>
        <v>-4.2300000000000004</v>
      </c>
      <c r="P2687" s="247">
        <f t="shared" si="21"/>
        <v>-4.2300000000000004</v>
      </c>
    </row>
    <row r="2688" spans="1:16" ht="14.25">
      <c r="A2688" s="224">
        <v>2687</v>
      </c>
      <c r="B2688" s="58">
        <v>37546</v>
      </c>
      <c r="C2688" s="57" t="s">
        <v>6549</v>
      </c>
      <c r="D2688" s="57" t="s">
        <v>2582</v>
      </c>
      <c r="E2688" s="57" t="s">
        <v>4772</v>
      </c>
      <c r="F2688" s="252">
        <v>45973.759722222225</v>
      </c>
      <c r="G2688" s="234" t="s">
        <v>233</v>
      </c>
      <c r="H2688" s="57" t="s">
        <v>2557</v>
      </c>
      <c r="I2688" s="58">
        <v>98364</v>
      </c>
      <c r="J2688" s="57" t="s">
        <v>2316</v>
      </c>
      <c r="K2688" s="58">
        <v>28.18</v>
      </c>
      <c r="L2688" s="58">
        <v>0.12</v>
      </c>
      <c r="M2688" s="58">
        <v>0</v>
      </c>
      <c r="N2688" s="58">
        <v>7.0624900000000004</v>
      </c>
      <c r="O2688" s="181">
        <f t="shared" si="20"/>
        <v>28.06</v>
      </c>
      <c r="P2688" s="247">
        <f t="shared" si="21"/>
        <v>3.9731029707652681</v>
      </c>
    </row>
    <row r="2689" spans="1:16" ht="14.25">
      <c r="A2689" s="224">
        <v>2688</v>
      </c>
      <c r="B2689" s="58">
        <v>37549</v>
      </c>
      <c r="C2689" s="57" t="s">
        <v>6550</v>
      </c>
      <c r="D2689" s="57" t="s">
        <v>45</v>
      </c>
      <c r="E2689" s="57" t="s">
        <v>4772</v>
      </c>
      <c r="F2689" s="252">
        <v>45973.862500000003</v>
      </c>
      <c r="G2689" s="234" t="s">
        <v>233</v>
      </c>
      <c r="H2689" s="57" t="s">
        <v>2557</v>
      </c>
      <c r="I2689" s="58">
        <v>98376</v>
      </c>
      <c r="J2689" s="57" t="s">
        <v>2314</v>
      </c>
      <c r="K2689" s="58">
        <v>1.99</v>
      </c>
      <c r="L2689" s="58">
        <v>0.06</v>
      </c>
      <c r="M2689" s="58">
        <v>0</v>
      </c>
      <c r="N2689" s="58">
        <v>1</v>
      </c>
      <c r="O2689" s="181">
        <f t="shared" si="20"/>
        <v>1.93</v>
      </c>
      <c r="P2689" s="247">
        <f t="shared" si="21"/>
        <v>1.93</v>
      </c>
    </row>
    <row r="2690" spans="1:16" ht="14.25">
      <c r="A2690" s="224">
        <v>2689</v>
      </c>
      <c r="B2690" s="58">
        <v>35539</v>
      </c>
      <c r="C2690" s="57" t="s">
        <v>6301</v>
      </c>
      <c r="D2690" s="57" t="s">
        <v>45</v>
      </c>
      <c r="E2690" s="57" t="s">
        <v>4772</v>
      </c>
      <c r="F2690" s="252">
        <v>45973.944444444445</v>
      </c>
      <c r="G2690" s="234" t="s">
        <v>233</v>
      </c>
      <c r="H2690" s="57" t="s">
        <v>2557</v>
      </c>
      <c r="I2690" s="58">
        <v>96660</v>
      </c>
      <c r="J2690" s="57" t="s">
        <v>2312</v>
      </c>
      <c r="K2690" s="58">
        <v>5.19</v>
      </c>
      <c r="L2690" s="58">
        <v>0.15</v>
      </c>
      <c r="M2690" s="58">
        <v>0</v>
      </c>
      <c r="N2690" s="58">
        <v>1</v>
      </c>
      <c r="O2690" s="181">
        <f t="shared" si="20"/>
        <v>5.04</v>
      </c>
      <c r="P2690" s="247">
        <f t="shared" si="21"/>
        <v>5.04</v>
      </c>
    </row>
    <row r="2691" spans="1:16" ht="14.25">
      <c r="A2691" s="224">
        <v>2690</v>
      </c>
      <c r="B2691" s="58">
        <v>20196</v>
      </c>
      <c r="C2691" s="57" t="s">
        <v>3404</v>
      </c>
      <c r="D2691" s="57" t="s">
        <v>45</v>
      </c>
      <c r="E2691" s="57" t="s">
        <v>2860</v>
      </c>
      <c r="F2691" s="252">
        <v>46003</v>
      </c>
      <c r="G2691" s="234" t="s">
        <v>233</v>
      </c>
      <c r="H2691" s="57" t="s">
        <v>2557</v>
      </c>
      <c r="I2691" s="58">
        <v>97872</v>
      </c>
      <c r="J2691" s="57" t="s">
        <v>6551</v>
      </c>
      <c r="K2691" s="58">
        <v>8.99</v>
      </c>
      <c r="L2691" s="58">
        <v>0</v>
      </c>
      <c r="M2691" s="58">
        <v>0</v>
      </c>
      <c r="N2691" s="58">
        <v>1</v>
      </c>
      <c r="O2691" s="181">
        <f t="shared" si="20"/>
        <v>8.99</v>
      </c>
      <c r="P2691" s="247">
        <f t="shared" si="21"/>
        <v>8.99</v>
      </c>
    </row>
    <row r="2692" spans="1:16" ht="14.25">
      <c r="A2692" s="224">
        <v>2691</v>
      </c>
      <c r="B2692" s="58">
        <v>25274</v>
      </c>
      <c r="C2692" s="57" t="s">
        <v>4573</v>
      </c>
      <c r="D2692" s="57" t="s">
        <v>2582</v>
      </c>
      <c r="E2692" s="57" t="s">
        <v>4772</v>
      </c>
      <c r="F2692" s="252">
        <v>46003.794444444444</v>
      </c>
      <c r="G2692" s="234" t="s">
        <v>233</v>
      </c>
      <c r="H2692" s="57" t="s">
        <v>2557</v>
      </c>
      <c r="I2692" s="58">
        <v>98532</v>
      </c>
      <c r="J2692" s="57" t="s">
        <v>2332</v>
      </c>
      <c r="K2692" s="58">
        <v>109.84</v>
      </c>
      <c r="L2692" s="58">
        <v>0.46</v>
      </c>
      <c r="M2692" s="58">
        <v>0</v>
      </c>
      <c r="N2692" s="58">
        <v>7.0580499999999997</v>
      </c>
      <c r="O2692" s="181">
        <f t="shared" si="20"/>
        <v>109.38000000000001</v>
      </c>
      <c r="P2692" s="247">
        <f t="shared" si="21"/>
        <v>15.497198234639882</v>
      </c>
    </row>
    <row r="2693" spans="1:16" ht="14.25">
      <c r="A2693" s="224">
        <v>2692</v>
      </c>
      <c r="B2693" s="58">
        <v>37604</v>
      </c>
      <c r="C2693" s="57" t="s">
        <v>6552</v>
      </c>
      <c r="D2693" s="57" t="s">
        <v>45</v>
      </c>
      <c r="E2693" s="57" t="s">
        <v>4772</v>
      </c>
      <c r="F2693" s="252">
        <v>46003.842361111114</v>
      </c>
      <c r="G2693" s="234" t="s">
        <v>233</v>
      </c>
      <c r="H2693" s="57" t="s">
        <v>2557</v>
      </c>
      <c r="I2693" s="58">
        <v>98544</v>
      </c>
      <c r="J2693" s="57" t="s">
        <v>2330</v>
      </c>
      <c r="K2693" s="58">
        <v>4.49</v>
      </c>
      <c r="L2693" s="58">
        <v>0.13</v>
      </c>
      <c r="M2693" s="58">
        <v>0</v>
      </c>
      <c r="N2693" s="58">
        <v>1</v>
      </c>
      <c r="O2693" s="181">
        <f t="shared" si="20"/>
        <v>4.3600000000000003</v>
      </c>
      <c r="P2693" s="247">
        <f t="shared" si="21"/>
        <v>4.3600000000000003</v>
      </c>
    </row>
    <row r="2694" spans="1:16" ht="14.25">
      <c r="A2694" s="224">
        <v>2693</v>
      </c>
      <c r="B2694" s="58">
        <v>35973</v>
      </c>
      <c r="C2694" s="57" t="s">
        <v>6397</v>
      </c>
      <c r="D2694" s="57" t="s">
        <v>2582</v>
      </c>
      <c r="E2694" s="57" t="s">
        <v>4772</v>
      </c>
      <c r="F2694" s="252">
        <v>46003.887499999997</v>
      </c>
      <c r="G2694" s="234" t="s">
        <v>233</v>
      </c>
      <c r="H2694" s="57" t="s">
        <v>2557</v>
      </c>
      <c r="I2694" s="58">
        <v>98556</v>
      </c>
      <c r="J2694" s="57" t="s">
        <v>2328</v>
      </c>
      <c r="K2694" s="58">
        <v>211.67</v>
      </c>
      <c r="L2694" s="58">
        <v>0.87</v>
      </c>
      <c r="M2694" s="58">
        <v>0</v>
      </c>
      <c r="N2694" s="58">
        <v>7.0580499999999997</v>
      </c>
      <c r="O2694" s="181">
        <f t="shared" si="20"/>
        <v>210.79999999999998</v>
      </c>
      <c r="P2694" s="247">
        <f t="shared" si="21"/>
        <v>29.866606215597791</v>
      </c>
    </row>
    <row r="2695" spans="1:16" ht="14.25">
      <c r="A2695" s="224">
        <v>2694</v>
      </c>
      <c r="B2695" s="58">
        <v>6529</v>
      </c>
      <c r="C2695" s="57" t="s">
        <v>2566</v>
      </c>
      <c r="D2695" s="57" t="s">
        <v>45</v>
      </c>
      <c r="E2695" s="57" t="s">
        <v>2860</v>
      </c>
      <c r="F2695" s="58" t="s">
        <v>6553</v>
      </c>
      <c r="G2695" s="234" t="s">
        <v>233</v>
      </c>
      <c r="H2695" s="57" t="s">
        <v>2557</v>
      </c>
      <c r="I2695" s="58">
        <v>97620</v>
      </c>
      <c r="J2695" s="57" t="s">
        <v>6554</v>
      </c>
      <c r="K2695" s="58">
        <v>8.99</v>
      </c>
      <c r="L2695" s="58">
        <v>0</v>
      </c>
      <c r="M2695" s="58">
        <v>0</v>
      </c>
      <c r="N2695" s="58">
        <v>1</v>
      </c>
      <c r="O2695" s="181">
        <f t="shared" si="20"/>
        <v>8.99</v>
      </c>
      <c r="P2695" s="247">
        <f t="shared" si="21"/>
        <v>8.99</v>
      </c>
    </row>
    <row r="2696" spans="1:16" ht="14.25">
      <c r="A2696" s="224">
        <v>2695</v>
      </c>
      <c r="B2696" s="58">
        <v>35962</v>
      </c>
      <c r="C2696" s="57" t="s">
        <v>6391</v>
      </c>
      <c r="D2696" s="57" t="s">
        <v>45</v>
      </c>
      <c r="E2696" s="57" t="s">
        <v>4772</v>
      </c>
      <c r="F2696" s="58" t="s">
        <v>6555</v>
      </c>
      <c r="G2696" s="234" t="s">
        <v>233</v>
      </c>
      <c r="H2696" s="57" t="s">
        <v>2557</v>
      </c>
      <c r="I2696" s="58">
        <v>98868</v>
      </c>
      <c r="J2696" s="57" t="s">
        <v>2338</v>
      </c>
      <c r="K2696" s="58">
        <v>101.42</v>
      </c>
      <c r="L2696" s="58">
        <v>2.95</v>
      </c>
      <c r="M2696" s="58">
        <v>0</v>
      </c>
      <c r="N2696" s="58">
        <v>1</v>
      </c>
      <c r="O2696" s="181">
        <f t="shared" si="20"/>
        <v>98.47</v>
      </c>
      <c r="P2696" s="247">
        <f t="shared" si="21"/>
        <v>98.47</v>
      </c>
    </row>
    <row r="2697" spans="1:16" ht="14.25">
      <c r="A2697" s="224">
        <v>2696</v>
      </c>
      <c r="B2697" s="58">
        <v>24044</v>
      </c>
      <c r="C2697" s="57" t="s">
        <v>4118</v>
      </c>
      <c r="D2697" s="57" t="s">
        <v>2582</v>
      </c>
      <c r="E2697" s="57" t="s">
        <v>9</v>
      </c>
      <c r="F2697" s="58" t="s">
        <v>6556</v>
      </c>
      <c r="G2697" s="234" t="s">
        <v>233</v>
      </c>
      <c r="H2697" s="57" t="s">
        <v>2557</v>
      </c>
      <c r="I2697" s="58">
        <v>98880</v>
      </c>
      <c r="J2697" s="57" t="s">
        <v>798</v>
      </c>
      <c r="K2697" s="58">
        <v>100</v>
      </c>
      <c r="L2697" s="58">
        <v>8.4700000000000006</v>
      </c>
      <c r="M2697" s="58">
        <v>0</v>
      </c>
      <c r="N2697" s="58">
        <v>7.0547300000000002</v>
      </c>
      <c r="O2697" s="181">
        <f t="shared" si="20"/>
        <v>91.53</v>
      </c>
      <c r="P2697" s="247">
        <f t="shared" si="21"/>
        <v>12.974273997729183</v>
      </c>
    </row>
    <row r="2698" spans="1:16" ht="14.25">
      <c r="A2698" s="224">
        <v>2697</v>
      </c>
      <c r="B2698" s="58">
        <v>28570</v>
      </c>
      <c r="C2698" s="57" t="s">
        <v>5137</v>
      </c>
      <c r="D2698" s="57" t="s">
        <v>2582</v>
      </c>
      <c r="E2698" s="57" t="s">
        <v>4772</v>
      </c>
      <c r="F2698" s="58" t="s">
        <v>6557</v>
      </c>
      <c r="G2698" s="234" t="s">
        <v>233</v>
      </c>
      <c r="H2698" s="57" t="s">
        <v>2557</v>
      </c>
      <c r="I2698" s="58">
        <v>98916</v>
      </c>
      <c r="J2698" s="57" t="s">
        <v>2335</v>
      </c>
      <c r="K2698" s="58">
        <v>36.630000000000003</v>
      </c>
      <c r="L2698" s="58">
        <v>0.15</v>
      </c>
      <c r="M2698" s="58">
        <v>0</v>
      </c>
      <c r="N2698" s="58">
        <v>7.0547300000000002</v>
      </c>
      <c r="O2698" s="181">
        <f t="shared" si="20"/>
        <v>36.480000000000004</v>
      </c>
      <c r="P2698" s="247">
        <f t="shared" si="21"/>
        <v>5.1709987483574853</v>
      </c>
    </row>
    <row r="2699" spans="1:16" ht="14.25">
      <c r="A2699" s="224">
        <v>2698</v>
      </c>
      <c r="B2699" s="58">
        <v>5090</v>
      </c>
      <c r="C2699" s="57" t="s">
        <v>6558</v>
      </c>
      <c r="D2699" s="57" t="s">
        <v>2582</v>
      </c>
      <c r="E2699" s="57" t="s">
        <v>2860</v>
      </c>
      <c r="F2699" s="58" t="s">
        <v>6559</v>
      </c>
      <c r="G2699" s="234" t="s">
        <v>233</v>
      </c>
      <c r="H2699" s="57" t="s">
        <v>2557</v>
      </c>
      <c r="I2699" s="58">
        <v>97152</v>
      </c>
      <c r="J2699" s="57" t="s">
        <v>6560</v>
      </c>
      <c r="K2699" s="58">
        <v>61.09</v>
      </c>
      <c r="L2699" s="58">
        <v>0</v>
      </c>
      <c r="M2699" s="58">
        <v>0</v>
      </c>
      <c r="N2699" s="58">
        <v>7.0547300000000002</v>
      </c>
      <c r="O2699" s="181">
        <f t="shared" si="20"/>
        <v>61.09</v>
      </c>
      <c r="P2699" s="247">
        <f t="shared" si="21"/>
        <v>8.6594384193300105</v>
      </c>
    </row>
    <row r="2700" spans="1:16" ht="14.25">
      <c r="A2700" s="224">
        <v>2699</v>
      </c>
      <c r="B2700" s="58">
        <v>28208</v>
      </c>
      <c r="C2700" s="57" t="s">
        <v>2856</v>
      </c>
      <c r="D2700" s="57" t="s">
        <v>2582</v>
      </c>
      <c r="E2700" s="57" t="s">
        <v>4772</v>
      </c>
      <c r="F2700" s="58" t="s">
        <v>6561</v>
      </c>
      <c r="G2700" s="234" t="s">
        <v>233</v>
      </c>
      <c r="H2700" s="57" t="s">
        <v>2557</v>
      </c>
      <c r="I2700" s="58">
        <v>99180</v>
      </c>
      <c r="J2700" s="57" t="s">
        <v>2344</v>
      </c>
      <c r="K2700" s="58">
        <v>193.01</v>
      </c>
      <c r="L2700" s="58">
        <v>0.8</v>
      </c>
      <c r="M2700" s="58">
        <v>0</v>
      </c>
      <c r="N2700" s="58">
        <v>7.0547300000000002</v>
      </c>
      <c r="O2700" s="181">
        <f t="shared" si="20"/>
        <v>192.20999999999998</v>
      </c>
      <c r="P2700" s="247">
        <f t="shared" si="21"/>
        <v>27.245550148623686</v>
      </c>
    </row>
    <row r="2701" spans="1:16" ht="14.25">
      <c r="A2701" s="224">
        <v>2700</v>
      </c>
      <c r="B2701" s="58">
        <v>6268</v>
      </c>
      <c r="C2701" s="57" t="s">
        <v>2795</v>
      </c>
      <c r="D2701" s="57" t="s">
        <v>45</v>
      </c>
      <c r="E2701" s="57" t="s">
        <v>2874</v>
      </c>
      <c r="F2701" s="58" t="s">
        <v>6562</v>
      </c>
      <c r="G2701" s="234" t="s">
        <v>233</v>
      </c>
      <c r="H2701" s="57" t="s">
        <v>2557</v>
      </c>
      <c r="I2701" s="58">
        <v>99000</v>
      </c>
      <c r="J2701" s="57"/>
      <c r="K2701" s="58">
        <v>20.25</v>
      </c>
      <c r="L2701" s="58">
        <v>0</v>
      </c>
      <c r="M2701" s="58">
        <v>0</v>
      </c>
      <c r="N2701" s="58">
        <v>1</v>
      </c>
      <c r="O2701" s="181">
        <f t="shared" si="20"/>
        <v>20.25</v>
      </c>
      <c r="P2701" s="247">
        <f t="shared" si="21"/>
        <v>20.25</v>
      </c>
    </row>
    <row r="2702" spans="1:16" ht="14.25">
      <c r="A2702" s="224">
        <v>2701</v>
      </c>
      <c r="B2702" s="58">
        <v>37721</v>
      </c>
      <c r="C2702" s="57" t="s">
        <v>6563</v>
      </c>
      <c r="D2702" s="57" t="s">
        <v>2582</v>
      </c>
      <c r="E2702" s="57" t="s">
        <v>2860</v>
      </c>
      <c r="F2702" s="58" t="s">
        <v>6564</v>
      </c>
      <c r="G2702" s="234" t="s">
        <v>233</v>
      </c>
      <c r="H2702" s="57" t="s">
        <v>2557</v>
      </c>
      <c r="I2702" s="58">
        <v>99192</v>
      </c>
      <c r="J2702" s="57" t="s">
        <v>6565</v>
      </c>
      <c r="K2702" s="58">
        <v>163.6</v>
      </c>
      <c r="L2702" s="58">
        <v>0</v>
      </c>
      <c r="M2702" s="58">
        <v>0</v>
      </c>
      <c r="N2702" s="58">
        <v>7.0547300000000002</v>
      </c>
      <c r="O2702" s="181">
        <f t="shared" si="20"/>
        <v>163.6</v>
      </c>
      <c r="P2702" s="247">
        <f t="shared" si="21"/>
        <v>23.190115000857578</v>
      </c>
    </row>
    <row r="2703" spans="1:16" ht="14.25">
      <c r="A2703" s="224">
        <v>2702</v>
      </c>
      <c r="B2703" s="58">
        <v>4493</v>
      </c>
      <c r="C2703" s="57" t="s">
        <v>6566</v>
      </c>
      <c r="D2703" s="57" t="s">
        <v>45</v>
      </c>
      <c r="E2703" s="57" t="s">
        <v>9</v>
      </c>
      <c r="F2703" s="58" t="s">
        <v>6567</v>
      </c>
      <c r="G2703" s="234" t="s">
        <v>233</v>
      </c>
      <c r="H2703" s="57" t="s">
        <v>2557</v>
      </c>
      <c r="I2703" s="58">
        <v>36103</v>
      </c>
      <c r="J2703" s="57" t="s">
        <v>801</v>
      </c>
      <c r="K2703" s="58">
        <v>11.99</v>
      </c>
      <c r="L2703" s="58">
        <v>1.0900000000000001</v>
      </c>
      <c r="M2703" s="58">
        <v>0</v>
      </c>
      <c r="N2703" s="58">
        <v>1</v>
      </c>
      <c r="O2703" s="181">
        <f t="shared" si="20"/>
        <v>10.9</v>
      </c>
      <c r="P2703" s="247">
        <f t="shared" si="21"/>
        <v>10.9</v>
      </c>
    </row>
    <row r="2704" spans="1:16" ht="14.25">
      <c r="A2704" s="224">
        <v>2703</v>
      </c>
      <c r="B2704" s="58">
        <v>37723</v>
      </c>
      <c r="C2704" s="57" t="s">
        <v>6568</v>
      </c>
      <c r="D2704" s="57" t="s">
        <v>45</v>
      </c>
      <c r="E2704" s="57" t="s">
        <v>9</v>
      </c>
      <c r="F2704" s="58" t="s">
        <v>6569</v>
      </c>
      <c r="G2704" s="234" t="s">
        <v>233</v>
      </c>
      <c r="H2704" s="57" t="s">
        <v>2557</v>
      </c>
      <c r="I2704" s="58">
        <v>99204</v>
      </c>
      <c r="J2704" s="57" t="s">
        <v>803</v>
      </c>
      <c r="K2704" s="58">
        <v>99.99</v>
      </c>
      <c r="L2704" s="58">
        <v>5.48</v>
      </c>
      <c r="M2704" s="58">
        <v>0</v>
      </c>
      <c r="N2704" s="58">
        <v>1</v>
      </c>
      <c r="O2704" s="181">
        <f t="shared" si="20"/>
        <v>94.509999999999991</v>
      </c>
      <c r="P2704" s="247">
        <f t="shared" si="21"/>
        <v>94.509999999999991</v>
      </c>
    </row>
    <row r="2705" spans="1:16" ht="14.25">
      <c r="A2705" s="224">
        <v>2704</v>
      </c>
      <c r="B2705" s="58">
        <v>37723</v>
      </c>
      <c r="C2705" s="57" t="s">
        <v>6568</v>
      </c>
      <c r="D2705" s="57" t="s">
        <v>45</v>
      </c>
      <c r="E2705" s="57" t="s">
        <v>9</v>
      </c>
      <c r="F2705" s="58" t="s">
        <v>6570</v>
      </c>
      <c r="G2705" s="234" t="s">
        <v>233</v>
      </c>
      <c r="H2705" s="57" t="s">
        <v>2557</v>
      </c>
      <c r="I2705" s="58">
        <v>99216</v>
      </c>
      <c r="J2705" s="57" t="s">
        <v>804</v>
      </c>
      <c r="K2705" s="58">
        <v>69.989999999999995</v>
      </c>
      <c r="L2705" s="58">
        <v>3.98</v>
      </c>
      <c r="M2705" s="58">
        <v>0</v>
      </c>
      <c r="N2705" s="58">
        <v>1</v>
      </c>
      <c r="O2705" s="181">
        <f t="shared" si="20"/>
        <v>66.009999999999991</v>
      </c>
      <c r="P2705" s="247">
        <f t="shared" si="21"/>
        <v>66.009999999999991</v>
      </c>
    </row>
    <row r="2706" spans="1:16" ht="14.25">
      <c r="A2706" s="224">
        <v>2705</v>
      </c>
      <c r="B2706" s="58">
        <v>37721</v>
      </c>
      <c r="C2706" s="57" t="s">
        <v>6563</v>
      </c>
      <c r="D2706" s="57" t="s">
        <v>2582</v>
      </c>
      <c r="E2706" s="57" t="s">
        <v>2860</v>
      </c>
      <c r="F2706" s="58" t="s">
        <v>6571</v>
      </c>
      <c r="G2706" s="234" t="s">
        <v>233</v>
      </c>
      <c r="H2706" s="57" t="s">
        <v>2557</v>
      </c>
      <c r="I2706" s="58">
        <v>99192</v>
      </c>
      <c r="J2706" s="57"/>
      <c r="K2706" s="58">
        <v>0.01</v>
      </c>
      <c r="L2706" s="58">
        <v>0</v>
      </c>
      <c r="M2706" s="58">
        <v>0</v>
      </c>
      <c r="N2706" s="58">
        <v>7.0547300000000002</v>
      </c>
      <c r="O2706" s="181">
        <f t="shared" si="20"/>
        <v>0.01</v>
      </c>
      <c r="P2706" s="247">
        <f t="shared" si="21"/>
        <v>1.4174886919839597E-3</v>
      </c>
    </row>
    <row r="2707" spans="1:16" ht="14.25">
      <c r="A2707" s="224">
        <v>2706</v>
      </c>
      <c r="B2707" s="58">
        <v>37746</v>
      </c>
      <c r="C2707" s="57" t="s">
        <v>6572</v>
      </c>
      <c r="D2707" s="57" t="s">
        <v>45</v>
      </c>
      <c r="E2707" s="57" t="s">
        <v>2874</v>
      </c>
      <c r="F2707" s="58" t="s">
        <v>6573</v>
      </c>
      <c r="G2707" s="234" t="s">
        <v>233</v>
      </c>
      <c r="H2707" s="57" t="s">
        <v>2557</v>
      </c>
      <c r="I2707" s="58">
        <v>99396</v>
      </c>
      <c r="J2707" s="57"/>
      <c r="K2707" s="58">
        <v>13.59</v>
      </c>
      <c r="L2707" s="58">
        <v>0</v>
      </c>
      <c r="M2707" s="58">
        <v>0</v>
      </c>
      <c r="N2707" s="58">
        <v>1</v>
      </c>
      <c r="O2707" s="181">
        <f t="shared" si="20"/>
        <v>13.59</v>
      </c>
      <c r="P2707" s="247">
        <f t="shared" si="21"/>
        <v>13.59</v>
      </c>
    </row>
    <row r="2708" spans="1:16" ht="14.25">
      <c r="A2708" s="224">
        <v>2707</v>
      </c>
      <c r="B2708" s="58">
        <v>37748</v>
      </c>
      <c r="C2708" s="57" t="s">
        <v>6574</v>
      </c>
      <c r="D2708" s="57" t="s">
        <v>45</v>
      </c>
      <c r="E2708" s="57" t="s">
        <v>2860</v>
      </c>
      <c r="F2708" s="58" t="s">
        <v>6575</v>
      </c>
      <c r="G2708" s="234" t="s">
        <v>233</v>
      </c>
      <c r="H2708" s="57" t="s">
        <v>2557</v>
      </c>
      <c r="I2708" s="58">
        <v>99432</v>
      </c>
      <c r="J2708" s="57" t="s">
        <v>6576</v>
      </c>
      <c r="K2708" s="58">
        <v>23.19</v>
      </c>
      <c r="L2708" s="58">
        <v>0</v>
      </c>
      <c r="M2708" s="58">
        <v>0</v>
      </c>
      <c r="N2708" s="58">
        <v>1</v>
      </c>
      <c r="O2708" s="181">
        <f t="shared" si="20"/>
        <v>23.19</v>
      </c>
      <c r="P2708" s="247">
        <f t="shared" si="21"/>
        <v>23.19</v>
      </c>
    </row>
    <row r="2709" spans="1:16" ht="14.25">
      <c r="A2709" s="224">
        <v>2708</v>
      </c>
      <c r="B2709" s="58">
        <v>37749</v>
      </c>
      <c r="C2709" s="57" t="s">
        <v>4237</v>
      </c>
      <c r="D2709" s="57" t="s">
        <v>45</v>
      </c>
      <c r="E2709" s="57" t="s">
        <v>2860</v>
      </c>
      <c r="F2709" s="58" t="s">
        <v>6577</v>
      </c>
      <c r="G2709" s="234" t="s">
        <v>233</v>
      </c>
      <c r="H2709" s="57" t="s">
        <v>2557</v>
      </c>
      <c r="I2709" s="58">
        <v>99444</v>
      </c>
      <c r="J2709" s="57" t="s">
        <v>6578</v>
      </c>
      <c r="K2709" s="58">
        <v>3.99</v>
      </c>
      <c r="L2709" s="58">
        <v>0</v>
      </c>
      <c r="M2709" s="58">
        <v>0</v>
      </c>
      <c r="N2709" s="58">
        <v>1</v>
      </c>
      <c r="O2709" s="181">
        <f t="shared" si="20"/>
        <v>3.99</v>
      </c>
      <c r="P2709" s="247">
        <f t="shared" si="21"/>
        <v>3.99</v>
      </c>
    </row>
    <row r="2710" spans="1:16" ht="14.25">
      <c r="A2710" s="224">
        <v>2709</v>
      </c>
      <c r="B2710" s="58">
        <v>37751</v>
      </c>
      <c r="C2710" s="57" t="s">
        <v>6579</v>
      </c>
      <c r="D2710" s="57" t="s">
        <v>45</v>
      </c>
      <c r="E2710" s="57" t="s">
        <v>2860</v>
      </c>
      <c r="F2710" s="58" t="s">
        <v>6580</v>
      </c>
      <c r="G2710" s="234" t="s">
        <v>233</v>
      </c>
      <c r="H2710" s="57" t="s">
        <v>2557</v>
      </c>
      <c r="I2710" s="58">
        <v>99456</v>
      </c>
      <c r="J2710" s="57" t="s">
        <v>6581</v>
      </c>
      <c r="K2710" s="58">
        <v>3.99</v>
      </c>
      <c r="L2710" s="58">
        <v>0</v>
      </c>
      <c r="M2710" s="58">
        <v>0</v>
      </c>
      <c r="N2710" s="58">
        <v>1</v>
      </c>
      <c r="O2710" s="181">
        <f t="shared" si="20"/>
        <v>3.99</v>
      </c>
      <c r="P2710" s="247">
        <f t="shared" si="21"/>
        <v>3.99</v>
      </c>
    </row>
    <row r="2711" spans="1:16" ht="14.25">
      <c r="A2711" s="224">
        <v>2710</v>
      </c>
      <c r="B2711" s="58">
        <v>24787</v>
      </c>
      <c r="C2711" s="57" t="s">
        <v>4298</v>
      </c>
      <c r="D2711" s="57" t="s">
        <v>45</v>
      </c>
      <c r="E2711" s="57" t="s">
        <v>2860</v>
      </c>
      <c r="F2711" s="58" t="s">
        <v>6582</v>
      </c>
      <c r="G2711" s="234" t="s">
        <v>233</v>
      </c>
      <c r="H2711" s="57" t="s">
        <v>2557</v>
      </c>
      <c r="I2711" s="58">
        <v>99132</v>
      </c>
      <c r="J2711" s="57" t="s">
        <v>6583</v>
      </c>
      <c r="K2711" s="58">
        <v>19.989999999999998</v>
      </c>
      <c r="L2711" s="58">
        <v>0</v>
      </c>
      <c r="M2711" s="58">
        <v>0</v>
      </c>
      <c r="N2711" s="58">
        <v>1</v>
      </c>
      <c r="O2711" s="181">
        <f t="shared" si="20"/>
        <v>19.989999999999998</v>
      </c>
      <c r="P2711" s="247">
        <f t="shared" si="21"/>
        <v>19.989999999999998</v>
      </c>
    </row>
    <row r="2712" spans="1:16" ht="14.25">
      <c r="A2712" s="224">
        <v>2711</v>
      </c>
      <c r="B2712" s="58">
        <v>419</v>
      </c>
      <c r="C2712" s="57" t="s">
        <v>6584</v>
      </c>
      <c r="D2712" s="57" t="s">
        <v>2582</v>
      </c>
      <c r="E2712" s="57" t="s">
        <v>2860</v>
      </c>
      <c r="F2712" s="58" t="s">
        <v>6585</v>
      </c>
      <c r="G2712" s="234" t="s">
        <v>233</v>
      </c>
      <c r="H2712" s="57" t="s">
        <v>2557</v>
      </c>
      <c r="I2712" s="58">
        <v>97128</v>
      </c>
      <c r="J2712" s="57" t="s">
        <v>6586</v>
      </c>
      <c r="K2712" s="58">
        <v>61.09</v>
      </c>
      <c r="L2712" s="58">
        <v>0</v>
      </c>
      <c r="M2712" s="58">
        <v>0</v>
      </c>
      <c r="N2712" s="58">
        <v>7.0547300000000002</v>
      </c>
      <c r="O2712" s="181">
        <f t="shared" si="20"/>
        <v>61.09</v>
      </c>
      <c r="P2712" s="247">
        <f t="shared" si="21"/>
        <v>8.6594384193300105</v>
      </c>
    </row>
    <row r="2713" spans="1:16" ht="14.25">
      <c r="A2713" s="224">
        <v>2712</v>
      </c>
      <c r="B2713" s="58">
        <v>7698</v>
      </c>
      <c r="C2713" s="57" t="s">
        <v>2710</v>
      </c>
      <c r="D2713" s="57" t="s">
        <v>45</v>
      </c>
      <c r="E2713" s="57" t="s">
        <v>2874</v>
      </c>
      <c r="F2713" s="58" t="s">
        <v>6587</v>
      </c>
      <c r="G2713" s="234" t="s">
        <v>233</v>
      </c>
      <c r="H2713" s="57" t="s">
        <v>2557</v>
      </c>
      <c r="I2713" s="58">
        <v>97044</v>
      </c>
      <c r="J2713" s="57"/>
      <c r="K2713" s="58">
        <v>17.989999999999998</v>
      </c>
      <c r="L2713" s="58">
        <v>0</v>
      </c>
      <c r="M2713" s="58">
        <v>0</v>
      </c>
      <c r="N2713" s="58">
        <v>1</v>
      </c>
      <c r="O2713" s="181">
        <f t="shared" si="20"/>
        <v>17.989999999999998</v>
      </c>
      <c r="P2713" s="247">
        <f t="shared" si="21"/>
        <v>17.989999999999998</v>
      </c>
    </row>
    <row r="2714" spans="1:16" ht="14.25">
      <c r="A2714" s="224">
        <v>2713</v>
      </c>
      <c r="B2714" s="58">
        <v>7899</v>
      </c>
      <c r="C2714" s="57" t="s">
        <v>2714</v>
      </c>
      <c r="D2714" s="57" t="s">
        <v>45</v>
      </c>
      <c r="E2714" s="57" t="s">
        <v>2874</v>
      </c>
      <c r="F2714" s="58" t="s">
        <v>6588</v>
      </c>
      <c r="G2714" s="234" t="s">
        <v>233</v>
      </c>
      <c r="H2714" s="57" t="s">
        <v>2557</v>
      </c>
      <c r="I2714" s="58">
        <v>99468</v>
      </c>
      <c r="J2714" s="57"/>
      <c r="K2714" s="58">
        <v>59.99</v>
      </c>
      <c r="L2714" s="58">
        <v>0</v>
      </c>
      <c r="M2714" s="58">
        <v>0</v>
      </c>
      <c r="N2714" s="58">
        <v>1</v>
      </c>
      <c r="O2714" s="181">
        <f t="shared" si="20"/>
        <v>59.99</v>
      </c>
      <c r="P2714" s="247">
        <f t="shared" si="21"/>
        <v>59.99</v>
      </c>
    </row>
    <row r="2715" spans="1:16" ht="14.25">
      <c r="A2715" s="224">
        <v>2714</v>
      </c>
      <c r="B2715" s="58">
        <v>6360</v>
      </c>
      <c r="C2715" s="57" t="s">
        <v>6589</v>
      </c>
      <c r="D2715" s="57" t="s">
        <v>45</v>
      </c>
      <c r="E2715" s="57" t="s">
        <v>2860</v>
      </c>
      <c r="F2715" s="58" t="s">
        <v>6590</v>
      </c>
      <c r="G2715" s="234" t="s">
        <v>233</v>
      </c>
      <c r="H2715" s="57" t="s">
        <v>2557</v>
      </c>
      <c r="I2715" s="58">
        <v>99312</v>
      </c>
      <c r="J2715" s="57" t="s">
        <v>6591</v>
      </c>
      <c r="K2715" s="58">
        <v>20.25</v>
      </c>
      <c r="L2715" s="58">
        <v>0</v>
      </c>
      <c r="M2715" s="58">
        <v>0</v>
      </c>
      <c r="N2715" s="58">
        <v>1</v>
      </c>
      <c r="O2715" s="181">
        <f t="shared" si="20"/>
        <v>20.25</v>
      </c>
      <c r="P2715" s="247">
        <f t="shared" si="21"/>
        <v>20.25</v>
      </c>
    </row>
    <row r="2716" spans="1:16" ht="14.25">
      <c r="A2716" s="224">
        <v>2715</v>
      </c>
      <c r="B2716" s="58">
        <v>4493</v>
      </c>
      <c r="C2716" s="57" t="s">
        <v>6566</v>
      </c>
      <c r="D2716" s="57" t="s">
        <v>45</v>
      </c>
      <c r="E2716" s="57" t="s">
        <v>9</v>
      </c>
      <c r="F2716" s="58" t="s">
        <v>6592</v>
      </c>
      <c r="G2716" s="234" t="s">
        <v>233</v>
      </c>
      <c r="H2716" s="57" t="s">
        <v>6593</v>
      </c>
      <c r="I2716" s="58">
        <v>36103</v>
      </c>
      <c r="J2716" s="57" t="s">
        <v>806</v>
      </c>
      <c r="K2716" s="58">
        <v>0</v>
      </c>
      <c r="L2716" s="58">
        <v>-1.0900000000000001</v>
      </c>
      <c r="M2716" s="58">
        <v>11.99</v>
      </c>
      <c r="N2716" s="58">
        <v>1</v>
      </c>
      <c r="O2716" s="181">
        <f t="shared" si="20"/>
        <v>-10.9</v>
      </c>
      <c r="P2716" s="247">
        <f t="shared" si="21"/>
        <v>-10.9</v>
      </c>
    </row>
    <row r="2717" spans="1:16" ht="14.25">
      <c r="A2717" s="224">
        <v>2716</v>
      </c>
      <c r="B2717" s="58">
        <v>37837</v>
      </c>
      <c r="C2717" s="57" t="s">
        <v>6594</v>
      </c>
      <c r="D2717" s="57" t="s">
        <v>2582</v>
      </c>
      <c r="E2717" s="57" t="s">
        <v>2860</v>
      </c>
      <c r="F2717" s="58" t="s">
        <v>6595</v>
      </c>
      <c r="G2717" s="234" t="s">
        <v>233</v>
      </c>
      <c r="H2717" s="57" t="s">
        <v>2557</v>
      </c>
      <c r="I2717" s="58">
        <v>99648</v>
      </c>
      <c r="J2717" s="57" t="s">
        <v>6596</v>
      </c>
      <c r="K2717" s="58">
        <v>28.12</v>
      </c>
      <c r="L2717" s="58">
        <v>0</v>
      </c>
      <c r="M2717" s="58">
        <v>0</v>
      </c>
      <c r="N2717" s="58">
        <v>7.0470499999999996</v>
      </c>
      <c r="O2717" s="181">
        <f t="shared" si="20"/>
        <v>28.12</v>
      </c>
      <c r="P2717" s="247">
        <f t="shared" si="21"/>
        <v>3.990322191555332</v>
      </c>
    </row>
    <row r="2718" spans="1:16" ht="14.25">
      <c r="A2718" s="224">
        <v>2717</v>
      </c>
      <c r="B2718" s="58">
        <v>980</v>
      </c>
      <c r="C2718" s="57" t="s">
        <v>2902</v>
      </c>
      <c r="D2718" s="57" t="s">
        <v>2582</v>
      </c>
      <c r="E2718" s="57" t="s">
        <v>2874</v>
      </c>
      <c r="F2718" s="58" t="s">
        <v>2346</v>
      </c>
      <c r="G2718" s="234" t="s">
        <v>233</v>
      </c>
      <c r="H2718" s="57" t="s">
        <v>2557</v>
      </c>
      <c r="I2718" s="58">
        <v>99672</v>
      </c>
      <c r="J2718" s="57"/>
      <c r="K2718" s="58">
        <v>35.159999999999997</v>
      </c>
      <c r="L2718" s="58">
        <v>0</v>
      </c>
      <c r="M2718" s="58">
        <v>0</v>
      </c>
      <c r="N2718" s="58">
        <v>7.0470499999999996</v>
      </c>
      <c r="O2718" s="181">
        <f t="shared" si="20"/>
        <v>35.159999999999997</v>
      </c>
      <c r="P2718" s="247">
        <f t="shared" si="21"/>
        <v>4.9893217729404498</v>
      </c>
    </row>
    <row r="2719" spans="1:16" ht="14.25">
      <c r="A2719" s="224">
        <v>2718</v>
      </c>
      <c r="B2719" s="58">
        <v>37856</v>
      </c>
      <c r="C2719" s="57" t="s">
        <v>6597</v>
      </c>
      <c r="D2719" s="57" t="s">
        <v>45</v>
      </c>
      <c r="E2719" s="57" t="s">
        <v>2874</v>
      </c>
      <c r="F2719" s="58" t="s">
        <v>6598</v>
      </c>
      <c r="G2719" s="234" t="s">
        <v>233</v>
      </c>
      <c r="H2719" s="57" t="s">
        <v>2557</v>
      </c>
      <c r="I2719" s="58">
        <v>99684</v>
      </c>
      <c r="J2719" s="57"/>
      <c r="K2719" s="58">
        <v>23.19</v>
      </c>
      <c r="L2719" s="58">
        <v>0</v>
      </c>
      <c r="M2719" s="58">
        <v>0</v>
      </c>
      <c r="N2719" s="58">
        <v>1</v>
      </c>
      <c r="O2719" s="181">
        <f t="shared" si="20"/>
        <v>23.19</v>
      </c>
      <c r="P2719" s="247">
        <f t="shared" si="21"/>
        <v>23.19</v>
      </c>
    </row>
    <row r="2720" spans="1:16" ht="14.25">
      <c r="A2720" s="224">
        <v>2719</v>
      </c>
      <c r="B2720" s="58">
        <v>35962</v>
      </c>
      <c r="C2720" s="57" t="s">
        <v>6391</v>
      </c>
      <c r="D2720" s="57" t="s">
        <v>45</v>
      </c>
      <c r="E2720" s="57" t="s">
        <v>2860</v>
      </c>
      <c r="F2720" s="58" t="s">
        <v>6599</v>
      </c>
      <c r="G2720" s="234" t="s">
        <v>233</v>
      </c>
      <c r="H2720" s="57" t="s">
        <v>2557</v>
      </c>
      <c r="I2720" s="58">
        <v>99696</v>
      </c>
      <c r="J2720" s="57" t="s">
        <v>6600</v>
      </c>
      <c r="K2720" s="58">
        <v>120</v>
      </c>
      <c r="L2720" s="58">
        <v>0</v>
      </c>
      <c r="M2720" s="58">
        <v>0</v>
      </c>
      <c r="N2720" s="58">
        <v>1</v>
      </c>
      <c r="O2720" s="181">
        <f t="shared" si="20"/>
        <v>120</v>
      </c>
      <c r="P2720" s="247">
        <f t="shared" si="21"/>
        <v>120</v>
      </c>
    </row>
    <row r="2721" spans="1:16" ht="14.25">
      <c r="A2721" s="224">
        <v>2720</v>
      </c>
      <c r="B2721" s="58">
        <v>37858</v>
      </c>
      <c r="C2721" s="57" t="s">
        <v>6301</v>
      </c>
      <c r="D2721" s="57" t="s">
        <v>45</v>
      </c>
      <c r="E2721" s="57" t="s">
        <v>2860</v>
      </c>
      <c r="F2721" s="58" t="s">
        <v>6601</v>
      </c>
      <c r="G2721" s="234" t="s">
        <v>233</v>
      </c>
      <c r="H2721" s="57" t="s">
        <v>2557</v>
      </c>
      <c r="I2721" s="58">
        <v>99708</v>
      </c>
      <c r="J2721" s="57" t="s">
        <v>6602</v>
      </c>
      <c r="K2721" s="58">
        <v>1.99</v>
      </c>
      <c r="L2721" s="58">
        <v>0</v>
      </c>
      <c r="M2721" s="58">
        <v>0</v>
      </c>
      <c r="N2721" s="58">
        <v>1</v>
      </c>
      <c r="O2721" s="181">
        <f t="shared" si="20"/>
        <v>1.99</v>
      </c>
      <c r="P2721" s="247">
        <f t="shared" si="21"/>
        <v>1.99</v>
      </c>
    </row>
    <row r="2722" spans="1:16" ht="14.25">
      <c r="A2722" s="224">
        <v>2721</v>
      </c>
      <c r="B2722" s="58">
        <v>351</v>
      </c>
      <c r="C2722" s="57" t="s">
        <v>2707</v>
      </c>
      <c r="D2722" s="57" t="s">
        <v>45</v>
      </c>
      <c r="E2722" s="57" t="s">
        <v>9</v>
      </c>
      <c r="F2722" s="58" t="s">
        <v>6603</v>
      </c>
      <c r="G2722" s="234" t="s">
        <v>233</v>
      </c>
      <c r="H2722" s="57" t="s">
        <v>2557</v>
      </c>
      <c r="I2722" s="58">
        <v>95664</v>
      </c>
      <c r="J2722" s="57" t="s">
        <v>809</v>
      </c>
      <c r="K2722" s="58">
        <v>1.0900000000000001</v>
      </c>
      <c r="L2722" s="58">
        <v>0.54</v>
      </c>
      <c r="M2722" s="58">
        <v>0</v>
      </c>
      <c r="N2722" s="58">
        <v>1</v>
      </c>
      <c r="O2722" s="181">
        <f t="shared" si="20"/>
        <v>0.55000000000000004</v>
      </c>
      <c r="P2722" s="247">
        <f t="shared" si="21"/>
        <v>0.55000000000000004</v>
      </c>
    </row>
    <row r="2723" spans="1:16" ht="14.25">
      <c r="A2723" s="224">
        <v>2722</v>
      </c>
      <c r="B2723" s="58">
        <v>37859</v>
      </c>
      <c r="C2723" s="57" t="s">
        <v>6604</v>
      </c>
      <c r="D2723" s="57" t="s">
        <v>45</v>
      </c>
      <c r="E2723" s="57" t="s">
        <v>2860</v>
      </c>
      <c r="F2723" s="58" t="s">
        <v>6605</v>
      </c>
      <c r="G2723" s="234" t="s">
        <v>233</v>
      </c>
      <c r="H2723" s="57" t="s">
        <v>2557</v>
      </c>
      <c r="I2723" s="58">
        <v>99720</v>
      </c>
      <c r="J2723" s="57" t="s">
        <v>6606</v>
      </c>
      <c r="K2723" s="58">
        <v>4.49</v>
      </c>
      <c r="L2723" s="58">
        <v>0</v>
      </c>
      <c r="M2723" s="58">
        <v>0</v>
      </c>
      <c r="N2723" s="58">
        <v>1</v>
      </c>
      <c r="O2723" s="181">
        <f t="shared" si="20"/>
        <v>4.49</v>
      </c>
      <c r="P2723" s="247">
        <f t="shared" si="21"/>
        <v>4.49</v>
      </c>
    </row>
    <row r="2724" spans="1:16" ht="14.25">
      <c r="A2724" s="224">
        <v>2723</v>
      </c>
      <c r="B2724" s="58">
        <v>5254</v>
      </c>
      <c r="C2724" s="57" t="s">
        <v>5006</v>
      </c>
      <c r="D2724" s="57" t="s">
        <v>45</v>
      </c>
      <c r="E2724" s="57" t="s">
        <v>2860</v>
      </c>
      <c r="F2724" s="58" t="s">
        <v>6607</v>
      </c>
      <c r="G2724" s="234" t="s">
        <v>233</v>
      </c>
      <c r="H2724" s="57" t="s">
        <v>2557</v>
      </c>
      <c r="I2724" s="58">
        <v>97296</v>
      </c>
      <c r="J2724" s="57" t="s">
        <v>6608</v>
      </c>
      <c r="K2724" s="58">
        <v>8.4</v>
      </c>
      <c r="L2724" s="58">
        <v>0</v>
      </c>
      <c r="M2724" s="58">
        <v>0</v>
      </c>
      <c r="N2724" s="58">
        <v>1</v>
      </c>
      <c r="O2724" s="181">
        <f t="shared" si="20"/>
        <v>8.4</v>
      </c>
      <c r="P2724" s="247">
        <f t="shared" si="21"/>
        <v>8.4</v>
      </c>
    </row>
    <row r="2725" spans="1:16" ht="14.25">
      <c r="A2725" s="224">
        <v>2724</v>
      </c>
      <c r="B2725" s="58">
        <v>4518</v>
      </c>
      <c r="C2725" s="57" t="s">
        <v>6609</v>
      </c>
      <c r="D2725" s="57" t="s">
        <v>45</v>
      </c>
      <c r="E2725" s="57" t="s">
        <v>4772</v>
      </c>
      <c r="F2725" s="58" t="s">
        <v>6610</v>
      </c>
      <c r="G2725" s="234" t="s">
        <v>233</v>
      </c>
      <c r="H2725" s="57" t="s">
        <v>2557</v>
      </c>
      <c r="I2725" s="58">
        <v>99744</v>
      </c>
      <c r="J2725" s="57" t="s">
        <v>2347</v>
      </c>
      <c r="K2725" s="58">
        <v>23.99</v>
      </c>
      <c r="L2725" s="58">
        <v>0.7</v>
      </c>
      <c r="M2725" s="58">
        <v>0</v>
      </c>
      <c r="N2725" s="58">
        <v>1</v>
      </c>
      <c r="O2725" s="181">
        <f t="shared" si="20"/>
        <v>23.29</v>
      </c>
      <c r="P2725" s="247">
        <f t="shared" si="21"/>
        <v>23.29</v>
      </c>
    </row>
    <row r="2726" spans="1:16" ht="14.25">
      <c r="A2726" s="224">
        <v>2725</v>
      </c>
      <c r="B2726" s="58">
        <v>37873</v>
      </c>
      <c r="C2726" s="57" t="s">
        <v>6611</v>
      </c>
      <c r="D2726" s="57" t="s">
        <v>2582</v>
      </c>
      <c r="E2726" s="57" t="s">
        <v>2860</v>
      </c>
      <c r="F2726" s="58" t="s">
        <v>6612</v>
      </c>
      <c r="G2726" s="234" t="s">
        <v>233</v>
      </c>
      <c r="H2726" s="57" t="s">
        <v>2557</v>
      </c>
      <c r="I2726" s="58">
        <v>99756</v>
      </c>
      <c r="J2726" s="57" t="s">
        <v>6613</v>
      </c>
      <c r="K2726" s="58">
        <v>36.57</v>
      </c>
      <c r="L2726" s="58">
        <v>0</v>
      </c>
      <c r="M2726" s="58">
        <v>0</v>
      </c>
      <c r="N2726" s="58">
        <v>7.0470499999999996</v>
      </c>
      <c r="O2726" s="181">
        <f t="shared" si="20"/>
        <v>36.57</v>
      </c>
      <c r="P2726" s="247">
        <f t="shared" si="21"/>
        <v>5.1894054959167315</v>
      </c>
    </row>
    <row r="2727" spans="1:16" ht="14.25">
      <c r="A2727" s="224">
        <v>2726</v>
      </c>
      <c r="B2727" s="58">
        <v>37873</v>
      </c>
      <c r="C2727" s="57" t="s">
        <v>6611</v>
      </c>
      <c r="D2727" s="57" t="s">
        <v>2582</v>
      </c>
      <c r="E2727" s="57" t="s">
        <v>2860</v>
      </c>
      <c r="F2727" s="58" t="s">
        <v>6614</v>
      </c>
      <c r="G2727" s="234" t="s">
        <v>233</v>
      </c>
      <c r="H2727" s="57" t="s">
        <v>2557</v>
      </c>
      <c r="I2727" s="58">
        <v>99756</v>
      </c>
      <c r="J2727" s="57"/>
      <c r="K2727" s="58">
        <v>0.02</v>
      </c>
      <c r="L2727" s="58">
        <v>0</v>
      </c>
      <c r="M2727" s="58">
        <v>0</v>
      </c>
      <c r="N2727" s="58">
        <v>7.0470499999999996</v>
      </c>
      <c r="O2727" s="181">
        <f t="shared" si="20"/>
        <v>0.02</v>
      </c>
      <c r="P2727" s="247">
        <f t="shared" si="21"/>
        <v>2.8380669925713599E-3</v>
      </c>
    </row>
    <row r="2728" spans="1:16" ht="14.25">
      <c r="A2728" s="224">
        <v>2727</v>
      </c>
      <c r="B2728" s="58">
        <v>37922</v>
      </c>
      <c r="C2728" s="57" t="s">
        <v>6615</v>
      </c>
      <c r="D2728" s="57" t="s">
        <v>45</v>
      </c>
      <c r="E2728" s="57" t="s">
        <v>2860</v>
      </c>
      <c r="F2728" s="58" t="s">
        <v>6616</v>
      </c>
      <c r="G2728" s="234" t="s">
        <v>233</v>
      </c>
      <c r="H2728" s="57" t="s">
        <v>2557</v>
      </c>
      <c r="I2728" s="58">
        <v>100008</v>
      </c>
      <c r="J2728" s="57" t="s">
        <v>6617</v>
      </c>
      <c r="K2728" s="58">
        <v>4.49</v>
      </c>
      <c r="L2728" s="58">
        <v>0</v>
      </c>
      <c r="M2728" s="58">
        <v>0</v>
      </c>
      <c r="N2728" s="58">
        <v>1</v>
      </c>
      <c r="O2728" s="181">
        <f t="shared" si="20"/>
        <v>4.49</v>
      </c>
      <c r="P2728" s="247">
        <f t="shared" si="21"/>
        <v>4.49</v>
      </c>
    </row>
    <row r="2729" spans="1:16" ht="14.25">
      <c r="A2729" s="224">
        <v>2728</v>
      </c>
      <c r="B2729" s="58">
        <v>28960</v>
      </c>
      <c r="C2729" s="57" t="s">
        <v>6012</v>
      </c>
      <c r="D2729" s="57" t="s">
        <v>2582</v>
      </c>
      <c r="E2729" s="57" t="s">
        <v>2860</v>
      </c>
      <c r="F2729" s="58" t="s">
        <v>6618</v>
      </c>
      <c r="G2729" s="234" t="s">
        <v>233</v>
      </c>
      <c r="H2729" s="57" t="s">
        <v>2557</v>
      </c>
      <c r="I2729" s="58">
        <v>100032</v>
      </c>
      <c r="J2729" s="57" t="s">
        <v>6619</v>
      </c>
      <c r="K2729" s="58">
        <v>375</v>
      </c>
      <c r="L2729" s="58">
        <v>0</v>
      </c>
      <c r="M2729" s="58">
        <v>0</v>
      </c>
      <c r="N2729" s="58">
        <v>7.0422900000000004</v>
      </c>
      <c r="O2729" s="181">
        <f t="shared" si="20"/>
        <v>375</v>
      </c>
      <c r="P2729" s="247">
        <f t="shared" si="21"/>
        <v>53.249724166428813</v>
      </c>
    </row>
    <row r="2730" spans="1:16" ht="14.25">
      <c r="A2730" s="224">
        <v>2729</v>
      </c>
      <c r="B2730" s="58">
        <v>5310</v>
      </c>
      <c r="C2730" s="57" t="s">
        <v>6620</v>
      </c>
      <c r="D2730" s="57" t="s">
        <v>45</v>
      </c>
      <c r="E2730" s="57" t="s">
        <v>9</v>
      </c>
      <c r="F2730" s="58" t="s">
        <v>6621</v>
      </c>
      <c r="G2730" s="234" t="s">
        <v>233</v>
      </c>
      <c r="H2730" s="57" t="s">
        <v>2557</v>
      </c>
      <c r="I2730" s="58">
        <v>97308</v>
      </c>
      <c r="J2730" s="57" t="s">
        <v>812</v>
      </c>
      <c r="K2730" s="58">
        <v>8.4</v>
      </c>
      <c r="L2730" s="58">
        <v>0.91</v>
      </c>
      <c r="M2730" s="58">
        <v>0</v>
      </c>
      <c r="N2730" s="58">
        <v>1</v>
      </c>
      <c r="O2730" s="181">
        <f t="shared" si="20"/>
        <v>7.49</v>
      </c>
      <c r="P2730" s="247">
        <f t="shared" si="21"/>
        <v>7.49</v>
      </c>
    </row>
    <row r="2731" spans="1:16" ht="14.25">
      <c r="A2731" s="224">
        <v>2730</v>
      </c>
      <c r="B2731" s="58">
        <v>37870</v>
      </c>
      <c r="C2731" s="57" t="s">
        <v>6622</v>
      </c>
      <c r="D2731" s="57" t="s">
        <v>45</v>
      </c>
      <c r="E2731" s="57" t="s">
        <v>2874</v>
      </c>
      <c r="F2731" s="58" t="s">
        <v>6623</v>
      </c>
      <c r="G2731" s="234" t="s">
        <v>233</v>
      </c>
      <c r="H2731" s="57" t="s">
        <v>2557</v>
      </c>
      <c r="I2731" s="58">
        <v>100020</v>
      </c>
      <c r="J2731" s="57"/>
      <c r="K2731" s="58">
        <v>11.18</v>
      </c>
      <c r="L2731" s="58">
        <v>0</v>
      </c>
      <c r="M2731" s="58">
        <v>0</v>
      </c>
      <c r="N2731" s="58">
        <v>1</v>
      </c>
      <c r="O2731" s="181">
        <f t="shared" si="20"/>
        <v>11.18</v>
      </c>
      <c r="P2731" s="247">
        <f t="shared" si="21"/>
        <v>11.18</v>
      </c>
    </row>
    <row r="2732" spans="1:16" ht="14.25">
      <c r="A2732" s="224">
        <v>2731</v>
      </c>
      <c r="B2732" s="58">
        <v>37944</v>
      </c>
      <c r="C2732" s="57" t="s">
        <v>6624</v>
      </c>
      <c r="D2732" s="57" t="s">
        <v>2582</v>
      </c>
      <c r="E2732" s="57" t="s">
        <v>2860</v>
      </c>
      <c r="F2732" s="58" t="s">
        <v>6625</v>
      </c>
      <c r="G2732" s="234" t="s">
        <v>233</v>
      </c>
      <c r="H2732" s="57" t="s">
        <v>2557</v>
      </c>
      <c r="I2732" s="58">
        <v>100068</v>
      </c>
      <c r="J2732" s="57" t="s">
        <v>6626</v>
      </c>
      <c r="K2732" s="58">
        <v>45.7</v>
      </c>
      <c r="L2732" s="58">
        <v>0</v>
      </c>
      <c r="M2732" s="58">
        <v>0</v>
      </c>
      <c r="N2732" s="58">
        <v>7.0422900000000004</v>
      </c>
      <c r="O2732" s="181">
        <f t="shared" si="20"/>
        <v>45.7</v>
      </c>
      <c r="P2732" s="247">
        <f t="shared" si="21"/>
        <v>6.4893663850821257</v>
      </c>
    </row>
    <row r="2733" spans="1:16" ht="14.25">
      <c r="A2733" s="224">
        <v>2732</v>
      </c>
      <c r="B2733" s="58">
        <v>37930</v>
      </c>
      <c r="C2733" s="57" t="s">
        <v>6627</v>
      </c>
      <c r="D2733" s="57" t="s">
        <v>2582</v>
      </c>
      <c r="E2733" s="57" t="s">
        <v>2860</v>
      </c>
      <c r="F2733" s="58" t="s">
        <v>6628</v>
      </c>
      <c r="G2733" s="234" t="s">
        <v>233</v>
      </c>
      <c r="H2733" s="57" t="s">
        <v>2557</v>
      </c>
      <c r="I2733" s="58">
        <v>100320</v>
      </c>
      <c r="J2733" s="57" t="s">
        <v>6629</v>
      </c>
      <c r="K2733" s="58">
        <v>53.46</v>
      </c>
      <c r="L2733" s="58">
        <v>0</v>
      </c>
      <c r="M2733" s="58">
        <v>0</v>
      </c>
      <c r="N2733" s="58">
        <v>7.0439299999999996</v>
      </c>
      <c r="O2733" s="181">
        <f t="shared" si="20"/>
        <v>53.46</v>
      </c>
      <c r="P2733" s="247">
        <f t="shared" si="21"/>
        <v>7.5895132404779728</v>
      </c>
    </row>
    <row r="2734" spans="1:16" ht="14.25">
      <c r="A2734" s="224">
        <v>2733</v>
      </c>
      <c r="B2734" s="58">
        <v>27903</v>
      </c>
      <c r="C2734" s="57" t="s">
        <v>5168</v>
      </c>
      <c r="D2734" s="57" t="s">
        <v>45</v>
      </c>
      <c r="E2734" s="57" t="s">
        <v>2874</v>
      </c>
      <c r="F2734" s="58" t="s">
        <v>6630</v>
      </c>
      <c r="G2734" s="234" t="s">
        <v>233</v>
      </c>
      <c r="H2734" s="57" t="s">
        <v>2557</v>
      </c>
      <c r="I2734" s="58">
        <v>100056</v>
      </c>
      <c r="J2734" s="57"/>
      <c r="K2734" s="58">
        <v>500.5</v>
      </c>
      <c r="L2734" s="58">
        <v>0</v>
      </c>
      <c r="M2734" s="58">
        <v>0</v>
      </c>
      <c r="N2734" s="58">
        <v>1</v>
      </c>
      <c r="O2734" s="181">
        <f t="shared" si="20"/>
        <v>500.5</v>
      </c>
      <c r="P2734" s="247">
        <f t="shared" si="21"/>
        <v>500.5</v>
      </c>
    </row>
    <row r="2735" spans="1:16" ht="14.25">
      <c r="A2735" s="224">
        <v>2734</v>
      </c>
      <c r="B2735" s="58">
        <v>38010</v>
      </c>
      <c r="C2735" s="57" t="s">
        <v>6631</v>
      </c>
      <c r="D2735" s="57" t="s">
        <v>45</v>
      </c>
      <c r="E2735" s="57" t="s">
        <v>2860</v>
      </c>
      <c r="F2735" s="58" t="s">
        <v>6632</v>
      </c>
      <c r="G2735" s="234" t="s">
        <v>233</v>
      </c>
      <c r="H2735" s="57" t="s">
        <v>2557</v>
      </c>
      <c r="I2735" s="58">
        <v>100332</v>
      </c>
      <c r="J2735" s="57" t="s">
        <v>6633</v>
      </c>
      <c r="K2735" s="58">
        <v>2.99</v>
      </c>
      <c r="L2735" s="58">
        <v>0</v>
      </c>
      <c r="M2735" s="58">
        <v>0</v>
      </c>
      <c r="N2735" s="58">
        <v>1</v>
      </c>
      <c r="O2735" s="181">
        <f t="shared" si="20"/>
        <v>2.99</v>
      </c>
      <c r="P2735" s="247">
        <f t="shared" si="21"/>
        <v>2.99</v>
      </c>
    </row>
    <row r="2736" spans="1:16" ht="14.25">
      <c r="A2736" s="224">
        <v>2735</v>
      </c>
      <c r="B2736" s="58">
        <v>28642</v>
      </c>
      <c r="C2736" s="57" t="s">
        <v>5177</v>
      </c>
      <c r="D2736" s="57" t="s">
        <v>2582</v>
      </c>
      <c r="E2736" s="57" t="s">
        <v>4772</v>
      </c>
      <c r="F2736" s="58" t="s">
        <v>6634</v>
      </c>
      <c r="G2736" s="234" t="s">
        <v>233</v>
      </c>
      <c r="H2736" s="57" t="s">
        <v>2557</v>
      </c>
      <c r="I2736" s="58">
        <v>97452</v>
      </c>
      <c r="J2736" s="57" t="s">
        <v>2350</v>
      </c>
      <c r="K2736" s="58">
        <v>31.95</v>
      </c>
      <c r="L2736" s="58">
        <v>0.14000000000000001</v>
      </c>
      <c r="M2736" s="58">
        <v>0</v>
      </c>
      <c r="N2736" s="58">
        <v>7.0439299999999996</v>
      </c>
      <c r="O2736" s="181">
        <f t="shared" si="20"/>
        <v>31.81</v>
      </c>
      <c r="P2736" s="247">
        <f t="shared" si="21"/>
        <v>4.515944934148977</v>
      </c>
    </row>
    <row r="2737" spans="1:16" ht="14.25">
      <c r="A2737" s="224">
        <v>2736</v>
      </c>
      <c r="B2737" s="58">
        <v>37969</v>
      </c>
      <c r="C2737" s="57" t="s">
        <v>6635</v>
      </c>
      <c r="D2737" s="57" t="s">
        <v>45</v>
      </c>
      <c r="E2737" s="57" t="s">
        <v>4772</v>
      </c>
      <c r="F2737" s="58" t="s">
        <v>6636</v>
      </c>
      <c r="G2737" s="234" t="s">
        <v>233</v>
      </c>
      <c r="H2737" s="57" t="s">
        <v>2557</v>
      </c>
      <c r="I2737" s="58">
        <v>100392</v>
      </c>
      <c r="J2737" s="57" t="s">
        <v>6637</v>
      </c>
      <c r="K2737" s="58">
        <v>13.59</v>
      </c>
      <c r="L2737" s="58">
        <v>0</v>
      </c>
      <c r="M2737" s="58">
        <v>0</v>
      </c>
      <c r="N2737" s="58">
        <v>1</v>
      </c>
      <c r="O2737" s="181">
        <f t="shared" si="20"/>
        <v>13.59</v>
      </c>
      <c r="P2737" s="247">
        <f t="shared" si="21"/>
        <v>13.59</v>
      </c>
    </row>
    <row r="2738" spans="1:16" ht="14.25">
      <c r="A2738" s="224">
        <v>2737</v>
      </c>
      <c r="B2738" s="58">
        <v>18477</v>
      </c>
      <c r="C2738" s="57" t="s">
        <v>2966</v>
      </c>
      <c r="D2738" s="57" t="s">
        <v>45</v>
      </c>
      <c r="E2738" s="57" t="s">
        <v>2874</v>
      </c>
      <c r="F2738" s="58" t="s">
        <v>6638</v>
      </c>
      <c r="G2738" s="234" t="s">
        <v>233</v>
      </c>
      <c r="H2738" s="57" t="s">
        <v>2557</v>
      </c>
      <c r="I2738" s="58">
        <v>97404</v>
      </c>
      <c r="J2738" s="57"/>
      <c r="K2738" s="58">
        <v>110</v>
      </c>
      <c r="L2738" s="58">
        <v>0</v>
      </c>
      <c r="M2738" s="58">
        <v>0</v>
      </c>
      <c r="N2738" s="58">
        <v>1</v>
      </c>
      <c r="O2738" s="181">
        <f t="shared" si="20"/>
        <v>110</v>
      </c>
      <c r="P2738" s="247">
        <f t="shared" si="21"/>
        <v>110</v>
      </c>
    </row>
    <row r="2739" spans="1:16" ht="14.25">
      <c r="A2739" s="224">
        <v>2738</v>
      </c>
      <c r="B2739" s="58">
        <v>37930</v>
      </c>
      <c r="C2739" s="57" t="s">
        <v>6627</v>
      </c>
      <c r="D2739" s="57" t="s">
        <v>2582</v>
      </c>
      <c r="E2739" s="57" t="s">
        <v>2860</v>
      </c>
      <c r="F2739" s="58" t="s">
        <v>6639</v>
      </c>
      <c r="G2739" s="234" t="s">
        <v>233</v>
      </c>
      <c r="H2739" s="57" t="s">
        <v>2557</v>
      </c>
      <c r="I2739" s="58">
        <v>100320</v>
      </c>
      <c r="J2739" s="57"/>
      <c r="K2739" s="58">
        <v>0.02</v>
      </c>
      <c r="L2739" s="58">
        <v>0</v>
      </c>
      <c r="M2739" s="58">
        <v>0</v>
      </c>
      <c r="N2739" s="58">
        <v>7.0439299999999996</v>
      </c>
      <c r="O2739" s="181">
        <f t="shared" si="20"/>
        <v>0.02</v>
      </c>
      <c r="P2739" s="247">
        <f t="shared" si="21"/>
        <v>2.8393240705117742E-3</v>
      </c>
    </row>
    <row r="2740" spans="1:16" ht="14.25">
      <c r="A2740" s="224">
        <v>2739</v>
      </c>
      <c r="B2740" s="58">
        <v>28642</v>
      </c>
      <c r="C2740" s="57" t="s">
        <v>5177</v>
      </c>
      <c r="D2740" s="57" t="s">
        <v>2582</v>
      </c>
      <c r="E2740" s="57" t="s">
        <v>2860</v>
      </c>
      <c r="F2740" s="58" t="s">
        <v>6640</v>
      </c>
      <c r="G2740" s="234" t="s">
        <v>233</v>
      </c>
      <c r="H2740" s="57" t="s">
        <v>2557</v>
      </c>
      <c r="I2740" s="58">
        <v>95160</v>
      </c>
      <c r="J2740" s="57"/>
      <c r="K2740" s="58">
        <v>0.02</v>
      </c>
      <c r="L2740" s="58">
        <v>0</v>
      </c>
      <c r="M2740" s="58">
        <v>0</v>
      </c>
      <c r="N2740" s="58">
        <v>7.0439299999999996</v>
      </c>
      <c r="O2740" s="181">
        <f t="shared" si="20"/>
        <v>0.02</v>
      </c>
      <c r="P2740" s="247">
        <f t="shared" si="21"/>
        <v>2.8393240705117742E-3</v>
      </c>
    </row>
    <row r="2741" spans="1:16" ht="14.25">
      <c r="A2741" s="224">
        <v>2740</v>
      </c>
      <c r="B2741" s="58">
        <v>37944</v>
      </c>
      <c r="C2741" s="57" t="s">
        <v>6624</v>
      </c>
      <c r="D2741" s="57" t="s">
        <v>2582</v>
      </c>
      <c r="E2741" s="57" t="s">
        <v>2860</v>
      </c>
      <c r="F2741" s="58" t="s">
        <v>6641</v>
      </c>
      <c r="G2741" s="234" t="s">
        <v>233</v>
      </c>
      <c r="H2741" s="57" t="s">
        <v>2557</v>
      </c>
      <c r="I2741" s="58">
        <v>100524</v>
      </c>
      <c r="J2741" s="57" t="s">
        <v>6642</v>
      </c>
      <c r="K2741" s="58">
        <v>163.29</v>
      </c>
      <c r="L2741" s="58">
        <v>0</v>
      </c>
      <c r="M2741" s="58">
        <v>0</v>
      </c>
      <c r="N2741" s="58">
        <v>7.0412999999999997</v>
      </c>
      <c r="O2741" s="181">
        <f t="shared" si="20"/>
        <v>163.29</v>
      </c>
      <c r="P2741" s="247">
        <f t="shared" si="21"/>
        <v>23.190319969323845</v>
      </c>
    </row>
    <row r="2742" spans="1:16" ht="14.25">
      <c r="A2742" s="224">
        <v>2741</v>
      </c>
      <c r="B2742" s="58">
        <v>6641</v>
      </c>
      <c r="C2742" s="57" t="s">
        <v>2588</v>
      </c>
      <c r="D2742" s="57" t="s">
        <v>45</v>
      </c>
      <c r="E2742" s="57" t="s">
        <v>2874</v>
      </c>
      <c r="F2742" s="58" t="s">
        <v>6643</v>
      </c>
      <c r="G2742" s="234" t="s">
        <v>233</v>
      </c>
      <c r="H2742" s="57" t="s">
        <v>2557</v>
      </c>
      <c r="I2742" s="58">
        <v>100572</v>
      </c>
      <c r="J2742" s="57"/>
      <c r="K2742" s="58">
        <v>20.25</v>
      </c>
      <c r="L2742" s="58">
        <v>0</v>
      </c>
      <c r="M2742" s="58">
        <v>0</v>
      </c>
      <c r="N2742" s="58">
        <v>1</v>
      </c>
      <c r="O2742" s="181">
        <f t="shared" si="20"/>
        <v>20.25</v>
      </c>
      <c r="P2742" s="247">
        <f t="shared" si="21"/>
        <v>20.25</v>
      </c>
    </row>
    <row r="2743" spans="1:16" ht="14.25">
      <c r="A2743" s="224">
        <v>2742</v>
      </c>
      <c r="B2743" s="58">
        <v>37944</v>
      </c>
      <c r="C2743" s="57" t="s">
        <v>6624</v>
      </c>
      <c r="D2743" s="57" t="s">
        <v>2582</v>
      </c>
      <c r="E2743" s="57" t="s">
        <v>2860</v>
      </c>
      <c r="F2743" s="58" t="s">
        <v>6644</v>
      </c>
      <c r="G2743" s="234" t="s">
        <v>233</v>
      </c>
      <c r="H2743" s="57" t="s">
        <v>2557</v>
      </c>
      <c r="I2743" s="58">
        <v>100524</v>
      </c>
      <c r="J2743" s="57"/>
      <c r="K2743" s="58">
        <v>0.01</v>
      </c>
      <c r="L2743" s="58">
        <v>0</v>
      </c>
      <c r="M2743" s="58">
        <v>0</v>
      </c>
      <c r="N2743" s="58">
        <v>7.0412999999999997</v>
      </c>
      <c r="O2743" s="181">
        <f t="shared" si="20"/>
        <v>0.01</v>
      </c>
      <c r="P2743" s="247">
        <f t="shared" si="21"/>
        <v>1.4201922940366126E-3</v>
      </c>
    </row>
    <row r="2744" spans="1:16" ht="14.25">
      <c r="A2744" s="224">
        <v>2743</v>
      </c>
      <c r="B2744" s="58">
        <v>6196</v>
      </c>
      <c r="C2744" s="57" t="s">
        <v>4029</v>
      </c>
      <c r="D2744" s="57" t="s">
        <v>45</v>
      </c>
      <c r="E2744" s="57" t="s">
        <v>2860</v>
      </c>
      <c r="F2744" s="58" t="s">
        <v>6645</v>
      </c>
      <c r="G2744" s="234" t="s">
        <v>233</v>
      </c>
      <c r="H2744" s="57" t="s">
        <v>2557</v>
      </c>
      <c r="I2744" s="58">
        <v>100620</v>
      </c>
      <c r="J2744" s="57" t="s">
        <v>6646</v>
      </c>
      <c r="K2744" s="58">
        <v>28.79</v>
      </c>
      <c r="L2744" s="58">
        <v>0</v>
      </c>
      <c r="M2744" s="58">
        <v>0</v>
      </c>
      <c r="N2744" s="58">
        <v>1</v>
      </c>
      <c r="O2744" s="181">
        <f t="shared" si="20"/>
        <v>28.79</v>
      </c>
      <c r="P2744" s="247">
        <f t="shared" si="21"/>
        <v>28.79</v>
      </c>
    </row>
    <row r="2745" spans="1:16" ht="14.25">
      <c r="A2745" s="224">
        <v>2744</v>
      </c>
      <c r="B2745" s="58">
        <v>6525</v>
      </c>
      <c r="C2745" s="57" t="s">
        <v>2565</v>
      </c>
      <c r="D2745" s="57" t="s">
        <v>45</v>
      </c>
      <c r="E2745" s="57" t="s">
        <v>9</v>
      </c>
      <c r="F2745" s="58" t="s">
        <v>6647</v>
      </c>
      <c r="G2745" s="234" t="s">
        <v>233</v>
      </c>
      <c r="H2745" s="57" t="s">
        <v>2557</v>
      </c>
      <c r="I2745" s="58">
        <v>100044</v>
      </c>
      <c r="J2745" s="57" t="s">
        <v>815</v>
      </c>
      <c r="K2745" s="58">
        <v>20.25</v>
      </c>
      <c r="L2745" s="58">
        <v>1.5</v>
      </c>
      <c r="M2745" s="58">
        <v>0</v>
      </c>
      <c r="N2745" s="58">
        <v>1</v>
      </c>
      <c r="O2745" s="181">
        <f t="shared" si="20"/>
        <v>18.75</v>
      </c>
      <c r="P2745" s="247">
        <f t="shared" si="21"/>
        <v>18.75</v>
      </c>
    </row>
    <row r="2746" spans="1:16" ht="14.25">
      <c r="A2746" s="224">
        <v>2745</v>
      </c>
      <c r="B2746" s="58">
        <v>6196</v>
      </c>
      <c r="C2746" s="57" t="s">
        <v>4029</v>
      </c>
      <c r="D2746" s="57" t="s">
        <v>45</v>
      </c>
      <c r="E2746" s="57" t="s">
        <v>2860</v>
      </c>
      <c r="F2746" s="58" t="s">
        <v>6648</v>
      </c>
      <c r="G2746" s="234" t="s">
        <v>233</v>
      </c>
      <c r="H2746" s="57" t="s">
        <v>2557</v>
      </c>
      <c r="I2746" s="58">
        <v>98604</v>
      </c>
      <c r="J2746" s="57" t="s">
        <v>6649</v>
      </c>
      <c r="K2746" s="58">
        <v>20.25</v>
      </c>
      <c r="L2746" s="58">
        <v>0</v>
      </c>
      <c r="M2746" s="58">
        <v>0</v>
      </c>
      <c r="N2746" s="58">
        <v>1</v>
      </c>
      <c r="O2746" s="181">
        <f t="shared" si="20"/>
        <v>20.25</v>
      </c>
      <c r="P2746" s="247">
        <f t="shared" si="21"/>
        <v>20.25</v>
      </c>
    </row>
    <row r="2747" spans="1:16" ht="14.25">
      <c r="A2747" s="224">
        <v>2746</v>
      </c>
      <c r="B2747" s="58">
        <v>38093</v>
      </c>
      <c r="C2747" s="57" t="s">
        <v>6650</v>
      </c>
      <c r="D2747" s="57" t="s">
        <v>45</v>
      </c>
      <c r="E2747" s="57" t="s">
        <v>4772</v>
      </c>
      <c r="F2747" s="58" t="s">
        <v>6651</v>
      </c>
      <c r="G2747" s="234" t="s">
        <v>233</v>
      </c>
      <c r="H2747" s="57" t="s">
        <v>2557</v>
      </c>
      <c r="I2747" s="58">
        <v>100644</v>
      </c>
      <c r="J2747" s="57" t="s">
        <v>2353</v>
      </c>
      <c r="K2747" s="58">
        <v>3.99</v>
      </c>
      <c r="L2747" s="58">
        <v>0.12</v>
      </c>
      <c r="M2747" s="58">
        <v>0</v>
      </c>
      <c r="N2747" s="58">
        <v>1</v>
      </c>
      <c r="O2747" s="181">
        <f t="shared" si="20"/>
        <v>3.87</v>
      </c>
      <c r="P2747" s="247">
        <f t="shared" si="21"/>
        <v>3.87</v>
      </c>
    </row>
    <row r="2748" spans="1:16" ht="14.25">
      <c r="A2748" s="224">
        <v>2747</v>
      </c>
      <c r="B2748" s="58">
        <v>35543</v>
      </c>
      <c r="C2748" s="57" t="s">
        <v>6652</v>
      </c>
      <c r="D2748" s="57" t="s">
        <v>2582</v>
      </c>
      <c r="E2748" s="57" t="s">
        <v>2860</v>
      </c>
      <c r="F2748" s="58" t="s">
        <v>6653</v>
      </c>
      <c r="G2748" s="234" t="s">
        <v>233</v>
      </c>
      <c r="H2748" s="57" t="s">
        <v>2557</v>
      </c>
      <c r="I2748" s="58">
        <v>100656</v>
      </c>
      <c r="J2748" s="57" t="s">
        <v>6654</v>
      </c>
      <c r="K2748" s="58">
        <v>95.69</v>
      </c>
      <c r="L2748" s="58">
        <v>0</v>
      </c>
      <c r="M2748" s="58">
        <v>0</v>
      </c>
      <c r="N2748" s="58">
        <v>7.0412999999999997</v>
      </c>
      <c r="O2748" s="181">
        <f t="shared" si="20"/>
        <v>95.69</v>
      </c>
      <c r="P2748" s="247">
        <f t="shared" si="21"/>
        <v>13.589820061636345</v>
      </c>
    </row>
    <row r="2749" spans="1:16" ht="14.25">
      <c r="A2749" s="224">
        <v>2748</v>
      </c>
      <c r="B2749" s="58">
        <v>35543</v>
      </c>
      <c r="C2749" s="57" t="s">
        <v>6652</v>
      </c>
      <c r="D2749" s="57" t="s">
        <v>2582</v>
      </c>
      <c r="E2749" s="57" t="s">
        <v>2860</v>
      </c>
      <c r="F2749" s="58" t="s">
        <v>6655</v>
      </c>
      <c r="G2749" s="234" t="s">
        <v>233</v>
      </c>
      <c r="H2749" s="57" t="s">
        <v>2557</v>
      </c>
      <c r="I2749" s="58">
        <v>100656</v>
      </c>
      <c r="J2749" s="57"/>
      <c r="K2749" s="58">
        <v>0.01</v>
      </c>
      <c r="L2749" s="58">
        <v>0</v>
      </c>
      <c r="M2749" s="58">
        <v>0</v>
      </c>
      <c r="N2749" s="58">
        <v>7.0412999999999997</v>
      </c>
      <c r="O2749" s="181">
        <f t="shared" si="20"/>
        <v>0.01</v>
      </c>
      <c r="P2749" s="247">
        <f t="shared" si="21"/>
        <v>1.4201922940366126E-3</v>
      </c>
    </row>
    <row r="2750" spans="1:16" ht="14.25">
      <c r="A2750" s="224">
        <v>2749</v>
      </c>
      <c r="B2750" s="58">
        <v>34672</v>
      </c>
      <c r="C2750" s="57" t="s">
        <v>6368</v>
      </c>
      <c r="D2750" s="57" t="s">
        <v>45</v>
      </c>
      <c r="E2750" s="57" t="s">
        <v>4772</v>
      </c>
      <c r="F2750" s="58" t="s">
        <v>6656</v>
      </c>
      <c r="G2750" s="234" t="s">
        <v>233</v>
      </c>
      <c r="H2750" s="57" t="s">
        <v>2557</v>
      </c>
      <c r="I2750" s="58">
        <v>97596</v>
      </c>
      <c r="J2750" s="57" t="s">
        <v>2356</v>
      </c>
      <c r="K2750" s="58">
        <v>26.09</v>
      </c>
      <c r="L2750" s="58">
        <v>0.76</v>
      </c>
      <c r="M2750" s="58">
        <v>0</v>
      </c>
      <c r="N2750" s="58">
        <v>1</v>
      </c>
      <c r="O2750" s="181">
        <f t="shared" si="20"/>
        <v>25.33</v>
      </c>
      <c r="P2750" s="247">
        <f t="shared" si="21"/>
        <v>25.33</v>
      </c>
    </row>
    <row r="2751" spans="1:16" ht="14.25">
      <c r="A2751" s="224">
        <v>2750</v>
      </c>
      <c r="B2751" s="58">
        <v>6348</v>
      </c>
      <c r="C2751" s="57" t="s">
        <v>817</v>
      </c>
      <c r="D2751" s="57" t="s">
        <v>45</v>
      </c>
      <c r="E2751" s="57" t="s">
        <v>9</v>
      </c>
      <c r="F2751" s="58" t="s">
        <v>6657</v>
      </c>
      <c r="G2751" s="234" t="s">
        <v>233</v>
      </c>
      <c r="H2751" s="57" t="s">
        <v>2557</v>
      </c>
      <c r="I2751" s="58">
        <v>99336</v>
      </c>
      <c r="J2751" s="57" t="s">
        <v>818</v>
      </c>
      <c r="K2751" s="58">
        <v>20.25</v>
      </c>
      <c r="L2751" s="58">
        <v>1.2</v>
      </c>
      <c r="M2751" s="58">
        <v>0</v>
      </c>
      <c r="N2751" s="58">
        <v>1</v>
      </c>
      <c r="O2751" s="181">
        <f t="shared" si="20"/>
        <v>19.05</v>
      </c>
      <c r="P2751" s="247">
        <f t="shared" si="21"/>
        <v>19.05</v>
      </c>
    </row>
    <row r="2752" spans="1:16" ht="14.25">
      <c r="A2752" s="224">
        <v>2751</v>
      </c>
      <c r="B2752" s="58">
        <v>38199</v>
      </c>
      <c r="C2752" s="57" t="s">
        <v>6658</v>
      </c>
      <c r="D2752" s="57" t="s">
        <v>2582</v>
      </c>
      <c r="E2752" s="57" t="s">
        <v>2860</v>
      </c>
      <c r="F2752" s="58" t="s">
        <v>6659</v>
      </c>
      <c r="G2752" s="234" t="s">
        <v>233</v>
      </c>
      <c r="H2752" s="57" t="s">
        <v>2557</v>
      </c>
      <c r="I2752" s="58">
        <v>100728</v>
      </c>
      <c r="J2752" s="57" t="s">
        <v>6660</v>
      </c>
      <c r="K2752" s="58">
        <v>28.09</v>
      </c>
      <c r="L2752" s="58">
        <v>0</v>
      </c>
      <c r="M2752" s="58">
        <v>0</v>
      </c>
      <c r="N2752" s="58">
        <v>7.0410700000000004</v>
      </c>
      <c r="O2752" s="181">
        <f t="shared" si="20"/>
        <v>28.09</v>
      </c>
      <c r="P2752" s="247">
        <f t="shared" si="21"/>
        <v>3.9894504670454913</v>
      </c>
    </row>
    <row r="2753" spans="1:16" ht="14.25">
      <c r="A2753" s="224">
        <v>2752</v>
      </c>
      <c r="B2753" s="58">
        <v>38127</v>
      </c>
      <c r="C2753" s="57" t="s">
        <v>6661</v>
      </c>
      <c r="D2753" s="57" t="s">
        <v>2582</v>
      </c>
      <c r="E2753" s="57" t="s">
        <v>2860</v>
      </c>
      <c r="F2753" s="58" t="s">
        <v>6662</v>
      </c>
      <c r="G2753" s="234" t="s">
        <v>233</v>
      </c>
      <c r="H2753" s="57" t="s">
        <v>2557</v>
      </c>
      <c r="I2753" s="58">
        <v>100740</v>
      </c>
      <c r="J2753" s="57" t="s">
        <v>6663</v>
      </c>
      <c r="K2753" s="58">
        <v>204.12</v>
      </c>
      <c r="L2753" s="58">
        <v>0</v>
      </c>
      <c r="M2753" s="58">
        <v>0</v>
      </c>
      <c r="N2753" s="58">
        <v>7.0410700000000004</v>
      </c>
      <c r="O2753" s="181">
        <f t="shared" si="20"/>
        <v>204.12</v>
      </c>
      <c r="P2753" s="247">
        <f t="shared" si="21"/>
        <v>28.989912044618219</v>
      </c>
    </row>
    <row r="2754" spans="1:16" ht="14.25">
      <c r="A2754" s="224">
        <v>2753</v>
      </c>
      <c r="B2754" s="58">
        <v>29151</v>
      </c>
      <c r="C2754" s="57" t="s">
        <v>5565</v>
      </c>
      <c r="D2754" s="57" t="s">
        <v>2582</v>
      </c>
      <c r="E2754" s="57" t="s">
        <v>2860</v>
      </c>
      <c r="F2754" s="58" t="s">
        <v>6664</v>
      </c>
      <c r="G2754" s="234" t="s">
        <v>233</v>
      </c>
      <c r="H2754" s="57" t="s">
        <v>2557</v>
      </c>
      <c r="I2754" s="58">
        <v>100752</v>
      </c>
      <c r="J2754" s="57" t="s">
        <v>6665</v>
      </c>
      <c r="K2754" s="58">
        <v>422.46</v>
      </c>
      <c r="L2754" s="58">
        <v>0</v>
      </c>
      <c r="M2754" s="58">
        <v>0</v>
      </c>
      <c r="N2754" s="58">
        <v>7.0410700000000004</v>
      </c>
      <c r="O2754" s="181">
        <f t="shared" si="20"/>
        <v>422.46</v>
      </c>
      <c r="P2754" s="247">
        <f t="shared" si="21"/>
        <v>59.999403499752162</v>
      </c>
    </row>
    <row r="2755" spans="1:16" ht="14.25">
      <c r="A2755" s="224">
        <v>2754</v>
      </c>
      <c r="B2755" s="58">
        <v>38127</v>
      </c>
      <c r="C2755" s="57" t="s">
        <v>6661</v>
      </c>
      <c r="D2755" s="57" t="s">
        <v>2582</v>
      </c>
      <c r="E2755" s="57" t="s">
        <v>2860</v>
      </c>
      <c r="F2755" s="58" t="s">
        <v>6666</v>
      </c>
      <c r="G2755" s="234" t="s">
        <v>233</v>
      </c>
      <c r="H2755" s="57" t="s">
        <v>2557</v>
      </c>
      <c r="I2755" s="58">
        <v>100764</v>
      </c>
      <c r="J2755" s="57" t="s">
        <v>6667</v>
      </c>
      <c r="K2755" s="58">
        <v>31.61</v>
      </c>
      <c r="L2755" s="58">
        <v>0</v>
      </c>
      <c r="M2755" s="58">
        <v>0</v>
      </c>
      <c r="N2755" s="58">
        <v>7.0410700000000004</v>
      </c>
      <c r="O2755" s="181">
        <f t="shared" si="20"/>
        <v>31.61</v>
      </c>
      <c r="P2755" s="247">
        <f t="shared" si="21"/>
        <v>4.4893744842758272</v>
      </c>
    </row>
    <row r="2756" spans="1:16" ht="14.25">
      <c r="A2756" s="224">
        <v>2755</v>
      </c>
      <c r="B2756" s="58">
        <v>38226</v>
      </c>
      <c r="C2756" s="57" t="s">
        <v>6668</v>
      </c>
      <c r="D2756" s="57" t="s">
        <v>2582</v>
      </c>
      <c r="E2756" s="57" t="s">
        <v>2860</v>
      </c>
      <c r="F2756" s="58" t="s">
        <v>6669</v>
      </c>
      <c r="G2756" s="234" t="s">
        <v>233</v>
      </c>
      <c r="H2756" s="57" t="s">
        <v>2557</v>
      </c>
      <c r="I2756" s="58">
        <v>100776</v>
      </c>
      <c r="J2756" s="57" t="s">
        <v>6670</v>
      </c>
      <c r="K2756" s="58">
        <v>31.61</v>
      </c>
      <c r="L2756" s="58">
        <v>0</v>
      </c>
      <c r="M2756" s="58">
        <v>0</v>
      </c>
      <c r="N2756" s="58">
        <v>7.0410700000000004</v>
      </c>
      <c r="O2756" s="181">
        <f t="shared" si="20"/>
        <v>31.61</v>
      </c>
      <c r="P2756" s="247">
        <f t="shared" si="21"/>
        <v>4.4893744842758272</v>
      </c>
    </row>
    <row r="2757" spans="1:16" ht="14.25">
      <c r="A2757" s="224">
        <v>2756</v>
      </c>
      <c r="B2757" s="58">
        <v>37969</v>
      </c>
      <c r="C2757" s="57" t="s">
        <v>6635</v>
      </c>
      <c r="D2757" s="57" t="s">
        <v>45</v>
      </c>
      <c r="E2757" s="57" t="s">
        <v>9</v>
      </c>
      <c r="F2757" s="58" t="s">
        <v>6671</v>
      </c>
      <c r="G2757" s="234" t="s">
        <v>233</v>
      </c>
      <c r="H2757" s="57" t="s">
        <v>2557</v>
      </c>
      <c r="I2757" s="58">
        <v>100860</v>
      </c>
      <c r="J2757" s="57" t="s">
        <v>819</v>
      </c>
      <c r="K2757" s="58">
        <v>8.49</v>
      </c>
      <c r="L2757" s="58">
        <v>0.91</v>
      </c>
      <c r="M2757" s="58">
        <v>0</v>
      </c>
      <c r="N2757" s="58">
        <v>1</v>
      </c>
      <c r="O2757" s="181">
        <f t="shared" si="20"/>
        <v>7.58</v>
      </c>
      <c r="P2757" s="247">
        <f t="shared" si="21"/>
        <v>7.58</v>
      </c>
    </row>
    <row r="2758" spans="1:16" ht="14.25">
      <c r="A2758" s="224">
        <v>2757</v>
      </c>
      <c r="B2758" s="58">
        <v>3974</v>
      </c>
      <c r="C2758" s="57" t="s">
        <v>2844</v>
      </c>
      <c r="D2758" s="57" t="s">
        <v>45</v>
      </c>
      <c r="E2758" s="57" t="s">
        <v>2860</v>
      </c>
      <c r="F2758" s="58" t="s">
        <v>6672</v>
      </c>
      <c r="G2758" s="234" t="s">
        <v>233</v>
      </c>
      <c r="H2758" s="57" t="s">
        <v>2557</v>
      </c>
      <c r="I2758" s="58">
        <v>100788</v>
      </c>
      <c r="J2758" s="57" t="s">
        <v>6673</v>
      </c>
      <c r="K2758" s="58">
        <v>1.99</v>
      </c>
      <c r="L2758" s="58">
        <v>0</v>
      </c>
      <c r="M2758" s="58">
        <v>0</v>
      </c>
      <c r="N2758" s="58">
        <v>1</v>
      </c>
      <c r="O2758" s="181">
        <f t="shared" si="20"/>
        <v>1.99</v>
      </c>
      <c r="P2758" s="247">
        <f t="shared" si="21"/>
        <v>1.99</v>
      </c>
    </row>
    <row r="2759" spans="1:16" ht="14.25">
      <c r="A2759" s="224">
        <v>2758</v>
      </c>
      <c r="B2759" s="58">
        <v>3826</v>
      </c>
      <c r="C2759" s="57" t="s">
        <v>423</v>
      </c>
      <c r="D2759" s="57" t="s">
        <v>45</v>
      </c>
      <c r="E2759" s="57" t="s">
        <v>9</v>
      </c>
      <c r="F2759" s="58" t="s">
        <v>6674</v>
      </c>
      <c r="G2759" s="234" t="s">
        <v>233</v>
      </c>
      <c r="H2759" s="57" t="s">
        <v>2557</v>
      </c>
      <c r="I2759" s="58">
        <v>100440</v>
      </c>
      <c r="J2759" s="57" t="s">
        <v>821</v>
      </c>
      <c r="K2759" s="58">
        <v>1.0900000000000001</v>
      </c>
      <c r="L2759" s="58">
        <v>0.54</v>
      </c>
      <c r="M2759" s="58">
        <v>0</v>
      </c>
      <c r="N2759" s="58">
        <v>1</v>
      </c>
      <c r="O2759" s="181">
        <f t="shared" si="20"/>
        <v>0.55000000000000004</v>
      </c>
      <c r="P2759" s="247">
        <f t="shared" si="21"/>
        <v>0.55000000000000004</v>
      </c>
    </row>
    <row r="2760" spans="1:16" ht="14.25">
      <c r="A2760" s="224">
        <v>2759</v>
      </c>
      <c r="B2760" s="58">
        <v>38269</v>
      </c>
      <c r="C2760" s="57" t="s">
        <v>6675</v>
      </c>
      <c r="D2760" s="57" t="s">
        <v>45</v>
      </c>
      <c r="E2760" s="57" t="s">
        <v>2860</v>
      </c>
      <c r="F2760" s="58" t="s">
        <v>6676</v>
      </c>
      <c r="G2760" s="234" t="s">
        <v>233</v>
      </c>
      <c r="H2760" s="57" t="s">
        <v>2557</v>
      </c>
      <c r="I2760" s="58">
        <v>100872</v>
      </c>
      <c r="J2760" s="57" t="s">
        <v>6677</v>
      </c>
      <c r="K2760" s="58">
        <v>23.19</v>
      </c>
      <c r="L2760" s="58">
        <v>0</v>
      </c>
      <c r="M2760" s="58">
        <v>0</v>
      </c>
      <c r="N2760" s="58">
        <v>1</v>
      </c>
      <c r="O2760" s="181">
        <f t="shared" si="20"/>
        <v>23.19</v>
      </c>
      <c r="P2760" s="247">
        <f t="shared" si="21"/>
        <v>23.19</v>
      </c>
    </row>
    <row r="2761" spans="1:16" ht="14.25">
      <c r="A2761" s="224">
        <v>2760</v>
      </c>
      <c r="B2761" s="58">
        <v>38274</v>
      </c>
      <c r="C2761" s="57" t="s">
        <v>6678</v>
      </c>
      <c r="D2761" s="57" t="s">
        <v>45</v>
      </c>
      <c r="E2761" s="57" t="s">
        <v>4772</v>
      </c>
      <c r="F2761" s="58" t="s">
        <v>6679</v>
      </c>
      <c r="G2761" s="234" t="s">
        <v>233</v>
      </c>
      <c r="H2761" s="57" t="s">
        <v>2557</v>
      </c>
      <c r="I2761" s="58">
        <v>100896</v>
      </c>
      <c r="J2761" s="57" t="s">
        <v>2359</v>
      </c>
      <c r="K2761" s="58">
        <v>57.59</v>
      </c>
      <c r="L2761" s="58">
        <v>1.67</v>
      </c>
      <c r="M2761" s="58">
        <v>0</v>
      </c>
      <c r="N2761" s="58">
        <v>1</v>
      </c>
      <c r="O2761" s="181">
        <f t="shared" si="20"/>
        <v>55.92</v>
      </c>
      <c r="P2761" s="247">
        <f t="shared" si="21"/>
        <v>55.92</v>
      </c>
    </row>
    <row r="2762" spans="1:16" ht="14.25">
      <c r="A2762" s="224">
        <v>2761</v>
      </c>
      <c r="B2762" s="58">
        <v>29319</v>
      </c>
      <c r="C2762" s="57" t="s">
        <v>5694</v>
      </c>
      <c r="D2762" s="57" t="s">
        <v>2582</v>
      </c>
      <c r="E2762" s="57" t="s">
        <v>2860</v>
      </c>
      <c r="F2762" s="58" t="s">
        <v>6680</v>
      </c>
      <c r="G2762" s="234" t="s">
        <v>233</v>
      </c>
      <c r="H2762" s="57" t="s">
        <v>2557</v>
      </c>
      <c r="I2762" s="58">
        <v>98484</v>
      </c>
      <c r="J2762" s="57" t="s">
        <v>6681</v>
      </c>
      <c r="K2762" s="58">
        <v>71.75</v>
      </c>
      <c r="L2762" s="58">
        <v>0</v>
      </c>
      <c r="M2762" s="58">
        <v>0</v>
      </c>
      <c r="N2762" s="58">
        <v>7.0410700000000004</v>
      </c>
      <c r="O2762" s="181">
        <f t="shared" si="20"/>
        <v>71.75</v>
      </c>
      <c r="P2762" s="247">
        <f t="shared" si="21"/>
        <v>10.19021256712403</v>
      </c>
    </row>
    <row r="2763" spans="1:16" ht="14.25">
      <c r="A2763" s="224">
        <v>2762</v>
      </c>
      <c r="B2763" s="58">
        <v>10204</v>
      </c>
      <c r="C2763" s="57" t="s">
        <v>2829</v>
      </c>
      <c r="D2763" s="57" t="s">
        <v>45</v>
      </c>
      <c r="E2763" s="57" t="s">
        <v>2860</v>
      </c>
      <c r="F2763" s="58" t="s">
        <v>6682</v>
      </c>
      <c r="G2763" s="234" t="s">
        <v>233</v>
      </c>
      <c r="H2763" s="57" t="s">
        <v>2557</v>
      </c>
      <c r="I2763" s="58">
        <v>101040</v>
      </c>
      <c r="J2763" s="57" t="s">
        <v>6683</v>
      </c>
      <c r="K2763" s="58">
        <v>4</v>
      </c>
      <c r="L2763" s="58">
        <v>0</v>
      </c>
      <c r="M2763" s="58">
        <v>0</v>
      </c>
      <c r="N2763" s="58">
        <v>1</v>
      </c>
      <c r="O2763" s="181">
        <f t="shared" si="20"/>
        <v>4</v>
      </c>
      <c r="P2763" s="247">
        <f t="shared" si="21"/>
        <v>4</v>
      </c>
    </row>
    <row r="2764" spans="1:16" ht="14.25">
      <c r="A2764" s="224">
        <v>2763</v>
      </c>
      <c r="B2764" s="58">
        <v>38311</v>
      </c>
      <c r="C2764" s="57" t="s">
        <v>6684</v>
      </c>
      <c r="D2764" s="57" t="s">
        <v>45</v>
      </c>
      <c r="E2764" s="57" t="s">
        <v>2874</v>
      </c>
      <c r="F2764" s="58" t="s">
        <v>6685</v>
      </c>
      <c r="G2764" s="234" t="s">
        <v>233</v>
      </c>
      <c r="H2764" s="57" t="s">
        <v>2557</v>
      </c>
      <c r="I2764" s="58">
        <v>101052</v>
      </c>
      <c r="J2764" s="57"/>
      <c r="K2764" s="58">
        <v>9.49</v>
      </c>
      <c r="L2764" s="58">
        <v>0</v>
      </c>
      <c r="M2764" s="58">
        <v>0</v>
      </c>
      <c r="N2764" s="58">
        <v>1</v>
      </c>
      <c r="O2764" s="181">
        <f t="shared" si="20"/>
        <v>9.49</v>
      </c>
      <c r="P2764" s="247">
        <f t="shared" si="21"/>
        <v>9.49</v>
      </c>
    </row>
    <row r="2765" spans="1:16" ht="14.25">
      <c r="A2765" s="224">
        <v>2764</v>
      </c>
      <c r="B2765" s="58">
        <v>27903</v>
      </c>
      <c r="C2765" s="57" t="s">
        <v>5168</v>
      </c>
      <c r="D2765" s="57" t="s">
        <v>45</v>
      </c>
      <c r="E2765" s="57" t="s">
        <v>2874</v>
      </c>
      <c r="F2765" s="58" t="s">
        <v>6686</v>
      </c>
      <c r="G2765" s="234" t="s">
        <v>233</v>
      </c>
      <c r="H2765" s="57" t="s">
        <v>2557</v>
      </c>
      <c r="I2765" s="58">
        <v>100908</v>
      </c>
      <c r="J2765" s="57" t="s">
        <v>6687</v>
      </c>
      <c r="K2765" s="58">
        <v>27.86</v>
      </c>
      <c r="L2765" s="58">
        <v>0</v>
      </c>
      <c r="M2765" s="58">
        <v>0</v>
      </c>
      <c r="N2765" s="58">
        <v>1</v>
      </c>
      <c r="O2765" s="181">
        <f t="shared" si="20"/>
        <v>27.86</v>
      </c>
      <c r="P2765" s="247">
        <f t="shared" si="21"/>
        <v>27.86</v>
      </c>
    </row>
    <row r="2766" spans="1:16" ht="14.25">
      <c r="A2766" s="224">
        <v>2765</v>
      </c>
      <c r="B2766" s="58">
        <v>4056</v>
      </c>
      <c r="C2766" s="57" t="s">
        <v>6688</v>
      </c>
      <c r="D2766" s="57" t="s">
        <v>45</v>
      </c>
      <c r="E2766" s="57" t="s">
        <v>9</v>
      </c>
      <c r="F2766" s="58" t="s">
        <v>6689</v>
      </c>
      <c r="G2766" s="234" t="s">
        <v>233</v>
      </c>
      <c r="H2766" s="57" t="s">
        <v>2557</v>
      </c>
      <c r="I2766" s="58">
        <v>95436</v>
      </c>
      <c r="J2766" s="57" t="s">
        <v>824</v>
      </c>
      <c r="K2766" s="58">
        <v>11.99</v>
      </c>
      <c r="L2766" s="58">
        <v>1.0900000000000001</v>
      </c>
      <c r="M2766" s="58">
        <v>0</v>
      </c>
      <c r="N2766" s="58">
        <v>1</v>
      </c>
      <c r="O2766" s="181">
        <f t="shared" si="20"/>
        <v>10.9</v>
      </c>
      <c r="P2766" s="247">
        <f t="shared" si="21"/>
        <v>10.9</v>
      </c>
    </row>
    <row r="2767" spans="1:16" ht="14.25">
      <c r="A2767" s="224">
        <v>2766</v>
      </c>
      <c r="B2767" s="58">
        <v>6195</v>
      </c>
      <c r="C2767" s="57" t="s">
        <v>4029</v>
      </c>
      <c r="D2767" s="57" t="s">
        <v>45</v>
      </c>
      <c r="E2767" s="57" t="s">
        <v>2860</v>
      </c>
      <c r="F2767" s="58" t="s">
        <v>6690</v>
      </c>
      <c r="G2767" s="234" t="s">
        <v>233</v>
      </c>
      <c r="H2767" s="57" t="s">
        <v>2557</v>
      </c>
      <c r="I2767" s="58">
        <v>62936</v>
      </c>
      <c r="J2767" s="57" t="s">
        <v>6691</v>
      </c>
      <c r="K2767" s="58">
        <v>0.99</v>
      </c>
      <c r="L2767" s="58">
        <v>0</v>
      </c>
      <c r="M2767" s="58">
        <v>0</v>
      </c>
      <c r="N2767" s="58">
        <v>1</v>
      </c>
      <c r="O2767" s="181">
        <f t="shared" si="20"/>
        <v>0.99</v>
      </c>
      <c r="P2767" s="247">
        <f t="shared" si="21"/>
        <v>0.99</v>
      </c>
    </row>
    <row r="2768" spans="1:16" ht="14.25">
      <c r="A2768" s="224">
        <v>2767</v>
      </c>
      <c r="B2768" s="58">
        <v>4056</v>
      </c>
      <c r="C2768" s="57" t="s">
        <v>6688</v>
      </c>
      <c r="D2768" s="57" t="s">
        <v>45</v>
      </c>
      <c r="E2768" s="57" t="s">
        <v>9</v>
      </c>
      <c r="F2768" s="58" t="s">
        <v>6692</v>
      </c>
      <c r="G2768" s="234" t="s">
        <v>233</v>
      </c>
      <c r="H2768" s="57" t="s">
        <v>6693</v>
      </c>
      <c r="I2768" s="58">
        <v>95436</v>
      </c>
      <c r="J2768" s="57" t="s">
        <v>825</v>
      </c>
      <c r="K2768" s="58">
        <v>0</v>
      </c>
      <c r="L2768" s="58">
        <v>-1.0900000000000001</v>
      </c>
      <c r="M2768" s="58">
        <v>11.99</v>
      </c>
      <c r="N2768" s="58">
        <v>1</v>
      </c>
      <c r="O2768" s="181">
        <f t="shared" si="20"/>
        <v>-10.9</v>
      </c>
      <c r="P2768" s="247">
        <f t="shared" si="21"/>
        <v>-10.9</v>
      </c>
    </row>
    <row r="2769" spans="1:16" ht="14.25">
      <c r="A2769" s="224">
        <v>2768</v>
      </c>
      <c r="B2769" s="58">
        <v>38010</v>
      </c>
      <c r="C2769" s="57" t="s">
        <v>6631</v>
      </c>
      <c r="D2769" s="57" t="s">
        <v>45</v>
      </c>
      <c r="E2769" s="57" t="s">
        <v>2860</v>
      </c>
      <c r="F2769" s="58" t="s">
        <v>6694</v>
      </c>
      <c r="G2769" s="234" t="s">
        <v>233</v>
      </c>
      <c r="H2769" s="57" t="s">
        <v>6695</v>
      </c>
      <c r="I2769" s="58">
        <v>100332</v>
      </c>
      <c r="J2769" s="57"/>
      <c r="K2769" s="58">
        <v>0</v>
      </c>
      <c r="L2769" s="58">
        <v>0</v>
      </c>
      <c r="M2769" s="58">
        <v>2.4900000000000002</v>
      </c>
      <c r="N2769" s="58">
        <v>1</v>
      </c>
      <c r="O2769" s="181">
        <f t="shared" si="20"/>
        <v>-2.4900000000000002</v>
      </c>
      <c r="P2769" s="247">
        <f t="shared" si="21"/>
        <v>-2.4900000000000002</v>
      </c>
    </row>
    <row r="2770" spans="1:16" ht="14.25">
      <c r="A2770" s="224">
        <v>2769</v>
      </c>
      <c r="B2770" s="58">
        <v>35962</v>
      </c>
      <c r="C2770" s="57" t="s">
        <v>6391</v>
      </c>
      <c r="D2770" s="57" t="s">
        <v>45</v>
      </c>
      <c r="E2770" s="57" t="s">
        <v>2860</v>
      </c>
      <c r="F2770" s="58" t="s">
        <v>6696</v>
      </c>
      <c r="G2770" s="234" t="s">
        <v>233</v>
      </c>
      <c r="H2770" s="57" t="s">
        <v>2557</v>
      </c>
      <c r="I2770" s="58">
        <v>101292</v>
      </c>
      <c r="J2770" s="57" t="s">
        <v>6697</v>
      </c>
      <c r="K2770" s="58">
        <v>12.5</v>
      </c>
      <c r="L2770" s="58">
        <v>0</v>
      </c>
      <c r="M2770" s="58">
        <v>0</v>
      </c>
      <c r="N2770" s="58">
        <v>1</v>
      </c>
      <c r="O2770" s="181">
        <f t="shared" si="20"/>
        <v>12.5</v>
      </c>
      <c r="P2770" s="247">
        <f t="shared" si="21"/>
        <v>12.5</v>
      </c>
    </row>
    <row r="2771" spans="1:16" ht="14.25">
      <c r="A2771" s="224">
        <v>2770</v>
      </c>
      <c r="B2771" s="58">
        <v>37020</v>
      </c>
      <c r="C2771" s="57" t="s">
        <v>6522</v>
      </c>
      <c r="D2771" s="57" t="s">
        <v>45</v>
      </c>
      <c r="E2771" s="57" t="s">
        <v>4772</v>
      </c>
      <c r="F2771" s="58" t="s">
        <v>6698</v>
      </c>
      <c r="G2771" s="234" t="s">
        <v>233</v>
      </c>
      <c r="H2771" s="57" t="s">
        <v>2557</v>
      </c>
      <c r="I2771" s="58">
        <v>101100</v>
      </c>
      <c r="J2771" s="57" t="s">
        <v>2365</v>
      </c>
      <c r="K2771" s="58">
        <v>12.5</v>
      </c>
      <c r="L2771" s="58">
        <v>0.37</v>
      </c>
      <c r="M2771" s="58">
        <v>0</v>
      </c>
      <c r="N2771" s="58">
        <v>1</v>
      </c>
      <c r="O2771" s="181">
        <f t="shared" si="20"/>
        <v>12.13</v>
      </c>
      <c r="P2771" s="247">
        <f t="shared" si="21"/>
        <v>12.13</v>
      </c>
    </row>
    <row r="2772" spans="1:16" ht="14.25">
      <c r="A2772" s="224">
        <v>2771</v>
      </c>
      <c r="B2772" s="58">
        <v>21990</v>
      </c>
      <c r="C2772" s="57" t="s">
        <v>3821</v>
      </c>
      <c r="D2772" s="57" t="s">
        <v>45</v>
      </c>
      <c r="E2772" s="57" t="s">
        <v>4772</v>
      </c>
      <c r="F2772" s="58" t="s">
        <v>6699</v>
      </c>
      <c r="G2772" s="234" t="s">
        <v>233</v>
      </c>
      <c r="H2772" s="57" t="s">
        <v>2557</v>
      </c>
      <c r="I2772" s="58">
        <v>101112</v>
      </c>
      <c r="J2772" s="57" t="s">
        <v>2362</v>
      </c>
      <c r="K2772" s="58">
        <v>12.5</v>
      </c>
      <c r="L2772" s="58">
        <v>0.37</v>
      </c>
      <c r="M2772" s="58">
        <v>0</v>
      </c>
      <c r="N2772" s="58">
        <v>1</v>
      </c>
      <c r="O2772" s="181">
        <f t="shared" si="20"/>
        <v>12.13</v>
      </c>
      <c r="P2772" s="247">
        <f t="shared" si="21"/>
        <v>12.13</v>
      </c>
    </row>
    <row r="2773" spans="1:16" ht="14.25">
      <c r="A2773" s="224">
        <v>2772</v>
      </c>
      <c r="B2773" s="58">
        <v>6529</v>
      </c>
      <c r="C2773" s="57" t="s">
        <v>2566</v>
      </c>
      <c r="D2773" s="57" t="s">
        <v>45</v>
      </c>
      <c r="E2773" s="57" t="s">
        <v>2860</v>
      </c>
      <c r="F2773" s="58" t="s">
        <v>6700</v>
      </c>
      <c r="G2773" s="234" t="s">
        <v>233</v>
      </c>
      <c r="H2773" s="57" t="s">
        <v>2557</v>
      </c>
      <c r="I2773" s="58">
        <v>100128</v>
      </c>
      <c r="J2773" s="57" t="s">
        <v>6701</v>
      </c>
      <c r="K2773" s="58">
        <v>20.25</v>
      </c>
      <c r="L2773" s="58">
        <v>0</v>
      </c>
      <c r="M2773" s="58">
        <v>0</v>
      </c>
      <c r="N2773" s="58">
        <v>1</v>
      </c>
      <c r="O2773" s="181">
        <f t="shared" si="20"/>
        <v>20.25</v>
      </c>
      <c r="P2773" s="247">
        <f t="shared" si="21"/>
        <v>20.25</v>
      </c>
    </row>
    <row r="2774" spans="1:16" ht="14.25">
      <c r="A2774" s="224">
        <v>2773</v>
      </c>
      <c r="B2774" s="58">
        <v>34788</v>
      </c>
      <c r="C2774" s="57" t="s">
        <v>6156</v>
      </c>
      <c r="D2774" s="57" t="s">
        <v>2582</v>
      </c>
      <c r="E2774" s="57" t="s">
        <v>2860</v>
      </c>
      <c r="F2774" s="58" t="s">
        <v>6702</v>
      </c>
      <c r="G2774" s="234" t="s">
        <v>233</v>
      </c>
      <c r="H2774" s="57" t="s">
        <v>2557</v>
      </c>
      <c r="I2774" s="58">
        <v>98208</v>
      </c>
      <c r="J2774" s="57" t="s">
        <v>6703</v>
      </c>
      <c r="K2774" s="58">
        <v>4.5</v>
      </c>
      <c r="L2774" s="58">
        <v>0</v>
      </c>
      <c r="M2774" s="58">
        <v>0</v>
      </c>
      <c r="N2774" s="58">
        <v>7.0280800000000001</v>
      </c>
      <c r="O2774" s="181">
        <f t="shared" si="20"/>
        <v>4.5</v>
      </c>
      <c r="P2774" s="247">
        <f t="shared" si="21"/>
        <v>0.64028867058997618</v>
      </c>
    </row>
    <row r="2775" spans="1:16" ht="14.25">
      <c r="A2775" s="224">
        <v>2774</v>
      </c>
      <c r="B2775" s="58">
        <v>38540</v>
      </c>
      <c r="C2775" s="57" t="s">
        <v>6704</v>
      </c>
      <c r="D2775" s="57" t="s">
        <v>2582</v>
      </c>
      <c r="E2775" s="57" t="s">
        <v>4772</v>
      </c>
      <c r="F2775" s="58" t="s">
        <v>6705</v>
      </c>
      <c r="G2775" s="234" t="s">
        <v>233</v>
      </c>
      <c r="H2775" s="57" t="s">
        <v>2557</v>
      </c>
      <c r="I2775" s="58">
        <v>101340</v>
      </c>
      <c r="J2775" s="57" t="s">
        <v>2371</v>
      </c>
      <c r="K2775" s="58">
        <v>31.56</v>
      </c>
      <c r="L2775" s="58">
        <v>0.13</v>
      </c>
      <c r="M2775" s="58">
        <v>0</v>
      </c>
      <c r="N2775" s="58">
        <v>7.0280800000000001</v>
      </c>
      <c r="O2775" s="181">
        <f t="shared" si="20"/>
        <v>31.43</v>
      </c>
      <c r="P2775" s="247">
        <f t="shared" si="21"/>
        <v>4.472060648142878</v>
      </c>
    </row>
    <row r="2776" spans="1:16" ht="14.25">
      <c r="A2776" s="224">
        <v>2775</v>
      </c>
      <c r="B2776" s="58">
        <v>3309</v>
      </c>
      <c r="C2776" s="57" t="s">
        <v>2722</v>
      </c>
      <c r="D2776" s="57" t="s">
        <v>45</v>
      </c>
      <c r="E2776" s="57" t="s">
        <v>4772</v>
      </c>
      <c r="F2776" s="58" t="s">
        <v>6706</v>
      </c>
      <c r="G2776" s="234" t="s">
        <v>233</v>
      </c>
      <c r="H2776" s="57" t="s">
        <v>2557</v>
      </c>
      <c r="I2776" s="58">
        <v>98844</v>
      </c>
      <c r="J2776" s="57" t="s">
        <v>2368</v>
      </c>
      <c r="K2776" s="58">
        <v>16.989999999999998</v>
      </c>
      <c r="L2776" s="58">
        <v>0.5</v>
      </c>
      <c r="M2776" s="58">
        <v>0</v>
      </c>
      <c r="N2776" s="58">
        <v>1</v>
      </c>
      <c r="O2776" s="181">
        <f t="shared" si="20"/>
        <v>16.489999999999998</v>
      </c>
      <c r="P2776" s="247">
        <f t="shared" si="21"/>
        <v>16.489999999999998</v>
      </c>
    </row>
    <row r="2777" spans="1:16" ht="14.25">
      <c r="A2777" s="224">
        <v>2776</v>
      </c>
      <c r="B2777" s="58">
        <v>3309</v>
      </c>
      <c r="C2777" s="57" t="s">
        <v>2722</v>
      </c>
      <c r="D2777" s="57" t="s">
        <v>45</v>
      </c>
      <c r="E2777" s="57" t="s">
        <v>2860</v>
      </c>
      <c r="F2777" s="58" t="s">
        <v>6707</v>
      </c>
      <c r="G2777" s="234" t="s">
        <v>233</v>
      </c>
      <c r="H2777" s="57" t="s">
        <v>2557</v>
      </c>
      <c r="I2777" s="58">
        <v>101148</v>
      </c>
      <c r="J2777" s="57" t="s">
        <v>6708</v>
      </c>
      <c r="K2777" s="58">
        <v>59.99</v>
      </c>
      <c r="L2777" s="58">
        <v>0</v>
      </c>
      <c r="M2777" s="58">
        <v>0</v>
      </c>
      <c r="N2777" s="58">
        <v>1</v>
      </c>
      <c r="O2777" s="181">
        <f t="shared" si="20"/>
        <v>59.99</v>
      </c>
      <c r="P2777" s="247">
        <f t="shared" si="21"/>
        <v>59.99</v>
      </c>
    </row>
    <row r="2778" spans="1:16" ht="14.25">
      <c r="A2778" s="224">
        <v>2777</v>
      </c>
      <c r="B2778" s="58">
        <v>5997</v>
      </c>
      <c r="C2778" s="57" t="s">
        <v>6709</v>
      </c>
      <c r="D2778" s="57" t="s">
        <v>2582</v>
      </c>
      <c r="E2778" s="57" t="s">
        <v>2860</v>
      </c>
      <c r="F2778" s="58" t="s">
        <v>6710</v>
      </c>
      <c r="G2778" s="234" t="s">
        <v>233</v>
      </c>
      <c r="H2778" s="57" t="s">
        <v>2557</v>
      </c>
      <c r="I2778" s="58">
        <v>98172</v>
      </c>
      <c r="J2778" s="57" t="s">
        <v>6711</v>
      </c>
      <c r="K2778" s="58">
        <v>61.28</v>
      </c>
      <c r="L2778" s="58">
        <v>0</v>
      </c>
      <c r="M2778" s="58">
        <v>0</v>
      </c>
      <c r="N2778" s="58">
        <v>7.0280800000000001</v>
      </c>
      <c r="O2778" s="181">
        <f t="shared" si="20"/>
        <v>61.28</v>
      </c>
      <c r="P2778" s="247">
        <f t="shared" si="21"/>
        <v>8.7193088297230545</v>
      </c>
    </row>
    <row r="2779" spans="1:16" ht="14.25">
      <c r="A2779" s="224">
        <v>2778</v>
      </c>
      <c r="B2779" s="58">
        <v>5997</v>
      </c>
      <c r="C2779" s="57" t="s">
        <v>6709</v>
      </c>
      <c r="D2779" s="57" t="s">
        <v>2582</v>
      </c>
      <c r="E2779" s="57" t="s">
        <v>2860</v>
      </c>
      <c r="F2779" s="58" t="s">
        <v>6712</v>
      </c>
      <c r="G2779" s="234" t="s">
        <v>233</v>
      </c>
      <c r="H2779" s="57" t="s">
        <v>2557</v>
      </c>
      <c r="I2779" s="58">
        <v>98172</v>
      </c>
      <c r="J2779" s="57"/>
      <c r="K2779" s="58">
        <v>0.01</v>
      </c>
      <c r="L2779" s="58">
        <v>0</v>
      </c>
      <c r="M2779" s="58">
        <v>0</v>
      </c>
      <c r="N2779" s="58">
        <v>7.0280800000000001</v>
      </c>
      <c r="O2779" s="181">
        <f t="shared" si="20"/>
        <v>0.01</v>
      </c>
      <c r="P2779" s="247">
        <f t="shared" si="21"/>
        <v>1.4228637124221693E-3</v>
      </c>
    </row>
    <row r="2780" spans="1:16" ht="14.25">
      <c r="A2780" s="224">
        <v>2779</v>
      </c>
      <c r="B2780" s="58">
        <v>38620</v>
      </c>
      <c r="C2780" s="57" t="s">
        <v>6713</v>
      </c>
      <c r="D2780" s="57" t="s">
        <v>45</v>
      </c>
      <c r="E2780" s="57" t="s">
        <v>2860</v>
      </c>
      <c r="F2780" s="58" t="s">
        <v>6714</v>
      </c>
      <c r="G2780" s="234" t="s">
        <v>233</v>
      </c>
      <c r="H2780" s="57" t="s">
        <v>2557</v>
      </c>
      <c r="I2780" s="58">
        <v>101352</v>
      </c>
      <c r="J2780" s="57" t="s">
        <v>6715</v>
      </c>
      <c r="K2780" s="58">
        <v>3.99</v>
      </c>
      <c r="L2780" s="58">
        <v>0</v>
      </c>
      <c r="M2780" s="58">
        <v>0</v>
      </c>
      <c r="N2780" s="58">
        <v>1</v>
      </c>
      <c r="O2780" s="181">
        <f t="shared" si="20"/>
        <v>3.99</v>
      </c>
      <c r="P2780" s="247">
        <f t="shared" si="21"/>
        <v>3.99</v>
      </c>
    </row>
    <row r="2781" spans="1:16" ht="14.25">
      <c r="A2781" s="224">
        <v>2780</v>
      </c>
      <c r="B2781" s="58">
        <v>8202</v>
      </c>
      <c r="C2781" s="57" t="s">
        <v>2739</v>
      </c>
      <c r="D2781" s="57" t="s">
        <v>45</v>
      </c>
      <c r="E2781" s="57" t="s">
        <v>9</v>
      </c>
      <c r="F2781" s="58" t="s">
        <v>6716</v>
      </c>
      <c r="G2781" s="234" t="s">
        <v>233</v>
      </c>
      <c r="H2781" s="57" t="s">
        <v>2557</v>
      </c>
      <c r="I2781" s="58">
        <v>101484</v>
      </c>
      <c r="J2781" s="57" t="s">
        <v>833</v>
      </c>
      <c r="K2781" s="58">
        <v>8.4</v>
      </c>
      <c r="L2781" s="58">
        <v>0.91</v>
      </c>
      <c r="M2781" s="58">
        <v>0</v>
      </c>
      <c r="N2781" s="58">
        <v>1</v>
      </c>
      <c r="O2781" s="181">
        <f t="shared" si="20"/>
        <v>7.49</v>
      </c>
      <c r="P2781" s="247">
        <f t="shared" si="21"/>
        <v>7.49</v>
      </c>
    </row>
    <row r="2782" spans="1:16" ht="14.25">
      <c r="A2782" s="224">
        <v>2781</v>
      </c>
      <c r="B2782" s="58">
        <v>38651</v>
      </c>
      <c r="C2782" s="57" t="s">
        <v>6717</v>
      </c>
      <c r="D2782" s="57" t="s">
        <v>45</v>
      </c>
      <c r="E2782" s="57" t="s">
        <v>2860</v>
      </c>
      <c r="F2782" s="58" t="s">
        <v>6718</v>
      </c>
      <c r="G2782" s="234" t="s">
        <v>233</v>
      </c>
      <c r="H2782" s="57" t="s">
        <v>2557</v>
      </c>
      <c r="I2782" s="58">
        <v>101496</v>
      </c>
      <c r="J2782" s="57" t="s">
        <v>6719</v>
      </c>
      <c r="K2782" s="58">
        <v>7.99</v>
      </c>
      <c r="L2782" s="58">
        <v>0</v>
      </c>
      <c r="M2782" s="58">
        <v>0</v>
      </c>
      <c r="N2782" s="58">
        <v>1</v>
      </c>
      <c r="O2782" s="181">
        <f t="shared" si="20"/>
        <v>7.99</v>
      </c>
      <c r="P2782" s="247">
        <f t="shared" si="21"/>
        <v>7.99</v>
      </c>
    </row>
    <row r="2783" spans="1:16" ht="14.25">
      <c r="A2783" s="224">
        <v>2782</v>
      </c>
      <c r="B2783" s="58">
        <v>38652</v>
      </c>
      <c r="C2783" s="57" t="s">
        <v>6720</v>
      </c>
      <c r="D2783" s="57" t="s">
        <v>2582</v>
      </c>
      <c r="E2783" s="57" t="s">
        <v>2860</v>
      </c>
      <c r="F2783" s="58" t="s">
        <v>6721</v>
      </c>
      <c r="G2783" s="234" t="s">
        <v>233</v>
      </c>
      <c r="H2783" s="57" t="s">
        <v>2557</v>
      </c>
      <c r="I2783" s="58">
        <v>101508</v>
      </c>
      <c r="J2783" s="57" t="s">
        <v>6722</v>
      </c>
      <c r="K2783" s="58">
        <v>38.51</v>
      </c>
      <c r="L2783" s="58">
        <v>0</v>
      </c>
      <c r="M2783" s="58">
        <v>0</v>
      </c>
      <c r="N2783" s="58">
        <v>7.0144200000000003</v>
      </c>
      <c r="O2783" s="181">
        <f t="shared" si="20"/>
        <v>38.51</v>
      </c>
      <c r="P2783" s="247">
        <f t="shared" si="21"/>
        <v>5.490118926440104</v>
      </c>
    </row>
    <row r="2784" spans="1:16" ht="14.25">
      <c r="A2784" s="224">
        <v>2783</v>
      </c>
      <c r="B2784" s="58">
        <v>37969</v>
      </c>
      <c r="C2784" s="57" t="s">
        <v>6635</v>
      </c>
      <c r="D2784" s="57" t="s">
        <v>45</v>
      </c>
      <c r="E2784" s="57" t="s">
        <v>9</v>
      </c>
      <c r="F2784" s="58" t="s">
        <v>6723</v>
      </c>
      <c r="G2784" s="234" t="s">
        <v>233</v>
      </c>
      <c r="H2784" s="57" t="s">
        <v>2557</v>
      </c>
      <c r="I2784" s="58">
        <v>101604</v>
      </c>
      <c r="J2784" s="57" t="s">
        <v>834</v>
      </c>
      <c r="K2784" s="58">
        <v>5.19</v>
      </c>
      <c r="L2784" s="58">
        <v>0.75</v>
      </c>
      <c r="M2784" s="58">
        <v>0</v>
      </c>
      <c r="N2784" s="58">
        <v>1</v>
      </c>
      <c r="O2784" s="181">
        <f t="shared" si="20"/>
        <v>4.4400000000000004</v>
      </c>
      <c r="P2784" s="247">
        <f t="shared" si="21"/>
        <v>4.4400000000000004</v>
      </c>
    </row>
    <row r="2785" spans="1:16" ht="14.25">
      <c r="A2785" s="224">
        <v>2784</v>
      </c>
      <c r="B2785" s="58">
        <v>8408</v>
      </c>
      <c r="C2785" s="57" t="s">
        <v>2755</v>
      </c>
      <c r="D2785" s="57" t="s">
        <v>45</v>
      </c>
      <c r="E2785" s="57" t="s">
        <v>2860</v>
      </c>
      <c r="F2785" s="58" t="s">
        <v>6724</v>
      </c>
      <c r="G2785" s="234" t="s">
        <v>233</v>
      </c>
      <c r="H2785" s="57" t="s">
        <v>2557</v>
      </c>
      <c r="I2785" s="58">
        <v>101616</v>
      </c>
      <c r="J2785" s="57" t="s">
        <v>6725</v>
      </c>
      <c r="K2785" s="58">
        <v>20.25</v>
      </c>
      <c r="L2785" s="58">
        <v>0</v>
      </c>
      <c r="M2785" s="58">
        <v>0</v>
      </c>
      <c r="N2785" s="58">
        <v>1</v>
      </c>
      <c r="O2785" s="181">
        <f t="shared" si="20"/>
        <v>20.25</v>
      </c>
      <c r="P2785" s="247">
        <f t="shared" si="21"/>
        <v>20.25</v>
      </c>
    </row>
    <row r="2786" spans="1:16" ht="14.25">
      <c r="A2786" s="224">
        <v>2785</v>
      </c>
      <c r="B2786" s="58">
        <v>7397</v>
      </c>
      <c r="C2786" s="57" t="s">
        <v>2693</v>
      </c>
      <c r="D2786" s="57" t="s">
        <v>45</v>
      </c>
      <c r="E2786" s="57" t="s">
        <v>9</v>
      </c>
      <c r="F2786" s="58" t="s">
        <v>6726</v>
      </c>
      <c r="G2786" s="234" t="s">
        <v>233</v>
      </c>
      <c r="H2786" s="57" t="s">
        <v>2557</v>
      </c>
      <c r="I2786" s="58">
        <v>101628</v>
      </c>
      <c r="J2786" s="57" t="s">
        <v>836</v>
      </c>
      <c r="K2786" s="58">
        <v>2</v>
      </c>
      <c r="L2786" s="58">
        <v>0.56000000000000005</v>
      </c>
      <c r="M2786" s="58">
        <v>0</v>
      </c>
      <c r="N2786" s="58">
        <v>1</v>
      </c>
      <c r="O2786" s="181">
        <f t="shared" si="20"/>
        <v>1.44</v>
      </c>
      <c r="P2786" s="247">
        <f t="shared" si="21"/>
        <v>1.44</v>
      </c>
    </row>
    <row r="2787" spans="1:16" ht="14.25">
      <c r="A2787" s="224">
        <v>2786</v>
      </c>
      <c r="B2787" s="58">
        <v>19275</v>
      </c>
      <c r="C2787" s="57" t="s">
        <v>3112</v>
      </c>
      <c r="D2787" s="57" t="s">
        <v>45</v>
      </c>
      <c r="E2787" s="57" t="s">
        <v>2860</v>
      </c>
      <c r="F2787" s="58" t="s">
        <v>6727</v>
      </c>
      <c r="G2787" s="234" t="s">
        <v>233</v>
      </c>
      <c r="H2787" s="57" t="s">
        <v>2557</v>
      </c>
      <c r="I2787" s="58">
        <v>101640</v>
      </c>
      <c r="J2787" s="57" t="s">
        <v>6728</v>
      </c>
      <c r="K2787" s="58">
        <v>119.98</v>
      </c>
      <c r="L2787" s="58">
        <v>0</v>
      </c>
      <c r="M2787" s="58">
        <v>0</v>
      </c>
      <c r="N2787" s="58">
        <v>1</v>
      </c>
      <c r="O2787" s="181">
        <f t="shared" si="20"/>
        <v>119.98</v>
      </c>
      <c r="P2787" s="247">
        <f t="shared" si="21"/>
        <v>119.98</v>
      </c>
    </row>
    <row r="2788" spans="1:16" ht="14.25">
      <c r="A2788" s="224">
        <v>2787</v>
      </c>
      <c r="B2788" s="58">
        <v>37969</v>
      </c>
      <c r="C2788" s="57" t="s">
        <v>6635</v>
      </c>
      <c r="D2788" s="57" t="s">
        <v>45</v>
      </c>
      <c r="E2788" s="57" t="s">
        <v>9</v>
      </c>
      <c r="F2788" s="58" t="s">
        <v>6729</v>
      </c>
      <c r="G2788" s="234" t="s">
        <v>233</v>
      </c>
      <c r="H2788" s="57" t="s">
        <v>6730</v>
      </c>
      <c r="I2788" s="58">
        <v>101604</v>
      </c>
      <c r="J2788" s="57" t="s">
        <v>838</v>
      </c>
      <c r="K2788" s="58">
        <v>0</v>
      </c>
      <c r="L2788" s="58">
        <v>-0.75</v>
      </c>
      <c r="M2788" s="58">
        <v>5.19</v>
      </c>
      <c r="N2788" s="58">
        <v>1</v>
      </c>
      <c r="O2788" s="181">
        <f t="shared" si="20"/>
        <v>-4.4400000000000004</v>
      </c>
      <c r="P2788" s="247">
        <f t="shared" si="21"/>
        <v>-4.4400000000000004</v>
      </c>
    </row>
    <row r="2789" spans="1:16" ht="14.25">
      <c r="A2789" s="224">
        <v>2788</v>
      </c>
      <c r="B2789" s="58">
        <v>6145</v>
      </c>
      <c r="C2789" s="57" t="s">
        <v>2805</v>
      </c>
      <c r="D2789" s="57" t="s">
        <v>45</v>
      </c>
      <c r="E2789" s="57" t="s">
        <v>2860</v>
      </c>
      <c r="F2789" s="58" t="s">
        <v>6731</v>
      </c>
      <c r="G2789" s="234" t="s">
        <v>233</v>
      </c>
      <c r="H2789" s="57" t="s">
        <v>2557</v>
      </c>
      <c r="I2789" s="58">
        <v>98436</v>
      </c>
      <c r="J2789" s="57" t="s">
        <v>6732</v>
      </c>
      <c r="K2789" s="58">
        <v>3.99</v>
      </c>
      <c r="L2789" s="58">
        <v>0</v>
      </c>
      <c r="M2789" s="58">
        <v>0</v>
      </c>
      <c r="N2789" s="58">
        <v>1</v>
      </c>
      <c r="O2789" s="181">
        <f t="shared" si="20"/>
        <v>3.99</v>
      </c>
      <c r="P2789" s="247">
        <f t="shared" si="21"/>
        <v>3.99</v>
      </c>
    </row>
    <row r="2790" spans="1:16" ht="14.25">
      <c r="A2790" s="224">
        <v>2789</v>
      </c>
      <c r="B2790" s="58">
        <v>23409</v>
      </c>
      <c r="C2790" s="57" t="s">
        <v>4054</v>
      </c>
      <c r="D2790" s="57" t="s">
        <v>45</v>
      </c>
      <c r="E2790" s="57" t="s">
        <v>2874</v>
      </c>
      <c r="F2790" s="58" t="s">
        <v>6733</v>
      </c>
      <c r="G2790" s="234" t="s">
        <v>233</v>
      </c>
      <c r="H2790" s="57" t="s">
        <v>2557</v>
      </c>
      <c r="I2790" s="58">
        <v>101652</v>
      </c>
      <c r="J2790" s="57" t="s">
        <v>6734</v>
      </c>
      <c r="K2790" s="58">
        <v>3.99</v>
      </c>
      <c r="L2790" s="58">
        <v>0</v>
      </c>
      <c r="M2790" s="58">
        <v>0</v>
      </c>
      <c r="N2790" s="58">
        <v>1</v>
      </c>
      <c r="O2790" s="181">
        <f t="shared" si="20"/>
        <v>3.99</v>
      </c>
      <c r="P2790" s="247">
        <f t="shared" si="21"/>
        <v>3.99</v>
      </c>
    </row>
    <row r="2791" spans="1:16" ht="14.25">
      <c r="A2791" s="224">
        <v>2790</v>
      </c>
      <c r="B2791" s="58">
        <v>4474</v>
      </c>
      <c r="C2791" s="57" t="s">
        <v>6735</v>
      </c>
      <c r="D2791" s="57" t="s">
        <v>45</v>
      </c>
      <c r="E2791" s="57" t="s">
        <v>2860</v>
      </c>
      <c r="F2791" s="58" t="s">
        <v>6736</v>
      </c>
      <c r="G2791" s="234" t="s">
        <v>233</v>
      </c>
      <c r="H2791" s="57" t="s">
        <v>2557</v>
      </c>
      <c r="I2791" s="58">
        <v>101796</v>
      </c>
      <c r="J2791" s="57" t="s">
        <v>6737</v>
      </c>
      <c r="K2791" s="58">
        <v>1</v>
      </c>
      <c r="L2791" s="58">
        <v>0</v>
      </c>
      <c r="M2791" s="58">
        <v>0</v>
      </c>
      <c r="N2791" s="58">
        <v>1</v>
      </c>
      <c r="O2791" s="181">
        <f t="shared" si="20"/>
        <v>1</v>
      </c>
      <c r="P2791" s="247">
        <f t="shared" si="21"/>
        <v>1</v>
      </c>
    </row>
    <row r="2792" spans="1:16" ht="14.25">
      <c r="A2792" s="224">
        <v>2791</v>
      </c>
      <c r="B2792" s="58">
        <v>383</v>
      </c>
      <c r="C2792" s="57" t="s">
        <v>5804</v>
      </c>
      <c r="D2792" s="57" t="s">
        <v>45</v>
      </c>
      <c r="E2792" s="57" t="s">
        <v>9</v>
      </c>
      <c r="F2792" s="58" t="s">
        <v>6738</v>
      </c>
      <c r="G2792" s="234" t="s">
        <v>233</v>
      </c>
      <c r="H2792" s="57" t="s">
        <v>2557</v>
      </c>
      <c r="I2792" s="58">
        <v>98724</v>
      </c>
      <c r="J2792" s="57" t="s">
        <v>841</v>
      </c>
      <c r="K2792" s="58">
        <v>20.25</v>
      </c>
      <c r="L2792" s="58">
        <v>1.2</v>
      </c>
      <c r="M2792" s="58">
        <v>0</v>
      </c>
      <c r="N2792" s="58">
        <v>1</v>
      </c>
      <c r="O2792" s="181">
        <f t="shared" si="20"/>
        <v>19.05</v>
      </c>
      <c r="P2792" s="247">
        <f t="shared" si="21"/>
        <v>19.05</v>
      </c>
    </row>
    <row r="2793" spans="1:16" ht="14.25">
      <c r="A2793" s="224">
        <v>2792</v>
      </c>
      <c r="B2793" s="58">
        <v>38753</v>
      </c>
      <c r="C2793" s="57" t="s">
        <v>6739</v>
      </c>
      <c r="D2793" s="57" t="s">
        <v>45</v>
      </c>
      <c r="E2793" s="57" t="s">
        <v>2874</v>
      </c>
      <c r="F2793" s="58" t="s">
        <v>6740</v>
      </c>
      <c r="G2793" s="234" t="s">
        <v>233</v>
      </c>
      <c r="H2793" s="57" t="s">
        <v>2557</v>
      </c>
      <c r="I2793" s="58">
        <v>101808</v>
      </c>
      <c r="J2793" s="57" t="s">
        <v>6741</v>
      </c>
      <c r="K2793" s="58">
        <v>7.99</v>
      </c>
      <c r="L2793" s="58">
        <v>0</v>
      </c>
      <c r="M2793" s="58">
        <v>0</v>
      </c>
      <c r="N2793" s="58">
        <v>1</v>
      </c>
      <c r="O2793" s="181">
        <f t="shared" si="20"/>
        <v>7.99</v>
      </c>
      <c r="P2793" s="247">
        <f t="shared" si="21"/>
        <v>7.99</v>
      </c>
    </row>
    <row r="2794" spans="1:16" ht="14.25">
      <c r="A2794" s="224">
        <v>2793</v>
      </c>
      <c r="B2794" s="58">
        <v>3365</v>
      </c>
      <c r="C2794" s="57" t="s">
        <v>6742</v>
      </c>
      <c r="D2794" s="57" t="s">
        <v>45</v>
      </c>
      <c r="E2794" s="57" t="s">
        <v>2860</v>
      </c>
      <c r="F2794" s="58" t="s">
        <v>6743</v>
      </c>
      <c r="G2794" s="234" t="s">
        <v>233</v>
      </c>
      <c r="H2794" s="57" t="s">
        <v>2557</v>
      </c>
      <c r="I2794" s="58">
        <v>101820</v>
      </c>
      <c r="J2794" s="57" t="s">
        <v>6744</v>
      </c>
      <c r="K2794" s="58">
        <v>3.99</v>
      </c>
      <c r="L2794" s="58">
        <v>0</v>
      </c>
      <c r="M2794" s="58">
        <v>0</v>
      </c>
      <c r="N2794" s="58">
        <v>1</v>
      </c>
      <c r="O2794" s="181">
        <f t="shared" si="20"/>
        <v>3.99</v>
      </c>
      <c r="P2794" s="247">
        <f t="shared" si="21"/>
        <v>3.99</v>
      </c>
    </row>
    <row r="2795" spans="1:16" ht="14.25">
      <c r="A2795" s="224">
        <v>2794</v>
      </c>
      <c r="B2795" s="58">
        <v>1588</v>
      </c>
      <c r="C2795" s="57" t="s">
        <v>2594</v>
      </c>
      <c r="D2795" s="57" t="s">
        <v>45</v>
      </c>
      <c r="E2795" s="57" t="s">
        <v>2860</v>
      </c>
      <c r="F2795" s="58" t="s">
        <v>6745</v>
      </c>
      <c r="G2795" s="234" t="s">
        <v>233</v>
      </c>
      <c r="H2795" s="57" t="s">
        <v>2557</v>
      </c>
      <c r="I2795" s="58">
        <v>101832</v>
      </c>
      <c r="J2795" s="57" t="s">
        <v>6746</v>
      </c>
      <c r="K2795" s="58">
        <v>1</v>
      </c>
      <c r="L2795" s="58">
        <v>0</v>
      </c>
      <c r="M2795" s="58">
        <v>0</v>
      </c>
      <c r="N2795" s="58">
        <v>1</v>
      </c>
      <c r="O2795" s="181">
        <f t="shared" si="20"/>
        <v>1</v>
      </c>
      <c r="P2795" s="247">
        <f t="shared" si="21"/>
        <v>1</v>
      </c>
    </row>
    <row r="2796" spans="1:16" ht="14.25">
      <c r="A2796" s="224">
        <v>2795</v>
      </c>
      <c r="B2796" s="58">
        <v>38663</v>
      </c>
      <c r="C2796" s="57" t="s">
        <v>6747</v>
      </c>
      <c r="D2796" s="57" t="s">
        <v>45</v>
      </c>
      <c r="E2796" s="57" t="s">
        <v>2860</v>
      </c>
      <c r="F2796" s="58" t="s">
        <v>6748</v>
      </c>
      <c r="G2796" s="234" t="s">
        <v>233</v>
      </c>
      <c r="H2796" s="57" t="s">
        <v>2557</v>
      </c>
      <c r="I2796" s="58">
        <v>101844</v>
      </c>
      <c r="J2796" s="57" t="s">
        <v>6749</v>
      </c>
      <c r="K2796" s="58">
        <v>16.989999999999998</v>
      </c>
      <c r="L2796" s="58">
        <v>0</v>
      </c>
      <c r="M2796" s="58">
        <v>0</v>
      </c>
      <c r="N2796" s="58">
        <v>1</v>
      </c>
      <c r="O2796" s="181">
        <f t="shared" si="20"/>
        <v>16.989999999999998</v>
      </c>
      <c r="P2796" s="247">
        <f t="shared" si="21"/>
        <v>16.989999999999998</v>
      </c>
    </row>
    <row r="2797" spans="1:16" ht="14.25">
      <c r="A2797" s="224">
        <v>2796</v>
      </c>
      <c r="B2797" s="58">
        <v>2518</v>
      </c>
      <c r="C2797" s="57" t="s">
        <v>4748</v>
      </c>
      <c r="D2797" s="57" t="s">
        <v>45</v>
      </c>
      <c r="E2797" s="57" t="s">
        <v>2874</v>
      </c>
      <c r="F2797" s="58" t="s">
        <v>6750</v>
      </c>
      <c r="G2797" s="234" t="s">
        <v>233</v>
      </c>
      <c r="H2797" s="57" t="s">
        <v>2557</v>
      </c>
      <c r="I2797" s="58">
        <v>98988</v>
      </c>
      <c r="J2797" s="57" t="s">
        <v>6751</v>
      </c>
      <c r="K2797" s="58">
        <v>20.25</v>
      </c>
      <c r="L2797" s="58">
        <v>0</v>
      </c>
      <c r="M2797" s="58">
        <v>0</v>
      </c>
      <c r="N2797" s="58">
        <v>1</v>
      </c>
      <c r="O2797" s="181">
        <f t="shared" si="20"/>
        <v>20.25</v>
      </c>
      <c r="P2797" s="247">
        <f t="shared" si="21"/>
        <v>20.25</v>
      </c>
    </row>
    <row r="2798" spans="1:16" ht="14.25">
      <c r="A2798" s="224">
        <v>2797</v>
      </c>
      <c r="B2798" s="58">
        <v>34482</v>
      </c>
      <c r="C2798" s="57" t="s">
        <v>6027</v>
      </c>
      <c r="D2798" s="57" t="s">
        <v>2582</v>
      </c>
      <c r="E2798" s="57" t="s">
        <v>2860</v>
      </c>
      <c r="F2798" s="58" t="s">
        <v>6752</v>
      </c>
      <c r="G2798" s="234" t="s">
        <v>233</v>
      </c>
      <c r="H2798" s="57" t="s">
        <v>2557</v>
      </c>
      <c r="I2798" s="58">
        <v>101880</v>
      </c>
      <c r="J2798" s="57" t="s">
        <v>6753</v>
      </c>
      <c r="K2798" s="58">
        <v>31.49</v>
      </c>
      <c r="L2798" s="58">
        <v>0</v>
      </c>
      <c r="M2798" s="58">
        <v>0</v>
      </c>
      <c r="N2798" s="58">
        <v>7.0144200000000003</v>
      </c>
      <c r="O2798" s="181">
        <f t="shared" si="20"/>
        <v>31.49</v>
      </c>
      <c r="P2798" s="247">
        <f t="shared" si="21"/>
        <v>4.489323422321446</v>
      </c>
    </row>
    <row r="2799" spans="1:16" ht="14.25">
      <c r="A2799" s="224">
        <v>2798</v>
      </c>
      <c r="B2799" s="58">
        <v>38785</v>
      </c>
      <c r="C2799" s="57" t="s">
        <v>6754</v>
      </c>
      <c r="D2799" s="57" t="s">
        <v>45</v>
      </c>
      <c r="E2799" s="57" t="s">
        <v>4772</v>
      </c>
      <c r="F2799" s="58" t="s">
        <v>6755</v>
      </c>
      <c r="G2799" s="234" t="s">
        <v>233</v>
      </c>
      <c r="H2799" s="57" t="s">
        <v>2557</v>
      </c>
      <c r="I2799" s="58">
        <v>102036</v>
      </c>
      <c r="J2799" s="57" t="s">
        <v>2374</v>
      </c>
      <c r="K2799" s="58">
        <v>3.99</v>
      </c>
      <c r="L2799" s="58">
        <v>0.12</v>
      </c>
      <c r="M2799" s="58">
        <v>0</v>
      </c>
      <c r="N2799" s="58">
        <v>1</v>
      </c>
      <c r="O2799" s="181">
        <f t="shared" si="20"/>
        <v>3.87</v>
      </c>
      <c r="P2799" s="247">
        <f t="shared" si="21"/>
        <v>3.87</v>
      </c>
    </row>
    <row r="2800" spans="1:16" ht="14.25">
      <c r="A2800" s="224">
        <v>2799</v>
      </c>
      <c r="B2800" s="58">
        <v>38786</v>
      </c>
      <c r="C2800" s="57" t="s">
        <v>6756</v>
      </c>
      <c r="D2800" s="57" t="s">
        <v>45</v>
      </c>
      <c r="E2800" s="57" t="s">
        <v>2860</v>
      </c>
      <c r="F2800" s="58" t="s">
        <v>6757</v>
      </c>
      <c r="G2800" s="234" t="s">
        <v>233</v>
      </c>
      <c r="H2800" s="57" t="s">
        <v>2557</v>
      </c>
      <c r="I2800" s="58">
        <v>102048</v>
      </c>
      <c r="J2800" s="57" t="s">
        <v>6758</v>
      </c>
      <c r="K2800" s="58">
        <v>28.79</v>
      </c>
      <c r="L2800" s="58">
        <v>0</v>
      </c>
      <c r="M2800" s="58">
        <v>0</v>
      </c>
      <c r="N2800" s="58">
        <v>1</v>
      </c>
      <c r="O2800" s="181">
        <f t="shared" si="20"/>
        <v>28.79</v>
      </c>
      <c r="P2800" s="247">
        <f t="shared" si="21"/>
        <v>28.79</v>
      </c>
    </row>
    <row r="2801" spans="1:16" ht="14.25">
      <c r="A2801" s="224">
        <v>2800</v>
      </c>
      <c r="B2801" s="58">
        <v>3747</v>
      </c>
      <c r="C2801" s="57" t="s">
        <v>4039</v>
      </c>
      <c r="D2801" s="57" t="s">
        <v>2582</v>
      </c>
      <c r="E2801" s="57" t="s">
        <v>9</v>
      </c>
      <c r="F2801" s="58" t="s">
        <v>6759</v>
      </c>
      <c r="G2801" s="234" t="s">
        <v>233</v>
      </c>
      <c r="H2801" s="57" t="s">
        <v>2557</v>
      </c>
      <c r="I2801" s="58">
        <v>100272</v>
      </c>
      <c r="J2801" s="57" t="s">
        <v>842</v>
      </c>
      <c r="K2801" s="58">
        <v>50.99</v>
      </c>
      <c r="L2801" s="58">
        <v>5.19</v>
      </c>
      <c r="M2801" s="58">
        <v>0</v>
      </c>
      <c r="N2801" s="58">
        <v>7.0144200000000003</v>
      </c>
      <c r="O2801" s="181">
        <f t="shared" si="20"/>
        <v>45.800000000000004</v>
      </c>
      <c r="P2801" s="247">
        <f t="shared" si="21"/>
        <v>6.5294065653325584</v>
      </c>
    </row>
    <row r="2802" spans="1:16" ht="14.25">
      <c r="A2802" s="224">
        <v>2801</v>
      </c>
      <c r="B2802" s="58">
        <v>4474</v>
      </c>
      <c r="C2802" s="57" t="s">
        <v>6735</v>
      </c>
      <c r="D2802" s="57" t="s">
        <v>45</v>
      </c>
      <c r="E2802" s="57" t="s">
        <v>9</v>
      </c>
      <c r="F2802" s="58" t="s">
        <v>6760</v>
      </c>
      <c r="G2802" s="234" t="s">
        <v>233</v>
      </c>
      <c r="H2802" s="57" t="s">
        <v>2557</v>
      </c>
      <c r="I2802" s="58">
        <v>102072</v>
      </c>
      <c r="J2802" s="57" t="s">
        <v>844</v>
      </c>
      <c r="K2802" s="58">
        <v>31.59</v>
      </c>
      <c r="L2802" s="58">
        <v>1.59</v>
      </c>
      <c r="M2802" s="58">
        <v>0</v>
      </c>
      <c r="N2802" s="58">
        <v>1</v>
      </c>
      <c r="O2802" s="181">
        <f t="shared" si="20"/>
        <v>30</v>
      </c>
      <c r="P2802" s="247">
        <f t="shared" si="21"/>
        <v>30</v>
      </c>
    </row>
    <row r="2803" spans="1:16" ht="14.25">
      <c r="A2803" s="224">
        <v>2802</v>
      </c>
      <c r="B2803" s="58">
        <v>38800</v>
      </c>
      <c r="C2803" s="57" t="s">
        <v>2667</v>
      </c>
      <c r="D2803" s="57" t="s">
        <v>45</v>
      </c>
      <c r="E2803" s="57" t="s">
        <v>2860</v>
      </c>
      <c r="F2803" s="58" t="s">
        <v>6761</v>
      </c>
      <c r="G2803" s="234" t="s">
        <v>233</v>
      </c>
      <c r="H2803" s="57" t="s">
        <v>2557</v>
      </c>
      <c r="I2803" s="58">
        <v>102168</v>
      </c>
      <c r="J2803" s="57" t="s">
        <v>6762</v>
      </c>
      <c r="K2803" s="58">
        <v>7.99</v>
      </c>
      <c r="L2803" s="58">
        <v>0</v>
      </c>
      <c r="M2803" s="58">
        <v>0</v>
      </c>
      <c r="N2803" s="58">
        <v>1</v>
      </c>
      <c r="O2803" s="181">
        <f t="shared" si="20"/>
        <v>7.99</v>
      </c>
      <c r="P2803" s="247">
        <f t="shared" si="21"/>
        <v>7.99</v>
      </c>
    </row>
    <row r="2804" spans="1:16" ht="14.25">
      <c r="A2804" s="224">
        <v>2803</v>
      </c>
      <c r="B2804" s="58">
        <v>6306</v>
      </c>
      <c r="C2804" s="57" t="s">
        <v>6763</v>
      </c>
      <c r="D2804" s="57" t="s">
        <v>45</v>
      </c>
      <c r="E2804" s="57" t="s">
        <v>2860</v>
      </c>
      <c r="F2804" s="58" t="s">
        <v>6764</v>
      </c>
      <c r="G2804" s="234" t="s">
        <v>233</v>
      </c>
      <c r="H2804" s="57" t="s">
        <v>2557</v>
      </c>
      <c r="I2804" s="58">
        <v>99300</v>
      </c>
      <c r="J2804" s="57" t="s">
        <v>6765</v>
      </c>
      <c r="K2804" s="58">
        <v>20.25</v>
      </c>
      <c r="L2804" s="58">
        <v>0</v>
      </c>
      <c r="M2804" s="58">
        <v>0</v>
      </c>
      <c r="N2804" s="58">
        <v>1</v>
      </c>
      <c r="O2804" s="181">
        <f t="shared" si="20"/>
        <v>20.25</v>
      </c>
      <c r="P2804" s="247">
        <f t="shared" si="21"/>
        <v>20.25</v>
      </c>
    </row>
    <row r="2805" spans="1:16" ht="14.25">
      <c r="A2805" s="224">
        <v>2804</v>
      </c>
      <c r="B2805" s="58">
        <v>38819</v>
      </c>
      <c r="C2805" s="57" t="s">
        <v>6766</v>
      </c>
      <c r="D2805" s="57" t="s">
        <v>45</v>
      </c>
      <c r="E2805" s="57" t="s">
        <v>2860</v>
      </c>
      <c r="F2805" s="58" t="s">
        <v>6767</v>
      </c>
      <c r="G2805" s="234" t="s">
        <v>233</v>
      </c>
      <c r="H2805" s="57" t="s">
        <v>2557</v>
      </c>
      <c r="I2805" s="58">
        <v>102384</v>
      </c>
      <c r="J2805" s="57" t="s">
        <v>6768</v>
      </c>
      <c r="K2805" s="58">
        <v>6.49</v>
      </c>
      <c r="L2805" s="58">
        <v>0</v>
      </c>
      <c r="M2805" s="58">
        <v>0</v>
      </c>
      <c r="N2805" s="58">
        <v>1</v>
      </c>
      <c r="O2805" s="181">
        <f t="shared" si="20"/>
        <v>6.49</v>
      </c>
      <c r="P2805" s="247">
        <f t="shared" si="21"/>
        <v>6.49</v>
      </c>
    </row>
    <row r="2806" spans="1:16" ht="14.25">
      <c r="A2806" s="224">
        <v>2805</v>
      </c>
      <c r="B2806" s="58">
        <v>38818</v>
      </c>
      <c r="C2806" s="57" t="s">
        <v>6769</v>
      </c>
      <c r="D2806" s="57" t="s">
        <v>45</v>
      </c>
      <c r="E2806" s="57" t="s">
        <v>2860</v>
      </c>
      <c r="F2806" s="58" t="s">
        <v>6770</v>
      </c>
      <c r="G2806" s="234" t="s">
        <v>233</v>
      </c>
      <c r="H2806" s="57" t="s">
        <v>2557</v>
      </c>
      <c r="I2806" s="58">
        <v>102396</v>
      </c>
      <c r="J2806" s="57" t="s">
        <v>6771</v>
      </c>
      <c r="K2806" s="58">
        <v>7.99</v>
      </c>
      <c r="L2806" s="58">
        <v>0</v>
      </c>
      <c r="M2806" s="58">
        <v>0</v>
      </c>
      <c r="N2806" s="58">
        <v>1</v>
      </c>
      <c r="O2806" s="181">
        <f t="shared" si="20"/>
        <v>7.99</v>
      </c>
      <c r="P2806" s="247">
        <f t="shared" si="21"/>
        <v>7.99</v>
      </c>
    </row>
    <row r="2807" spans="1:16" ht="14.25">
      <c r="A2807" s="224">
        <v>2806</v>
      </c>
      <c r="B2807" s="58">
        <v>38199</v>
      </c>
      <c r="C2807" s="57" t="s">
        <v>6658</v>
      </c>
      <c r="D2807" s="57" t="s">
        <v>2582</v>
      </c>
      <c r="E2807" s="57" t="s">
        <v>2860</v>
      </c>
      <c r="F2807" s="58" t="s">
        <v>6772</v>
      </c>
      <c r="G2807" s="234" t="s">
        <v>233</v>
      </c>
      <c r="H2807" s="57" t="s">
        <v>2557</v>
      </c>
      <c r="I2807" s="58">
        <v>102408</v>
      </c>
      <c r="J2807" s="57" t="s">
        <v>6773</v>
      </c>
      <c r="K2807" s="58">
        <v>27.99</v>
      </c>
      <c r="L2807" s="58">
        <v>0</v>
      </c>
      <c r="M2807" s="58">
        <v>0</v>
      </c>
      <c r="N2807" s="58">
        <v>7.0144200000000003</v>
      </c>
      <c r="O2807" s="181">
        <f t="shared" ref="O2807:O2838" si="22">K2807-L2807-M2807</f>
        <v>27.99</v>
      </c>
      <c r="P2807" s="247">
        <f t="shared" ref="P2807:P2838" si="23">IF(D2807="USD",O2807,O2807/N2807)</f>
        <v>3.9903513048833683</v>
      </c>
    </row>
    <row r="2808" spans="1:16" ht="14.25">
      <c r="A2808" s="224">
        <v>2807</v>
      </c>
      <c r="B2808" s="58">
        <v>6495</v>
      </c>
      <c r="C2808" s="57" t="s">
        <v>2559</v>
      </c>
      <c r="D2808" s="57" t="s">
        <v>45</v>
      </c>
      <c r="E2808" s="57" t="s">
        <v>2860</v>
      </c>
      <c r="F2808" s="58" t="s">
        <v>6774</v>
      </c>
      <c r="G2808" s="234" t="s">
        <v>233</v>
      </c>
      <c r="H2808" s="57" t="s">
        <v>2557</v>
      </c>
      <c r="I2808" s="58">
        <v>100140</v>
      </c>
      <c r="J2808" s="57" t="s">
        <v>6775</v>
      </c>
      <c r="K2808" s="58">
        <v>20.25</v>
      </c>
      <c r="L2808" s="58">
        <v>0</v>
      </c>
      <c r="M2808" s="58">
        <v>0</v>
      </c>
      <c r="N2808" s="58">
        <v>1</v>
      </c>
      <c r="O2808" s="181">
        <f t="shared" si="22"/>
        <v>20.25</v>
      </c>
      <c r="P2808" s="247">
        <f t="shared" si="23"/>
        <v>20.25</v>
      </c>
    </row>
    <row r="2809" spans="1:16" ht="14.25">
      <c r="A2809" s="224">
        <v>2808</v>
      </c>
      <c r="B2809" s="58">
        <v>38829</v>
      </c>
      <c r="C2809" s="57" t="s">
        <v>846</v>
      </c>
      <c r="D2809" s="57" t="s">
        <v>2582</v>
      </c>
      <c r="E2809" s="57" t="s">
        <v>9</v>
      </c>
      <c r="F2809" s="58" t="s">
        <v>6776</v>
      </c>
      <c r="G2809" s="234" t="s">
        <v>233</v>
      </c>
      <c r="H2809" s="57" t="s">
        <v>2557</v>
      </c>
      <c r="I2809" s="58">
        <v>102420</v>
      </c>
      <c r="J2809" s="57" t="s">
        <v>847</v>
      </c>
      <c r="K2809" s="58">
        <v>423.26</v>
      </c>
      <c r="L2809" s="58">
        <v>24.55</v>
      </c>
      <c r="M2809" s="58">
        <v>0</v>
      </c>
      <c r="N2809" s="58">
        <v>7.0144200000000003</v>
      </c>
      <c r="O2809" s="181">
        <f t="shared" si="22"/>
        <v>398.71</v>
      </c>
      <c r="P2809" s="247">
        <f t="shared" si="23"/>
        <v>56.841477983924541</v>
      </c>
    </row>
    <row r="2810" spans="1:16" ht="14.25">
      <c r="A2810" s="224">
        <v>2809</v>
      </c>
      <c r="B2810" s="58">
        <v>6261</v>
      </c>
      <c r="C2810" s="57" t="s">
        <v>3365</v>
      </c>
      <c r="D2810" s="57" t="s">
        <v>45</v>
      </c>
      <c r="E2810" s="57" t="s">
        <v>4772</v>
      </c>
      <c r="F2810" s="58" t="s">
        <v>6777</v>
      </c>
      <c r="G2810" s="234" t="s">
        <v>233</v>
      </c>
      <c r="H2810" s="57" t="s">
        <v>2557</v>
      </c>
      <c r="I2810" s="58">
        <v>99156</v>
      </c>
      <c r="J2810" s="57" t="s">
        <v>2386</v>
      </c>
      <c r="K2810" s="58">
        <v>11.99</v>
      </c>
      <c r="L2810" s="58">
        <v>0.35</v>
      </c>
      <c r="M2810" s="58">
        <v>0</v>
      </c>
      <c r="N2810" s="58">
        <v>1</v>
      </c>
      <c r="O2810" s="181">
        <f t="shared" si="22"/>
        <v>11.64</v>
      </c>
      <c r="P2810" s="247">
        <f t="shared" si="23"/>
        <v>11.64</v>
      </c>
    </row>
    <row r="2811" spans="1:16" ht="14.25">
      <c r="A2811" s="224">
        <v>2810</v>
      </c>
      <c r="B2811" s="58">
        <v>38856</v>
      </c>
      <c r="C2811" s="57" t="s">
        <v>6778</v>
      </c>
      <c r="D2811" s="57" t="s">
        <v>2582</v>
      </c>
      <c r="E2811" s="57" t="s">
        <v>2860</v>
      </c>
      <c r="F2811" s="58" t="s">
        <v>6779</v>
      </c>
      <c r="G2811" s="234" t="s">
        <v>233</v>
      </c>
      <c r="H2811" s="57" t="s">
        <v>2557</v>
      </c>
      <c r="I2811" s="58">
        <v>102504</v>
      </c>
      <c r="J2811" s="57" t="s">
        <v>6780</v>
      </c>
      <c r="K2811" s="58">
        <v>975.3</v>
      </c>
      <c r="L2811" s="58">
        <v>0</v>
      </c>
      <c r="M2811" s="58">
        <v>0</v>
      </c>
      <c r="N2811" s="58">
        <v>7.0064599999999997</v>
      </c>
      <c r="O2811" s="181">
        <f t="shared" si="22"/>
        <v>975.3</v>
      </c>
      <c r="P2811" s="247">
        <f t="shared" si="23"/>
        <v>139.20010961312846</v>
      </c>
    </row>
    <row r="2812" spans="1:16" ht="14.25">
      <c r="A2812" s="224">
        <v>2811</v>
      </c>
      <c r="B2812" s="58">
        <v>34672</v>
      </c>
      <c r="C2812" s="57" t="s">
        <v>6368</v>
      </c>
      <c r="D2812" s="57" t="s">
        <v>45</v>
      </c>
      <c r="E2812" s="57" t="s">
        <v>4772</v>
      </c>
      <c r="F2812" s="58" t="s">
        <v>6781</v>
      </c>
      <c r="G2812" s="234" t="s">
        <v>233</v>
      </c>
      <c r="H2812" s="57" t="s">
        <v>2557</v>
      </c>
      <c r="I2812" s="58">
        <v>102516</v>
      </c>
      <c r="J2812" s="57" t="s">
        <v>2383</v>
      </c>
      <c r="K2812" s="58">
        <v>10</v>
      </c>
      <c r="L2812" s="58">
        <v>0.28999999999999998</v>
      </c>
      <c r="M2812" s="58">
        <v>0</v>
      </c>
      <c r="N2812" s="58">
        <v>1</v>
      </c>
      <c r="O2812" s="181">
        <f t="shared" si="22"/>
        <v>9.7100000000000009</v>
      </c>
      <c r="P2812" s="247">
        <f t="shared" si="23"/>
        <v>9.7100000000000009</v>
      </c>
    </row>
    <row r="2813" spans="1:16" ht="14.25">
      <c r="A2813" s="224">
        <v>2812</v>
      </c>
      <c r="B2813" s="58">
        <v>27880</v>
      </c>
      <c r="C2813" s="57" t="s">
        <v>4998</v>
      </c>
      <c r="D2813" s="57" t="s">
        <v>45</v>
      </c>
      <c r="E2813" s="57" t="s">
        <v>4772</v>
      </c>
      <c r="F2813" s="58" t="s">
        <v>6782</v>
      </c>
      <c r="G2813" s="234" t="s">
        <v>233</v>
      </c>
      <c r="H2813" s="57" t="s">
        <v>2557</v>
      </c>
      <c r="I2813" s="58">
        <v>99624</v>
      </c>
      <c r="J2813" s="57" t="s">
        <v>2380</v>
      </c>
      <c r="K2813" s="58">
        <v>9.99</v>
      </c>
      <c r="L2813" s="58">
        <v>0.28999999999999998</v>
      </c>
      <c r="M2813" s="58">
        <v>0</v>
      </c>
      <c r="N2813" s="58">
        <v>1</v>
      </c>
      <c r="O2813" s="181">
        <f t="shared" si="22"/>
        <v>9.7000000000000011</v>
      </c>
      <c r="P2813" s="247">
        <f t="shared" si="23"/>
        <v>9.7000000000000011</v>
      </c>
    </row>
    <row r="2814" spans="1:16" ht="14.25">
      <c r="A2814" s="224">
        <v>2813</v>
      </c>
      <c r="B2814" s="58">
        <v>38865</v>
      </c>
      <c r="C2814" s="57" t="s">
        <v>6783</v>
      </c>
      <c r="D2814" s="57" t="s">
        <v>45</v>
      </c>
      <c r="E2814" s="57" t="s">
        <v>2860</v>
      </c>
      <c r="F2814" s="58" t="s">
        <v>6784</v>
      </c>
      <c r="G2814" s="234" t="s">
        <v>233</v>
      </c>
      <c r="H2814" s="57" t="s">
        <v>2557</v>
      </c>
      <c r="I2814" s="58">
        <v>102528</v>
      </c>
      <c r="J2814" s="57" t="s">
        <v>6785</v>
      </c>
      <c r="K2814" s="58">
        <v>4.99</v>
      </c>
      <c r="L2814" s="58">
        <v>0</v>
      </c>
      <c r="M2814" s="58">
        <v>0</v>
      </c>
      <c r="N2814" s="58">
        <v>1</v>
      </c>
      <c r="O2814" s="181">
        <f t="shared" si="22"/>
        <v>4.99</v>
      </c>
      <c r="P2814" s="247">
        <f t="shared" si="23"/>
        <v>4.99</v>
      </c>
    </row>
    <row r="2815" spans="1:16" ht="14.25">
      <c r="A2815" s="224">
        <v>2814</v>
      </c>
      <c r="B2815" s="58">
        <v>38882</v>
      </c>
      <c r="C2815" s="57" t="s">
        <v>6786</v>
      </c>
      <c r="D2815" s="57" t="s">
        <v>45</v>
      </c>
      <c r="E2815" s="57" t="s">
        <v>2860</v>
      </c>
      <c r="F2815" s="58" t="s">
        <v>6787</v>
      </c>
      <c r="G2815" s="234" t="s">
        <v>233</v>
      </c>
      <c r="H2815" s="57" t="s">
        <v>2557</v>
      </c>
      <c r="I2815" s="58">
        <v>102540</v>
      </c>
      <c r="J2815" s="57" t="s">
        <v>6788</v>
      </c>
      <c r="K2815" s="58">
        <v>28.79</v>
      </c>
      <c r="L2815" s="58">
        <v>0</v>
      </c>
      <c r="M2815" s="58">
        <v>0</v>
      </c>
      <c r="N2815" s="58">
        <v>1</v>
      </c>
      <c r="O2815" s="181">
        <f t="shared" si="22"/>
        <v>28.79</v>
      </c>
      <c r="P2815" s="247">
        <f t="shared" si="23"/>
        <v>28.79</v>
      </c>
    </row>
    <row r="2816" spans="1:16" ht="14.25">
      <c r="A2816" s="224">
        <v>2815</v>
      </c>
      <c r="B2816" s="58">
        <v>4257</v>
      </c>
      <c r="C2816" s="57" t="s">
        <v>6789</v>
      </c>
      <c r="D2816" s="57" t="s">
        <v>45</v>
      </c>
      <c r="E2816" s="57" t="s">
        <v>2860</v>
      </c>
      <c r="F2816" s="58" t="s">
        <v>6790</v>
      </c>
      <c r="G2816" s="234" t="s">
        <v>233</v>
      </c>
      <c r="H2816" s="57" t="s">
        <v>2557</v>
      </c>
      <c r="I2816" s="58">
        <v>99948</v>
      </c>
      <c r="J2816" s="57" t="s">
        <v>6791</v>
      </c>
      <c r="K2816" s="58">
        <v>16.8</v>
      </c>
      <c r="L2816" s="58">
        <v>0</v>
      </c>
      <c r="M2816" s="58">
        <v>0</v>
      </c>
      <c r="N2816" s="58">
        <v>1</v>
      </c>
      <c r="O2816" s="181">
        <f t="shared" si="22"/>
        <v>16.8</v>
      </c>
      <c r="P2816" s="247">
        <f t="shared" si="23"/>
        <v>16.8</v>
      </c>
    </row>
    <row r="2817" spans="1:16" ht="14.25">
      <c r="A2817" s="224">
        <v>2816</v>
      </c>
      <c r="B2817" s="58">
        <v>38888</v>
      </c>
      <c r="C2817" s="57" t="s">
        <v>6792</v>
      </c>
      <c r="D2817" s="57" t="s">
        <v>45</v>
      </c>
      <c r="E2817" s="57" t="s">
        <v>2860</v>
      </c>
      <c r="F2817" s="58" t="s">
        <v>6793</v>
      </c>
      <c r="G2817" s="234" t="s">
        <v>233</v>
      </c>
      <c r="H2817" s="57" t="s">
        <v>2557</v>
      </c>
      <c r="I2817" s="58">
        <v>102564</v>
      </c>
      <c r="J2817" s="57" t="s">
        <v>6794</v>
      </c>
      <c r="K2817" s="58">
        <v>5.52</v>
      </c>
      <c r="L2817" s="58">
        <v>0</v>
      </c>
      <c r="M2817" s="58">
        <v>0</v>
      </c>
      <c r="N2817" s="58">
        <v>1</v>
      </c>
      <c r="O2817" s="181">
        <f t="shared" si="22"/>
        <v>5.52</v>
      </c>
      <c r="P2817" s="247">
        <f t="shared" si="23"/>
        <v>5.52</v>
      </c>
    </row>
    <row r="2818" spans="1:16" ht="14.25">
      <c r="A2818" s="224">
        <v>2817</v>
      </c>
      <c r="B2818" s="58">
        <v>38894</v>
      </c>
      <c r="C2818" s="57" t="s">
        <v>6795</v>
      </c>
      <c r="D2818" s="57" t="s">
        <v>45</v>
      </c>
      <c r="E2818" s="57" t="s">
        <v>2860</v>
      </c>
      <c r="F2818" s="58" t="s">
        <v>6796</v>
      </c>
      <c r="G2818" s="234" t="s">
        <v>233</v>
      </c>
      <c r="H2818" s="57" t="s">
        <v>2557</v>
      </c>
      <c r="I2818" s="58">
        <v>102588</v>
      </c>
      <c r="J2818" s="57" t="s">
        <v>6797</v>
      </c>
      <c r="K2818" s="58">
        <v>64.790000000000006</v>
      </c>
      <c r="L2818" s="58">
        <v>0</v>
      </c>
      <c r="M2818" s="58">
        <v>0</v>
      </c>
      <c r="N2818" s="58">
        <v>1</v>
      </c>
      <c r="O2818" s="181">
        <f t="shared" si="22"/>
        <v>64.790000000000006</v>
      </c>
      <c r="P2818" s="247">
        <f t="shared" si="23"/>
        <v>64.790000000000006</v>
      </c>
    </row>
    <row r="2819" spans="1:16" ht="14.25">
      <c r="A2819" s="224">
        <v>2818</v>
      </c>
      <c r="B2819" s="58">
        <v>34641</v>
      </c>
      <c r="C2819" s="57" t="s">
        <v>6160</v>
      </c>
      <c r="D2819" s="57" t="s">
        <v>2582</v>
      </c>
      <c r="E2819" s="57" t="s">
        <v>4772</v>
      </c>
      <c r="F2819" s="58" t="s">
        <v>6798</v>
      </c>
      <c r="G2819" s="234" t="s">
        <v>233</v>
      </c>
      <c r="H2819" s="57" t="s">
        <v>2557</v>
      </c>
      <c r="I2819" s="58">
        <v>100428</v>
      </c>
      <c r="J2819" s="57" t="s">
        <v>2377</v>
      </c>
      <c r="K2819" s="58">
        <v>487.06</v>
      </c>
      <c r="L2819" s="58">
        <v>2.02</v>
      </c>
      <c r="M2819" s="58">
        <v>0</v>
      </c>
      <c r="N2819" s="58">
        <v>7.0064599999999997</v>
      </c>
      <c r="O2819" s="181">
        <f t="shared" si="22"/>
        <v>485.04</v>
      </c>
      <c r="P2819" s="247">
        <f t="shared" si="23"/>
        <v>69.227541440327926</v>
      </c>
    </row>
    <row r="2820" spans="1:16" ht="14.25">
      <c r="A2820" s="224">
        <v>2819</v>
      </c>
      <c r="B2820" s="58">
        <v>38856</v>
      </c>
      <c r="C2820" s="57" t="s">
        <v>6778</v>
      </c>
      <c r="D2820" s="57" t="s">
        <v>2582</v>
      </c>
      <c r="E2820" s="57" t="s">
        <v>2860</v>
      </c>
      <c r="F2820" s="58" t="s">
        <v>6799</v>
      </c>
      <c r="G2820" s="234" t="s">
        <v>233</v>
      </c>
      <c r="H2820" s="57" t="s">
        <v>2557</v>
      </c>
      <c r="I2820" s="58">
        <v>102600</v>
      </c>
      <c r="J2820" s="57" t="s">
        <v>6800</v>
      </c>
      <c r="K2820" s="58">
        <v>55.98</v>
      </c>
      <c r="L2820" s="58">
        <v>0</v>
      </c>
      <c r="M2820" s="58">
        <v>0</v>
      </c>
      <c r="N2820" s="58">
        <v>7.0064599999999997</v>
      </c>
      <c r="O2820" s="181">
        <f t="shared" si="22"/>
        <v>55.98</v>
      </c>
      <c r="P2820" s="247">
        <f t="shared" si="23"/>
        <v>7.9897694413441309</v>
      </c>
    </row>
    <row r="2821" spans="1:16" ht="14.25">
      <c r="A2821" s="224">
        <v>2820</v>
      </c>
      <c r="B2821" s="58">
        <v>6798</v>
      </c>
      <c r="C2821" s="57" t="s">
        <v>2921</v>
      </c>
      <c r="D2821" s="57" t="s">
        <v>45</v>
      </c>
      <c r="E2821" s="57" t="s">
        <v>3655</v>
      </c>
      <c r="F2821" s="58" t="s">
        <v>6801</v>
      </c>
      <c r="G2821" s="234" t="s">
        <v>233</v>
      </c>
      <c r="H2821" s="57" t="s">
        <v>2557</v>
      </c>
      <c r="I2821" s="58">
        <v>98196</v>
      </c>
      <c r="J2821" s="57"/>
      <c r="K2821" s="58">
        <v>182.91</v>
      </c>
      <c r="L2821" s="58">
        <v>0</v>
      </c>
      <c r="M2821" s="58">
        <v>0</v>
      </c>
      <c r="N2821" s="58">
        <v>1</v>
      </c>
      <c r="O2821" s="181">
        <f t="shared" si="22"/>
        <v>182.91</v>
      </c>
      <c r="P2821" s="247">
        <f t="shared" si="23"/>
        <v>182.91</v>
      </c>
    </row>
    <row r="2822" spans="1:16" ht="14.25">
      <c r="A2822" s="224">
        <v>2821</v>
      </c>
      <c r="B2822" s="58">
        <v>6798</v>
      </c>
      <c r="C2822" s="57" t="s">
        <v>2921</v>
      </c>
      <c r="D2822" s="57" t="s">
        <v>45</v>
      </c>
      <c r="E2822" s="57" t="s">
        <v>3655</v>
      </c>
      <c r="F2822" s="58" t="s">
        <v>6801</v>
      </c>
      <c r="G2822" s="234" t="s">
        <v>233</v>
      </c>
      <c r="H2822" s="57" t="s">
        <v>2557</v>
      </c>
      <c r="I2822" s="58">
        <v>96192</v>
      </c>
      <c r="J2822" s="57"/>
      <c r="K2822" s="58">
        <v>592</v>
      </c>
      <c r="L2822" s="58">
        <v>0</v>
      </c>
      <c r="M2822" s="58">
        <v>0</v>
      </c>
      <c r="N2822" s="58">
        <v>1</v>
      </c>
      <c r="O2822" s="181">
        <f t="shared" si="22"/>
        <v>592</v>
      </c>
      <c r="P2822" s="247">
        <f t="shared" si="23"/>
        <v>592</v>
      </c>
    </row>
    <row r="2823" spans="1:16" ht="14.25">
      <c r="A2823" s="224">
        <v>2822</v>
      </c>
      <c r="B2823" s="58">
        <v>6798</v>
      </c>
      <c r="C2823" s="57" t="s">
        <v>2921</v>
      </c>
      <c r="D2823" s="57" t="s">
        <v>45</v>
      </c>
      <c r="E2823" s="57" t="s">
        <v>3655</v>
      </c>
      <c r="F2823" s="58" t="s">
        <v>6801</v>
      </c>
      <c r="G2823" s="234" t="s">
        <v>233</v>
      </c>
      <c r="H2823" s="57" t="s">
        <v>2557</v>
      </c>
      <c r="I2823" s="58">
        <v>96900</v>
      </c>
      <c r="J2823" s="57"/>
      <c r="K2823" s="58">
        <v>288.32</v>
      </c>
      <c r="L2823" s="58">
        <v>0</v>
      </c>
      <c r="M2823" s="58">
        <v>0</v>
      </c>
      <c r="N2823" s="58">
        <v>1</v>
      </c>
      <c r="O2823" s="181">
        <f t="shared" si="22"/>
        <v>288.32</v>
      </c>
      <c r="P2823" s="247">
        <f t="shared" si="23"/>
        <v>288.32</v>
      </c>
    </row>
    <row r="2824" spans="1:16" ht="14.25">
      <c r="A2824" s="224">
        <v>2823</v>
      </c>
      <c r="B2824" s="58">
        <v>6798</v>
      </c>
      <c r="C2824" s="57" t="s">
        <v>2921</v>
      </c>
      <c r="D2824" s="57" t="s">
        <v>45</v>
      </c>
      <c r="E2824" s="57" t="s">
        <v>3655</v>
      </c>
      <c r="F2824" s="58" t="s">
        <v>6801</v>
      </c>
      <c r="G2824" s="234" t="s">
        <v>233</v>
      </c>
      <c r="H2824" s="57" t="s">
        <v>2557</v>
      </c>
      <c r="I2824" s="58">
        <v>96912</v>
      </c>
      <c r="J2824" s="57"/>
      <c r="K2824" s="58">
        <v>264.29000000000002</v>
      </c>
      <c r="L2824" s="58">
        <v>0</v>
      </c>
      <c r="M2824" s="58">
        <v>0</v>
      </c>
      <c r="N2824" s="58">
        <v>1</v>
      </c>
      <c r="O2824" s="181">
        <f t="shared" si="22"/>
        <v>264.29000000000002</v>
      </c>
      <c r="P2824" s="247">
        <f t="shared" si="23"/>
        <v>264.29000000000002</v>
      </c>
    </row>
    <row r="2825" spans="1:16" ht="14.25">
      <c r="A2825" s="224">
        <v>2824</v>
      </c>
      <c r="B2825" s="58">
        <v>3986</v>
      </c>
      <c r="C2825" s="57" t="s">
        <v>6802</v>
      </c>
      <c r="D2825" s="57" t="s">
        <v>45</v>
      </c>
      <c r="E2825" s="57" t="s">
        <v>9</v>
      </c>
      <c r="F2825" s="58" t="s">
        <v>6803</v>
      </c>
      <c r="G2825" s="234" t="s">
        <v>233</v>
      </c>
      <c r="H2825" s="57" t="s">
        <v>2557</v>
      </c>
      <c r="I2825" s="58">
        <v>99876</v>
      </c>
      <c r="J2825" s="57" t="s">
        <v>849</v>
      </c>
      <c r="K2825" s="58">
        <v>16.8</v>
      </c>
      <c r="L2825" s="58">
        <v>1.08</v>
      </c>
      <c r="M2825" s="58">
        <v>0</v>
      </c>
      <c r="N2825" s="58">
        <v>1</v>
      </c>
      <c r="O2825" s="181">
        <f t="shared" si="22"/>
        <v>15.72</v>
      </c>
      <c r="P2825" s="247">
        <f t="shared" si="23"/>
        <v>15.72</v>
      </c>
    </row>
    <row r="2826" spans="1:16" ht="14.25">
      <c r="A2826" s="224">
        <v>2825</v>
      </c>
      <c r="B2826" s="58">
        <v>8646</v>
      </c>
      <c r="C2826" s="57" t="s">
        <v>2760</v>
      </c>
      <c r="D2826" s="57" t="s">
        <v>45</v>
      </c>
      <c r="E2826" s="57" t="s">
        <v>2860</v>
      </c>
      <c r="F2826" s="58" t="s">
        <v>6804</v>
      </c>
      <c r="G2826" s="234" t="s">
        <v>233</v>
      </c>
      <c r="H2826" s="57" t="s">
        <v>2557</v>
      </c>
      <c r="I2826" s="58">
        <v>102768</v>
      </c>
      <c r="J2826" s="57" t="s">
        <v>6805</v>
      </c>
      <c r="K2826" s="58">
        <v>31.5</v>
      </c>
      <c r="L2826" s="58">
        <v>0</v>
      </c>
      <c r="M2826" s="58">
        <v>0</v>
      </c>
      <c r="N2826" s="58">
        <v>1</v>
      </c>
      <c r="O2826" s="181">
        <f t="shared" si="22"/>
        <v>31.5</v>
      </c>
      <c r="P2826" s="247">
        <f t="shared" si="23"/>
        <v>31.5</v>
      </c>
    </row>
    <row r="2827" spans="1:16" ht="14.25">
      <c r="A2827" s="224">
        <v>2826</v>
      </c>
      <c r="B2827" s="58">
        <v>38856</v>
      </c>
      <c r="C2827" s="57" t="s">
        <v>6778</v>
      </c>
      <c r="D2827" s="57" t="s">
        <v>2582</v>
      </c>
      <c r="E2827" s="57" t="s">
        <v>2860</v>
      </c>
      <c r="F2827" s="58" t="s">
        <v>6806</v>
      </c>
      <c r="G2827" s="234" t="s">
        <v>233</v>
      </c>
      <c r="H2827" s="57" t="s">
        <v>2557</v>
      </c>
      <c r="I2827" s="58">
        <v>102780</v>
      </c>
      <c r="J2827" s="57" t="s">
        <v>6807</v>
      </c>
      <c r="K2827" s="58">
        <v>1258.6600000000001</v>
      </c>
      <c r="L2827" s="58">
        <v>0</v>
      </c>
      <c r="M2827" s="58">
        <v>0</v>
      </c>
      <c r="N2827" s="58">
        <v>6.9929399999999999</v>
      </c>
      <c r="O2827" s="181">
        <f t="shared" si="22"/>
        <v>1258.6600000000001</v>
      </c>
      <c r="P2827" s="247">
        <f t="shared" si="23"/>
        <v>179.99010430519925</v>
      </c>
    </row>
    <row r="2828" spans="1:16" ht="14.25">
      <c r="A2828" s="224">
        <v>2827</v>
      </c>
      <c r="B2828" s="58">
        <v>38938</v>
      </c>
      <c r="C2828" s="57" t="s">
        <v>6808</v>
      </c>
      <c r="D2828" s="57" t="s">
        <v>45</v>
      </c>
      <c r="E2828" s="57" t="s">
        <v>2860</v>
      </c>
      <c r="F2828" s="58" t="s">
        <v>6809</v>
      </c>
      <c r="G2828" s="234" t="s">
        <v>233</v>
      </c>
      <c r="H2828" s="57" t="s">
        <v>2557</v>
      </c>
      <c r="I2828" s="58">
        <v>102792</v>
      </c>
      <c r="J2828" s="57" t="s">
        <v>6810</v>
      </c>
      <c r="K2828" s="58">
        <v>6.79</v>
      </c>
      <c r="L2828" s="58">
        <v>0</v>
      </c>
      <c r="M2828" s="58">
        <v>0</v>
      </c>
      <c r="N2828" s="58">
        <v>1</v>
      </c>
      <c r="O2828" s="181">
        <f t="shared" si="22"/>
        <v>6.79</v>
      </c>
      <c r="P2828" s="247">
        <f t="shared" si="23"/>
        <v>6.79</v>
      </c>
    </row>
    <row r="2829" spans="1:16" ht="14.25">
      <c r="A2829" s="224">
        <v>2828</v>
      </c>
      <c r="B2829" s="58">
        <v>38751</v>
      </c>
      <c r="C2829" s="57" t="s">
        <v>6811</v>
      </c>
      <c r="D2829" s="57" t="s">
        <v>45</v>
      </c>
      <c r="E2829" s="57" t="s">
        <v>2860</v>
      </c>
      <c r="F2829" s="58" t="s">
        <v>6812</v>
      </c>
      <c r="G2829" s="234" t="s">
        <v>233</v>
      </c>
      <c r="H2829" s="57" t="s">
        <v>2557</v>
      </c>
      <c r="I2829" s="58">
        <v>102828</v>
      </c>
      <c r="J2829" s="57" t="s">
        <v>6813</v>
      </c>
      <c r="K2829" s="58">
        <v>20.25</v>
      </c>
      <c r="L2829" s="58">
        <v>0</v>
      </c>
      <c r="M2829" s="58">
        <v>0</v>
      </c>
      <c r="N2829" s="58">
        <v>1</v>
      </c>
      <c r="O2829" s="181">
        <f t="shared" si="22"/>
        <v>20.25</v>
      </c>
      <c r="P2829" s="247">
        <f t="shared" si="23"/>
        <v>20.25</v>
      </c>
    </row>
    <row r="2830" spans="1:16" ht="14.25">
      <c r="A2830" s="224">
        <v>2829</v>
      </c>
      <c r="B2830" s="58">
        <v>22778</v>
      </c>
      <c r="C2830" s="57" t="s">
        <v>3929</v>
      </c>
      <c r="D2830" s="57" t="s">
        <v>45</v>
      </c>
      <c r="E2830" s="57" t="s">
        <v>2860</v>
      </c>
      <c r="F2830" s="58" t="s">
        <v>6814</v>
      </c>
      <c r="G2830" s="234" t="s">
        <v>233</v>
      </c>
      <c r="H2830" s="57" t="s">
        <v>2557</v>
      </c>
      <c r="I2830" s="58">
        <v>102840</v>
      </c>
      <c r="J2830" s="57" t="s">
        <v>6815</v>
      </c>
      <c r="K2830" s="58">
        <v>7.99</v>
      </c>
      <c r="L2830" s="58">
        <v>0</v>
      </c>
      <c r="M2830" s="58">
        <v>0</v>
      </c>
      <c r="N2830" s="58">
        <v>1</v>
      </c>
      <c r="O2830" s="181">
        <f t="shared" si="22"/>
        <v>7.99</v>
      </c>
      <c r="P2830" s="247">
        <f t="shared" si="23"/>
        <v>7.99</v>
      </c>
    </row>
    <row r="2831" spans="1:16" ht="14.25">
      <c r="A2831" s="224">
        <v>2830</v>
      </c>
      <c r="B2831" s="58">
        <v>22778</v>
      </c>
      <c r="C2831" s="57" t="s">
        <v>3929</v>
      </c>
      <c r="D2831" s="57" t="s">
        <v>45</v>
      </c>
      <c r="E2831" s="57" t="s">
        <v>2860</v>
      </c>
      <c r="F2831" s="58" t="s">
        <v>6816</v>
      </c>
      <c r="G2831" s="234" t="s">
        <v>233</v>
      </c>
      <c r="H2831" s="57" t="s">
        <v>2557</v>
      </c>
      <c r="I2831" s="58">
        <v>102852</v>
      </c>
      <c r="J2831" s="57" t="s">
        <v>6817</v>
      </c>
      <c r="K2831" s="58">
        <v>7.99</v>
      </c>
      <c r="L2831" s="58">
        <v>0</v>
      </c>
      <c r="M2831" s="58">
        <v>0</v>
      </c>
      <c r="N2831" s="58">
        <v>1</v>
      </c>
      <c r="O2831" s="181">
        <f t="shared" si="22"/>
        <v>7.99</v>
      </c>
      <c r="P2831" s="247">
        <f t="shared" si="23"/>
        <v>7.99</v>
      </c>
    </row>
    <row r="2832" spans="1:16" ht="14.25">
      <c r="A2832" s="224">
        <v>2831</v>
      </c>
      <c r="B2832" s="58">
        <v>38942</v>
      </c>
      <c r="C2832" s="57" t="s">
        <v>6818</v>
      </c>
      <c r="D2832" s="57" t="s">
        <v>2582</v>
      </c>
      <c r="E2832" s="57" t="s">
        <v>2860</v>
      </c>
      <c r="F2832" s="58" t="s">
        <v>6819</v>
      </c>
      <c r="G2832" s="234" t="s">
        <v>233</v>
      </c>
      <c r="H2832" s="57" t="s">
        <v>2557</v>
      </c>
      <c r="I2832" s="58">
        <v>102864</v>
      </c>
      <c r="J2832" s="57" t="s">
        <v>6820</v>
      </c>
      <c r="K2832" s="58">
        <v>31.4</v>
      </c>
      <c r="L2832" s="58">
        <v>0</v>
      </c>
      <c r="M2832" s="58">
        <v>0</v>
      </c>
      <c r="N2832" s="58">
        <v>6.9929399999999999</v>
      </c>
      <c r="O2832" s="181">
        <f t="shared" si="22"/>
        <v>31.4</v>
      </c>
      <c r="P2832" s="247">
        <f t="shared" si="23"/>
        <v>4.4902430165280984</v>
      </c>
    </row>
    <row r="2833" spans="1:16" ht="14.25">
      <c r="A2833" s="224">
        <v>2832</v>
      </c>
      <c r="B2833" s="58">
        <v>38540</v>
      </c>
      <c r="C2833" s="57" t="s">
        <v>6704</v>
      </c>
      <c r="D2833" s="57" t="s">
        <v>2582</v>
      </c>
      <c r="E2833" s="57" t="s">
        <v>2860</v>
      </c>
      <c r="F2833" s="58" t="s">
        <v>6821</v>
      </c>
      <c r="G2833" s="234" t="s">
        <v>233</v>
      </c>
      <c r="H2833" s="57" t="s">
        <v>2557</v>
      </c>
      <c r="I2833" s="58">
        <v>102876</v>
      </c>
      <c r="J2833" s="57" t="s">
        <v>6822</v>
      </c>
      <c r="K2833" s="58">
        <v>47.48</v>
      </c>
      <c r="L2833" s="58">
        <v>0</v>
      </c>
      <c r="M2833" s="58">
        <v>0</v>
      </c>
      <c r="N2833" s="58">
        <v>6.9929399999999999</v>
      </c>
      <c r="O2833" s="181">
        <f t="shared" si="22"/>
        <v>47.48</v>
      </c>
      <c r="P2833" s="247">
        <f t="shared" si="23"/>
        <v>6.7897050453743342</v>
      </c>
    </row>
    <row r="2834" spans="1:16" ht="14.25">
      <c r="A2834" s="224">
        <v>2833</v>
      </c>
      <c r="B2834" s="58">
        <v>28570</v>
      </c>
      <c r="C2834" s="57" t="s">
        <v>5137</v>
      </c>
      <c r="D2834" s="57" t="s">
        <v>2582</v>
      </c>
      <c r="E2834" s="57" t="s">
        <v>4772</v>
      </c>
      <c r="F2834" s="58" t="s">
        <v>6823</v>
      </c>
      <c r="G2834" s="234" t="s">
        <v>233</v>
      </c>
      <c r="H2834" s="57" t="s">
        <v>2557</v>
      </c>
      <c r="I2834" s="58">
        <v>102480</v>
      </c>
      <c r="J2834" s="57" t="s">
        <v>2392</v>
      </c>
      <c r="K2834" s="58">
        <v>36.630000000000003</v>
      </c>
      <c r="L2834" s="58">
        <v>0.16</v>
      </c>
      <c r="M2834" s="58">
        <v>0</v>
      </c>
      <c r="N2834" s="58">
        <v>6.9929399999999999</v>
      </c>
      <c r="O2834" s="181">
        <f t="shared" si="22"/>
        <v>36.470000000000006</v>
      </c>
      <c r="P2834" s="247">
        <f t="shared" si="23"/>
        <v>5.215259962190439</v>
      </c>
    </row>
    <row r="2835" spans="1:16" ht="14.25">
      <c r="A2835" s="224">
        <v>2834</v>
      </c>
      <c r="B2835" s="58">
        <v>21385</v>
      </c>
      <c r="C2835" s="57" t="s">
        <v>3654</v>
      </c>
      <c r="D2835" s="57" t="s">
        <v>45</v>
      </c>
      <c r="E2835" s="57" t="s">
        <v>2874</v>
      </c>
      <c r="F2835" s="58" t="s">
        <v>6824</v>
      </c>
      <c r="G2835" s="234" t="s">
        <v>233</v>
      </c>
      <c r="H2835" s="57" t="s">
        <v>2557</v>
      </c>
      <c r="I2835" s="58">
        <v>101004</v>
      </c>
      <c r="J2835" s="57" t="s">
        <v>6825</v>
      </c>
      <c r="K2835" s="58">
        <v>460</v>
      </c>
      <c r="L2835" s="58">
        <v>0</v>
      </c>
      <c r="M2835" s="58">
        <v>0</v>
      </c>
      <c r="N2835" s="58">
        <v>1</v>
      </c>
      <c r="O2835" s="181">
        <f t="shared" si="22"/>
        <v>460</v>
      </c>
      <c r="P2835" s="247">
        <f t="shared" si="23"/>
        <v>460</v>
      </c>
    </row>
    <row r="2836" spans="1:16" ht="14.25">
      <c r="A2836" s="224">
        <v>2835</v>
      </c>
      <c r="B2836" s="58">
        <v>3964</v>
      </c>
      <c r="C2836" s="57" t="s">
        <v>6826</v>
      </c>
      <c r="D2836" s="57" t="s">
        <v>45</v>
      </c>
      <c r="E2836" s="57" t="s">
        <v>2860</v>
      </c>
      <c r="F2836" s="58" t="s">
        <v>6827</v>
      </c>
      <c r="G2836" s="234" t="s">
        <v>233</v>
      </c>
      <c r="H2836" s="57" t="s">
        <v>2557</v>
      </c>
      <c r="I2836" s="58">
        <v>102912</v>
      </c>
      <c r="J2836" s="57" t="s">
        <v>6828</v>
      </c>
      <c r="K2836" s="58">
        <v>31.59</v>
      </c>
      <c r="L2836" s="58">
        <v>0</v>
      </c>
      <c r="M2836" s="58">
        <v>0</v>
      </c>
      <c r="N2836" s="58">
        <v>1</v>
      </c>
      <c r="O2836" s="181">
        <f t="shared" si="22"/>
        <v>31.59</v>
      </c>
      <c r="P2836" s="247">
        <f t="shared" si="23"/>
        <v>31.59</v>
      </c>
    </row>
    <row r="2837" spans="1:16" ht="14.25">
      <c r="A2837" s="224">
        <v>2836</v>
      </c>
      <c r="B2837" s="58">
        <v>38948</v>
      </c>
      <c r="C2837" s="57" t="s">
        <v>6829</v>
      </c>
      <c r="D2837" s="57" t="s">
        <v>45</v>
      </c>
      <c r="E2837" s="57" t="s">
        <v>9</v>
      </c>
      <c r="F2837" s="58" t="s">
        <v>6830</v>
      </c>
      <c r="G2837" s="234" t="s">
        <v>233</v>
      </c>
      <c r="H2837" s="57" t="s">
        <v>2557</v>
      </c>
      <c r="I2837" s="58">
        <v>102924</v>
      </c>
      <c r="J2837" s="57" t="s">
        <v>852</v>
      </c>
      <c r="K2837" s="58">
        <v>4.49</v>
      </c>
      <c r="L2837" s="58">
        <v>0.71</v>
      </c>
      <c r="M2837" s="58">
        <v>0</v>
      </c>
      <c r="N2837" s="58">
        <v>1</v>
      </c>
      <c r="O2837" s="181">
        <f t="shared" si="22"/>
        <v>3.7800000000000002</v>
      </c>
      <c r="P2837" s="247">
        <f t="shared" si="23"/>
        <v>3.7800000000000002</v>
      </c>
    </row>
    <row r="2838" spans="1:16" ht="14.25">
      <c r="A2838" s="224">
        <v>2837</v>
      </c>
      <c r="B2838" s="58">
        <v>38949</v>
      </c>
      <c r="C2838" s="57" t="s">
        <v>6831</v>
      </c>
      <c r="D2838" s="57" t="s">
        <v>45</v>
      </c>
      <c r="E2838" s="57" t="s">
        <v>4772</v>
      </c>
      <c r="F2838" s="58" t="s">
        <v>6832</v>
      </c>
      <c r="G2838" s="234" t="s">
        <v>233</v>
      </c>
      <c r="H2838" s="57" t="s">
        <v>2557</v>
      </c>
      <c r="I2838" s="58">
        <v>102948</v>
      </c>
      <c r="J2838" s="57" t="s">
        <v>2389</v>
      </c>
      <c r="K2838" s="58">
        <v>6.79</v>
      </c>
      <c r="L2838" s="58">
        <v>0.2</v>
      </c>
      <c r="M2838" s="58">
        <v>0</v>
      </c>
      <c r="N2838" s="58">
        <v>1</v>
      </c>
      <c r="O2838" s="181">
        <f t="shared" si="22"/>
        <v>6.59</v>
      </c>
      <c r="P2838" s="247">
        <f t="shared" si="23"/>
        <v>6.59</v>
      </c>
    </row>
    <row r="2839" spans="1:16" ht="14.25">
      <c r="A2839" s="253"/>
      <c r="B2839" s="253"/>
      <c r="C2839" s="254"/>
      <c r="D2839" s="254"/>
      <c r="E2839" s="254"/>
      <c r="F2839" s="253"/>
      <c r="G2839" s="255"/>
      <c r="H2839" s="254"/>
      <c r="I2839" s="253"/>
      <c r="J2839" s="254"/>
      <c r="K2839" s="253"/>
      <c r="L2839" s="253"/>
      <c r="M2839" s="253"/>
      <c r="N2839" s="253"/>
      <c r="O2839" s="256"/>
      <c r="P2839" s="257"/>
    </row>
    <row r="2840" spans="1:16" ht="14.25">
      <c r="A2840" s="253"/>
      <c r="B2840" s="253"/>
      <c r="C2840" s="254"/>
      <c r="D2840" s="254"/>
      <c r="E2840" s="254"/>
      <c r="F2840" s="253"/>
      <c r="G2840" s="255"/>
      <c r="H2840" s="254"/>
      <c r="I2840" s="253"/>
      <c r="J2840" s="254"/>
      <c r="K2840" s="253"/>
      <c r="L2840" s="253"/>
      <c r="M2840" s="253"/>
      <c r="N2840" s="253"/>
      <c r="O2840" s="256"/>
      <c r="P2840" s="257"/>
    </row>
    <row r="2841" spans="1:16" ht="14.25">
      <c r="A2841" s="253"/>
      <c r="B2841" s="253"/>
      <c r="C2841" s="254"/>
      <c r="D2841" s="254"/>
      <c r="E2841" s="254"/>
      <c r="F2841" s="253"/>
      <c r="G2841" s="255"/>
      <c r="H2841" s="254"/>
      <c r="I2841" s="253"/>
      <c r="J2841" s="254"/>
      <c r="K2841" s="253"/>
      <c r="L2841" s="253"/>
      <c r="M2841" s="253"/>
      <c r="N2841" s="253"/>
      <c r="O2841" s="256"/>
      <c r="P2841" s="257"/>
    </row>
    <row r="2842" spans="1:16" ht="14.25">
      <c r="A2842" s="253"/>
      <c r="B2842" s="253"/>
      <c r="C2842" s="254"/>
      <c r="D2842" s="254"/>
      <c r="E2842" s="254"/>
      <c r="F2842" s="253"/>
      <c r="G2842" s="255"/>
      <c r="H2842" s="254"/>
      <c r="I2842" s="253"/>
      <c r="J2842" s="254"/>
      <c r="K2842" s="253"/>
      <c r="L2842" s="253"/>
      <c r="M2842" s="253"/>
      <c r="N2842" s="253"/>
      <c r="O2842" s="256"/>
      <c r="P2842" s="257"/>
    </row>
    <row r="2843" spans="1:16" ht="14.25">
      <c r="A2843" s="253"/>
      <c r="B2843" s="253"/>
      <c r="C2843" s="254"/>
      <c r="D2843" s="254"/>
      <c r="E2843" s="254"/>
      <c r="F2843" s="253"/>
      <c r="G2843" s="255"/>
      <c r="H2843" s="254"/>
      <c r="I2843" s="253"/>
      <c r="J2843" s="254"/>
      <c r="K2843" s="253"/>
      <c r="L2843" s="253"/>
      <c r="M2843" s="253"/>
      <c r="N2843" s="253"/>
      <c r="O2843" s="256"/>
      <c r="P2843" s="257"/>
    </row>
    <row r="2844" spans="1:16" ht="14.25">
      <c r="A2844" s="253"/>
      <c r="B2844" s="253"/>
      <c r="C2844" s="254"/>
      <c r="D2844" s="254"/>
      <c r="E2844" s="254"/>
      <c r="F2844" s="253"/>
      <c r="G2844" s="255"/>
      <c r="H2844" s="254"/>
      <c r="I2844" s="253"/>
      <c r="J2844" s="254"/>
      <c r="K2844" s="253"/>
      <c r="L2844" s="253"/>
      <c r="M2844" s="253"/>
      <c r="N2844" s="253"/>
      <c r="O2844" s="256"/>
      <c r="P2844" s="257"/>
    </row>
    <row r="2845" spans="1:16" ht="14.25">
      <c r="A2845" s="253"/>
      <c r="B2845" s="253"/>
      <c r="C2845" s="254"/>
      <c r="D2845" s="254"/>
      <c r="E2845" s="254"/>
      <c r="F2845" s="253"/>
      <c r="G2845" s="255"/>
      <c r="H2845" s="254"/>
      <c r="I2845" s="253"/>
      <c r="J2845" s="254"/>
      <c r="K2845" s="253"/>
      <c r="L2845" s="253"/>
      <c r="M2845" s="253"/>
      <c r="N2845" s="253"/>
      <c r="O2845" s="256"/>
      <c r="P2845" s="257"/>
    </row>
    <row r="2846" spans="1:16" ht="14.25">
      <c r="A2846" s="253"/>
      <c r="B2846" s="253"/>
      <c r="C2846" s="254"/>
      <c r="D2846" s="254"/>
      <c r="E2846" s="254"/>
      <c r="F2846" s="253"/>
      <c r="G2846" s="255"/>
      <c r="H2846" s="254"/>
      <c r="I2846" s="253"/>
      <c r="J2846" s="254"/>
      <c r="K2846" s="253"/>
      <c r="L2846" s="253"/>
      <c r="M2846" s="253"/>
      <c r="N2846" s="253"/>
      <c r="O2846" s="256"/>
      <c r="P2846" s="257"/>
    </row>
    <row r="2847" spans="1:16" ht="14.25">
      <c r="A2847" s="253"/>
      <c r="B2847" s="253"/>
      <c r="C2847" s="254"/>
      <c r="D2847" s="254"/>
      <c r="E2847" s="254"/>
      <c r="F2847" s="253"/>
      <c r="G2847" s="255"/>
      <c r="H2847" s="254"/>
      <c r="I2847" s="253"/>
      <c r="J2847" s="254"/>
      <c r="K2847" s="253"/>
      <c r="L2847" s="253"/>
      <c r="M2847" s="253"/>
      <c r="N2847" s="253"/>
      <c r="O2847" s="256"/>
      <c r="P2847" s="257"/>
    </row>
    <row r="2848" spans="1:16" ht="14.25">
      <c r="A2848" s="253"/>
      <c r="B2848" s="253"/>
      <c r="C2848" s="254"/>
      <c r="D2848" s="254"/>
      <c r="E2848" s="254"/>
      <c r="F2848" s="253"/>
      <c r="G2848" s="255"/>
      <c r="H2848" s="254"/>
      <c r="I2848" s="253"/>
      <c r="J2848" s="254"/>
      <c r="K2848" s="253"/>
      <c r="L2848" s="253"/>
      <c r="M2848" s="253"/>
      <c r="N2848" s="253"/>
      <c r="O2848" s="256"/>
      <c r="P2848" s="257"/>
    </row>
    <row r="2849" spans="1:16" ht="14.25">
      <c r="A2849" s="253"/>
      <c r="B2849" s="253"/>
      <c r="C2849" s="254"/>
      <c r="D2849" s="254"/>
      <c r="E2849" s="254"/>
      <c r="F2849" s="253"/>
      <c r="G2849" s="255"/>
      <c r="H2849" s="254"/>
      <c r="I2849" s="253"/>
      <c r="J2849" s="254"/>
      <c r="K2849" s="253"/>
      <c r="L2849" s="253"/>
      <c r="M2849" s="253"/>
      <c r="N2849" s="253"/>
      <c r="O2849" s="256"/>
      <c r="P2849" s="257"/>
    </row>
    <row r="2850" spans="1:16" ht="14.25">
      <c r="A2850" s="253"/>
      <c r="B2850" s="253"/>
      <c r="C2850" s="254"/>
      <c r="D2850" s="254"/>
      <c r="E2850" s="254"/>
      <c r="F2850" s="253"/>
      <c r="G2850" s="255"/>
      <c r="H2850" s="254"/>
      <c r="I2850" s="253"/>
      <c r="J2850" s="254"/>
      <c r="K2850" s="253"/>
      <c r="L2850" s="253"/>
      <c r="M2850" s="253"/>
      <c r="N2850" s="253"/>
      <c r="O2850" s="256"/>
      <c r="P2850" s="257"/>
    </row>
    <row r="2851" spans="1:16" ht="14.25">
      <c r="A2851" s="253"/>
      <c r="B2851" s="253"/>
      <c r="C2851" s="254"/>
      <c r="D2851" s="254"/>
      <c r="E2851" s="254"/>
      <c r="F2851" s="253"/>
      <c r="G2851" s="255"/>
      <c r="H2851" s="254"/>
      <c r="I2851" s="253"/>
      <c r="J2851" s="254"/>
      <c r="K2851" s="253"/>
      <c r="L2851" s="253"/>
      <c r="M2851" s="253"/>
      <c r="N2851" s="253"/>
      <c r="O2851" s="256"/>
      <c r="P2851" s="257"/>
    </row>
    <row r="2852" spans="1:16" ht="14.25">
      <c r="A2852" s="253"/>
      <c r="B2852" s="253"/>
      <c r="C2852" s="254"/>
      <c r="D2852" s="254"/>
      <c r="E2852" s="254"/>
      <c r="F2852" s="253"/>
      <c r="G2852" s="255"/>
      <c r="H2852" s="254"/>
      <c r="I2852" s="253"/>
      <c r="J2852" s="254"/>
      <c r="K2852" s="253"/>
      <c r="L2852" s="253"/>
      <c r="M2852" s="253"/>
      <c r="N2852" s="253"/>
      <c r="O2852" s="256"/>
      <c r="P2852" s="257"/>
    </row>
    <row r="2853" spans="1:16" ht="14.25">
      <c r="A2853" s="253"/>
      <c r="B2853" s="253"/>
      <c r="C2853" s="254"/>
      <c r="D2853" s="254"/>
      <c r="E2853" s="254"/>
      <c r="F2853" s="253"/>
      <c r="G2853" s="255"/>
      <c r="H2853" s="254"/>
      <c r="I2853" s="253"/>
      <c r="J2853" s="254"/>
      <c r="K2853" s="253"/>
      <c r="L2853" s="253"/>
      <c r="M2853" s="253"/>
      <c r="N2853" s="253"/>
      <c r="O2853" s="256"/>
      <c r="P2853" s="257"/>
    </row>
    <row r="2854" spans="1:16" ht="14.25">
      <c r="A2854" s="253"/>
      <c r="B2854" s="253"/>
      <c r="C2854" s="254"/>
      <c r="D2854" s="254"/>
      <c r="E2854" s="254"/>
      <c r="F2854" s="253"/>
      <c r="G2854" s="255"/>
      <c r="H2854" s="254"/>
      <c r="I2854" s="253"/>
      <c r="J2854" s="254"/>
      <c r="K2854" s="253"/>
      <c r="L2854" s="253"/>
      <c r="M2854" s="253"/>
      <c r="N2854" s="253"/>
      <c r="O2854" s="256"/>
      <c r="P2854" s="257"/>
    </row>
    <row r="2855" spans="1:16" ht="14.25">
      <c r="A2855" s="253"/>
      <c r="B2855" s="253"/>
      <c r="C2855" s="254"/>
      <c r="D2855" s="254"/>
      <c r="E2855" s="254"/>
      <c r="F2855" s="253"/>
      <c r="G2855" s="255"/>
      <c r="H2855" s="254"/>
      <c r="I2855" s="253"/>
      <c r="J2855" s="254"/>
      <c r="K2855" s="253"/>
      <c r="L2855" s="253"/>
      <c r="M2855" s="253"/>
      <c r="N2855" s="253"/>
      <c r="O2855" s="256"/>
      <c r="P2855" s="257"/>
    </row>
    <row r="2856" spans="1:16" ht="14.25">
      <c r="A2856" s="253"/>
      <c r="B2856" s="253"/>
      <c r="C2856" s="254"/>
      <c r="D2856" s="254"/>
      <c r="E2856" s="254"/>
      <c r="F2856" s="253"/>
      <c r="G2856" s="255"/>
      <c r="H2856" s="254"/>
      <c r="I2856" s="253"/>
      <c r="J2856" s="254"/>
      <c r="K2856" s="253"/>
      <c r="L2856" s="253"/>
      <c r="M2856" s="253"/>
      <c r="N2856" s="253"/>
      <c r="O2856" s="256"/>
      <c r="P2856" s="257"/>
    </row>
    <row r="2857" spans="1:16" ht="14.25">
      <c r="A2857" s="253"/>
      <c r="B2857" s="253"/>
      <c r="C2857" s="254"/>
      <c r="D2857" s="254"/>
      <c r="E2857" s="254"/>
      <c r="F2857" s="253"/>
      <c r="G2857" s="255"/>
      <c r="H2857" s="254"/>
      <c r="I2857" s="253"/>
      <c r="J2857" s="254"/>
      <c r="K2857" s="253"/>
      <c r="L2857" s="253"/>
      <c r="M2857" s="253"/>
      <c r="N2857" s="253"/>
      <c r="O2857" s="256"/>
      <c r="P2857" s="257"/>
    </row>
    <row r="2858" spans="1:16" ht="14.25">
      <c r="A2858" s="253"/>
      <c r="B2858" s="253"/>
      <c r="C2858" s="254"/>
      <c r="D2858" s="254"/>
      <c r="E2858" s="254"/>
      <c r="F2858" s="253"/>
      <c r="G2858" s="255"/>
      <c r="H2858" s="254"/>
      <c r="I2858" s="253"/>
      <c r="J2858" s="254"/>
      <c r="K2858" s="253"/>
      <c r="L2858" s="253"/>
      <c r="M2858" s="253"/>
      <c r="N2858" s="253"/>
      <c r="O2858" s="256"/>
      <c r="P2858" s="257"/>
    </row>
    <row r="2859" spans="1:16" ht="14.25">
      <c r="A2859" s="253"/>
      <c r="B2859" s="253"/>
      <c r="C2859" s="254"/>
      <c r="D2859" s="254"/>
      <c r="E2859" s="254"/>
      <c r="F2859" s="253"/>
      <c r="G2859" s="255"/>
      <c r="H2859" s="254"/>
      <c r="I2859" s="253"/>
      <c r="J2859" s="254"/>
      <c r="K2859" s="253"/>
      <c r="L2859" s="253"/>
      <c r="M2859" s="253"/>
      <c r="N2859" s="253"/>
      <c r="O2859" s="256"/>
      <c r="P2859" s="257"/>
    </row>
    <row r="2860" spans="1:16" ht="14.25">
      <c r="A2860" s="253"/>
      <c r="B2860" s="253"/>
      <c r="C2860" s="254"/>
      <c r="D2860" s="254"/>
      <c r="E2860" s="254"/>
      <c r="F2860" s="253"/>
      <c r="G2860" s="255"/>
      <c r="H2860" s="254"/>
      <c r="I2860" s="253"/>
      <c r="J2860" s="254"/>
      <c r="K2860" s="253"/>
      <c r="L2860" s="253"/>
      <c r="M2860" s="253"/>
      <c r="N2860" s="253"/>
      <c r="O2860" s="256"/>
      <c r="P2860" s="257"/>
    </row>
    <row r="2861" spans="1:16" ht="14.25">
      <c r="A2861" s="253"/>
      <c r="B2861" s="253"/>
      <c r="C2861" s="254"/>
      <c r="D2861" s="254"/>
      <c r="E2861" s="254"/>
      <c r="F2861" s="253"/>
      <c r="G2861" s="255"/>
      <c r="H2861" s="254"/>
      <c r="I2861" s="253"/>
      <c r="J2861" s="254"/>
      <c r="K2861" s="253"/>
      <c r="L2861" s="253"/>
      <c r="M2861" s="253"/>
      <c r="N2861" s="253"/>
      <c r="O2861" s="256"/>
      <c r="P2861" s="257"/>
    </row>
    <row r="2862" spans="1:16" ht="14.25">
      <c r="A2862" s="253"/>
      <c r="B2862" s="253"/>
      <c r="C2862" s="254"/>
      <c r="D2862" s="254"/>
      <c r="E2862" s="254"/>
      <c r="F2862" s="253"/>
      <c r="G2862" s="255"/>
      <c r="H2862" s="254"/>
      <c r="I2862" s="253"/>
      <c r="J2862" s="254"/>
      <c r="K2862" s="253"/>
      <c r="L2862" s="253"/>
      <c r="M2862" s="253"/>
      <c r="N2862" s="253"/>
      <c r="O2862" s="256"/>
      <c r="P2862" s="257"/>
    </row>
    <row r="2863" spans="1:16" ht="14.25">
      <c r="A2863" s="253"/>
      <c r="B2863" s="253"/>
      <c r="C2863" s="254"/>
      <c r="D2863" s="254"/>
      <c r="E2863" s="254"/>
      <c r="F2863" s="253"/>
      <c r="G2863" s="255"/>
      <c r="H2863" s="254"/>
      <c r="I2863" s="253"/>
      <c r="J2863" s="254"/>
      <c r="K2863" s="253"/>
      <c r="L2863" s="253"/>
      <c r="M2863" s="253"/>
      <c r="N2863" s="253"/>
      <c r="O2863" s="256"/>
      <c r="P2863" s="257"/>
    </row>
    <row r="2864" spans="1:16" ht="14.25">
      <c r="A2864" s="253"/>
      <c r="B2864" s="253"/>
      <c r="C2864" s="254"/>
      <c r="D2864" s="254"/>
      <c r="E2864" s="254"/>
      <c r="F2864" s="253"/>
      <c r="G2864" s="255"/>
      <c r="H2864" s="254"/>
      <c r="I2864" s="253"/>
      <c r="J2864" s="254"/>
      <c r="K2864" s="253"/>
      <c r="L2864" s="253"/>
      <c r="M2864" s="253"/>
      <c r="N2864" s="253"/>
      <c r="O2864" s="256"/>
      <c r="P2864" s="257"/>
    </row>
    <row r="2865" spans="1:16" ht="14.25">
      <c r="A2865" s="253"/>
      <c r="B2865" s="253"/>
      <c r="C2865" s="254"/>
      <c r="D2865" s="254"/>
      <c r="E2865" s="254"/>
      <c r="F2865" s="253"/>
      <c r="G2865" s="255"/>
      <c r="H2865" s="254"/>
      <c r="I2865" s="253"/>
      <c r="J2865" s="254"/>
      <c r="K2865" s="253"/>
      <c r="L2865" s="253"/>
      <c r="M2865" s="253"/>
      <c r="N2865" s="253"/>
      <c r="O2865" s="256"/>
      <c r="P2865" s="257"/>
    </row>
    <row r="2866" spans="1:16" ht="14.25">
      <c r="A2866" s="253"/>
      <c r="B2866" s="253"/>
      <c r="C2866" s="254"/>
      <c r="D2866" s="254"/>
      <c r="E2866" s="254"/>
      <c r="F2866" s="253"/>
      <c r="G2866" s="255"/>
      <c r="H2866" s="254"/>
      <c r="I2866" s="253"/>
      <c r="J2866" s="254"/>
      <c r="K2866" s="253"/>
      <c r="L2866" s="253"/>
      <c r="M2866" s="253"/>
      <c r="N2866" s="253"/>
      <c r="O2866" s="256"/>
      <c r="P2866" s="257"/>
    </row>
    <row r="2867" spans="1:16" ht="14.25">
      <c r="A2867" s="253"/>
      <c r="B2867" s="253"/>
      <c r="C2867" s="254"/>
      <c r="D2867" s="254"/>
      <c r="E2867" s="254"/>
      <c r="F2867" s="253"/>
      <c r="G2867" s="255"/>
      <c r="H2867" s="254"/>
      <c r="I2867" s="253"/>
      <c r="J2867" s="254"/>
      <c r="K2867" s="253"/>
      <c r="L2867" s="253"/>
      <c r="M2867" s="253"/>
      <c r="N2867" s="253"/>
      <c r="O2867" s="256"/>
      <c r="P2867" s="257"/>
    </row>
    <row r="2868" spans="1:16" ht="14.25">
      <c r="A2868" s="253"/>
      <c r="B2868" s="253"/>
      <c r="C2868" s="254"/>
      <c r="D2868" s="254"/>
      <c r="E2868" s="254"/>
      <c r="F2868" s="253"/>
      <c r="G2868" s="255"/>
      <c r="H2868" s="254"/>
      <c r="I2868" s="253"/>
      <c r="J2868" s="254"/>
      <c r="K2868" s="253"/>
      <c r="L2868" s="253"/>
      <c r="M2868" s="253"/>
      <c r="N2868" s="253"/>
      <c r="O2868" s="256"/>
      <c r="P2868" s="257"/>
    </row>
    <row r="2869" spans="1:16" ht="14.25">
      <c r="A2869" s="253"/>
      <c r="B2869" s="253"/>
      <c r="C2869" s="254"/>
      <c r="D2869" s="254"/>
      <c r="E2869" s="254"/>
      <c r="F2869" s="253"/>
      <c r="G2869" s="255"/>
      <c r="H2869" s="254"/>
      <c r="I2869" s="253"/>
      <c r="J2869" s="254"/>
      <c r="K2869" s="253"/>
      <c r="L2869" s="253"/>
      <c r="M2869" s="253"/>
      <c r="N2869" s="253"/>
      <c r="O2869" s="256"/>
      <c r="P2869" s="257"/>
    </row>
    <row r="2870" spans="1:16" ht="14.25">
      <c r="A2870" s="253"/>
      <c r="B2870" s="253"/>
      <c r="C2870" s="254"/>
      <c r="D2870" s="254"/>
      <c r="E2870" s="254"/>
      <c r="F2870" s="253"/>
      <c r="G2870" s="255"/>
      <c r="H2870" s="254"/>
      <c r="I2870" s="253"/>
      <c r="J2870" s="254"/>
      <c r="K2870" s="253"/>
      <c r="L2870" s="253"/>
      <c r="M2870" s="253"/>
      <c r="N2870" s="253"/>
      <c r="O2870" s="256"/>
      <c r="P2870" s="257"/>
    </row>
    <row r="2871" spans="1:16" ht="14.25">
      <c r="A2871" s="253"/>
      <c r="B2871" s="253"/>
      <c r="C2871" s="254"/>
      <c r="D2871" s="254"/>
      <c r="E2871" s="254"/>
      <c r="F2871" s="253"/>
      <c r="G2871" s="255"/>
      <c r="H2871" s="254"/>
      <c r="I2871" s="253"/>
      <c r="J2871" s="254"/>
      <c r="K2871" s="253"/>
      <c r="L2871" s="253"/>
      <c r="M2871" s="253"/>
      <c r="N2871" s="253"/>
      <c r="O2871" s="256"/>
      <c r="P2871" s="257"/>
    </row>
    <row r="2872" spans="1:16" ht="14.25">
      <c r="A2872" s="253"/>
      <c r="B2872" s="253"/>
      <c r="C2872" s="254"/>
      <c r="D2872" s="254"/>
      <c r="E2872" s="254"/>
      <c r="F2872" s="253"/>
      <c r="G2872" s="255"/>
      <c r="H2872" s="254"/>
      <c r="I2872" s="253"/>
      <c r="J2872" s="254"/>
      <c r="K2872" s="253"/>
      <c r="L2872" s="253"/>
      <c r="M2872" s="253"/>
      <c r="N2872" s="253"/>
      <c r="O2872" s="256"/>
      <c r="P2872" s="257"/>
    </row>
    <row r="2873" spans="1:16" ht="14.25">
      <c r="A2873" s="253"/>
      <c r="B2873" s="253"/>
      <c r="C2873" s="254"/>
      <c r="D2873" s="254"/>
      <c r="E2873" s="254"/>
      <c r="F2873" s="253"/>
      <c r="G2873" s="255"/>
      <c r="H2873" s="254"/>
      <c r="I2873" s="253"/>
      <c r="J2873" s="254"/>
      <c r="K2873" s="253"/>
      <c r="L2873" s="253"/>
      <c r="M2873" s="253"/>
      <c r="N2873" s="253"/>
      <c r="O2873" s="256"/>
      <c r="P2873" s="257"/>
    </row>
    <row r="2874" spans="1:16" ht="14.25">
      <c r="A2874" s="253"/>
      <c r="B2874" s="253"/>
      <c r="C2874" s="254"/>
      <c r="D2874" s="254"/>
      <c r="E2874" s="254"/>
      <c r="F2874" s="253"/>
      <c r="G2874" s="255"/>
      <c r="H2874" s="254"/>
      <c r="I2874" s="253"/>
      <c r="J2874" s="254"/>
      <c r="K2874" s="253"/>
      <c r="L2874" s="253"/>
      <c r="M2874" s="253"/>
      <c r="N2874" s="253"/>
      <c r="O2874" s="256"/>
      <c r="P2874" s="257"/>
    </row>
    <row r="2875" spans="1:16" ht="14.25">
      <c r="A2875" s="253"/>
      <c r="B2875" s="253"/>
      <c r="C2875" s="254"/>
      <c r="D2875" s="254"/>
      <c r="E2875" s="254"/>
      <c r="F2875" s="253"/>
      <c r="G2875" s="255"/>
      <c r="H2875" s="254"/>
      <c r="I2875" s="253"/>
      <c r="J2875" s="254"/>
      <c r="K2875" s="253"/>
      <c r="L2875" s="253"/>
      <c r="M2875" s="253"/>
      <c r="N2875" s="253"/>
      <c r="O2875" s="256"/>
      <c r="P2875" s="257"/>
    </row>
    <row r="2876" spans="1:16" ht="14.25">
      <c r="A2876" s="253"/>
      <c r="B2876" s="253"/>
      <c r="C2876" s="254"/>
      <c r="D2876" s="254"/>
      <c r="E2876" s="254"/>
      <c r="F2876" s="253"/>
      <c r="G2876" s="255"/>
      <c r="H2876" s="254"/>
      <c r="I2876" s="253"/>
      <c r="J2876" s="254"/>
      <c r="K2876" s="253"/>
      <c r="L2876" s="253"/>
      <c r="M2876" s="253"/>
      <c r="N2876" s="253"/>
      <c r="O2876" s="256"/>
      <c r="P2876" s="257"/>
    </row>
    <row r="2877" spans="1:16" ht="14.25">
      <c r="A2877" s="253"/>
      <c r="B2877" s="253"/>
      <c r="C2877" s="254"/>
      <c r="D2877" s="254"/>
      <c r="E2877" s="254"/>
      <c r="F2877" s="253"/>
      <c r="G2877" s="255"/>
      <c r="H2877" s="254"/>
      <c r="I2877" s="253"/>
      <c r="J2877" s="254"/>
      <c r="K2877" s="253"/>
      <c r="L2877" s="253"/>
      <c r="M2877" s="253"/>
      <c r="N2877" s="253"/>
      <c r="O2877" s="256"/>
      <c r="P2877" s="257"/>
    </row>
    <row r="2878" spans="1:16" ht="14.25">
      <c r="A2878" s="253"/>
      <c r="B2878" s="253"/>
      <c r="C2878" s="254"/>
      <c r="D2878" s="254"/>
      <c r="E2878" s="254"/>
      <c r="F2878" s="253"/>
      <c r="G2878" s="255"/>
      <c r="H2878" s="254"/>
      <c r="I2878" s="253"/>
      <c r="J2878" s="254"/>
      <c r="K2878" s="253"/>
      <c r="L2878" s="253"/>
      <c r="M2878" s="253"/>
      <c r="N2878" s="253"/>
      <c r="O2878" s="256"/>
      <c r="P2878" s="257"/>
    </row>
    <row r="2879" spans="1:16" ht="14.25">
      <c r="A2879" s="253"/>
      <c r="B2879" s="253"/>
      <c r="C2879" s="254"/>
      <c r="D2879" s="254"/>
      <c r="E2879" s="254"/>
      <c r="F2879" s="253"/>
      <c r="G2879" s="255"/>
      <c r="H2879" s="254"/>
      <c r="I2879" s="253"/>
      <c r="J2879" s="254"/>
      <c r="K2879" s="253"/>
      <c r="L2879" s="253"/>
      <c r="M2879" s="253"/>
      <c r="N2879" s="253"/>
      <c r="O2879" s="256"/>
      <c r="P2879" s="257"/>
    </row>
    <row r="2880" spans="1:16" ht="14.25">
      <c r="A2880" s="253"/>
      <c r="B2880" s="253"/>
      <c r="C2880" s="254"/>
      <c r="D2880" s="254"/>
      <c r="E2880" s="254"/>
      <c r="F2880" s="253"/>
      <c r="G2880" s="255"/>
      <c r="H2880" s="254"/>
      <c r="I2880" s="253"/>
      <c r="J2880" s="254"/>
      <c r="K2880" s="253"/>
      <c r="L2880" s="253"/>
      <c r="M2880" s="253"/>
      <c r="N2880" s="253"/>
      <c r="O2880" s="256"/>
      <c r="P2880" s="257"/>
    </row>
    <row r="2881" spans="1:16" ht="14.25">
      <c r="A2881" s="253"/>
      <c r="B2881" s="253"/>
      <c r="C2881" s="254"/>
      <c r="D2881" s="254"/>
      <c r="E2881" s="254"/>
      <c r="F2881" s="253"/>
      <c r="G2881" s="255"/>
      <c r="H2881" s="254"/>
      <c r="I2881" s="253"/>
      <c r="J2881" s="254"/>
      <c r="K2881" s="253"/>
      <c r="L2881" s="253"/>
      <c r="M2881" s="253"/>
      <c r="N2881" s="253"/>
      <c r="O2881" s="256"/>
      <c r="P2881" s="257"/>
    </row>
    <row r="2882" spans="1:16" ht="14.25">
      <c r="A2882" s="253"/>
      <c r="B2882" s="253"/>
      <c r="C2882" s="254"/>
      <c r="D2882" s="254"/>
      <c r="E2882" s="254"/>
      <c r="F2882" s="253"/>
      <c r="G2882" s="255"/>
      <c r="H2882" s="254"/>
      <c r="I2882" s="253"/>
      <c r="J2882" s="254"/>
      <c r="K2882" s="253"/>
      <c r="L2882" s="253"/>
      <c r="M2882" s="253"/>
      <c r="N2882" s="253"/>
      <c r="O2882" s="256"/>
      <c r="P2882" s="257"/>
    </row>
    <row r="2883" spans="1:16" ht="14.25">
      <c r="A2883" s="253"/>
      <c r="B2883" s="253"/>
      <c r="C2883" s="254"/>
      <c r="D2883" s="254"/>
      <c r="E2883" s="254"/>
      <c r="F2883" s="253"/>
      <c r="G2883" s="255"/>
      <c r="H2883" s="254"/>
      <c r="I2883" s="253"/>
      <c r="J2883" s="254"/>
      <c r="K2883" s="253"/>
      <c r="L2883" s="253"/>
      <c r="M2883" s="253"/>
      <c r="N2883" s="253"/>
      <c r="O2883" s="256"/>
      <c r="P2883" s="257"/>
    </row>
    <row r="2884" spans="1:16" ht="14.25">
      <c r="A2884" s="253"/>
      <c r="B2884" s="253"/>
      <c r="C2884" s="254"/>
      <c r="D2884" s="254"/>
      <c r="E2884" s="254"/>
      <c r="F2884" s="253"/>
      <c r="G2884" s="255"/>
      <c r="H2884" s="254"/>
      <c r="I2884" s="253"/>
      <c r="J2884" s="254"/>
      <c r="K2884" s="253"/>
      <c r="L2884" s="253"/>
      <c r="M2884" s="253"/>
      <c r="N2884" s="253"/>
      <c r="O2884" s="256"/>
      <c r="P2884" s="257"/>
    </row>
    <row r="2885" spans="1:16" ht="14.25">
      <c r="A2885" s="253"/>
      <c r="B2885" s="253"/>
      <c r="C2885" s="254"/>
      <c r="D2885" s="254"/>
      <c r="E2885" s="254"/>
      <c r="F2885" s="253"/>
      <c r="G2885" s="255"/>
      <c r="H2885" s="254"/>
      <c r="I2885" s="253"/>
      <c r="J2885" s="254"/>
      <c r="K2885" s="253"/>
      <c r="L2885" s="253"/>
      <c r="M2885" s="253"/>
      <c r="N2885" s="253"/>
      <c r="O2885" s="256"/>
      <c r="P2885" s="257"/>
    </row>
    <row r="2886" spans="1:16" ht="14.25">
      <c r="A2886" s="253"/>
      <c r="B2886" s="253"/>
      <c r="C2886" s="254"/>
      <c r="D2886" s="254"/>
      <c r="E2886" s="254"/>
      <c r="F2886" s="253"/>
      <c r="G2886" s="255"/>
      <c r="H2886" s="254"/>
      <c r="I2886" s="253"/>
      <c r="J2886" s="254"/>
      <c r="K2886" s="253"/>
      <c r="L2886" s="253"/>
      <c r="M2886" s="253"/>
      <c r="N2886" s="253"/>
      <c r="O2886" s="256"/>
      <c r="P2886" s="257"/>
    </row>
    <row r="2887" spans="1:16" ht="14.25">
      <c r="A2887" s="253"/>
      <c r="B2887" s="253"/>
      <c r="C2887" s="254"/>
      <c r="D2887" s="254"/>
      <c r="E2887" s="254"/>
      <c r="F2887" s="253"/>
      <c r="G2887" s="255"/>
      <c r="H2887" s="254"/>
      <c r="I2887" s="253"/>
      <c r="J2887" s="254"/>
      <c r="K2887" s="253"/>
      <c r="L2887" s="253"/>
      <c r="M2887" s="253"/>
      <c r="N2887" s="253"/>
      <c r="O2887" s="256"/>
      <c r="P2887" s="257"/>
    </row>
    <row r="2888" spans="1:16" ht="14.25">
      <c r="A2888" s="253"/>
      <c r="B2888" s="253"/>
      <c r="C2888" s="254"/>
      <c r="D2888" s="254"/>
      <c r="E2888" s="254"/>
      <c r="F2888" s="253"/>
      <c r="G2888" s="255"/>
      <c r="H2888" s="254"/>
      <c r="I2888" s="253"/>
      <c r="J2888" s="254"/>
      <c r="K2888" s="253"/>
      <c r="L2888" s="253"/>
      <c r="M2888" s="253"/>
      <c r="N2888" s="253"/>
      <c r="O2888" s="256"/>
      <c r="P2888" s="257"/>
    </row>
    <row r="2889" spans="1:16" ht="14.25">
      <c r="A2889" s="253"/>
      <c r="B2889" s="253"/>
      <c r="C2889" s="254"/>
      <c r="D2889" s="254"/>
      <c r="E2889" s="254"/>
      <c r="F2889" s="253"/>
      <c r="G2889" s="255"/>
      <c r="H2889" s="254"/>
      <c r="I2889" s="253"/>
      <c r="J2889" s="254"/>
      <c r="K2889" s="253"/>
      <c r="L2889" s="253"/>
      <c r="M2889" s="253"/>
      <c r="N2889" s="253"/>
      <c r="O2889" s="256"/>
      <c r="P2889" s="257"/>
    </row>
    <row r="2890" spans="1:16" ht="14.25">
      <c r="A2890" s="253"/>
      <c r="B2890" s="253"/>
      <c r="C2890" s="254"/>
      <c r="D2890" s="254"/>
      <c r="E2890" s="254"/>
      <c r="F2890" s="253"/>
      <c r="G2890" s="255"/>
      <c r="H2890" s="254"/>
      <c r="I2890" s="253"/>
      <c r="J2890" s="254"/>
      <c r="K2890" s="253"/>
      <c r="L2890" s="253"/>
      <c r="M2890" s="253"/>
      <c r="N2890" s="253"/>
      <c r="O2890" s="256"/>
      <c r="P2890" s="257"/>
    </row>
    <row r="2891" spans="1:16" ht="14.25">
      <c r="A2891" s="253"/>
      <c r="B2891" s="253"/>
      <c r="C2891" s="254"/>
      <c r="D2891" s="254"/>
      <c r="E2891" s="254"/>
      <c r="F2891" s="253"/>
      <c r="G2891" s="255"/>
      <c r="H2891" s="254"/>
      <c r="I2891" s="253"/>
      <c r="J2891" s="254"/>
      <c r="K2891" s="253"/>
      <c r="L2891" s="253"/>
      <c r="M2891" s="253"/>
      <c r="N2891" s="253"/>
      <c r="O2891" s="256"/>
      <c r="P2891" s="257"/>
    </row>
    <row r="2892" spans="1:16" ht="14.25">
      <c r="A2892" s="253"/>
      <c r="B2892" s="253"/>
      <c r="C2892" s="254"/>
      <c r="D2892" s="254"/>
      <c r="E2892" s="254"/>
      <c r="F2892" s="253"/>
      <c r="G2892" s="255"/>
      <c r="H2892" s="254"/>
      <c r="I2892" s="253"/>
      <c r="J2892" s="254"/>
      <c r="K2892" s="253"/>
      <c r="L2892" s="253"/>
      <c r="M2892" s="253"/>
      <c r="N2892" s="253"/>
      <c r="O2892" s="256"/>
      <c r="P2892" s="257"/>
    </row>
    <row r="2893" spans="1:16" ht="14.25">
      <c r="A2893" s="253"/>
      <c r="B2893" s="253"/>
      <c r="C2893" s="254"/>
      <c r="D2893" s="254"/>
      <c r="E2893" s="254"/>
      <c r="F2893" s="253"/>
      <c r="G2893" s="255"/>
      <c r="H2893" s="254"/>
      <c r="I2893" s="253"/>
      <c r="J2893" s="254"/>
      <c r="K2893" s="253"/>
      <c r="L2893" s="253"/>
      <c r="M2893" s="253"/>
      <c r="N2893" s="253"/>
      <c r="O2893" s="256"/>
      <c r="P2893" s="257"/>
    </row>
    <row r="2894" spans="1:16" ht="14.25">
      <c r="A2894" s="253"/>
      <c r="B2894" s="253"/>
      <c r="C2894" s="254"/>
      <c r="D2894" s="254"/>
      <c r="E2894" s="254"/>
      <c r="F2894" s="253"/>
      <c r="G2894" s="255"/>
      <c r="H2894" s="254"/>
      <c r="I2894" s="253"/>
      <c r="J2894" s="254"/>
      <c r="K2894" s="253"/>
      <c r="L2894" s="253"/>
      <c r="M2894" s="253"/>
      <c r="N2894" s="253"/>
      <c r="O2894" s="256"/>
      <c r="P2894" s="257"/>
    </row>
    <row r="2895" spans="1:16" ht="14.25">
      <c r="A2895" s="253"/>
      <c r="B2895" s="253"/>
      <c r="C2895" s="254"/>
      <c r="D2895" s="254"/>
      <c r="E2895" s="254"/>
      <c r="F2895" s="253"/>
      <c r="G2895" s="255"/>
      <c r="H2895" s="254"/>
      <c r="I2895" s="253"/>
      <c r="J2895" s="254"/>
      <c r="K2895" s="253"/>
      <c r="L2895" s="253"/>
      <c r="M2895" s="253"/>
      <c r="N2895" s="253"/>
      <c r="O2895" s="256"/>
      <c r="P2895" s="257"/>
    </row>
    <row r="2896" spans="1:16" ht="14.25">
      <c r="A2896" s="253"/>
      <c r="B2896" s="253"/>
      <c r="C2896" s="254"/>
      <c r="D2896" s="254"/>
      <c r="E2896" s="254"/>
      <c r="F2896" s="253"/>
      <c r="G2896" s="255"/>
      <c r="H2896" s="254"/>
      <c r="I2896" s="253"/>
      <c r="J2896" s="254"/>
      <c r="K2896" s="253"/>
      <c r="L2896" s="253"/>
      <c r="M2896" s="253"/>
      <c r="N2896" s="253"/>
      <c r="O2896" s="256"/>
      <c r="P2896" s="257"/>
    </row>
    <row r="2897" spans="1:16" ht="14.25">
      <c r="A2897" s="253"/>
      <c r="B2897" s="253"/>
      <c r="C2897" s="254"/>
      <c r="D2897" s="254"/>
      <c r="E2897" s="254"/>
      <c r="F2897" s="253"/>
      <c r="G2897" s="255"/>
      <c r="H2897" s="254"/>
      <c r="I2897" s="253"/>
      <c r="J2897" s="254"/>
      <c r="K2897" s="253"/>
      <c r="L2897" s="253"/>
      <c r="M2897" s="253"/>
      <c r="N2897" s="253"/>
      <c r="O2897" s="256"/>
      <c r="P2897" s="257"/>
    </row>
    <row r="2898" spans="1:16" ht="14.25">
      <c r="A2898" s="253"/>
      <c r="B2898" s="253"/>
      <c r="C2898" s="254"/>
      <c r="D2898" s="254"/>
      <c r="E2898" s="254"/>
      <c r="F2898" s="253"/>
      <c r="G2898" s="255"/>
      <c r="H2898" s="254"/>
      <c r="I2898" s="253"/>
      <c r="J2898" s="254"/>
      <c r="K2898" s="253"/>
      <c r="L2898" s="253"/>
      <c r="M2898" s="253"/>
      <c r="N2898" s="253"/>
      <c r="O2898" s="256"/>
      <c r="P2898" s="257"/>
    </row>
    <row r="2899" spans="1:16" ht="14.25">
      <c r="A2899" s="253"/>
      <c r="B2899" s="253"/>
      <c r="C2899" s="254"/>
      <c r="D2899" s="254"/>
      <c r="E2899" s="254"/>
      <c r="F2899" s="253"/>
      <c r="G2899" s="255"/>
      <c r="H2899" s="254"/>
      <c r="I2899" s="253"/>
      <c r="J2899" s="254"/>
      <c r="K2899" s="253"/>
      <c r="L2899" s="253"/>
      <c r="M2899" s="253"/>
      <c r="N2899" s="253"/>
      <c r="O2899" s="256"/>
      <c r="P2899" s="257"/>
    </row>
    <row r="2900" spans="1:16" ht="14.25">
      <c r="A2900" s="253"/>
      <c r="B2900" s="253"/>
      <c r="C2900" s="254"/>
      <c r="D2900" s="254"/>
      <c r="E2900" s="254"/>
      <c r="F2900" s="253"/>
      <c r="G2900" s="255"/>
      <c r="H2900" s="254"/>
      <c r="I2900" s="253"/>
      <c r="J2900" s="254"/>
      <c r="K2900" s="253"/>
      <c r="L2900" s="253"/>
      <c r="M2900" s="253"/>
      <c r="N2900" s="253"/>
      <c r="O2900" s="256"/>
      <c r="P2900" s="257"/>
    </row>
    <row r="2901" spans="1:16" ht="14.25">
      <c r="A2901" s="253"/>
      <c r="B2901" s="253"/>
      <c r="C2901" s="254"/>
      <c r="D2901" s="254"/>
      <c r="E2901" s="254"/>
      <c r="F2901" s="253"/>
      <c r="G2901" s="255"/>
      <c r="H2901" s="254"/>
      <c r="I2901" s="253"/>
      <c r="J2901" s="254"/>
      <c r="K2901" s="253"/>
      <c r="L2901" s="253"/>
      <c r="M2901" s="253"/>
      <c r="N2901" s="253"/>
      <c r="O2901" s="256"/>
      <c r="P2901" s="257"/>
    </row>
    <row r="2902" spans="1:16" ht="14.25">
      <c r="A2902" s="253"/>
      <c r="B2902" s="253"/>
      <c r="C2902" s="254"/>
      <c r="D2902" s="254"/>
      <c r="E2902" s="254"/>
      <c r="F2902" s="253"/>
      <c r="G2902" s="255"/>
      <c r="H2902" s="254"/>
      <c r="I2902" s="253"/>
      <c r="J2902" s="254"/>
      <c r="K2902" s="253"/>
      <c r="L2902" s="253"/>
      <c r="M2902" s="253"/>
      <c r="N2902" s="253"/>
      <c r="O2902" s="256"/>
      <c r="P2902" s="257"/>
    </row>
    <row r="2903" spans="1:16" ht="14.25">
      <c r="A2903" s="253"/>
      <c r="B2903" s="253"/>
      <c r="C2903" s="254"/>
      <c r="D2903" s="254"/>
      <c r="E2903" s="254"/>
      <c r="F2903" s="253"/>
      <c r="G2903" s="255"/>
      <c r="H2903" s="254"/>
      <c r="I2903" s="253"/>
      <c r="J2903" s="254"/>
      <c r="K2903" s="253"/>
      <c r="L2903" s="253"/>
      <c r="M2903" s="253"/>
      <c r="N2903" s="253"/>
      <c r="O2903" s="256"/>
      <c r="P2903" s="257"/>
    </row>
    <row r="2904" spans="1:16" ht="14.25">
      <c r="A2904" s="253"/>
      <c r="B2904" s="253"/>
      <c r="C2904" s="254"/>
      <c r="D2904" s="254"/>
      <c r="E2904" s="254"/>
      <c r="F2904" s="253"/>
      <c r="G2904" s="255"/>
      <c r="H2904" s="254"/>
      <c r="I2904" s="253"/>
      <c r="J2904" s="254"/>
      <c r="K2904" s="253"/>
      <c r="L2904" s="253"/>
      <c r="M2904" s="253"/>
      <c r="N2904" s="253"/>
      <c r="O2904" s="256"/>
      <c r="P2904" s="257"/>
    </row>
    <row r="2905" spans="1:16" ht="14.25">
      <c r="A2905" s="253"/>
      <c r="B2905" s="253"/>
      <c r="C2905" s="254"/>
      <c r="D2905" s="254"/>
      <c r="E2905" s="254"/>
      <c r="F2905" s="253"/>
      <c r="G2905" s="255"/>
      <c r="H2905" s="254"/>
      <c r="I2905" s="253"/>
      <c r="J2905" s="254"/>
      <c r="K2905" s="253"/>
      <c r="L2905" s="253"/>
      <c r="M2905" s="253"/>
      <c r="N2905" s="253"/>
      <c r="O2905" s="256"/>
      <c r="P2905" s="257"/>
    </row>
    <row r="2906" spans="1:16" ht="14.25">
      <c r="A2906" s="253"/>
      <c r="B2906" s="253"/>
      <c r="C2906" s="254"/>
      <c r="D2906" s="254"/>
      <c r="E2906" s="254"/>
      <c r="F2906" s="253"/>
      <c r="G2906" s="255"/>
      <c r="H2906" s="254"/>
      <c r="I2906" s="253"/>
      <c r="J2906" s="254"/>
      <c r="K2906" s="253"/>
      <c r="L2906" s="253"/>
      <c r="M2906" s="253"/>
      <c r="N2906" s="253"/>
      <c r="O2906" s="256"/>
      <c r="P2906" s="257"/>
    </row>
    <row r="2907" spans="1:16" ht="14.25">
      <c r="A2907" s="253"/>
      <c r="B2907" s="253"/>
      <c r="C2907" s="254"/>
      <c r="D2907" s="254"/>
      <c r="E2907" s="254"/>
      <c r="F2907" s="253"/>
      <c r="G2907" s="255"/>
      <c r="H2907" s="254"/>
      <c r="I2907" s="253"/>
      <c r="J2907" s="254"/>
      <c r="K2907" s="253"/>
      <c r="L2907" s="253"/>
      <c r="M2907" s="253"/>
      <c r="N2907" s="253"/>
      <c r="O2907" s="256"/>
      <c r="P2907" s="257"/>
    </row>
    <row r="2908" spans="1:16" ht="14.25">
      <c r="A2908" s="253"/>
      <c r="B2908" s="253"/>
      <c r="C2908" s="254"/>
      <c r="D2908" s="254"/>
      <c r="E2908" s="254"/>
      <c r="F2908" s="253"/>
      <c r="G2908" s="255"/>
      <c r="H2908" s="254"/>
      <c r="I2908" s="253"/>
      <c r="J2908" s="254"/>
      <c r="K2908" s="253"/>
      <c r="L2908" s="253"/>
      <c r="M2908" s="253"/>
      <c r="N2908" s="253"/>
      <c r="O2908" s="256"/>
      <c r="P2908" s="257"/>
    </row>
    <row r="2909" spans="1:16" ht="14.25">
      <c r="A2909" s="253"/>
      <c r="B2909" s="253"/>
      <c r="C2909" s="254"/>
      <c r="D2909" s="254"/>
      <c r="E2909" s="254"/>
      <c r="F2909" s="253"/>
      <c r="G2909" s="255"/>
      <c r="H2909" s="254"/>
      <c r="I2909" s="253"/>
      <c r="J2909" s="254"/>
      <c r="K2909" s="253"/>
      <c r="L2909" s="253"/>
      <c r="M2909" s="253"/>
      <c r="N2909" s="253"/>
      <c r="O2909" s="256"/>
      <c r="P2909" s="257"/>
    </row>
    <row r="2910" spans="1:16" ht="14.25">
      <c r="A2910" s="253"/>
      <c r="B2910" s="253"/>
      <c r="C2910" s="254"/>
      <c r="D2910" s="254"/>
      <c r="E2910" s="254"/>
      <c r="F2910" s="253"/>
      <c r="G2910" s="255"/>
      <c r="H2910" s="254"/>
      <c r="I2910" s="253"/>
      <c r="J2910" s="254"/>
      <c r="K2910" s="253"/>
      <c r="L2910" s="253"/>
      <c r="M2910" s="253"/>
      <c r="N2910" s="253"/>
      <c r="O2910" s="256"/>
      <c r="P2910" s="257"/>
    </row>
    <row r="2911" spans="1:16" ht="14.25">
      <c r="A2911" s="253"/>
      <c r="B2911" s="253"/>
      <c r="C2911" s="254"/>
      <c r="D2911" s="254"/>
      <c r="E2911" s="254"/>
      <c r="F2911" s="253"/>
      <c r="G2911" s="255"/>
      <c r="H2911" s="254"/>
      <c r="I2911" s="253"/>
      <c r="J2911" s="254"/>
      <c r="K2911" s="253"/>
      <c r="L2911" s="253"/>
      <c r="M2911" s="253"/>
      <c r="N2911" s="253"/>
      <c r="O2911" s="256"/>
      <c r="P2911" s="257"/>
    </row>
    <row r="2912" spans="1:16" ht="14.25">
      <c r="A2912" s="253"/>
      <c r="B2912" s="253"/>
      <c r="C2912" s="254"/>
      <c r="D2912" s="254"/>
      <c r="E2912" s="254"/>
      <c r="F2912" s="253"/>
      <c r="G2912" s="255"/>
      <c r="H2912" s="254"/>
      <c r="I2912" s="253"/>
      <c r="J2912" s="254"/>
      <c r="K2912" s="253"/>
      <c r="L2912" s="253"/>
      <c r="M2912" s="253"/>
      <c r="N2912" s="253"/>
      <c r="O2912" s="256"/>
      <c r="P2912" s="257"/>
    </row>
    <row r="2913" spans="1:16" ht="14.25">
      <c r="A2913" s="253"/>
      <c r="B2913" s="253"/>
      <c r="C2913" s="254"/>
      <c r="D2913" s="254"/>
      <c r="E2913" s="254"/>
      <c r="F2913" s="253"/>
      <c r="G2913" s="255"/>
      <c r="H2913" s="254"/>
      <c r="I2913" s="253"/>
      <c r="J2913" s="254"/>
      <c r="K2913" s="253"/>
      <c r="L2913" s="253"/>
      <c r="M2913" s="253"/>
      <c r="N2913" s="253"/>
      <c r="O2913" s="256"/>
      <c r="P2913" s="257"/>
    </row>
    <row r="2914" spans="1:16" ht="14.25">
      <c r="A2914" s="253"/>
      <c r="B2914" s="253"/>
      <c r="C2914" s="254"/>
      <c r="D2914" s="254"/>
      <c r="E2914" s="254"/>
      <c r="F2914" s="253"/>
      <c r="G2914" s="255"/>
      <c r="H2914" s="254"/>
      <c r="I2914" s="253"/>
      <c r="J2914" s="254"/>
      <c r="K2914" s="253"/>
      <c r="L2914" s="253"/>
      <c r="M2914" s="253"/>
      <c r="N2914" s="253"/>
      <c r="O2914" s="256"/>
      <c r="P2914" s="257"/>
    </row>
    <row r="2915" spans="1:16" ht="14.25">
      <c r="A2915" s="253"/>
      <c r="B2915" s="253"/>
      <c r="C2915" s="254"/>
      <c r="D2915" s="254"/>
      <c r="E2915" s="254"/>
      <c r="F2915" s="253"/>
      <c r="G2915" s="255"/>
      <c r="H2915" s="254"/>
      <c r="I2915" s="253"/>
      <c r="J2915" s="254"/>
      <c r="K2915" s="253"/>
      <c r="L2915" s="253"/>
      <c r="M2915" s="253"/>
      <c r="N2915" s="253"/>
      <c r="O2915" s="256"/>
      <c r="P2915" s="257"/>
    </row>
    <row r="2916" spans="1:16" ht="14.25">
      <c r="A2916" s="253"/>
      <c r="B2916" s="253"/>
      <c r="C2916" s="254"/>
      <c r="D2916" s="254"/>
      <c r="E2916" s="254"/>
      <c r="F2916" s="253"/>
      <c r="G2916" s="255"/>
      <c r="H2916" s="254"/>
      <c r="I2916" s="253"/>
      <c r="J2916" s="254"/>
      <c r="K2916" s="253"/>
      <c r="L2916" s="253"/>
      <c r="M2916" s="253"/>
      <c r="N2916" s="253"/>
      <c r="O2916" s="256"/>
      <c r="P2916" s="257"/>
    </row>
    <row r="2917" spans="1:16" ht="14.25">
      <c r="A2917" s="253"/>
      <c r="B2917" s="253"/>
      <c r="C2917" s="254"/>
      <c r="D2917" s="254"/>
      <c r="E2917" s="254"/>
      <c r="F2917" s="253"/>
      <c r="G2917" s="255"/>
      <c r="H2917" s="254"/>
      <c r="I2917" s="253"/>
      <c r="J2917" s="254"/>
      <c r="K2917" s="253"/>
      <c r="L2917" s="253"/>
      <c r="M2917" s="253"/>
      <c r="N2917" s="253"/>
      <c r="O2917" s="256"/>
      <c r="P2917" s="257"/>
    </row>
    <row r="2918" spans="1:16" ht="14.25">
      <c r="A2918" s="253"/>
      <c r="B2918" s="253"/>
      <c r="C2918" s="254"/>
      <c r="D2918" s="254"/>
      <c r="E2918" s="254"/>
      <c r="F2918" s="253"/>
      <c r="G2918" s="255"/>
      <c r="H2918" s="254"/>
      <c r="I2918" s="253"/>
      <c r="J2918" s="254"/>
      <c r="K2918" s="253"/>
      <c r="L2918" s="253"/>
      <c r="M2918" s="253"/>
      <c r="N2918" s="253"/>
      <c r="O2918" s="256"/>
      <c r="P2918" s="257"/>
    </row>
    <row r="2919" spans="1:16" ht="14.25">
      <c r="A2919" s="253"/>
      <c r="B2919" s="253"/>
      <c r="C2919" s="254"/>
      <c r="D2919" s="254"/>
      <c r="E2919" s="254"/>
      <c r="F2919" s="253"/>
      <c r="G2919" s="255"/>
      <c r="H2919" s="254"/>
      <c r="I2919" s="253"/>
      <c r="J2919" s="254"/>
      <c r="K2919" s="253"/>
      <c r="L2919" s="253"/>
      <c r="M2919" s="253"/>
      <c r="N2919" s="253"/>
      <c r="O2919" s="256"/>
      <c r="P2919" s="257"/>
    </row>
    <row r="2920" spans="1:16" ht="14.25">
      <c r="A2920" s="253"/>
      <c r="B2920" s="253"/>
      <c r="C2920" s="254"/>
      <c r="D2920" s="254"/>
      <c r="E2920" s="254"/>
      <c r="F2920" s="253"/>
      <c r="G2920" s="255"/>
      <c r="H2920" s="254"/>
      <c r="I2920" s="253"/>
      <c r="J2920" s="254"/>
      <c r="K2920" s="253"/>
      <c r="L2920" s="253"/>
      <c r="M2920" s="253"/>
      <c r="N2920" s="253"/>
      <c r="O2920" s="256"/>
      <c r="P2920" s="257"/>
    </row>
    <row r="2921" spans="1:16" ht="14.25">
      <c r="A2921" s="253"/>
      <c r="B2921" s="253"/>
      <c r="C2921" s="254"/>
      <c r="D2921" s="254"/>
      <c r="E2921" s="254"/>
      <c r="F2921" s="253"/>
      <c r="G2921" s="255"/>
      <c r="H2921" s="254"/>
      <c r="I2921" s="253"/>
      <c r="J2921" s="254"/>
      <c r="K2921" s="253"/>
      <c r="L2921" s="253"/>
      <c r="M2921" s="253"/>
      <c r="N2921" s="253"/>
      <c r="O2921" s="256"/>
      <c r="P2921" s="257"/>
    </row>
    <row r="2922" spans="1:16" ht="14.25">
      <c r="A2922" s="253"/>
      <c r="B2922" s="253"/>
      <c r="C2922" s="254"/>
      <c r="D2922" s="254"/>
      <c r="E2922" s="254"/>
      <c r="F2922" s="253"/>
      <c r="G2922" s="255"/>
      <c r="H2922" s="254"/>
      <c r="I2922" s="253"/>
      <c r="J2922" s="254"/>
      <c r="K2922" s="253"/>
      <c r="L2922" s="253"/>
      <c r="M2922" s="253"/>
      <c r="N2922" s="253"/>
      <c r="O2922" s="256"/>
      <c r="P2922" s="257"/>
    </row>
    <row r="2923" spans="1:16" ht="14.25">
      <c r="A2923" s="253"/>
      <c r="B2923" s="253"/>
      <c r="C2923" s="254"/>
      <c r="D2923" s="254"/>
      <c r="E2923" s="254"/>
      <c r="F2923" s="253"/>
      <c r="G2923" s="255"/>
      <c r="H2923" s="254"/>
      <c r="I2923" s="253"/>
      <c r="J2923" s="254"/>
      <c r="K2923" s="253"/>
      <c r="L2923" s="253"/>
      <c r="M2923" s="253"/>
      <c r="N2923" s="253"/>
      <c r="O2923" s="256"/>
      <c r="P2923" s="257"/>
    </row>
    <row r="2924" spans="1:16" ht="14.25">
      <c r="A2924" s="253"/>
      <c r="B2924" s="253"/>
      <c r="C2924" s="254"/>
      <c r="D2924" s="254"/>
      <c r="E2924" s="254"/>
      <c r="F2924" s="253"/>
      <c r="G2924" s="255"/>
      <c r="H2924" s="254"/>
      <c r="I2924" s="253"/>
      <c r="J2924" s="254"/>
      <c r="K2924" s="253"/>
      <c r="L2924" s="253"/>
      <c r="M2924" s="253"/>
      <c r="N2924" s="253"/>
      <c r="O2924" s="256"/>
      <c r="P2924" s="257"/>
    </row>
    <row r="2925" spans="1:16" ht="14.25">
      <c r="A2925" s="253"/>
      <c r="B2925" s="253"/>
      <c r="C2925" s="254"/>
      <c r="D2925" s="254"/>
      <c r="E2925" s="254"/>
      <c r="F2925" s="253"/>
      <c r="G2925" s="255"/>
      <c r="H2925" s="254"/>
      <c r="I2925" s="253"/>
      <c r="J2925" s="254"/>
      <c r="K2925" s="253"/>
      <c r="L2925" s="253"/>
      <c r="M2925" s="253"/>
      <c r="N2925" s="253"/>
      <c r="O2925" s="256"/>
      <c r="P2925" s="257"/>
    </row>
    <row r="2926" spans="1:16" ht="14.25">
      <c r="A2926" s="253"/>
      <c r="B2926" s="253"/>
      <c r="C2926" s="254"/>
      <c r="D2926" s="254"/>
      <c r="E2926" s="254"/>
      <c r="F2926" s="253"/>
      <c r="G2926" s="255"/>
      <c r="H2926" s="254"/>
      <c r="I2926" s="253"/>
      <c r="J2926" s="254"/>
      <c r="K2926" s="253"/>
      <c r="L2926" s="253"/>
      <c r="M2926" s="253"/>
      <c r="N2926" s="253"/>
      <c r="O2926" s="256"/>
      <c r="P2926" s="257"/>
    </row>
    <row r="2927" spans="1:16" ht="14.25">
      <c r="A2927" s="253"/>
      <c r="B2927" s="253"/>
      <c r="C2927" s="254"/>
      <c r="D2927" s="254"/>
      <c r="E2927" s="254"/>
      <c r="F2927" s="253"/>
      <c r="G2927" s="255"/>
      <c r="H2927" s="254"/>
      <c r="I2927" s="253"/>
      <c r="J2927" s="254"/>
      <c r="K2927" s="253"/>
      <c r="L2927" s="253"/>
      <c r="M2927" s="253"/>
      <c r="N2927" s="253"/>
      <c r="O2927" s="256"/>
      <c r="P2927" s="257"/>
    </row>
    <row r="2928" spans="1:16" ht="14.25">
      <c r="A2928" s="253"/>
      <c r="B2928" s="253"/>
      <c r="C2928" s="254"/>
      <c r="D2928" s="254"/>
      <c r="E2928" s="254"/>
      <c r="F2928" s="253"/>
      <c r="G2928" s="255"/>
      <c r="H2928" s="254"/>
      <c r="I2928" s="253"/>
      <c r="J2928" s="254"/>
      <c r="K2928" s="253"/>
      <c r="L2928" s="253"/>
      <c r="M2928" s="253"/>
      <c r="N2928" s="253"/>
      <c r="O2928" s="256"/>
      <c r="P2928" s="257"/>
    </row>
    <row r="2929" spans="1:16" ht="14.25">
      <c r="A2929" s="253"/>
      <c r="B2929" s="253"/>
      <c r="C2929" s="254"/>
      <c r="D2929" s="254"/>
      <c r="E2929" s="254"/>
      <c r="F2929" s="253"/>
      <c r="G2929" s="255"/>
      <c r="H2929" s="254"/>
      <c r="I2929" s="253"/>
      <c r="J2929" s="254"/>
      <c r="K2929" s="253"/>
      <c r="L2929" s="253"/>
      <c r="M2929" s="253"/>
      <c r="N2929" s="253"/>
      <c r="O2929" s="256"/>
      <c r="P2929" s="257"/>
    </row>
    <row r="2930" spans="1:16" ht="14.25">
      <c r="A2930" s="253"/>
      <c r="B2930" s="253"/>
      <c r="C2930" s="254"/>
      <c r="D2930" s="254"/>
      <c r="E2930" s="254"/>
      <c r="F2930" s="253"/>
      <c r="G2930" s="255"/>
      <c r="H2930" s="254"/>
      <c r="I2930" s="253"/>
      <c r="J2930" s="254"/>
      <c r="K2930" s="253"/>
      <c r="L2930" s="253"/>
      <c r="M2930" s="253"/>
      <c r="N2930" s="253"/>
      <c r="O2930" s="256"/>
      <c r="P2930" s="257"/>
    </row>
    <row r="2931" spans="1:16" ht="14.25">
      <c r="A2931" s="253"/>
      <c r="B2931" s="253"/>
      <c r="C2931" s="254"/>
      <c r="D2931" s="254"/>
      <c r="E2931" s="254"/>
      <c r="F2931" s="253"/>
      <c r="G2931" s="255"/>
      <c r="H2931" s="254"/>
      <c r="I2931" s="253"/>
      <c r="J2931" s="254"/>
      <c r="K2931" s="253"/>
      <c r="L2931" s="253"/>
      <c r="M2931" s="253"/>
      <c r="N2931" s="253"/>
      <c r="O2931" s="256"/>
      <c r="P2931" s="257"/>
    </row>
    <row r="2932" spans="1:16" ht="14.25">
      <c r="A2932" s="253"/>
      <c r="B2932" s="253"/>
      <c r="C2932" s="254"/>
      <c r="D2932" s="254"/>
      <c r="E2932" s="254"/>
      <c r="F2932" s="253"/>
      <c r="G2932" s="255"/>
      <c r="H2932" s="254"/>
      <c r="I2932" s="253"/>
      <c r="J2932" s="254"/>
      <c r="K2932" s="253"/>
      <c r="L2932" s="253"/>
      <c r="M2932" s="253"/>
      <c r="N2932" s="253"/>
      <c r="O2932" s="256"/>
      <c r="P2932" s="257"/>
    </row>
    <row r="2933" spans="1:16" ht="14.25">
      <c r="A2933" s="253"/>
      <c r="B2933" s="253"/>
      <c r="C2933" s="254"/>
      <c r="D2933" s="254"/>
      <c r="E2933" s="254"/>
      <c r="F2933" s="253"/>
      <c r="G2933" s="255"/>
      <c r="H2933" s="254"/>
      <c r="I2933" s="253"/>
      <c r="J2933" s="254"/>
      <c r="K2933" s="253"/>
      <c r="L2933" s="253"/>
      <c r="M2933" s="253"/>
      <c r="N2933" s="253"/>
      <c r="O2933" s="256"/>
      <c r="P2933" s="257"/>
    </row>
    <row r="2934" spans="1:16" ht="14.25">
      <c r="A2934" s="253"/>
      <c r="B2934" s="253"/>
      <c r="C2934" s="254"/>
      <c r="D2934" s="254"/>
      <c r="E2934" s="254"/>
      <c r="F2934" s="253"/>
      <c r="G2934" s="255"/>
      <c r="H2934" s="254"/>
      <c r="I2934" s="253"/>
      <c r="J2934" s="254"/>
      <c r="K2934" s="253"/>
      <c r="L2934" s="253"/>
      <c r="M2934" s="253"/>
      <c r="N2934" s="253"/>
      <c r="O2934" s="256"/>
      <c r="P2934" s="257"/>
    </row>
    <row r="2935" spans="1:16" ht="14.25">
      <c r="A2935" s="253"/>
      <c r="B2935" s="253"/>
      <c r="C2935" s="254"/>
      <c r="D2935" s="254"/>
      <c r="E2935" s="254"/>
      <c r="F2935" s="253"/>
      <c r="G2935" s="255"/>
      <c r="H2935" s="254"/>
      <c r="I2935" s="253"/>
      <c r="J2935" s="254"/>
      <c r="K2935" s="253"/>
      <c r="L2935" s="253"/>
      <c r="M2935" s="253"/>
      <c r="N2935" s="253"/>
      <c r="O2935" s="256"/>
      <c r="P2935" s="257"/>
    </row>
    <row r="2936" spans="1:16" ht="14.25">
      <c r="A2936" s="253"/>
      <c r="B2936" s="253"/>
      <c r="C2936" s="254"/>
      <c r="D2936" s="254"/>
      <c r="E2936" s="254"/>
      <c r="F2936" s="253"/>
      <c r="G2936" s="255"/>
      <c r="H2936" s="254"/>
      <c r="I2936" s="253"/>
      <c r="J2936" s="254"/>
      <c r="K2936" s="253"/>
      <c r="L2936" s="253"/>
      <c r="M2936" s="253"/>
      <c r="N2936" s="253"/>
      <c r="O2936" s="256"/>
      <c r="P2936" s="257"/>
    </row>
    <row r="2937" spans="1:16" ht="14.25">
      <c r="A2937" s="253"/>
      <c r="B2937" s="253"/>
      <c r="C2937" s="254"/>
      <c r="D2937" s="254"/>
      <c r="E2937" s="254"/>
      <c r="F2937" s="253"/>
      <c r="G2937" s="255"/>
      <c r="H2937" s="254"/>
      <c r="I2937" s="253"/>
      <c r="J2937" s="254"/>
      <c r="K2937" s="253"/>
      <c r="L2937" s="253"/>
      <c r="M2937" s="253"/>
      <c r="N2937" s="253"/>
      <c r="O2937" s="256"/>
      <c r="P2937" s="257"/>
    </row>
    <row r="2938" spans="1:16" ht="14.25">
      <c r="A2938" s="253"/>
      <c r="B2938" s="253"/>
      <c r="C2938" s="254"/>
      <c r="D2938" s="254"/>
      <c r="E2938" s="254"/>
      <c r="F2938" s="253"/>
      <c r="G2938" s="255"/>
      <c r="H2938" s="254"/>
      <c r="I2938" s="253"/>
      <c r="J2938" s="254"/>
      <c r="K2938" s="253"/>
      <c r="L2938" s="253"/>
      <c r="M2938" s="253"/>
      <c r="N2938" s="253"/>
      <c r="O2938" s="256"/>
      <c r="P2938" s="257"/>
    </row>
    <row r="2939" spans="1:16" ht="14.25">
      <c r="A2939" s="253"/>
      <c r="B2939" s="253"/>
      <c r="C2939" s="254"/>
      <c r="D2939" s="254"/>
      <c r="E2939" s="254"/>
      <c r="F2939" s="253"/>
      <c r="G2939" s="255"/>
      <c r="H2939" s="254"/>
      <c r="I2939" s="253"/>
      <c r="J2939" s="254"/>
      <c r="K2939" s="253"/>
      <c r="L2939" s="253"/>
      <c r="M2939" s="253"/>
      <c r="N2939" s="253"/>
      <c r="O2939" s="256"/>
      <c r="P2939" s="257"/>
    </row>
    <row r="2940" spans="1:16" ht="14.25">
      <c r="A2940" s="253"/>
      <c r="B2940" s="253"/>
      <c r="C2940" s="254"/>
      <c r="D2940" s="254"/>
      <c r="E2940" s="254"/>
      <c r="F2940" s="253"/>
      <c r="G2940" s="255"/>
      <c r="H2940" s="254"/>
      <c r="I2940" s="253"/>
      <c r="J2940" s="254"/>
      <c r="K2940" s="253"/>
      <c r="L2940" s="253"/>
      <c r="M2940" s="253"/>
      <c r="N2940" s="253"/>
      <c r="O2940" s="256"/>
      <c r="P2940" s="257"/>
    </row>
    <row r="2941" spans="1:16" ht="14.25">
      <c r="A2941" s="253"/>
      <c r="B2941" s="253"/>
      <c r="C2941" s="254"/>
      <c r="D2941" s="254"/>
      <c r="E2941" s="254"/>
      <c r="F2941" s="253"/>
      <c r="G2941" s="255"/>
      <c r="H2941" s="254"/>
      <c r="I2941" s="253"/>
      <c r="J2941" s="254"/>
      <c r="K2941" s="253"/>
      <c r="L2941" s="253"/>
      <c r="M2941" s="253"/>
      <c r="N2941" s="253"/>
      <c r="O2941" s="256"/>
      <c r="P2941" s="257"/>
    </row>
    <row r="2942" spans="1:16" ht="14.25">
      <c r="A2942" s="253"/>
      <c r="B2942" s="253"/>
      <c r="C2942" s="254"/>
      <c r="D2942" s="254"/>
      <c r="E2942" s="254"/>
      <c r="F2942" s="253"/>
      <c r="G2942" s="255"/>
      <c r="H2942" s="254"/>
      <c r="I2942" s="253"/>
      <c r="J2942" s="254"/>
      <c r="K2942" s="253"/>
      <c r="L2942" s="253"/>
      <c r="M2942" s="253"/>
      <c r="N2942" s="253"/>
      <c r="O2942" s="256"/>
      <c r="P2942" s="257"/>
    </row>
    <row r="2943" spans="1:16" ht="14.25">
      <c r="A2943" s="253"/>
      <c r="B2943" s="253"/>
      <c r="C2943" s="254"/>
      <c r="D2943" s="254"/>
      <c r="E2943" s="254"/>
      <c r="F2943" s="253"/>
      <c r="G2943" s="255"/>
      <c r="H2943" s="254"/>
      <c r="I2943" s="253"/>
      <c r="J2943" s="254"/>
      <c r="K2943" s="253"/>
      <c r="L2943" s="253"/>
      <c r="M2943" s="253"/>
      <c r="N2943" s="253"/>
      <c r="O2943" s="256"/>
      <c r="P2943" s="257"/>
    </row>
    <row r="2944" spans="1:16" ht="14.25">
      <c r="A2944" s="253"/>
      <c r="B2944" s="253"/>
      <c r="C2944" s="254"/>
      <c r="D2944" s="254"/>
      <c r="E2944" s="254"/>
      <c r="F2944" s="253"/>
      <c r="G2944" s="255"/>
      <c r="H2944" s="254"/>
      <c r="I2944" s="253"/>
      <c r="J2944" s="254"/>
      <c r="K2944" s="253"/>
      <c r="L2944" s="253"/>
      <c r="M2944" s="253"/>
      <c r="N2944" s="253"/>
      <c r="O2944" s="256"/>
      <c r="P2944" s="257"/>
    </row>
    <row r="2945" spans="1:16" ht="14.25">
      <c r="A2945" s="253"/>
      <c r="B2945" s="253"/>
      <c r="C2945" s="254"/>
      <c r="D2945" s="254"/>
      <c r="E2945" s="254"/>
      <c r="F2945" s="253"/>
      <c r="G2945" s="255"/>
      <c r="H2945" s="254"/>
      <c r="I2945" s="253"/>
      <c r="J2945" s="254"/>
      <c r="K2945" s="253"/>
      <c r="L2945" s="253"/>
      <c r="M2945" s="253"/>
      <c r="N2945" s="253"/>
      <c r="O2945" s="256"/>
      <c r="P2945" s="257"/>
    </row>
    <row r="2946" spans="1:16" ht="14.25">
      <c r="A2946" s="253"/>
      <c r="B2946" s="253"/>
      <c r="C2946" s="254"/>
      <c r="D2946" s="254"/>
      <c r="E2946" s="254"/>
      <c r="F2946" s="253"/>
      <c r="G2946" s="255"/>
      <c r="H2946" s="254"/>
      <c r="I2946" s="253"/>
      <c r="J2946" s="254"/>
      <c r="K2946" s="253"/>
      <c r="L2946" s="253"/>
      <c r="M2946" s="253"/>
      <c r="N2946" s="253"/>
      <c r="O2946" s="256"/>
      <c r="P2946" s="257"/>
    </row>
    <row r="2947" spans="1:16" ht="14.25">
      <c r="A2947" s="253"/>
      <c r="B2947" s="253"/>
      <c r="C2947" s="254"/>
      <c r="D2947" s="254"/>
      <c r="E2947" s="254"/>
      <c r="F2947" s="253"/>
      <c r="G2947" s="255"/>
      <c r="H2947" s="254"/>
      <c r="I2947" s="253"/>
      <c r="J2947" s="254"/>
      <c r="K2947" s="253"/>
      <c r="L2947" s="253"/>
      <c r="M2947" s="253"/>
      <c r="N2947" s="253"/>
      <c r="O2947" s="256"/>
      <c r="P2947" s="257"/>
    </row>
    <row r="2948" spans="1:16" ht="14.25">
      <c r="A2948" s="253"/>
      <c r="B2948" s="253"/>
      <c r="C2948" s="254"/>
      <c r="D2948" s="254"/>
      <c r="E2948" s="254"/>
      <c r="F2948" s="253"/>
      <c r="G2948" s="255"/>
      <c r="H2948" s="254"/>
      <c r="I2948" s="253"/>
      <c r="J2948" s="254"/>
      <c r="K2948" s="253"/>
      <c r="L2948" s="253"/>
      <c r="M2948" s="253"/>
      <c r="N2948" s="253"/>
      <c r="O2948" s="256"/>
      <c r="P2948" s="257"/>
    </row>
    <row r="2949" spans="1:16" ht="14.25">
      <c r="A2949" s="253"/>
      <c r="B2949" s="253"/>
      <c r="C2949" s="254"/>
      <c r="D2949" s="254"/>
      <c r="E2949" s="254"/>
      <c r="F2949" s="253"/>
      <c r="G2949" s="255"/>
      <c r="H2949" s="254"/>
      <c r="I2949" s="253"/>
      <c r="J2949" s="254"/>
      <c r="K2949" s="253"/>
      <c r="L2949" s="253"/>
      <c r="M2949" s="253"/>
      <c r="N2949" s="253"/>
      <c r="O2949" s="256"/>
      <c r="P2949" s="257"/>
    </row>
    <row r="2950" spans="1:16" ht="14.25">
      <c r="A2950" s="253"/>
      <c r="B2950" s="253"/>
      <c r="C2950" s="254"/>
      <c r="D2950" s="254"/>
      <c r="E2950" s="254"/>
      <c r="F2950" s="253"/>
      <c r="G2950" s="255"/>
      <c r="H2950" s="254"/>
      <c r="I2950" s="253"/>
      <c r="J2950" s="254"/>
      <c r="K2950" s="253"/>
      <c r="L2950" s="253"/>
      <c r="M2950" s="253"/>
      <c r="N2950" s="253"/>
      <c r="O2950" s="256"/>
      <c r="P2950" s="257"/>
    </row>
    <row r="2951" spans="1:16" ht="14.25">
      <c r="A2951" s="253"/>
      <c r="B2951" s="253"/>
      <c r="C2951" s="254"/>
      <c r="D2951" s="254"/>
      <c r="E2951" s="254"/>
      <c r="F2951" s="253"/>
      <c r="G2951" s="255"/>
      <c r="H2951" s="254"/>
      <c r="I2951" s="253"/>
      <c r="J2951" s="254"/>
      <c r="K2951" s="253"/>
      <c r="L2951" s="253"/>
      <c r="M2951" s="253"/>
      <c r="N2951" s="253"/>
      <c r="O2951" s="256"/>
      <c r="P2951" s="257"/>
    </row>
    <row r="2952" spans="1:16" ht="14.25">
      <c r="A2952" s="253"/>
      <c r="B2952" s="253"/>
      <c r="C2952" s="254"/>
      <c r="D2952" s="254"/>
      <c r="E2952" s="254"/>
      <c r="F2952" s="253"/>
      <c r="G2952" s="255"/>
      <c r="H2952" s="254"/>
      <c r="I2952" s="253"/>
      <c r="J2952" s="254"/>
      <c r="K2952" s="253"/>
      <c r="L2952" s="253"/>
      <c r="M2952" s="253"/>
      <c r="N2952" s="253"/>
      <c r="O2952" s="256"/>
      <c r="P2952" s="257"/>
    </row>
    <row r="2953" spans="1:16" ht="14.25">
      <c r="A2953" s="253"/>
      <c r="B2953" s="253"/>
      <c r="C2953" s="254"/>
      <c r="D2953" s="254"/>
      <c r="E2953" s="254"/>
      <c r="F2953" s="253"/>
      <c r="G2953" s="255"/>
      <c r="H2953" s="254"/>
      <c r="I2953" s="253"/>
      <c r="J2953" s="254"/>
      <c r="K2953" s="253"/>
      <c r="L2953" s="253"/>
      <c r="M2953" s="253"/>
      <c r="N2953" s="253"/>
      <c r="O2953" s="256"/>
      <c r="P2953" s="257"/>
    </row>
    <row r="2954" spans="1:16" ht="14.25">
      <c r="A2954" s="253"/>
      <c r="B2954" s="253"/>
      <c r="C2954" s="254"/>
      <c r="D2954" s="254"/>
      <c r="E2954" s="254"/>
      <c r="F2954" s="253"/>
      <c r="G2954" s="255"/>
      <c r="H2954" s="254"/>
      <c r="I2954" s="253"/>
      <c r="J2954" s="254"/>
      <c r="K2954" s="253"/>
      <c r="L2954" s="253"/>
      <c r="M2954" s="253"/>
      <c r="N2954" s="253"/>
      <c r="O2954" s="256"/>
      <c r="P2954" s="257"/>
    </row>
    <row r="2955" spans="1:16" ht="14.25">
      <c r="A2955" s="253"/>
      <c r="B2955" s="253"/>
      <c r="C2955" s="254"/>
      <c r="D2955" s="254"/>
      <c r="E2955" s="254"/>
      <c r="F2955" s="253"/>
      <c r="G2955" s="255"/>
      <c r="H2955" s="254"/>
      <c r="I2955" s="253"/>
      <c r="J2955" s="254"/>
      <c r="K2955" s="253"/>
      <c r="L2955" s="253"/>
      <c r="M2955" s="253"/>
      <c r="N2955" s="253"/>
      <c r="O2955" s="256"/>
      <c r="P2955" s="257"/>
    </row>
    <row r="2956" spans="1:16" ht="14.25">
      <c r="A2956" s="253"/>
      <c r="B2956" s="253"/>
      <c r="C2956" s="254"/>
      <c r="D2956" s="254"/>
      <c r="E2956" s="254"/>
      <c r="F2956" s="253"/>
      <c r="G2956" s="255"/>
      <c r="H2956" s="254"/>
      <c r="I2956" s="253"/>
      <c r="J2956" s="254"/>
      <c r="K2956" s="253"/>
      <c r="L2956" s="253"/>
      <c r="M2956" s="253"/>
      <c r="N2956" s="253"/>
      <c r="O2956" s="256"/>
      <c r="P2956" s="257"/>
    </row>
    <row r="2957" spans="1:16" ht="14.25">
      <c r="A2957" s="253"/>
      <c r="B2957" s="253"/>
      <c r="C2957" s="254"/>
      <c r="D2957" s="254"/>
      <c r="E2957" s="254"/>
      <c r="F2957" s="253"/>
      <c r="G2957" s="255"/>
      <c r="H2957" s="254"/>
      <c r="I2957" s="253"/>
      <c r="J2957" s="254"/>
      <c r="K2957" s="253"/>
      <c r="L2957" s="253"/>
      <c r="M2957" s="253"/>
      <c r="N2957" s="253"/>
      <c r="O2957" s="256"/>
      <c r="P2957" s="257"/>
    </row>
    <row r="2958" spans="1:16" ht="14.25">
      <c r="A2958" s="253"/>
      <c r="B2958" s="253"/>
      <c r="C2958" s="254"/>
      <c r="D2958" s="254"/>
      <c r="E2958" s="254"/>
      <c r="F2958" s="253"/>
      <c r="G2958" s="255"/>
      <c r="H2958" s="254"/>
      <c r="I2958" s="253"/>
      <c r="J2958" s="254"/>
      <c r="K2958" s="253"/>
      <c r="L2958" s="253"/>
      <c r="M2958" s="253"/>
      <c r="N2958" s="253"/>
      <c r="O2958" s="256"/>
      <c r="P2958" s="257"/>
    </row>
    <row r="2959" spans="1:16" ht="14.25">
      <c r="A2959" s="253"/>
      <c r="B2959" s="253"/>
      <c r="C2959" s="254"/>
      <c r="D2959" s="254"/>
      <c r="E2959" s="254"/>
      <c r="F2959" s="253"/>
      <c r="G2959" s="255"/>
      <c r="H2959" s="254"/>
      <c r="I2959" s="253"/>
      <c r="J2959" s="254"/>
      <c r="K2959" s="253"/>
      <c r="L2959" s="253"/>
      <c r="M2959" s="253"/>
      <c r="N2959" s="253"/>
      <c r="O2959" s="256"/>
      <c r="P2959" s="257"/>
    </row>
    <row r="2960" spans="1:16" ht="14.25">
      <c r="A2960" s="253"/>
      <c r="B2960" s="253"/>
      <c r="C2960" s="254"/>
      <c r="D2960" s="254"/>
      <c r="E2960" s="254"/>
      <c r="F2960" s="253"/>
      <c r="G2960" s="255"/>
      <c r="H2960" s="254"/>
      <c r="I2960" s="253"/>
      <c r="J2960" s="254"/>
      <c r="K2960" s="253"/>
      <c r="L2960" s="253"/>
      <c r="M2960" s="253"/>
      <c r="N2960" s="253"/>
      <c r="O2960" s="256"/>
      <c r="P2960" s="257"/>
    </row>
    <row r="2961" spans="1:16" ht="14.25">
      <c r="A2961" s="253"/>
      <c r="B2961" s="253"/>
      <c r="C2961" s="254"/>
      <c r="D2961" s="254"/>
      <c r="E2961" s="254"/>
      <c r="F2961" s="253"/>
      <c r="G2961" s="255"/>
      <c r="H2961" s="254"/>
      <c r="I2961" s="253"/>
      <c r="J2961" s="254"/>
      <c r="K2961" s="253"/>
      <c r="L2961" s="253"/>
      <c r="M2961" s="253"/>
      <c r="N2961" s="253"/>
      <c r="O2961" s="256"/>
      <c r="P2961" s="257"/>
    </row>
    <row r="2962" spans="1:16" ht="14.25">
      <c r="A2962" s="253"/>
      <c r="B2962" s="253"/>
      <c r="C2962" s="254"/>
      <c r="D2962" s="254"/>
      <c r="E2962" s="254"/>
      <c r="F2962" s="253"/>
      <c r="G2962" s="255"/>
      <c r="H2962" s="254"/>
      <c r="I2962" s="253"/>
      <c r="J2962" s="254"/>
      <c r="K2962" s="253"/>
      <c r="L2962" s="253"/>
      <c r="M2962" s="253"/>
      <c r="N2962" s="253"/>
      <c r="O2962" s="256"/>
      <c r="P2962" s="257"/>
    </row>
    <row r="2963" spans="1:16" ht="14.25">
      <c r="A2963" s="253"/>
      <c r="B2963" s="253"/>
      <c r="C2963" s="254"/>
      <c r="D2963" s="254"/>
      <c r="E2963" s="254"/>
      <c r="F2963" s="253"/>
      <c r="G2963" s="255"/>
      <c r="H2963" s="254"/>
      <c r="I2963" s="253"/>
      <c r="J2963" s="254"/>
      <c r="K2963" s="253"/>
      <c r="L2963" s="253"/>
      <c r="M2963" s="253"/>
      <c r="N2963" s="253"/>
      <c r="O2963" s="256"/>
      <c r="P2963" s="257"/>
    </row>
    <row r="2964" spans="1:16" ht="14.25">
      <c r="A2964" s="253"/>
      <c r="B2964" s="253"/>
      <c r="C2964" s="254"/>
      <c r="D2964" s="254"/>
      <c r="E2964" s="254"/>
      <c r="F2964" s="253"/>
      <c r="G2964" s="255"/>
      <c r="H2964" s="254"/>
      <c r="I2964" s="253"/>
      <c r="J2964" s="254"/>
      <c r="K2964" s="253"/>
      <c r="L2964" s="253"/>
      <c r="M2964" s="253"/>
      <c r="N2964" s="253"/>
      <c r="O2964" s="256"/>
      <c r="P2964" s="257"/>
    </row>
    <row r="2965" spans="1:16" ht="14.25">
      <c r="A2965" s="253"/>
      <c r="B2965" s="253"/>
      <c r="C2965" s="254"/>
      <c r="D2965" s="254"/>
      <c r="E2965" s="254"/>
      <c r="F2965" s="253"/>
      <c r="G2965" s="255"/>
      <c r="H2965" s="254"/>
      <c r="I2965" s="253"/>
      <c r="J2965" s="254"/>
      <c r="K2965" s="253"/>
      <c r="L2965" s="253"/>
      <c r="M2965" s="253"/>
      <c r="N2965" s="253"/>
      <c r="O2965" s="256"/>
      <c r="P2965" s="257"/>
    </row>
    <row r="2966" spans="1:16" ht="14.25">
      <c r="A2966" s="253"/>
      <c r="B2966" s="253"/>
      <c r="C2966" s="254"/>
      <c r="D2966" s="254"/>
      <c r="E2966" s="254"/>
      <c r="F2966" s="253"/>
      <c r="G2966" s="255"/>
      <c r="H2966" s="254"/>
      <c r="I2966" s="253"/>
      <c r="J2966" s="254"/>
      <c r="K2966" s="253"/>
      <c r="L2966" s="253"/>
      <c r="M2966" s="253"/>
      <c r="N2966" s="253"/>
      <c r="O2966" s="256"/>
      <c r="P2966" s="257"/>
    </row>
    <row r="2967" spans="1:16" ht="14.25">
      <c r="A2967" s="253"/>
      <c r="B2967" s="253"/>
      <c r="C2967" s="254"/>
      <c r="D2967" s="254"/>
      <c r="E2967" s="254"/>
      <c r="F2967" s="253"/>
      <c r="G2967" s="255"/>
      <c r="H2967" s="254"/>
      <c r="I2967" s="253"/>
      <c r="J2967" s="254"/>
      <c r="K2967" s="253"/>
      <c r="L2967" s="253"/>
      <c r="M2967" s="253"/>
      <c r="N2967" s="253"/>
      <c r="O2967" s="256"/>
      <c r="P2967" s="257"/>
    </row>
    <row r="2968" spans="1:16" ht="14.25">
      <c r="A2968" s="253"/>
      <c r="B2968" s="253"/>
      <c r="C2968" s="254"/>
      <c r="D2968" s="254"/>
      <c r="E2968" s="254"/>
      <c r="F2968" s="253"/>
      <c r="G2968" s="255"/>
      <c r="H2968" s="254"/>
      <c r="I2968" s="253"/>
      <c r="J2968" s="254"/>
      <c r="K2968" s="253"/>
      <c r="L2968" s="253"/>
      <c r="M2968" s="253"/>
      <c r="N2968" s="253"/>
      <c r="O2968" s="256"/>
      <c r="P2968" s="257"/>
    </row>
    <row r="2969" spans="1:16" ht="14.25">
      <c r="A2969" s="253"/>
      <c r="B2969" s="253"/>
      <c r="C2969" s="254"/>
      <c r="D2969" s="254"/>
      <c r="E2969" s="254"/>
      <c r="F2969" s="253"/>
      <c r="G2969" s="255"/>
      <c r="H2969" s="254"/>
      <c r="I2969" s="253"/>
      <c r="J2969" s="254"/>
      <c r="K2969" s="253"/>
      <c r="L2969" s="253"/>
      <c r="M2969" s="253"/>
      <c r="N2969" s="253"/>
      <c r="O2969" s="256"/>
      <c r="P2969" s="257"/>
    </row>
    <row r="2970" spans="1:16" ht="14.25">
      <c r="A2970" s="253"/>
      <c r="B2970" s="253"/>
      <c r="C2970" s="254"/>
      <c r="D2970" s="254"/>
      <c r="E2970" s="254"/>
      <c r="F2970" s="253"/>
      <c r="G2970" s="255"/>
      <c r="H2970" s="254"/>
      <c r="I2970" s="253"/>
      <c r="J2970" s="254"/>
      <c r="K2970" s="253"/>
      <c r="L2970" s="253"/>
      <c r="M2970" s="253"/>
      <c r="N2970" s="253"/>
      <c r="O2970" s="256"/>
      <c r="P2970" s="257"/>
    </row>
    <row r="2971" spans="1:16" ht="14.25">
      <c r="A2971" s="253"/>
      <c r="B2971" s="253"/>
      <c r="C2971" s="254"/>
      <c r="D2971" s="254"/>
      <c r="E2971" s="254"/>
      <c r="F2971" s="253"/>
      <c r="G2971" s="255"/>
      <c r="H2971" s="254"/>
      <c r="I2971" s="253"/>
      <c r="J2971" s="254"/>
      <c r="K2971" s="253"/>
      <c r="L2971" s="253"/>
      <c r="M2971" s="253"/>
      <c r="N2971" s="253"/>
      <c r="O2971" s="256"/>
      <c r="P2971" s="257"/>
    </row>
    <row r="2972" spans="1:16" ht="14.25">
      <c r="A2972" s="253"/>
      <c r="B2972" s="253"/>
      <c r="C2972" s="254"/>
      <c r="D2972" s="254"/>
      <c r="E2972" s="254"/>
      <c r="F2972" s="253"/>
      <c r="G2972" s="255"/>
      <c r="H2972" s="254"/>
      <c r="I2972" s="253"/>
      <c r="J2972" s="254"/>
      <c r="K2972" s="253"/>
      <c r="L2972" s="253"/>
      <c r="M2972" s="253"/>
      <c r="N2972" s="253"/>
      <c r="O2972" s="256"/>
      <c r="P2972" s="257"/>
    </row>
    <row r="2973" spans="1:16" ht="14.25">
      <c r="A2973" s="253"/>
      <c r="B2973" s="253"/>
      <c r="C2973" s="254"/>
      <c r="D2973" s="254"/>
      <c r="E2973" s="254"/>
      <c r="F2973" s="253"/>
      <c r="G2973" s="255"/>
      <c r="H2973" s="254"/>
      <c r="I2973" s="253"/>
      <c r="J2973" s="254"/>
      <c r="K2973" s="253"/>
      <c r="L2973" s="253"/>
      <c r="M2973" s="253"/>
      <c r="N2973" s="253"/>
      <c r="O2973" s="256"/>
      <c r="P2973" s="257"/>
    </row>
    <row r="2974" spans="1:16" ht="14.25">
      <c r="A2974" s="253"/>
      <c r="B2974" s="253"/>
      <c r="C2974" s="254"/>
      <c r="D2974" s="254"/>
      <c r="E2974" s="254"/>
      <c r="F2974" s="253"/>
      <c r="G2974" s="255"/>
      <c r="H2974" s="254"/>
      <c r="I2974" s="253"/>
      <c r="J2974" s="254"/>
      <c r="K2974" s="253"/>
      <c r="L2974" s="253"/>
      <c r="M2974" s="253"/>
      <c r="N2974" s="253"/>
      <c r="O2974" s="256"/>
      <c r="P2974" s="257"/>
    </row>
    <row r="2975" spans="1:16" ht="14.25">
      <c r="A2975" s="253"/>
      <c r="B2975" s="253"/>
      <c r="C2975" s="254"/>
      <c r="D2975" s="254"/>
      <c r="E2975" s="254"/>
      <c r="F2975" s="253"/>
      <c r="G2975" s="255"/>
      <c r="H2975" s="254"/>
      <c r="I2975" s="253"/>
      <c r="J2975" s="254"/>
      <c r="K2975" s="253"/>
      <c r="L2975" s="253"/>
      <c r="M2975" s="253"/>
      <c r="N2975" s="253"/>
      <c r="O2975" s="256"/>
      <c r="P2975" s="257"/>
    </row>
    <row r="2976" spans="1:16" ht="14.25">
      <c r="A2976" s="253"/>
      <c r="B2976" s="253"/>
      <c r="C2976" s="254"/>
      <c r="D2976" s="254"/>
      <c r="E2976" s="254"/>
      <c r="F2976" s="253"/>
      <c r="G2976" s="255"/>
      <c r="H2976" s="254"/>
      <c r="I2976" s="253"/>
      <c r="J2976" s="254"/>
      <c r="K2976" s="253"/>
      <c r="L2976" s="253"/>
      <c r="M2976" s="253"/>
      <c r="N2976" s="253"/>
      <c r="O2976" s="256"/>
      <c r="P2976" s="257"/>
    </row>
    <row r="2977" spans="1:16" ht="14.25">
      <c r="A2977" s="253"/>
      <c r="B2977" s="253"/>
      <c r="C2977" s="254"/>
      <c r="D2977" s="254"/>
      <c r="E2977" s="254"/>
      <c r="F2977" s="253"/>
      <c r="G2977" s="255"/>
      <c r="H2977" s="254"/>
      <c r="I2977" s="253"/>
      <c r="J2977" s="254"/>
      <c r="K2977" s="253"/>
      <c r="L2977" s="253"/>
      <c r="M2977" s="253"/>
      <c r="N2977" s="253"/>
      <c r="O2977" s="256"/>
      <c r="P2977" s="257"/>
    </row>
    <row r="2978" spans="1:16" ht="14.25">
      <c r="A2978" s="253"/>
      <c r="B2978" s="253"/>
      <c r="C2978" s="254"/>
      <c r="D2978" s="254"/>
      <c r="E2978" s="254"/>
      <c r="F2978" s="253"/>
      <c r="G2978" s="255"/>
      <c r="H2978" s="254"/>
      <c r="I2978" s="253"/>
      <c r="J2978" s="254"/>
      <c r="K2978" s="253"/>
      <c r="L2978" s="253"/>
      <c r="M2978" s="253"/>
      <c r="N2978" s="253"/>
      <c r="O2978" s="256"/>
      <c r="P2978" s="257"/>
    </row>
    <row r="2979" spans="1:16" ht="14.25">
      <c r="A2979" s="253"/>
      <c r="B2979" s="253"/>
      <c r="C2979" s="254"/>
      <c r="D2979" s="254"/>
      <c r="E2979" s="254"/>
      <c r="F2979" s="253"/>
      <c r="G2979" s="255"/>
      <c r="H2979" s="254"/>
      <c r="I2979" s="253"/>
      <c r="J2979" s="254"/>
      <c r="K2979" s="253"/>
      <c r="L2979" s="253"/>
      <c r="M2979" s="253"/>
      <c r="N2979" s="253"/>
      <c r="O2979" s="256"/>
      <c r="P2979" s="257"/>
    </row>
    <row r="2980" spans="1:16" ht="14.25">
      <c r="A2980" s="253"/>
      <c r="B2980" s="253"/>
      <c r="C2980" s="254"/>
      <c r="D2980" s="254"/>
      <c r="E2980" s="254"/>
      <c r="F2980" s="253"/>
      <c r="G2980" s="255"/>
      <c r="H2980" s="254"/>
      <c r="I2980" s="253"/>
      <c r="J2980" s="254"/>
      <c r="K2980" s="253"/>
      <c r="L2980" s="253"/>
      <c r="M2980" s="253"/>
      <c r="N2980" s="253"/>
      <c r="O2980" s="256"/>
      <c r="P2980" s="257"/>
    </row>
    <row r="2981" spans="1:16" ht="14.25">
      <c r="A2981" s="253"/>
      <c r="B2981" s="253"/>
      <c r="C2981" s="254"/>
      <c r="D2981" s="254"/>
      <c r="E2981" s="254"/>
      <c r="F2981" s="253"/>
      <c r="G2981" s="255"/>
      <c r="H2981" s="254"/>
      <c r="I2981" s="253"/>
      <c r="J2981" s="254"/>
      <c r="K2981" s="253"/>
      <c r="L2981" s="253"/>
      <c r="M2981" s="253"/>
      <c r="N2981" s="253"/>
      <c r="O2981" s="256"/>
      <c r="P2981" s="257"/>
    </row>
    <row r="2982" spans="1:16" ht="14.25">
      <c r="A2982" s="253"/>
      <c r="B2982" s="253"/>
      <c r="C2982" s="254"/>
      <c r="D2982" s="254"/>
      <c r="E2982" s="254"/>
      <c r="F2982" s="253"/>
      <c r="G2982" s="255"/>
      <c r="H2982" s="254"/>
      <c r="I2982" s="253"/>
      <c r="J2982" s="254"/>
      <c r="K2982" s="253"/>
      <c r="L2982" s="253"/>
      <c r="M2982" s="253"/>
      <c r="N2982" s="253"/>
      <c r="O2982" s="256"/>
      <c r="P2982" s="257"/>
    </row>
    <row r="2983" spans="1:16" ht="14.25">
      <c r="A2983" s="253"/>
      <c r="B2983" s="253"/>
      <c r="C2983" s="254"/>
      <c r="D2983" s="254"/>
      <c r="E2983" s="254"/>
      <c r="F2983" s="253"/>
      <c r="G2983" s="255"/>
      <c r="H2983" s="254"/>
      <c r="I2983" s="253"/>
      <c r="J2983" s="254"/>
      <c r="K2983" s="253"/>
      <c r="L2983" s="253"/>
      <c r="M2983" s="253"/>
      <c r="N2983" s="253"/>
      <c r="O2983" s="256"/>
      <c r="P2983" s="257"/>
    </row>
    <row r="2984" spans="1:16" ht="14.25">
      <c r="A2984" s="253"/>
      <c r="B2984" s="253"/>
      <c r="C2984" s="254"/>
      <c r="D2984" s="254"/>
      <c r="E2984" s="254"/>
      <c r="F2984" s="253"/>
      <c r="G2984" s="255"/>
      <c r="H2984" s="254"/>
      <c r="I2984" s="253"/>
      <c r="J2984" s="254"/>
      <c r="K2984" s="253"/>
      <c r="L2984" s="253"/>
      <c r="M2984" s="253"/>
      <c r="N2984" s="253"/>
      <c r="O2984" s="256"/>
      <c r="P2984" s="257"/>
    </row>
    <row r="2985" spans="1:16" ht="14.25">
      <c r="A2985" s="253"/>
      <c r="B2985" s="253"/>
      <c r="C2985" s="254"/>
      <c r="D2985" s="254"/>
      <c r="E2985" s="254"/>
      <c r="F2985" s="253"/>
      <c r="G2985" s="255"/>
      <c r="H2985" s="254"/>
      <c r="I2985" s="253"/>
      <c r="J2985" s="254"/>
      <c r="K2985" s="253"/>
      <c r="L2985" s="253"/>
      <c r="M2985" s="253"/>
      <c r="N2985" s="253"/>
      <c r="O2985" s="256"/>
      <c r="P2985" s="257"/>
    </row>
    <row r="2986" spans="1:16" ht="14.25">
      <c r="A2986" s="253"/>
      <c r="B2986" s="253"/>
      <c r="C2986" s="254"/>
      <c r="D2986" s="254"/>
      <c r="E2986" s="254"/>
      <c r="F2986" s="253"/>
      <c r="G2986" s="255"/>
      <c r="H2986" s="254"/>
      <c r="I2986" s="253"/>
      <c r="J2986" s="254"/>
      <c r="K2986" s="253"/>
      <c r="L2986" s="253"/>
      <c r="M2986" s="253"/>
      <c r="N2986" s="253"/>
      <c r="O2986" s="256"/>
      <c r="P2986" s="257"/>
    </row>
    <row r="2987" spans="1:16" ht="14.25">
      <c r="A2987" s="253"/>
      <c r="B2987" s="253"/>
      <c r="C2987" s="254"/>
      <c r="D2987" s="254"/>
      <c r="E2987" s="254"/>
      <c r="F2987" s="253"/>
      <c r="G2987" s="255"/>
      <c r="H2987" s="254"/>
      <c r="I2987" s="253"/>
      <c r="J2987" s="254"/>
      <c r="K2987" s="253"/>
      <c r="L2987" s="253"/>
      <c r="M2987" s="253"/>
      <c r="N2987" s="253"/>
      <c r="O2987" s="256"/>
      <c r="P2987" s="257"/>
    </row>
    <row r="2988" spans="1:16" ht="14.25">
      <c r="A2988" s="253"/>
      <c r="B2988" s="253"/>
      <c r="C2988" s="254"/>
      <c r="D2988" s="254"/>
      <c r="E2988" s="254"/>
      <c r="F2988" s="253"/>
      <c r="G2988" s="255"/>
      <c r="H2988" s="254"/>
      <c r="I2988" s="253"/>
      <c r="J2988" s="254"/>
      <c r="K2988" s="253"/>
      <c r="L2988" s="253"/>
      <c r="M2988" s="253"/>
      <c r="N2988" s="253"/>
      <c r="O2988" s="256"/>
      <c r="P2988" s="257"/>
    </row>
    <row r="2989" spans="1:16" ht="14.25">
      <c r="A2989" s="253"/>
      <c r="B2989" s="253"/>
      <c r="C2989" s="254"/>
      <c r="D2989" s="254"/>
      <c r="E2989" s="254"/>
      <c r="F2989" s="253"/>
      <c r="G2989" s="255"/>
      <c r="H2989" s="254"/>
      <c r="I2989" s="253"/>
      <c r="J2989" s="254"/>
      <c r="K2989" s="253"/>
      <c r="L2989" s="253"/>
      <c r="M2989" s="253"/>
      <c r="N2989" s="253"/>
      <c r="O2989" s="256"/>
      <c r="P2989" s="257"/>
    </row>
    <row r="2990" spans="1:16" ht="14.25">
      <c r="A2990" s="253"/>
      <c r="B2990" s="253"/>
      <c r="C2990" s="254"/>
      <c r="D2990" s="254"/>
      <c r="E2990" s="254"/>
      <c r="F2990" s="253"/>
      <c r="G2990" s="255"/>
      <c r="H2990" s="254"/>
      <c r="I2990" s="253"/>
      <c r="J2990" s="254"/>
      <c r="K2990" s="253"/>
      <c r="L2990" s="253"/>
      <c r="M2990" s="253"/>
      <c r="N2990" s="253"/>
      <c r="O2990" s="256"/>
      <c r="P2990" s="257"/>
    </row>
    <row r="2991" spans="1:16" ht="14.25">
      <c r="A2991" s="253"/>
      <c r="B2991" s="253"/>
      <c r="C2991" s="254"/>
      <c r="D2991" s="254"/>
      <c r="E2991" s="254"/>
      <c r="F2991" s="253"/>
      <c r="G2991" s="255"/>
      <c r="H2991" s="254"/>
      <c r="I2991" s="253"/>
      <c r="J2991" s="254"/>
      <c r="K2991" s="253"/>
      <c r="L2991" s="253"/>
      <c r="M2991" s="253"/>
      <c r="N2991" s="253"/>
      <c r="O2991" s="256"/>
      <c r="P2991" s="257"/>
    </row>
    <row r="2992" spans="1:16" ht="14.25">
      <c r="A2992" s="253"/>
      <c r="B2992" s="253"/>
      <c r="C2992" s="254"/>
      <c r="D2992" s="254"/>
      <c r="E2992" s="254"/>
      <c r="F2992" s="253"/>
      <c r="G2992" s="255"/>
      <c r="H2992" s="254"/>
      <c r="I2992" s="253"/>
      <c r="J2992" s="254"/>
      <c r="K2992" s="253"/>
      <c r="L2992" s="253"/>
      <c r="M2992" s="253"/>
      <c r="N2992" s="253"/>
      <c r="O2992" s="256"/>
      <c r="P2992" s="257"/>
    </row>
    <row r="2993" spans="1:16" ht="14.25">
      <c r="A2993" s="253"/>
      <c r="B2993" s="253"/>
      <c r="C2993" s="254"/>
      <c r="D2993" s="254"/>
      <c r="E2993" s="254"/>
      <c r="F2993" s="253"/>
      <c r="G2993" s="255"/>
      <c r="H2993" s="254"/>
      <c r="I2993" s="253"/>
      <c r="J2993" s="254"/>
      <c r="K2993" s="253"/>
      <c r="L2993" s="253"/>
      <c r="M2993" s="253"/>
      <c r="N2993" s="253"/>
      <c r="O2993" s="256"/>
      <c r="P2993" s="257"/>
    </row>
    <row r="2994" spans="1:16" ht="14.25">
      <c r="A2994" s="253"/>
      <c r="B2994" s="253"/>
      <c r="C2994" s="254"/>
      <c r="D2994" s="254"/>
      <c r="E2994" s="254"/>
      <c r="F2994" s="253"/>
      <c r="G2994" s="255"/>
      <c r="H2994" s="254"/>
      <c r="I2994" s="253"/>
      <c r="J2994" s="254"/>
      <c r="K2994" s="253"/>
      <c r="L2994" s="253"/>
      <c r="M2994" s="253"/>
      <c r="N2994" s="253"/>
      <c r="O2994" s="256"/>
      <c r="P2994" s="257"/>
    </row>
    <row r="2995" spans="1:16" ht="14.25">
      <c r="A2995" s="253"/>
      <c r="B2995" s="253"/>
      <c r="C2995" s="254"/>
      <c r="D2995" s="254"/>
      <c r="E2995" s="254"/>
      <c r="F2995" s="253"/>
      <c r="G2995" s="255"/>
      <c r="H2995" s="254"/>
      <c r="I2995" s="253"/>
      <c r="J2995" s="254"/>
      <c r="K2995" s="253"/>
      <c r="L2995" s="253"/>
      <c r="M2995" s="253"/>
      <c r="N2995" s="253"/>
      <c r="O2995" s="256"/>
      <c r="P2995" s="257"/>
    </row>
    <row r="2996" spans="1:16" ht="14.25">
      <c r="A2996" s="253"/>
      <c r="B2996" s="253"/>
      <c r="C2996" s="254"/>
      <c r="D2996" s="254"/>
      <c r="E2996" s="254"/>
      <c r="F2996" s="253"/>
      <c r="G2996" s="255"/>
      <c r="H2996" s="254"/>
      <c r="I2996" s="253"/>
      <c r="J2996" s="254"/>
      <c r="K2996" s="253"/>
      <c r="L2996" s="253"/>
      <c r="M2996" s="253"/>
      <c r="N2996" s="253"/>
      <c r="O2996" s="256"/>
      <c r="P2996" s="257"/>
    </row>
    <row r="2997" spans="1:16" ht="14.25">
      <c r="A2997" s="253"/>
      <c r="B2997" s="253"/>
      <c r="C2997" s="254"/>
      <c r="D2997" s="254"/>
      <c r="E2997" s="254"/>
      <c r="F2997" s="253"/>
      <c r="G2997" s="255"/>
      <c r="H2997" s="254"/>
      <c r="I2997" s="253"/>
      <c r="J2997" s="254"/>
      <c r="K2997" s="253"/>
      <c r="L2997" s="253"/>
      <c r="M2997" s="253"/>
      <c r="N2997" s="253"/>
      <c r="O2997" s="256"/>
      <c r="P2997" s="257"/>
    </row>
    <row r="2998" spans="1:16" ht="14.25">
      <c r="A2998" s="253"/>
      <c r="B2998" s="253"/>
      <c r="C2998" s="254"/>
      <c r="D2998" s="254"/>
      <c r="E2998" s="254"/>
      <c r="F2998" s="253"/>
      <c r="G2998" s="255"/>
      <c r="H2998" s="254"/>
      <c r="I2998" s="253"/>
      <c r="J2998" s="254"/>
      <c r="K2998" s="253"/>
      <c r="L2998" s="253"/>
      <c r="M2998" s="253"/>
      <c r="N2998" s="253"/>
      <c r="O2998" s="256"/>
      <c r="P2998" s="257"/>
    </row>
    <row r="2999" spans="1:16" ht="14.25">
      <c r="A2999" s="253"/>
      <c r="B2999" s="253"/>
      <c r="C2999" s="254"/>
      <c r="D2999" s="254"/>
      <c r="E2999" s="254"/>
      <c r="F2999" s="253"/>
      <c r="G2999" s="255"/>
      <c r="H2999" s="254"/>
      <c r="I2999" s="253"/>
      <c r="J2999" s="254"/>
      <c r="K2999" s="253"/>
      <c r="L2999" s="253"/>
      <c r="M2999" s="253"/>
      <c r="N2999" s="253"/>
      <c r="O2999" s="256"/>
      <c r="P2999" s="257"/>
    </row>
    <row r="3000" spans="1:16" ht="14.25">
      <c r="A3000" s="253"/>
      <c r="B3000" s="253"/>
      <c r="C3000" s="254"/>
      <c r="D3000" s="254"/>
      <c r="E3000" s="254"/>
      <c r="F3000" s="253"/>
      <c r="G3000" s="255"/>
      <c r="H3000" s="254"/>
      <c r="I3000" s="253"/>
      <c r="J3000" s="254"/>
      <c r="K3000" s="253"/>
      <c r="L3000" s="253"/>
      <c r="M3000" s="253"/>
      <c r="N3000" s="253"/>
      <c r="O3000" s="256"/>
      <c r="P3000" s="257"/>
    </row>
    <row r="3001" spans="1:16" ht="14.25">
      <c r="A3001" s="253"/>
      <c r="B3001" s="253"/>
      <c r="C3001" s="254"/>
      <c r="D3001" s="254"/>
      <c r="E3001" s="254"/>
      <c r="F3001" s="253"/>
      <c r="G3001" s="255"/>
      <c r="H3001" s="254"/>
      <c r="I3001" s="253"/>
      <c r="J3001" s="254"/>
      <c r="K3001" s="253"/>
      <c r="L3001" s="253"/>
      <c r="M3001" s="253"/>
      <c r="N3001" s="253"/>
      <c r="O3001" s="256"/>
      <c r="P3001" s="257"/>
    </row>
    <row r="3002" spans="1:16" ht="14.25">
      <c r="A3002" s="253"/>
      <c r="B3002" s="253"/>
      <c r="C3002" s="254"/>
      <c r="D3002" s="254"/>
      <c r="E3002" s="254"/>
      <c r="F3002" s="253"/>
      <c r="G3002" s="255"/>
      <c r="H3002" s="254"/>
      <c r="I3002" s="253"/>
      <c r="J3002" s="254"/>
      <c r="K3002" s="253"/>
      <c r="L3002" s="253"/>
      <c r="M3002" s="253"/>
      <c r="N3002" s="253"/>
      <c r="O3002" s="256"/>
      <c r="P3002" s="257"/>
    </row>
    <row r="3003" spans="1:16" ht="14.25">
      <c r="A3003" s="253"/>
      <c r="B3003" s="253"/>
      <c r="C3003" s="254"/>
      <c r="D3003" s="254"/>
      <c r="E3003" s="254"/>
      <c r="F3003" s="253"/>
      <c r="G3003" s="255"/>
      <c r="H3003" s="254"/>
      <c r="I3003" s="253"/>
      <c r="J3003" s="254"/>
      <c r="K3003" s="253"/>
      <c r="L3003" s="253"/>
      <c r="M3003" s="253"/>
      <c r="N3003" s="253"/>
      <c r="O3003" s="256"/>
      <c r="P3003" s="257"/>
    </row>
    <row r="3004" spans="1:16" ht="14.25">
      <c r="A3004" s="253"/>
      <c r="B3004" s="253"/>
      <c r="C3004" s="254"/>
      <c r="D3004" s="254"/>
      <c r="E3004" s="254"/>
      <c r="F3004" s="253"/>
      <c r="G3004" s="255"/>
      <c r="H3004" s="254"/>
      <c r="I3004" s="253"/>
      <c r="J3004" s="254"/>
      <c r="K3004" s="253"/>
      <c r="L3004" s="253"/>
      <c r="M3004" s="253"/>
      <c r="N3004" s="253"/>
      <c r="O3004" s="256"/>
      <c r="P3004" s="257"/>
    </row>
    <row r="3005" spans="1:16" ht="14.25">
      <c r="A3005" s="253"/>
      <c r="B3005" s="253"/>
      <c r="C3005" s="254"/>
      <c r="D3005" s="254"/>
      <c r="E3005" s="254"/>
      <c r="F3005" s="253"/>
      <c r="G3005" s="255"/>
      <c r="H3005" s="254"/>
      <c r="I3005" s="253"/>
      <c r="J3005" s="254"/>
      <c r="K3005" s="253"/>
      <c r="L3005" s="253"/>
      <c r="M3005" s="253"/>
      <c r="N3005" s="253"/>
      <c r="O3005" s="256"/>
      <c r="P3005" s="257"/>
    </row>
    <row r="3006" spans="1:16" ht="14.25">
      <c r="A3006" s="253"/>
      <c r="B3006" s="253"/>
      <c r="C3006" s="254"/>
      <c r="D3006" s="254"/>
      <c r="E3006" s="254"/>
      <c r="F3006" s="253"/>
      <c r="G3006" s="255"/>
      <c r="H3006" s="254"/>
      <c r="I3006" s="253"/>
      <c r="J3006" s="254"/>
      <c r="K3006" s="253"/>
      <c r="L3006" s="253"/>
      <c r="M3006" s="253"/>
      <c r="N3006" s="253"/>
      <c r="O3006" s="256"/>
      <c r="P3006" s="257"/>
    </row>
    <row r="3007" spans="1:16" ht="14.25">
      <c r="A3007" s="253"/>
      <c r="B3007" s="253"/>
      <c r="C3007" s="254"/>
      <c r="D3007" s="254"/>
      <c r="E3007" s="254"/>
      <c r="F3007" s="253"/>
      <c r="G3007" s="255"/>
      <c r="H3007" s="254"/>
      <c r="I3007" s="253"/>
      <c r="J3007" s="254"/>
      <c r="K3007" s="253"/>
      <c r="L3007" s="253"/>
      <c r="M3007" s="253"/>
      <c r="N3007" s="253"/>
      <c r="O3007" s="256"/>
      <c r="P3007" s="257"/>
    </row>
    <row r="3008" spans="1:16" ht="14.25">
      <c r="A3008" s="253"/>
      <c r="B3008" s="253"/>
      <c r="C3008" s="254"/>
      <c r="D3008" s="254"/>
      <c r="E3008" s="254"/>
      <c r="F3008" s="253"/>
      <c r="G3008" s="255"/>
      <c r="H3008" s="254"/>
      <c r="I3008" s="253"/>
      <c r="J3008" s="254"/>
      <c r="K3008" s="253"/>
      <c r="L3008" s="253"/>
      <c r="M3008" s="253"/>
      <c r="N3008" s="253"/>
      <c r="O3008" s="256"/>
      <c r="P3008" s="257"/>
    </row>
    <row r="3009" spans="1:16" ht="14.25">
      <c r="A3009" s="253"/>
      <c r="B3009" s="253"/>
      <c r="C3009" s="254"/>
      <c r="D3009" s="254"/>
      <c r="E3009" s="254"/>
      <c r="F3009" s="253"/>
      <c r="G3009" s="255"/>
      <c r="H3009" s="254"/>
      <c r="I3009" s="253"/>
      <c r="J3009" s="254"/>
      <c r="K3009" s="253"/>
      <c r="L3009" s="253"/>
      <c r="M3009" s="253"/>
      <c r="N3009" s="253"/>
      <c r="O3009" s="256"/>
      <c r="P3009" s="257"/>
    </row>
    <row r="3010" spans="1:16" ht="14.25">
      <c r="A3010" s="253"/>
      <c r="B3010" s="253"/>
      <c r="C3010" s="254"/>
      <c r="D3010" s="254"/>
      <c r="E3010" s="254"/>
      <c r="F3010" s="253"/>
      <c r="G3010" s="255"/>
      <c r="H3010" s="254"/>
      <c r="I3010" s="253"/>
      <c r="J3010" s="254"/>
      <c r="K3010" s="253"/>
      <c r="L3010" s="253"/>
      <c r="M3010" s="253"/>
      <c r="N3010" s="253"/>
      <c r="O3010" s="256"/>
      <c r="P3010" s="257"/>
    </row>
    <row r="3011" spans="1:16" ht="14.25">
      <c r="A3011" s="253"/>
      <c r="B3011" s="253"/>
      <c r="C3011" s="254"/>
      <c r="D3011" s="254"/>
      <c r="E3011" s="254"/>
      <c r="F3011" s="253"/>
      <c r="G3011" s="255"/>
      <c r="H3011" s="254"/>
      <c r="I3011" s="253"/>
      <c r="J3011" s="254"/>
      <c r="K3011" s="253"/>
      <c r="L3011" s="253"/>
      <c r="M3011" s="253"/>
      <c r="N3011" s="253"/>
      <c r="O3011" s="256"/>
      <c r="P3011" s="257"/>
    </row>
    <row r="3012" spans="1:16" ht="14.25">
      <c r="A3012" s="253"/>
      <c r="B3012" s="253"/>
      <c r="C3012" s="254"/>
      <c r="D3012" s="254"/>
      <c r="E3012" s="254"/>
      <c r="F3012" s="253"/>
      <c r="G3012" s="255"/>
      <c r="H3012" s="254"/>
      <c r="I3012" s="253"/>
      <c r="J3012" s="254"/>
      <c r="K3012" s="253"/>
      <c r="L3012" s="253"/>
      <c r="M3012" s="253"/>
      <c r="N3012" s="253"/>
      <c r="O3012" s="256"/>
      <c r="P3012" s="257"/>
    </row>
    <row r="3013" spans="1:16" ht="14.25">
      <c r="A3013" s="253"/>
      <c r="B3013" s="253"/>
      <c r="C3013" s="254"/>
      <c r="D3013" s="254"/>
      <c r="E3013" s="254"/>
      <c r="F3013" s="253"/>
      <c r="G3013" s="255"/>
      <c r="H3013" s="254"/>
      <c r="I3013" s="253"/>
      <c r="J3013" s="254"/>
      <c r="K3013" s="253"/>
      <c r="L3013" s="253"/>
      <c r="M3013" s="253"/>
      <c r="N3013" s="253"/>
      <c r="O3013" s="256"/>
      <c r="P3013" s="257"/>
    </row>
    <row r="3014" spans="1:16" ht="14.25">
      <c r="A3014" s="253"/>
      <c r="B3014" s="253"/>
      <c r="C3014" s="254"/>
      <c r="D3014" s="254"/>
      <c r="E3014" s="254"/>
      <c r="F3014" s="253"/>
      <c r="G3014" s="255"/>
      <c r="H3014" s="254"/>
      <c r="I3014" s="253"/>
      <c r="J3014" s="254"/>
      <c r="K3014" s="253"/>
      <c r="L3014" s="253"/>
      <c r="M3014" s="253"/>
      <c r="N3014" s="253"/>
      <c r="O3014" s="256"/>
      <c r="P3014" s="257"/>
    </row>
    <row r="3015" spans="1:16" ht="14.25">
      <c r="A3015" s="253"/>
      <c r="B3015" s="253"/>
      <c r="C3015" s="254"/>
      <c r="D3015" s="254"/>
      <c r="E3015" s="254"/>
      <c r="F3015" s="253"/>
      <c r="G3015" s="255"/>
      <c r="H3015" s="254"/>
      <c r="I3015" s="253"/>
      <c r="J3015" s="254"/>
      <c r="K3015" s="253"/>
      <c r="L3015" s="253"/>
      <c r="M3015" s="253"/>
      <c r="N3015" s="253"/>
      <c r="O3015" s="256"/>
      <c r="P3015" s="257"/>
    </row>
    <row r="3016" spans="1:16" ht="14.25">
      <c r="A3016" s="253"/>
      <c r="B3016" s="253"/>
      <c r="C3016" s="254"/>
      <c r="D3016" s="254"/>
      <c r="E3016" s="254"/>
      <c r="F3016" s="253"/>
      <c r="G3016" s="255"/>
      <c r="H3016" s="254"/>
      <c r="I3016" s="253"/>
      <c r="J3016" s="254"/>
      <c r="K3016" s="253"/>
      <c r="L3016" s="253"/>
      <c r="M3016" s="253"/>
      <c r="N3016" s="253"/>
      <c r="O3016" s="256"/>
      <c r="P3016" s="257"/>
    </row>
    <row r="3017" spans="1:16" ht="14.25">
      <c r="A3017" s="253"/>
      <c r="B3017" s="253"/>
      <c r="C3017" s="254"/>
      <c r="D3017" s="254"/>
      <c r="E3017" s="254"/>
      <c r="F3017" s="253"/>
      <c r="G3017" s="255"/>
      <c r="H3017" s="254"/>
      <c r="I3017" s="253"/>
      <c r="J3017" s="254"/>
      <c r="K3017" s="253"/>
      <c r="L3017" s="253"/>
      <c r="M3017" s="253"/>
      <c r="N3017" s="253"/>
      <c r="O3017" s="256"/>
      <c r="P3017" s="257"/>
    </row>
    <row r="3018" spans="1:16" ht="14.25">
      <c r="A3018" s="253"/>
      <c r="B3018" s="253"/>
      <c r="C3018" s="254"/>
      <c r="D3018" s="254"/>
      <c r="E3018" s="254"/>
      <c r="F3018" s="253"/>
      <c r="G3018" s="255"/>
      <c r="H3018" s="254"/>
      <c r="I3018" s="253"/>
      <c r="J3018" s="254"/>
      <c r="K3018" s="253"/>
      <c r="L3018" s="253"/>
      <c r="M3018" s="253"/>
      <c r="N3018" s="253"/>
      <c r="O3018" s="256"/>
      <c r="P3018" s="257"/>
    </row>
    <row r="3019" spans="1:16" ht="14.25">
      <c r="A3019" s="253"/>
      <c r="B3019" s="253"/>
      <c r="C3019" s="254"/>
      <c r="D3019" s="254"/>
      <c r="E3019" s="254"/>
      <c r="F3019" s="253"/>
      <c r="G3019" s="255"/>
      <c r="H3019" s="254"/>
      <c r="I3019" s="253"/>
      <c r="J3019" s="254"/>
      <c r="K3019" s="253"/>
      <c r="L3019" s="253"/>
      <c r="M3019" s="253"/>
      <c r="N3019" s="253"/>
      <c r="O3019" s="256"/>
      <c r="P3019" s="257"/>
    </row>
    <row r="3020" spans="1:16" ht="14.25">
      <c r="A3020" s="253"/>
      <c r="B3020" s="253"/>
      <c r="C3020" s="254"/>
      <c r="D3020" s="254"/>
      <c r="E3020" s="254"/>
      <c r="F3020" s="253"/>
      <c r="G3020" s="255"/>
      <c r="H3020" s="254"/>
      <c r="I3020" s="253"/>
      <c r="J3020" s="254"/>
      <c r="K3020" s="253"/>
      <c r="L3020" s="253"/>
      <c r="M3020" s="253"/>
      <c r="N3020" s="253"/>
      <c r="O3020" s="256"/>
      <c r="P3020" s="257"/>
    </row>
    <row r="3021" spans="1:16" ht="14.25">
      <c r="A3021" s="253"/>
      <c r="B3021" s="253"/>
      <c r="C3021" s="254"/>
      <c r="D3021" s="254"/>
      <c r="E3021" s="254"/>
      <c r="F3021" s="253"/>
      <c r="G3021" s="255"/>
      <c r="H3021" s="254"/>
      <c r="I3021" s="253"/>
      <c r="J3021" s="254"/>
      <c r="K3021" s="253"/>
      <c r="L3021" s="253"/>
      <c r="M3021" s="253"/>
      <c r="N3021" s="253"/>
      <c r="O3021" s="256"/>
      <c r="P3021" s="257"/>
    </row>
    <row r="3022" spans="1:16" ht="14.25">
      <c r="A3022" s="253"/>
      <c r="B3022" s="253"/>
      <c r="C3022" s="254"/>
      <c r="D3022" s="254"/>
      <c r="E3022" s="254"/>
      <c r="F3022" s="253"/>
      <c r="G3022" s="255"/>
      <c r="H3022" s="254"/>
      <c r="I3022" s="253"/>
      <c r="J3022" s="254"/>
      <c r="K3022" s="253"/>
      <c r="L3022" s="253"/>
      <c r="M3022" s="253"/>
      <c r="N3022" s="253"/>
      <c r="O3022" s="256"/>
      <c r="P3022" s="257"/>
    </row>
    <row r="3023" spans="1:16" ht="14.25">
      <c r="A3023" s="253"/>
      <c r="B3023" s="253"/>
      <c r="C3023" s="254"/>
      <c r="D3023" s="254"/>
      <c r="E3023" s="254"/>
      <c r="F3023" s="253"/>
      <c r="G3023" s="255"/>
      <c r="H3023" s="254"/>
      <c r="I3023" s="253"/>
      <c r="J3023" s="254"/>
      <c r="K3023" s="253"/>
      <c r="L3023" s="253"/>
      <c r="M3023" s="253"/>
      <c r="N3023" s="253"/>
      <c r="O3023" s="256"/>
      <c r="P3023" s="257"/>
    </row>
    <row r="3024" spans="1:16" ht="14.25">
      <c r="A3024" s="253"/>
      <c r="B3024" s="253"/>
      <c r="C3024" s="254"/>
      <c r="D3024" s="254"/>
      <c r="E3024" s="254"/>
      <c r="F3024" s="253"/>
      <c r="G3024" s="255"/>
      <c r="H3024" s="254"/>
      <c r="I3024" s="253"/>
      <c r="J3024" s="254"/>
      <c r="K3024" s="253"/>
      <c r="L3024" s="253"/>
      <c r="M3024" s="253"/>
      <c r="N3024" s="253"/>
      <c r="O3024" s="256"/>
      <c r="P3024" s="257"/>
    </row>
    <row r="3025" spans="1:16" ht="14.25">
      <c r="A3025" s="253"/>
      <c r="B3025" s="253"/>
      <c r="C3025" s="254"/>
      <c r="D3025" s="254"/>
      <c r="E3025" s="254"/>
      <c r="F3025" s="253"/>
      <c r="G3025" s="255"/>
      <c r="H3025" s="254"/>
      <c r="I3025" s="253"/>
      <c r="J3025" s="254"/>
      <c r="K3025" s="253"/>
      <c r="L3025" s="253"/>
      <c r="M3025" s="253"/>
      <c r="N3025" s="253"/>
      <c r="O3025" s="256"/>
      <c r="P3025" s="257"/>
    </row>
    <row r="3026" spans="1:16" ht="14.25">
      <c r="A3026" s="253"/>
      <c r="B3026" s="253"/>
      <c r="C3026" s="254"/>
      <c r="D3026" s="254"/>
      <c r="E3026" s="254"/>
      <c r="F3026" s="253"/>
      <c r="G3026" s="255"/>
      <c r="H3026" s="254"/>
      <c r="I3026" s="253"/>
      <c r="J3026" s="254"/>
      <c r="K3026" s="253"/>
      <c r="L3026" s="253"/>
      <c r="M3026" s="253"/>
      <c r="N3026" s="253"/>
      <c r="O3026" s="256"/>
      <c r="P3026" s="257"/>
    </row>
    <row r="3027" spans="1:16" ht="14.25">
      <c r="A3027" s="253"/>
      <c r="B3027" s="253"/>
      <c r="C3027" s="254"/>
      <c r="D3027" s="254"/>
      <c r="E3027" s="254"/>
      <c r="F3027" s="253"/>
      <c r="G3027" s="255"/>
      <c r="H3027" s="254"/>
      <c r="I3027" s="253"/>
      <c r="J3027" s="254"/>
      <c r="K3027" s="253"/>
      <c r="L3027" s="253"/>
      <c r="M3027" s="253"/>
      <c r="N3027" s="253"/>
      <c r="O3027" s="256"/>
      <c r="P3027" s="257"/>
    </row>
    <row r="3028" spans="1:16" ht="14.25">
      <c r="A3028" s="253"/>
      <c r="B3028" s="253"/>
      <c r="C3028" s="254"/>
      <c r="D3028" s="254"/>
      <c r="E3028" s="254"/>
      <c r="F3028" s="253"/>
      <c r="G3028" s="255"/>
      <c r="H3028" s="254"/>
      <c r="I3028" s="253"/>
      <c r="J3028" s="254"/>
      <c r="K3028" s="253"/>
      <c r="L3028" s="253"/>
      <c r="M3028" s="253"/>
      <c r="N3028" s="253"/>
      <c r="O3028" s="256"/>
      <c r="P3028" s="257"/>
    </row>
    <row r="3029" spans="1:16" ht="14.25">
      <c r="A3029" s="253"/>
      <c r="B3029" s="253"/>
      <c r="C3029" s="254"/>
      <c r="D3029" s="254"/>
      <c r="E3029" s="254"/>
      <c r="F3029" s="253"/>
      <c r="G3029" s="255"/>
      <c r="H3029" s="254"/>
      <c r="I3029" s="253"/>
      <c r="J3029" s="254"/>
      <c r="K3029" s="253"/>
      <c r="L3029" s="253"/>
      <c r="M3029" s="253"/>
      <c r="N3029" s="253"/>
      <c r="O3029" s="256"/>
      <c r="P3029" s="257"/>
    </row>
    <row r="3030" spans="1:16" ht="14.25">
      <c r="A3030" s="253"/>
      <c r="B3030" s="253"/>
      <c r="C3030" s="254"/>
      <c r="D3030" s="254"/>
      <c r="E3030" s="254"/>
      <c r="F3030" s="253"/>
      <c r="G3030" s="255"/>
      <c r="H3030" s="254"/>
      <c r="I3030" s="253"/>
      <c r="J3030" s="254"/>
      <c r="K3030" s="253"/>
      <c r="L3030" s="253"/>
      <c r="M3030" s="253"/>
      <c r="N3030" s="253"/>
      <c r="O3030" s="256"/>
      <c r="P3030" s="257"/>
    </row>
    <row r="3031" spans="1:16" ht="14.25">
      <c r="A3031" s="253"/>
      <c r="B3031" s="253"/>
      <c r="C3031" s="254"/>
      <c r="D3031" s="254"/>
      <c r="E3031" s="254"/>
      <c r="F3031" s="253"/>
      <c r="G3031" s="255"/>
      <c r="H3031" s="254"/>
      <c r="I3031" s="253"/>
      <c r="J3031" s="254"/>
      <c r="K3031" s="253"/>
      <c r="L3031" s="253"/>
      <c r="M3031" s="253"/>
      <c r="N3031" s="253"/>
      <c r="O3031" s="256"/>
      <c r="P3031" s="257"/>
    </row>
    <row r="3032" spans="1:16" ht="14.25">
      <c r="A3032" s="253"/>
      <c r="B3032" s="253"/>
      <c r="C3032" s="254"/>
      <c r="D3032" s="254"/>
      <c r="E3032" s="254"/>
      <c r="F3032" s="253"/>
      <c r="G3032" s="255"/>
      <c r="H3032" s="254"/>
      <c r="I3032" s="253"/>
      <c r="J3032" s="254"/>
      <c r="K3032" s="253"/>
      <c r="L3032" s="253"/>
      <c r="M3032" s="253"/>
      <c r="N3032" s="253"/>
      <c r="O3032" s="256"/>
      <c r="P3032" s="257"/>
    </row>
    <row r="3033" spans="1:16" ht="14.25">
      <c r="A3033" s="253"/>
      <c r="B3033" s="253"/>
      <c r="C3033" s="254"/>
      <c r="D3033" s="254"/>
      <c r="E3033" s="254"/>
      <c r="F3033" s="253"/>
      <c r="G3033" s="255"/>
      <c r="H3033" s="254"/>
      <c r="I3033" s="253"/>
      <c r="J3033" s="254"/>
      <c r="K3033" s="253"/>
      <c r="L3033" s="253"/>
      <c r="M3033" s="253"/>
      <c r="N3033" s="253"/>
      <c r="O3033" s="256"/>
      <c r="P3033" s="257"/>
    </row>
    <row r="3034" spans="1:16" ht="14.25">
      <c r="A3034" s="253"/>
      <c r="B3034" s="253"/>
      <c r="C3034" s="254"/>
      <c r="D3034" s="254"/>
      <c r="E3034" s="254"/>
      <c r="F3034" s="253"/>
      <c r="G3034" s="255"/>
      <c r="H3034" s="254"/>
      <c r="I3034" s="253"/>
      <c r="J3034" s="254"/>
      <c r="K3034" s="253"/>
      <c r="L3034" s="253"/>
      <c r="M3034" s="253"/>
      <c r="N3034" s="253"/>
      <c r="O3034" s="256"/>
      <c r="P3034" s="257"/>
    </row>
    <row r="3035" spans="1:16" ht="14.25">
      <c r="A3035" s="253"/>
      <c r="B3035" s="253"/>
      <c r="C3035" s="254"/>
      <c r="D3035" s="254"/>
      <c r="E3035" s="254"/>
      <c r="F3035" s="253"/>
      <c r="G3035" s="255"/>
      <c r="H3035" s="254"/>
      <c r="I3035" s="253"/>
      <c r="J3035" s="254"/>
      <c r="K3035" s="253"/>
      <c r="L3035" s="253"/>
      <c r="M3035" s="253"/>
      <c r="N3035" s="253"/>
      <c r="O3035" s="256"/>
      <c r="P3035" s="257"/>
    </row>
    <row r="3036" spans="1:16" ht="14.25">
      <c r="A3036" s="253"/>
      <c r="B3036" s="253"/>
      <c r="C3036" s="254"/>
      <c r="D3036" s="254"/>
      <c r="E3036" s="254"/>
      <c r="F3036" s="253"/>
      <c r="G3036" s="255"/>
      <c r="H3036" s="254"/>
      <c r="I3036" s="253"/>
      <c r="J3036" s="254"/>
      <c r="K3036" s="253"/>
      <c r="L3036" s="253"/>
      <c r="M3036" s="253"/>
      <c r="N3036" s="253"/>
      <c r="O3036" s="256"/>
      <c r="P3036" s="257"/>
    </row>
    <row r="3037" spans="1:16" ht="14.25">
      <c r="A3037" s="253"/>
      <c r="B3037" s="253"/>
      <c r="C3037" s="254"/>
      <c r="D3037" s="254"/>
      <c r="E3037" s="254"/>
      <c r="F3037" s="253"/>
      <c r="G3037" s="255"/>
      <c r="H3037" s="254"/>
      <c r="I3037" s="253"/>
      <c r="J3037" s="254"/>
      <c r="K3037" s="253"/>
      <c r="L3037" s="253"/>
      <c r="M3037" s="253"/>
      <c r="N3037" s="253"/>
      <c r="O3037" s="256"/>
      <c r="P3037" s="257"/>
    </row>
    <row r="3038" spans="1:16" ht="14.25">
      <c r="A3038" s="253"/>
      <c r="B3038" s="253"/>
      <c r="C3038" s="254"/>
      <c r="D3038" s="254"/>
      <c r="E3038" s="254"/>
      <c r="F3038" s="253"/>
      <c r="G3038" s="255"/>
      <c r="H3038" s="254"/>
      <c r="I3038" s="253"/>
      <c r="J3038" s="254"/>
      <c r="K3038" s="253"/>
      <c r="L3038" s="253"/>
      <c r="M3038" s="253"/>
      <c r="N3038" s="253"/>
      <c r="O3038" s="256"/>
      <c r="P3038" s="257"/>
    </row>
    <row r="3039" spans="1:16" ht="14.25">
      <c r="A3039" s="253"/>
      <c r="B3039" s="253"/>
      <c r="C3039" s="254"/>
      <c r="D3039" s="254"/>
      <c r="E3039" s="254"/>
      <c r="F3039" s="253"/>
      <c r="G3039" s="255"/>
      <c r="H3039" s="254"/>
      <c r="I3039" s="253"/>
      <c r="J3039" s="254"/>
      <c r="K3039" s="253"/>
      <c r="L3039" s="253"/>
      <c r="M3039" s="253"/>
      <c r="N3039" s="253"/>
      <c r="O3039" s="256"/>
      <c r="P3039" s="257"/>
    </row>
    <row r="3040" spans="1:16" ht="14.25">
      <c r="A3040" s="253"/>
      <c r="B3040" s="253"/>
      <c r="C3040" s="254"/>
      <c r="D3040" s="254"/>
      <c r="E3040" s="254"/>
      <c r="F3040" s="253"/>
      <c r="G3040" s="255"/>
      <c r="H3040" s="254"/>
      <c r="I3040" s="253"/>
      <c r="J3040" s="254"/>
      <c r="K3040" s="253"/>
      <c r="L3040" s="253"/>
      <c r="M3040" s="253"/>
      <c r="N3040" s="253"/>
      <c r="O3040" s="256"/>
      <c r="P3040" s="257"/>
    </row>
    <row r="3041" spans="1:16" ht="14.25">
      <c r="A3041" s="253"/>
      <c r="B3041" s="253"/>
      <c r="C3041" s="254"/>
      <c r="D3041" s="254"/>
      <c r="E3041" s="254"/>
      <c r="F3041" s="253"/>
      <c r="G3041" s="255"/>
      <c r="H3041" s="254"/>
      <c r="I3041" s="253"/>
      <c r="J3041" s="254"/>
      <c r="K3041" s="253"/>
      <c r="L3041" s="253"/>
      <c r="M3041" s="253"/>
      <c r="N3041" s="253"/>
      <c r="O3041" s="256"/>
      <c r="P3041" s="257"/>
    </row>
    <row r="3042" spans="1:16" ht="14.25">
      <c r="A3042" s="253"/>
      <c r="B3042" s="253"/>
      <c r="C3042" s="254"/>
      <c r="D3042" s="254"/>
      <c r="E3042" s="254"/>
      <c r="F3042" s="253"/>
      <c r="G3042" s="255"/>
      <c r="H3042" s="254"/>
      <c r="I3042" s="253"/>
      <c r="J3042" s="254"/>
      <c r="K3042" s="253"/>
      <c r="L3042" s="253"/>
      <c r="M3042" s="253"/>
      <c r="N3042" s="253"/>
      <c r="O3042" s="256"/>
      <c r="P3042" s="257"/>
    </row>
    <row r="3043" spans="1:16" ht="14.25">
      <c r="A3043" s="253"/>
      <c r="B3043" s="253"/>
      <c r="C3043" s="254"/>
      <c r="D3043" s="254"/>
      <c r="E3043" s="254"/>
      <c r="F3043" s="253"/>
      <c r="G3043" s="255"/>
      <c r="H3043" s="254"/>
      <c r="I3043" s="253"/>
      <c r="J3043" s="254"/>
      <c r="K3043" s="253"/>
      <c r="L3043" s="253"/>
      <c r="M3043" s="253"/>
      <c r="N3043" s="253"/>
      <c r="O3043" s="256"/>
      <c r="P3043" s="257"/>
    </row>
    <row r="3044" spans="1:16" ht="14.25">
      <c r="A3044" s="253"/>
      <c r="B3044" s="253"/>
      <c r="C3044" s="254"/>
      <c r="D3044" s="254"/>
      <c r="E3044" s="254"/>
      <c r="F3044" s="253"/>
      <c r="G3044" s="255"/>
      <c r="H3044" s="254"/>
      <c r="I3044" s="253"/>
      <c r="J3044" s="254"/>
      <c r="K3044" s="253"/>
      <c r="L3044" s="253"/>
      <c r="M3044" s="253"/>
      <c r="N3044" s="253"/>
      <c r="O3044" s="256"/>
      <c r="P3044" s="257"/>
    </row>
    <row r="3045" spans="1:16" ht="14.25">
      <c r="A3045" s="253"/>
      <c r="B3045" s="253"/>
      <c r="C3045" s="254"/>
      <c r="D3045" s="254"/>
      <c r="E3045" s="254"/>
      <c r="F3045" s="253"/>
      <c r="G3045" s="255"/>
      <c r="H3045" s="254"/>
      <c r="I3045" s="253"/>
      <c r="J3045" s="254"/>
      <c r="K3045" s="253"/>
      <c r="L3045" s="253"/>
      <c r="M3045" s="253"/>
      <c r="N3045" s="253"/>
      <c r="O3045" s="256"/>
      <c r="P3045" s="257"/>
    </row>
    <row r="3046" spans="1:16" ht="14.25">
      <c r="A3046" s="253"/>
      <c r="B3046" s="253"/>
      <c r="C3046" s="254"/>
      <c r="D3046" s="254"/>
      <c r="E3046" s="254"/>
      <c r="F3046" s="253"/>
      <c r="G3046" s="255"/>
      <c r="H3046" s="254"/>
      <c r="I3046" s="253"/>
      <c r="J3046" s="254"/>
      <c r="K3046" s="253"/>
      <c r="L3046" s="253"/>
      <c r="M3046" s="253"/>
      <c r="N3046" s="253"/>
      <c r="O3046" s="256"/>
      <c r="P3046" s="257"/>
    </row>
    <row r="3047" spans="1:16" ht="14.25">
      <c r="A3047" s="253"/>
      <c r="B3047" s="253"/>
      <c r="C3047" s="254"/>
      <c r="D3047" s="254"/>
      <c r="E3047" s="254"/>
      <c r="F3047" s="253"/>
      <c r="G3047" s="255"/>
      <c r="H3047" s="254"/>
      <c r="I3047" s="253"/>
      <c r="J3047" s="254"/>
      <c r="K3047" s="253"/>
      <c r="L3047" s="253"/>
      <c r="M3047" s="253"/>
      <c r="N3047" s="253"/>
      <c r="O3047" s="256"/>
      <c r="P3047" s="257"/>
    </row>
    <row r="3048" spans="1:16" ht="14.25">
      <c r="A3048" s="253"/>
      <c r="B3048" s="253"/>
      <c r="C3048" s="254"/>
      <c r="D3048" s="254"/>
      <c r="E3048" s="254"/>
      <c r="F3048" s="253"/>
      <c r="G3048" s="255"/>
      <c r="H3048" s="254"/>
      <c r="I3048" s="253"/>
      <c r="J3048" s="254"/>
      <c r="K3048" s="253"/>
      <c r="L3048" s="253"/>
      <c r="M3048" s="253"/>
      <c r="N3048" s="253"/>
      <c r="O3048" s="256"/>
      <c r="P3048" s="257"/>
    </row>
    <row r="3049" spans="1:16" ht="14.25">
      <c r="A3049" s="253"/>
      <c r="B3049" s="253"/>
      <c r="C3049" s="254"/>
      <c r="D3049" s="254"/>
      <c r="E3049" s="254"/>
      <c r="F3049" s="253"/>
      <c r="G3049" s="255"/>
      <c r="H3049" s="254"/>
      <c r="I3049" s="253"/>
      <c r="J3049" s="254"/>
      <c r="K3049" s="253"/>
      <c r="L3049" s="253"/>
      <c r="M3049" s="253"/>
      <c r="N3049" s="253"/>
      <c r="O3049" s="256"/>
      <c r="P3049" s="257"/>
    </row>
    <row r="3050" spans="1:16" ht="14.25">
      <c r="A3050" s="253"/>
      <c r="B3050" s="253"/>
      <c r="C3050" s="254"/>
      <c r="D3050" s="254"/>
      <c r="E3050" s="254"/>
      <c r="F3050" s="253"/>
      <c r="G3050" s="255"/>
      <c r="H3050" s="254"/>
      <c r="I3050" s="253"/>
      <c r="J3050" s="254"/>
      <c r="K3050" s="253"/>
      <c r="L3050" s="253"/>
      <c r="M3050" s="253"/>
      <c r="N3050" s="253"/>
      <c r="O3050" s="256"/>
      <c r="P3050" s="257"/>
    </row>
    <row r="3051" spans="1:16" ht="14.25">
      <c r="A3051" s="253"/>
      <c r="B3051" s="253"/>
      <c r="C3051" s="254"/>
      <c r="D3051" s="254"/>
      <c r="E3051" s="254"/>
      <c r="F3051" s="253"/>
      <c r="G3051" s="255"/>
      <c r="H3051" s="254"/>
      <c r="I3051" s="253"/>
      <c r="J3051" s="254"/>
      <c r="K3051" s="253"/>
      <c r="L3051" s="253"/>
      <c r="M3051" s="253"/>
      <c r="N3051" s="253"/>
      <c r="O3051" s="256"/>
      <c r="P3051" s="257"/>
    </row>
    <row r="3052" spans="1:16" ht="14.25">
      <c r="A3052" s="253"/>
      <c r="B3052" s="253"/>
      <c r="C3052" s="254"/>
      <c r="D3052" s="254"/>
      <c r="E3052" s="254"/>
      <c r="F3052" s="253"/>
      <c r="G3052" s="255"/>
      <c r="H3052" s="254"/>
      <c r="I3052" s="253"/>
      <c r="J3052" s="254"/>
      <c r="K3052" s="253"/>
      <c r="L3052" s="253"/>
      <c r="M3052" s="253"/>
      <c r="N3052" s="253"/>
      <c r="O3052" s="256"/>
      <c r="P3052" s="257"/>
    </row>
    <row r="3053" spans="1:16" ht="14.25">
      <c r="A3053" s="253"/>
      <c r="B3053" s="253"/>
      <c r="C3053" s="254"/>
      <c r="D3053" s="254"/>
      <c r="E3053" s="254"/>
      <c r="F3053" s="253"/>
      <c r="G3053" s="255"/>
      <c r="H3053" s="254"/>
      <c r="I3053" s="253"/>
      <c r="J3053" s="254"/>
      <c r="K3053" s="253"/>
      <c r="L3053" s="253"/>
      <c r="M3053" s="253"/>
      <c r="N3053" s="253"/>
      <c r="O3053" s="256"/>
      <c r="P3053" s="257"/>
    </row>
    <row r="3054" spans="1:16" ht="14.25">
      <c r="A3054" s="253"/>
      <c r="B3054" s="253"/>
      <c r="C3054" s="254"/>
      <c r="D3054" s="254"/>
      <c r="E3054" s="254"/>
      <c r="F3054" s="253"/>
      <c r="G3054" s="255"/>
      <c r="H3054" s="254"/>
      <c r="I3054" s="253"/>
      <c r="J3054" s="254"/>
      <c r="K3054" s="253"/>
      <c r="L3054" s="253"/>
      <c r="M3054" s="253"/>
      <c r="N3054" s="253"/>
      <c r="O3054" s="256"/>
      <c r="P3054" s="257"/>
    </row>
    <row r="3055" spans="1:16" ht="14.25">
      <c r="A3055" s="253"/>
      <c r="B3055" s="253"/>
      <c r="C3055" s="254"/>
      <c r="D3055" s="254"/>
      <c r="E3055" s="254"/>
      <c r="F3055" s="253"/>
      <c r="G3055" s="255"/>
      <c r="H3055" s="254"/>
      <c r="I3055" s="253"/>
      <c r="J3055" s="254"/>
      <c r="K3055" s="253"/>
      <c r="L3055" s="253"/>
      <c r="M3055" s="253"/>
      <c r="N3055" s="253"/>
      <c r="O3055" s="256"/>
      <c r="P3055" s="257"/>
    </row>
    <row r="3056" spans="1:16" ht="14.25">
      <c r="A3056" s="253"/>
      <c r="B3056" s="253"/>
      <c r="C3056" s="254"/>
      <c r="D3056" s="254"/>
      <c r="E3056" s="254"/>
      <c r="F3056" s="253"/>
      <c r="G3056" s="255"/>
      <c r="H3056" s="254"/>
      <c r="I3056" s="253"/>
      <c r="J3056" s="254"/>
      <c r="K3056" s="253"/>
      <c r="L3056" s="253"/>
      <c r="M3056" s="253"/>
      <c r="N3056" s="253"/>
      <c r="O3056" s="256"/>
      <c r="P3056" s="257"/>
    </row>
    <row r="3057" spans="1:16" ht="14.25">
      <c r="A3057" s="253"/>
      <c r="B3057" s="253"/>
      <c r="C3057" s="254"/>
      <c r="D3057" s="254"/>
      <c r="E3057" s="254"/>
      <c r="F3057" s="253"/>
      <c r="G3057" s="255"/>
      <c r="H3057" s="254"/>
      <c r="I3057" s="253"/>
      <c r="J3057" s="254"/>
      <c r="K3057" s="253"/>
      <c r="L3057" s="253"/>
      <c r="M3057" s="253"/>
      <c r="N3057" s="253"/>
      <c r="O3057" s="256"/>
      <c r="P3057" s="257"/>
    </row>
    <row r="3058" spans="1:16" ht="14.25">
      <c r="A3058" s="253"/>
      <c r="B3058" s="253"/>
      <c r="C3058" s="254"/>
      <c r="D3058" s="254"/>
      <c r="E3058" s="254"/>
      <c r="F3058" s="253"/>
      <c r="G3058" s="255"/>
      <c r="H3058" s="254"/>
      <c r="I3058" s="253"/>
      <c r="J3058" s="254"/>
      <c r="K3058" s="253"/>
      <c r="L3058" s="253"/>
      <c r="M3058" s="253"/>
      <c r="N3058" s="253"/>
      <c r="O3058" s="256"/>
      <c r="P3058" s="257"/>
    </row>
    <row r="3059" spans="1:16" ht="14.25">
      <c r="A3059" s="253"/>
      <c r="B3059" s="253"/>
      <c r="C3059" s="254"/>
      <c r="D3059" s="254"/>
      <c r="E3059" s="254"/>
      <c r="F3059" s="253"/>
      <c r="G3059" s="255"/>
      <c r="H3059" s="254"/>
      <c r="I3059" s="253"/>
      <c r="J3059" s="254"/>
      <c r="K3059" s="253"/>
      <c r="L3059" s="253"/>
      <c r="M3059" s="253"/>
      <c r="N3059" s="253"/>
      <c r="O3059" s="256"/>
      <c r="P3059" s="257"/>
    </row>
    <row r="3060" spans="1:16" ht="14.25">
      <c r="A3060" s="253"/>
      <c r="B3060" s="253"/>
      <c r="C3060" s="254"/>
      <c r="D3060" s="254"/>
      <c r="E3060" s="254"/>
      <c r="F3060" s="253"/>
      <c r="G3060" s="255"/>
      <c r="H3060" s="254"/>
      <c r="I3060" s="253"/>
      <c r="J3060" s="254"/>
      <c r="K3060" s="253"/>
      <c r="L3060" s="253"/>
      <c r="M3060" s="253"/>
      <c r="N3060" s="253"/>
      <c r="O3060" s="256"/>
      <c r="P3060" s="257"/>
    </row>
    <row r="3061" spans="1:16" ht="14.25">
      <c r="A3061" s="253"/>
      <c r="B3061" s="253"/>
      <c r="C3061" s="254"/>
      <c r="D3061" s="254"/>
      <c r="E3061" s="254"/>
      <c r="F3061" s="253"/>
      <c r="G3061" s="255"/>
      <c r="H3061" s="254"/>
      <c r="I3061" s="253"/>
      <c r="J3061" s="254"/>
      <c r="K3061" s="253"/>
      <c r="L3061" s="253"/>
      <c r="M3061" s="253"/>
      <c r="N3061" s="253"/>
      <c r="O3061" s="256"/>
      <c r="P3061" s="257"/>
    </row>
    <row r="3062" spans="1:16" ht="14.25">
      <c r="A3062" s="253"/>
      <c r="B3062" s="253"/>
      <c r="C3062" s="254"/>
      <c r="D3062" s="254"/>
      <c r="E3062" s="254"/>
      <c r="F3062" s="253"/>
      <c r="G3062" s="255"/>
      <c r="H3062" s="254"/>
      <c r="I3062" s="253"/>
      <c r="J3062" s="254"/>
      <c r="K3062" s="253"/>
      <c r="L3062" s="253"/>
      <c r="M3062" s="253"/>
      <c r="N3062" s="253"/>
      <c r="O3062" s="256"/>
      <c r="P3062" s="257"/>
    </row>
    <row r="3063" spans="1:16" ht="14.25">
      <c r="A3063" s="253"/>
      <c r="B3063" s="253"/>
      <c r="C3063" s="254"/>
      <c r="D3063" s="254"/>
      <c r="E3063" s="254"/>
      <c r="F3063" s="253"/>
      <c r="G3063" s="255"/>
      <c r="H3063" s="254"/>
      <c r="I3063" s="253"/>
      <c r="J3063" s="254"/>
      <c r="K3063" s="253"/>
      <c r="L3063" s="253"/>
      <c r="M3063" s="253"/>
      <c r="N3063" s="253"/>
      <c r="O3063" s="256"/>
      <c r="P3063" s="257"/>
    </row>
    <row r="3064" spans="1:16" ht="14.25">
      <c r="A3064" s="253"/>
      <c r="B3064" s="253"/>
      <c r="C3064" s="254"/>
      <c r="D3064" s="254"/>
      <c r="E3064" s="254"/>
      <c r="F3064" s="253"/>
      <c r="G3064" s="255"/>
      <c r="H3064" s="254"/>
      <c r="I3064" s="253"/>
      <c r="J3064" s="254"/>
      <c r="K3064" s="253"/>
      <c r="L3064" s="253"/>
      <c r="M3064" s="253"/>
      <c r="N3064" s="253"/>
      <c r="O3064" s="256"/>
      <c r="P3064" s="257"/>
    </row>
    <row r="3065" spans="1:16" ht="14.25">
      <c r="A3065" s="253"/>
      <c r="B3065" s="253"/>
      <c r="C3065" s="254"/>
      <c r="D3065" s="254"/>
      <c r="E3065" s="254"/>
      <c r="F3065" s="253"/>
      <c r="G3065" s="255"/>
      <c r="H3065" s="254"/>
      <c r="I3065" s="253"/>
      <c r="J3065" s="254"/>
      <c r="K3065" s="253"/>
      <c r="L3065" s="253"/>
      <c r="M3065" s="253"/>
      <c r="N3065" s="253"/>
      <c r="O3065" s="256"/>
      <c r="P3065" s="257"/>
    </row>
    <row r="3066" spans="1:16" ht="14.25">
      <c r="A3066" s="253"/>
      <c r="B3066" s="253"/>
      <c r="C3066" s="254"/>
      <c r="D3066" s="254"/>
      <c r="E3066" s="254"/>
      <c r="F3066" s="253"/>
      <c r="G3066" s="255"/>
      <c r="H3066" s="254"/>
      <c r="I3066" s="253"/>
      <c r="J3066" s="254"/>
      <c r="K3066" s="253"/>
      <c r="L3066" s="253"/>
      <c r="M3066" s="253"/>
      <c r="N3066" s="253"/>
      <c r="O3066" s="256"/>
      <c r="P3066" s="257"/>
    </row>
    <row r="3067" spans="1:16" ht="14.25">
      <c r="A3067" s="253"/>
      <c r="B3067" s="253"/>
      <c r="C3067" s="254"/>
      <c r="D3067" s="254"/>
      <c r="E3067" s="254"/>
      <c r="F3067" s="253"/>
      <c r="G3067" s="255"/>
      <c r="H3067" s="254"/>
      <c r="I3067" s="253"/>
      <c r="J3067" s="254"/>
      <c r="K3067" s="253"/>
      <c r="L3067" s="253"/>
      <c r="M3067" s="253"/>
      <c r="N3067" s="253"/>
      <c r="O3067" s="256"/>
      <c r="P3067" s="257"/>
    </row>
    <row r="3068" spans="1:16" ht="14.25">
      <c r="A3068" s="253"/>
      <c r="B3068" s="253"/>
      <c r="C3068" s="254"/>
      <c r="D3068" s="254"/>
      <c r="E3068" s="254"/>
      <c r="F3068" s="253"/>
      <c r="G3068" s="255"/>
      <c r="H3068" s="254"/>
      <c r="I3068" s="253"/>
      <c r="J3068" s="254"/>
      <c r="K3068" s="253"/>
      <c r="L3068" s="253"/>
      <c r="M3068" s="253"/>
      <c r="N3068" s="253"/>
      <c r="O3068" s="256"/>
      <c r="P3068" s="257"/>
    </row>
    <row r="3069" spans="1:16" ht="14.25">
      <c r="A3069" s="253"/>
      <c r="B3069" s="253"/>
      <c r="C3069" s="254"/>
      <c r="D3069" s="254"/>
      <c r="E3069" s="254"/>
      <c r="F3069" s="253"/>
      <c r="G3069" s="255"/>
      <c r="H3069" s="254"/>
      <c r="I3069" s="253"/>
      <c r="J3069" s="254"/>
      <c r="K3069" s="253"/>
      <c r="L3069" s="253"/>
      <c r="M3069" s="253"/>
      <c r="N3069" s="253"/>
      <c r="O3069" s="256"/>
      <c r="P3069" s="257"/>
    </row>
    <row r="3070" spans="1:16" ht="14.25">
      <c r="A3070" s="253"/>
      <c r="B3070" s="253"/>
      <c r="C3070" s="254"/>
      <c r="D3070" s="254"/>
      <c r="E3070" s="254"/>
      <c r="F3070" s="253"/>
      <c r="G3070" s="255"/>
      <c r="H3070" s="254"/>
      <c r="I3070" s="253"/>
      <c r="J3070" s="254"/>
      <c r="K3070" s="253"/>
      <c r="L3070" s="253"/>
      <c r="M3070" s="253"/>
      <c r="N3070" s="253"/>
      <c r="O3070" s="256"/>
      <c r="P3070" s="257"/>
    </row>
    <row r="3071" spans="1:16" ht="14.25">
      <c r="A3071" s="253"/>
      <c r="B3071" s="253"/>
      <c r="C3071" s="254"/>
      <c r="D3071" s="254"/>
      <c r="E3071" s="254"/>
      <c r="F3071" s="253"/>
      <c r="G3071" s="255"/>
      <c r="H3071" s="254"/>
      <c r="I3071" s="253"/>
      <c r="J3071" s="254"/>
      <c r="K3071" s="253"/>
      <c r="L3071" s="253"/>
      <c r="M3071" s="253"/>
      <c r="N3071" s="253"/>
      <c r="O3071" s="256"/>
      <c r="P3071" s="257"/>
    </row>
    <row r="3072" spans="1:16" ht="14.25">
      <c r="A3072" s="253"/>
      <c r="B3072" s="253"/>
      <c r="C3072" s="254"/>
      <c r="D3072" s="254"/>
      <c r="E3072" s="254"/>
      <c r="F3072" s="253"/>
      <c r="G3072" s="255"/>
      <c r="H3072" s="254"/>
      <c r="I3072" s="253"/>
      <c r="J3072" s="254"/>
      <c r="K3072" s="253"/>
      <c r="L3072" s="253"/>
      <c r="M3072" s="253"/>
      <c r="N3072" s="253"/>
      <c r="O3072" s="256"/>
      <c r="P3072" s="257"/>
    </row>
    <row r="3073" spans="1:16" ht="14.25">
      <c r="A3073" s="253"/>
      <c r="B3073" s="253"/>
      <c r="C3073" s="254"/>
      <c r="D3073" s="254"/>
      <c r="E3073" s="254"/>
      <c r="F3073" s="253"/>
      <c r="G3073" s="255"/>
      <c r="H3073" s="254"/>
      <c r="I3073" s="253"/>
      <c r="J3073" s="254"/>
      <c r="K3073" s="253"/>
      <c r="L3073" s="253"/>
      <c r="M3073" s="253"/>
      <c r="N3073" s="253"/>
      <c r="O3073" s="256"/>
      <c r="P3073" s="257"/>
    </row>
    <row r="3074" spans="1:16" ht="14.25">
      <c r="A3074" s="253"/>
      <c r="B3074" s="253"/>
      <c r="C3074" s="254"/>
      <c r="D3074" s="254"/>
      <c r="E3074" s="254"/>
      <c r="F3074" s="253"/>
      <c r="G3074" s="255"/>
      <c r="H3074" s="254"/>
      <c r="I3074" s="253"/>
      <c r="J3074" s="254"/>
      <c r="K3074" s="253"/>
      <c r="L3074" s="253"/>
      <c r="M3074" s="253"/>
      <c r="N3074" s="253"/>
      <c r="O3074" s="256"/>
      <c r="P3074" s="257"/>
    </row>
    <row r="3075" spans="1:16" ht="14.25">
      <c r="A3075" s="253"/>
      <c r="B3075" s="253"/>
      <c r="C3075" s="254"/>
      <c r="D3075" s="254"/>
      <c r="E3075" s="254"/>
      <c r="F3075" s="253"/>
      <c r="G3075" s="255"/>
      <c r="H3075" s="254"/>
      <c r="I3075" s="253"/>
      <c r="J3075" s="254"/>
      <c r="K3075" s="253"/>
      <c r="L3075" s="253"/>
      <c r="M3075" s="253"/>
      <c r="N3075" s="253"/>
      <c r="O3075" s="256"/>
      <c r="P3075" s="257"/>
    </row>
    <row r="3076" spans="1:16" ht="14.25">
      <c r="A3076" s="253"/>
      <c r="B3076" s="253"/>
      <c r="C3076" s="254"/>
      <c r="D3076" s="254"/>
      <c r="E3076" s="254"/>
      <c r="F3076" s="253"/>
      <c r="G3076" s="255"/>
      <c r="H3076" s="254"/>
      <c r="I3076" s="253"/>
      <c r="J3076" s="254"/>
      <c r="K3076" s="253"/>
      <c r="L3076" s="253"/>
      <c r="M3076" s="253"/>
      <c r="N3076" s="253"/>
      <c r="O3076" s="256"/>
      <c r="P3076" s="257"/>
    </row>
    <row r="3077" spans="1:16" ht="14.25">
      <c r="A3077" s="253"/>
      <c r="B3077" s="253"/>
      <c r="C3077" s="254"/>
      <c r="D3077" s="254"/>
      <c r="E3077" s="254"/>
      <c r="F3077" s="253"/>
      <c r="G3077" s="255"/>
      <c r="H3077" s="254"/>
      <c r="I3077" s="253"/>
      <c r="J3077" s="254"/>
      <c r="K3077" s="253"/>
      <c r="L3077" s="253"/>
      <c r="M3077" s="253"/>
      <c r="N3077" s="253"/>
      <c r="O3077" s="256"/>
      <c r="P3077" s="257"/>
    </row>
    <row r="3078" spans="1:16" ht="14.25">
      <c r="A3078" s="253"/>
      <c r="B3078" s="253"/>
      <c r="C3078" s="254"/>
      <c r="D3078" s="254"/>
      <c r="E3078" s="254"/>
      <c r="F3078" s="253"/>
      <c r="G3078" s="255"/>
      <c r="H3078" s="254"/>
      <c r="I3078" s="253"/>
      <c r="J3078" s="254"/>
      <c r="K3078" s="253"/>
      <c r="L3078" s="253"/>
      <c r="M3078" s="253"/>
      <c r="N3078" s="253"/>
      <c r="O3078" s="256"/>
      <c r="P3078" s="257"/>
    </row>
    <row r="3079" spans="1:16" ht="14.25">
      <c r="A3079" s="253"/>
      <c r="B3079" s="253"/>
      <c r="C3079" s="254"/>
      <c r="D3079" s="254"/>
      <c r="E3079" s="254"/>
      <c r="F3079" s="253"/>
      <c r="G3079" s="255"/>
      <c r="H3079" s="254"/>
      <c r="I3079" s="253"/>
      <c r="J3079" s="254"/>
      <c r="K3079" s="253"/>
      <c r="L3079" s="253"/>
      <c r="M3079" s="253"/>
      <c r="N3079" s="253"/>
      <c r="O3079" s="256"/>
      <c r="P3079" s="257"/>
    </row>
    <row r="3080" spans="1:16" ht="14.25">
      <c r="A3080" s="253"/>
      <c r="B3080" s="253"/>
      <c r="C3080" s="254"/>
      <c r="D3080" s="254"/>
      <c r="E3080" s="254"/>
      <c r="F3080" s="253"/>
      <c r="G3080" s="255"/>
      <c r="H3080" s="254"/>
      <c r="I3080" s="253"/>
      <c r="J3080" s="254"/>
      <c r="K3080" s="253"/>
      <c r="L3080" s="253"/>
      <c r="M3080" s="253"/>
      <c r="N3080" s="253"/>
      <c r="O3080" s="256"/>
      <c r="P3080" s="257"/>
    </row>
    <row r="3081" spans="1:16" ht="14.25">
      <c r="A3081" s="253"/>
      <c r="B3081" s="253"/>
      <c r="C3081" s="254"/>
      <c r="D3081" s="254"/>
      <c r="E3081" s="254"/>
      <c r="F3081" s="253"/>
      <c r="G3081" s="255"/>
      <c r="H3081" s="254"/>
      <c r="I3081" s="253"/>
      <c r="J3081" s="254"/>
      <c r="K3081" s="253"/>
      <c r="L3081" s="253"/>
      <c r="M3081" s="253"/>
      <c r="N3081" s="253"/>
      <c r="O3081" s="256"/>
      <c r="P3081" s="257"/>
    </row>
    <row r="3082" spans="1:16" ht="14.25">
      <c r="A3082" s="253"/>
      <c r="B3082" s="253"/>
      <c r="C3082" s="254"/>
      <c r="D3082" s="254"/>
      <c r="E3082" s="254"/>
      <c r="F3082" s="253"/>
      <c r="G3082" s="255"/>
      <c r="H3082" s="254"/>
      <c r="I3082" s="253"/>
      <c r="J3082" s="254"/>
      <c r="K3082" s="253"/>
      <c r="L3082" s="253"/>
      <c r="M3082" s="253"/>
      <c r="N3082" s="253"/>
      <c r="O3082" s="256"/>
      <c r="P3082" s="257"/>
    </row>
    <row r="3083" spans="1:16" ht="14.25">
      <c r="A3083" s="253"/>
      <c r="B3083" s="253"/>
      <c r="C3083" s="254"/>
      <c r="D3083" s="254"/>
      <c r="E3083" s="254"/>
      <c r="F3083" s="253"/>
      <c r="G3083" s="255"/>
      <c r="H3083" s="254"/>
      <c r="I3083" s="253"/>
      <c r="J3083" s="254"/>
      <c r="K3083" s="253"/>
      <c r="L3083" s="253"/>
      <c r="M3083" s="253"/>
      <c r="N3083" s="253"/>
      <c r="O3083" s="256"/>
      <c r="P3083" s="257"/>
    </row>
    <row r="3084" spans="1:16" ht="14.25">
      <c r="A3084" s="253"/>
      <c r="B3084" s="253"/>
      <c r="C3084" s="254"/>
      <c r="D3084" s="254"/>
      <c r="E3084" s="254"/>
      <c r="F3084" s="253"/>
      <c r="G3084" s="255"/>
      <c r="H3084" s="254"/>
      <c r="I3084" s="253"/>
      <c r="J3084" s="254"/>
      <c r="K3084" s="253"/>
      <c r="L3084" s="253"/>
      <c r="M3084" s="253"/>
      <c r="N3084" s="253"/>
      <c r="O3084" s="256"/>
      <c r="P3084" s="257"/>
    </row>
    <row r="3085" spans="1:16" ht="14.25">
      <c r="A3085" s="253"/>
      <c r="B3085" s="253"/>
      <c r="C3085" s="254"/>
      <c r="D3085" s="254"/>
      <c r="E3085" s="254"/>
      <c r="F3085" s="253"/>
      <c r="G3085" s="255"/>
      <c r="H3085" s="254"/>
      <c r="I3085" s="253"/>
      <c r="J3085" s="254"/>
      <c r="K3085" s="253"/>
      <c r="L3085" s="253"/>
      <c r="M3085" s="253"/>
      <c r="N3085" s="253"/>
      <c r="O3085" s="256"/>
      <c r="P3085" s="257"/>
    </row>
    <row r="3086" spans="1:16" ht="14.25">
      <c r="A3086" s="253"/>
      <c r="B3086" s="253"/>
      <c r="C3086" s="254"/>
      <c r="D3086" s="254"/>
      <c r="E3086" s="254"/>
      <c r="F3086" s="253"/>
      <c r="G3086" s="255"/>
      <c r="H3086" s="254"/>
      <c r="I3086" s="253"/>
      <c r="J3086" s="254"/>
      <c r="K3086" s="253"/>
      <c r="L3086" s="253"/>
      <c r="M3086" s="253"/>
      <c r="N3086" s="253"/>
      <c r="O3086" s="256"/>
      <c r="P3086" s="257"/>
    </row>
    <row r="3087" spans="1:16" ht="14.25">
      <c r="A3087" s="253"/>
      <c r="B3087" s="253"/>
      <c r="C3087" s="254"/>
      <c r="D3087" s="254"/>
      <c r="E3087" s="254"/>
      <c r="F3087" s="253"/>
      <c r="G3087" s="255"/>
      <c r="H3087" s="254"/>
      <c r="I3087" s="253"/>
      <c r="J3087" s="254"/>
      <c r="K3087" s="253"/>
      <c r="L3087" s="253"/>
      <c r="M3087" s="253"/>
      <c r="N3087" s="253"/>
      <c r="O3087" s="256"/>
      <c r="P3087" s="257"/>
    </row>
    <row r="3088" spans="1:16" ht="14.25">
      <c r="A3088" s="253"/>
      <c r="B3088" s="253"/>
      <c r="C3088" s="254"/>
      <c r="D3088" s="254"/>
      <c r="E3088" s="254"/>
      <c r="F3088" s="253"/>
      <c r="G3088" s="255"/>
      <c r="H3088" s="254"/>
      <c r="I3088" s="253"/>
      <c r="J3088" s="254"/>
      <c r="K3088" s="253"/>
      <c r="L3088" s="253"/>
      <c r="M3088" s="253"/>
      <c r="N3088" s="253"/>
      <c r="O3088" s="256"/>
      <c r="P3088" s="257"/>
    </row>
    <row r="3089" spans="1:16" ht="14.25">
      <c r="A3089" s="253"/>
      <c r="B3089" s="253"/>
      <c r="C3089" s="254"/>
      <c r="D3089" s="254"/>
      <c r="E3089" s="254"/>
      <c r="F3089" s="253"/>
      <c r="G3089" s="255"/>
      <c r="H3089" s="254"/>
      <c r="I3089" s="253"/>
      <c r="J3089" s="254"/>
      <c r="K3089" s="253"/>
      <c r="L3089" s="253"/>
      <c r="M3089" s="253"/>
      <c r="N3089" s="253"/>
      <c r="O3089" s="256"/>
      <c r="P3089" s="257"/>
    </row>
    <row r="3090" spans="1:16" ht="14.25">
      <c r="A3090" s="253"/>
      <c r="B3090" s="253"/>
      <c r="C3090" s="254"/>
      <c r="D3090" s="254"/>
      <c r="E3090" s="254"/>
      <c r="F3090" s="253"/>
      <c r="G3090" s="255"/>
      <c r="H3090" s="254"/>
      <c r="I3090" s="253"/>
      <c r="J3090" s="254"/>
      <c r="K3090" s="253"/>
      <c r="L3090" s="253"/>
      <c r="M3090" s="253"/>
      <c r="N3090" s="253"/>
      <c r="O3090" s="256"/>
      <c r="P3090" s="257"/>
    </row>
    <row r="3091" spans="1:16" ht="14.25">
      <c r="A3091" s="253"/>
      <c r="B3091" s="253"/>
      <c r="C3091" s="254"/>
      <c r="D3091" s="254"/>
      <c r="E3091" s="254"/>
      <c r="F3091" s="253"/>
      <c r="G3091" s="255"/>
      <c r="H3091" s="254"/>
      <c r="I3091" s="253"/>
      <c r="J3091" s="254"/>
      <c r="K3091" s="253"/>
      <c r="L3091" s="253"/>
      <c r="M3091" s="253"/>
      <c r="N3091" s="253"/>
      <c r="O3091" s="256"/>
      <c r="P3091" s="257"/>
    </row>
    <row r="3092" spans="1:16" ht="14.25">
      <c r="A3092" s="253"/>
      <c r="B3092" s="253"/>
      <c r="C3092" s="254"/>
      <c r="D3092" s="254"/>
      <c r="E3092" s="254"/>
      <c r="F3092" s="253"/>
      <c r="G3092" s="255"/>
      <c r="H3092" s="254"/>
      <c r="I3092" s="253"/>
      <c r="J3092" s="254"/>
      <c r="K3092" s="253"/>
      <c r="L3092" s="253"/>
      <c r="M3092" s="253"/>
      <c r="N3092" s="253"/>
      <c r="O3092" s="256"/>
      <c r="P3092" s="257"/>
    </row>
    <row r="3093" spans="1:16" ht="14.25">
      <c r="A3093" s="253"/>
      <c r="B3093" s="253"/>
      <c r="C3093" s="254"/>
      <c r="D3093" s="254"/>
      <c r="E3093" s="254"/>
      <c r="F3093" s="253"/>
      <c r="G3093" s="255"/>
      <c r="H3093" s="254"/>
      <c r="I3093" s="253"/>
      <c r="J3093" s="254"/>
      <c r="K3093" s="253"/>
      <c r="L3093" s="253"/>
      <c r="M3093" s="253"/>
      <c r="N3093" s="253"/>
      <c r="O3093" s="256"/>
      <c r="P3093" s="257"/>
    </row>
    <row r="3094" spans="1:16" ht="14.25">
      <c r="A3094" s="253"/>
      <c r="B3094" s="253"/>
      <c r="C3094" s="254"/>
      <c r="D3094" s="254"/>
      <c r="E3094" s="254"/>
      <c r="F3094" s="253"/>
      <c r="G3094" s="255"/>
      <c r="H3094" s="254"/>
      <c r="I3094" s="253"/>
      <c r="J3094" s="254"/>
      <c r="K3094" s="253"/>
      <c r="L3094" s="253"/>
      <c r="M3094" s="253"/>
      <c r="N3094" s="253"/>
      <c r="O3094" s="256"/>
      <c r="P3094" s="257"/>
    </row>
    <row r="3095" spans="1:16" ht="14.25">
      <c r="A3095" s="253"/>
      <c r="B3095" s="253"/>
      <c r="C3095" s="254"/>
      <c r="D3095" s="254"/>
      <c r="E3095" s="254"/>
      <c r="F3095" s="253"/>
      <c r="G3095" s="255"/>
      <c r="H3095" s="254"/>
      <c r="I3095" s="253"/>
      <c r="J3095" s="254"/>
      <c r="K3095" s="253"/>
      <c r="L3095" s="253"/>
      <c r="M3095" s="253"/>
      <c r="N3095" s="253"/>
      <c r="O3095" s="256"/>
      <c r="P3095" s="257"/>
    </row>
    <row r="3096" spans="1:16" ht="14.25">
      <c r="A3096" s="253"/>
      <c r="B3096" s="253"/>
      <c r="C3096" s="254"/>
      <c r="D3096" s="254"/>
      <c r="E3096" s="254"/>
      <c r="F3096" s="253"/>
      <c r="G3096" s="255"/>
      <c r="H3096" s="254"/>
      <c r="I3096" s="253"/>
      <c r="J3096" s="254"/>
      <c r="K3096" s="253"/>
      <c r="L3096" s="253"/>
      <c r="M3096" s="253"/>
      <c r="N3096" s="253"/>
      <c r="O3096" s="256"/>
      <c r="P3096" s="257"/>
    </row>
    <row r="3097" spans="1:16" ht="14.25">
      <c r="A3097" s="253"/>
      <c r="B3097" s="253"/>
      <c r="C3097" s="254"/>
      <c r="D3097" s="254"/>
      <c r="E3097" s="254"/>
      <c r="F3097" s="253"/>
      <c r="G3097" s="255"/>
      <c r="H3097" s="254"/>
      <c r="I3097" s="253"/>
      <c r="J3097" s="254"/>
      <c r="K3097" s="253"/>
      <c r="L3097" s="253"/>
      <c r="M3097" s="253"/>
      <c r="N3097" s="253"/>
      <c r="O3097" s="256"/>
      <c r="P3097" s="257"/>
    </row>
    <row r="3098" spans="1:16" ht="14.25">
      <c r="A3098" s="253"/>
      <c r="B3098" s="253"/>
      <c r="C3098" s="254"/>
      <c r="D3098" s="254"/>
      <c r="E3098" s="254"/>
      <c r="F3098" s="253"/>
      <c r="G3098" s="255"/>
      <c r="H3098" s="254"/>
      <c r="I3098" s="253"/>
      <c r="J3098" s="254"/>
      <c r="K3098" s="253"/>
      <c r="L3098" s="253"/>
      <c r="M3098" s="253"/>
      <c r="N3098" s="253"/>
      <c r="O3098" s="256"/>
      <c r="P3098" s="257"/>
    </row>
    <row r="3099" spans="1:16" ht="14.25">
      <c r="A3099" s="253"/>
      <c r="B3099" s="253"/>
      <c r="C3099" s="254"/>
      <c r="D3099" s="254"/>
      <c r="E3099" s="254"/>
      <c r="F3099" s="253"/>
      <c r="G3099" s="255"/>
      <c r="H3099" s="254"/>
      <c r="I3099" s="253"/>
      <c r="J3099" s="254"/>
      <c r="K3099" s="253"/>
      <c r="L3099" s="253"/>
      <c r="M3099" s="253"/>
      <c r="N3099" s="253"/>
      <c r="O3099" s="256"/>
      <c r="P3099" s="257"/>
    </row>
    <row r="3100" spans="1:16" ht="14.25">
      <c r="A3100" s="253"/>
      <c r="B3100" s="253"/>
      <c r="C3100" s="254"/>
      <c r="D3100" s="254"/>
      <c r="E3100" s="254"/>
      <c r="F3100" s="253"/>
      <c r="G3100" s="255"/>
      <c r="H3100" s="254"/>
      <c r="I3100" s="253"/>
      <c r="J3100" s="254"/>
      <c r="K3100" s="253"/>
      <c r="L3100" s="253"/>
      <c r="M3100" s="253"/>
      <c r="N3100" s="253"/>
      <c r="O3100" s="256"/>
      <c r="P3100" s="257"/>
    </row>
    <row r="3101" spans="1:16" ht="14.25">
      <c r="A3101" s="253"/>
      <c r="B3101" s="253"/>
      <c r="C3101" s="254"/>
      <c r="D3101" s="254"/>
      <c r="E3101" s="254"/>
      <c r="F3101" s="253"/>
      <c r="G3101" s="255"/>
      <c r="H3101" s="254"/>
      <c r="I3101" s="253"/>
      <c r="J3101" s="254"/>
      <c r="K3101" s="253"/>
      <c r="L3101" s="253"/>
      <c r="M3101" s="253"/>
      <c r="N3101" s="253"/>
      <c r="O3101" s="256"/>
      <c r="P3101" s="257"/>
    </row>
    <row r="3102" spans="1:16" ht="14.25">
      <c r="A3102" s="253"/>
      <c r="B3102" s="253"/>
      <c r="C3102" s="254"/>
      <c r="D3102" s="254"/>
      <c r="E3102" s="254"/>
      <c r="F3102" s="253"/>
      <c r="G3102" s="255"/>
      <c r="H3102" s="254"/>
      <c r="I3102" s="253"/>
      <c r="J3102" s="254"/>
      <c r="K3102" s="253"/>
      <c r="L3102" s="253"/>
      <c r="M3102" s="253"/>
      <c r="N3102" s="253"/>
      <c r="O3102" s="256"/>
      <c r="P3102" s="257"/>
    </row>
    <row r="3103" spans="1:16" ht="14.25">
      <c r="A3103" s="253"/>
      <c r="B3103" s="253"/>
      <c r="C3103" s="254"/>
      <c r="D3103" s="254"/>
      <c r="E3103" s="254"/>
      <c r="F3103" s="253"/>
      <c r="G3103" s="255"/>
      <c r="H3103" s="254"/>
      <c r="I3103" s="253"/>
      <c r="J3103" s="254"/>
      <c r="K3103" s="253"/>
      <c r="L3103" s="253"/>
      <c r="M3103" s="253"/>
      <c r="N3103" s="253"/>
      <c r="O3103" s="256"/>
      <c r="P3103" s="257"/>
    </row>
    <row r="3104" spans="1:16" ht="14.25">
      <c r="A3104" s="253"/>
      <c r="B3104" s="253"/>
      <c r="C3104" s="254"/>
      <c r="D3104" s="254"/>
      <c r="E3104" s="254"/>
      <c r="F3104" s="253"/>
      <c r="G3104" s="255"/>
      <c r="H3104" s="254"/>
      <c r="I3104" s="253"/>
      <c r="J3104" s="254"/>
      <c r="K3104" s="253"/>
      <c r="L3104" s="253"/>
      <c r="M3104" s="253"/>
      <c r="N3104" s="253"/>
      <c r="O3104" s="256"/>
      <c r="P3104" s="257"/>
    </row>
    <row r="3105" spans="1:16" ht="14.25">
      <c r="A3105" s="253"/>
      <c r="B3105" s="253"/>
      <c r="C3105" s="254"/>
      <c r="D3105" s="254"/>
      <c r="E3105" s="254"/>
      <c r="F3105" s="253"/>
      <c r="G3105" s="255"/>
      <c r="H3105" s="254"/>
      <c r="I3105" s="253"/>
      <c r="J3105" s="254"/>
      <c r="K3105" s="253"/>
      <c r="L3105" s="253"/>
      <c r="M3105" s="253"/>
      <c r="N3105" s="253"/>
      <c r="O3105" s="256"/>
      <c r="P3105" s="257"/>
    </row>
    <row r="3106" spans="1:16" ht="14.25">
      <c r="A3106" s="253"/>
      <c r="B3106" s="253"/>
      <c r="C3106" s="254"/>
      <c r="D3106" s="254"/>
      <c r="E3106" s="254"/>
      <c r="F3106" s="253"/>
      <c r="G3106" s="255"/>
      <c r="H3106" s="254"/>
      <c r="I3106" s="253"/>
      <c r="J3106" s="254"/>
      <c r="K3106" s="253"/>
      <c r="L3106" s="253"/>
      <c r="M3106" s="253"/>
      <c r="N3106" s="253"/>
      <c r="O3106" s="256"/>
      <c r="P3106" s="257"/>
    </row>
    <row r="3107" spans="1:16" ht="14.25">
      <c r="A3107" s="253"/>
      <c r="B3107" s="253"/>
      <c r="C3107" s="254"/>
      <c r="D3107" s="254"/>
      <c r="E3107" s="254"/>
      <c r="F3107" s="253"/>
      <c r="G3107" s="255"/>
      <c r="H3107" s="254"/>
      <c r="I3107" s="253"/>
      <c r="J3107" s="254"/>
      <c r="K3107" s="253"/>
      <c r="L3107" s="253"/>
      <c r="M3107" s="253"/>
      <c r="N3107" s="253"/>
      <c r="O3107" s="256"/>
      <c r="P3107" s="257"/>
    </row>
    <row r="3108" spans="1:16" ht="14.25">
      <c r="A3108" s="253"/>
      <c r="B3108" s="253"/>
      <c r="C3108" s="254"/>
      <c r="D3108" s="254"/>
      <c r="E3108" s="254"/>
      <c r="F3108" s="253"/>
      <c r="G3108" s="255"/>
      <c r="H3108" s="254"/>
      <c r="I3108" s="253"/>
      <c r="J3108" s="254"/>
      <c r="K3108" s="253"/>
      <c r="L3108" s="253"/>
      <c r="M3108" s="253"/>
      <c r="N3108" s="253"/>
      <c r="O3108" s="256"/>
      <c r="P3108" s="257"/>
    </row>
    <row r="3109" spans="1:16" ht="14.25">
      <c r="A3109" s="253"/>
      <c r="B3109" s="253"/>
      <c r="C3109" s="254"/>
      <c r="D3109" s="254"/>
      <c r="E3109" s="254"/>
      <c r="F3109" s="253"/>
      <c r="G3109" s="255"/>
      <c r="H3109" s="254"/>
      <c r="I3109" s="253"/>
      <c r="J3109" s="254"/>
      <c r="K3109" s="253"/>
      <c r="L3109" s="253"/>
      <c r="M3109" s="253"/>
      <c r="N3109" s="253"/>
      <c r="O3109" s="256"/>
      <c r="P3109" s="257"/>
    </row>
    <row r="3110" spans="1:16" ht="14.25">
      <c r="A3110" s="253"/>
      <c r="B3110" s="253"/>
      <c r="C3110" s="254"/>
      <c r="D3110" s="254"/>
      <c r="E3110" s="254"/>
      <c r="F3110" s="253"/>
      <c r="G3110" s="255"/>
      <c r="H3110" s="254"/>
      <c r="I3110" s="253"/>
      <c r="J3110" s="254"/>
      <c r="K3110" s="253"/>
      <c r="L3110" s="253"/>
      <c r="M3110" s="253"/>
      <c r="N3110" s="253"/>
      <c r="O3110" s="256"/>
      <c r="P3110" s="257"/>
    </row>
    <row r="3111" spans="1:16" ht="14.25">
      <c r="A3111" s="253"/>
      <c r="B3111" s="253"/>
      <c r="C3111" s="254"/>
      <c r="D3111" s="254"/>
      <c r="E3111" s="254"/>
      <c r="F3111" s="253"/>
      <c r="G3111" s="255"/>
      <c r="H3111" s="254"/>
      <c r="I3111" s="253"/>
      <c r="J3111" s="254"/>
      <c r="K3111" s="253"/>
      <c r="L3111" s="253"/>
      <c r="M3111" s="253"/>
      <c r="N3111" s="253"/>
      <c r="O3111" s="256"/>
      <c r="P3111" s="257"/>
    </row>
    <row r="3112" spans="1:16" ht="14.25">
      <c r="A3112" s="253"/>
      <c r="B3112" s="253"/>
      <c r="C3112" s="254"/>
      <c r="D3112" s="254"/>
      <c r="E3112" s="254"/>
      <c r="F3112" s="253"/>
      <c r="G3112" s="255"/>
      <c r="H3112" s="254"/>
      <c r="I3112" s="253"/>
      <c r="J3112" s="254"/>
      <c r="K3112" s="253"/>
      <c r="L3112" s="253"/>
      <c r="M3112" s="253"/>
      <c r="N3112" s="253"/>
      <c r="O3112" s="256"/>
      <c r="P3112" s="257"/>
    </row>
    <row r="3113" spans="1:16" ht="14.25">
      <c r="A3113" s="253"/>
      <c r="B3113" s="253"/>
      <c r="C3113" s="254"/>
      <c r="D3113" s="254"/>
      <c r="E3113" s="254"/>
      <c r="F3113" s="253"/>
      <c r="G3113" s="255"/>
      <c r="H3113" s="254"/>
      <c r="I3113" s="253"/>
      <c r="J3113" s="254"/>
      <c r="K3113" s="253"/>
      <c r="L3113" s="253"/>
      <c r="M3113" s="253"/>
      <c r="N3113" s="253"/>
      <c r="O3113" s="256"/>
      <c r="P3113" s="257"/>
    </row>
    <row r="3114" spans="1:16" ht="14.25">
      <c r="A3114" s="253"/>
      <c r="B3114" s="253"/>
      <c r="C3114" s="254"/>
      <c r="D3114" s="254"/>
      <c r="E3114" s="254"/>
      <c r="F3114" s="253"/>
      <c r="G3114" s="255"/>
      <c r="H3114" s="254"/>
      <c r="I3114" s="253"/>
      <c r="J3114" s="254"/>
      <c r="K3114" s="253"/>
      <c r="L3114" s="253"/>
      <c r="M3114" s="253"/>
      <c r="N3114" s="253"/>
      <c r="O3114" s="256"/>
      <c r="P3114" s="257"/>
    </row>
    <row r="3115" spans="1:16" ht="14.25">
      <c r="A3115" s="253"/>
      <c r="B3115" s="253"/>
      <c r="C3115" s="254"/>
      <c r="D3115" s="254"/>
      <c r="E3115" s="254"/>
      <c r="F3115" s="253"/>
      <c r="G3115" s="255"/>
      <c r="H3115" s="254"/>
      <c r="I3115" s="253"/>
      <c r="J3115" s="254"/>
      <c r="K3115" s="253"/>
      <c r="L3115" s="253"/>
      <c r="M3115" s="253"/>
      <c r="N3115" s="253"/>
      <c r="O3115" s="256"/>
      <c r="P3115" s="257"/>
    </row>
    <row r="3116" spans="1:16" ht="14.25">
      <c r="A3116" s="253"/>
      <c r="B3116" s="253"/>
      <c r="C3116" s="254"/>
      <c r="D3116" s="254"/>
      <c r="E3116" s="254"/>
      <c r="F3116" s="253"/>
      <c r="G3116" s="255"/>
      <c r="H3116" s="254"/>
      <c r="I3116" s="253"/>
      <c r="J3116" s="254"/>
      <c r="K3116" s="253"/>
      <c r="L3116" s="253"/>
      <c r="M3116" s="253"/>
      <c r="N3116" s="253"/>
      <c r="O3116" s="256"/>
      <c r="P3116" s="257"/>
    </row>
    <row r="3117" spans="1:16" ht="14.25">
      <c r="A3117" s="253"/>
      <c r="B3117" s="253"/>
      <c r="C3117" s="254"/>
      <c r="D3117" s="254"/>
      <c r="E3117" s="254"/>
      <c r="F3117" s="253"/>
      <c r="G3117" s="255"/>
      <c r="H3117" s="254"/>
      <c r="I3117" s="253"/>
      <c r="J3117" s="254"/>
      <c r="K3117" s="253"/>
      <c r="L3117" s="253"/>
      <c r="M3117" s="253"/>
      <c r="N3117" s="253"/>
      <c r="O3117" s="256"/>
      <c r="P3117" s="257"/>
    </row>
    <row r="3118" spans="1:16" ht="14.25">
      <c r="A3118" s="253"/>
      <c r="B3118" s="253"/>
      <c r="C3118" s="254"/>
      <c r="D3118" s="254"/>
      <c r="E3118" s="254"/>
      <c r="F3118" s="253"/>
      <c r="G3118" s="255"/>
      <c r="H3118" s="254"/>
      <c r="I3118" s="253"/>
      <c r="J3118" s="254"/>
      <c r="K3118" s="253"/>
      <c r="L3118" s="253"/>
      <c r="M3118" s="253"/>
      <c r="N3118" s="253"/>
      <c r="O3118" s="256"/>
      <c r="P3118" s="257"/>
    </row>
    <row r="3119" spans="1:16" ht="14.25">
      <c r="A3119" s="253"/>
      <c r="B3119" s="253"/>
      <c r="C3119" s="254"/>
      <c r="D3119" s="254"/>
      <c r="E3119" s="254"/>
      <c r="F3119" s="253"/>
      <c r="G3119" s="255"/>
      <c r="H3119" s="254"/>
      <c r="I3119" s="253"/>
      <c r="J3119" s="254"/>
      <c r="K3119" s="253"/>
      <c r="L3119" s="253"/>
      <c r="M3119" s="253"/>
      <c r="N3119" s="253"/>
      <c r="O3119" s="256"/>
      <c r="P3119" s="257"/>
    </row>
    <row r="3120" spans="1:16" ht="14.25">
      <c r="A3120" s="253"/>
      <c r="B3120" s="253"/>
      <c r="C3120" s="254"/>
      <c r="D3120" s="254"/>
      <c r="E3120" s="254"/>
      <c r="F3120" s="253"/>
      <c r="G3120" s="255"/>
      <c r="H3120" s="254"/>
      <c r="I3120" s="253"/>
      <c r="J3120" s="254"/>
      <c r="K3120" s="253"/>
      <c r="L3120" s="253"/>
      <c r="M3120" s="253"/>
      <c r="N3120" s="253"/>
      <c r="O3120" s="256"/>
      <c r="P3120" s="257"/>
    </row>
    <row r="3121" spans="1:16" ht="14.25">
      <c r="A3121" s="253"/>
      <c r="B3121" s="253"/>
      <c r="C3121" s="254"/>
      <c r="D3121" s="254"/>
      <c r="E3121" s="254"/>
      <c r="F3121" s="253"/>
      <c r="G3121" s="255"/>
      <c r="H3121" s="254"/>
      <c r="I3121" s="253"/>
      <c r="J3121" s="254"/>
      <c r="K3121" s="253"/>
      <c r="L3121" s="253"/>
      <c r="M3121" s="253"/>
      <c r="N3121" s="253"/>
      <c r="O3121" s="256"/>
      <c r="P3121" s="257"/>
    </row>
    <row r="3122" spans="1:16" ht="14.25">
      <c r="A3122" s="253"/>
      <c r="B3122" s="253"/>
      <c r="C3122" s="254"/>
      <c r="D3122" s="254"/>
      <c r="E3122" s="254"/>
      <c r="F3122" s="253"/>
      <c r="G3122" s="255"/>
      <c r="H3122" s="254"/>
      <c r="I3122" s="253"/>
      <c r="J3122" s="254"/>
      <c r="K3122" s="253"/>
      <c r="L3122" s="253"/>
      <c r="M3122" s="253"/>
      <c r="N3122" s="253"/>
      <c r="O3122" s="256"/>
      <c r="P3122" s="257"/>
    </row>
    <row r="3123" spans="1:16" ht="14.25">
      <c r="A3123" s="253"/>
      <c r="B3123" s="253"/>
      <c r="C3123" s="254"/>
      <c r="D3123" s="254"/>
      <c r="E3123" s="254"/>
      <c r="F3123" s="253"/>
      <c r="G3123" s="255"/>
      <c r="H3123" s="254"/>
      <c r="I3123" s="253"/>
      <c r="J3123" s="254"/>
      <c r="K3123" s="253"/>
      <c r="L3123" s="253"/>
      <c r="M3123" s="253"/>
      <c r="N3123" s="253"/>
      <c r="O3123" s="256"/>
      <c r="P3123" s="257"/>
    </row>
    <row r="3124" spans="1:16" ht="14.25">
      <c r="A3124" s="253"/>
      <c r="B3124" s="253"/>
      <c r="C3124" s="254"/>
      <c r="D3124" s="254"/>
      <c r="E3124" s="254"/>
      <c r="F3124" s="253"/>
      <c r="G3124" s="255"/>
      <c r="H3124" s="254"/>
      <c r="I3124" s="253"/>
      <c r="J3124" s="254"/>
      <c r="K3124" s="253"/>
      <c r="L3124" s="253"/>
      <c r="M3124" s="253"/>
      <c r="N3124" s="253"/>
      <c r="O3124" s="256"/>
      <c r="P3124" s="257"/>
    </row>
    <row r="3125" spans="1:16" ht="14.25">
      <c r="A3125" s="253"/>
      <c r="B3125" s="253"/>
      <c r="C3125" s="254"/>
      <c r="D3125" s="254"/>
      <c r="E3125" s="254"/>
      <c r="F3125" s="253"/>
      <c r="G3125" s="255"/>
      <c r="H3125" s="254"/>
      <c r="I3125" s="253"/>
      <c r="J3125" s="254"/>
      <c r="K3125" s="253"/>
      <c r="L3125" s="253"/>
      <c r="M3125" s="253"/>
      <c r="N3125" s="253"/>
      <c r="O3125" s="256"/>
      <c r="P3125" s="257"/>
    </row>
    <row r="3126" spans="1:16" ht="14.25">
      <c r="A3126" s="253"/>
      <c r="B3126" s="253"/>
      <c r="C3126" s="254"/>
      <c r="D3126" s="254"/>
      <c r="E3126" s="254"/>
      <c r="F3126" s="253"/>
      <c r="G3126" s="255"/>
      <c r="H3126" s="254"/>
      <c r="I3126" s="253"/>
      <c r="J3126" s="254"/>
      <c r="K3126" s="253"/>
      <c r="L3126" s="253"/>
      <c r="M3126" s="253"/>
      <c r="N3126" s="253"/>
      <c r="O3126" s="256"/>
      <c r="P3126" s="257"/>
    </row>
    <row r="3127" spans="1:16" ht="14.25">
      <c r="A3127" s="253"/>
      <c r="B3127" s="253"/>
      <c r="C3127" s="254"/>
      <c r="D3127" s="254"/>
      <c r="E3127" s="254"/>
      <c r="F3127" s="253"/>
      <c r="G3127" s="255"/>
      <c r="H3127" s="254"/>
      <c r="I3127" s="253"/>
      <c r="J3127" s="254"/>
      <c r="K3127" s="253"/>
      <c r="L3127" s="253"/>
      <c r="M3127" s="253"/>
      <c r="N3127" s="253"/>
      <c r="O3127" s="256"/>
      <c r="P3127" s="257"/>
    </row>
    <row r="3128" spans="1:16" ht="14.25">
      <c r="A3128" s="253"/>
      <c r="B3128" s="253"/>
      <c r="C3128" s="254"/>
      <c r="D3128" s="254"/>
      <c r="E3128" s="254"/>
      <c r="F3128" s="253"/>
      <c r="G3128" s="255"/>
      <c r="H3128" s="254"/>
      <c r="I3128" s="253"/>
      <c r="J3128" s="254"/>
      <c r="K3128" s="253"/>
      <c r="L3128" s="253"/>
      <c r="M3128" s="253"/>
      <c r="N3128" s="253"/>
      <c r="O3128" s="256"/>
      <c r="P3128" s="257"/>
    </row>
    <row r="3129" spans="1:16" ht="14.25">
      <c r="A3129" s="253"/>
      <c r="B3129" s="253"/>
      <c r="C3129" s="254"/>
      <c r="D3129" s="254"/>
      <c r="E3129" s="254"/>
      <c r="F3129" s="253"/>
      <c r="G3129" s="255"/>
      <c r="H3129" s="254"/>
      <c r="I3129" s="253"/>
      <c r="J3129" s="254"/>
      <c r="K3129" s="253"/>
      <c r="L3129" s="253"/>
      <c r="M3129" s="253"/>
      <c r="N3129" s="253"/>
      <c r="O3129" s="256"/>
      <c r="P3129" s="257"/>
    </row>
    <row r="3130" spans="1:16" ht="14.25">
      <c r="A3130" s="253"/>
      <c r="B3130" s="253"/>
      <c r="C3130" s="254"/>
      <c r="D3130" s="254"/>
      <c r="E3130" s="254"/>
      <c r="F3130" s="253"/>
      <c r="G3130" s="255"/>
      <c r="H3130" s="254"/>
      <c r="I3130" s="253"/>
      <c r="J3130" s="254"/>
      <c r="K3130" s="253"/>
      <c r="L3130" s="253"/>
      <c r="M3130" s="253"/>
      <c r="N3130" s="253"/>
      <c r="O3130" s="256"/>
      <c r="P3130" s="257"/>
    </row>
    <row r="3131" spans="1:16" ht="14.25">
      <c r="A3131" s="253"/>
      <c r="B3131" s="253"/>
      <c r="C3131" s="254"/>
      <c r="D3131" s="254"/>
      <c r="E3131" s="254"/>
      <c r="F3131" s="253"/>
      <c r="G3131" s="255"/>
      <c r="H3131" s="254"/>
      <c r="I3131" s="253"/>
      <c r="J3131" s="254"/>
      <c r="K3131" s="253"/>
      <c r="L3131" s="253"/>
      <c r="M3131" s="253"/>
      <c r="N3131" s="253"/>
      <c r="O3131" s="256"/>
      <c r="P3131" s="257"/>
    </row>
    <row r="3132" spans="1:16" ht="14.25">
      <c r="A3132" s="253"/>
      <c r="B3132" s="253"/>
      <c r="C3132" s="254"/>
      <c r="D3132" s="254"/>
      <c r="E3132" s="254"/>
      <c r="F3132" s="253"/>
      <c r="G3132" s="255"/>
      <c r="H3132" s="254"/>
      <c r="I3132" s="253"/>
      <c r="J3132" s="254"/>
      <c r="K3132" s="253"/>
      <c r="L3132" s="253"/>
      <c r="M3132" s="253"/>
      <c r="N3132" s="253"/>
      <c r="O3132" s="256"/>
      <c r="P3132" s="257"/>
    </row>
    <row r="3133" spans="1:16" ht="14.25">
      <c r="A3133" s="253"/>
      <c r="B3133" s="253"/>
      <c r="C3133" s="254"/>
      <c r="D3133" s="254"/>
      <c r="E3133" s="254"/>
      <c r="F3133" s="253"/>
      <c r="G3133" s="255"/>
      <c r="H3133" s="254"/>
      <c r="I3133" s="253"/>
      <c r="J3133" s="254"/>
      <c r="K3133" s="253"/>
      <c r="L3133" s="253"/>
      <c r="M3133" s="253"/>
      <c r="N3133" s="253"/>
      <c r="O3133" s="256"/>
      <c r="P3133" s="257"/>
    </row>
    <row r="3134" spans="1:16" ht="14.25">
      <c r="A3134" s="253"/>
      <c r="B3134" s="253"/>
      <c r="C3134" s="254"/>
      <c r="D3134" s="254"/>
      <c r="E3134" s="254"/>
      <c r="F3134" s="253"/>
      <c r="G3134" s="255"/>
      <c r="H3134" s="254"/>
      <c r="I3134" s="253"/>
      <c r="J3134" s="254"/>
      <c r="K3134" s="253"/>
      <c r="L3134" s="253"/>
      <c r="M3134" s="253"/>
      <c r="N3134" s="253"/>
      <c r="O3134" s="256"/>
      <c r="P3134" s="257"/>
    </row>
    <row r="3135" spans="1:16" ht="14.25">
      <c r="A3135" s="253"/>
      <c r="B3135" s="253"/>
      <c r="C3135" s="254"/>
      <c r="D3135" s="254"/>
      <c r="E3135" s="254"/>
      <c r="F3135" s="253"/>
      <c r="G3135" s="255"/>
      <c r="H3135" s="254"/>
      <c r="I3135" s="253"/>
      <c r="J3135" s="254"/>
      <c r="K3135" s="253"/>
      <c r="L3135" s="253"/>
      <c r="M3135" s="253"/>
      <c r="N3135" s="253"/>
      <c r="O3135" s="256"/>
      <c r="P3135" s="257"/>
    </row>
    <row r="3136" spans="1:16" ht="14.25">
      <c r="A3136" s="253"/>
      <c r="B3136" s="253"/>
      <c r="C3136" s="254"/>
      <c r="D3136" s="254"/>
      <c r="E3136" s="254"/>
      <c r="F3136" s="253"/>
      <c r="G3136" s="255"/>
      <c r="H3136" s="254"/>
      <c r="I3136" s="253"/>
      <c r="J3136" s="254"/>
      <c r="K3136" s="253"/>
      <c r="L3136" s="253"/>
      <c r="M3136" s="253"/>
      <c r="N3136" s="253"/>
      <c r="O3136" s="256"/>
      <c r="P3136" s="257"/>
    </row>
    <row r="3137" spans="1:16" ht="14.25">
      <c r="A3137" s="253"/>
      <c r="B3137" s="253"/>
      <c r="C3137" s="254"/>
      <c r="D3137" s="254"/>
      <c r="E3137" s="254"/>
      <c r="F3137" s="253"/>
      <c r="G3137" s="255"/>
      <c r="H3137" s="254"/>
      <c r="I3137" s="253"/>
      <c r="J3137" s="254"/>
      <c r="K3137" s="253"/>
      <c r="L3137" s="253"/>
      <c r="M3137" s="253"/>
      <c r="N3137" s="253"/>
      <c r="O3137" s="256"/>
      <c r="P3137" s="257"/>
    </row>
    <row r="3138" spans="1:16" ht="14.25">
      <c r="A3138" s="253"/>
      <c r="B3138" s="253"/>
      <c r="C3138" s="254"/>
      <c r="D3138" s="254"/>
      <c r="E3138" s="254"/>
      <c r="F3138" s="253"/>
      <c r="G3138" s="255"/>
      <c r="H3138" s="254"/>
      <c r="I3138" s="253"/>
      <c r="J3138" s="254"/>
      <c r="K3138" s="253"/>
      <c r="L3138" s="253"/>
      <c r="M3138" s="253"/>
      <c r="N3138" s="253"/>
      <c r="O3138" s="256"/>
      <c r="P3138" s="257"/>
    </row>
    <row r="3139" spans="1:16" ht="14.25">
      <c r="A3139" s="253"/>
      <c r="B3139" s="253"/>
      <c r="C3139" s="254"/>
      <c r="D3139" s="254"/>
      <c r="E3139" s="254"/>
      <c r="F3139" s="253"/>
      <c r="G3139" s="255"/>
      <c r="H3139" s="254"/>
      <c r="I3139" s="253"/>
      <c r="J3139" s="254"/>
      <c r="K3139" s="253"/>
      <c r="L3139" s="253"/>
      <c r="M3139" s="253"/>
      <c r="N3139" s="253"/>
      <c r="O3139" s="256"/>
      <c r="P3139" s="257"/>
    </row>
    <row r="3140" spans="1:16" ht="14.25">
      <c r="A3140" s="253"/>
      <c r="B3140" s="253"/>
      <c r="C3140" s="254"/>
      <c r="D3140" s="254"/>
      <c r="E3140" s="254"/>
      <c r="F3140" s="253"/>
      <c r="G3140" s="255"/>
      <c r="H3140" s="254"/>
      <c r="I3140" s="253"/>
      <c r="J3140" s="254"/>
      <c r="K3140" s="253"/>
      <c r="L3140" s="253"/>
      <c r="M3140" s="253"/>
      <c r="N3140" s="253"/>
      <c r="O3140" s="256"/>
      <c r="P3140" s="257"/>
    </row>
    <row r="3141" spans="1:16" ht="14.25">
      <c r="A3141" s="253"/>
      <c r="B3141" s="253"/>
      <c r="C3141" s="254"/>
      <c r="D3141" s="254"/>
      <c r="E3141" s="254"/>
      <c r="F3141" s="253"/>
      <c r="G3141" s="255"/>
      <c r="H3141" s="254"/>
      <c r="I3141" s="253"/>
      <c r="J3141" s="254"/>
      <c r="K3141" s="253"/>
      <c r="L3141" s="253"/>
      <c r="M3141" s="253"/>
      <c r="N3141" s="253"/>
      <c r="O3141" s="256"/>
      <c r="P3141" s="257"/>
    </row>
    <row r="3142" spans="1:16" ht="14.25">
      <c r="A3142" s="253"/>
      <c r="B3142" s="253"/>
      <c r="C3142" s="254"/>
      <c r="D3142" s="254"/>
      <c r="E3142" s="254"/>
      <c r="F3142" s="253"/>
      <c r="G3142" s="255"/>
      <c r="H3142" s="254"/>
      <c r="I3142" s="253"/>
      <c r="J3142" s="254"/>
      <c r="K3142" s="253"/>
      <c r="L3142" s="253"/>
      <c r="M3142" s="253"/>
      <c r="N3142" s="253"/>
      <c r="O3142" s="256"/>
      <c r="P3142" s="257"/>
    </row>
    <row r="3143" spans="1:16" ht="14.25">
      <c r="A3143" s="253"/>
      <c r="B3143" s="253"/>
      <c r="C3143" s="254"/>
      <c r="D3143" s="254"/>
      <c r="E3143" s="254"/>
      <c r="F3143" s="253"/>
      <c r="G3143" s="255"/>
      <c r="H3143" s="254"/>
      <c r="I3143" s="253"/>
      <c r="J3143" s="254"/>
      <c r="K3143" s="253"/>
      <c r="L3143" s="253"/>
      <c r="M3143" s="253"/>
      <c r="N3143" s="253"/>
      <c r="O3143" s="256"/>
      <c r="P3143" s="257"/>
    </row>
    <row r="3144" spans="1:16" ht="14.25">
      <c r="A3144" s="253"/>
      <c r="B3144" s="253"/>
      <c r="C3144" s="254"/>
      <c r="D3144" s="254"/>
      <c r="E3144" s="254"/>
      <c r="F3144" s="253"/>
      <c r="G3144" s="255"/>
      <c r="H3144" s="254"/>
      <c r="I3144" s="253"/>
      <c r="J3144" s="254"/>
      <c r="K3144" s="253"/>
      <c r="L3144" s="253"/>
      <c r="M3144" s="253"/>
      <c r="N3144" s="253"/>
      <c r="O3144" s="256"/>
      <c r="P3144" s="257"/>
    </row>
    <row r="3145" spans="1:16" ht="14.25">
      <c r="A3145" s="253"/>
      <c r="B3145" s="253"/>
      <c r="C3145" s="254"/>
      <c r="D3145" s="254"/>
      <c r="E3145" s="254"/>
      <c r="F3145" s="253"/>
      <c r="G3145" s="255"/>
      <c r="H3145" s="254"/>
      <c r="I3145" s="253"/>
      <c r="J3145" s="254"/>
      <c r="K3145" s="253"/>
      <c r="L3145" s="253"/>
      <c r="M3145" s="253"/>
      <c r="N3145" s="253"/>
      <c r="O3145" s="256"/>
      <c r="P3145" s="257"/>
    </row>
    <row r="3146" spans="1:16" ht="14.25">
      <c r="A3146" s="253"/>
      <c r="B3146" s="253"/>
      <c r="C3146" s="254"/>
      <c r="D3146" s="254"/>
      <c r="E3146" s="254"/>
      <c r="F3146" s="253"/>
      <c r="G3146" s="255"/>
      <c r="H3146" s="254"/>
      <c r="I3146" s="253"/>
      <c r="J3146" s="254"/>
      <c r="K3146" s="253"/>
      <c r="L3146" s="253"/>
      <c r="M3146" s="253"/>
      <c r="N3146" s="253"/>
      <c r="O3146" s="256"/>
      <c r="P3146" s="257"/>
    </row>
    <row r="3147" spans="1:16" ht="14.25">
      <c r="A3147" s="253"/>
      <c r="B3147" s="253"/>
      <c r="C3147" s="254"/>
      <c r="D3147" s="254"/>
      <c r="E3147" s="254"/>
      <c r="F3147" s="253"/>
      <c r="G3147" s="255"/>
      <c r="H3147" s="254"/>
      <c r="I3147" s="253"/>
      <c r="J3147" s="254"/>
      <c r="K3147" s="253"/>
      <c r="L3147" s="253"/>
      <c r="M3147" s="253"/>
      <c r="N3147" s="253"/>
      <c r="O3147" s="256"/>
      <c r="P3147" s="257"/>
    </row>
    <row r="3148" spans="1:16" ht="14.25">
      <c r="A3148" s="253"/>
      <c r="B3148" s="253"/>
      <c r="C3148" s="254"/>
      <c r="D3148" s="254"/>
      <c r="E3148" s="254"/>
      <c r="F3148" s="253"/>
      <c r="G3148" s="255"/>
      <c r="H3148" s="254"/>
      <c r="I3148" s="253"/>
      <c r="J3148" s="254"/>
      <c r="K3148" s="253"/>
      <c r="L3148" s="253"/>
      <c r="M3148" s="253"/>
      <c r="N3148" s="253"/>
      <c r="O3148" s="256"/>
      <c r="P3148" s="257"/>
    </row>
    <row r="3149" spans="1:16" ht="14.25">
      <c r="A3149" s="253"/>
      <c r="B3149" s="253"/>
      <c r="C3149" s="254"/>
      <c r="D3149" s="254"/>
      <c r="E3149" s="254"/>
      <c r="F3149" s="253"/>
      <c r="G3149" s="255"/>
      <c r="H3149" s="254"/>
      <c r="I3149" s="253"/>
      <c r="J3149" s="254"/>
      <c r="K3149" s="253"/>
      <c r="L3149" s="253"/>
      <c r="M3149" s="253"/>
      <c r="N3149" s="253"/>
      <c r="O3149" s="256"/>
      <c r="P3149" s="257"/>
    </row>
    <row r="3150" spans="1:16" ht="14.25">
      <c r="A3150" s="253"/>
      <c r="B3150" s="253"/>
      <c r="C3150" s="254"/>
      <c r="D3150" s="254"/>
      <c r="E3150" s="254"/>
      <c r="F3150" s="253"/>
      <c r="G3150" s="255"/>
      <c r="H3150" s="254"/>
      <c r="I3150" s="253"/>
      <c r="J3150" s="254"/>
      <c r="K3150" s="253"/>
      <c r="L3150" s="253"/>
      <c r="M3150" s="253"/>
      <c r="N3150" s="253"/>
      <c r="O3150" s="256"/>
      <c r="P3150" s="257"/>
    </row>
    <row r="3151" spans="1:16" ht="14.25">
      <c r="A3151" s="253"/>
      <c r="B3151" s="253"/>
      <c r="C3151" s="254"/>
      <c r="D3151" s="254"/>
      <c r="E3151" s="254"/>
      <c r="F3151" s="253"/>
      <c r="G3151" s="255"/>
      <c r="H3151" s="254"/>
      <c r="I3151" s="253"/>
      <c r="J3151" s="254"/>
      <c r="K3151" s="253"/>
      <c r="L3151" s="253"/>
      <c r="M3151" s="253"/>
      <c r="N3151" s="253"/>
      <c r="O3151" s="256"/>
      <c r="P3151" s="257"/>
    </row>
    <row r="3152" spans="1:16" ht="14.25">
      <c r="A3152" s="253"/>
      <c r="B3152" s="253"/>
      <c r="C3152" s="254"/>
      <c r="D3152" s="254"/>
      <c r="E3152" s="254"/>
      <c r="F3152" s="253"/>
      <c r="G3152" s="255"/>
      <c r="H3152" s="254"/>
      <c r="I3152" s="253"/>
      <c r="J3152" s="254"/>
      <c r="K3152" s="253"/>
      <c r="L3152" s="253"/>
      <c r="M3152" s="253"/>
      <c r="N3152" s="253"/>
      <c r="O3152" s="256"/>
      <c r="P3152" s="257"/>
    </row>
    <row r="3153" spans="1:16" ht="14.25">
      <c r="A3153" s="253"/>
      <c r="B3153" s="253"/>
      <c r="C3153" s="254"/>
      <c r="D3153" s="254"/>
      <c r="E3153" s="254"/>
      <c r="F3153" s="253"/>
      <c r="G3153" s="255"/>
      <c r="H3153" s="254"/>
      <c r="I3153" s="253"/>
      <c r="J3153" s="254"/>
      <c r="K3153" s="253"/>
      <c r="L3153" s="253"/>
      <c r="M3153" s="253"/>
      <c r="N3153" s="253"/>
      <c r="O3153" s="256"/>
      <c r="P3153" s="257"/>
    </row>
    <row r="3154" spans="1:16" ht="14.25">
      <c r="A3154" s="253"/>
      <c r="B3154" s="253"/>
      <c r="C3154" s="254"/>
      <c r="D3154" s="254"/>
      <c r="E3154" s="254"/>
      <c r="F3154" s="253"/>
      <c r="G3154" s="255"/>
      <c r="H3154" s="254"/>
      <c r="I3154" s="253"/>
      <c r="J3154" s="254"/>
      <c r="K3154" s="253"/>
      <c r="L3154" s="253"/>
      <c r="M3154" s="253"/>
      <c r="N3154" s="253"/>
      <c r="O3154" s="256"/>
      <c r="P3154" s="257"/>
    </row>
    <row r="3155" spans="1:16" ht="14.25">
      <c r="A3155" s="253"/>
      <c r="B3155" s="253"/>
      <c r="C3155" s="254"/>
      <c r="D3155" s="254"/>
      <c r="E3155" s="254"/>
      <c r="F3155" s="253"/>
      <c r="G3155" s="255"/>
      <c r="H3155" s="254"/>
      <c r="I3155" s="253"/>
      <c r="J3155" s="254"/>
      <c r="K3155" s="253"/>
      <c r="L3155" s="253"/>
      <c r="M3155" s="253"/>
      <c r="N3155" s="253"/>
      <c r="O3155" s="256"/>
      <c r="P3155" s="257"/>
    </row>
    <row r="3156" spans="1:16" ht="14.25">
      <c r="A3156" s="253"/>
      <c r="B3156" s="253"/>
      <c r="C3156" s="254"/>
      <c r="D3156" s="254"/>
      <c r="E3156" s="254"/>
      <c r="F3156" s="253"/>
      <c r="G3156" s="255"/>
      <c r="H3156" s="254"/>
      <c r="I3156" s="253"/>
      <c r="J3156" s="254"/>
      <c r="K3156" s="253"/>
      <c r="L3156" s="253"/>
      <c r="M3156" s="253"/>
      <c r="N3156" s="253"/>
      <c r="O3156" s="256"/>
      <c r="P3156" s="257"/>
    </row>
    <row r="3157" spans="1:16" ht="14.25">
      <c r="A3157" s="253"/>
      <c r="B3157" s="253"/>
      <c r="C3157" s="254"/>
      <c r="D3157" s="254"/>
      <c r="E3157" s="254"/>
      <c r="F3157" s="253"/>
      <c r="G3157" s="255"/>
      <c r="H3157" s="254"/>
      <c r="I3157" s="253"/>
      <c r="J3157" s="254"/>
      <c r="K3157" s="253"/>
      <c r="L3157" s="253"/>
      <c r="M3157" s="253"/>
      <c r="N3157" s="253"/>
      <c r="O3157" s="256"/>
      <c r="P3157" s="257"/>
    </row>
    <row r="3158" spans="1:16" ht="14.25">
      <c r="A3158" s="253"/>
      <c r="B3158" s="253"/>
      <c r="C3158" s="254"/>
      <c r="D3158" s="254"/>
      <c r="E3158" s="254"/>
      <c r="F3158" s="253"/>
      <c r="G3158" s="255"/>
      <c r="H3158" s="254"/>
      <c r="I3158" s="253"/>
      <c r="J3158" s="254"/>
      <c r="K3158" s="253"/>
      <c r="L3158" s="253"/>
      <c r="M3158" s="253"/>
      <c r="N3158" s="253"/>
      <c r="O3158" s="256"/>
      <c r="P3158" s="257"/>
    </row>
    <row r="3159" spans="1:16" ht="14.25">
      <c r="A3159" s="253"/>
      <c r="B3159" s="253"/>
      <c r="C3159" s="254"/>
      <c r="D3159" s="254"/>
      <c r="E3159" s="254"/>
      <c r="F3159" s="253"/>
      <c r="G3159" s="255"/>
      <c r="H3159" s="254"/>
      <c r="I3159" s="253"/>
      <c r="J3159" s="254"/>
      <c r="K3159" s="253"/>
      <c r="L3159" s="253"/>
      <c r="M3159" s="253"/>
      <c r="N3159" s="253"/>
      <c r="O3159" s="256"/>
      <c r="P3159" s="257"/>
    </row>
    <row r="3160" spans="1:16" ht="14.25">
      <c r="A3160" s="253"/>
      <c r="B3160" s="253"/>
      <c r="C3160" s="254"/>
      <c r="D3160" s="254"/>
      <c r="E3160" s="254"/>
      <c r="F3160" s="253"/>
      <c r="G3160" s="255"/>
      <c r="H3160" s="254"/>
      <c r="I3160" s="253"/>
      <c r="J3160" s="254"/>
      <c r="K3160" s="253"/>
      <c r="L3160" s="253"/>
      <c r="M3160" s="253"/>
      <c r="N3160" s="253"/>
      <c r="O3160" s="256"/>
      <c r="P3160" s="257"/>
    </row>
    <row r="3161" spans="1:16" ht="14.25">
      <c r="A3161" s="253"/>
      <c r="B3161" s="253"/>
      <c r="C3161" s="254"/>
      <c r="D3161" s="254"/>
      <c r="E3161" s="254"/>
      <c r="F3161" s="253"/>
      <c r="G3161" s="255"/>
      <c r="H3161" s="254"/>
      <c r="I3161" s="253"/>
      <c r="J3161" s="254"/>
      <c r="K3161" s="253"/>
      <c r="L3161" s="253"/>
      <c r="M3161" s="253"/>
      <c r="N3161" s="253"/>
      <c r="O3161" s="256"/>
      <c r="P3161" s="257"/>
    </row>
    <row r="3162" spans="1:16" ht="14.25">
      <c r="A3162" s="253"/>
      <c r="B3162" s="253"/>
      <c r="C3162" s="254"/>
      <c r="D3162" s="254"/>
      <c r="E3162" s="254"/>
      <c r="F3162" s="253"/>
      <c r="G3162" s="255"/>
      <c r="H3162" s="254"/>
      <c r="I3162" s="253"/>
      <c r="J3162" s="254"/>
      <c r="K3162" s="253"/>
      <c r="L3162" s="253"/>
      <c r="M3162" s="253"/>
      <c r="N3162" s="253"/>
      <c r="O3162" s="256"/>
      <c r="P3162" s="257"/>
    </row>
    <row r="3163" spans="1:16" ht="14.25">
      <c r="A3163" s="253"/>
      <c r="B3163" s="253"/>
      <c r="C3163" s="254"/>
      <c r="D3163" s="254"/>
      <c r="E3163" s="254"/>
      <c r="F3163" s="253"/>
      <c r="G3163" s="255"/>
      <c r="H3163" s="254"/>
      <c r="I3163" s="253"/>
      <c r="J3163" s="254"/>
      <c r="K3163" s="253"/>
      <c r="L3163" s="253"/>
      <c r="M3163" s="253"/>
      <c r="N3163" s="253"/>
      <c r="O3163" s="256"/>
      <c r="P3163" s="257"/>
    </row>
    <row r="3164" spans="1:16" ht="14.25">
      <c r="A3164" s="253"/>
      <c r="B3164" s="253"/>
      <c r="C3164" s="254"/>
      <c r="D3164" s="254"/>
      <c r="E3164" s="254"/>
      <c r="F3164" s="253"/>
      <c r="G3164" s="255"/>
      <c r="H3164" s="254"/>
      <c r="I3164" s="253"/>
      <c r="J3164" s="254"/>
      <c r="K3164" s="253"/>
      <c r="L3164" s="253"/>
      <c r="M3164" s="253"/>
      <c r="N3164" s="253"/>
      <c r="O3164" s="256"/>
      <c r="P3164" s="257"/>
    </row>
    <row r="3165" spans="1:16" ht="14.25">
      <c r="A3165" s="253"/>
      <c r="B3165" s="253"/>
      <c r="C3165" s="254"/>
      <c r="D3165" s="254"/>
      <c r="E3165" s="254"/>
      <c r="F3165" s="253"/>
      <c r="G3165" s="255"/>
      <c r="H3165" s="254"/>
      <c r="I3165" s="253"/>
      <c r="J3165" s="254"/>
      <c r="K3165" s="253"/>
      <c r="L3165" s="253"/>
      <c r="M3165" s="253"/>
      <c r="N3165" s="253"/>
      <c r="O3165" s="256"/>
      <c r="P3165" s="257"/>
    </row>
    <row r="3166" spans="1:16" ht="14.25">
      <c r="A3166" s="253"/>
      <c r="B3166" s="253"/>
      <c r="C3166" s="254"/>
      <c r="D3166" s="254"/>
      <c r="E3166" s="254"/>
      <c r="F3166" s="253"/>
      <c r="G3166" s="255"/>
      <c r="H3166" s="254"/>
      <c r="I3166" s="253"/>
      <c r="J3166" s="254"/>
      <c r="K3166" s="253"/>
      <c r="L3166" s="253"/>
      <c r="M3166" s="253"/>
      <c r="N3166" s="253"/>
      <c r="O3166" s="256"/>
      <c r="P3166" s="257"/>
    </row>
    <row r="3167" spans="1:16" ht="14.25">
      <c r="A3167" s="253"/>
      <c r="B3167" s="253"/>
      <c r="C3167" s="254"/>
      <c r="D3167" s="254"/>
      <c r="E3167" s="254"/>
      <c r="F3167" s="253"/>
      <c r="G3167" s="255"/>
      <c r="H3167" s="254"/>
      <c r="I3167" s="253"/>
      <c r="J3167" s="254"/>
      <c r="K3167" s="253"/>
      <c r="L3167" s="253"/>
      <c r="M3167" s="253"/>
      <c r="N3167" s="253"/>
      <c r="O3167" s="256"/>
      <c r="P3167" s="257"/>
    </row>
    <row r="3168" spans="1:16" ht="14.25">
      <c r="A3168" s="253"/>
      <c r="B3168" s="253"/>
      <c r="C3168" s="254"/>
      <c r="D3168" s="254"/>
      <c r="E3168" s="254"/>
      <c r="F3168" s="253"/>
      <c r="G3168" s="255"/>
      <c r="H3168" s="254"/>
      <c r="I3168" s="253"/>
      <c r="J3168" s="254"/>
      <c r="K3168" s="253"/>
      <c r="L3168" s="253"/>
      <c r="M3168" s="253"/>
      <c r="N3168" s="253"/>
      <c r="O3168" s="256"/>
      <c r="P3168" s="257"/>
    </row>
    <row r="3169" spans="1:16" ht="14.25">
      <c r="A3169" s="253"/>
      <c r="B3169" s="253"/>
      <c r="C3169" s="254"/>
      <c r="D3169" s="254"/>
      <c r="E3169" s="254"/>
      <c r="F3169" s="253"/>
      <c r="G3169" s="255"/>
      <c r="H3169" s="254"/>
      <c r="I3169" s="253"/>
      <c r="J3169" s="254"/>
      <c r="K3169" s="253"/>
      <c r="L3169" s="253"/>
      <c r="M3169" s="253"/>
      <c r="N3169" s="253"/>
      <c r="O3169" s="256"/>
      <c r="P3169" s="257"/>
    </row>
    <row r="3170" spans="1:16" ht="14.25">
      <c r="A3170" s="253"/>
      <c r="B3170" s="253"/>
      <c r="C3170" s="254"/>
      <c r="D3170" s="254"/>
      <c r="E3170" s="254"/>
      <c r="F3170" s="253"/>
      <c r="G3170" s="255"/>
      <c r="H3170" s="254"/>
      <c r="I3170" s="253"/>
      <c r="J3170" s="254"/>
      <c r="K3170" s="253"/>
      <c r="L3170" s="253"/>
      <c r="M3170" s="253"/>
      <c r="N3170" s="253"/>
      <c r="O3170" s="256"/>
      <c r="P3170" s="257"/>
    </row>
    <row r="3171" spans="1:16" ht="14.25">
      <c r="A3171" s="253"/>
      <c r="B3171" s="253"/>
      <c r="C3171" s="254"/>
      <c r="D3171" s="254"/>
      <c r="E3171" s="254"/>
      <c r="F3171" s="253"/>
      <c r="G3171" s="255"/>
      <c r="H3171" s="254"/>
      <c r="I3171" s="253"/>
      <c r="J3171" s="254"/>
      <c r="K3171" s="253"/>
      <c r="L3171" s="253"/>
      <c r="M3171" s="253"/>
      <c r="N3171" s="253"/>
      <c r="O3171" s="256"/>
      <c r="P3171" s="257"/>
    </row>
    <row r="3172" spans="1:16" ht="14.25">
      <c r="A3172" s="253"/>
      <c r="B3172" s="253"/>
      <c r="C3172" s="254"/>
      <c r="D3172" s="254"/>
      <c r="E3172" s="254"/>
      <c r="F3172" s="253"/>
      <c r="G3172" s="255"/>
      <c r="H3172" s="254"/>
      <c r="I3172" s="253"/>
      <c r="J3172" s="254"/>
      <c r="K3172" s="253"/>
      <c r="L3172" s="253"/>
      <c r="M3172" s="253"/>
      <c r="N3172" s="253"/>
      <c r="O3172" s="256"/>
      <c r="P3172" s="257"/>
    </row>
    <row r="3173" spans="1:16" ht="14.25">
      <c r="A3173" s="253"/>
      <c r="B3173" s="253"/>
      <c r="C3173" s="254"/>
      <c r="D3173" s="254"/>
      <c r="E3173" s="254"/>
      <c r="F3173" s="253"/>
      <c r="G3173" s="255"/>
      <c r="H3173" s="254"/>
      <c r="I3173" s="253"/>
      <c r="J3173" s="254"/>
      <c r="K3173" s="253"/>
      <c r="L3173" s="253"/>
      <c r="M3173" s="253"/>
      <c r="N3173" s="253"/>
      <c r="O3173" s="256"/>
      <c r="P3173" s="257"/>
    </row>
    <row r="3174" spans="1:16" ht="14.25">
      <c r="A3174" s="253"/>
      <c r="B3174" s="253"/>
      <c r="C3174" s="254"/>
      <c r="D3174" s="254"/>
      <c r="E3174" s="254"/>
      <c r="F3174" s="253"/>
      <c r="G3174" s="255"/>
      <c r="H3174" s="254"/>
      <c r="I3174" s="253"/>
      <c r="J3174" s="254"/>
      <c r="K3174" s="253"/>
      <c r="L3174" s="253"/>
      <c r="M3174" s="253"/>
      <c r="N3174" s="253"/>
      <c r="O3174" s="256"/>
      <c r="P3174" s="257"/>
    </row>
    <row r="3175" spans="1:16" ht="14.25">
      <c r="A3175" s="253"/>
      <c r="B3175" s="253"/>
      <c r="C3175" s="254"/>
      <c r="D3175" s="254"/>
      <c r="E3175" s="254"/>
      <c r="F3175" s="253"/>
      <c r="G3175" s="255"/>
      <c r="H3175" s="254"/>
      <c r="I3175" s="253"/>
      <c r="J3175" s="254"/>
      <c r="K3175" s="253"/>
      <c r="L3175" s="253"/>
      <c r="M3175" s="253"/>
      <c r="N3175" s="253"/>
      <c r="O3175" s="256"/>
      <c r="P3175" s="257"/>
    </row>
    <row r="3176" spans="1:16" ht="14.25">
      <c r="A3176" s="253"/>
      <c r="B3176" s="253"/>
      <c r="C3176" s="254"/>
      <c r="D3176" s="254"/>
      <c r="E3176" s="254"/>
      <c r="F3176" s="253"/>
      <c r="G3176" s="255"/>
      <c r="H3176" s="254"/>
      <c r="I3176" s="253"/>
      <c r="J3176" s="254"/>
      <c r="K3176" s="253"/>
      <c r="L3176" s="253"/>
      <c r="M3176" s="253"/>
      <c r="N3176" s="253"/>
      <c r="O3176" s="256"/>
      <c r="P3176" s="257"/>
    </row>
    <row r="3177" spans="1:16" ht="14.25">
      <c r="A3177" s="253"/>
      <c r="B3177" s="253"/>
      <c r="C3177" s="254"/>
      <c r="D3177" s="254"/>
      <c r="E3177" s="254"/>
      <c r="F3177" s="253"/>
      <c r="G3177" s="255"/>
      <c r="H3177" s="254"/>
      <c r="I3177" s="253"/>
      <c r="J3177" s="254"/>
      <c r="K3177" s="253"/>
      <c r="L3177" s="253"/>
      <c r="M3177" s="253"/>
      <c r="N3177" s="253"/>
      <c r="O3177" s="256"/>
      <c r="P3177" s="257"/>
    </row>
    <row r="3178" spans="1:16" ht="14.25">
      <c r="A3178" s="253"/>
      <c r="B3178" s="253"/>
      <c r="C3178" s="254"/>
      <c r="D3178" s="254"/>
      <c r="E3178" s="254"/>
      <c r="F3178" s="253"/>
      <c r="G3178" s="255"/>
      <c r="H3178" s="254"/>
      <c r="I3178" s="253"/>
      <c r="J3178" s="254"/>
      <c r="K3178" s="253"/>
      <c r="L3178" s="253"/>
      <c r="M3178" s="253"/>
      <c r="N3178" s="253"/>
      <c r="O3178" s="256"/>
      <c r="P3178" s="257"/>
    </row>
    <row r="3179" spans="1:16" ht="14.25">
      <c r="A3179" s="253"/>
      <c r="B3179" s="253"/>
      <c r="C3179" s="254"/>
      <c r="D3179" s="254"/>
      <c r="E3179" s="254"/>
      <c r="F3179" s="253"/>
      <c r="G3179" s="255"/>
      <c r="H3179" s="254"/>
      <c r="I3179" s="253"/>
      <c r="J3179" s="254"/>
      <c r="K3179" s="253"/>
      <c r="L3179" s="253"/>
      <c r="M3179" s="253"/>
      <c r="N3179" s="253"/>
      <c r="O3179" s="256"/>
      <c r="P3179" s="257"/>
    </row>
    <row r="3180" spans="1:16" ht="14.25">
      <c r="A3180" s="253"/>
      <c r="B3180" s="253"/>
      <c r="C3180" s="254"/>
      <c r="D3180" s="254"/>
      <c r="E3180" s="254"/>
      <c r="F3180" s="253"/>
      <c r="G3180" s="255"/>
      <c r="H3180" s="254"/>
      <c r="I3180" s="253"/>
      <c r="J3180" s="254"/>
      <c r="K3180" s="253"/>
      <c r="L3180" s="253"/>
      <c r="M3180" s="253"/>
      <c r="N3180" s="253"/>
      <c r="O3180" s="256"/>
      <c r="P3180" s="257"/>
    </row>
    <row r="3181" spans="1:16" ht="14.25">
      <c r="A3181" s="253"/>
      <c r="B3181" s="253"/>
      <c r="C3181" s="254"/>
      <c r="D3181" s="254"/>
      <c r="E3181" s="254"/>
      <c r="F3181" s="253"/>
      <c r="G3181" s="255"/>
      <c r="H3181" s="254"/>
      <c r="I3181" s="253"/>
      <c r="J3181" s="254"/>
      <c r="K3181" s="253"/>
      <c r="L3181" s="253"/>
      <c r="M3181" s="253"/>
      <c r="N3181" s="253"/>
      <c r="O3181" s="256"/>
      <c r="P3181" s="257"/>
    </row>
    <row r="3182" spans="1:16" ht="14.25">
      <c r="A3182" s="253"/>
      <c r="B3182" s="253"/>
      <c r="C3182" s="254"/>
      <c r="D3182" s="254"/>
      <c r="E3182" s="254"/>
      <c r="F3182" s="253"/>
      <c r="G3182" s="255"/>
      <c r="H3182" s="254"/>
      <c r="I3182" s="253"/>
      <c r="J3182" s="254"/>
      <c r="K3182" s="253"/>
      <c r="L3182" s="253"/>
      <c r="M3182" s="253"/>
      <c r="N3182" s="253"/>
      <c r="O3182" s="256"/>
      <c r="P3182" s="257"/>
    </row>
    <row r="3183" spans="1:16" ht="14.25">
      <c r="A3183" s="253"/>
      <c r="B3183" s="253"/>
      <c r="C3183" s="254"/>
      <c r="D3183" s="254"/>
      <c r="E3183" s="254"/>
      <c r="F3183" s="253"/>
      <c r="G3183" s="255"/>
      <c r="H3183" s="254"/>
      <c r="I3183" s="253"/>
      <c r="J3183" s="254"/>
      <c r="K3183" s="253"/>
      <c r="L3183" s="253"/>
      <c r="M3183" s="253"/>
      <c r="N3183" s="253"/>
      <c r="O3183" s="256"/>
      <c r="P3183" s="257"/>
    </row>
    <row r="3184" spans="1:16" ht="14.25">
      <c r="A3184" s="253"/>
      <c r="B3184" s="253"/>
      <c r="C3184" s="254"/>
      <c r="D3184" s="254"/>
      <c r="E3184" s="254"/>
      <c r="F3184" s="253"/>
      <c r="G3184" s="255"/>
      <c r="H3184" s="254"/>
      <c r="I3184" s="253"/>
      <c r="J3184" s="254"/>
      <c r="K3184" s="253"/>
      <c r="L3184" s="253"/>
      <c r="M3184" s="253"/>
      <c r="N3184" s="253"/>
      <c r="O3184" s="256"/>
      <c r="P3184" s="257"/>
    </row>
    <row r="3185" spans="1:16" ht="14.25">
      <c r="A3185" s="253"/>
      <c r="B3185" s="253"/>
      <c r="C3185" s="254"/>
      <c r="D3185" s="254"/>
      <c r="E3185" s="254"/>
      <c r="F3185" s="253"/>
      <c r="G3185" s="255"/>
      <c r="H3185" s="254"/>
      <c r="I3185" s="253"/>
      <c r="J3185" s="254"/>
      <c r="K3185" s="253"/>
      <c r="L3185" s="253"/>
      <c r="M3185" s="253"/>
      <c r="N3185" s="253"/>
      <c r="O3185" s="256"/>
      <c r="P3185" s="257"/>
    </row>
    <row r="3186" spans="1:16" ht="14.25">
      <c r="A3186" s="253"/>
      <c r="B3186" s="253"/>
      <c r="C3186" s="254"/>
      <c r="D3186" s="254"/>
      <c r="E3186" s="254"/>
      <c r="F3186" s="253"/>
      <c r="G3186" s="255"/>
      <c r="H3186" s="254"/>
      <c r="I3186" s="253"/>
      <c r="J3186" s="254"/>
      <c r="K3186" s="253"/>
      <c r="L3186" s="253"/>
      <c r="M3186" s="253"/>
      <c r="N3186" s="253"/>
      <c r="O3186" s="256"/>
      <c r="P3186" s="257"/>
    </row>
    <row r="3187" spans="1:16" ht="14.25">
      <c r="A3187" s="253"/>
      <c r="B3187" s="253"/>
      <c r="C3187" s="254"/>
      <c r="D3187" s="254"/>
      <c r="E3187" s="254"/>
      <c r="F3187" s="253"/>
      <c r="G3187" s="255"/>
      <c r="H3187" s="254"/>
      <c r="I3187" s="253"/>
      <c r="J3187" s="254"/>
      <c r="K3187" s="253"/>
      <c r="L3187" s="253"/>
      <c r="M3187" s="253"/>
      <c r="N3187" s="253"/>
      <c r="O3187" s="256"/>
      <c r="P3187" s="257"/>
    </row>
    <row r="3188" spans="1:16" ht="14.25">
      <c r="A3188" s="253"/>
      <c r="B3188" s="253"/>
      <c r="C3188" s="254"/>
      <c r="D3188" s="254"/>
      <c r="E3188" s="254"/>
      <c r="F3188" s="253"/>
      <c r="G3188" s="255"/>
      <c r="H3188" s="254"/>
      <c r="I3188" s="253"/>
      <c r="J3188" s="254"/>
      <c r="K3188" s="253"/>
      <c r="L3188" s="253"/>
      <c r="M3188" s="253"/>
      <c r="N3188" s="253"/>
      <c r="O3188" s="256"/>
      <c r="P3188" s="257"/>
    </row>
    <row r="3189" spans="1:16" ht="14.25">
      <c r="A3189" s="253"/>
      <c r="B3189" s="253"/>
      <c r="C3189" s="254"/>
      <c r="D3189" s="254"/>
      <c r="E3189" s="254"/>
      <c r="F3189" s="253"/>
      <c r="G3189" s="255"/>
      <c r="H3189" s="254"/>
      <c r="I3189" s="253"/>
      <c r="J3189" s="254"/>
      <c r="K3189" s="253"/>
      <c r="L3189" s="253"/>
      <c r="M3189" s="253"/>
      <c r="N3189" s="253"/>
      <c r="O3189" s="256"/>
      <c r="P3189" s="257"/>
    </row>
    <row r="3190" spans="1:16" ht="14.25">
      <c r="A3190" s="253"/>
      <c r="B3190" s="253"/>
      <c r="C3190" s="254"/>
      <c r="D3190" s="254"/>
      <c r="E3190" s="254"/>
      <c r="F3190" s="253"/>
      <c r="G3190" s="255"/>
      <c r="H3190" s="254"/>
      <c r="I3190" s="253"/>
      <c r="J3190" s="254"/>
      <c r="K3190" s="253"/>
      <c r="L3190" s="253"/>
      <c r="M3190" s="253"/>
      <c r="N3190" s="253"/>
      <c r="O3190" s="256"/>
      <c r="P3190" s="257"/>
    </row>
    <row r="3191" spans="1:16" ht="14.25">
      <c r="A3191" s="253"/>
      <c r="B3191" s="253"/>
      <c r="C3191" s="254"/>
      <c r="D3191" s="254"/>
      <c r="E3191" s="254"/>
      <c r="F3191" s="253"/>
      <c r="G3191" s="255"/>
      <c r="H3191" s="254"/>
      <c r="I3191" s="253"/>
      <c r="J3191" s="254"/>
      <c r="K3191" s="253"/>
      <c r="L3191" s="253"/>
      <c r="M3191" s="253"/>
      <c r="N3191" s="253"/>
      <c r="O3191" s="256"/>
      <c r="P3191" s="257"/>
    </row>
    <row r="3192" spans="1:16" ht="14.25">
      <c r="A3192" s="253"/>
      <c r="B3192" s="253"/>
      <c r="C3192" s="254"/>
      <c r="D3192" s="254"/>
      <c r="E3192" s="254"/>
      <c r="F3192" s="253"/>
      <c r="G3192" s="255"/>
      <c r="H3192" s="254"/>
      <c r="I3192" s="253"/>
      <c r="J3192" s="254"/>
      <c r="K3192" s="253"/>
      <c r="L3192" s="253"/>
      <c r="M3192" s="253"/>
      <c r="N3192" s="253"/>
      <c r="O3192" s="256"/>
      <c r="P3192" s="257"/>
    </row>
    <row r="3193" spans="1:16" ht="14.25">
      <c r="A3193" s="253"/>
      <c r="B3193" s="253"/>
      <c r="C3193" s="254"/>
      <c r="D3193" s="254"/>
      <c r="E3193" s="254"/>
      <c r="F3193" s="253"/>
      <c r="G3193" s="255"/>
      <c r="H3193" s="254"/>
      <c r="I3193" s="253"/>
      <c r="J3193" s="254"/>
      <c r="K3193" s="253"/>
      <c r="L3193" s="253"/>
      <c r="M3193" s="253"/>
      <c r="N3193" s="253"/>
      <c r="O3193" s="256"/>
      <c r="P3193" s="257"/>
    </row>
    <row r="3194" spans="1:16" ht="14.25">
      <c r="A3194" s="253"/>
      <c r="B3194" s="253"/>
      <c r="C3194" s="254"/>
      <c r="D3194" s="254"/>
      <c r="E3194" s="254"/>
      <c r="F3194" s="253"/>
      <c r="G3194" s="255"/>
      <c r="H3194" s="254"/>
      <c r="I3194" s="253"/>
      <c r="J3194" s="254"/>
      <c r="K3194" s="253"/>
      <c r="L3194" s="253"/>
      <c r="M3194" s="253"/>
      <c r="N3194" s="253"/>
      <c r="O3194" s="256"/>
      <c r="P3194" s="257"/>
    </row>
    <row r="3195" spans="1:16" ht="14.25">
      <c r="A3195" s="253"/>
      <c r="B3195" s="253"/>
      <c r="C3195" s="254"/>
      <c r="D3195" s="254"/>
      <c r="E3195" s="254"/>
      <c r="F3195" s="253"/>
      <c r="G3195" s="255"/>
      <c r="H3195" s="254"/>
      <c r="I3195" s="253"/>
      <c r="J3195" s="254"/>
      <c r="K3195" s="253"/>
      <c r="L3195" s="253"/>
      <c r="M3195" s="253"/>
      <c r="N3195" s="253"/>
      <c r="O3195" s="256"/>
      <c r="P3195" s="257"/>
    </row>
    <row r="3196" spans="1:16" ht="14.25">
      <c r="A3196" s="253"/>
      <c r="B3196" s="253"/>
      <c r="C3196" s="254"/>
      <c r="D3196" s="254"/>
      <c r="E3196" s="254"/>
      <c r="F3196" s="253"/>
      <c r="G3196" s="255"/>
      <c r="H3196" s="254"/>
      <c r="I3196" s="253"/>
      <c r="J3196" s="254"/>
      <c r="K3196" s="253"/>
      <c r="L3196" s="253"/>
      <c r="M3196" s="253"/>
      <c r="N3196" s="253"/>
      <c r="O3196" s="256"/>
      <c r="P3196" s="257"/>
    </row>
    <row r="3197" spans="1:16" ht="14.25">
      <c r="A3197" s="253"/>
      <c r="B3197" s="253"/>
      <c r="C3197" s="254"/>
      <c r="D3197" s="254"/>
      <c r="E3197" s="254"/>
      <c r="F3197" s="253"/>
      <c r="G3197" s="255"/>
      <c r="H3197" s="254"/>
      <c r="I3197" s="253"/>
      <c r="J3197" s="254"/>
      <c r="K3197" s="253"/>
      <c r="L3197" s="253"/>
      <c r="M3197" s="253"/>
      <c r="N3197" s="253"/>
      <c r="O3197" s="256"/>
      <c r="P3197" s="257"/>
    </row>
    <row r="3198" spans="1:16" ht="14.25">
      <c r="A3198" s="253"/>
      <c r="B3198" s="253"/>
      <c r="C3198" s="254"/>
      <c r="D3198" s="254"/>
      <c r="E3198" s="254"/>
      <c r="F3198" s="253"/>
      <c r="G3198" s="255"/>
      <c r="H3198" s="254"/>
      <c r="I3198" s="253"/>
      <c r="J3198" s="254"/>
      <c r="K3198" s="253"/>
      <c r="L3198" s="253"/>
      <c r="M3198" s="253"/>
      <c r="N3198" s="253"/>
      <c r="O3198" s="256"/>
      <c r="P3198" s="257"/>
    </row>
    <row r="3199" spans="1:16" ht="14.25">
      <c r="A3199" s="253"/>
      <c r="B3199" s="253"/>
      <c r="C3199" s="254"/>
      <c r="D3199" s="254"/>
      <c r="E3199" s="254"/>
      <c r="F3199" s="253"/>
      <c r="G3199" s="255"/>
      <c r="H3199" s="254"/>
      <c r="I3199" s="253"/>
      <c r="J3199" s="254"/>
      <c r="K3199" s="253"/>
      <c r="L3199" s="253"/>
      <c r="M3199" s="253"/>
      <c r="N3199" s="253"/>
      <c r="O3199" s="256"/>
      <c r="P3199" s="257"/>
    </row>
    <row r="3200" spans="1:16" ht="14.25">
      <c r="A3200" s="253"/>
      <c r="B3200" s="253"/>
      <c r="C3200" s="254"/>
      <c r="D3200" s="254"/>
      <c r="E3200" s="254"/>
      <c r="F3200" s="253"/>
      <c r="G3200" s="255"/>
      <c r="H3200" s="254"/>
      <c r="I3200" s="253"/>
      <c r="J3200" s="254"/>
      <c r="K3200" s="253"/>
      <c r="L3200" s="253"/>
      <c r="M3200" s="253"/>
      <c r="N3200" s="253"/>
      <c r="O3200" s="256"/>
      <c r="P3200" s="257"/>
    </row>
    <row r="3201" spans="1:16" ht="14.25">
      <c r="A3201" s="253"/>
      <c r="B3201" s="253"/>
      <c r="C3201" s="254"/>
      <c r="D3201" s="254"/>
      <c r="E3201" s="254"/>
      <c r="F3201" s="253"/>
      <c r="G3201" s="255"/>
      <c r="H3201" s="254"/>
      <c r="I3201" s="253"/>
      <c r="J3201" s="254"/>
      <c r="K3201" s="253"/>
      <c r="L3201" s="253"/>
      <c r="M3201" s="253"/>
      <c r="N3201" s="253"/>
      <c r="O3201" s="256"/>
      <c r="P3201" s="257"/>
    </row>
    <row r="3202" spans="1:16" ht="14.25">
      <c r="A3202" s="253"/>
      <c r="B3202" s="253"/>
      <c r="C3202" s="254"/>
      <c r="D3202" s="254"/>
      <c r="E3202" s="254"/>
      <c r="F3202" s="253"/>
      <c r="G3202" s="255"/>
      <c r="H3202" s="254"/>
      <c r="I3202" s="253"/>
      <c r="J3202" s="254"/>
      <c r="K3202" s="253"/>
      <c r="L3202" s="253"/>
      <c r="M3202" s="253"/>
      <c r="N3202" s="253"/>
      <c r="O3202" s="256"/>
      <c r="P3202" s="257"/>
    </row>
    <row r="3203" spans="1:16" ht="14.25">
      <c r="A3203" s="253"/>
      <c r="B3203" s="253"/>
      <c r="C3203" s="254"/>
      <c r="D3203" s="254"/>
      <c r="E3203" s="254"/>
      <c r="F3203" s="253"/>
      <c r="G3203" s="255"/>
      <c r="H3203" s="254"/>
      <c r="I3203" s="253"/>
      <c r="J3203" s="254"/>
      <c r="K3203" s="253"/>
      <c r="L3203" s="253"/>
      <c r="M3203" s="253"/>
      <c r="N3203" s="253"/>
      <c r="O3203" s="256"/>
      <c r="P3203" s="257"/>
    </row>
    <row r="3204" spans="1:16" ht="14.25">
      <c r="A3204" s="253"/>
      <c r="B3204" s="253"/>
      <c r="C3204" s="254"/>
      <c r="D3204" s="254"/>
      <c r="E3204" s="254"/>
      <c r="F3204" s="253"/>
      <c r="G3204" s="255"/>
      <c r="H3204" s="254"/>
      <c r="I3204" s="253"/>
      <c r="J3204" s="254"/>
      <c r="K3204" s="253"/>
      <c r="L3204" s="253"/>
      <c r="M3204" s="253"/>
      <c r="N3204" s="253"/>
      <c r="O3204" s="256"/>
      <c r="P3204" s="257"/>
    </row>
    <row r="3205" spans="1:16" ht="14.25">
      <c r="A3205" s="253"/>
      <c r="B3205" s="253"/>
      <c r="C3205" s="254"/>
      <c r="D3205" s="254"/>
      <c r="E3205" s="254"/>
      <c r="F3205" s="253"/>
      <c r="G3205" s="255"/>
      <c r="H3205" s="254"/>
      <c r="I3205" s="253"/>
      <c r="J3205" s="254"/>
      <c r="K3205" s="253"/>
      <c r="L3205" s="253"/>
      <c r="M3205" s="253"/>
      <c r="N3205" s="253"/>
      <c r="O3205" s="256"/>
      <c r="P3205" s="257"/>
    </row>
    <row r="3206" spans="1:16" ht="14.25">
      <c r="A3206" s="253"/>
      <c r="B3206" s="253"/>
      <c r="C3206" s="254"/>
      <c r="D3206" s="254"/>
      <c r="E3206" s="254"/>
      <c r="F3206" s="253"/>
      <c r="G3206" s="255"/>
      <c r="H3206" s="254"/>
      <c r="I3206" s="253"/>
      <c r="J3206" s="254"/>
      <c r="K3206" s="253"/>
      <c r="L3206" s="253"/>
      <c r="M3206" s="253"/>
      <c r="N3206" s="253"/>
      <c r="O3206" s="256"/>
      <c r="P3206" s="257"/>
    </row>
    <row r="3207" spans="1:16" ht="14.25">
      <c r="A3207" s="253"/>
      <c r="B3207" s="253"/>
      <c r="C3207" s="254"/>
      <c r="D3207" s="254"/>
      <c r="E3207" s="254"/>
      <c r="F3207" s="253"/>
      <c r="G3207" s="255"/>
      <c r="H3207" s="254"/>
      <c r="I3207" s="253"/>
      <c r="J3207" s="254"/>
      <c r="K3207" s="253"/>
      <c r="L3207" s="253"/>
      <c r="M3207" s="253"/>
      <c r="N3207" s="253"/>
      <c r="O3207" s="256"/>
      <c r="P3207" s="257"/>
    </row>
    <row r="3208" spans="1:16" ht="14.25">
      <c r="A3208" s="253"/>
      <c r="B3208" s="253"/>
      <c r="C3208" s="254"/>
      <c r="D3208" s="254"/>
      <c r="E3208" s="254"/>
      <c r="F3208" s="253"/>
      <c r="G3208" s="255"/>
      <c r="H3208" s="254"/>
      <c r="I3208" s="253"/>
      <c r="J3208" s="254"/>
      <c r="K3208" s="253"/>
      <c r="L3208" s="253"/>
      <c r="M3208" s="253"/>
      <c r="N3208" s="253"/>
      <c r="O3208" s="256"/>
      <c r="P3208" s="257"/>
    </row>
    <row r="3209" spans="1:16" ht="14.25">
      <c r="A3209" s="253"/>
      <c r="B3209" s="253"/>
      <c r="C3209" s="254"/>
      <c r="D3209" s="254"/>
      <c r="E3209" s="254"/>
      <c r="F3209" s="253"/>
      <c r="G3209" s="255"/>
      <c r="H3209" s="254"/>
      <c r="I3209" s="253"/>
      <c r="J3209" s="254"/>
      <c r="K3209" s="253"/>
      <c r="L3209" s="253"/>
      <c r="M3209" s="253"/>
      <c r="N3209" s="253"/>
      <c r="O3209" s="256"/>
      <c r="P3209" s="257"/>
    </row>
    <row r="3210" spans="1:16" ht="14.25">
      <c r="A3210" s="253"/>
      <c r="B3210" s="253"/>
      <c r="C3210" s="254"/>
      <c r="D3210" s="254"/>
      <c r="E3210" s="254"/>
      <c r="F3210" s="253"/>
      <c r="G3210" s="255"/>
      <c r="H3210" s="254"/>
      <c r="I3210" s="253"/>
      <c r="J3210" s="254"/>
      <c r="K3210" s="253"/>
      <c r="L3210" s="253"/>
      <c r="M3210" s="253"/>
      <c r="N3210" s="253"/>
      <c r="O3210" s="256"/>
      <c r="P3210" s="257"/>
    </row>
    <row r="3211" spans="1:16" ht="14.25">
      <c r="A3211" s="253"/>
      <c r="B3211" s="253"/>
      <c r="C3211" s="254"/>
      <c r="D3211" s="254"/>
      <c r="E3211" s="254"/>
      <c r="F3211" s="253"/>
      <c r="G3211" s="255"/>
      <c r="H3211" s="254"/>
      <c r="I3211" s="253"/>
      <c r="J3211" s="254"/>
      <c r="K3211" s="253"/>
      <c r="L3211" s="253"/>
      <c r="M3211" s="253"/>
      <c r="N3211" s="253"/>
      <c r="O3211" s="256"/>
      <c r="P3211" s="257"/>
    </row>
    <row r="3212" spans="1:16" ht="14.25">
      <c r="A3212" s="253"/>
      <c r="B3212" s="253"/>
      <c r="C3212" s="254"/>
      <c r="D3212" s="254"/>
      <c r="E3212" s="254"/>
      <c r="F3212" s="253"/>
      <c r="G3212" s="255"/>
      <c r="H3212" s="254"/>
      <c r="I3212" s="253"/>
      <c r="J3212" s="254"/>
      <c r="K3212" s="253"/>
      <c r="L3212" s="253"/>
      <c r="M3212" s="253"/>
      <c r="N3212" s="253"/>
      <c r="O3212" s="256"/>
      <c r="P3212" s="257"/>
    </row>
    <row r="3213" spans="1:16" ht="14.25">
      <c r="A3213" s="253"/>
      <c r="B3213" s="253"/>
      <c r="C3213" s="254"/>
      <c r="D3213" s="254"/>
      <c r="E3213" s="254"/>
      <c r="F3213" s="253"/>
      <c r="G3213" s="255"/>
      <c r="H3213" s="254"/>
      <c r="I3213" s="253"/>
      <c r="J3213" s="254"/>
      <c r="K3213" s="253"/>
      <c r="L3213" s="253"/>
      <c r="M3213" s="253"/>
      <c r="N3213" s="253"/>
      <c r="O3213" s="256"/>
      <c r="P3213" s="257"/>
    </row>
    <row r="3214" spans="1:16" ht="14.25">
      <c r="A3214" s="253"/>
      <c r="B3214" s="253"/>
      <c r="C3214" s="254"/>
      <c r="D3214" s="254"/>
      <c r="E3214" s="254"/>
      <c r="F3214" s="253"/>
      <c r="G3214" s="255"/>
      <c r="H3214" s="254"/>
      <c r="I3214" s="253"/>
      <c r="J3214" s="254"/>
      <c r="K3214" s="253"/>
      <c r="L3214" s="253"/>
      <c r="M3214" s="253"/>
      <c r="N3214" s="253"/>
      <c r="O3214" s="256"/>
      <c r="P3214" s="257"/>
    </row>
    <row r="3215" spans="1:16" ht="14.25">
      <c r="A3215" s="253"/>
      <c r="B3215" s="253"/>
      <c r="C3215" s="254"/>
      <c r="D3215" s="254"/>
      <c r="E3215" s="254"/>
      <c r="F3215" s="253"/>
      <c r="G3215" s="255"/>
      <c r="H3215" s="254"/>
      <c r="I3215" s="253"/>
      <c r="J3215" s="254"/>
      <c r="K3215" s="253"/>
      <c r="L3215" s="253"/>
      <c r="M3215" s="253"/>
      <c r="N3215" s="253"/>
      <c r="O3215" s="256"/>
      <c r="P3215" s="257"/>
    </row>
    <row r="3216" spans="1:16" ht="14.25">
      <c r="A3216" s="253"/>
      <c r="B3216" s="253"/>
      <c r="C3216" s="254"/>
      <c r="D3216" s="254"/>
      <c r="E3216" s="254"/>
      <c r="F3216" s="253"/>
      <c r="G3216" s="255"/>
      <c r="H3216" s="254"/>
      <c r="I3216" s="253"/>
      <c r="J3216" s="254"/>
      <c r="K3216" s="253"/>
      <c r="L3216" s="253"/>
      <c r="M3216" s="253"/>
      <c r="N3216" s="253"/>
      <c r="O3216" s="256"/>
      <c r="P3216" s="257"/>
    </row>
    <row r="3217" spans="1:16" ht="14.25">
      <c r="A3217" s="253"/>
      <c r="B3217" s="253"/>
      <c r="C3217" s="254"/>
      <c r="D3217" s="254"/>
      <c r="E3217" s="254"/>
      <c r="F3217" s="253"/>
      <c r="G3217" s="255"/>
      <c r="H3217" s="254"/>
      <c r="I3217" s="253"/>
      <c r="J3217" s="254"/>
      <c r="K3217" s="253"/>
      <c r="L3217" s="253"/>
      <c r="M3217" s="253"/>
      <c r="N3217" s="253"/>
      <c r="O3217" s="256"/>
      <c r="P3217" s="257"/>
    </row>
    <row r="3218" spans="1:16" ht="14.25">
      <c r="A3218" s="253"/>
      <c r="B3218" s="253"/>
      <c r="C3218" s="254"/>
      <c r="D3218" s="254"/>
      <c r="E3218" s="254"/>
      <c r="F3218" s="253"/>
      <c r="G3218" s="255"/>
      <c r="H3218" s="254"/>
      <c r="I3218" s="253"/>
      <c r="J3218" s="254"/>
      <c r="K3218" s="253"/>
      <c r="L3218" s="253"/>
      <c r="M3218" s="253"/>
      <c r="N3218" s="253"/>
      <c r="O3218" s="256"/>
      <c r="P3218" s="257"/>
    </row>
    <row r="3219" spans="1:16" ht="14.25">
      <c r="A3219" s="253"/>
      <c r="B3219" s="253"/>
      <c r="C3219" s="254"/>
      <c r="D3219" s="254"/>
      <c r="E3219" s="254"/>
      <c r="F3219" s="253"/>
      <c r="G3219" s="255"/>
      <c r="H3219" s="254"/>
      <c r="I3219" s="253"/>
      <c r="J3219" s="254"/>
      <c r="K3219" s="253"/>
      <c r="L3219" s="253"/>
      <c r="M3219" s="253"/>
      <c r="N3219" s="253"/>
      <c r="O3219" s="256"/>
      <c r="P3219" s="257"/>
    </row>
    <row r="3220" spans="1:16" ht="14.25">
      <c r="A3220" s="253"/>
      <c r="B3220" s="253"/>
      <c r="C3220" s="254"/>
      <c r="D3220" s="254"/>
      <c r="E3220" s="254"/>
      <c r="F3220" s="253"/>
      <c r="G3220" s="255"/>
      <c r="H3220" s="254"/>
      <c r="I3220" s="253"/>
      <c r="J3220" s="254"/>
      <c r="K3220" s="253"/>
      <c r="L3220" s="253"/>
      <c r="M3220" s="253"/>
      <c r="N3220" s="253"/>
      <c r="O3220" s="256"/>
      <c r="P3220" s="257"/>
    </row>
    <row r="3221" spans="1:16" ht="14.25">
      <c r="A3221" s="253"/>
      <c r="B3221" s="253"/>
      <c r="C3221" s="254"/>
      <c r="D3221" s="254"/>
      <c r="E3221" s="254"/>
      <c r="F3221" s="253"/>
      <c r="G3221" s="255"/>
      <c r="H3221" s="254"/>
      <c r="I3221" s="253"/>
      <c r="J3221" s="254"/>
      <c r="K3221" s="253"/>
      <c r="L3221" s="253"/>
      <c r="M3221" s="253"/>
      <c r="N3221" s="253"/>
      <c r="O3221" s="256"/>
      <c r="P3221" s="257"/>
    </row>
    <row r="3222" spans="1:16" ht="14.25">
      <c r="A3222" s="253"/>
      <c r="B3222" s="253"/>
      <c r="C3222" s="254"/>
      <c r="D3222" s="254"/>
      <c r="E3222" s="254"/>
      <c r="F3222" s="253"/>
      <c r="G3222" s="255"/>
      <c r="H3222" s="254"/>
      <c r="I3222" s="253"/>
      <c r="J3222" s="254"/>
      <c r="K3222" s="253"/>
      <c r="L3222" s="253"/>
      <c r="M3222" s="253"/>
      <c r="N3222" s="253"/>
      <c r="O3222" s="256"/>
      <c r="P3222" s="257"/>
    </row>
    <row r="3223" spans="1:16" ht="14.25">
      <c r="A3223" s="253"/>
      <c r="B3223" s="253"/>
      <c r="C3223" s="254"/>
      <c r="D3223" s="254"/>
      <c r="E3223" s="254"/>
      <c r="F3223" s="253"/>
      <c r="G3223" s="255"/>
      <c r="H3223" s="254"/>
      <c r="I3223" s="253"/>
      <c r="J3223" s="254"/>
      <c r="K3223" s="253"/>
      <c r="L3223" s="253"/>
      <c r="M3223" s="253"/>
      <c r="N3223" s="253"/>
      <c r="O3223" s="256"/>
      <c r="P3223" s="257"/>
    </row>
    <row r="3224" spans="1:16" ht="14.25">
      <c r="A3224" s="253"/>
      <c r="B3224" s="253"/>
      <c r="C3224" s="254"/>
      <c r="D3224" s="254"/>
      <c r="E3224" s="254"/>
      <c r="F3224" s="253"/>
      <c r="G3224" s="255"/>
      <c r="H3224" s="254"/>
      <c r="I3224" s="253"/>
      <c r="J3224" s="254"/>
      <c r="K3224" s="253"/>
      <c r="L3224" s="253"/>
      <c r="M3224" s="253"/>
      <c r="N3224" s="253"/>
      <c r="O3224" s="256"/>
      <c r="P3224" s="257"/>
    </row>
    <row r="3225" spans="1:16" ht="14.25">
      <c r="A3225" s="253"/>
      <c r="B3225" s="253"/>
      <c r="C3225" s="254"/>
      <c r="D3225" s="254"/>
      <c r="E3225" s="254"/>
      <c r="F3225" s="253"/>
      <c r="G3225" s="255"/>
      <c r="H3225" s="254"/>
      <c r="I3225" s="253"/>
      <c r="J3225" s="254"/>
      <c r="K3225" s="253"/>
      <c r="L3225" s="253"/>
      <c r="M3225" s="253"/>
      <c r="N3225" s="253"/>
      <c r="O3225" s="256"/>
      <c r="P3225" s="257"/>
    </row>
    <row r="3226" spans="1:16" ht="14.25">
      <c r="A3226" s="253"/>
      <c r="B3226" s="253"/>
      <c r="C3226" s="254"/>
      <c r="D3226" s="254"/>
      <c r="E3226" s="254"/>
      <c r="F3226" s="253"/>
      <c r="G3226" s="255"/>
      <c r="H3226" s="254"/>
      <c r="I3226" s="253"/>
      <c r="J3226" s="254"/>
      <c r="K3226" s="253"/>
      <c r="L3226" s="253"/>
      <c r="M3226" s="253"/>
      <c r="N3226" s="253"/>
      <c r="O3226" s="256"/>
      <c r="P3226" s="257"/>
    </row>
    <row r="3227" spans="1:16" ht="14.25">
      <c r="A3227" s="253"/>
      <c r="B3227" s="253"/>
      <c r="C3227" s="254"/>
      <c r="D3227" s="254"/>
      <c r="E3227" s="254"/>
      <c r="F3227" s="253"/>
      <c r="G3227" s="255"/>
      <c r="H3227" s="254"/>
      <c r="I3227" s="253"/>
      <c r="J3227" s="254"/>
      <c r="K3227" s="253"/>
      <c r="L3227" s="253"/>
      <c r="M3227" s="253"/>
      <c r="N3227" s="253"/>
      <c r="O3227" s="256"/>
      <c r="P3227" s="257"/>
    </row>
    <row r="3228" spans="1:16" ht="14.25">
      <c r="A3228" s="253"/>
      <c r="B3228" s="253"/>
      <c r="C3228" s="254"/>
      <c r="D3228" s="254"/>
      <c r="E3228" s="254"/>
      <c r="F3228" s="253"/>
      <c r="G3228" s="255"/>
      <c r="H3228" s="254"/>
      <c r="I3228" s="253"/>
      <c r="J3228" s="254"/>
      <c r="K3228" s="253"/>
      <c r="L3228" s="253"/>
      <c r="M3228" s="253"/>
      <c r="N3228" s="253"/>
      <c r="O3228" s="256"/>
      <c r="P3228" s="257"/>
    </row>
    <row r="3229" spans="1:16" ht="14.25">
      <c r="A3229" s="253"/>
      <c r="B3229" s="253"/>
      <c r="C3229" s="254"/>
      <c r="D3229" s="254"/>
      <c r="E3229" s="254"/>
      <c r="F3229" s="253"/>
      <c r="G3229" s="255"/>
      <c r="H3229" s="254"/>
      <c r="I3229" s="253"/>
      <c r="J3229" s="254"/>
      <c r="K3229" s="253"/>
      <c r="L3229" s="253"/>
      <c r="M3229" s="253"/>
      <c r="N3229" s="253"/>
      <c r="O3229" s="256"/>
      <c r="P3229" s="257"/>
    </row>
    <row r="3230" spans="1:16" ht="14.25">
      <c r="A3230" s="253"/>
      <c r="B3230" s="253"/>
      <c r="C3230" s="254"/>
      <c r="D3230" s="254"/>
      <c r="E3230" s="254"/>
      <c r="F3230" s="253"/>
      <c r="G3230" s="255"/>
      <c r="H3230" s="254"/>
      <c r="I3230" s="253"/>
      <c r="J3230" s="254"/>
      <c r="K3230" s="253"/>
      <c r="L3230" s="253"/>
      <c r="M3230" s="253"/>
      <c r="N3230" s="253"/>
      <c r="O3230" s="256"/>
      <c r="P3230" s="257"/>
    </row>
    <row r="3231" spans="1:16" ht="14.25">
      <c r="A3231" s="253"/>
      <c r="B3231" s="253"/>
      <c r="C3231" s="254"/>
      <c r="D3231" s="254"/>
      <c r="E3231" s="254"/>
      <c r="F3231" s="253"/>
      <c r="G3231" s="255"/>
      <c r="H3231" s="254"/>
      <c r="I3231" s="253"/>
      <c r="J3231" s="254"/>
      <c r="K3231" s="253"/>
      <c r="L3231" s="253"/>
      <c r="M3231" s="253"/>
      <c r="N3231" s="253"/>
      <c r="O3231" s="256"/>
      <c r="P3231" s="257"/>
    </row>
    <row r="3232" spans="1:16" ht="14.25">
      <c r="A3232" s="253"/>
      <c r="B3232" s="253"/>
      <c r="C3232" s="254"/>
      <c r="D3232" s="254"/>
      <c r="E3232" s="254"/>
      <c r="F3232" s="253"/>
      <c r="G3232" s="255"/>
      <c r="H3232" s="254"/>
      <c r="I3232" s="253"/>
      <c r="J3232" s="254"/>
      <c r="K3232" s="253"/>
      <c r="L3232" s="253"/>
      <c r="M3232" s="253"/>
      <c r="N3232" s="253"/>
      <c r="O3232" s="256"/>
      <c r="P3232" s="257"/>
    </row>
    <row r="3233" spans="1:16" ht="14.25">
      <c r="A3233" s="253"/>
      <c r="B3233" s="253"/>
      <c r="C3233" s="254"/>
      <c r="D3233" s="254"/>
      <c r="E3233" s="254"/>
      <c r="F3233" s="253"/>
      <c r="G3233" s="255"/>
      <c r="H3233" s="254"/>
      <c r="I3233" s="253"/>
      <c r="J3233" s="254"/>
      <c r="K3233" s="253"/>
      <c r="L3233" s="253"/>
      <c r="M3233" s="253"/>
      <c r="N3233" s="253"/>
      <c r="O3233" s="256"/>
      <c r="P3233" s="257"/>
    </row>
    <row r="3234" spans="1:16" ht="14.25">
      <c r="A3234" s="253"/>
      <c r="B3234" s="253"/>
      <c r="C3234" s="254"/>
      <c r="D3234" s="254"/>
      <c r="E3234" s="254"/>
      <c r="F3234" s="253"/>
      <c r="G3234" s="255"/>
      <c r="H3234" s="254"/>
      <c r="I3234" s="253"/>
      <c r="J3234" s="254"/>
      <c r="K3234" s="253"/>
      <c r="L3234" s="253"/>
      <c r="M3234" s="253"/>
      <c r="N3234" s="253"/>
      <c r="O3234" s="256"/>
      <c r="P3234" s="257"/>
    </row>
    <row r="3235" spans="1:16" ht="14.25">
      <c r="A3235" s="253"/>
      <c r="B3235" s="253"/>
      <c r="C3235" s="254"/>
      <c r="D3235" s="254"/>
      <c r="E3235" s="254"/>
      <c r="F3235" s="253"/>
      <c r="G3235" s="255"/>
      <c r="H3235" s="254"/>
      <c r="I3235" s="253"/>
      <c r="J3235" s="254"/>
      <c r="K3235" s="253"/>
      <c r="L3235" s="253"/>
      <c r="M3235" s="253"/>
      <c r="N3235" s="253"/>
      <c r="O3235" s="256"/>
      <c r="P3235" s="257"/>
    </row>
    <row r="3236" spans="1:16" ht="14.25">
      <c r="A3236" s="253"/>
      <c r="B3236" s="253"/>
      <c r="C3236" s="254"/>
      <c r="D3236" s="254"/>
      <c r="E3236" s="254"/>
      <c r="F3236" s="253"/>
      <c r="G3236" s="255"/>
      <c r="H3236" s="254"/>
      <c r="I3236" s="253"/>
      <c r="J3236" s="254"/>
      <c r="K3236" s="253"/>
      <c r="L3236" s="253"/>
      <c r="M3236" s="253"/>
      <c r="N3236" s="253"/>
      <c r="O3236" s="256"/>
      <c r="P3236" s="257"/>
    </row>
    <row r="3237" spans="1:16" ht="14.25">
      <c r="A3237" s="253"/>
      <c r="B3237" s="253"/>
      <c r="C3237" s="254"/>
      <c r="D3237" s="254"/>
      <c r="E3237" s="254"/>
      <c r="F3237" s="253"/>
      <c r="G3237" s="255"/>
      <c r="H3237" s="254"/>
      <c r="I3237" s="253"/>
      <c r="J3237" s="254"/>
      <c r="K3237" s="253"/>
      <c r="L3237" s="253"/>
      <c r="M3237" s="253"/>
      <c r="N3237" s="253"/>
      <c r="O3237" s="256"/>
      <c r="P3237" s="257"/>
    </row>
    <row r="3238" spans="1:16" ht="14.25">
      <c r="A3238" s="253"/>
      <c r="B3238" s="253"/>
      <c r="C3238" s="254"/>
      <c r="D3238" s="254"/>
      <c r="E3238" s="254"/>
      <c r="F3238" s="253"/>
      <c r="G3238" s="255"/>
      <c r="H3238" s="254"/>
      <c r="I3238" s="253"/>
      <c r="J3238" s="254"/>
      <c r="K3238" s="253"/>
      <c r="L3238" s="253"/>
      <c r="M3238" s="253"/>
      <c r="N3238" s="253"/>
      <c r="O3238" s="256"/>
      <c r="P3238" s="257"/>
    </row>
    <row r="3239" spans="1:16" ht="14.25">
      <c r="A3239" s="253"/>
      <c r="B3239" s="253"/>
      <c r="C3239" s="254"/>
      <c r="D3239" s="254"/>
      <c r="E3239" s="254"/>
      <c r="F3239" s="253"/>
      <c r="G3239" s="255"/>
      <c r="H3239" s="254"/>
      <c r="I3239" s="253"/>
      <c r="J3239" s="254"/>
      <c r="K3239" s="253"/>
      <c r="L3239" s="253"/>
      <c r="M3239" s="253"/>
      <c r="N3239" s="253"/>
      <c r="O3239" s="256"/>
      <c r="P3239" s="257"/>
    </row>
    <row r="3240" spans="1:16" ht="14.25">
      <c r="A3240" s="253"/>
      <c r="B3240" s="253"/>
      <c r="C3240" s="254"/>
      <c r="D3240" s="254"/>
      <c r="E3240" s="254"/>
      <c r="F3240" s="253"/>
      <c r="G3240" s="255"/>
      <c r="H3240" s="254"/>
      <c r="I3240" s="253"/>
      <c r="J3240" s="254"/>
      <c r="K3240" s="253"/>
      <c r="L3240" s="253"/>
      <c r="M3240" s="253"/>
      <c r="N3240" s="253"/>
      <c r="O3240" s="256"/>
      <c r="P3240" s="257"/>
    </row>
    <row r="3241" spans="1:16" ht="14.25">
      <c r="A3241" s="253"/>
      <c r="B3241" s="253"/>
      <c r="C3241" s="254"/>
      <c r="D3241" s="254"/>
      <c r="E3241" s="254"/>
      <c r="F3241" s="253"/>
      <c r="G3241" s="255"/>
      <c r="H3241" s="254"/>
      <c r="I3241" s="253"/>
      <c r="J3241" s="254"/>
      <c r="K3241" s="253"/>
      <c r="L3241" s="253"/>
      <c r="M3241" s="253"/>
      <c r="N3241" s="253"/>
      <c r="O3241" s="256"/>
      <c r="P3241" s="257"/>
    </row>
    <row r="3242" spans="1:16" ht="14.25">
      <c r="A3242" s="253"/>
      <c r="B3242" s="253"/>
      <c r="C3242" s="254"/>
      <c r="D3242" s="254"/>
      <c r="E3242" s="254"/>
      <c r="F3242" s="253"/>
      <c r="G3242" s="255"/>
      <c r="H3242" s="254"/>
      <c r="I3242" s="253"/>
      <c r="J3242" s="254"/>
      <c r="K3242" s="253"/>
      <c r="L3242" s="253"/>
      <c r="M3242" s="253"/>
      <c r="N3242" s="253"/>
      <c r="O3242" s="256"/>
      <c r="P3242" s="257"/>
    </row>
    <row r="3243" spans="1:16" ht="14.25">
      <c r="A3243" s="253"/>
      <c r="B3243" s="253"/>
      <c r="C3243" s="254"/>
      <c r="D3243" s="254"/>
      <c r="E3243" s="254"/>
      <c r="F3243" s="253"/>
      <c r="G3243" s="255"/>
      <c r="H3243" s="254"/>
      <c r="I3243" s="253"/>
      <c r="J3243" s="254"/>
      <c r="K3243" s="253"/>
      <c r="L3243" s="253"/>
      <c r="M3243" s="253"/>
      <c r="N3243" s="253"/>
      <c r="O3243" s="256"/>
      <c r="P3243" s="257"/>
    </row>
    <row r="3244" spans="1:16" ht="14.25">
      <c r="A3244" s="253"/>
      <c r="B3244" s="253"/>
      <c r="C3244" s="254"/>
      <c r="D3244" s="254"/>
      <c r="E3244" s="254"/>
      <c r="F3244" s="253"/>
      <c r="G3244" s="255"/>
      <c r="H3244" s="254"/>
      <c r="I3244" s="253"/>
      <c r="J3244" s="254"/>
      <c r="K3244" s="253"/>
      <c r="L3244" s="253"/>
      <c r="M3244" s="253"/>
      <c r="N3244" s="253"/>
      <c r="O3244" s="256"/>
      <c r="P3244" s="257"/>
    </row>
    <row r="3245" spans="1:16" ht="14.25">
      <c r="A3245" s="253"/>
      <c r="B3245" s="253"/>
      <c r="C3245" s="254"/>
      <c r="D3245" s="254"/>
      <c r="E3245" s="254"/>
      <c r="F3245" s="253"/>
      <c r="G3245" s="255"/>
      <c r="H3245" s="254"/>
      <c r="I3245" s="253"/>
      <c r="J3245" s="254"/>
      <c r="K3245" s="253"/>
      <c r="L3245" s="253"/>
      <c r="M3245" s="253"/>
      <c r="N3245" s="253"/>
      <c r="O3245" s="256"/>
      <c r="P3245" s="257"/>
    </row>
    <row r="3246" spans="1:16" ht="14.25">
      <c r="A3246" s="253"/>
      <c r="B3246" s="253"/>
      <c r="C3246" s="254"/>
      <c r="D3246" s="254"/>
      <c r="E3246" s="254"/>
      <c r="F3246" s="253"/>
      <c r="G3246" s="255"/>
      <c r="H3246" s="254"/>
      <c r="I3246" s="253"/>
      <c r="J3246" s="254"/>
      <c r="K3246" s="253"/>
      <c r="L3246" s="253"/>
      <c r="M3246" s="253"/>
      <c r="N3246" s="253"/>
      <c r="O3246" s="256"/>
      <c r="P3246" s="257"/>
    </row>
    <row r="3247" spans="1:16" ht="14.25">
      <c r="A3247" s="253"/>
      <c r="B3247" s="253"/>
      <c r="C3247" s="254"/>
      <c r="D3247" s="254"/>
      <c r="E3247" s="254"/>
      <c r="F3247" s="253"/>
      <c r="G3247" s="255"/>
      <c r="H3247" s="254"/>
      <c r="I3247" s="253"/>
      <c r="J3247" s="254"/>
      <c r="K3247" s="253"/>
      <c r="L3247" s="253"/>
      <c r="M3247" s="253"/>
      <c r="N3247" s="253"/>
      <c r="O3247" s="256"/>
      <c r="P3247" s="257"/>
    </row>
    <row r="3248" spans="1:16" ht="14.25">
      <c r="A3248" s="253"/>
      <c r="B3248" s="253"/>
      <c r="C3248" s="254"/>
      <c r="D3248" s="254"/>
      <c r="E3248" s="254"/>
      <c r="F3248" s="253"/>
      <c r="G3248" s="255"/>
      <c r="H3248" s="254"/>
      <c r="I3248" s="253"/>
      <c r="J3248" s="254"/>
      <c r="K3248" s="253"/>
      <c r="L3248" s="253"/>
      <c r="M3248" s="253"/>
      <c r="N3248" s="253"/>
      <c r="O3248" s="256"/>
      <c r="P3248" s="257"/>
    </row>
    <row r="3249" spans="1:16" ht="14.25">
      <c r="A3249" s="253"/>
      <c r="B3249" s="253"/>
      <c r="C3249" s="254"/>
      <c r="D3249" s="254"/>
      <c r="E3249" s="254"/>
      <c r="F3249" s="253"/>
      <c r="G3249" s="255"/>
      <c r="H3249" s="254"/>
      <c r="I3249" s="253"/>
      <c r="J3249" s="254"/>
      <c r="K3249" s="253"/>
      <c r="L3249" s="253"/>
      <c r="M3249" s="253"/>
      <c r="N3249" s="253"/>
      <c r="O3249" s="256"/>
      <c r="P3249" s="257"/>
    </row>
    <row r="3250" spans="1:16" ht="14.25">
      <c r="A3250" s="253"/>
      <c r="B3250" s="253"/>
      <c r="C3250" s="254"/>
      <c r="D3250" s="254"/>
      <c r="E3250" s="254"/>
      <c r="F3250" s="253"/>
      <c r="G3250" s="255"/>
      <c r="H3250" s="254"/>
      <c r="I3250" s="253"/>
      <c r="J3250" s="254"/>
      <c r="K3250" s="253"/>
      <c r="L3250" s="253"/>
      <c r="M3250" s="253"/>
      <c r="N3250" s="253"/>
      <c r="O3250" s="256"/>
      <c r="P3250" s="257"/>
    </row>
    <row r="3251" spans="1:16" ht="14.25">
      <c r="A3251" s="253"/>
      <c r="B3251" s="253"/>
      <c r="C3251" s="254"/>
      <c r="D3251" s="254"/>
      <c r="E3251" s="254"/>
      <c r="F3251" s="253"/>
      <c r="G3251" s="255"/>
      <c r="H3251" s="254"/>
      <c r="I3251" s="253"/>
      <c r="J3251" s="254"/>
      <c r="K3251" s="253"/>
      <c r="L3251" s="253"/>
      <c r="M3251" s="253"/>
      <c r="N3251" s="253"/>
      <c r="O3251" s="256"/>
      <c r="P3251" s="257"/>
    </row>
    <row r="3252" spans="1:16" ht="14.25">
      <c r="A3252" s="253"/>
      <c r="B3252" s="253"/>
      <c r="C3252" s="254"/>
      <c r="D3252" s="254"/>
      <c r="E3252" s="254"/>
      <c r="F3252" s="253"/>
      <c r="G3252" s="255"/>
      <c r="H3252" s="254"/>
      <c r="I3252" s="253"/>
      <c r="J3252" s="254"/>
      <c r="K3252" s="253"/>
      <c r="L3252" s="253"/>
      <c r="M3252" s="253"/>
      <c r="N3252" s="253"/>
      <c r="O3252" s="256"/>
      <c r="P3252" s="257"/>
    </row>
    <row r="3253" spans="1:16" ht="14.25">
      <c r="A3253" s="253"/>
      <c r="B3253" s="253"/>
      <c r="C3253" s="254"/>
      <c r="D3253" s="254"/>
      <c r="E3253" s="254"/>
      <c r="F3253" s="253"/>
      <c r="G3253" s="255"/>
      <c r="H3253" s="254"/>
      <c r="I3253" s="253"/>
      <c r="J3253" s="254"/>
      <c r="K3253" s="253"/>
      <c r="L3253" s="253"/>
      <c r="M3253" s="253"/>
      <c r="N3253" s="253"/>
      <c r="O3253" s="256"/>
      <c r="P3253" s="257"/>
    </row>
    <row r="3254" spans="1:16" ht="14.25">
      <c r="A3254" s="253"/>
      <c r="B3254" s="253"/>
      <c r="C3254" s="254"/>
      <c r="D3254" s="254"/>
      <c r="E3254" s="254"/>
      <c r="F3254" s="253"/>
      <c r="G3254" s="255"/>
      <c r="H3254" s="254"/>
      <c r="I3254" s="253"/>
      <c r="J3254" s="254"/>
      <c r="K3254" s="253"/>
      <c r="L3254" s="253"/>
      <c r="M3254" s="253"/>
      <c r="N3254" s="253"/>
      <c r="O3254" s="256"/>
      <c r="P3254" s="257"/>
    </row>
    <row r="3255" spans="1:16" ht="14.25">
      <c r="A3255" s="253"/>
      <c r="B3255" s="253"/>
      <c r="C3255" s="254"/>
      <c r="D3255" s="254"/>
      <c r="E3255" s="254"/>
      <c r="F3255" s="253"/>
      <c r="G3255" s="255"/>
      <c r="H3255" s="254"/>
      <c r="I3255" s="253"/>
      <c r="J3255" s="254"/>
      <c r="K3255" s="253"/>
      <c r="L3255" s="253"/>
      <c r="M3255" s="253"/>
      <c r="N3255" s="253"/>
      <c r="O3255" s="256"/>
      <c r="P3255" s="257"/>
    </row>
    <row r="3256" spans="1:16" ht="14.25">
      <c r="A3256" s="253"/>
      <c r="B3256" s="253"/>
      <c r="C3256" s="254"/>
      <c r="D3256" s="254"/>
      <c r="E3256" s="254"/>
      <c r="F3256" s="253"/>
      <c r="G3256" s="255"/>
      <c r="H3256" s="254"/>
      <c r="I3256" s="253"/>
      <c r="J3256" s="254"/>
      <c r="K3256" s="253"/>
      <c r="L3256" s="253"/>
      <c r="M3256" s="253"/>
      <c r="N3256" s="253"/>
      <c r="O3256" s="256"/>
      <c r="P3256" s="257"/>
    </row>
    <row r="3257" spans="1:16" ht="14.25">
      <c r="A3257" s="253"/>
      <c r="B3257" s="253"/>
      <c r="C3257" s="254"/>
      <c r="D3257" s="254"/>
      <c r="E3257" s="254"/>
      <c r="F3257" s="253"/>
      <c r="G3257" s="255"/>
      <c r="H3257" s="254"/>
      <c r="I3257" s="253"/>
      <c r="J3257" s="254"/>
      <c r="K3257" s="253"/>
      <c r="L3257" s="253"/>
      <c r="M3257" s="253"/>
      <c r="N3257" s="253"/>
      <c r="O3257" s="256"/>
      <c r="P3257" s="257"/>
    </row>
    <row r="3258" spans="1:16" ht="14.25">
      <c r="A3258" s="253"/>
      <c r="B3258" s="253"/>
      <c r="C3258" s="254"/>
      <c r="D3258" s="254"/>
      <c r="E3258" s="254"/>
      <c r="F3258" s="253"/>
      <c r="G3258" s="255"/>
      <c r="H3258" s="254"/>
      <c r="I3258" s="253"/>
      <c r="J3258" s="254"/>
      <c r="K3258" s="253"/>
      <c r="L3258" s="253"/>
      <c r="M3258" s="253"/>
      <c r="N3258" s="253"/>
      <c r="O3258" s="256"/>
      <c r="P3258" s="257"/>
    </row>
    <row r="3259" spans="1:16" ht="14.25">
      <c r="A3259" s="253"/>
      <c r="B3259" s="253"/>
      <c r="C3259" s="254"/>
      <c r="D3259" s="254"/>
      <c r="E3259" s="254"/>
      <c r="F3259" s="253"/>
      <c r="G3259" s="255"/>
      <c r="H3259" s="254"/>
      <c r="I3259" s="253"/>
      <c r="J3259" s="254"/>
      <c r="K3259" s="253"/>
      <c r="L3259" s="253"/>
      <c r="M3259" s="253"/>
      <c r="N3259" s="253"/>
      <c r="O3259" s="256"/>
      <c r="P3259" s="257"/>
    </row>
    <row r="3260" spans="1:16" ht="14.25">
      <c r="A3260" s="253"/>
      <c r="B3260" s="253"/>
      <c r="C3260" s="254"/>
      <c r="D3260" s="254"/>
      <c r="E3260" s="254"/>
      <c r="F3260" s="253"/>
      <c r="G3260" s="255"/>
      <c r="H3260" s="254"/>
      <c r="I3260" s="253"/>
      <c r="J3260" s="254"/>
      <c r="K3260" s="253"/>
      <c r="L3260" s="253"/>
      <c r="M3260" s="253"/>
      <c r="N3260" s="253"/>
      <c r="O3260" s="256"/>
      <c r="P3260" s="257"/>
    </row>
    <row r="3261" spans="1:16" ht="14.25">
      <c r="A3261" s="253"/>
      <c r="B3261" s="253"/>
      <c r="C3261" s="254"/>
      <c r="D3261" s="254"/>
      <c r="E3261" s="254"/>
      <c r="F3261" s="253"/>
      <c r="G3261" s="255"/>
      <c r="H3261" s="254"/>
      <c r="I3261" s="253"/>
      <c r="J3261" s="254"/>
      <c r="K3261" s="253"/>
      <c r="L3261" s="253"/>
      <c r="M3261" s="253"/>
      <c r="N3261" s="253"/>
      <c r="O3261" s="256"/>
      <c r="P3261" s="257"/>
    </row>
    <row r="3262" spans="1:16" ht="14.25">
      <c r="A3262" s="253"/>
      <c r="B3262" s="253"/>
      <c r="C3262" s="254"/>
      <c r="D3262" s="254"/>
      <c r="E3262" s="254"/>
      <c r="F3262" s="253"/>
      <c r="G3262" s="255"/>
      <c r="H3262" s="254"/>
      <c r="I3262" s="253"/>
      <c r="J3262" s="254"/>
      <c r="K3262" s="253"/>
      <c r="L3262" s="253"/>
      <c r="M3262" s="253"/>
      <c r="N3262" s="253"/>
      <c r="O3262" s="256"/>
      <c r="P3262" s="257"/>
    </row>
    <row r="3263" spans="1:16" ht="14.25">
      <c r="A3263" s="253"/>
      <c r="B3263" s="253"/>
      <c r="C3263" s="254"/>
      <c r="D3263" s="254"/>
      <c r="E3263" s="254"/>
      <c r="F3263" s="253"/>
      <c r="G3263" s="255"/>
      <c r="H3263" s="254"/>
      <c r="I3263" s="253"/>
      <c r="J3263" s="254"/>
      <c r="K3263" s="253"/>
      <c r="L3263" s="253"/>
      <c r="M3263" s="253"/>
      <c r="N3263" s="253"/>
      <c r="O3263" s="256"/>
      <c r="P3263" s="257"/>
    </row>
    <row r="3264" spans="1:16" ht="14.25">
      <c r="A3264" s="253"/>
      <c r="B3264" s="253"/>
      <c r="C3264" s="254"/>
      <c r="D3264" s="254"/>
      <c r="E3264" s="254"/>
      <c r="F3264" s="253"/>
      <c r="G3264" s="255"/>
      <c r="H3264" s="254"/>
      <c r="I3264" s="253"/>
      <c r="J3264" s="254"/>
      <c r="K3264" s="253"/>
      <c r="L3264" s="253"/>
      <c r="M3264" s="253"/>
      <c r="N3264" s="253"/>
      <c r="O3264" s="256"/>
      <c r="P3264" s="257"/>
    </row>
    <row r="3265" spans="1:16" ht="14.25">
      <c r="A3265" s="253"/>
      <c r="B3265" s="253"/>
      <c r="C3265" s="254"/>
      <c r="D3265" s="254"/>
      <c r="E3265" s="254"/>
      <c r="F3265" s="253"/>
      <c r="G3265" s="255"/>
      <c r="H3265" s="254"/>
      <c r="I3265" s="253"/>
      <c r="J3265" s="254"/>
      <c r="K3265" s="253"/>
      <c r="L3265" s="253"/>
      <c r="M3265" s="253"/>
      <c r="N3265" s="253"/>
      <c r="O3265" s="256"/>
      <c r="P3265" s="257"/>
    </row>
    <row r="3266" spans="1:16" ht="14.25">
      <c r="A3266" s="253"/>
      <c r="B3266" s="253"/>
      <c r="C3266" s="254"/>
      <c r="D3266" s="254"/>
      <c r="E3266" s="254"/>
      <c r="F3266" s="253"/>
      <c r="G3266" s="255"/>
      <c r="H3266" s="254"/>
      <c r="I3266" s="253"/>
      <c r="J3266" s="254"/>
      <c r="K3266" s="253"/>
      <c r="L3266" s="253"/>
      <c r="M3266" s="253"/>
      <c r="N3266" s="253"/>
      <c r="O3266" s="256"/>
      <c r="P3266" s="257"/>
    </row>
    <row r="3267" spans="1:16" ht="14.25">
      <c r="A3267" s="253"/>
      <c r="B3267" s="253"/>
      <c r="C3267" s="254"/>
      <c r="D3267" s="254"/>
      <c r="E3267" s="254"/>
      <c r="F3267" s="253"/>
      <c r="G3267" s="255"/>
      <c r="H3267" s="254"/>
      <c r="I3267" s="253"/>
      <c r="J3267" s="254"/>
      <c r="K3267" s="253"/>
      <c r="L3267" s="253"/>
      <c r="M3267" s="253"/>
      <c r="N3267" s="253"/>
      <c r="O3267" s="256"/>
      <c r="P3267" s="257"/>
    </row>
    <row r="3268" spans="1:16" ht="14.25">
      <c r="A3268" s="253"/>
      <c r="B3268" s="253"/>
      <c r="C3268" s="254"/>
      <c r="D3268" s="254"/>
      <c r="E3268" s="254"/>
      <c r="F3268" s="253"/>
      <c r="G3268" s="255"/>
      <c r="H3268" s="254"/>
      <c r="I3268" s="253"/>
      <c r="J3268" s="254"/>
      <c r="K3268" s="253"/>
      <c r="L3268" s="253"/>
      <c r="M3268" s="253"/>
      <c r="N3268" s="253"/>
      <c r="O3268" s="256"/>
      <c r="P3268" s="257"/>
    </row>
    <row r="3269" spans="1:16" ht="14.25">
      <c r="A3269" s="253"/>
      <c r="B3269" s="253"/>
      <c r="C3269" s="254"/>
      <c r="D3269" s="254"/>
      <c r="E3269" s="254"/>
      <c r="F3269" s="253"/>
      <c r="G3269" s="255"/>
      <c r="H3269" s="254"/>
      <c r="I3269" s="253"/>
      <c r="J3269" s="254"/>
      <c r="K3269" s="253"/>
      <c r="L3269" s="253"/>
      <c r="M3269" s="253"/>
      <c r="N3269" s="253"/>
      <c r="O3269" s="256"/>
      <c r="P3269" s="257"/>
    </row>
    <row r="3270" spans="1:16" ht="14.25">
      <c r="A3270" s="253"/>
      <c r="B3270" s="253"/>
      <c r="C3270" s="254"/>
      <c r="D3270" s="254"/>
      <c r="E3270" s="254"/>
      <c r="F3270" s="253"/>
      <c r="G3270" s="255"/>
      <c r="H3270" s="254"/>
      <c r="I3270" s="253"/>
      <c r="J3270" s="254"/>
      <c r="K3270" s="253"/>
      <c r="L3270" s="253"/>
      <c r="M3270" s="253"/>
      <c r="N3270" s="253"/>
      <c r="O3270" s="256"/>
      <c r="P3270" s="257"/>
    </row>
    <row r="3271" spans="1:16" ht="14.25">
      <c r="A3271" s="253"/>
      <c r="B3271" s="253"/>
      <c r="C3271" s="254"/>
      <c r="D3271" s="254"/>
      <c r="E3271" s="254"/>
      <c r="F3271" s="253"/>
      <c r="G3271" s="255"/>
      <c r="H3271" s="254"/>
      <c r="I3271" s="253"/>
      <c r="J3271" s="254"/>
      <c r="K3271" s="253"/>
      <c r="L3271" s="253"/>
      <c r="M3271" s="253"/>
      <c r="N3271" s="253"/>
      <c r="O3271" s="256"/>
      <c r="P3271" s="257"/>
    </row>
    <row r="3272" spans="1:16" ht="14.25">
      <c r="A3272" s="253"/>
      <c r="B3272" s="253"/>
      <c r="C3272" s="254"/>
      <c r="D3272" s="254"/>
      <c r="E3272" s="254"/>
      <c r="F3272" s="253"/>
      <c r="G3272" s="255"/>
      <c r="H3272" s="254"/>
      <c r="I3272" s="253"/>
      <c r="J3272" s="254"/>
      <c r="K3272" s="253"/>
      <c r="L3272" s="253"/>
      <c r="M3272" s="253"/>
      <c r="N3272" s="253"/>
      <c r="O3272" s="256"/>
      <c r="P3272" s="257"/>
    </row>
    <row r="3273" spans="1:16" ht="14.25">
      <c r="A3273" s="253"/>
      <c r="B3273" s="253"/>
      <c r="C3273" s="254"/>
      <c r="D3273" s="254"/>
      <c r="E3273" s="254"/>
      <c r="F3273" s="253"/>
      <c r="G3273" s="255"/>
      <c r="H3273" s="254"/>
      <c r="I3273" s="253"/>
      <c r="J3273" s="254"/>
      <c r="K3273" s="253"/>
      <c r="L3273" s="253"/>
      <c r="M3273" s="253"/>
      <c r="N3273" s="253"/>
      <c r="O3273" s="256"/>
      <c r="P3273" s="257"/>
    </row>
    <row r="3274" spans="1:16" ht="14.25">
      <c r="A3274" s="253"/>
      <c r="B3274" s="253"/>
      <c r="C3274" s="254"/>
      <c r="D3274" s="254"/>
      <c r="E3274" s="254"/>
      <c r="F3274" s="253"/>
      <c r="G3274" s="255"/>
      <c r="H3274" s="254"/>
      <c r="I3274" s="253"/>
      <c r="J3274" s="254"/>
      <c r="K3274" s="253"/>
      <c r="L3274" s="253"/>
      <c r="M3274" s="253"/>
      <c r="N3274" s="253"/>
      <c r="O3274" s="256"/>
      <c r="P3274" s="257"/>
    </row>
    <row r="3275" spans="1:16" ht="14.25">
      <c r="A3275" s="253"/>
      <c r="B3275" s="253"/>
      <c r="C3275" s="254"/>
      <c r="D3275" s="254"/>
      <c r="E3275" s="254"/>
      <c r="F3275" s="253"/>
      <c r="G3275" s="255"/>
      <c r="H3275" s="254"/>
      <c r="I3275" s="253"/>
      <c r="J3275" s="254"/>
      <c r="K3275" s="253"/>
      <c r="L3275" s="253"/>
      <c r="M3275" s="253"/>
      <c r="N3275" s="253"/>
      <c r="O3275" s="256"/>
      <c r="P3275" s="257"/>
    </row>
    <row r="3276" spans="1:16" ht="14.25">
      <c r="A3276" s="253"/>
      <c r="B3276" s="253"/>
      <c r="C3276" s="254"/>
      <c r="D3276" s="254"/>
      <c r="E3276" s="254"/>
      <c r="F3276" s="253"/>
      <c r="G3276" s="255"/>
      <c r="H3276" s="254"/>
      <c r="I3276" s="253"/>
      <c r="J3276" s="254"/>
      <c r="K3276" s="253"/>
      <c r="L3276" s="253"/>
      <c r="M3276" s="253"/>
      <c r="N3276" s="253"/>
      <c r="O3276" s="256"/>
      <c r="P3276" s="257"/>
    </row>
    <row r="3277" spans="1:16" ht="14.25">
      <c r="A3277" s="253"/>
      <c r="B3277" s="253"/>
      <c r="C3277" s="254"/>
      <c r="D3277" s="254"/>
      <c r="E3277" s="254"/>
      <c r="F3277" s="253"/>
      <c r="G3277" s="255"/>
      <c r="H3277" s="254"/>
      <c r="I3277" s="253"/>
      <c r="J3277" s="254"/>
      <c r="K3277" s="253"/>
      <c r="L3277" s="253"/>
      <c r="M3277" s="253"/>
      <c r="N3277" s="253"/>
      <c r="O3277" s="256"/>
      <c r="P3277" s="257"/>
    </row>
    <row r="3278" spans="1:16" ht="14.25">
      <c r="A3278" s="253"/>
      <c r="B3278" s="253"/>
      <c r="C3278" s="254"/>
      <c r="D3278" s="254"/>
      <c r="E3278" s="254"/>
      <c r="F3278" s="253"/>
      <c r="G3278" s="255"/>
      <c r="H3278" s="254"/>
      <c r="I3278" s="253"/>
      <c r="J3278" s="254"/>
      <c r="K3278" s="253"/>
      <c r="L3278" s="253"/>
      <c r="M3278" s="253"/>
      <c r="N3278" s="253"/>
      <c r="O3278" s="256"/>
      <c r="P3278" s="257"/>
    </row>
    <row r="3279" spans="1:16" ht="14.25">
      <c r="A3279" s="253"/>
      <c r="B3279" s="253"/>
      <c r="C3279" s="254"/>
      <c r="D3279" s="254"/>
      <c r="E3279" s="254"/>
      <c r="F3279" s="253"/>
      <c r="G3279" s="255"/>
      <c r="H3279" s="254"/>
      <c r="I3279" s="253"/>
      <c r="J3279" s="254"/>
      <c r="K3279" s="253"/>
      <c r="L3279" s="253"/>
      <c r="M3279" s="253"/>
      <c r="N3279" s="253"/>
      <c r="O3279" s="256"/>
      <c r="P3279" s="257"/>
    </row>
    <row r="3280" spans="1:16" ht="14.25">
      <c r="A3280" s="253"/>
      <c r="B3280" s="253"/>
      <c r="C3280" s="254"/>
      <c r="D3280" s="254"/>
      <c r="E3280" s="254"/>
      <c r="F3280" s="253"/>
      <c r="G3280" s="255"/>
      <c r="H3280" s="254"/>
      <c r="I3280" s="253"/>
      <c r="J3280" s="254"/>
      <c r="K3280" s="253"/>
      <c r="L3280" s="253"/>
      <c r="M3280" s="253"/>
      <c r="N3280" s="253"/>
      <c r="O3280" s="256"/>
      <c r="P3280" s="257"/>
    </row>
    <row r="3281" spans="1:16" ht="14.25">
      <c r="A3281" s="253"/>
      <c r="B3281" s="253"/>
      <c r="C3281" s="254"/>
      <c r="D3281" s="254"/>
      <c r="E3281" s="254"/>
      <c r="F3281" s="253"/>
      <c r="G3281" s="255"/>
      <c r="H3281" s="254"/>
      <c r="I3281" s="253"/>
      <c r="J3281" s="254"/>
      <c r="K3281" s="253"/>
      <c r="L3281" s="253"/>
      <c r="M3281" s="253"/>
      <c r="N3281" s="253"/>
      <c r="O3281" s="256"/>
      <c r="P3281" s="257"/>
    </row>
    <row r="3282" spans="1:16" ht="14.25">
      <c r="A3282" s="253"/>
      <c r="B3282" s="253"/>
      <c r="C3282" s="254"/>
      <c r="D3282" s="254"/>
      <c r="E3282" s="254"/>
      <c r="F3282" s="253"/>
      <c r="G3282" s="255"/>
      <c r="H3282" s="254"/>
      <c r="I3282" s="253"/>
      <c r="J3282" s="254"/>
      <c r="K3282" s="253"/>
      <c r="L3282" s="253"/>
      <c r="M3282" s="253"/>
      <c r="N3282" s="253"/>
      <c r="O3282" s="256"/>
      <c r="P3282" s="257"/>
    </row>
    <row r="3283" spans="1:16" ht="14.25">
      <c r="A3283" s="253"/>
      <c r="B3283" s="253"/>
      <c r="C3283" s="254"/>
      <c r="D3283" s="254"/>
      <c r="E3283" s="254"/>
      <c r="F3283" s="253"/>
      <c r="G3283" s="255"/>
      <c r="H3283" s="254"/>
      <c r="I3283" s="253"/>
      <c r="J3283" s="254"/>
      <c r="K3283" s="253"/>
      <c r="L3283" s="253"/>
      <c r="M3283" s="253"/>
      <c r="N3283" s="253"/>
      <c r="O3283" s="256"/>
      <c r="P3283" s="257"/>
    </row>
    <row r="3284" spans="1:16" ht="14.25">
      <c r="A3284" s="253"/>
      <c r="B3284" s="253"/>
      <c r="C3284" s="254"/>
      <c r="D3284" s="254"/>
      <c r="E3284" s="254"/>
      <c r="F3284" s="253"/>
      <c r="G3284" s="255"/>
      <c r="H3284" s="254"/>
      <c r="I3284" s="253"/>
      <c r="J3284" s="254"/>
      <c r="K3284" s="253"/>
      <c r="L3284" s="253"/>
      <c r="M3284" s="253"/>
      <c r="N3284" s="253"/>
      <c r="O3284" s="256"/>
      <c r="P3284" s="257"/>
    </row>
    <row r="3285" spans="1:16" ht="14.25">
      <c r="A3285" s="253"/>
      <c r="B3285" s="253"/>
      <c r="C3285" s="254"/>
      <c r="D3285" s="254"/>
      <c r="E3285" s="254"/>
      <c r="F3285" s="253"/>
      <c r="G3285" s="255"/>
      <c r="H3285" s="254"/>
      <c r="I3285" s="253"/>
      <c r="J3285" s="254"/>
      <c r="K3285" s="253"/>
      <c r="L3285" s="253"/>
      <c r="M3285" s="253"/>
      <c r="N3285" s="253"/>
      <c r="O3285" s="256"/>
      <c r="P3285" s="257"/>
    </row>
    <row r="3286" spans="1:16" ht="14.25">
      <c r="A3286" s="253"/>
      <c r="B3286" s="253"/>
      <c r="C3286" s="254"/>
      <c r="D3286" s="254"/>
      <c r="E3286" s="254"/>
      <c r="F3286" s="253"/>
      <c r="G3286" s="255"/>
      <c r="H3286" s="254"/>
      <c r="I3286" s="253"/>
      <c r="J3286" s="254"/>
      <c r="K3286" s="253"/>
      <c r="L3286" s="253"/>
      <c r="M3286" s="253"/>
      <c r="N3286" s="253"/>
      <c r="O3286" s="256"/>
      <c r="P3286" s="257"/>
    </row>
    <row r="3287" spans="1:16" ht="14.25">
      <c r="A3287" s="253"/>
      <c r="B3287" s="253"/>
      <c r="C3287" s="254"/>
      <c r="D3287" s="254"/>
      <c r="E3287" s="254"/>
      <c r="F3287" s="253"/>
      <c r="G3287" s="255"/>
      <c r="H3287" s="254"/>
      <c r="I3287" s="253"/>
      <c r="J3287" s="254"/>
      <c r="K3287" s="253"/>
      <c r="L3287" s="253"/>
      <c r="M3287" s="253"/>
      <c r="N3287" s="253"/>
      <c r="O3287" s="256"/>
      <c r="P3287" s="257"/>
    </row>
    <row r="3288" spans="1:16" ht="14.25">
      <c r="A3288" s="253"/>
      <c r="B3288" s="253"/>
      <c r="C3288" s="254"/>
      <c r="D3288" s="254"/>
      <c r="E3288" s="254"/>
      <c r="F3288" s="253"/>
      <c r="G3288" s="255"/>
      <c r="H3288" s="254"/>
      <c r="I3288" s="253"/>
      <c r="J3288" s="254"/>
      <c r="K3288" s="253"/>
      <c r="L3288" s="253"/>
      <c r="M3288" s="253"/>
      <c r="N3288" s="253"/>
      <c r="O3288" s="256"/>
      <c r="P3288" s="257"/>
    </row>
    <row r="3289" spans="1:16" ht="14.25">
      <c r="A3289" s="253"/>
      <c r="B3289" s="253"/>
      <c r="C3289" s="254"/>
      <c r="D3289" s="254"/>
      <c r="E3289" s="254"/>
      <c r="F3289" s="253"/>
      <c r="G3289" s="255"/>
      <c r="H3289" s="254"/>
      <c r="I3289" s="253"/>
      <c r="J3289" s="254"/>
      <c r="K3289" s="253"/>
      <c r="L3289" s="253"/>
      <c r="M3289" s="253"/>
      <c r="N3289" s="253"/>
      <c r="O3289" s="256"/>
      <c r="P3289" s="257"/>
    </row>
    <row r="3290" spans="1:16" ht="14.25">
      <c r="A3290" s="253"/>
      <c r="B3290" s="253"/>
      <c r="C3290" s="254"/>
      <c r="D3290" s="254"/>
      <c r="E3290" s="254"/>
      <c r="F3290" s="253"/>
      <c r="G3290" s="255"/>
      <c r="H3290" s="254"/>
      <c r="I3290" s="253"/>
      <c r="J3290" s="254"/>
      <c r="K3290" s="253"/>
      <c r="L3290" s="253"/>
      <c r="M3290" s="253"/>
      <c r="N3290" s="253"/>
      <c r="O3290" s="256"/>
      <c r="P3290" s="257"/>
    </row>
    <row r="3291" spans="1:16" ht="14.25">
      <c r="A3291" s="253"/>
      <c r="B3291" s="253"/>
      <c r="C3291" s="254"/>
      <c r="D3291" s="254"/>
      <c r="E3291" s="254"/>
      <c r="F3291" s="253"/>
      <c r="G3291" s="255"/>
      <c r="H3291" s="254"/>
      <c r="I3291" s="253"/>
      <c r="J3291" s="254"/>
      <c r="K3291" s="253"/>
      <c r="L3291" s="253"/>
      <c r="M3291" s="253"/>
      <c r="N3291" s="253"/>
      <c r="O3291" s="256"/>
      <c r="P3291" s="257"/>
    </row>
    <row r="3292" spans="1:16" ht="14.25">
      <c r="A3292" s="253"/>
      <c r="B3292" s="253"/>
      <c r="C3292" s="254"/>
      <c r="D3292" s="254"/>
      <c r="E3292" s="254"/>
      <c r="F3292" s="253"/>
      <c r="G3292" s="255"/>
      <c r="H3292" s="254"/>
      <c r="I3292" s="253"/>
      <c r="J3292" s="254"/>
      <c r="K3292" s="253"/>
      <c r="L3292" s="253"/>
      <c r="M3292" s="253"/>
      <c r="N3292" s="253"/>
      <c r="O3292" s="256"/>
      <c r="P3292" s="257"/>
    </row>
    <row r="3293" spans="1:16" ht="14.25">
      <c r="A3293" s="253"/>
      <c r="B3293" s="253"/>
      <c r="C3293" s="254"/>
      <c r="D3293" s="254"/>
      <c r="E3293" s="254"/>
      <c r="F3293" s="253"/>
      <c r="G3293" s="255"/>
      <c r="H3293" s="254"/>
      <c r="I3293" s="253"/>
      <c r="J3293" s="254"/>
      <c r="K3293" s="253"/>
      <c r="L3293" s="253"/>
      <c r="M3293" s="253"/>
      <c r="N3293" s="253"/>
      <c r="O3293" s="256"/>
      <c r="P3293" s="257"/>
    </row>
    <row r="3294" spans="1:16" ht="14.25">
      <c r="A3294" s="253"/>
      <c r="B3294" s="253"/>
      <c r="C3294" s="254"/>
      <c r="D3294" s="254"/>
      <c r="E3294" s="254"/>
      <c r="F3294" s="253"/>
      <c r="G3294" s="255"/>
      <c r="H3294" s="254"/>
      <c r="I3294" s="253"/>
      <c r="J3294" s="254"/>
      <c r="K3294" s="253"/>
      <c r="L3294" s="253"/>
      <c r="M3294" s="253"/>
      <c r="N3294" s="253"/>
      <c r="O3294" s="256"/>
      <c r="P3294" s="257"/>
    </row>
    <row r="3295" spans="1:16" ht="14.25">
      <c r="A3295" s="253"/>
      <c r="B3295" s="253"/>
      <c r="C3295" s="254"/>
      <c r="D3295" s="254"/>
      <c r="E3295" s="254"/>
      <c r="F3295" s="253"/>
      <c r="G3295" s="255"/>
      <c r="H3295" s="254"/>
      <c r="I3295" s="253"/>
      <c r="J3295" s="254"/>
      <c r="K3295" s="253"/>
      <c r="L3295" s="253"/>
      <c r="M3295" s="253"/>
      <c r="N3295" s="253"/>
      <c r="O3295" s="256"/>
      <c r="P3295" s="257"/>
    </row>
    <row r="3296" spans="1:16" ht="14.25">
      <c r="A3296" s="253"/>
      <c r="B3296" s="253"/>
      <c r="C3296" s="254"/>
      <c r="D3296" s="254"/>
      <c r="E3296" s="254"/>
      <c r="F3296" s="253"/>
      <c r="G3296" s="255"/>
      <c r="H3296" s="254"/>
      <c r="I3296" s="253"/>
      <c r="J3296" s="254"/>
      <c r="K3296" s="253"/>
      <c r="L3296" s="253"/>
      <c r="M3296" s="253"/>
      <c r="N3296" s="253"/>
      <c r="O3296" s="256"/>
      <c r="P3296" s="257"/>
    </row>
    <row r="3297" spans="1:16" ht="14.25">
      <c r="A3297" s="253"/>
      <c r="B3297" s="253"/>
      <c r="C3297" s="254"/>
      <c r="D3297" s="254"/>
      <c r="E3297" s="254"/>
      <c r="F3297" s="253"/>
      <c r="G3297" s="255"/>
      <c r="H3297" s="254"/>
      <c r="I3297" s="253"/>
      <c r="J3297" s="254"/>
      <c r="K3297" s="253"/>
      <c r="L3297" s="253"/>
      <c r="M3297" s="253"/>
      <c r="N3297" s="253"/>
      <c r="O3297" s="256"/>
      <c r="P3297" s="257"/>
    </row>
    <row r="3298" spans="1:16" ht="14.25">
      <c r="A3298" s="253"/>
      <c r="B3298" s="253"/>
      <c r="C3298" s="254"/>
      <c r="D3298" s="254"/>
      <c r="E3298" s="254"/>
      <c r="F3298" s="253"/>
      <c r="G3298" s="255"/>
      <c r="H3298" s="254"/>
      <c r="I3298" s="253"/>
      <c r="J3298" s="254"/>
      <c r="K3298" s="253"/>
      <c r="L3298" s="253"/>
      <c r="M3298" s="253"/>
      <c r="N3298" s="253"/>
      <c r="O3298" s="256"/>
      <c r="P3298" s="257"/>
    </row>
    <row r="3299" spans="1:16" ht="14.25">
      <c r="A3299" s="253"/>
      <c r="B3299" s="253"/>
      <c r="C3299" s="254"/>
      <c r="D3299" s="254"/>
      <c r="E3299" s="254"/>
      <c r="F3299" s="253"/>
      <c r="G3299" s="255"/>
      <c r="H3299" s="254"/>
      <c r="I3299" s="253"/>
      <c r="J3299" s="254"/>
      <c r="K3299" s="253"/>
      <c r="L3299" s="253"/>
      <c r="M3299" s="253"/>
      <c r="N3299" s="253"/>
      <c r="O3299" s="256"/>
      <c r="P3299" s="257"/>
    </row>
    <row r="3300" spans="1:16" ht="14.25">
      <c r="A3300" s="253"/>
      <c r="B3300" s="253"/>
      <c r="C3300" s="254"/>
      <c r="D3300" s="254"/>
      <c r="E3300" s="254"/>
      <c r="F3300" s="253"/>
      <c r="G3300" s="255"/>
      <c r="H3300" s="254"/>
      <c r="I3300" s="253"/>
      <c r="J3300" s="254"/>
      <c r="K3300" s="253"/>
      <c r="L3300" s="253"/>
      <c r="M3300" s="253"/>
      <c r="N3300" s="253"/>
      <c r="O3300" s="256"/>
      <c r="P3300" s="257"/>
    </row>
    <row r="3301" spans="1:16" ht="14.25">
      <c r="A3301" s="253"/>
      <c r="B3301" s="253"/>
      <c r="C3301" s="254"/>
      <c r="D3301" s="254"/>
      <c r="E3301" s="254"/>
      <c r="F3301" s="253"/>
      <c r="G3301" s="255"/>
      <c r="H3301" s="254"/>
      <c r="I3301" s="253"/>
      <c r="J3301" s="254"/>
      <c r="K3301" s="253"/>
      <c r="L3301" s="253"/>
      <c r="M3301" s="253"/>
      <c r="N3301" s="253"/>
      <c r="O3301" s="256"/>
      <c r="P3301" s="257"/>
    </row>
    <row r="3302" spans="1:16" ht="14.25">
      <c r="A3302" s="253"/>
      <c r="B3302" s="253"/>
      <c r="C3302" s="254"/>
      <c r="D3302" s="254"/>
      <c r="E3302" s="254"/>
      <c r="F3302" s="253"/>
      <c r="G3302" s="255"/>
      <c r="H3302" s="254"/>
      <c r="I3302" s="253"/>
      <c r="J3302" s="254"/>
      <c r="K3302" s="253"/>
      <c r="L3302" s="253"/>
      <c r="M3302" s="253"/>
      <c r="N3302" s="253"/>
      <c r="O3302" s="256"/>
      <c r="P3302" s="257"/>
    </row>
    <row r="3303" spans="1:16" ht="14.25">
      <c r="A3303" s="253"/>
      <c r="B3303" s="253"/>
      <c r="C3303" s="254"/>
      <c r="D3303" s="254"/>
      <c r="E3303" s="254"/>
      <c r="F3303" s="253"/>
      <c r="G3303" s="255"/>
      <c r="H3303" s="254"/>
      <c r="I3303" s="253"/>
      <c r="J3303" s="254"/>
      <c r="K3303" s="253"/>
      <c r="L3303" s="253"/>
      <c r="M3303" s="253"/>
      <c r="N3303" s="253"/>
      <c r="O3303" s="256"/>
      <c r="P3303" s="257"/>
    </row>
    <row r="3304" spans="1:16" ht="14.25">
      <c r="A3304" s="253"/>
      <c r="B3304" s="253"/>
      <c r="C3304" s="254"/>
      <c r="D3304" s="254"/>
      <c r="E3304" s="254"/>
      <c r="F3304" s="253"/>
      <c r="G3304" s="255"/>
      <c r="H3304" s="254"/>
      <c r="I3304" s="253"/>
      <c r="J3304" s="254"/>
      <c r="K3304" s="253"/>
      <c r="L3304" s="253"/>
      <c r="M3304" s="253"/>
      <c r="N3304" s="253"/>
      <c r="O3304" s="256"/>
      <c r="P3304" s="257"/>
    </row>
    <row r="3305" spans="1:16" ht="14.25">
      <c r="A3305" s="253"/>
      <c r="B3305" s="253"/>
      <c r="C3305" s="254"/>
      <c r="D3305" s="254"/>
      <c r="E3305" s="254"/>
      <c r="F3305" s="253"/>
      <c r="G3305" s="255"/>
      <c r="H3305" s="254"/>
      <c r="I3305" s="253"/>
      <c r="J3305" s="254"/>
      <c r="K3305" s="253"/>
      <c r="L3305" s="253"/>
      <c r="M3305" s="253"/>
      <c r="N3305" s="253"/>
      <c r="O3305" s="256"/>
      <c r="P3305" s="257"/>
    </row>
    <row r="3306" spans="1:16" ht="14.25">
      <c r="A3306" s="253"/>
      <c r="B3306" s="253"/>
      <c r="C3306" s="254"/>
      <c r="D3306" s="254"/>
      <c r="E3306" s="254"/>
      <c r="F3306" s="253"/>
      <c r="G3306" s="255"/>
      <c r="H3306" s="254"/>
      <c r="I3306" s="253"/>
      <c r="J3306" s="254"/>
      <c r="K3306" s="253"/>
      <c r="L3306" s="253"/>
      <c r="M3306" s="253"/>
      <c r="N3306" s="253"/>
      <c r="O3306" s="256"/>
      <c r="P3306" s="257"/>
    </row>
    <row r="3307" spans="1:16" ht="14.25">
      <c r="A3307" s="253"/>
      <c r="B3307" s="253"/>
      <c r="C3307" s="254"/>
      <c r="D3307" s="254"/>
      <c r="E3307" s="254"/>
      <c r="F3307" s="253"/>
      <c r="G3307" s="255"/>
      <c r="H3307" s="254"/>
      <c r="I3307" s="253"/>
      <c r="J3307" s="254"/>
      <c r="K3307" s="253"/>
      <c r="L3307" s="253"/>
      <c r="M3307" s="253"/>
      <c r="N3307" s="253"/>
      <c r="O3307" s="256"/>
      <c r="P3307" s="257"/>
    </row>
    <row r="3308" spans="1:16" ht="14.25">
      <c r="A3308" s="253"/>
      <c r="B3308" s="253"/>
      <c r="C3308" s="254"/>
      <c r="D3308" s="254"/>
      <c r="E3308" s="254"/>
      <c r="F3308" s="253"/>
      <c r="G3308" s="255"/>
      <c r="H3308" s="254"/>
      <c r="I3308" s="253"/>
      <c r="J3308" s="254"/>
      <c r="K3308" s="253"/>
      <c r="L3308" s="253"/>
      <c r="M3308" s="253"/>
      <c r="N3308" s="253"/>
      <c r="O3308" s="256"/>
      <c r="P3308" s="257"/>
    </row>
    <row r="3309" spans="1:16" ht="14.25">
      <c r="A3309" s="253"/>
      <c r="B3309" s="253"/>
      <c r="C3309" s="254"/>
      <c r="D3309" s="254"/>
      <c r="E3309" s="254"/>
      <c r="F3309" s="253"/>
      <c r="G3309" s="255"/>
      <c r="H3309" s="254"/>
      <c r="I3309" s="253"/>
      <c r="J3309" s="254"/>
      <c r="K3309" s="253"/>
      <c r="L3309" s="253"/>
      <c r="M3309" s="253"/>
      <c r="N3309" s="253"/>
      <c r="O3309" s="256"/>
      <c r="P3309" s="257"/>
    </row>
    <row r="3310" spans="1:16" ht="14.25">
      <c r="A3310" s="253"/>
      <c r="B3310" s="253"/>
      <c r="C3310" s="254"/>
      <c r="D3310" s="254"/>
      <c r="E3310" s="254"/>
      <c r="F3310" s="253"/>
      <c r="G3310" s="255"/>
      <c r="H3310" s="254"/>
      <c r="I3310" s="253"/>
      <c r="J3310" s="254"/>
      <c r="K3310" s="253"/>
      <c r="L3310" s="253"/>
      <c r="M3310" s="253"/>
      <c r="N3310" s="253"/>
      <c r="O3310" s="256"/>
      <c r="P3310" s="257"/>
    </row>
    <row r="3311" spans="1:16" ht="14.25">
      <c r="A3311" s="253"/>
      <c r="B3311" s="253"/>
      <c r="C3311" s="254"/>
      <c r="D3311" s="254"/>
      <c r="E3311" s="254"/>
      <c r="F3311" s="253"/>
      <c r="G3311" s="255"/>
      <c r="H3311" s="254"/>
      <c r="I3311" s="253"/>
      <c r="J3311" s="254"/>
      <c r="K3311" s="253"/>
      <c r="L3311" s="253"/>
      <c r="M3311" s="253"/>
      <c r="N3311" s="253"/>
      <c r="O3311" s="256"/>
      <c r="P3311" s="257"/>
    </row>
    <row r="3312" spans="1:16" ht="14.25">
      <c r="A3312" s="253"/>
      <c r="B3312" s="253"/>
      <c r="C3312" s="254"/>
      <c r="D3312" s="254"/>
      <c r="E3312" s="254"/>
      <c r="F3312" s="253"/>
      <c r="G3312" s="255"/>
      <c r="H3312" s="254"/>
      <c r="I3312" s="253"/>
      <c r="J3312" s="254"/>
      <c r="K3312" s="253"/>
      <c r="L3312" s="253"/>
      <c r="M3312" s="253"/>
      <c r="N3312" s="253"/>
      <c r="O3312" s="256"/>
      <c r="P3312" s="257"/>
    </row>
    <row r="3313" spans="1:16" ht="14.25">
      <c r="A3313" s="253"/>
      <c r="B3313" s="253"/>
      <c r="C3313" s="254"/>
      <c r="D3313" s="254"/>
      <c r="E3313" s="254"/>
      <c r="F3313" s="253"/>
      <c r="G3313" s="255"/>
      <c r="H3313" s="254"/>
      <c r="I3313" s="253"/>
      <c r="J3313" s="254"/>
      <c r="K3313" s="253"/>
      <c r="L3313" s="253"/>
      <c r="M3313" s="253"/>
      <c r="N3313" s="253"/>
      <c r="O3313" s="256"/>
      <c r="P3313" s="257"/>
    </row>
    <row r="3314" spans="1:16" ht="14.25">
      <c r="A3314" s="253"/>
      <c r="B3314" s="253"/>
      <c r="C3314" s="254"/>
      <c r="D3314" s="254"/>
      <c r="E3314" s="254"/>
      <c r="F3314" s="253"/>
      <c r="G3314" s="255"/>
      <c r="H3314" s="254"/>
      <c r="I3314" s="253"/>
      <c r="J3314" s="254"/>
      <c r="K3314" s="253"/>
      <c r="L3314" s="253"/>
      <c r="M3314" s="253"/>
      <c r="N3314" s="253"/>
      <c r="O3314" s="256"/>
      <c r="P3314" s="257"/>
    </row>
    <row r="3315" spans="1:16" ht="14.25">
      <c r="A3315" s="253"/>
      <c r="B3315" s="253"/>
      <c r="C3315" s="254"/>
      <c r="D3315" s="254"/>
      <c r="E3315" s="254"/>
      <c r="F3315" s="253"/>
      <c r="G3315" s="255"/>
      <c r="H3315" s="254"/>
      <c r="I3315" s="253"/>
      <c r="J3315" s="254"/>
      <c r="K3315" s="253"/>
      <c r="L3315" s="253"/>
      <c r="M3315" s="253"/>
      <c r="N3315" s="253"/>
      <c r="O3315" s="256"/>
      <c r="P3315" s="257"/>
    </row>
    <row r="3316" spans="1:16" ht="14.25">
      <c r="A3316" s="253"/>
      <c r="B3316" s="253"/>
      <c r="C3316" s="254"/>
      <c r="D3316" s="254"/>
      <c r="E3316" s="254"/>
      <c r="F3316" s="253"/>
      <c r="G3316" s="255"/>
      <c r="H3316" s="254"/>
      <c r="I3316" s="253"/>
      <c r="J3316" s="254"/>
      <c r="K3316" s="253"/>
      <c r="L3316" s="253"/>
      <c r="M3316" s="253"/>
      <c r="N3316" s="253"/>
      <c r="O3316" s="256"/>
      <c r="P3316" s="257"/>
    </row>
    <row r="3317" spans="1:16" ht="14.25">
      <c r="A3317" s="253"/>
      <c r="B3317" s="253"/>
      <c r="C3317" s="254"/>
      <c r="D3317" s="254"/>
      <c r="E3317" s="254"/>
      <c r="F3317" s="253"/>
      <c r="G3317" s="255"/>
      <c r="H3317" s="254"/>
      <c r="I3317" s="253"/>
      <c r="J3317" s="254"/>
      <c r="K3317" s="253"/>
      <c r="L3317" s="253"/>
      <c r="M3317" s="253"/>
      <c r="N3317" s="253"/>
      <c r="O3317" s="256"/>
      <c r="P3317" s="257"/>
    </row>
    <row r="3318" spans="1:16" ht="14.25">
      <c r="A3318" s="253"/>
      <c r="B3318" s="253"/>
      <c r="C3318" s="254"/>
      <c r="D3318" s="254"/>
      <c r="E3318" s="254"/>
      <c r="F3318" s="253"/>
      <c r="G3318" s="255"/>
      <c r="H3318" s="254"/>
      <c r="I3318" s="253"/>
      <c r="J3318" s="254"/>
      <c r="K3318" s="253"/>
      <c r="L3318" s="253"/>
      <c r="M3318" s="253"/>
      <c r="N3318" s="253"/>
      <c r="O3318" s="256"/>
      <c r="P3318" s="257"/>
    </row>
    <row r="3319" spans="1:16" ht="14.25">
      <c r="A3319" s="253"/>
      <c r="B3319" s="253"/>
      <c r="C3319" s="254"/>
      <c r="D3319" s="254"/>
      <c r="E3319" s="254"/>
      <c r="F3319" s="253"/>
      <c r="G3319" s="255"/>
      <c r="H3319" s="254"/>
      <c r="I3319" s="253"/>
      <c r="J3319" s="254"/>
      <c r="K3319" s="253"/>
      <c r="L3319" s="253"/>
      <c r="M3319" s="253"/>
      <c r="N3319" s="253"/>
      <c r="O3319" s="256"/>
      <c r="P3319" s="257"/>
    </row>
    <row r="3320" spans="1:16" ht="14.25">
      <c r="A3320" s="253"/>
      <c r="B3320" s="253"/>
      <c r="C3320" s="254"/>
      <c r="D3320" s="254"/>
      <c r="E3320" s="254"/>
      <c r="F3320" s="253"/>
      <c r="G3320" s="255"/>
      <c r="H3320" s="254"/>
      <c r="I3320" s="253"/>
      <c r="J3320" s="254"/>
      <c r="K3320" s="253"/>
      <c r="L3320" s="253"/>
      <c r="M3320" s="253"/>
      <c r="N3320" s="253"/>
      <c r="O3320" s="256"/>
      <c r="P3320" s="257"/>
    </row>
    <row r="3321" spans="1:16" ht="14.25">
      <c r="A3321" s="253"/>
      <c r="B3321" s="253"/>
      <c r="C3321" s="254"/>
      <c r="D3321" s="254"/>
      <c r="E3321" s="254"/>
      <c r="F3321" s="253"/>
      <c r="G3321" s="255"/>
      <c r="H3321" s="254"/>
      <c r="I3321" s="253"/>
      <c r="J3321" s="254"/>
      <c r="K3321" s="253"/>
      <c r="L3321" s="253"/>
      <c r="M3321" s="253"/>
      <c r="N3321" s="253"/>
      <c r="O3321" s="256"/>
      <c r="P3321" s="257"/>
    </row>
    <row r="3322" spans="1:16" ht="14.25">
      <c r="A3322" s="253"/>
      <c r="B3322" s="253"/>
      <c r="C3322" s="254"/>
      <c r="D3322" s="254"/>
      <c r="E3322" s="254"/>
      <c r="F3322" s="253"/>
      <c r="G3322" s="255"/>
      <c r="H3322" s="254"/>
      <c r="I3322" s="253"/>
      <c r="J3322" s="254"/>
      <c r="K3322" s="253"/>
      <c r="L3322" s="253"/>
      <c r="M3322" s="253"/>
      <c r="N3322" s="253"/>
      <c r="O3322" s="256"/>
      <c r="P3322" s="257"/>
    </row>
    <row r="3323" spans="1:16" ht="14.25">
      <c r="A3323" s="253"/>
      <c r="B3323" s="253"/>
      <c r="C3323" s="254"/>
      <c r="D3323" s="254"/>
      <c r="E3323" s="254"/>
      <c r="F3323" s="253"/>
      <c r="G3323" s="255"/>
      <c r="H3323" s="254"/>
      <c r="I3323" s="253"/>
      <c r="J3323" s="254"/>
      <c r="K3323" s="253"/>
      <c r="L3323" s="253"/>
      <c r="M3323" s="253"/>
      <c r="N3323" s="253"/>
      <c r="O3323" s="256"/>
      <c r="P3323" s="257"/>
    </row>
    <row r="3324" spans="1:16" ht="14.25">
      <c r="A3324" s="253"/>
      <c r="B3324" s="253"/>
      <c r="C3324" s="254"/>
      <c r="D3324" s="254"/>
      <c r="E3324" s="254"/>
      <c r="F3324" s="253"/>
      <c r="G3324" s="255"/>
      <c r="H3324" s="254"/>
      <c r="I3324" s="253"/>
      <c r="J3324" s="254"/>
      <c r="K3324" s="253"/>
      <c r="L3324" s="253"/>
      <c r="M3324" s="253"/>
      <c r="N3324" s="253"/>
      <c r="O3324" s="256"/>
      <c r="P3324" s="257"/>
    </row>
    <row r="3325" spans="1:16" ht="14.25">
      <c r="A3325" s="253"/>
      <c r="B3325" s="253"/>
      <c r="C3325" s="254"/>
      <c r="D3325" s="254"/>
      <c r="E3325" s="254"/>
      <c r="F3325" s="253"/>
      <c r="G3325" s="255"/>
      <c r="H3325" s="254"/>
      <c r="I3325" s="253"/>
      <c r="J3325" s="254"/>
      <c r="K3325" s="253"/>
      <c r="L3325" s="253"/>
      <c r="M3325" s="253"/>
      <c r="N3325" s="253"/>
      <c r="O3325" s="256"/>
      <c r="P3325" s="257"/>
    </row>
    <row r="3326" spans="1:16" ht="14.25">
      <c r="A3326" s="253"/>
      <c r="B3326" s="253"/>
      <c r="C3326" s="254"/>
      <c r="D3326" s="254"/>
      <c r="E3326" s="254"/>
      <c r="F3326" s="253"/>
      <c r="G3326" s="255"/>
      <c r="H3326" s="254"/>
      <c r="I3326" s="253"/>
      <c r="J3326" s="254"/>
      <c r="K3326" s="253"/>
      <c r="L3326" s="253"/>
      <c r="M3326" s="253"/>
      <c r="N3326" s="253"/>
      <c r="O3326" s="256"/>
      <c r="P3326" s="257"/>
    </row>
    <row r="3327" spans="1:16" ht="14.25">
      <c r="A3327" s="253"/>
      <c r="B3327" s="253"/>
      <c r="C3327" s="254"/>
      <c r="D3327" s="254"/>
      <c r="E3327" s="254"/>
      <c r="F3327" s="253"/>
      <c r="G3327" s="255"/>
      <c r="H3327" s="254"/>
      <c r="I3327" s="253"/>
      <c r="J3327" s="254"/>
      <c r="K3327" s="253"/>
      <c r="L3327" s="253"/>
      <c r="M3327" s="253"/>
      <c r="N3327" s="253"/>
      <c r="O3327" s="256"/>
      <c r="P3327" s="257"/>
    </row>
    <row r="3328" spans="1:16" ht="14.25">
      <c r="A3328" s="253"/>
      <c r="B3328" s="253"/>
      <c r="C3328" s="254"/>
      <c r="D3328" s="254"/>
      <c r="E3328" s="254"/>
      <c r="F3328" s="253"/>
      <c r="G3328" s="255"/>
      <c r="H3328" s="254"/>
      <c r="I3328" s="253"/>
      <c r="J3328" s="254"/>
      <c r="K3328" s="253"/>
      <c r="L3328" s="253"/>
      <c r="M3328" s="253"/>
      <c r="N3328" s="253"/>
      <c r="O3328" s="256"/>
      <c r="P3328" s="257"/>
    </row>
    <row r="3329" spans="1:16" ht="14.25">
      <c r="A3329" s="253"/>
      <c r="B3329" s="253"/>
      <c r="C3329" s="254"/>
      <c r="D3329" s="254"/>
      <c r="E3329" s="254"/>
      <c r="F3329" s="253"/>
      <c r="G3329" s="255"/>
      <c r="H3329" s="254"/>
      <c r="I3329" s="253"/>
      <c r="J3329" s="254"/>
      <c r="K3329" s="253"/>
      <c r="L3329" s="253"/>
      <c r="M3329" s="253"/>
      <c r="N3329" s="253"/>
      <c r="O3329" s="256"/>
      <c r="P3329" s="257"/>
    </row>
    <row r="3330" spans="1:16" ht="14.25">
      <c r="A3330" s="253"/>
      <c r="B3330" s="253"/>
      <c r="C3330" s="254"/>
      <c r="D3330" s="254"/>
      <c r="E3330" s="254"/>
      <c r="F3330" s="253"/>
      <c r="G3330" s="255"/>
      <c r="H3330" s="254"/>
      <c r="I3330" s="253"/>
      <c r="J3330" s="254"/>
      <c r="K3330" s="253"/>
      <c r="L3330" s="253"/>
      <c r="M3330" s="253"/>
      <c r="N3330" s="253"/>
      <c r="O3330" s="256"/>
      <c r="P3330" s="257"/>
    </row>
    <row r="3331" spans="1:16" ht="14.25">
      <c r="A3331" s="253"/>
      <c r="B3331" s="253"/>
      <c r="C3331" s="254"/>
      <c r="D3331" s="254"/>
      <c r="E3331" s="254"/>
      <c r="F3331" s="253"/>
      <c r="G3331" s="255"/>
      <c r="H3331" s="254"/>
      <c r="I3331" s="253"/>
      <c r="J3331" s="254"/>
      <c r="K3331" s="253"/>
      <c r="L3331" s="253"/>
      <c r="M3331" s="253"/>
      <c r="N3331" s="253"/>
      <c r="O3331" s="256"/>
      <c r="P3331" s="257"/>
    </row>
    <row r="3332" spans="1:16" ht="14.25">
      <c r="A3332" s="253"/>
      <c r="B3332" s="253"/>
      <c r="C3332" s="254"/>
      <c r="D3332" s="254"/>
      <c r="E3332" s="254"/>
      <c r="F3332" s="253"/>
      <c r="G3332" s="255"/>
      <c r="H3332" s="254"/>
      <c r="I3332" s="253"/>
      <c r="J3332" s="254"/>
      <c r="K3332" s="253"/>
      <c r="L3332" s="253"/>
      <c r="M3332" s="253"/>
      <c r="N3332" s="253"/>
      <c r="O3332" s="256"/>
      <c r="P3332" s="257"/>
    </row>
    <row r="3333" spans="1:16" ht="14.25">
      <c r="A3333" s="253"/>
      <c r="B3333" s="253"/>
      <c r="C3333" s="254"/>
      <c r="D3333" s="254"/>
      <c r="E3333" s="254"/>
      <c r="F3333" s="253"/>
      <c r="G3333" s="255"/>
      <c r="H3333" s="254"/>
      <c r="I3333" s="253"/>
      <c r="J3333" s="254"/>
      <c r="K3333" s="253"/>
      <c r="L3333" s="253"/>
      <c r="M3333" s="253"/>
      <c r="N3333" s="253"/>
      <c r="O3333" s="256"/>
      <c r="P3333" s="257"/>
    </row>
    <row r="3334" spans="1:16" ht="14.25">
      <c r="A3334" s="253"/>
      <c r="B3334" s="253"/>
      <c r="C3334" s="254"/>
      <c r="D3334" s="254"/>
      <c r="E3334" s="254"/>
      <c r="F3334" s="253"/>
      <c r="G3334" s="255"/>
      <c r="H3334" s="254"/>
      <c r="I3334" s="253"/>
      <c r="J3334" s="254"/>
      <c r="K3334" s="253"/>
      <c r="L3334" s="253"/>
      <c r="M3334" s="253"/>
      <c r="N3334" s="253"/>
      <c r="O3334" s="256"/>
      <c r="P3334" s="257"/>
    </row>
    <row r="3335" spans="1:16" ht="14.25">
      <c r="A3335" s="253"/>
      <c r="B3335" s="253"/>
      <c r="C3335" s="254"/>
      <c r="D3335" s="254"/>
      <c r="E3335" s="254"/>
      <c r="F3335" s="253"/>
      <c r="G3335" s="255"/>
      <c r="H3335" s="254"/>
      <c r="I3335" s="253"/>
      <c r="J3335" s="254"/>
      <c r="K3335" s="253"/>
      <c r="L3335" s="253"/>
      <c r="M3335" s="253"/>
      <c r="N3335" s="253"/>
      <c r="O3335" s="256"/>
      <c r="P3335" s="257"/>
    </row>
    <row r="3336" spans="1:16" ht="14.25">
      <c r="A3336" s="253"/>
      <c r="B3336" s="253"/>
      <c r="C3336" s="254"/>
      <c r="D3336" s="254"/>
      <c r="E3336" s="254"/>
      <c r="F3336" s="253"/>
      <c r="G3336" s="255"/>
      <c r="H3336" s="254"/>
      <c r="I3336" s="253"/>
      <c r="J3336" s="254"/>
      <c r="K3336" s="253"/>
      <c r="L3336" s="253"/>
      <c r="M3336" s="253"/>
      <c r="N3336" s="253"/>
      <c r="O3336" s="256"/>
      <c r="P3336" s="257"/>
    </row>
    <row r="3337" spans="1:16" ht="14.25">
      <c r="A3337" s="253"/>
      <c r="B3337" s="253"/>
      <c r="C3337" s="254"/>
      <c r="D3337" s="254"/>
      <c r="E3337" s="254"/>
      <c r="F3337" s="253"/>
      <c r="G3337" s="255"/>
      <c r="H3337" s="254"/>
      <c r="I3337" s="253"/>
      <c r="J3337" s="254"/>
      <c r="K3337" s="253"/>
      <c r="L3337" s="253"/>
      <c r="M3337" s="253"/>
      <c r="N3337" s="253"/>
      <c r="O3337" s="256"/>
      <c r="P3337" s="257"/>
    </row>
    <row r="3338" spans="1:16" ht="14.25">
      <c r="A3338" s="253"/>
      <c r="B3338" s="253"/>
      <c r="C3338" s="254"/>
      <c r="D3338" s="254"/>
      <c r="E3338" s="254"/>
      <c r="F3338" s="253"/>
      <c r="G3338" s="255"/>
      <c r="H3338" s="254"/>
      <c r="I3338" s="253"/>
      <c r="J3338" s="254"/>
      <c r="K3338" s="253"/>
      <c r="L3338" s="253"/>
      <c r="M3338" s="253"/>
      <c r="N3338" s="253"/>
      <c r="O3338" s="256"/>
      <c r="P3338" s="257"/>
    </row>
    <row r="3339" spans="1:16" ht="14.25">
      <c r="A3339" s="253"/>
      <c r="B3339" s="253"/>
      <c r="C3339" s="254"/>
      <c r="D3339" s="254"/>
      <c r="E3339" s="254"/>
      <c r="F3339" s="253"/>
      <c r="G3339" s="255"/>
      <c r="H3339" s="254"/>
      <c r="I3339" s="253"/>
      <c r="J3339" s="254"/>
      <c r="K3339" s="253"/>
      <c r="L3339" s="253"/>
      <c r="M3339" s="253"/>
      <c r="N3339" s="253"/>
      <c r="O3339" s="256"/>
      <c r="P3339" s="257"/>
    </row>
    <row r="3340" spans="1:16" ht="14.25">
      <c r="A3340" s="253"/>
      <c r="B3340" s="253"/>
      <c r="C3340" s="254"/>
      <c r="D3340" s="254"/>
      <c r="E3340" s="254"/>
      <c r="F3340" s="253"/>
      <c r="G3340" s="255"/>
      <c r="H3340" s="254"/>
      <c r="I3340" s="253"/>
      <c r="J3340" s="254"/>
      <c r="K3340" s="253"/>
      <c r="L3340" s="253"/>
      <c r="M3340" s="253"/>
      <c r="N3340" s="253"/>
      <c r="O3340" s="256"/>
      <c r="P3340" s="257"/>
    </row>
    <row r="3341" spans="1:16" ht="14.25">
      <c r="A3341" s="253"/>
      <c r="B3341" s="253"/>
      <c r="C3341" s="254"/>
      <c r="D3341" s="254"/>
      <c r="E3341" s="254"/>
      <c r="F3341" s="253"/>
      <c r="G3341" s="255"/>
      <c r="H3341" s="254"/>
      <c r="I3341" s="253"/>
      <c r="J3341" s="254"/>
      <c r="K3341" s="253"/>
      <c r="L3341" s="253"/>
      <c r="M3341" s="253"/>
      <c r="N3341" s="253"/>
      <c r="O3341" s="256"/>
      <c r="P3341" s="257"/>
    </row>
    <row r="3342" spans="1:16" ht="14.25">
      <c r="A3342" s="253"/>
      <c r="B3342" s="253"/>
      <c r="C3342" s="254"/>
      <c r="D3342" s="254"/>
      <c r="E3342" s="254"/>
      <c r="F3342" s="253"/>
      <c r="G3342" s="255"/>
      <c r="H3342" s="254"/>
      <c r="I3342" s="253"/>
      <c r="J3342" s="254"/>
      <c r="K3342" s="253"/>
      <c r="L3342" s="253"/>
      <c r="M3342" s="253"/>
      <c r="N3342" s="253"/>
      <c r="O3342" s="256"/>
      <c r="P3342" s="257"/>
    </row>
    <row r="3343" spans="1:16" ht="14.25">
      <c r="A3343" s="253"/>
      <c r="B3343" s="253"/>
      <c r="C3343" s="254"/>
      <c r="D3343" s="254"/>
      <c r="E3343" s="254"/>
      <c r="F3343" s="253"/>
      <c r="G3343" s="255"/>
      <c r="H3343" s="254"/>
      <c r="I3343" s="253"/>
      <c r="J3343" s="254"/>
      <c r="K3343" s="253"/>
      <c r="L3343" s="253"/>
      <c r="M3343" s="253"/>
      <c r="N3343" s="253"/>
      <c r="O3343" s="256"/>
      <c r="P3343" s="257"/>
    </row>
    <row r="3344" spans="1:16" ht="14.25">
      <c r="A3344" s="253"/>
      <c r="B3344" s="253"/>
      <c r="C3344" s="254"/>
      <c r="D3344" s="254"/>
      <c r="E3344" s="254"/>
      <c r="F3344" s="253"/>
      <c r="G3344" s="255"/>
      <c r="H3344" s="254"/>
      <c r="I3344" s="253"/>
      <c r="J3344" s="254"/>
      <c r="K3344" s="253"/>
      <c r="L3344" s="253"/>
      <c r="M3344" s="253"/>
      <c r="N3344" s="253"/>
      <c r="O3344" s="256"/>
      <c r="P3344" s="257"/>
    </row>
    <row r="3345" spans="1:16" ht="14.25">
      <c r="A3345" s="253"/>
      <c r="B3345" s="253"/>
      <c r="C3345" s="254"/>
      <c r="D3345" s="254"/>
      <c r="E3345" s="254"/>
      <c r="F3345" s="253"/>
      <c r="G3345" s="255"/>
      <c r="H3345" s="254"/>
      <c r="I3345" s="253"/>
      <c r="J3345" s="254"/>
      <c r="K3345" s="253"/>
      <c r="L3345" s="253"/>
      <c r="M3345" s="253"/>
      <c r="N3345" s="253"/>
      <c r="O3345" s="256"/>
      <c r="P3345" s="257"/>
    </row>
    <row r="3346" spans="1:16" ht="14.25">
      <c r="A3346" s="253"/>
      <c r="B3346" s="253"/>
      <c r="C3346" s="254"/>
      <c r="D3346" s="254"/>
      <c r="E3346" s="254"/>
      <c r="F3346" s="253"/>
      <c r="G3346" s="255"/>
      <c r="H3346" s="254"/>
      <c r="I3346" s="253"/>
      <c r="J3346" s="254"/>
      <c r="K3346" s="253"/>
      <c r="L3346" s="253"/>
      <c r="M3346" s="253"/>
      <c r="N3346" s="253"/>
      <c r="O3346" s="256"/>
      <c r="P3346" s="257"/>
    </row>
    <row r="3347" spans="1:16" ht="14.25">
      <c r="A3347" s="253"/>
      <c r="B3347" s="253"/>
      <c r="C3347" s="254"/>
      <c r="D3347" s="254"/>
      <c r="E3347" s="254"/>
      <c r="F3347" s="253"/>
      <c r="G3347" s="255"/>
      <c r="H3347" s="254"/>
      <c r="I3347" s="253"/>
      <c r="J3347" s="254"/>
      <c r="K3347" s="253"/>
      <c r="L3347" s="253"/>
      <c r="M3347" s="253"/>
      <c r="N3347" s="253"/>
      <c r="O3347" s="256"/>
      <c r="P3347" s="257"/>
    </row>
    <row r="3348" spans="1:16" ht="14.25">
      <c r="A3348" s="253"/>
      <c r="B3348" s="253"/>
      <c r="C3348" s="254"/>
      <c r="D3348" s="254"/>
      <c r="E3348" s="254"/>
      <c r="F3348" s="253"/>
      <c r="G3348" s="255"/>
      <c r="H3348" s="254"/>
      <c r="I3348" s="253"/>
      <c r="J3348" s="254"/>
      <c r="K3348" s="253"/>
      <c r="L3348" s="253"/>
      <c r="M3348" s="253"/>
      <c r="N3348" s="253"/>
      <c r="O3348" s="256"/>
      <c r="P3348" s="257"/>
    </row>
    <row r="3349" spans="1:16" ht="14.25">
      <c r="A3349" s="253"/>
      <c r="B3349" s="253"/>
      <c r="C3349" s="254"/>
      <c r="D3349" s="254"/>
      <c r="E3349" s="254"/>
      <c r="F3349" s="253"/>
      <c r="G3349" s="255"/>
      <c r="H3349" s="254"/>
      <c r="I3349" s="253"/>
      <c r="J3349" s="254"/>
      <c r="K3349" s="253"/>
      <c r="L3349" s="253"/>
      <c r="M3349" s="253"/>
      <c r="N3349" s="253"/>
      <c r="O3349" s="256"/>
      <c r="P3349" s="257"/>
    </row>
    <row r="3350" spans="1:16" ht="14.25">
      <c r="A3350" s="253"/>
      <c r="B3350" s="253"/>
      <c r="C3350" s="254"/>
      <c r="D3350" s="254"/>
      <c r="E3350" s="254"/>
      <c r="F3350" s="253"/>
      <c r="G3350" s="255"/>
      <c r="H3350" s="254"/>
      <c r="I3350" s="253"/>
      <c r="J3350" s="254"/>
      <c r="K3350" s="253"/>
      <c r="L3350" s="253"/>
      <c r="M3350" s="253"/>
      <c r="N3350" s="253"/>
      <c r="O3350" s="256"/>
      <c r="P3350" s="257"/>
    </row>
    <row r="3351" spans="1:16" ht="14.25">
      <c r="A3351" s="253"/>
      <c r="B3351" s="253"/>
      <c r="C3351" s="254"/>
      <c r="D3351" s="254"/>
      <c r="E3351" s="254"/>
      <c r="F3351" s="253"/>
      <c r="G3351" s="255"/>
      <c r="H3351" s="254"/>
      <c r="I3351" s="253"/>
      <c r="J3351" s="254"/>
      <c r="K3351" s="253"/>
      <c r="L3351" s="253"/>
      <c r="M3351" s="253"/>
      <c r="N3351" s="253"/>
      <c r="O3351" s="256"/>
      <c r="P3351" s="257"/>
    </row>
    <row r="3352" spans="1:16" ht="14.25">
      <c r="A3352" s="253"/>
      <c r="B3352" s="253"/>
      <c r="C3352" s="254"/>
      <c r="D3352" s="254"/>
      <c r="E3352" s="254"/>
      <c r="F3352" s="253"/>
      <c r="G3352" s="255"/>
      <c r="H3352" s="254"/>
      <c r="I3352" s="253"/>
      <c r="J3352" s="254"/>
      <c r="K3352" s="253"/>
      <c r="L3352" s="253"/>
      <c r="M3352" s="253"/>
      <c r="N3352" s="253"/>
      <c r="O3352" s="256"/>
      <c r="P3352" s="257"/>
    </row>
    <row r="3353" spans="1:16" ht="14.25">
      <c r="A3353" s="253"/>
      <c r="B3353" s="253"/>
      <c r="C3353" s="254"/>
      <c r="D3353" s="254"/>
      <c r="E3353" s="254"/>
      <c r="F3353" s="253"/>
      <c r="G3353" s="255"/>
      <c r="H3353" s="254"/>
      <c r="I3353" s="253"/>
      <c r="J3353" s="254"/>
      <c r="K3353" s="253"/>
      <c r="L3353" s="253"/>
      <c r="M3353" s="253"/>
      <c r="N3353" s="253"/>
      <c r="O3353" s="256"/>
      <c r="P3353" s="257"/>
    </row>
    <row r="3354" spans="1:16" ht="14.25">
      <c r="A3354" s="253"/>
      <c r="B3354" s="253"/>
      <c r="C3354" s="254"/>
      <c r="D3354" s="254"/>
      <c r="E3354" s="254"/>
      <c r="F3354" s="253"/>
      <c r="G3354" s="255"/>
      <c r="H3354" s="254"/>
      <c r="I3354" s="253"/>
      <c r="J3354" s="254"/>
      <c r="K3354" s="253"/>
      <c r="L3354" s="253"/>
      <c r="M3354" s="253"/>
      <c r="N3354" s="253"/>
      <c r="O3354" s="256"/>
      <c r="P3354" s="257"/>
    </row>
    <row r="3355" spans="1:16" ht="14.25">
      <c r="A3355" s="253"/>
      <c r="B3355" s="253"/>
      <c r="C3355" s="254"/>
      <c r="D3355" s="254"/>
      <c r="E3355" s="254"/>
      <c r="F3355" s="253"/>
      <c r="G3355" s="255"/>
      <c r="H3355" s="254"/>
      <c r="I3355" s="253"/>
      <c r="J3355" s="254"/>
      <c r="K3355" s="253"/>
      <c r="L3355" s="253"/>
      <c r="M3355" s="253"/>
      <c r="N3355" s="253"/>
      <c r="O3355" s="256"/>
      <c r="P3355" s="257"/>
    </row>
    <row r="3356" spans="1:16" ht="14.25">
      <c r="A3356" s="253"/>
      <c r="B3356" s="253"/>
      <c r="C3356" s="254"/>
      <c r="D3356" s="254"/>
      <c r="E3356" s="254"/>
      <c r="F3356" s="253"/>
      <c r="G3356" s="255"/>
      <c r="H3356" s="254"/>
      <c r="I3356" s="253"/>
      <c r="J3356" s="254"/>
      <c r="K3356" s="253"/>
      <c r="L3356" s="253"/>
      <c r="M3356" s="253"/>
      <c r="N3356" s="253"/>
      <c r="O3356" s="256"/>
      <c r="P3356" s="257"/>
    </row>
    <row r="3357" spans="1:16" ht="14.25">
      <c r="A3357" s="253"/>
      <c r="B3357" s="253"/>
      <c r="C3357" s="254"/>
      <c r="D3357" s="254"/>
      <c r="E3357" s="254"/>
      <c r="F3357" s="253"/>
      <c r="G3357" s="255"/>
      <c r="H3357" s="254"/>
      <c r="I3357" s="253"/>
      <c r="J3357" s="254"/>
      <c r="K3357" s="253"/>
      <c r="L3357" s="253"/>
      <c r="M3357" s="253"/>
      <c r="N3357" s="253"/>
      <c r="O3357" s="256"/>
      <c r="P3357" s="257"/>
    </row>
    <row r="3358" spans="1:16" ht="14.25">
      <c r="A3358" s="253"/>
      <c r="B3358" s="253"/>
      <c r="C3358" s="254"/>
      <c r="D3358" s="254"/>
      <c r="E3358" s="254"/>
      <c r="F3358" s="253"/>
      <c r="G3358" s="255"/>
      <c r="H3358" s="254"/>
      <c r="I3358" s="253"/>
      <c r="J3358" s="254"/>
      <c r="K3358" s="253"/>
      <c r="L3358" s="253"/>
      <c r="M3358" s="253"/>
      <c r="N3358" s="253"/>
      <c r="O3358" s="256"/>
      <c r="P3358" s="257"/>
    </row>
    <row r="3359" spans="1:16" ht="14.25">
      <c r="A3359" s="253"/>
      <c r="B3359" s="253"/>
      <c r="C3359" s="254"/>
      <c r="D3359" s="254"/>
      <c r="E3359" s="254"/>
      <c r="F3359" s="253"/>
      <c r="G3359" s="255"/>
      <c r="H3359" s="254"/>
      <c r="I3359" s="253"/>
      <c r="J3359" s="254"/>
      <c r="K3359" s="253"/>
      <c r="L3359" s="253"/>
      <c r="M3359" s="253"/>
      <c r="N3359" s="253"/>
      <c r="O3359" s="256"/>
      <c r="P3359" s="257"/>
    </row>
    <row r="3360" spans="1:16" ht="14.25">
      <c r="A3360" s="253"/>
      <c r="B3360" s="253"/>
      <c r="C3360" s="254"/>
      <c r="D3360" s="254"/>
      <c r="E3360" s="254"/>
      <c r="F3360" s="253"/>
      <c r="G3360" s="255"/>
      <c r="H3360" s="254"/>
      <c r="I3360" s="253"/>
      <c r="J3360" s="254"/>
      <c r="K3360" s="253"/>
      <c r="L3360" s="253"/>
      <c r="M3360" s="253"/>
      <c r="N3360" s="253"/>
      <c r="O3360" s="256"/>
      <c r="P3360" s="257"/>
    </row>
    <row r="3361" spans="1:16" ht="14.25">
      <c r="A3361" s="253"/>
      <c r="B3361" s="253"/>
      <c r="C3361" s="254"/>
      <c r="D3361" s="254"/>
      <c r="E3361" s="254"/>
      <c r="F3361" s="253"/>
      <c r="G3361" s="255"/>
      <c r="H3361" s="254"/>
      <c r="I3361" s="253"/>
      <c r="J3361" s="254"/>
      <c r="K3361" s="253"/>
      <c r="L3361" s="253"/>
      <c r="M3361" s="253"/>
      <c r="N3361" s="253"/>
      <c r="O3361" s="256"/>
      <c r="P3361" s="257"/>
    </row>
    <row r="3362" spans="1:16" ht="14.25">
      <c r="A3362" s="253"/>
      <c r="B3362" s="253"/>
      <c r="C3362" s="254"/>
      <c r="D3362" s="254"/>
      <c r="E3362" s="254"/>
      <c r="F3362" s="253"/>
      <c r="G3362" s="255"/>
      <c r="H3362" s="254"/>
      <c r="I3362" s="253"/>
      <c r="J3362" s="254"/>
      <c r="K3362" s="253"/>
      <c r="L3362" s="253"/>
      <c r="M3362" s="253"/>
      <c r="N3362" s="253"/>
      <c r="O3362" s="256"/>
      <c r="P3362" s="257"/>
    </row>
    <row r="3363" spans="1:16" ht="14.25">
      <c r="A3363" s="253"/>
      <c r="B3363" s="253"/>
      <c r="C3363" s="254"/>
      <c r="D3363" s="254"/>
      <c r="E3363" s="254"/>
      <c r="F3363" s="253"/>
      <c r="G3363" s="255"/>
      <c r="H3363" s="254"/>
      <c r="I3363" s="253"/>
      <c r="J3363" s="254"/>
      <c r="K3363" s="253"/>
      <c r="L3363" s="253"/>
      <c r="M3363" s="253"/>
      <c r="N3363" s="253"/>
      <c r="O3363" s="256"/>
      <c r="P3363" s="257"/>
    </row>
    <row r="3364" spans="1:16" ht="14.25">
      <c r="A3364" s="253"/>
      <c r="B3364" s="253"/>
      <c r="C3364" s="254"/>
      <c r="D3364" s="254"/>
      <c r="E3364" s="254"/>
      <c r="F3364" s="253"/>
      <c r="G3364" s="255"/>
      <c r="H3364" s="254"/>
      <c r="I3364" s="253"/>
      <c r="J3364" s="254"/>
      <c r="K3364" s="253"/>
      <c r="L3364" s="253"/>
      <c r="M3364" s="253"/>
      <c r="N3364" s="253"/>
      <c r="O3364" s="256"/>
      <c r="P3364" s="257"/>
    </row>
    <row r="3365" spans="1:16" ht="14.25">
      <c r="A3365" s="253"/>
      <c r="B3365" s="253"/>
      <c r="C3365" s="254"/>
      <c r="D3365" s="254"/>
      <c r="E3365" s="254"/>
      <c r="F3365" s="253"/>
      <c r="G3365" s="255"/>
      <c r="H3365" s="254"/>
      <c r="I3365" s="253"/>
      <c r="J3365" s="254"/>
      <c r="K3365" s="253"/>
      <c r="L3365" s="253"/>
      <c r="M3365" s="253"/>
      <c r="N3365" s="253"/>
      <c r="O3365" s="256"/>
      <c r="P3365" s="257"/>
    </row>
    <row r="3366" spans="1:16" ht="14.25">
      <c r="A3366" s="253"/>
      <c r="B3366" s="253"/>
      <c r="C3366" s="254"/>
      <c r="D3366" s="254"/>
      <c r="E3366" s="254"/>
      <c r="F3366" s="253"/>
      <c r="G3366" s="255"/>
      <c r="H3366" s="254"/>
      <c r="I3366" s="253"/>
      <c r="J3366" s="254"/>
      <c r="K3366" s="253"/>
      <c r="L3366" s="253"/>
      <c r="M3366" s="253"/>
      <c r="N3366" s="253"/>
      <c r="O3366" s="256"/>
      <c r="P3366" s="257"/>
    </row>
    <row r="3367" spans="1:16" ht="14.25">
      <c r="A3367" s="253"/>
      <c r="B3367" s="253"/>
      <c r="C3367" s="254"/>
      <c r="D3367" s="254"/>
      <c r="E3367" s="254"/>
      <c r="F3367" s="253"/>
      <c r="G3367" s="255"/>
      <c r="H3367" s="254"/>
      <c r="I3367" s="253"/>
      <c r="J3367" s="254"/>
      <c r="K3367" s="253"/>
      <c r="L3367" s="253"/>
      <c r="M3367" s="253"/>
      <c r="N3367" s="253"/>
      <c r="O3367" s="256"/>
      <c r="P3367" s="257"/>
    </row>
    <row r="3368" spans="1:16" ht="14.25">
      <c r="A3368" s="253"/>
      <c r="B3368" s="253"/>
      <c r="C3368" s="254"/>
      <c r="D3368" s="254"/>
      <c r="E3368" s="254"/>
      <c r="F3368" s="253"/>
      <c r="G3368" s="255"/>
      <c r="H3368" s="254"/>
      <c r="I3368" s="253"/>
      <c r="J3368" s="254"/>
      <c r="K3368" s="253"/>
      <c r="L3368" s="253"/>
      <c r="M3368" s="253"/>
      <c r="N3368" s="253"/>
      <c r="O3368" s="256"/>
      <c r="P3368" s="257"/>
    </row>
    <row r="3369" spans="1:16" ht="14.25">
      <c r="A3369" s="253"/>
      <c r="B3369" s="253"/>
      <c r="C3369" s="254"/>
      <c r="D3369" s="254"/>
      <c r="E3369" s="254"/>
      <c r="F3369" s="253"/>
      <c r="G3369" s="255"/>
      <c r="H3369" s="254"/>
      <c r="I3369" s="253"/>
      <c r="J3369" s="254"/>
      <c r="K3369" s="253"/>
      <c r="L3369" s="253"/>
      <c r="M3369" s="253"/>
      <c r="N3369" s="253"/>
      <c r="O3369" s="256"/>
      <c r="P3369" s="257"/>
    </row>
    <row r="3370" spans="1:16" ht="14.25">
      <c r="A3370" s="253"/>
      <c r="B3370" s="253"/>
      <c r="C3370" s="254"/>
      <c r="D3370" s="254"/>
      <c r="E3370" s="254"/>
      <c r="F3370" s="253"/>
      <c r="G3370" s="255"/>
      <c r="H3370" s="254"/>
      <c r="I3370" s="253"/>
      <c r="J3370" s="254"/>
      <c r="K3370" s="253"/>
      <c r="L3370" s="253"/>
      <c r="M3370" s="253"/>
      <c r="N3370" s="253"/>
      <c r="O3370" s="256"/>
      <c r="P3370" s="257"/>
    </row>
    <row r="3371" spans="1:16" ht="14.25">
      <c r="A3371" s="253"/>
      <c r="B3371" s="253"/>
      <c r="C3371" s="254"/>
      <c r="D3371" s="254"/>
      <c r="E3371" s="254"/>
      <c r="F3371" s="253"/>
      <c r="G3371" s="255"/>
      <c r="H3371" s="254"/>
      <c r="I3371" s="253"/>
      <c r="J3371" s="254"/>
      <c r="K3371" s="253"/>
      <c r="L3371" s="253"/>
      <c r="M3371" s="253"/>
      <c r="N3371" s="253"/>
      <c r="O3371" s="256"/>
      <c r="P3371" s="257"/>
    </row>
    <row r="3372" spans="1:16" ht="14.25">
      <c r="A3372" s="253"/>
      <c r="B3372" s="253"/>
      <c r="C3372" s="254"/>
      <c r="D3372" s="254"/>
      <c r="E3372" s="254"/>
      <c r="F3372" s="253"/>
      <c r="G3372" s="255"/>
      <c r="H3372" s="254"/>
      <c r="I3372" s="253"/>
      <c r="J3372" s="254"/>
      <c r="K3372" s="253"/>
      <c r="L3372" s="253"/>
      <c r="M3372" s="253"/>
      <c r="N3372" s="253"/>
      <c r="O3372" s="256"/>
      <c r="P3372" s="257"/>
    </row>
    <row r="3373" spans="1:16" ht="14.25">
      <c r="A3373" s="253"/>
      <c r="B3373" s="253"/>
      <c r="C3373" s="254"/>
      <c r="D3373" s="254"/>
      <c r="E3373" s="254"/>
      <c r="F3373" s="253"/>
      <c r="G3373" s="255"/>
      <c r="H3373" s="254"/>
      <c r="I3373" s="253"/>
      <c r="J3373" s="254"/>
      <c r="K3373" s="253"/>
      <c r="L3373" s="253"/>
      <c r="M3373" s="253"/>
      <c r="N3373" s="253"/>
      <c r="O3373" s="256"/>
      <c r="P3373" s="257"/>
    </row>
    <row r="3374" spans="1:16" ht="14.25">
      <c r="A3374" s="253"/>
      <c r="B3374" s="253"/>
      <c r="C3374" s="254"/>
      <c r="D3374" s="254"/>
      <c r="E3374" s="254"/>
      <c r="F3374" s="253"/>
      <c r="G3374" s="255"/>
      <c r="H3374" s="254"/>
      <c r="I3374" s="253"/>
      <c r="J3374" s="254"/>
      <c r="K3374" s="253"/>
      <c r="L3374" s="253"/>
      <c r="M3374" s="253"/>
      <c r="N3374" s="253"/>
      <c r="O3374" s="256"/>
      <c r="P3374" s="257"/>
    </row>
    <row r="3375" spans="1:16" ht="14.25">
      <c r="A3375" s="253"/>
      <c r="B3375" s="253"/>
      <c r="C3375" s="254"/>
      <c r="D3375" s="254"/>
      <c r="E3375" s="254"/>
      <c r="F3375" s="253"/>
      <c r="G3375" s="255"/>
      <c r="H3375" s="254"/>
      <c r="I3375" s="253"/>
      <c r="J3375" s="254"/>
      <c r="K3375" s="253"/>
      <c r="L3375" s="253"/>
      <c r="M3375" s="253"/>
      <c r="N3375" s="253"/>
      <c r="O3375" s="256"/>
      <c r="P3375" s="257"/>
    </row>
    <row r="3376" spans="1:16" ht="14.25">
      <c r="A3376" s="253"/>
      <c r="B3376" s="253"/>
      <c r="C3376" s="254"/>
      <c r="D3376" s="254"/>
      <c r="E3376" s="254"/>
      <c r="F3376" s="253"/>
      <c r="G3376" s="255"/>
      <c r="H3376" s="254"/>
      <c r="I3376" s="253"/>
      <c r="J3376" s="254"/>
      <c r="K3376" s="253"/>
      <c r="L3376" s="253"/>
      <c r="M3376" s="253"/>
      <c r="N3376" s="253"/>
      <c r="O3376" s="256"/>
      <c r="P3376" s="257"/>
    </row>
    <row r="3377" spans="1:16" ht="14.25">
      <c r="A3377" s="253"/>
      <c r="B3377" s="253"/>
      <c r="C3377" s="254"/>
      <c r="D3377" s="254"/>
      <c r="E3377" s="254"/>
      <c r="F3377" s="253"/>
      <c r="G3377" s="255"/>
      <c r="H3377" s="254"/>
      <c r="I3377" s="253"/>
      <c r="J3377" s="254"/>
      <c r="K3377" s="253"/>
      <c r="L3377" s="253"/>
      <c r="M3377" s="253"/>
      <c r="N3377" s="253"/>
      <c r="O3377" s="256"/>
      <c r="P3377" s="257"/>
    </row>
    <row r="3378" spans="1:16" ht="14.25">
      <c r="A3378" s="253"/>
      <c r="B3378" s="253"/>
      <c r="C3378" s="254"/>
      <c r="D3378" s="254"/>
      <c r="E3378" s="254"/>
      <c r="F3378" s="253"/>
      <c r="G3378" s="255"/>
      <c r="H3378" s="254"/>
      <c r="I3378" s="253"/>
      <c r="J3378" s="254"/>
      <c r="K3378" s="253"/>
      <c r="L3378" s="253"/>
      <c r="M3378" s="253"/>
      <c r="N3378" s="253"/>
      <c r="O3378" s="256"/>
      <c r="P3378" s="257"/>
    </row>
    <row r="3379" spans="1:16" ht="14.25">
      <c r="A3379" s="253"/>
      <c r="B3379" s="253"/>
      <c r="C3379" s="254"/>
      <c r="D3379" s="254"/>
      <c r="E3379" s="254"/>
      <c r="F3379" s="253"/>
      <c r="G3379" s="255"/>
      <c r="H3379" s="254"/>
      <c r="I3379" s="253"/>
      <c r="J3379" s="254"/>
      <c r="K3379" s="253"/>
      <c r="L3379" s="253"/>
      <c r="M3379" s="253"/>
      <c r="N3379" s="253"/>
      <c r="O3379" s="256"/>
      <c r="P3379" s="257"/>
    </row>
    <row r="3380" spans="1:16" ht="14.25">
      <c r="A3380" s="253"/>
      <c r="B3380" s="253"/>
      <c r="C3380" s="254"/>
      <c r="D3380" s="254"/>
      <c r="E3380" s="254"/>
      <c r="F3380" s="253"/>
      <c r="G3380" s="255"/>
      <c r="H3380" s="254"/>
      <c r="I3380" s="253"/>
      <c r="J3380" s="254"/>
      <c r="K3380" s="253"/>
      <c r="L3380" s="253"/>
      <c r="M3380" s="253"/>
      <c r="N3380" s="253"/>
      <c r="O3380" s="256"/>
      <c r="P3380" s="257"/>
    </row>
    <row r="3381" spans="1:16" ht="14.25">
      <c r="A3381" s="253"/>
      <c r="B3381" s="253"/>
      <c r="C3381" s="254"/>
      <c r="D3381" s="254"/>
      <c r="E3381" s="254"/>
      <c r="F3381" s="253"/>
      <c r="G3381" s="255"/>
      <c r="H3381" s="254"/>
      <c r="I3381" s="253"/>
      <c r="J3381" s="254"/>
      <c r="K3381" s="253"/>
      <c r="L3381" s="253"/>
      <c r="M3381" s="253"/>
      <c r="N3381" s="253"/>
      <c r="O3381" s="256"/>
      <c r="P3381" s="257"/>
    </row>
    <row r="3382" spans="1:16" ht="14.25">
      <c r="A3382" s="253"/>
      <c r="B3382" s="253"/>
      <c r="C3382" s="254"/>
      <c r="D3382" s="254"/>
      <c r="E3382" s="254"/>
      <c r="F3382" s="253"/>
      <c r="G3382" s="255"/>
      <c r="H3382" s="254"/>
      <c r="I3382" s="253"/>
      <c r="J3382" s="254"/>
      <c r="K3382" s="253"/>
      <c r="L3382" s="253"/>
      <c r="M3382" s="253"/>
      <c r="N3382" s="253"/>
      <c r="O3382" s="256"/>
      <c r="P3382" s="257"/>
    </row>
    <row r="3383" spans="1:16" ht="14.25">
      <c r="A3383" s="253"/>
      <c r="B3383" s="253"/>
      <c r="C3383" s="254"/>
      <c r="D3383" s="254"/>
      <c r="E3383" s="254"/>
      <c r="F3383" s="253"/>
      <c r="G3383" s="255"/>
      <c r="H3383" s="254"/>
      <c r="I3383" s="253"/>
      <c r="J3383" s="254"/>
      <c r="K3383" s="253"/>
      <c r="L3383" s="253"/>
      <c r="M3383" s="253"/>
      <c r="N3383" s="253"/>
      <c r="O3383" s="256"/>
      <c r="P3383" s="257"/>
    </row>
    <row r="3384" spans="1:16" ht="14.25">
      <c r="A3384" s="253"/>
      <c r="B3384" s="253"/>
      <c r="C3384" s="254"/>
      <c r="D3384" s="254"/>
      <c r="E3384" s="254"/>
      <c r="F3384" s="253"/>
      <c r="G3384" s="255"/>
      <c r="H3384" s="254"/>
      <c r="I3384" s="253"/>
      <c r="J3384" s="254"/>
      <c r="K3384" s="253"/>
      <c r="L3384" s="253"/>
      <c r="M3384" s="253"/>
      <c r="N3384" s="253"/>
      <c r="O3384" s="256"/>
      <c r="P3384" s="257"/>
    </row>
    <row r="3385" spans="1:16" ht="14.25">
      <c r="A3385" s="253"/>
      <c r="B3385" s="253"/>
      <c r="C3385" s="254"/>
      <c r="D3385" s="254"/>
      <c r="E3385" s="254"/>
      <c r="F3385" s="253"/>
      <c r="G3385" s="255"/>
      <c r="H3385" s="254"/>
      <c r="I3385" s="253"/>
      <c r="J3385" s="254"/>
      <c r="K3385" s="253"/>
      <c r="L3385" s="253"/>
      <c r="M3385" s="253"/>
      <c r="N3385" s="253"/>
      <c r="O3385" s="256"/>
      <c r="P3385" s="257"/>
    </row>
    <row r="3386" spans="1:16" ht="14.25">
      <c r="A3386" s="253"/>
      <c r="B3386" s="253"/>
      <c r="C3386" s="254"/>
      <c r="D3386" s="254"/>
      <c r="E3386" s="254"/>
      <c r="F3386" s="253"/>
      <c r="G3386" s="255"/>
      <c r="H3386" s="254"/>
      <c r="I3386" s="253"/>
      <c r="J3386" s="254"/>
      <c r="K3386" s="253"/>
      <c r="L3386" s="253"/>
      <c r="M3386" s="253"/>
      <c r="N3386" s="253"/>
      <c r="O3386" s="256"/>
      <c r="P3386" s="257"/>
    </row>
    <row r="3387" spans="1:16" ht="14.25">
      <c r="A3387" s="253"/>
      <c r="B3387" s="253"/>
      <c r="C3387" s="254"/>
      <c r="D3387" s="254"/>
      <c r="E3387" s="254"/>
      <c r="F3387" s="253"/>
      <c r="G3387" s="255"/>
      <c r="H3387" s="254"/>
      <c r="I3387" s="253"/>
      <c r="J3387" s="254"/>
      <c r="K3387" s="253"/>
      <c r="L3387" s="253"/>
      <c r="M3387" s="253"/>
      <c r="N3387" s="253"/>
      <c r="O3387" s="256"/>
      <c r="P3387" s="257"/>
    </row>
    <row r="3388" spans="1:16" ht="14.25">
      <c r="A3388" s="253"/>
      <c r="B3388" s="253"/>
      <c r="C3388" s="254"/>
      <c r="D3388" s="254"/>
      <c r="E3388" s="254"/>
      <c r="F3388" s="253"/>
      <c r="G3388" s="255"/>
      <c r="H3388" s="254"/>
      <c r="I3388" s="253"/>
      <c r="J3388" s="254"/>
      <c r="K3388" s="253"/>
      <c r="L3388" s="253"/>
      <c r="M3388" s="253"/>
      <c r="N3388" s="253"/>
      <c r="O3388" s="256"/>
      <c r="P3388" s="257"/>
    </row>
    <row r="3389" spans="1:16" ht="14.25">
      <c r="A3389" s="253"/>
      <c r="B3389" s="253"/>
      <c r="C3389" s="254"/>
      <c r="D3389" s="254"/>
      <c r="E3389" s="254"/>
      <c r="F3389" s="253"/>
      <c r="G3389" s="255"/>
      <c r="H3389" s="254"/>
      <c r="I3389" s="253"/>
      <c r="J3389" s="254"/>
      <c r="K3389" s="253"/>
      <c r="L3389" s="253"/>
      <c r="M3389" s="253"/>
      <c r="N3389" s="253"/>
      <c r="O3389" s="256"/>
      <c r="P3389" s="257"/>
    </row>
    <row r="3390" spans="1:16" ht="14.25">
      <c r="A3390" s="253"/>
      <c r="B3390" s="253"/>
      <c r="C3390" s="254"/>
      <c r="D3390" s="254"/>
      <c r="E3390" s="254"/>
      <c r="F3390" s="253"/>
      <c r="G3390" s="255"/>
      <c r="H3390" s="254"/>
      <c r="I3390" s="253"/>
      <c r="J3390" s="254"/>
      <c r="K3390" s="253"/>
      <c r="L3390" s="253"/>
      <c r="M3390" s="253"/>
      <c r="N3390" s="253"/>
      <c r="O3390" s="256"/>
      <c r="P3390" s="257"/>
    </row>
    <row r="3391" spans="1:16" ht="14.25">
      <c r="A3391" s="253"/>
      <c r="B3391" s="253"/>
      <c r="C3391" s="254"/>
      <c r="D3391" s="254"/>
      <c r="E3391" s="254"/>
      <c r="F3391" s="253"/>
      <c r="G3391" s="255"/>
      <c r="H3391" s="254"/>
      <c r="I3391" s="253"/>
      <c r="J3391" s="254"/>
      <c r="K3391" s="253"/>
      <c r="L3391" s="253"/>
      <c r="M3391" s="253"/>
      <c r="N3391" s="253"/>
      <c r="O3391" s="256"/>
      <c r="P3391" s="257"/>
    </row>
    <row r="3392" spans="1:16" ht="14.25">
      <c r="A3392" s="253"/>
      <c r="B3392" s="253"/>
      <c r="C3392" s="254"/>
      <c r="D3392" s="254"/>
      <c r="E3392" s="254"/>
      <c r="F3392" s="253"/>
      <c r="G3392" s="255"/>
      <c r="H3392" s="254"/>
      <c r="I3392" s="253"/>
      <c r="J3392" s="254"/>
      <c r="K3392" s="253"/>
      <c r="L3392" s="253"/>
      <c r="M3392" s="253"/>
      <c r="N3392" s="253"/>
      <c r="O3392" s="256"/>
      <c r="P3392" s="257"/>
    </row>
    <row r="3393" spans="1:16" ht="14.25">
      <c r="A3393" s="253"/>
      <c r="B3393" s="253"/>
      <c r="C3393" s="254"/>
      <c r="D3393" s="254"/>
      <c r="E3393" s="254"/>
      <c r="F3393" s="253"/>
      <c r="G3393" s="255"/>
      <c r="H3393" s="254"/>
      <c r="I3393" s="253"/>
      <c r="J3393" s="254"/>
      <c r="K3393" s="253"/>
      <c r="L3393" s="253"/>
      <c r="M3393" s="253"/>
      <c r="N3393" s="253"/>
      <c r="O3393" s="256"/>
      <c r="P3393" s="257"/>
    </row>
    <row r="3394" spans="1:16" ht="14.25">
      <c r="A3394" s="253"/>
      <c r="B3394" s="253"/>
      <c r="C3394" s="254"/>
      <c r="D3394" s="254"/>
      <c r="E3394" s="254"/>
      <c r="F3394" s="253"/>
      <c r="G3394" s="255"/>
      <c r="H3394" s="254"/>
      <c r="I3394" s="253"/>
      <c r="J3394" s="254"/>
      <c r="K3394" s="253"/>
      <c r="L3394" s="253"/>
      <c r="M3394" s="253"/>
      <c r="N3394" s="253"/>
      <c r="O3394" s="256"/>
      <c r="P3394" s="257"/>
    </row>
    <row r="3395" spans="1:16" ht="14.25">
      <c r="A3395" s="253"/>
      <c r="B3395" s="253"/>
      <c r="C3395" s="254"/>
      <c r="D3395" s="254"/>
      <c r="E3395" s="254"/>
      <c r="F3395" s="253"/>
      <c r="G3395" s="255"/>
      <c r="H3395" s="254"/>
      <c r="I3395" s="253"/>
      <c r="J3395" s="254"/>
      <c r="K3395" s="253"/>
      <c r="L3395" s="253"/>
      <c r="M3395" s="253"/>
      <c r="N3395" s="253"/>
      <c r="O3395" s="256"/>
      <c r="P3395" s="257"/>
    </row>
    <row r="3396" spans="1:16" ht="14.25">
      <c r="A3396" s="253"/>
      <c r="B3396" s="253"/>
      <c r="C3396" s="254"/>
      <c r="D3396" s="254"/>
      <c r="E3396" s="254"/>
      <c r="F3396" s="253"/>
      <c r="G3396" s="255"/>
      <c r="H3396" s="254"/>
      <c r="I3396" s="253"/>
      <c r="J3396" s="254"/>
      <c r="K3396" s="253"/>
      <c r="L3396" s="253"/>
      <c r="M3396" s="253"/>
      <c r="N3396" s="253"/>
      <c r="O3396" s="256"/>
      <c r="P3396" s="257"/>
    </row>
    <row r="3397" spans="1:16" ht="14.25">
      <c r="A3397" s="253"/>
      <c r="B3397" s="253"/>
      <c r="C3397" s="254"/>
      <c r="D3397" s="254"/>
      <c r="E3397" s="254"/>
      <c r="F3397" s="253"/>
      <c r="G3397" s="255"/>
      <c r="H3397" s="254"/>
      <c r="I3397" s="253"/>
      <c r="J3397" s="254"/>
      <c r="K3397" s="253"/>
      <c r="L3397" s="253"/>
      <c r="M3397" s="253"/>
      <c r="N3397" s="253"/>
      <c r="O3397" s="256"/>
      <c r="P3397" s="257"/>
    </row>
    <row r="3398" spans="1:16" ht="14.25">
      <c r="A3398" s="253"/>
      <c r="B3398" s="253"/>
      <c r="C3398" s="254"/>
      <c r="D3398" s="254"/>
      <c r="E3398" s="254"/>
      <c r="F3398" s="253"/>
      <c r="G3398" s="255"/>
      <c r="H3398" s="254"/>
      <c r="I3398" s="253"/>
      <c r="J3398" s="254"/>
      <c r="K3398" s="253"/>
      <c r="L3398" s="253"/>
      <c r="M3398" s="253"/>
      <c r="N3398" s="253"/>
      <c r="O3398" s="256"/>
      <c r="P3398" s="257"/>
    </row>
    <row r="3399" spans="1:16" ht="14.25">
      <c r="A3399" s="253"/>
      <c r="B3399" s="253"/>
      <c r="C3399" s="254"/>
      <c r="D3399" s="254"/>
      <c r="E3399" s="254"/>
      <c r="F3399" s="253"/>
      <c r="G3399" s="255"/>
      <c r="H3399" s="254"/>
      <c r="I3399" s="253"/>
      <c r="J3399" s="254"/>
      <c r="K3399" s="253"/>
      <c r="L3399" s="253"/>
      <c r="M3399" s="253"/>
      <c r="N3399" s="253"/>
      <c r="O3399" s="256"/>
      <c r="P3399" s="257"/>
    </row>
    <row r="3400" spans="1:16" ht="14.25">
      <c r="A3400" s="253"/>
      <c r="B3400" s="253"/>
      <c r="C3400" s="254"/>
      <c r="D3400" s="254"/>
      <c r="E3400" s="254"/>
      <c r="F3400" s="253"/>
      <c r="G3400" s="255"/>
      <c r="H3400" s="254"/>
      <c r="I3400" s="253"/>
      <c r="J3400" s="254"/>
      <c r="K3400" s="253"/>
      <c r="L3400" s="253"/>
      <c r="M3400" s="253"/>
      <c r="N3400" s="253"/>
      <c r="O3400" s="256"/>
      <c r="P3400" s="257"/>
    </row>
    <row r="3401" spans="1:16" ht="14.25">
      <c r="A3401" s="253"/>
      <c r="B3401" s="253"/>
      <c r="C3401" s="254"/>
      <c r="D3401" s="254"/>
      <c r="E3401" s="254"/>
      <c r="F3401" s="253"/>
      <c r="G3401" s="255"/>
      <c r="H3401" s="254"/>
      <c r="I3401" s="253"/>
      <c r="J3401" s="254"/>
      <c r="K3401" s="253"/>
      <c r="L3401" s="253"/>
      <c r="M3401" s="253"/>
      <c r="N3401" s="253"/>
      <c r="O3401" s="256"/>
      <c r="P3401" s="257"/>
    </row>
    <row r="3402" spans="1:16" ht="14.25">
      <c r="A3402" s="253"/>
      <c r="B3402" s="253"/>
      <c r="C3402" s="254"/>
      <c r="D3402" s="254"/>
      <c r="E3402" s="254"/>
      <c r="F3402" s="253"/>
      <c r="G3402" s="255"/>
      <c r="H3402" s="254"/>
      <c r="I3402" s="253"/>
      <c r="J3402" s="254"/>
      <c r="K3402" s="253"/>
      <c r="L3402" s="253"/>
      <c r="M3402" s="253"/>
      <c r="N3402" s="253"/>
      <c r="O3402" s="256"/>
      <c r="P3402" s="257"/>
    </row>
    <row r="3403" spans="1:16" ht="14.25">
      <c r="A3403" s="253"/>
      <c r="B3403" s="253"/>
      <c r="C3403" s="254"/>
      <c r="D3403" s="254"/>
      <c r="E3403" s="254"/>
      <c r="F3403" s="253"/>
      <c r="G3403" s="255"/>
      <c r="H3403" s="254"/>
      <c r="I3403" s="253"/>
      <c r="J3403" s="254"/>
      <c r="K3403" s="253"/>
      <c r="L3403" s="253"/>
      <c r="M3403" s="253"/>
      <c r="N3403" s="253"/>
      <c r="O3403" s="256"/>
      <c r="P3403" s="257"/>
    </row>
    <row r="3404" spans="1:16" ht="14.25">
      <c r="A3404" s="253"/>
      <c r="B3404" s="253"/>
      <c r="C3404" s="254"/>
      <c r="D3404" s="254"/>
      <c r="E3404" s="254"/>
      <c r="F3404" s="253"/>
      <c r="G3404" s="255"/>
      <c r="H3404" s="254"/>
      <c r="I3404" s="253"/>
      <c r="J3404" s="254"/>
      <c r="K3404" s="253"/>
      <c r="L3404" s="253"/>
      <c r="M3404" s="253"/>
      <c r="N3404" s="253"/>
      <c r="O3404" s="256"/>
      <c r="P3404" s="257"/>
    </row>
    <row r="3405" spans="1:16" ht="14.25">
      <c r="A3405" s="253"/>
      <c r="B3405" s="253"/>
      <c r="C3405" s="254"/>
      <c r="D3405" s="254"/>
      <c r="E3405" s="254"/>
      <c r="F3405" s="253"/>
      <c r="G3405" s="255"/>
      <c r="H3405" s="254"/>
      <c r="I3405" s="253"/>
      <c r="J3405" s="254"/>
      <c r="K3405" s="253"/>
      <c r="L3405" s="253"/>
      <c r="M3405" s="253"/>
      <c r="N3405" s="253"/>
      <c r="O3405" s="256"/>
      <c r="P3405" s="257"/>
    </row>
    <row r="3406" spans="1:16" ht="14.25">
      <c r="A3406" s="253"/>
      <c r="B3406" s="253"/>
      <c r="C3406" s="254"/>
      <c r="D3406" s="254"/>
      <c r="E3406" s="254"/>
      <c r="F3406" s="253"/>
      <c r="G3406" s="255"/>
      <c r="H3406" s="254"/>
      <c r="I3406" s="253"/>
      <c r="J3406" s="254"/>
      <c r="K3406" s="253"/>
      <c r="L3406" s="253"/>
      <c r="M3406" s="253"/>
      <c r="N3406" s="253"/>
      <c r="O3406" s="256"/>
      <c r="P3406" s="257"/>
    </row>
    <row r="3407" spans="1:16" ht="14.25">
      <c r="A3407" s="253"/>
      <c r="B3407" s="253"/>
      <c r="C3407" s="254"/>
      <c r="D3407" s="254"/>
      <c r="E3407" s="254"/>
      <c r="F3407" s="253"/>
      <c r="G3407" s="255"/>
      <c r="H3407" s="254"/>
      <c r="I3407" s="253"/>
      <c r="J3407" s="254"/>
      <c r="K3407" s="253"/>
      <c r="L3407" s="253"/>
      <c r="M3407" s="253"/>
      <c r="N3407" s="253"/>
      <c r="O3407" s="256"/>
      <c r="P3407" s="257"/>
    </row>
    <row r="3408" spans="1:16" ht="14.25">
      <c r="A3408" s="253"/>
      <c r="B3408" s="253"/>
      <c r="C3408" s="254"/>
      <c r="D3408" s="254"/>
      <c r="E3408" s="254"/>
      <c r="F3408" s="253"/>
      <c r="G3408" s="255"/>
      <c r="H3408" s="254"/>
      <c r="I3408" s="253"/>
      <c r="J3408" s="254"/>
      <c r="K3408" s="253"/>
      <c r="L3408" s="253"/>
      <c r="M3408" s="253"/>
      <c r="N3408" s="253"/>
      <c r="O3408" s="256"/>
      <c r="P3408" s="257"/>
    </row>
    <row r="3409" spans="1:16" ht="14.25">
      <c r="A3409" s="253"/>
      <c r="B3409" s="253"/>
      <c r="C3409" s="254"/>
      <c r="D3409" s="254"/>
      <c r="E3409" s="254"/>
      <c r="F3409" s="253"/>
      <c r="G3409" s="255"/>
      <c r="H3409" s="254"/>
      <c r="I3409" s="253"/>
      <c r="J3409" s="254"/>
      <c r="K3409" s="253"/>
      <c r="L3409" s="253"/>
      <c r="M3409" s="253"/>
      <c r="N3409" s="253"/>
      <c r="O3409" s="256"/>
      <c r="P3409" s="257"/>
    </row>
    <row r="3410" spans="1:16" ht="14.25">
      <c r="A3410" s="253"/>
      <c r="B3410" s="253"/>
      <c r="C3410" s="254"/>
      <c r="D3410" s="254"/>
      <c r="E3410" s="254"/>
      <c r="F3410" s="253"/>
      <c r="G3410" s="255"/>
      <c r="H3410" s="254"/>
      <c r="I3410" s="253"/>
      <c r="J3410" s="254"/>
      <c r="K3410" s="253"/>
      <c r="L3410" s="253"/>
      <c r="M3410" s="253"/>
      <c r="N3410" s="253"/>
      <c r="O3410" s="256"/>
      <c r="P3410" s="257"/>
    </row>
    <row r="3411" spans="1:16" ht="14.25">
      <c r="A3411" s="253"/>
      <c r="B3411" s="253"/>
      <c r="C3411" s="254"/>
      <c r="D3411" s="254"/>
      <c r="E3411" s="254"/>
      <c r="F3411" s="253"/>
      <c r="G3411" s="255"/>
      <c r="H3411" s="254"/>
      <c r="I3411" s="253"/>
      <c r="J3411" s="254"/>
      <c r="K3411" s="253"/>
      <c r="L3411" s="253"/>
      <c r="M3411" s="253"/>
      <c r="N3411" s="253"/>
      <c r="O3411" s="256"/>
      <c r="P3411" s="257"/>
    </row>
    <row r="3412" spans="1:16" ht="14.25">
      <c r="A3412" s="253"/>
      <c r="B3412" s="253"/>
      <c r="C3412" s="254"/>
      <c r="D3412" s="254"/>
      <c r="E3412" s="254"/>
      <c r="F3412" s="253"/>
      <c r="G3412" s="255"/>
      <c r="H3412" s="254"/>
      <c r="I3412" s="253"/>
      <c r="J3412" s="254"/>
      <c r="K3412" s="253"/>
      <c r="L3412" s="253"/>
      <c r="M3412" s="253"/>
      <c r="N3412" s="253"/>
      <c r="O3412" s="256"/>
      <c r="P3412" s="257"/>
    </row>
    <row r="3413" spans="1:16" ht="14.25">
      <c r="A3413" s="253"/>
      <c r="B3413" s="253"/>
      <c r="C3413" s="254"/>
      <c r="D3413" s="254"/>
      <c r="E3413" s="254"/>
      <c r="F3413" s="253"/>
      <c r="G3413" s="255"/>
      <c r="H3413" s="254"/>
      <c r="I3413" s="253"/>
      <c r="J3413" s="254"/>
      <c r="K3413" s="253"/>
      <c r="L3413" s="253"/>
      <c r="M3413" s="253"/>
      <c r="N3413" s="253"/>
      <c r="O3413" s="256"/>
      <c r="P3413" s="257"/>
    </row>
    <row r="3414" spans="1:16" ht="14.25">
      <c r="A3414" s="253"/>
      <c r="B3414" s="253"/>
      <c r="C3414" s="254"/>
      <c r="D3414" s="254"/>
      <c r="E3414" s="254"/>
      <c r="F3414" s="253"/>
      <c r="G3414" s="255"/>
      <c r="H3414" s="254"/>
      <c r="I3414" s="253"/>
      <c r="J3414" s="254"/>
      <c r="K3414" s="253"/>
      <c r="L3414" s="253"/>
      <c r="M3414" s="253"/>
      <c r="N3414" s="253"/>
      <c r="O3414" s="256"/>
      <c r="P3414" s="257"/>
    </row>
    <row r="3415" spans="1:16" ht="14.25">
      <c r="A3415" s="253"/>
      <c r="B3415" s="253"/>
      <c r="C3415" s="254"/>
      <c r="D3415" s="254"/>
      <c r="E3415" s="254"/>
      <c r="F3415" s="253"/>
      <c r="G3415" s="255"/>
      <c r="H3415" s="254"/>
      <c r="I3415" s="253"/>
      <c r="J3415" s="254"/>
      <c r="K3415" s="253"/>
      <c r="L3415" s="253"/>
      <c r="M3415" s="253"/>
      <c r="N3415" s="253"/>
      <c r="O3415" s="256"/>
      <c r="P3415" s="257"/>
    </row>
    <row r="3416" spans="1:16" ht="14.25">
      <c r="A3416" s="253"/>
      <c r="B3416" s="253"/>
      <c r="C3416" s="254"/>
      <c r="D3416" s="254"/>
      <c r="E3416" s="254"/>
      <c r="F3416" s="253"/>
      <c r="G3416" s="255"/>
      <c r="H3416" s="254"/>
      <c r="I3416" s="253"/>
      <c r="J3416" s="254"/>
      <c r="K3416" s="253"/>
      <c r="L3416" s="253"/>
      <c r="M3416" s="253"/>
      <c r="N3416" s="253"/>
      <c r="O3416" s="256"/>
      <c r="P3416" s="257"/>
    </row>
    <row r="3417" spans="1:16" ht="14.25">
      <c r="A3417" s="253"/>
      <c r="B3417" s="253"/>
      <c r="C3417" s="254"/>
      <c r="D3417" s="254"/>
      <c r="E3417" s="254"/>
      <c r="F3417" s="253"/>
      <c r="G3417" s="255"/>
      <c r="H3417" s="254"/>
      <c r="I3417" s="253"/>
      <c r="J3417" s="254"/>
      <c r="K3417" s="253"/>
      <c r="L3417" s="253"/>
      <c r="M3417" s="253"/>
      <c r="N3417" s="253"/>
      <c r="O3417" s="256"/>
      <c r="P3417" s="257"/>
    </row>
    <row r="3418" spans="1:16" ht="14.25">
      <c r="A3418" s="253"/>
      <c r="B3418" s="253"/>
      <c r="C3418" s="254"/>
      <c r="D3418" s="254"/>
      <c r="E3418" s="254"/>
      <c r="F3418" s="253"/>
      <c r="G3418" s="255"/>
      <c r="H3418" s="254"/>
      <c r="I3418" s="253"/>
      <c r="J3418" s="254"/>
      <c r="K3418" s="253"/>
      <c r="L3418" s="253"/>
      <c r="M3418" s="253"/>
      <c r="N3418" s="253"/>
      <c r="O3418" s="256"/>
      <c r="P3418" s="257"/>
    </row>
    <row r="3419" spans="1:16" ht="14.25">
      <c r="A3419" s="253"/>
      <c r="B3419" s="253"/>
      <c r="C3419" s="254"/>
      <c r="D3419" s="254"/>
      <c r="E3419" s="254"/>
      <c r="F3419" s="253"/>
      <c r="G3419" s="255"/>
      <c r="H3419" s="254"/>
      <c r="I3419" s="253"/>
      <c r="J3419" s="254"/>
      <c r="K3419" s="253"/>
      <c r="L3419" s="253"/>
      <c r="M3419" s="253"/>
      <c r="N3419" s="253"/>
      <c r="O3419" s="256"/>
      <c r="P3419" s="257"/>
    </row>
    <row r="3420" spans="1:16" ht="14.25">
      <c r="A3420" s="253"/>
      <c r="B3420" s="253"/>
      <c r="C3420" s="254"/>
      <c r="D3420" s="254"/>
      <c r="E3420" s="254"/>
      <c r="F3420" s="253"/>
      <c r="G3420" s="255"/>
      <c r="H3420" s="254"/>
      <c r="I3420" s="253"/>
      <c r="J3420" s="254"/>
      <c r="K3420" s="253"/>
      <c r="L3420" s="253"/>
      <c r="M3420" s="253"/>
      <c r="N3420" s="253"/>
      <c r="O3420" s="256"/>
      <c r="P3420" s="257"/>
    </row>
    <row r="3421" spans="1:16" ht="14.25">
      <c r="A3421" s="253"/>
      <c r="B3421" s="253"/>
      <c r="C3421" s="254"/>
      <c r="D3421" s="254"/>
      <c r="E3421" s="254"/>
      <c r="F3421" s="253"/>
      <c r="G3421" s="255"/>
      <c r="H3421" s="254"/>
      <c r="I3421" s="253"/>
      <c r="J3421" s="254"/>
      <c r="K3421" s="253"/>
      <c r="L3421" s="253"/>
      <c r="M3421" s="253"/>
      <c r="N3421" s="253"/>
      <c r="O3421" s="256"/>
      <c r="P3421" s="257"/>
    </row>
    <row r="3422" spans="1:16" ht="14.25">
      <c r="A3422" s="253"/>
      <c r="B3422" s="253"/>
      <c r="C3422" s="254"/>
      <c r="D3422" s="254"/>
      <c r="E3422" s="254"/>
      <c r="F3422" s="253"/>
      <c r="G3422" s="255"/>
      <c r="H3422" s="254"/>
      <c r="I3422" s="253"/>
      <c r="J3422" s="254"/>
      <c r="K3422" s="253"/>
      <c r="L3422" s="253"/>
      <c r="M3422" s="253"/>
      <c r="N3422" s="253"/>
      <c r="O3422" s="256"/>
      <c r="P3422" s="257"/>
    </row>
    <row r="3423" spans="1:16" ht="14.25">
      <c r="A3423" s="253"/>
      <c r="B3423" s="253"/>
      <c r="C3423" s="254"/>
      <c r="D3423" s="254"/>
      <c r="E3423" s="254"/>
      <c r="F3423" s="253"/>
      <c r="G3423" s="255"/>
      <c r="H3423" s="254"/>
      <c r="I3423" s="253"/>
      <c r="J3423" s="254"/>
      <c r="K3423" s="253"/>
      <c r="L3423" s="253"/>
      <c r="M3423" s="253"/>
      <c r="N3423" s="253"/>
      <c r="O3423" s="256"/>
      <c r="P3423" s="257"/>
    </row>
    <row r="3424" spans="1:16" ht="14.25">
      <c r="A3424" s="253"/>
      <c r="B3424" s="253"/>
      <c r="C3424" s="254"/>
      <c r="D3424" s="254"/>
      <c r="E3424" s="254"/>
      <c r="F3424" s="253"/>
      <c r="G3424" s="255"/>
      <c r="H3424" s="254"/>
      <c r="I3424" s="253"/>
      <c r="J3424" s="254"/>
      <c r="K3424" s="253"/>
      <c r="L3424" s="253"/>
      <c r="M3424" s="253"/>
      <c r="N3424" s="253"/>
      <c r="O3424" s="256"/>
      <c r="P3424" s="257"/>
    </row>
    <row r="3425" spans="1:16" ht="14.25">
      <c r="A3425" s="253"/>
      <c r="B3425" s="253"/>
      <c r="C3425" s="254"/>
      <c r="D3425" s="254"/>
      <c r="E3425" s="254"/>
      <c r="F3425" s="253"/>
      <c r="G3425" s="255"/>
      <c r="H3425" s="254"/>
      <c r="I3425" s="253"/>
      <c r="J3425" s="254"/>
      <c r="K3425" s="253"/>
      <c r="L3425" s="253"/>
      <c r="M3425" s="253"/>
      <c r="N3425" s="253"/>
      <c r="O3425" s="256"/>
      <c r="P3425" s="257"/>
    </row>
    <row r="3426" spans="1:16" ht="14.25">
      <c r="A3426" s="253"/>
      <c r="B3426" s="253"/>
      <c r="C3426" s="254"/>
      <c r="D3426" s="254"/>
      <c r="E3426" s="254"/>
      <c r="F3426" s="253"/>
      <c r="G3426" s="255"/>
      <c r="H3426" s="254"/>
      <c r="I3426" s="253"/>
      <c r="J3426" s="254"/>
      <c r="K3426" s="253"/>
      <c r="L3426" s="253"/>
      <c r="M3426" s="253"/>
      <c r="N3426" s="253"/>
      <c r="O3426" s="256"/>
      <c r="P3426" s="257"/>
    </row>
    <row r="3427" spans="1:16" ht="14.25">
      <c r="A3427" s="253"/>
      <c r="B3427" s="253"/>
      <c r="C3427" s="254"/>
      <c r="D3427" s="254"/>
      <c r="E3427" s="254"/>
      <c r="F3427" s="253"/>
      <c r="G3427" s="255"/>
      <c r="H3427" s="254"/>
      <c r="I3427" s="253"/>
      <c r="J3427" s="254"/>
      <c r="K3427" s="253"/>
      <c r="L3427" s="253"/>
      <c r="M3427" s="253"/>
      <c r="N3427" s="253"/>
      <c r="O3427" s="256"/>
      <c r="P3427" s="257"/>
    </row>
    <row r="3428" spans="1:16" ht="14.25">
      <c r="A3428" s="253"/>
      <c r="B3428" s="253"/>
      <c r="C3428" s="254"/>
      <c r="D3428" s="254"/>
      <c r="E3428" s="254"/>
      <c r="F3428" s="253"/>
      <c r="G3428" s="255"/>
      <c r="H3428" s="254"/>
      <c r="I3428" s="253"/>
      <c r="J3428" s="254"/>
      <c r="K3428" s="253"/>
      <c r="L3428" s="253"/>
      <c r="M3428" s="253"/>
      <c r="N3428" s="253"/>
      <c r="O3428" s="256"/>
      <c r="P3428" s="257"/>
    </row>
    <row r="3429" spans="1:16" ht="14.25">
      <c r="A3429" s="253"/>
      <c r="B3429" s="253"/>
      <c r="C3429" s="254"/>
      <c r="D3429" s="254"/>
      <c r="E3429" s="254"/>
      <c r="F3429" s="253"/>
      <c r="G3429" s="255"/>
      <c r="H3429" s="254"/>
      <c r="I3429" s="253"/>
      <c r="J3429" s="254"/>
      <c r="K3429" s="253"/>
      <c r="L3429" s="253"/>
      <c r="M3429" s="253"/>
      <c r="N3429" s="253"/>
      <c r="O3429" s="256"/>
      <c r="P3429" s="257"/>
    </row>
    <row r="3430" spans="1:16" ht="14.25">
      <c r="A3430" s="253"/>
      <c r="B3430" s="253"/>
      <c r="C3430" s="254"/>
      <c r="D3430" s="254"/>
      <c r="E3430" s="254"/>
      <c r="F3430" s="253"/>
      <c r="G3430" s="255"/>
      <c r="H3430" s="254"/>
      <c r="I3430" s="253"/>
      <c r="J3430" s="254"/>
      <c r="K3430" s="253"/>
      <c r="L3430" s="253"/>
      <c r="M3430" s="253"/>
      <c r="N3430" s="253"/>
      <c r="O3430" s="256"/>
      <c r="P3430" s="257"/>
    </row>
    <row r="3431" spans="1:16" ht="14.25">
      <c r="A3431" s="253"/>
      <c r="B3431" s="253"/>
      <c r="C3431" s="254"/>
      <c r="D3431" s="254"/>
      <c r="E3431" s="254"/>
      <c r="F3431" s="253"/>
      <c r="G3431" s="255"/>
      <c r="H3431" s="254"/>
      <c r="I3431" s="253"/>
      <c r="J3431" s="254"/>
      <c r="K3431" s="253"/>
      <c r="L3431" s="253"/>
      <c r="M3431" s="253"/>
      <c r="N3431" s="253"/>
      <c r="O3431" s="256"/>
      <c r="P3431" s="257"/>
    </row>
    <row r="3432" spans="1:16" ht="14.25">
      <c r="A3432" s="253"/>
      <c r="B3432" s="253"/>
      <c r="C3432" s="254"/>
      <c r="D3432" s="254"/>
      <c r="E3432" s="254"/>
      <c r="F3432" s="253"/>
      <c r="G3432" s="255"/>
      <c r="H3432" s="254"/>
      <c r="I3432" s="253"/>
      <c r="J3432" s="254"/>
      <c r="K3432" s="253"/>
      <c r="L3432" s="253"/>
      <c r="M3432" s="253"/>
      <c r="N3432" s="253"/>
      <c r="O3432" s="256"/>
      <c r="P3432" s="257"/>
    </row>
    <row r="3433" spans="1:16" ht="14.25">
      <c r="A3433" s="253"/>
      <c r="B3433" s="253"/>
      <c r="C3433" s="254"/>
      <c r="D3433" s="254"/>
      <c r="E3433" s="254"/>
      <c r="F3433" s="253"/>
      <c r="G3433" s="255"/>
      <c r="H3433" s="254"/>
      <c r="I3433" s="253"/>
      <c r="J3433" s="254"/>
      <c r="K3433" s="253"/>
      <c r="L3433" s="253"/>
      <c r="M3433" s="253"/>
      <c r="N3433" s="253"/>
      <c r="O3433" s="256"/>
      <c r="P3433" s="257"/>
    </row>
    <row r="3434" spans="1:16" ht="14.25">
      <c r="A3434" s="253"/>
      <c r="B3434" s="253"/>
      <c r="C3434" s="254"/>
      <c r="D3434" s="254"/>
      <c r="E3434" s="254"/>
      <c r="F3434" s="253"/>
      <c r="G3434" s="255"/>
      <c r="H3434" s="254"/>
      <c r="I3434" s="253"/>
      <c r="J3434" s="254"/>
      <c r="K3434" s="253"/>
      <c r="L3434" s="253"/>
      <c r="M3434" s="253"/>
      <c r="N3434" s="253"/>
      <c r="O3434" s="256"/>
      <c r="P3434" s="257"/>
    </row>
    <row r="3435" spans="1:16" ht="14.25">
      <c r="A3435" s="253"/>
      <c r="B3435" s="253"/>
      <c r="C3435" s="254"/>
      <c r="D3435" s="254"/>
      <c r="E3435" s="254"/>
      <c r="F3435" s="253"/>
      <c r="G3435" s="255"/>
      <c r="H3435" s="254"/>
      <c r="I3435" s="253"/>
      <c r="J3435" s="254"/>
      <c r="K3435" s="253"/>
      <c r="L3435" s="253"/>
      <c r="M3435" s="253"/>
      <c r="N3435" s="253"/>
      <c r="O3435" s="256"/>
      <c r="P3435" s="257"/>
    </row>
    <row r="3436" spans="1:16" ht="14.25">
      <c r="A3436" s="253"/>
      <c r="B3436" s="253"/>
      <c r="C3436" s="254"/>
      <c r="D3436" s="254"/>
      <c r="E3436" s="254"/>
      <c r="F3436" s="253"/>
      <c r="G3436" s="255"/>
      <c r="H3436" s="254"/>
      <c r="I3436" s="253"/>
      <c r="J3436" s="254"/>
      <c r="K3436" s="253"/>
      <c r="L3436" s="253"/>
      <c r="M3436" s="253"/>
      <c r="N3436" s="253"/>
      <c r="O3436" s="256"/>
      <c r="P3436" s="257"/>
    </row>
    <row r="3437" spans="1:16" ht="14.25">
      <c r="A3437" s="253"/>
      <c r="B3437" s="253"/>
      <c r="C3437" s="254"/>
      <c r="D3437" s="254"/>
      <c r="E3437" s="254"/>
      <c r="F3437" s="253"/>
      <c r="G3437" s="255"/>
      <c r="H3437" s="254"/>
      <c r="I3437" s="253"/>
      <c r="J3437" s="254"/>
      <c r="K3437" s="253"/>
      <c r="L3437" s="253"/>
      <c r="M3437" s="253"/>
      <c r="N3437" s="253"/>
      <c r="O3437" s="256"/>
      <c r="P3437" s="257"/>
    </row>
    <row r="3438" spans="1:16" ht="14.25">
      <c r="A3438" s="253"/>
      <c r="B3438" s="253"/>
      <c r="C3438" s="254"/>
      <c r="D3438" s="254"/>
      <c r="E3438" s="254"/>
      <c r="F3438" s="253"/>
      <c r="G3438" s="255"/>
      <c r="H3438" s="254"/>
      <c r="I3438" s="253"/>
      <c r="J3438" s="254"/>
      <c r="K3438" s="253"/>
      <c r="L3438" s="253"/>
      <c r="M3438" s="253"/>
      <c r="N3438" s="253"/>
      <c r="O3438" s="256"/>
      <c r="P3438" s="257"/>
    </row>
    <row r="3439" spans="1:16" ht="14.25">
      <c r="A3439" s="253"/>
      <c r="B3439" s="253"/>
      <c r="C3439" s="254"/>
      <c r="D3439" s="254"/>
      <c r="E3439" s="254"/>
      <c r="F3439" s="253"/>
      <c r="G3439" s="255"/>
      <c r="H3439" s="254"/>
      <c r="I3439" s="253"/>
      <c r="J3439" s="254"/>
      <c r="K3439" s="253"/>
      <c r="L3439" s="253"/>
      <c r="M3439" s="253"/>
      <c r="N3439" s="253"/>
      <c r="O3439" s="256"/>
      <c r="P3439" s="257"/>
    </row>
    <row r="3440" spans="1:16" ht="14.25">
      <c r="A3440" s="253"/>
      <c r="B3440" s="253"/>
      <c r="C3440" s="254"/>
      <c r="D3440" s="254"/>
      <c r="E3440" s="254"/>
      <c r="F3440" s="253"/>
      <c r="G3440" s="255"/>
      <c r="H3440" s="254"/>
      <c r="I3440" s="253"/>
      <c r="J3440" s="254"/>
      <c r="K3440" s="253"/>
      <c r="L3440" s="253"/>
      <c r="M3440" s="253"/>
      <c r="N3440" s="253"/>
      <c r="O3440" s="256"/>
      <c r="P3440" s="257"/>
    </row>
    <row r="3441" spans="1:16" ht="14.25">
      <c r="A3441" s="253"/>
      <c r="B3441" s="253"/>
      <c r="C3441" s="254"/>
      <c r="D3441" s="254"/>
      <c r="E3441" s="254"/>
      <c r="F3441" s="253"/>
      <c r="G3441" s="255"/>
      <c r="H3441" s="254"/>
      <c r="I3441" s="253"/>
      <c r="J3441" s="254"/>
      <c r="K3441" s="253"/>
      <c r="L3441" s="253"/>
      <c r="M3441" s="253"/>
      <c r="N3441" s="253"/>
      <c r="O3441" s="256"/>
      <c r="P3441" s="257"/>
    </row>
    <row r="3442" spans="1:16" ht="14.25">
      <c r="A3442" s="253"/>
      <c r="B3442" s="253"/>
      <c r="C3442" s="254"/>
      <c r="D3442" s="254"/>
      <c r="E3442" s="254"/>
      <c r="F3442" s="253"/>
      <c r="G3442" s="255"/>
      <c r="H3442" s="254"/>
      <c r="I3442" s="253"/>
      <c r="J3442" s="254"/>
      <c r="K3442" s="253"/>
      <c r="L3442" s="253"/>
      <c r="M3442" s="253"/>
      <c r="N3442" s="253"/>
      <c r="O3442" s="256"/>
      <c r="P3442" s="257"/>
    </row>
    <row r="3443" spans="1:16" ht="14.25">
      <c r="A3443" s="253"/>
      <c r="B3443" s="253"/>
      <c r="C3443" s="254"/>
      <c r="D3443" s="254"/>
      <c r="E3443" s="254"/>
      <c r="F3443" s="253"/>
      <c r="G3443" s="255"/>
      <c r="H3443" s="254"/>
      <c r="I3443" s="253"/>
      <c r="J3443" s="254"/>
      <c r="K3443" s="253"/>
      <c r="L3443" s="253"/>
      <c r="M3443" s="253"/>
      <c r="N3443" s="253"/>
      <c r="O3443" s="256"/>
      <c r="P3443" s="257"/>
    </row>
    <row r="3444" spans="1:16" ht="14.25">
      <c r="A3444" s="253"/>
      <c r="B3444" s="253"/>
      <c r="C3444" s="254"/>
      <c r="D3444" s="254"/>
      <c r="E3444" s="254"/>
      <c r="F3444" s="253"/>
      <c r="G3444" s="255"/>
      <c r="H3444" s="254"/>
      <c r="I3444" s="253"/>
      <c r="J3444" s="254"/>
      <c r="K3444" s="253"/>
      <c r="L3444" s="253"/>
      <c r="M3444" s="253"/>
      <c r="N3444" s="253"/>
      <c r="O3444" s="256"/>
      <c r="P3444" s="257"/>
    </row>
    <row r="3445" spans="1:16" ht="14.25">
      <c r="A3445" s="253"/>
      <c r="B3445" s="253"/>
      <c r="C3445" s="254"/>
      <c r="D3445" s="254"/>
      <c r="E3445" s="254"/>
      <c r="F3445" s="253"/>
      <c r="G3445" s="255"/>
      <c r="H3445" s="254"/>
      <c r="I3445" s="253"/>
      <c r="J3445" s="254"/>
      <c r="K3445" s="253"/>
      <c r="L3445" s="253"/>
      <c r="M3445" s="253"/>
      <c r="N3445" s="253"/>
      <c r="O3445" s="256"/>
      <c r="P3445" s="257"/>
    </row>
    <row r="3446" spans="1:16" ht="14.25">
      <c r="A3446" s="253"/>
      <c r="B3446" s="253"/>
      <c r="C3446" s="254"/>
      <c r="D3446" s="254"/>
      <c r="E3446" s="254"/>
      <c r="F3446" s="253"/>
      <c r="G3446" s="255"/>
      <c r="H3446" s="254"/>
      <c r="I3446" s="253"/>
      <c r="J3446" s="254"/>
      <c r="K3446" s="253"/>
      <c r="L3446" s="253"/>
      <c r="M3446" s="253"/>
      <c r="N3446" s="253"/>
      <c r="O3446" s="256"/>
      <c r="P3446" s="257"/>
    </row>
    <row r="3447" spans="1:16" ht="14.25">
      <c r="A3447" s="253"/>
      <c r="B3447" s="253"/>
      <c r="C3447" s="254"/>
      <c r="D3447" s="254"/>
      <c r="E3447" s="254"/>
      <c r="F3447" s="253"/>
      <c r="G3447" s="255"/>
      <c r="H3447" s="254"/>
      <c r="I3447" s="253"/>
      <c r="J3447" s="254"/>
      <c r="K3447" s="253"/>
      <c r="L3447" s="253"/>
      <c r="M3447" s="253"/>
      <c r="N3447" s="253"/>
      <c r="O3447" s="256"/>
      <c r="P3447" s="257"/>
    </row>
    <row r="3448" spans="1:16" ht="14.25">
      <c r="A3448" s="253"/>
      <c r="B3448" s="253"/>
      <c r="C3448" s="254"/>
      <c r="D3448" s="254"/>
      <c r="E3448" s="254"/>
      <c r="F3448" s="253"/>
      <c r="G3448" s="255"/>
      <c r="H3448" s="254"/>
      <c r="I3448" s="253"/>
      <c r="J3448" s="254"/>
      <c r="K3448" s="253"/>
      <c r="L3448" s="253"/>
      <c r="M3448" s="253"/>
      <c r="N3448" s="253"/>
      <c r="O3448" s="256"/>
      <c r="P3448" s="257"/>
    </row>
    <row r="3449" spans="1:16" ht="14.25">
      <c r="A3449" s="253"/>
      <c r="B3449" s="253"/>
      <c r="C3449" s="254"/>
      <c r="D3449" s="254"/>
      <c r="E3449" s="254"/>
      <c r="F3449" s="253"/>
      <c r="G3449" s="255"/>
      <c r="H3449" s="254"/>
      <c r="I3449" s="253"/>
      <c r="J3449" s="254"/>
      <c r="K3449" s="253"/>
      <c r="L3449" s="253"/>
      <c r="M3449" s="253"/>
      <c r="N3449" s="253"/>
      <c r="O3449" s="256"/>
      <c r="P3449" s="257"/>
    </row>
    <row r="3450" spans="1:16" ht="14.25">
      <c r="A3450" s="253"/>
      <c r="B3450" s="253"/>
      <c r="C3450" s="254"/>
      <c r="D3450" s="254"/>
      <c r="E3450" s="254"/>
      <c r="F3450" s="253"/>
      <c r="G3450" s="255"/>
      <c r="H3450" s="254"/>
      <c r="I3450" s="253"/>
      <c r="J3450" s="254"/>
      <c r="K3450" s="253"/>
      <c r="L3450" s="253"/>
      <c r="M3450" s="253"/>
      <c r="N3450" s="253"/>
      <c r="O3450" s="256"/>
      <c r="P3450" s="257"/>
    </row>
    <row r="3451" spans="1:16" ht="14.25">
      <c r="A3451" s="253"/>
      <c r="B3451" s="253"/>
      <c r="C3451" s="254"/>
      <c r="D3451" s="254"/>
      <c r="E3451" s="254"/>
      <c r="F3451" s="253"/>
      <c r="G3451" s="255"/>
      <c r="H3451" s="254"/>
      <c r="I3451" s="253"/>
      <c r="J3451" s="254"/>
      <c r="K3451" s="253"/>
      <c r="L3451" s="253"/>
      <c r="M3451" s="253"/>
      <c r="N3451" s="253"/>
      <c r="O3451" s="256"/>
      <c r="P3451" s="257"/>
    </row>
    <row r="3452" spans="1:16" ht="14.25">
      <c r="A3452" s="253"/>
      <c r="B3452" s="253"/>
      <c r="C3452" s="254"/>
      <c r="D3452" s="254"/>
      <c r="E3452" s="254"/>
      <c r="F3452" s="253"/>
      <c r="G3452" s="255"/>
      <c r="H3452" s="254"/>
      <c r="I3452" s="253"/>
      <c r="J3452" s="254"/>
      <c r="K3452" s="253"/>
      <c r="L3452" s="253"/>
      <c r="M3452" s="253"/>
      <c r="N3452" s="253"/>
      <c r="O3452" s="256"/>
      <c r="P3452" s="257"/>
    </row>
    <row r="3453" spans="1:16" ht="14.25">
      <c r="A3453" s="253"/>
      <c r="B3453" s="253"/>
      <c r="C3453" s="254"/>
      <c r="D3453" s="254"/>
      <c r="E3453" s="254"/>
      <c r="F3453" s="253"/>
      <c r="G3453" s="255"/>
      <c r="H3453" s="254"/>
      <c r="I3453" s="253"/>
      <c r="J3453" s="254"/>
      <c r="K3453" s="253"/>
      <c r="L3453" s="253"/>
      <c r="M3453" s="253"/>
      <c r="N3453" s="253"/>
      <c r="O3453" s="256"/>
      <c r="P3453" s="257"/>
    </row>
    <row r="3454" spans="1:16" ht="14.25">
      <c r="A3454" s="253"/>
      <c r="B3454" s="253"/>
      <c r="C3454" s="254"/>
      <c r="D3454" s="254"/>
      <c r="E3454" s="254"/>
      <c r="F3454" s="253"/>
      <c r="G3454" s="255"/>
      <c r="H3454" s="254"/>
      <c r="I3454" s="253"/>
      <c r="J3454" s="254"/>
      <c r="K3454" s="253"/>
      <c r="L3454" s="253"/>
      <c r="M3454" s="253"/>
      <c r="N3454" s="253"/>
      <c r="O3454" s="256"/>
      <c r="P3454" s="257"/>
    </row>
    <row r="3455" spans="1:16" ht="14.25">
      <c r="A3455" s="253"/>
      <c r="B3455" s="253"/>
      <c r="C3455" s="254"/>
      <c r="D3455" s="254"/>
      <c r="E3455" s="254"/>
      <c r="F3455" s="253"/>
      <c r="G3455" s="255"/>
      <c r="H3455" s="254"/>
      <c r="I3455" s="253"/>
      <c r="J3455" s="254"/>
      <c r="K3455" s="253"/>
      <c r="L3455" s="253"/>
      <c r="M3455" s="253"/>
      <c r="N3455" s="253"/>
      <c r="O3455" s="256"/>
      <c r="P3455" s="257"/>
    </row>
    <row r="3456" spans="1:16" ht="14.25">
      <c r="A3456" s="253"/>
      <c r="B3456" s="253"/>
      <c r="C3456" s="254"/>
      <c r="D3456" s="254"/>
      <c r="E3456" s="254"/>
      <c r="F3456" s="253"/>
      <c r="G3456" s="255"/>
      <c r="H3456" s="254"/>
      <c r="I3456" s="253"/>
      <c r="J3456" s="254"/>
      <c r="K3456" s="253"/>
      <c r="L3456" s="253"/>
      <c r="M3456" s="253"/>
      <c r="N3456" s="253"/>
      <c r="O3456" s="256"/>
      <c r="P3456" s="257"/>
    </row>
    <row r="3457" spans="1:16" ht="14.25">
      <c r="A3457" s="253"/>
      <c r="B3457" s="253"/>
      <c r="C3457" s="254"/>
      <c r="D3457" s="254"/>
      <c r="E3457" s="254"/>
      <c r="F3457" s="253"/>
      <c r="G3457" s="255"/>
      <c r="H3457" s="254"/>
      <c r="I3457" s="253"/>
      <c r="J3457" s="254"/>
      <c r="K3457" s="253"/>
      <c r="L3457" s="253"/>
      <c r="M3457" s="253"/>
      <c r="N3457" s="253"/>
      <c r="O3457" s="256"/>
      <c r="P3457" s="257"/>
    </row>
    <row r="3458" spans="1:16" ht="14.25">
      <c r="A3458" s="253"/>
      <c r="B3458" s="253"/>
      <c r="C3458" s="254"/>
      <c r="D3458" s="254"/>
      <c r="E3458" s="254"/>
      <c r="F3458" s="253"/>
      <c r="G3458" s="255"/>
      <c r="H3458" s="254"/>
      <c r="I3458" s="253"/>
      <c r="J3458" s="254"/>
      <c r="K3458" s="253"/>
      <c r="L3458" s="253"/>
      <c r="M3458" s="253"/>
      <c r="N3458" s="253"/>
      <c r="O3458" s="256"/>
      <c r="P3458" s="257"/>
    </row>
    <row r="3459" spans="1:16" ht="14.25">
      <c r="A3459" s="253"/>
      <c r="B3459" s="253"/>
      <c r="C3459" s="254"/>
      <c r="D3459" s="254"/>
      <c r="E3459" s="254"/>
      <c r="F3459" s="253"/>
      <c r="G3459" s="255"/>
      <c r="H3459" s="254"/>
      <c r="I3459" s="253"/>
      <c r="J3459" s="254"/>
      <c r="K3459" s="253"/>
      <c r="L3459" s="253"/>
      <c r="M3459" s="253"/>
      <c r="N3459" s="253"/>
      <c r="O3459" s="256"/>
      <c r="P3459" s="257"/>
    </row>
    <row r="3460" spans="1:16" ht="14.25">
      <c r="A3460" s="253"/>
      <c r="B3460" s="253"/>
      <c r="C3460" s="254"/>
      <c r="D3460" s="254"/>
      <c r="E3460" s="254"/>
      <c r="F3460" s="253"/>
      <c r="G3460" s="255"/>
      <c r="H3460" s="254"/>
      <c r="I3460" s="253"/>
      <c r="J3460" s="254"/>
      <c r="K3460" s="253"/>
      <c r="L3460" s="253"/>
      <c r="M3460" s="253"/>
      <c r="N3460" s="253"/>
      <c r="O3460" s="256"/>
      <c r="P3460" s="257"/>
    </row>
    <row r="3461" spans="1:16" ht="14.25">
      <c r="A3461" s="253"/>
      <c r="B3461" s="253"/>
      <c r="C3461" s="254"/>
      <c r="D3461" s="254"/>
      <c r="E3461" s="254"/>
      <c r="F3461" s="253"/>
      <c r="G3461" s="255"/>
      <c r="H3461" s="254"/>
      <c r="I3461" s="253"/>
      <c r="J3461" s="254"/>
      <c r="K3461" s="253"/>
      <c r="L3461" s="253"/>
      <c r="M3461" s="253"/>
      <c r="N3461" s="253"/>
      <c r="O3461" s="256"/>
      <c r="P3461" s="257"/>
    </row>
    <row r="3462" spans="1:16" ht="14.25">
      <c r="A3462" s="253"/>
      <c r="B3462" s="253"/>
      <c r="C3462" s="254"/>
      <c r="D3462" s="254"/>
      <c r="E3462" s="254"/>
      <c r="F3462" s="253"/>
      <c r="G3462" s="255"/>
      <c r="H3462" s="254"/>
      <c r="I3462" s="253"/>
      <c r="J3462" s="254"/>
      <c r="K3462" s="253"/>
      <c r="L3462" s="253"/>
      <c r="M3462" s="253"/>
      <c r="N3462" s="253"/>
      <c r="O3462" s="256"/>
      <c r="P3462" s="257"/>
    </row>
    <row r="3463" spans="1:16" ht="14.25">
      <c r="A3463" s="253"/>
      <c r="B3463" s="253"/>
      <c r="C3463" s="254"/>
      <c r="D3463" s="254"/>
      <c r="E3463" s="254"/>
      <c r="F3463" s="253"/>
      <c r="G3463" s="255"/>
      <c r="H3463" s="254"/>
      <c r="I3463" s="253"/>
      <c r="J3463" s="254"/>
      <c r="K3463" s="253"/>
      <c r="L3463" s="253"/>
      <c r="M3463" s="253"/>
      <c r="N3463" s="253"/>
      <c r="O3463" s="256"/>
      <c r="P3463" s="257"/>
    </row>
    <row r="3464" spans="1:16" ht="14.25">
      <c r="A3464" s="253"/>
      <c r="B3464" s="253"/>
      <c r="C3464" s="254"/>
      <c r="D3464" s="254"/>
      <c r="E3464" s="254"/>
      <c r="F3464" s="253"/>
      <c r="G3464" s="255"/>
      <c r="H3464" s="254"/>
      <c r="I3464" s="253"/>
      <c r="J3464" s="254"/>
      <c r="K3464" s="253"/>
      <c r="L3464" s="253"/>
      <c r="M3464" s="253"/>
      <c r="N3464" s="253"/>
      <c r="O3464" s="256"/>
      <c r="P3464" s="257"/>
    </row>
    <row r="3465" spans="1:16" ht="14.25">
      <c r="A3465" s="253"/>
      <c r="B3465" s="253"/>
      <c r="C3465" s="254"/>
      <c r="D3465" s="254"/>
      <c r="E3465" s="254"/>
      <c r="F3465" s="253"/>
      <c r="G3465" s="255"/>
      <c r="H3465" s="254"/>
      <c r="I3465" s="253"/>
      <c r="J3465" s="254"/>
      <c r="K3465" s="253"/>
      <c r="L3465" s="253"/>
      <c r="M3465" s="253"/>
      <c r="N3465" s="253"/>
      <c r="O3465" s="256"/>
      <c r="P3465" s="257"/>
    </row>
    <row r="3466" spans="1:16" ht="14.25">
      <c r="A3466" s="253"/>
      <c r="B3466" s="253"/>
      <c r="C3466" s="254"/>
      <c r="D3466" s="254"/>
      <c r="E3466" s="254"/>
      <c r="F3466" s="253"/>
      <c r="G3466" s="255"/>
      <c r="H3466" s="254"/>
      <c r="I3466" s="253"/>
      <c r="J3466" s="254"/>
      <c r="K3466" s="253"/>
      <c r="L3466" s="253"/>
      <c r="M3466" s="253"/>
      <c r="N3466" s="253"/>
      <c r="O3466" s="256"/>
      <c r="P3466" s="257"/>
    </row>
    <row r="3467" spans="1:16" ht="14.25">
      <c r="A3467" s="253"/>
      <c r="B3467" s="253"/>
      <c r="C3467" s="254"/>
      <c r="D3467" s="254"/>
      <c r="E3467" s="254"/>
      <c r="F3467" s="253"/>
      <c r="G3467" s="255"/>
      <c r="H3467" s="254"/>
      <c r="I3467" s="253"/>
      <c r="J3467" s="254"/>
      <c r="K3467" s="253"/>
      <c r="L3467" s="253"/>
      <c r="M3467" s="253"/>
      <c r="N3467" s="253"/>
      <c r="O3467" s="256"/>
      <c r="P3467" s="257"/>
    </row>
    <row r="3468" spans="1:16" ht="14.25">
      <c r="A3468" s="253"/>
      <c r="B3468" s="253"/>
      <c r="C3468" s="254"/>
      <c r="D3468" s="254"/>
      <c r="E3468" s="254"/>
      <c r="F3468" s="253"/>
      <c r="G3468" s="255"/>
      <c r="H3468" s="254"/>
      <c r="I3468" s="253"/>
      <c r="J3468" s="254"/>
      <c r="K3468" s="253"/>
      <c r="L3468" s="253"/>
      <c r="M3468" s="253"/>
      <c r="N3468" s="253"/>
      <c r="O3468" s="256"/>
      <c r="P3468" s="257"/>
    </row>
    <row r="3469" spans="1:16" ht="14.25">
      <c r="A3469" s="253"/>
      <c r="B3469" s="253"/>
      <c r="C3469" s="254"/>
      <c r="D3469" s="254"/>
      <c r="E3469" s="254"/>
      <c r="F3469" s="253"/>
      <c r="G3469" s="255"/>
      <c r="H3469" s="254"/>
      <c r="I3469" s="253"/>
      <c r="J3469" s="254"/>
      <c r="K3469" s="253"/>
      <c r="L3469" s="253"/>
      <c r="M3469" s="253"/>
      <c r="N3469" s="253"/>
      <c r="O3469" s="256"/>
      <c r="P3469" s="257"/>
    </row>
    <row r="3470" spans="1:16" ht="14.25">
      <c r="A3470" s="253"/>
      <c r="B3470" s="253"/>
      <c r="C3470" s="254"/>
      <c r="D3470" s="254"/>
      <c r="E3470" s="254"/>
      <c r="F3470" s="253"/>
      <c r="G3470" s="255"/>
      <c r="H3470" s="254"/>
      <c r="I3470" s="253"/>
      <c r="J3470" s="254"/>
      <c r="K3470" s="253"/>
      <c r="L3470" s="253"/>
      <c r="M3470" s="253"/>
      <c r="N3470" s="253"/>
      <c r="O3470" s="256"/>
      <c r="P3470" s="257"/>
    </row>
    <row r="3471" spans="1:16" ht="14.25">
      <c r="A3471" s="253"/>
      <c r="B3471" s="253"/>
      <c r="C3471" s="254"/>
      <c r="D3471" s="254"/>
      <c r="E3471" s="254"/>
      <c r="F3471" s="253"/>
      <c r="G3471" s="255"/>
      <c r="H3471" s="254"/>
      <c r="I3471" s="253"/>
      <c r="J3471" s="254"/>
      <c r="K3471" s="253"/>
      <c r="L3471" s="253"/>
      <c r="M3471" s="253"/>
      <c r="N3471" s="253"/>
      <c r="O3471" s="256"/>
      <c r="P3471" s="257"/>
    </row>
    <row r="3472" spans="1:16" ht="14.25">
      <c r="A3472" s="253"/>
      <c r="B3472" s="253"/>
      <c r="C3472" s="254"/>
      <c r="D3472" s="254"/>
      <c r="E3472" s="254"/>
      <c r="F3472" s="253"/>
      <c r="G3472" s="255"/>
      <c r="H3472" s="254"/>
      <c r="I3472" s="253"/>
      <c r="J3472" s="254"/>
      <c r="K3472" s="253"/>
      <c r="L3472" s="253"/>
      <c r="M3472" s="253"/>
      <c r="N3472" s="253"/>
      <c r="O3472" s="256"/>
      <c r="P3472" s="257"/>
    </row>
    <row r="3473" spans="1:16" ht="14.25">
      <c r="A3473" s="253"/>
      <c r="B3473" s="253"/>
      <c r="C3473" s="254"/>
      <c r="D3473" s="254"/>
      <c r="E3473" s="254"/>
      <c r="F3473" s="253"/>
      <c r="G3473" s="255"/>
      <c r="H3473" s="254"/>
      <c r="I3473" s="253"/>
      <c r="J3473" s="254"/>
      <c r="K3473" s="253"/>
      <c r="L3473" s="253"/>
      <c r="M3473" s="253"/>
      <c r="N3473" s="253"/>
      <c r="O3473" s="256"/>
      <c r="P3473" s="257"/>
    </row>
    <row r="3474" spans="1:16" ht="14.25">
      <c r="A3474" s="253"/>
      <c r="B3474" s="253"/>
      <c r="C3474" s="254"/>
      <c r="D3474" s="254"/>
      <c r="E3474" s="254"/>
      <c r="F3474" s="253"/>
      <c r="G3474" s="255"/>
      <c r="H3474" s="254"/>
      <c r="I3474" s="253"/>
      <c r="J3474" s="254"/>
      <c r="K3474" s="253"/>
      <c r="L3474" s="253"/>
      <c r="M3474" s="253"/>
      <c r="N3474" s="253"/>
      <c r="O3474" s="256"/>
      <c r="P3474" s="257"/>
    </row>
    <row r="3475" spans="1:16" ht="14.25">
      <c r="A3475" s="253"/>
      <c r="B3475" s="253"/>
      <c r="C3475" s="254"/>
      <c r="D3475" s="254"/>
      <c r="E3475" s="254"/>
      <c r="F3475" s="253"/>
      <c r="G3475" s="255"/>
      <c r="H3475" s="254"/>
      <c r="I3475" s="253"/>
      <c r="J3475" s="254"/>
      <c r="K3475" s="253"/>
      <c r="L3475" s="253"/>
      <c r="M3475" s="253"/>
      <c r="N3475" s="253"/>
      <c r="O3475" s="256"/>
      <c r="P3475" s="257"/>
    </row>
    <row r="3476" spans="1:16" ht="14.25">
      <c r="A3476" s="253"/>
      <c r="B3476" s="253"/>
      <c r="C3476" s="254"/>
      <c r="D3476" s="254"/>
      <c r="E3476" s="254"/>
      <c r="F3476" s="253"/>
      <c r="G3476" s="255"/>
      <c r="H3476" s="254"/>
      <c r="I3476" s="253"/>
      <c r="J3476" s="254"/>
      <c r="K3476" s="253"/>
      <c r="L3476" s="253"/>
      <c r="M3476" s="253"/>
      <c r="N3476" s="253"/>
      <c r="O3476" s="256"/>
      <c r="P3476" s="257"/>
    </row>
    <row r="3477" spans="1:16" ht="14.25">
      <c r="A3477" s="253"/>
      <c r="B3477" s="253"/>
      <c r="C3477" s="254"/>
      <c r="D3477" s="254"/>
      <c r="E3477" s="254"/>
      <c r="F3477" s="253"/>
      <c r="G3477" s="255"/>
      <c r="H3477" s="254"/>
      <c r="I3477" s="253"/>
      <c r="J3477" s="254"/>
      <c r="K3477" s="253"/>
      <c r="L3477" s="253"/>
      <c r="M3477" s="253"/>
      <c r="N3477" s="253"/>
      <c r="O3477" s="256"/>
      <c r="P3477" s="257"/>
    </row>
    <row r="3478" spans="1:16" ht="14.25">
      <c r="A3478" s="253"/>
      <c r="B3478" s="253"/>
      <c r="C3478" s="254"/>
      <c r="D3478" s="254"/>
      <c r="E3478" s="254"/>
      <c r="F3478" s="253"/>
      <c r="G3478" s="255"/>
      <c r="H3478" s="254"/>
      <c r="I3478" s="253"/>
      <c r="J3478" s="254"/>
      <c r="K3478" s="253"/>
      <c r="L3478" s="253"/>
      <c r="M3478" s="253"/>
      <c r="N3478" s="253"/>
      <c r="O3478" s="256"/>
      <c r="P3478" s="257"/>
    </row>
    <row r="3479" spans="1:16" ht="14.25">
      <c r="A3479" s="253"/>
      <c r="B3479" s="253"/>
      <c r="C3479" s="254"/>
      <c r="D3479" s="254"/>
      <c r="E3479" s="254"/>
      <c r="F3479" s="253"/>
      <c r="G3479" s="255"/>
      <c r="H3479" s="254"/>
      <c r="I3479" s="253"/>
      <c r="J3479" s="254"/>
      <c r="K3479" s="253"/>
      <c r="L3479" s="253"/>
      <c r="M3479" s="253"/>
      <c r="N3479" s="253"/>
      <c r="O3479" s="256"/>
      <c r="P3479" s="257"/>
    </row>
    <row r="3480" spans="1:16" ht="14.25">
      <c r="A3480" s="253"/>
      <c r="B3480" s="253"/>
      <c r="C3480" s="254"/>
      <c r="D3480" s="254"/>
      <c r="E3480" s="254"/>
      <c r="F3480" s="253"/>
      <c r="G3480" s="255"/>
      <c r="H3480" s="254"/>
      <c r="I3480" s="253"/>
      <c r="J3480" s="254"/>
      <c r="K3480" s="253"/>
      <c r="L3480" s="253"/>
      <c r="M3480" s="253"/>
      <c r="N3480" s="253"/>
      <c r="O3480" s="256"/>
      <c r="P3480" s="257"/>
    </row>
    <row r="3481" spans="1:16" ht="14.25">
      <c r="A3481" s="253"/>
      <c r="B3481" s="253"/>
      <c r="C3481" s="254"/>
      <c r="D3481" s="254"/>
      <c r="E3481" s="254"/>
      <c r="F3481" s="253"/>
      <c r="G3481" s="255"/>
      <c r="H3481" s="254"/>
      <c r="I3481" s="253"/>
      <c r="J3481" s="254"/>
      <c r="K3481" s="253"/>
      <c r="L3481" s="253"/>
      <c r="M3481" s="253"/>
      <c r="N3481" s="253"/>
      <c r="O3481" s="256"/>
      <c r="P3481" s="257"/>
    </row>
    <row r="3482" spans="1:16" ht="14.25">
      <c r="A3482" s="253"/>
      <c r="B3482" s="253"/>
      <c r="C3482" s="254"/>
      <c r="D3482" s="254"/>
      <c r="E3482" s="254"/>
      <c r="F3482" s="253"/>
      <c r="G3482" s="255"/>
      <c r="H3482" s="254"/>
      <c r="I3482" s="253"/>
      <c r="J3482" s="254"/>
      <c r="K3482" s="253"/>
      <c r="L3482" s="253"/>
      <c r="M3482" s="253"/>
      <c r="N3482" s="253"/>
      <c r="O3482" s="256"/>
      <c r="P3482" s="257"/>
    </row>
    <row r="3483" spans="1:16" ht="14.25">
      <c r="A3483" s="253"/>
      <c r="B3483" s="253"/>
      <c r="C3483" s="254"/>
      <c r="D3483" s="254"/>
      <c r="E3483" s="254"/>
      <c r="F3483" s="253"/>
      <c r="G3483" s="255"/>
      <c r="H3483" s="254"/>
      <c r="I3483" s="253"/>
      <c r="J3483" s="254"/>
      <c r="K3483" s="253"/>
      <c r="L3483" s="253"/>
      <c r="M3483" s="253"/>
      <c r="N3483" s="253"/>
      <c r="O3483" s="256"/>
      <c r="P3483" s="257"/>
    </row>
    <row r="3484" spans="1:16" ht="14.25">
      <c r="A3484" s="253"/>
      <c r="B3484" s="253"/>
      <c r="C3484" s="254"/>
      <c r="D3484" s="254"/>
      <c r="E3484" s="254"/>
      <c r="F3484" s="253"/>
      <c r="G3484" s="255"/>
      <c r="H3484" s="254"/>
      <c r="I3484" s="253"/>
      <c r="J3484" s="254"/>
      <c r="K3484" s="253"/>
      <c r="L3484" s="253"/>
      <c r="M3484" s="253"/>
      <c r="N3484" s="253"/>
      <c r="O3484" s="256"/>
      <c r="P3484" s="257"/>
    </row>
    <row r="3485" spans="1:16" ht="14.25">
      <c r="A3485" s="253"/>
      <c r="B3485" s="253"/>
      <c r="C3485" s="254"/>
      <c r="D3485" s="254"/>
      <c r="E3485" s="254"/>
      <c r="F3485" s="253"/>
      <c r="G3485" s="255"/>
      <c r="H3485" s="254"/>
      <c r="I3485" s="253"/>
      <c r="J3485" s="254"/>
      <c r="K3485" s="253"/>
      <c r="L3485" s="253"/>
      <c r="M3485" s="253"/>
      <c r="N3485" s="253"/>
      <c r="O3485" s="256"/>
      <c r="P3485" s="257"/>
    </row>
    <row r="3486" spans="1:16" ht="14.25">
      <c r="A3486" s="253"/>
      <c r="B3486" s="253"/>
      <c r="C3486" s="254"/>
      <c r="D3486" s="254"/>
      <c r="E3486" s="254"/>
      <c r="F3486" s="253"/>
      <c r="G3486" s="255"/>
      <c r="H3486" s="254"/>
      <c r="I3486" s="253"/>
      <c r="J3486" s="254"/>
      <c r="K3486" s="253"/>
      <c r="L3486" s="253"/>
      <c r="M3486" s="253"/>
      <c r="N3486" s="253"/>
      <c r="O3486" s="256"/>
      <c r="P3486" s="257"/>
    </row>
    <row r="3487" spans="1:16" ht="14.25">
      <c r="A3487" s="253"/>
      <c r="B3487" s="253"/>
      <c r="C3487" s="254"/>
      <c r="D3487" s="254"/>
      <c r="E3487" s="254"/>
      <c r="F3487" s="253"/>
      <c r="G3487" s="255"/>
      <c r="H3487" s="254"/>
      <c r="I3487" s="253"/>
      <c r="J3487" s="254"/>
      <c r="K3487" s="253"/>
      <c r="L3487" s="253"/>
      <c r="M3487" s="253"/>
      <c r="N3487" s="253"/>
      <c r="O3487" s="256"/>
      <c r="P3487" s="257"/>
    </row>
    <row r="3488" spans="1:16" ht="14.25">
      <c r="A3488" s="253"/>
      <c r="B3488" s="253"/>
      <c r="C3488" s="254"/>
      <c r="D3488" s="254"/>
      <c r="E3488" s="254"/>
      <c r="F3488" s="253"/>
      <c r="G3488" s="255"/>
      <c r="H3488" s="254"/>
      <c r="I3488" s="253"/>
      <c r="J3488" s="254"/>
      <c r="K3488" s="253"/>
      <c r="L3488" s="253"/>
      <c r="M3488" s="253"/>
      <c r="N3488" s="253"/>
      <c r="O3488" s="256"/>
      <c r="P3488" s="257"/>
    </row>
    <row r="3489" spans="1:16" ht="14.25">
      <c r="A3489" s="253"/>
      <c r="B3489" s="253"/>
      <c r="C3489" s="254"/>
      <c r="D3489" s="254"/>
      <c r="E3489" s="254"/>
      <c r="F3489" s="253"/>
      <c r="G3489" s="255"/>
      <c r="H3489" s="254"/>
      <c r="I3489" s="253"/>
      <c r="J3489" s="254"/>
      <c r="K3489" s="253"/>
      <c r="L3489" s="253"/>
      <c r="M3489" s="253"/>
      <c r="N3489" s="253"/>
      <c r="O3489" s="256"/>
      <c r="P3489" s="257"/>
    </row>
    <row r="3490" spans="1:16" ht="14.25">
      <c r="A3490" s="253"/>
      <c r="B3490" s="253"/>
      <c r="C3490" s="254"/>
      <c r="D3490" s="254"/>
      <c r="E3490" s="254"/>
      <c r="F3490" s="253"/>
      <c r="G3490" s="255"/>
      <c r="H3490" s="254"/>
      <c r="I3490" s="253"/>
      <c r="J3490" s="254"/>
      <c r="K3490" s="253"/>
      <c r="L3490" s="253"/>
      <c r="M3490" s="253"/>
      <c r="N3490" s="253"/>
      <c r="O3490" s="256"/>
      <c r="P3490" s="257"/>
    </row>
    <row r="3491" spans="1:16" ht="14.25">
      <c r="A3491" s="253"/>
      <c r="B3491" s="253"/>
      <c r="C3491" s="254"/>
      <c r="D3491" s="254"/>
      <c r="E3491" s="254"/>
      <c r="F3491" s="253"/>
      <c r="G3491" s="255"/>
      <c r="H3491" s="254"/>
      <c r="I3491" s="253"/>
      <c r="J3491" s="254"/>
      <c r="K3491" s="253"/>
      <c r="L3491" s="253"/>
      <c r="M3491" s="253"/>
      <c r="N3491" s="253"/>
      <c r="O3491" s="256"/>
      <c r="P3491" s="257"/>
    </row>
    <row r="3492" spans="1:16" ht="14.25">
      <c r="A3492" s="253"/>
      <c r="B3492" s="253"/>
      <c r="C3492" s="254"/>
      <c r="D3492" s="254"/>
      <c r="E3492" s="254"/>
      <c r="F3492" s="253"/>
      <c r="G3492" s="255"/>
      <c r="H3492" s="254"/>
      <c r="I3492" s="253"/>
      <c r="J3492" s="254"/>
      <c r="K3492" s="253"/>
      <c r="L3492" s="253"/>
      <c r="M3492" s="253"/>
      <c r="N3492" s="253"/>
      <c r="O3492" s="256"/>
      <c r="P3492" s="257"/>
    </row>
    <row r="3493" spans="1:16" ht="14.25">
      <c r="A3493" s="253"/>
      <c r="B3493" s="253"/>
      <c r="C3493" s="254"/>
      <c r="D3493" s="254"/>
      <c r="E3493" s="254"/>
      <c r="F3493" s="253"/>
      <c r="G3493" s="255"/>
      <c r="H3493" s="254"/>
      <c r="I3493" s="253"/>
      <c r="J3493" s="254"/>
      <c r="K3493" s="253"/>
      <c r="L3493" s="253"/>
      <c r="M3493" s="253"/>
      <c r="N3493" s="253"/>
      <c r="O3493" s="256"/>
      <c r="P3493" s="257"/>
    </row>
    <row r="3494" spans="1:16" ht="14.25">
      <c r="A3494" s="253"/>
      <c r="B3494" s="253"/>
      <c r="C3494" s="254"/>
      <c r="D3494" s="254"/>
      <c r="E3494" s="254"/>
      <c r="F3494" s="253"/>
      <c r="G3494" s="255"/>
      <c r="H3494" s="254"/>
      <c r="I3494" s="253"/>
      <c r="J3494" s="254"/>
      <c r="K3494" s="253"/>
      <c r="L3494" s="253"/>
      <c r="M3494" s="253"/>
      <c r="N3494" s="253"/>
      <c r="O3494" s="256"/>
      <c r="P3494" s="257"/>
    </row>
    <row r="3495" spans="1:16" ht="14.25">
      <c r="A3495" s="253"/>
      <c r="B3495" s="253"/>
      <c r="C3495" s="254"/>
      <c r="D3495" s="254"/>
      <c r="E3495" s="254"/>
      <c r="F3495" s="253"/>
      <c r="G3495" s="255"/>
      <c r="H3495" s="254"/>
      <c r="I3495" s="253"/>
      <c r="J3495" s="254"/>
      <c r="K3495" s="253"/>
      <c r="L3495" s="253"/>
      <c r="M3495" s="253"/>
      <c r="N3495" s="253"/>
      <c r="O3495" s="256"/>
      <c r="P3495" s="257"/>
    </row>
    <row r="3496" spans="1:16" ht="14.25">
      <c r="A3496" s="253"/>
      <c r="B3496" s="253"/>
      <c r="C3496" s="254"/>
      <c r="D3496" s="254"/>
      <c r="E3496" s="254"/>
      <c r="F3496" s="253"/>
      <c r="G3496" s="255"/>
      <c r="H3496" s="254"/>
      <c r="I3496" s="253"/>
      <c r="J3496" s="254"/>
      <c r="K3496" s="253"/>
      <c r="L3496" s="253"/>
      <c r="M3496" s="253"/>
      <c r="N3496" s="253"/>
      <c r="O3496" s="256"/>
      <c r="P3496" s="257"/>
    </row>
    <row r="3497" spans="1:16" ht="14.25">
      <c r="A3497" s="253"/>
      <c r="B3497" s="253"/>
      <c r="C3497" s="254"/>
      <c r="D3497" s="254"/>
      <c r="E3497" s="254"/>
      <c r="F3497" s="253"/>
      <c r="G3497" s="255"/>
      <c r="H3497" s="254"/>
      <c r="I3497" s="253"/>
      <c r="J3497" s="254"/>
      <c r="K3497" s="253"/>
      <c r="L3497" s="253"/>
      <c r="M3497" s="253"/>
      <c r="N3497" s="253"/>
      <c r="O3497" s="256"/>
      <c r="P3497" s="257"/>
    </row>
    <row r="3498" spans="1:16" ht="14.25">
      <c r="A3498" s="253"/>
      <c r="B3498" s="253"/>
      <c r="C3498" s="254"/>
      <c r="D3498" s="254"/>
      <c r="E3498" s="254"/>
      <c r="F3498" s="253"/>
      <c r="G3498" s="255"/>
      <c r="H3498" s="254"/>
      <c r="I3498" s="253"/>
      <c r="J3498" s="254"/>
      <c r="K3498" s="253"/>
      <c r="L3498" s="253"/>
      <c r="M3498" s="253"/>
      <c r="N3498" s="253"/>
      <c r="O3498" s="256"/>
      <c r="P3498" s="257"/>
    </row>
    <row r="3499" spans="1:16" ht="14.25">
      <c r="A3499" s="253"/>
      <c r="B3499" s="253"/>
      <c r="C3499" s="254"/>
      <c r="D3499" s="254"/>
      <c r="E3499" s="254"/>
      <c r="F3499" s="253"/>
      <c r="G3499" s="255"/>
      <c r="H3499" s="254"/>
      <c r="I3499" s="253"/>
      <c r="J3499" s="254"/>
      <c r="K3499" s="253"/>
      <c r="L3499" s="253"/>
      <c r="M3499" s="253"/>
      <c r="N3499" s="253"/>
      <c r="O3499" s="256"/>
      <c r="P3499" s="257"/>
    </row>
    <row r="3500" spans="1:16" ht="14.25">
      <c r="A3500" s="253"/>
      <c r="B3500" s="253"/>
      <c r="C3500" s="254"/>
      <c r="D3500" s="254"/>
      <c r="E3500" s="254"/>
      <c r="F3500" s="253"/>
      <c r="G3500" s="255"/>
      <c r="H3500" s="254"/>
      <c r="I3500" s="253"/>
      <c r="J3500" s="254"/>
      <c r="K3500" s="253"/>
      <c r="L3500" s="253"/>
      <c r="M3500" s="253"/>
      <c r="N3500" s="253"/>
      <c r="O3500" s="256"/>
      <c r="P3500" s="257"/>
    </row>
    <row r="3501" spans="1:16" ht="14.25">
      <c r="A3501" s="253"/>
      <c r="B3501" s="253"/>
      <c r="C3501" s="254"/>
      <c r="D3501" s="254"/>
      <c r="E3501" s="254"/>
      <c r="F3501" s="253"/>
      <c r="G3501" s="255"/>
      <c r="H3501" s="254"/>
      <c r="I3501" s="253"/>
      <c r="J3501" s="254"/>
      <c r="K3501" s="253"/>
      <c r="L3501" s="253"/>
      <c r="M3501" s="253"/>
      <c r="N3501" s="253"/>
      <c r="O3501" s="256"/>
      <c r="P3501" s="257"/>
    </row>
    <row r="3502" spans="1:16" ht="14.25">
      <c r="A3502" s="253"/>
      <c r="B3502" s="253"/>
      <c r="C3502" s="254"/>
      <c r="D3502" s="254"/>
      <c r="E3502" s="254"/>
      <c r="F3502" s="253"/>
      <c r="G3502" s="255"/>
      <c r="H3502" s="254"/>
      <c r="I3502" s="253"/>
      <c r="J3502" s="254"/>
      <c r="K3502" s="253"/>
      <c r="L3502" s="253"/>
      <c r="M3502" s="253"/>
      <c r="N3502" s="253"/>
      <c r="O3502" s="256"/>
      <c r="P3502" s="257"/>
    </row>
    <row r="3503" spans="1:16" ht="14.25">
      <c r="A3503" s="253"/>
      <c r="B3503" s="253"/>
      <c r="C3503" s="254"/>
      <c r="D3503" s="254"/>
      <c r="E3503" s="254"/>
      <c r="F3503" s="253"/>
      <c r="G3503" s="255"/>
      <c r="H3503" s="254"/>
      <c r="I3503" s="253"/>
      <c r="J3503" s="254"/>
      <c r="K3503" s="253"/>
      <c r="L3503" s="253"/>
      <c r="M3503" s="253"/>
      <c r="N3503" s="253"/>
      <c r="O3503" s="256"/>
      <c r="P3503" s="257"/>
    </row>
    <row r="3504" spans="1:16" ht="14.25">
      <c r="A3504" s="253"/>
      <c r="B3504" s="253"/>
      <c r="C3504" s="254"/>
      <c r="D3504" s="254"/>
      <c r="E3504" s="254"/>
      <c r="F3504" s="253"/>
      <c r="G3504" s="255"/>
      <c r="H3504" s="254"/>
      <c r="I3504" s="253"/>
      <c r="J3504" s="254"/>
      <c r="K3504" s="253"/>
      <c r="L3504" s="253"/>
      <c r="M3504" s="253"/>
      <c r="N3504" s="253"/>
      <c r="O3504" s="256"/>
      <c r="P3504" s="257"/>
    </row>
    <row r="3505" spans="1:16" ht="14.25">
      <c r="A3505" s="253"/>
      <c r="B3505" s="253"/>
      <c r="C3505" s="254"/>
      <c r="D3505" s="254"/>
      <c r="E3505" s="254"/>
      <c r="F3505" s="253"/>
      <c r="G3505" s="255"/>
      <c r="H3505" s="254"/>
      <c r="I3505" s="253"/>
      <c r="J3505" s="254"/>
      <c r="K3505" s="253"/>
      <c r="L3505" s="253"/>
      <c r="M3505" s="253"/>
      <c r="N3505" s="253"/>
      <c r="O3505" s="256"/>
      <c r="P3505" s="257"/>
    </row>
    <row r="3506" spans="1:16" ht="14.25">
      <c r="A3506" s="253"/>
      <c r="B3506" s="253"/>
      <c r="C3506" s="254"/>
      <c r="D3506" s="254"/>
      <c r="E3506" s="254"/>
      <c r="F3506" s="253"/>
      <c r="G3506" s="255"/>
      <c r="H3506" s="254"/>
      <c r="I3506" s="253"/>
      <c r="J3506" s="254"/>
      <c r="K3506" s="253"/>
      <c r="L3506" s="253"/>
      <c r="M3506" s="253"/>
      <c r="N3506" s="253"/>
      <c r="O3506" s="256"/>
      <c r="P3506" s="257"/>
    </row>
    <row r="3507" spans="1:16" ht="14.25">
      <c r="A3507" s="253"/>
      <c r="B3507" s="253"/>
      <c r="C3507" s="254"/>
      <c r="D3507" s="254"/>
      <c r="E3507" s="254"/>
      <c r="F3507" s="253"/>
      <c r="G3507" s="255"/>
      <c r="H3507" s="254"/>
      <c r="I3507" s="253"/>
      <c r="J3507" s="254"/>
      <c r="K3507" s="253"/>
      <c r="L3507" s="253"/>
      <c r="M3507" s="253"/>
      <c r="N3507" s="253"/>
      <c r="O3507" s="256"/>
      <c r="P3507" s="257"/>
    </row>
    <row r="3508" spans="1:16" ht="14.25">
      <c r="A3508" s="253"/>
      <c r="B3508" s="253"/>
      <c r="C3508" s="254"/>
      <c r="D3508" s="254"/>
      <c r="E3508" s="254"/>
      <c r="F3508" s="253"/>
      <c r="G3508" s="255"/>
      <c r="H3508" s="254"/>
      <c r="I3508" s="253"/>
      <c r="J3508" s="254"/>
      <c r="K3508" s="253"/>
      <c r="L3508" s="253"/>
      <c r="M3508" s="253"/>
      <c r="N3508" s="253"/>
      <c r="O3508" s="256"/>
      <c r="P3508" s="257"/>
    </row>
    <row r="3509" spans="1:16" ht="14.25">
      <c r="A3509" s="253"/>
      <c r="B3509" s="253"/>
      <c r="C3509" s="254"/>
      <c r="D3509" s="254"/>
      <c r="E3509" s="254"/>
      <c r="F3509" s="253"/>
      <c r="G3509" s="255"/>
      <c r="H3509" s="254"/>
      <c r="I3509" s="253"/>
      <c r="J3509" s="254"/>
      <c r="K3509" s="253"/>
      <c r="L3509" s="253"/>
      <c r="M3509" s="253"/>
      <c r="N3509" s="253"/>
      <c r="O3509" s="256"/>
      <c r="P3509" s="257"/>
    </row>
    <row r="3510" spans="1:16" ht="14.25">
      <c r="A3510" s="253"/>
      <c r="B3510" s="253"/>
      <c r="C3510" s="254"/>
      <c r="D3510" s="254"/>
      <c r="E3510" s="254"/>
      <c r="F3510" s="253"/>
      <c r="G3510" s="255"/>
      <c r="H3510" s="254"/>
      <c r="I3510" s="253"/>
      <c r="J3510" s="254"/>
      <c r="K3510" s="253"/>
      <c r="L3510" s="253"/>
      <c r="M3510" s="253"/>
      <c r="N3510" s="253"/>
      <c r="O3510" s="256"/>
      <c r="P3510" s="257"/>
    </row>
    <row r="3511" spans="1:16" ht="14.25">
      <c r="A3511" s="253"/>
      <c r="B3511" s="253"/>
      <c r="C3511" s="254"/>
      <c r="D3511" s="254"/>
      <c r="E3511" s="254"/>
      <c r="F3511" s="253"/>
      <c r="G3511" s="255"/>
      <c r="H3511" s="254"/>
      <c r="I3511" s="253"/>
      <c r="J3511" s="254"/>
      <c r="K3511" s="253"/>
      <c r="L3511" s="253"/>
      <c r="M3511" s="253"/>
      <c r="N3511" s="253"/>
      <c r="O3511" s="256"/>
      <c r="P3511" s="257"/>
    </row>
    <row r="3512" spans="1:16" ht="14.25">
      <c r="A3512" s="253"/>
      <c r="B3512" s="253"/>
      <c r="C3512" s="254"/>
      <c r="D3512" s="254"/>
      <c r="E3512" s="254"/>
      <c r="F3512" s="253"/>
      <c r="G3512" s="255"/>
      <c r="H3512" s="254"/>
      <c r="I3512" s="253"/>
      <c r="J3512" s="254"/>
      <c r="K3512" s="253"/>
      <c r="L3512" s="253"/>
      <c r="M3512" s="253"/>
      <c r="N3512" s="253"/>
      <c r="O3512" s="256"/>
      <c r="P3512" s="257"/>
    </row>
    <row r="3513" spans="1:16" ht="14.25">
      <c r="A3513" s="253"/>
      <c r="B3513" s="253"/>
      <c r="C3513" s="254"/>
      <c r="D3513" s="254"/>
      <c r="E3513" s="254"/>
      <c r="F3513" s="253"/>
      <c r="G3513" s="255"/>
      <c r="H3513" s="254"/>
      <c r="I3513" s="253"/>
      <c r="J3513" s="254"/>
      <c r="K3513" s="253"/>
      <c r="L3513" s="253"/>
      <c r="M3513" s="253"/>
      <c r="N3513" s="253"/>
      <c r="O3513" s="256"/>
      <c r="P3513" s="257"/>
    </row>
    <row r="3514" spans="1:16" ht="14.25">
      <c r="A3514" s="253"/>
      <c r="B3514" s="253"/>
      <c r="C3514" s="254"/>
      <c r="D3514" s="254"/>
      <c r="E3514" s="254"/>
      <c r="F3514" s="253"/>
      <c r="G3514" s="255"/>
      <c r="H3514" s="254"/>
      <c r="I3514" s="253"/>
      <c r="J3514" s="254"/>
      <c r="K3514" s="253"/>
      <c r="L3514" s="253"/>
      <c r="M3514" s="253"/>
      <c r="N3514" s="253"/>
      <c r="O3514" s="256"/>
      <c r="P3514" s="257"/>
    </row>
    <row r="3515" spans="1:16" ht="14.25">
      <c r="A3515" s="253"/>
      <c r="B3515" s="253"/>
      <c r="C3515" s="254"/>
      <c r="D3515" s="254"/>
      <c r="E3515" s="254"/>
      <c r="F3515" s="253"/>
      <c r="G3515" s="255"/>
      <c r="H3515" s="254"/>
      <c r="I3515" s="253"/>
      <c r="J3515" s="254"/>
      <c r="K3515" s="253"/>
      <c r="L3515" s="253"/>
      <c r="M3515" s="253"/>
      <c r="N3515" s="253"/>
      <c r="O3515" s="256"/>
      <c r="P3515" s="257"/>
    </row>
    <row r="3516" spans="1:16" ht="14.25">
      <c r="A3516" s="253"/>
      <c r="B3516" s="253"/>
      <c r="C3516" s="254"/>
      <c r="D3516" s="254"/>
      <c r="E3516" s="254"/>
      <c r="F3516" s="253"/>
      <c r="G3516" s="255"/>
      <c r="H3516" s="254"/>
      <c r="I3516" s="253"/>
      <c r="J3516" s="254"/>
      <c r="K3516" s="253"/>
      <c r="L3516" s="253"/>
      <c r="M3516" s="253"/>
      <c r="N3516" s="253"/>
      <c r="O3516" s="256"/>
      <c r="P3516" s="257"/>
    </row>
    <row r="3517" spans="1:16" ht="14.25">
      <c r="A3517" s="253"/>
      <c r="B3517" s="253"/>
      <c r="C3517" s="254"/>
      <c r="D3517" s="254"/>
      <c r="E3517" s="254"/>
      <c r="F3517" s="253"/>
      <c r="G3517" s="255"/>
      <c r="H3517" s="254"/>
      <c r="I3517" s="253"/>
      <c r="J3517" s="254"/>
      <c r="K3517" s="253"/>
      <c r="L3517" s="253"/>
      <c r="M3517" s="253"/>
      <c r="N3517" s="253"/>
      <c r="O3517" s="256"/>
      <c r="P3517" s="257"/>
    </row>
    <row r="3518" spans="1:16" ht="14.25">
      <c r="A3518" s="253"/>
      <c r="B3518" s="253"/>
      <c r="C3518" s="254"/>
      <c r="D3518" s="254"/>
      <c r="E3518" s="254"/>
      <c r="F3518" s="253"/>
      <c r="G3518" s="255"/>
      <c r="H3518" s="254"/>
      <c r="I3518" s="253"/>
      <c r="J3518" s="254"/>
      <c r="K3518" s="253"/>
      <c r="L3518" s="253"/>
      <c r="M3518" s="253"/>
      <c r="N3518" s="253"/>
      <c r="O3518" s="256"/>
      <c r="P3518" s="257"/>
    </row>
    <row r="3519" spans="1:16" ht="14.25">
      <c r="A3519" s="253"/>
      <c r="B3519" s="253"/>
      <c r="C3519" s="254"/>
      <c r="D3519" s="254"/>
      <c r="E3519" s="254"/>
      <c r="F3519" s="253"/>
      <c r="G3519" s="255"/>
      <c r="H3519" s="254"/>
      <c r="I3519" s="253"/>
      <c r="J3519" s="254"/>
      <c r="K3519" s="253"/>
      <c r="L3519" s="253"/>
      <c r="M3519" s="253"/>
      <c r="N3519" s="253"/>
      <c r="O3519" s="256"/>
      <c r="P3519" s="257"/>
    </row>
    <row r="3520" spans="1:16" ht="14.25">
      <c r="A3520" s="253"/>
      <c r="B3520" s="253"/>
      <c r="C3520" s="254"/>
      <c r="D3520" s="254"/>
      <c r="E3520" s="254"/>
      <c r="F3520" s="253"/>
      <c r="G3520" s="255"/>
      <c r="H3520" s="254"/>
      <c r="I3520" s="253"/>
      <c r="J3520" s="254"/>
      <c r="K3520" s="253"/>
      <c r="L3520" s="253"/>
      <c r="M3520" s="253"/>
      <c r="N3520" s="253"/>
      <c r="O3520" s="256"/>
      <c r="P3520" s="257"/>
    </row>
    <row r="3521" spans="1:16" ht="14.25">
      <c r="A3521" s="253"/>
      <c r="B3521" s="253"/>
      <c r="C3521" s="254"/>
      <c r="D3521" s="254"/>
      <c r="E3521" s="254"/>
      <c r="F3521" s="253"/>
      <c r="G3521" s="255"/>
      <c r="H3521" s="254"/>
      <c r="I3521" s="253"/>
      <c r="J3521" s="254"/>
      <c r="K3521" s="253"/>
      <c r="L3521" s="253"/>
      <c r="M3521" s="253"/>
      <c r="N3521" s="253"/>
      <c r="O3521" s="256"/>
      <c r="P3521" s="257"/>
    </row>
    <row r="3522" spans="1:16" ht="14.25">
      <c r="A3522" s="253"/>
      <c r="B3522" s="253"/>
      <c r="C3522" s="254"/>
      <c r="D3522" s="254"/>
      <c r="E3522" s="254"/>
      <c r="F3522" s="253"/>
      <c r="G3522" s="255"/>
      <c r="H3522" s="254"/>
      <c r="I3522" s="253"/>
      <c r="J3522" s="254"/>
      <c r="K3522" s="253"/>
      <c r="L3522" s="253"/>
      <c r="M3522" s="253"/>
      <c r="N3522" s="253"/>
      <c r="O3522" s="256"/>
      <c r="P3522" s="257"/>
    </row>
    <row r="3523" spans="1:16" ht="14.25">
      <c r="A3523" s="253"/>
      <c r="B3523" s="253"/>
      <c r="C3523" s="254"/>
      <c r="D3523" s="254"/>
      <c r="E3523" s="254"/>
      <c r="F3523" s="253"/>
      <c r="G3523" s="255"/>
      <c r="H3523" s="254"/>
      <c r="I3523" s="253"/>
      <c r="J3523" s="254"/>
      <c r="K3523" s="253"/>
      <c r="L3523" s="253"/>
      <c r="M3523" s="253"/>
      <c r="N3523" s="253"/>
      <c r="O3523" s="256"/>
      <c r="P3523" s="257"/>
    </row>
    <row r="3524" spans="1:16" ht="14.25">
      <c r="A3524" s="253"/>
      <c r="B3524" s="253"/>
      <c r="C3524" s="254"/>
      <c r="D3524" s="254"/>
      <c r="E3524" s="254"/>
      <c r="F3524" s="253"/>
      <c r="G3524" s="255"/>
      <c r="H3524" s="254"/>
      <c r="I3524" s="253"/>
      <c r="J3524" s="254"/>
      <c r="K3524" s="253"/>
      <c r="L3524" s="253"/>
      <c r="M3524" s="253"/>
      <c r="N3524" s="253"/>
      <c r="O3524" s="256"/>
      <c r="P3524" s="257"/>
    </row>
    <row r="3525" spans="1:16" ht="14.25">
      <c r="A3525" s="253"/>
      <c r="B3525" s="253"/>
      <c r="C3525" s="254"/>
      <c r="D3525" s="254"/>
      <c r="E3525" s="254"/>
      <c r="F3525" s="253"/>
      <c r="G3525" s="255"/>
      <c r="H3525" s="254"/>
      <c r="I3525" s="253"/>
      <c r="J3525" s="254"/>
      <c r="K3525" s="253"/>
      <c r="L3525" s="253"/>
      <c r="M3525" s="253"/>
      <c r="N3525" s="253"/>
      <c r="O3525" s="256"/>
      <c r="P3525" s="257"/>
    </row>
    <row r="3526" spans="1:16" ht="14.25">
      <c r="A3526" s="253"/>
      <c r="B3526" s="253"/>
      <c r="C3526" s="254"/>
      <c r="D3526" s="254"/>
      <c r="E3526" s="254"/>
      <c r="F3526" s="253"/>
      <c r="G3526" s="255"/>
      <c r="H3526" s="254"/>
      <c r="I3526" s="253"/>
      <c r="J3526" s="254"/>
      <c r="K3526" s="253"/>
      <c r="L3526" s="253"/>
      <c r="M3526" s="253"/>
      <c r="N3526" s="253"/>
      <c r="O3526" s="256"/>
      <c r="P3526" s="257"/>
    </row>
    <row r="3527" spans="1:16" ht="14.25">
      <c r="A3527" s="253"/>
      <c r="B3527" s="253"/>
      <c r="C3527" s="254"/>
      <c r="D3527" s="254"/>
      <c r="E3527" s="254"/>
      <c r="F3527" s="253"/>
      <c r="G3527" s="255"/>
      <c r="H3527" s="254"/>
      <c r="I3527" s="253"/>
      <c r="J3527" s="254"/>
      <c r="K3527" s="253"/>
      <c r="L3527" s="253"/>
      <c r="M3527" s="253"/>
      <c r="N3527" s="253"/>
      <c r="O3527" s="256"/>
      <c r="P3527" s="257"/>
    </row>
    <row r="3528" spans="1:16" ht="14.25">
      <c r="A3528" s="253"/>
      <c r="B3528" s="253"/>
      <c r="C3528" s="254"/>
      <c r="D3528" s="254"/>
      <c r="E3528" s="254"/>
      <c r="F3528" s="253"/>
      <c r="G3528" s="255"/>
      <c r="H3528" s="254"/>
      <c r="I3528" s="253"/>
      <c r="J3528" s="254"/>
      <c r="K3528" s="253"/>
      <c r="L3528" s="253"/>
      <c r="M3528" s="253"/>
      <c r="N3528" s="253"/>
      <c r="O3528" s="256"/>
      <c r="P3528" s="257"/>
    </row>
    <row r="3529" spans="1:16" ht="14.25">
      <c r="A3529" s="253"/>
      <c r="B3529" s="253"/>
      <c r="C3529" s="254"/>
      <c r="D3529" s="254"/>
      <c r="E3529" s="254"/>
      <c r="F3529" s="253"/>
      <c r="G3529" s="255"/>
      <c r="H3529" s="254"/>
      <c r="I3529" s="253"/>
      <c r="J3529" s="254"/>
      <c r="K3529" s="253"/>
      <c r="L3529" s="253"/>
      <c r="M3529" s="253"/>
      <c r="N3529" s="253"/>
      <c r="O3529" s="256"/>
      <c r="P3529" s="257"/>
    </row>
    <row r="3530" spans="1:16" ht="14.25">
      <c r="A3530" s="253"/>
      <c r="B3530" s="253"/>
      <c r="C3530" s="254"/>
      <c r="D3530" s="254"/>
      <c r="E3530" s="254"/>
      <c r="F3530" s="253"/>
      <c r="G3530" s="255"/>
      <c r="H3530" s="254"/>
      <c r="I3530" s="253"/>
      <c r="J3530" s="254"/>
      <c r="K3530" s="253"/>
      <c r="L3530" s="253"/>
      <c r="M3530" s="253"/>
      <c r="N3530" s="253"/>
      <c r="O3530" s="256"/>
      <c r="P3530" s="257"/>
    </row>
    <row r="3531" spans="1:16" ht="14.25">
      <c r="A3531" s="253"/>
      <c r="B3531" s="253"/>
      <c r="C3531" s="254"/>
      <c r="D3531" s="254"/>
      <c r="E3531" s="254"/>
      <c r="F3531" s="253"/>
      <c r="G3531" s="255"/>
      <c r="H3531" s="254"/>
      <c r="I3531" s="253"/>
      <c r="J3531" s="254"/>
      <c r="K3531" s="253"/>
      <c r="L3531" s="253"/>
      <c r="M3531" s="253"/>
      <c r="N3531" s="253"/>
      <c r="O3531" s="256"/>
      <c r="P3531" s="257"/>
    </row>
    <row r="3532" spans="1:16" ht="14.25">
      <c r="A3532" s="253"/>
      <c r="B3532" s="253"/>
      <c r="C3532" s="254"/>
      <c r="D3532" s="254"/>
      <c r="E3532" s="254"/>
      <c r="F3532" s="253"/>
      <c r="G3532" s="255"/>
      <c r="H3532" s="254"/>
      <c r="I3532" s="253"/>
      <c r="J3532" s="254"/>
      <c r="K3532" s="253"/>
      <c r="L3532" s="253"/>
      <c r="M3532" s="253"/>
      <c r="N3532" s="253"/>
      <c r="O3532" s="256"/>
      <c r="P3532" s="257"/>
    </row>
    <row r="3533" spans="1:16" ht="14.25">
      <c r="A3533" s="253"/>
      <c r="B3533" s="253"/>
      <c r="C3533" s="254"/>
      <c r="D3533" s="254"/>
      <c r="E3533" s="254"/>
      <c r="F3533" s="253"/>
      <c r="G3533" s="255"/>
      <c r="H3533" s="254"/>
      <c r="I3533" s="253"/>
      <c r="J3533" s="254"/>
      <c r="K3533" s="253"/>
      <c r="L3533" s="253"/>
      <c r="M3533" s="253"/>
      <c r="N3533" s="253"/>
      <c r="O3533" s="256"/>
      <c r="P3533" s="257"/>
    </row>
    <row r="3534" spans="1:16" ht="14.25">
      <c r="A3534" s="253"/>
      <c r="B3534" s="253"/>
      <c r="C3534" s="254"/>
      <c r="D3534" s="254"/>
      <c r="E3534" s="254"/>
      <c r="F3534" s="253"/>
      <c r="G3534" s="255"/>
      <c r="H3534" s="254"/>
      <c r="I3534" s="253"/>
      <c r="J3534" s="254"/>
      <c r="K3534" s="253"/>
      <c r="L3534" s="253"/>
      <c r="M3534" s="253"/>
      <c r="N3534" s="253"/>
      <c r="O3534" s="256"/>
      <c r="P3534" s="257"/>
    </row>
    <row r="3535" spans="1:16" ht="14.25">
      <c r="A3535" s="253"/>
      <c r="B3535" s="253"/>
      <c r="C3535" s="254"/>
      <c r="D3535" s="254"/>
      <c r="E3535" s="254"/>
      <c r="F3535" s="253"/>
      <c r="G3535" s="255"/>
      <c r="H3535" s="254"/>
      <c r="I3535" s="253"/>
      <c r="J3535" s="254"/>
      <c r="K3535" s="253"/>
      <c r="L3535" s="253"/>
      <c r="M3535" s="253"/>
      <c r="N3535" s="253"/>
      <c r="O3535" s="256"/>
      <c r="P3535" s="257"/>
    </row>
    <row r="3536" spans="1:16" ht="14.25">
      <c r="A3536" s="253"/>
      <c r="B3536" s="253"/>
      <c r="C3536" s="254"/>
      <c r="D3536" s="254"/>
      <c r="E3536" s="254"/>
      <c r="F3536" s="253"/>
      <c r="G3536" s="255"/>
      <c r="H3536" s="254"/>
      <c r="I3536" s="253"/>
      <c r="J3536" s="254"/>
      <c r="K3536" s="253"/>
      <c r="L3536" s="253"/>
      <c r="M3536" s="253"/>
      <c r="N3536" s="253"/>
      <c r="O3536" s="256"/>
      <c r="P3536" s="257"/>
    </row>
    <row r="3537" spans="1:16" ht="14.25">
      <c r="A3537" s="253"/>
      <c r="B3537" s="253"/>
      <c r="C3537" s="254"/>
      <c r="D3537" s="254"/>
      <c r="E3537" s="254"/>
      <c r="F3537" s="253"/>
      <c r="G3537" s="255"/>
      <c r="H3537" s="254"/>
      <c r="I3537" s="253"/>
      <c r="J3537" s="254"/>
      <c r="K3537" s="253"/>
      <c r="L3537" s="253"/>
      <c r="M3537" s="253"/>
      <c r="N3537" s="253"/>
      <c r="O3537" s="256"/>
      <c r="P3537" s="257"/>
    </row>
    <row r="3538" spans="1:16" ht="14.25">
      <c r="A3538" s="253"/>
      <c r="B3538" s="253"/>
      <c r="C3538" s="254"/>
      <c r="D3538" s="254"/>
      <c r="E3538" s="254"/>
      <c r="F3538" s="253"/>
      <c r="G3538" s="255"/>
      <c r="H3538" s="254"/>
      <c r="I3538" s="253"/>
      <c r="J3538" s="254"/>
      <c r="K3538" s="253"/>
      <c r="L3538" s="253"/>
      <c r="M3538" s="253"/>
      <c r="N3538" s="253"/>
      <c r="O3538" s="256"/>
      <c r="P3538" s="257"/>
    </row>
    <row r="3539" spans="1:16" ht="14.25">
      <c r="A3539" s="253"/>
      <c r="B3539" s="253"/>
      <c r="C3539" s="254"/>
      <c r="D3539" s="254"/>
      <c r="E3539" s="254"/>
      <c r="F3539" s="253"/>
      <c r="G3539" s="255"/>
      <c r="H3539" s="254"/>
      <c r="I3539" s="253"/>
      <c r="J3539" s="254"/>
      <c r="K3539" s="253"/>
      <c r="L3539" s="253"/>
      <c r="M3539" s="253"/>
      <c r="N3539" s="253"/>
      <c r="O3539" s="256"/>
      <c r="P3539" s="257"/>
    </row>
    <row r="3540" spans="1:16" ht="14.25">
      <c r="A3540" s="253"/>
      <c r="B3540" s="253"/>
      <c r="C3540" s="254"/>
      <c r="D3540" s="254"/>
      <c r="E3540" s="254"/>
      <c r="F3540" s="253"/>
      <c r="G3540" s="255"/>
      <c r="H3540" s="254"/>
      <c r="I3540" s="253"/>
      <c r="J3540" s="254"/>
      <c r="K3540" s="253"/>
      <c r="L3540" s="253"/>
      <c r="M3540" s="253"/>
      <c r="N3540" s="253"/>
      <c r="O3540" s="256"/>
      <c r="P3540" s="257"/>
    </row>
    <row r="3541" spans="1:16" ht="14.25">
      <c r="A3541" s="253"/>
      <c r="B3541" s="253"/>
      <c r="C3541" s="254"/>
      <c r="D3541" s="254"/>
      <c r="E3541" s="254"/>
      <c r="F3541" s="253"/>
      <c r="G3541" s="255"/>
      <c r="H3541" s="254"/>
      <c r="I3541" s="253"/>
      <c r="J3541" s="254"/>
      <c r="K3541" s="253"/>
      <c r="L3541" s="253"/>
      <c r="M3541" s="253"/>
      <c r="N3541" s="253"/>
      <c r="O3541" s="256"/>
      <c r="P3541" s="257"/>
    </row>
    <row r="3542" spans="1:16" ht="14.25">
      <c r="A3542" s="253"/>
      <c r="B3542" s="253"/>
      <c r="C3542" s="254"/>
      <c r="D3542" s="254"/>
      <c r="E3542" s="254"/>
      <c r="F3542" s="253"/>
      <c r="G3542" s="255"/>
      <c r="H3542" s="254"/>
      <c r="I3542" s="253"/>
      <c r="J3542" s="254"/>
      <c r="K3542" s="253"/>
      <c r="L3542" s="253"/>
      <c r="M3542" s="253"/>
      <c r="N3542" s="253"/>
      <c r="O3542" s="256"/>
      <c r="P3542" s="257"/>
    </row>
    <row r="3543" spans="1:16" ht="14.25">
      <c r="A3543" s="253"/>
      <c r="B3543" s="253"/>
      <c r="C3543" s="254"/>
      <c r="D3543" s="254"/>
      <c r="E3543" s="254"/>
      <c r="F3543" s="253"/>
      <c r="G3543" s="255"/>
      <c r="H3543" s="254"/>
      <c r="I3543" s="253"/>
      <c r="J3543" s="254"/>
      <c r="K3543" s="253"/>
      <c r="L3543" s="253"/>
      <c r="M3543" s="253"/>
      <c r="N3543" s="253"/>
      <c r="O3543" s="256"/>
      <c r="P3543" s="257"/>
    </row>
    <row r="3544" spans="1:16" ht="14.25">
      <c r="A3544" s="253"/>
      <c r="B3544" s="253"/>
      <c r="C3544" s="254"/>
      <c r="D3544" s="254"/>
      <c r="E3544" s="254"/>
      <c r="F3544" s="253"/>
      <c r="G3544" s="255"/>
      <c r="H3544" s="254"/>
      <c r="I3544" s="253"/>
      <c r="J3544" s="254"/>
      <c r="K3544" s="253"/>
      <c r="L3544" s="253"/>
      <c r="M3544" s="253"/>
      <c r="N3544" s="253"/>
      <c r="O3544" s="256"/>
      <c r="P3544" s="257"/>
    </row>
    <row r="3545" spans="1:16" ht="14.25">
      <c r="A3545" s="253"/>
      <c r="B3545" s="253"/>
      <c r="C3545" s="254"/>
      <c r="D3545" s="254"/>
      <c r="E3545" s="254"/>
      <c r="F3545" s="253"/>
      <c r="G3545" s="255"/>
      <c r="H3545" s="254"/>
      <c r="I3545" s="253"/>
      <c r="J3545" s="254"/>
      <c r="K3545" s="253"/>
      <c r="L3545" s="253"/>
      <c r="M3545" s="253"/>
      <c r="N3545" s="253"/>
      <c r="O3545" s="256"/>
      <c r="P3545" s="257"/>
    </row>
    <row r="3546" spans="1:16" ht="14.25">
      <c r="A3546" s="253"/>
      <c r="B3546" s="253"/>
      <c r="C3546" s="254"/>
      <c r="D3546" s="254"/>
      <c r="E3546" s="254"/>
      <c r="F3546" s="253"/>
      <c r="G3546" s="255"/>
      <c r="H3546" s="254"/>
      <c r="I3546" s="253"/>
      <c r="J3546" s="254"/>
      <c r="K3546" s="253"/>
      <c r="L3546" s="253"/>
      <c r="M3546" s="253"/>
      <c r="N3546" s="253"/>
      <c r="O3546" s="256"/>
      <c r="P3546" s="257"/>
    </row>
    <row r="3547" spans="1:16" ht="14.25">
      <c r="A3547" s="253"/>
      <c r="B3547" s="253"/>
      <c r="C3547" s="254"/>
      <c r="D3547" s="254"/>
      <c r="E3547" s="254"/>
      <c r="F3547" s="253"/>
      <c r="G3547" s="255"/>
      <c r="H3547" s="254"/>
      <c r="I3547" s="253"/>
      <c r="J3547" s="254"/>
      <c r="K3547" s="253"/>
      <c r="L3547" s="253"/>
      <c r="M3547" s="253"/>
      <c r="N3547" s="253"/>
      <c r="O3547" s="256"/>
      <c r="P3547" s="257"/>
    </row>
    <row r="3548" spans="1:16" ht="14.25">
      <c r="A3548" s="253"/>
      <c r="B3548" s="253"/>
      <c r="C3548" s="254"/>
      <c r="D3548" s="254"/>
      <c r="E3548" s="254"/>
      <c r="F3548" s="253"/>
      <c r="G3548" s="255"/>
      <c r="H3548" s="254"/>
      <c r="I3548" s="253"/>
      <c r="J3548" s="254"/>
      <c r="K3548" s="253"/>
      <c r="L3548" s="253"/>
      <c r="M3548" s="253"/>
      <c r="N3548" s="253"/>
      <c r="O3548" s="256"/>
      <c r="P3548" s="257"/>
    </row>
    <row r="3549" spans="1:16" ht="14.25">
      <c r="A3549" s="253"/>
      <c r="B3549" s="253"/>
      <c r="C3549" s="254"/>
      <c r="D3549" s="254"/>
      <c r="E3549" s="254"/>
      <c r="F3549" s="253"/>
      <c r="G3549" s="255"/>
      <c r="H3549" s="254"/>
      <c r="I3549" s="253"/>
      <c r="J3549" s="254"/>
      <c r="K3549" s="253"/>
      <c r="L3549" s="253"/>
      <c r="M3549" s="253"/>
      <c r="N3549" s="253"/>
      <c r="O3549" s="256"/>
      <c r="P3549" s="257"/>
    </row>
    <row r="3550" spans="1:16" ht="14.25">
      <c r="A3550" s="253"/>
      <c r="B3550" s="253"/>
      <c r="C3550" s="254"/>
      <c r="D3550" s="254"/>
      <c r="E3550" s="254"/>
      <c r="F3550" s="253"/>
      <c r="G3550" s="255"/>
      <c r="H3550" s="254"/>
      <c r="I3550" s="253"/>
      <c r="J3550" s="254"/>
      <c r="K3550" s="253"/>
      <c r="L3550" s="253"/>
      <c r="M3550" s="253"/>
      <c r="N3550" s="253"/>
      <c r="O3550" s="256"/>
      <c r="P3550" s="257"/>
    </row>
    <row r="3551" spans="1:16" ht="14.25">
      <c r="A3551" s="253"/>
      <c r="B3551" s="253"/>
      <c r="C3551" s="254"/>
      <c r="D3551" s="254"/>
      <c r="E3551" s="254"/>
      <c r="F3551" s="253"/>
      <c r="G3551" s="255"/>
      <c r="H3551" s="254"/>
      <c r="I3551" s="253"/>
      <c r="J3551" s="254"/>
      <c r="K3551" s="253"/>
      <c r="L3551" s="253"/>
      <c r="M3551" s="253"/>
      <c r="N3551" s="253"/>
      <c r="O3551" s="256"/>
      <c r="P3551" s="257"/>
    </row>
    <row r="3552" spans="1:16" ht="14.25">
      <c r="A3552" s="253"/>
      <c r="B3552" s="253"/>
      <c r="C3552" s="254"/>
      <c r="D3552" s="254"/>
      <c r="E3552" s="254"/>
      <c r="F3552" s="253"/>
      <c r="G3552" s="255"/>
      <c r="H3552" s="254"/>
      <c r="I3552" s="253"/>
      <c r="J3552" s="254"/>
      <c r="K3552" s="253"/>
      <c r="L3552" s="253"/>
      <c r="M3552" s="253"/>
      <c r="N3552" s="253"/>
      <c r="O3552" s="256"/>
      <c r="P3552" s="257"/>
    </row>
    <row r="3553" spans="1:16" ht="14.25">
      <c r="A3553" s="253"/>
      <c r="B3553" s="253"/>
      <c r="C3553" s="254"/>
      <c r="D3553" s="254"/>
      <c r="E3553" s="254"/>
      <c r="F3553" s="253"/>
      <c r="G3553" s="255"/>
      <c r="H3553" s="254"/>
      <c r="I3553" s="253"/>
      <c r="J3553" s="254"/>
      <c r="K3553" s="253"/>
      <c r="L3553" s="253"/>
      <c r="M3553" s="253"/>
      <c r="N3553" s="253"/>
      <c r="O3553" s="256"/>
      <c r="P3553" s="257"/>
    </row>
    <row r="3554" spans="1:16" ht="14.25">
      <c r="A3554" s="253"/>
      <c r="B3554" s="253"/>
      <c r="C3554" s="254"/>
      <c r="D3554" s="254"/>
      <c r="E3554" s="254"/>
      <c r="F3554" s="253"/>
      <c r="G3554" s="255"/>
      <c r="H3554" s="254"/>
      <c r="I3554" s="253"/>
      <c r="J3554" s="254"/>
      <c r="K3554" s="253"/>
      <c r="L3554" s="253"/>
      <c r="M3554" s="253"/>
      <c r="N3554" s="253"/>
      <c r="O3554" s="256"/>
      <c r="P3554" s="257"/>
    </row>
    <row r="3555" spans="1:16" ht="14.25">
      <c r="A3555" s="253"/>
      <c r="B3555" s="253"/>
      <c r="C3555" s="254"/>
      <c r="D3555" s="254"/>
      <c r="E3555" s="254"/>
      <c r="F3555" s="253"/>
      <c r="G3555" s="255"/>
      <c r="H3555" s="254"/>
      <c r="I3555" s="253"/>
      <c r="J3555" s="254"/>
      <c r="K3555" s="253"/>
      <c r="L3555" s="253"/>
      <c r="M3555" s="253"/>
      <c r="N3555" s="253"/>
      <c r="O3555" s="256"/>
      <c r="P3555" s="257"/>
    </row>
    <row r="3556" spans="1:16" ht="14.25">
      <c r="A3556" s="253"/>
      <c r="B3556" s="253"/>
      <c r="C3556" s="254"/>
      <c r="D3556" s="254"/>
      <c r="E3556" s="254"/>
      <c r="F3556" s="253"/>
      <c r="G3556" s="255"/>
      <c r="H3556" s="254"/>
      <c r="I3556" s="253"/>
      <c r="J3556" s="254"/>
      <c r="K3556" s="253"/>
      <c r="L3556" s="253"/>
      <c r="M3556" s="253"/>
      <c r="N3556" s="253"/>
      <c r="O3556" s="256"/>
      <c r="P3556" s="257"/>
    </row>
    <row r="3557" spans="1:16" ht="14.25">
      <c r="A3557" s="253"/>
      <c r="B3557" s="253"/>
      <c r="C3557" s="254"/>
      <c r="D3557" s="254"/>
      <c r="E3557" s="254"/>
      <c r="F3557" s="253"/>
      <c r="G3557" s="255"/>
      <c r="H3557" s="254"/>
      <c r="I3557" s="253"/>
      <c r="J3557" s="254"/>
      <c r="K3557" s="253"/>
      <c r="L3557" s="253"/>
      <c r="M3557" s="253"/>
      <c r="N3557" s="253"/>
      <c r="O3557" s="256"/>
      <c r="P3557" s="257"/>
    </row>
    <row r="3558" spans="1:16" ht="14.25">
      <c r="A3558" s="253"/>
      <c r="B3558" s="253"/>
      <c r="C3558" s="254"/>
      <c r="D3558" s="254"/>
      <c r="E3558" s="254"/>
      <c r="F3558" s="253"/>
      <c r="G3558" s="255"/>
      <c r="H3558" s="254"/>
      <c r="I3558" s="253"/>
      <c r="J3558" s="254"/>
      <c r="K3558" s="253"/>
      <c r="L3558" s="253"/>
      <c r="M3558" s="253"/>
      <c r="N3558" s="253"/>
      <c r="O3558" s="256"/>
      <c r="P3558" s="257"/>
    </row>
    <row r="3559" spans="1:16" ht="14.25">
      <c r="A3559" s="253"/>
      <c r="B3559" s="253"/>
      <c r="C3559" s="254"/>
      <c r="D3559" s="254"/>
      <c r="E3559" s="254"/>
      <c r="F3559" s="253"/>
      <c r="G3559" s="255"/>
      <c r="H3559" s="254"/>
      <c r="I3559" s="253"/>
      <c r="J3559" s="254"/>
      <c r="K3559" s="253"/>
      <c r="L3559" s="253"/>
      <c r="M3559" s="253"/>
      <c r="N3559" s="253"/>
      <c r="O3559" s="256"/>
      <c r="P3559" s="257"/>
    </row>
    <row r="3560" spans="1:16" ht="14.25">
      <c r="A3560" s="253"/>
      <c r="B3560" s="253"/>
      <c r="C3560" s="254"/>
      <c r="D3560" s="254"/>
      <c r="E3560" s="254"/>
      <c r="F3560" s="253"/>
      <c r="G3560" s="255"/>
      <c r="H3560" s="254"/>
      <c r="I3560" s="253"/>
      <c r="J3560" s="254"/>
      <c r="K3560" s="253"/>
      <c r="L3560" s="253"/>
      <c r="M3560" s="253"/>
      <c r="N3560" s="253"/>
      <c r="O3560" s="256"/>
      <c r="P3560" s="257"/>
    </row>
    <row r="3561" spans="1:16" ht="14.25">
      <c r="A3561" s="253"/>
      <c r="B3561" s="253"/>
      <c r="C3561" s="254"/>
      <c r="D3561" s="254"/>
      <c r="E3561" s="254"/>
      <c r="F3561" s="253"/>
      <c r="G3561" s="255"/>
      <c r="H3561" s="254"/>
      <c r="I3561" s="253"/>
      <c r="J3561" s="254"/>
      <c r="K3561" s="253"/>
      <c r="L3561" s="253"/>
      <c r="M3561" s="253"/>
      <c r="N3561" s="253"/>
      <c r="O3561" s="256"/>
      <c r="P3561" s="257"/>
    </row>
    <row r="3562" spans="1:16" ht="14.25">
      <c r="A3562" s="253"/>
      <c r="B3562" s="253"/>
      <c r="C3562" s="254"/>
      <c r="D3562" s="254"/>
      <c r="E3562" s="254"/>
      <c r="F3562" s="253"/>
      <c r="G3562" s="255"/>
      <c r="H3562" s="254"/>
      <c r="I3562" s="253"/>
      <c r="J3562" s="254"/>
      <c r="K3562" s="253"/>
      <c r="L3562" s="253"/>
      <c r="M3562" s="253"/>
      <c r="N3562" s="253"/>
      <c r="O3562" s="256"/>
      <c r="P3562" s="257"/>
    </row>
    <row r="3563" spans="1:16" ht="14.25">
      <c r="A3563" s="253"/>
      <c r="B3563" s="253"/>
      <c r="C3563" s="254"/>
      <c r="D3563" s="254"/>
      <c r="E3563" s="254"/>
      <c r="F3563" s="253"/>
      <c r="G3563" s="255"/>
      <c r="H3563" s="254"/>
      <c r="I3563" s="253"/>
      <c r="J3563" s="254"/>
      <c r="K3563" s="253"/>
      <c r="L3563" s="253"/>
      <c r="M3563" s="253"/>
      <c r="N3563" s="253"/>
      <c r="O3563" s="256"/>
      <c r="P3563" s="257"/>
    </row>
    <row r="3564" spans="1:16" ht="14.25">
      <c r="A3564" s="253"/>
      <c r="B3564" s="253"/>
      <c r="C3564" s="254"/>
      <c r="D3564" s="254"/>
      <c r="E3564" s="254"/>
      <c r="F3564" s="253"/>
      <c r="G3564" s="255"/>
      <c r="H3564" s="254"/>
      <c r="I3564" s="253"/>
      <c r="J3564" s="254"/>
      <c r="K3564" s="253"/>
      <c r="L3564" s="253"/>
      <c r="M3564" s="253"/>
      <c r="N3564" s="253"/>
      <c r="O3564" s="256"/>
      <c r="P3564" s="257"/>
    </row>
    <row r="3565" spans="1:16" ht="14.25">
      <c r="A3565" s="253"/>
      <c r="B3565" s="253"/>
      <c r="C3565" s="254"/>
      <c r="D3565" s="254"/>
      <c r="E3565" s="254"/>
      <c r="F3565" s="253"/>
      <c r="G3565" s="255"/>
      <c r="H3565" s="254"/>
      <c r="I3565" s="253"/>
      <c r="J3565" s="254"/>
      <c r="K3565" s="253"/>
      <c r="L3565" s="253"/>
      <c r="M3565" s="253"/>
      <c r="N3565" s="253"/>
      <c r="O3565" s="256"/>
      <c r="P3565" s="257"/>
    </row>
    <row r="3566" spans="1:16" ht="14.25">
      <c r="A3566" s="253"/>
      <c r="B3566" s="253"/>
      <c r="C3566" s="254"/>
      <c r="D3566" s="254"/>
      <c r="E3566" s="254"/>
      <c r="F3566" s="253"/>
      <c r="G3566" s="255"/>
      <c r="H3566" s="254"/>
      <c r="I3566" s="253"/>
      <c r="J3566" s="254"/>
      <c r="K3566" s="253"/>
      <c r="L3566" s="253"/>
      <c r="M3566" s="253"/>
      <c r="N3566" s="253"/>
      <c r="O3566" s="256"/>
      <c r="P3566" s="257"/>
    </row>
    <row r="3567" spans="1:16" ht="14.25">
      <c r="A3567" s="253"/>
      <c r="B3567" s="253"/>
      <c r="C3567" s="254"/>
      <c r="D3567" s="254"/>
      <c r="E3567" s="254"/>
      <c r="F3567" s="253"/>
      <c r="G3567" s="255"/>
      <c r="H3567" s="254"/>
      <c r="I3567" s="253"/>
      <c r="J3567" s="254"/>
      <c r="K3567" s="253"/>
      <c r="L3567" s="253"/>
      <c r="M3567" s="253"/>
      <c r="N3567" s="253"/>
      <c r="O3567" s="256"/>
      <c r="P3567" s="257"/>
    </row>
    <row r="3568" spans="1:16" ht="14.25">
      <c r="A3568" s="253"/>
      <c r="B3568" s="253"/>
      <c r="C3568" s="254"/>
      <c r="D3568" s="254"/>
      <c r="E3568" s="254"/>
      <c r="F3568" s="253"/>
      <c r="G3568" s="255"/>
      <c r="H3568" s="254"/>
      <c r="I3568" s="253"/>
      <c r="J3568" s="254"/>
      <c r="K3568" s="253"/>
      <c r="L3568" s="253"/>
      <c r="M3568" s="253"/>
      <c r="N3568" s="253"/>
      <c r="O3568" s="256"/>
      <c r="P3568" s="257"/>
    </row>
    <row r="3569" spans="1:16" ht="14.25">
      <c r="A3569" s="253"/>
      <c r="B3569" s="253"/>
      <c r="C3569" s="254"/>
      <c r="D3569" s="254"/>
      <c r="E3569" s="254"/>
      <c r="F3569" s="253"/>
      <c r="G3569" s="255"/>
      <c r="H3569" s="254"/>
      <c r="I3569" s="253"/>
      <c r="J3569" s="254"/>
      <c r="K3569" s="253"/>
      <c r="L3569" s="253"/>
      <c r="M3569" s="253"/>
      <c r="N3569" s="253"/>
      <c r="O3569" s="256"/>
      <c r="P3569" s="257"/>
    </row>
    <row r="3570" spans="1:16" ht="14.25">
      <c r="A3570" s="253"/>
      <c r="B3570" s="253"/>
      <c r="C3570" s="254"/>
      <c r="D3570" s="254"/>
      <c r="E3570" s="254"/>
      <c r="F3570" s="253"/>
      <c r="G3570" s="255"/>
      <c r="H3570" s="254"/>
      <c r="I3570" s="253"/>
      <c r="J3570" s="254"/>
      <c r="K3570" s="253"/>
      <c r="L3570" s="253"/>
      <c r="M3570" s="253"/>
      <c r="N3570" s="253"/>
      <c r="O3570" s="256"/>
      <c r="P3570" s="257"/>
    </row>
    <row r="3571" spans="1:16" ht="14.25">
      <c r="A3571" s="253"/>
      <c r="B3571" s="253"/>
      <c r="C3571" s="254"/>
      <c r="D3571" s="254"/>
      <c r="E3571" s="254"/>
      <c r="F3571" s="253"/>
      <c r="G3571" s="255"/>
      <c r="H3571" s="254"/>
      <c r="I3571" s="253"/>
      <c r="J3571" s="254"/>
      <c r="K3571" s="253"/>
      <c r="L3571" s="253"/>
      <c r="M3571" s="253"/>
      <c r="N3571" s="253"/>
      <c r="O3571" s="256"/>
      <c r="P3571" s="257"/>
    </row>
    <row r="3572" spans="1:16" ht="14.25">
      <c r="A3572" s="253"/>
      <c r="B3572" s="253"/>
      <c r="C3572" s="254"/>
      <c r="D3572" s="254"/>
      <c r="E3572" s="254"/>
      <c r="F3572" s="253"/>
      <c r="G3572" s="255"/>
      <c r="H3572" s="254"/>
      <c r="I3572" s="253"/>
      <c r="J3572" s="254"/>
      <c r="K3572" s="253"/>
      <c r="L3572" s="253"/>
      <c r="M3572" s="253"/>
      <c r="N3572" s="253"/>
      <c r="O3572" s="256"/>
      <c r="P3572" s="257"/>
    </row>
    <row r="3573" spans="1:16" ht="14.25">
      <c r="A3573" s="253"/>
      <c r="B3573" s="253"/>
      <c r="C3573" s="254"/>
      <c r="D3573" s="254"/>
      <c r="E3573" s="254"/>
      <c r="F3573" s="253"/>
      <c r="G3573" s="255"/>
      <c r="H3573" s="254"/>
      <c r="I3573" s="253"/>
      <c r="J3573" s="254"/>
      <c r="K3573" s="253"/>
      <c r="L3573" s="253"/>
      <c r="M3573" s="253"/>
      <c r="N3573" s="253"/>
      <c r="O3573" s="256"/>
      <c r="P3573" s="257"/>
    </row>
    <row r="3574" spans="1:16" ht="14.25">
      <c r="A3574" s="253"/>
      <c r="B3574" s="253"/>
      <c r="C3574" s="254"/>
      <c r="D3574" s="254"/>
      <c r="E3574" s="254"/>
      <c r="F3574" s="253"/>
      <c r="G3574" s="255"/>
      <c r="H3574" s="254"/>
      <c r="I3574" s="253"/>
      <c r="J3574" s="254"/>
      <c r="K3574" s="253"/>
      <c r="L3574" s="253"/>
      <c r="M3574" s="253"/>
      <c r="N3574" s="253"/>
      <c r="O3574" s="256"/>
      <c r="P3574" s="257"/>
    </row>
    <row r="3575" spans="1:16" ht="14.25">
      <c r="A3575" s="253"/>
      <c r="B3575" s="253"/>
      <c r="C3575" s="254"/>
      <c r="D3575" s="254"/>
      <c r="E3575" s="254"/>
      <c r="F3575" s="253"/>
      <c r="G3575" s="255"/>
      <c r="H3575" s="254"/>
      <c r="I3575" s="253"/>
      <c r="J3575" s="254"/>
      <c r="K3575" s="253"/>
      <c r="L3575" s="253"/>
      <c r="M3575" s="253"/>
      <c r="N3575" s="253"/>
      <c r="O3575" s="256"/>
      <c r="P3575" s="257"/>
    </row>
    <row r="3576" spans="1:16" ht="14.25">
      <c r="A3576" s="253"/>
      <c r="B3576" s="253"/>
      <c r="C3576" s="254"/>
      <c r="D3576" s="254"/>
      <c r="E3576" s="254"/>
      <c r="F3576" s="253"/>
      <c r="G3576" s="255"/>
      <c r="H3576" s="254"/>
      <c r="I3576" s="253"/>
      <c r="J3576" s="254"/>
      <c r="K3576" s="253"/>
      <c r="L3576" s="253"/>
      <c r="M3576" s="253"/>
      <c r="N3576" s="253"/>
      <c r="O3576" s="256"/>
      <c r="P3576" s="257"/>
    </row>
    <row r="3577" spans="1:16" ht="14.25">
      <c r="A3577" s="253"/>
      <c r="B3577" s="253"/>
      <c r="C3577" s="254"/>
      <c r="D3577" s="254"/>
      <c r="E3577" s="254"/>
      <c r="F3577" s="253"/>
      <c r="G3577" s="255"/>
      <c r="H3577" s="254"/>
      <c r="I3577" s="253"/>
      <c r="J3577" s="254"/>
      <c r="K3577" s="253"/>
      <c r="L3577" s="253"/>
      <c r="M3577" s="253"/>
      <c r="N3577" s="253"/>
      <c r="O3577" s="256"/>
      <c r="P3577" s="257"/>
    </row>
    <row r="3578" spans="1:16" ht="14.25">
      <c r="A3578" s="253"/>
      <c r="B3578" s="253"/>
      <c r="C3578" s="254"/>
      <c r="D3578" s="254"/>
      <c r="E3578" s="254"/>
      <c r="F3578" s="253"/>
      <c r="G3578" s="255"/>
      <c r="H3578" s="254"/>
      <c r="I3578" s="253"/>
      <c r="J3578" s="254"/>
      <c r="K3578" s="253"/>
      <c r="L3578" s="253"/>
      <c r="M3578" s="253"/>
      <c r="N3578" s="253"/>
      <c r="O3578" s="256"/>
      <c r="P3578" s="257"/>
    </row>
    <row r="3579" spans="1:16" ht="14.25">
      <c r="A3579" s="253"/>
      <c r="B3579" s="253"/>
      <c r="C3579" s="254"/>
      <c r="D3579" s="254"/>
      <c r="E3579" s="254"/>
      <c r="F3579" s="253"/>
      <c r="G3579" s="255"/>
      <c r="H3579" s="254"/>
      <c r="I3579" s="253"/>
      <c r="J3579" s="254"/>
      <c r="K3579" s="253"/>
      <c r="L3579" s="253"/>
      <c r="M3579" s="253"/>
      <c r="N3579" s="253"/>
      <c r="O3579" s="256"/>
      <c r="P3579" s="257"/>
    </row>
    <row r="3580" spans="1:16" ht="14.25">
      <c r="A3580" s="253"/>
      <c r="B3580" s="253"/>
      <c r="C3580" s="254"/>
      <c r="D3580" s="254"/>
      <c r="E3580" s="254"/>
      <c r="F3580" s="253"/>
      <c r="G3580" s="255"/>
      <c r="H3580" s="254"/>
      <c r="I3580" s="253"/>
      <c r="J3580" s="254"/>
      <c r="K3580" s="253"/>
      <c r="L3580" s="253"/>
      <c r="M3580" s="253"/>
      <c r="N3580" s="253"/>
      <c r="O3580" s="256"/>
      <c r="P3580" s="257"/>
    </row>
    <row r="3581" spans="1:16" ht="14.25">
      <c r="A3581" s="253"/>
      <c r="B3581" s="253"/>
      <c r="C3581" s="254"/>
      <c r="D3581" s="254"/>
      <c r="E3581" s="254"/>
      <c r="F3581" s="253"/>
      <c r="G3581" s="255"/>
      <c r="H3581" s="254"/>
      <c r="I3581" s="253"/>
      <c r="J3581" s="254"/>
      <c r="K3581" s="253"/>
      <c r="L3581" s="253"/>
      <c r="M3581" s="253"/>
      <c r="N3581" s="253"/>
      <c r="O3581" s="256"/>
      <c r="P3581" s="257"/>
    </row>
    <row r="3582" spans="1:16" ht="14.25">
      <c r="A3582" s="253"/>
      <c r="B3582" s="253"/>
      <c r="C3582" s="254"/>
      <c r="D3582" s="254"/>
      <c r="E3582" s="254"/>
      <c r="F3582" s="253"/>
      <c r="G3582" s="255"/>
      <c r="H3582" s="254"/>
      <c r="I3582" s="253"/>
      <c r="J3582" s="254"/>
      <c r="K3582" s="253"/>
      <c r="L3582" s="253"/>
      <c r="M3582" s="253"/>
      <c r="N3582" s="253"/>
      <c r="O3582" s="256"/>
      <c r="P3582" s="257"/>
    </row>
    <row r="3583" spans="1:16" ht="14.25">
      <c r="A3583" s="253"/>
      <c r="B3583" s="253"/>
      <c r="C3583" s="254"/>
      <c r="D3583" s="254"/>
      <c r="E3583" s="254"/>
      <c r="F3583" s="253"/>
      <c r="G3583" s="255"/>
      <c r="H3583" s="254"/>
      <c r="I3583" s="253"/>
      <c r="J3583" s="254"/>
      <c r="K3583" s="253"/>
      <c r="L3583" s="253"/>
      <c r="M3583" s="253"/>
      <c r="N3583" s="253"/>
      <c r="O3583" s="256"/>
      <c r="P3583" s="257"/>
    </row>
    <row r="3584" spans="1:16" ht="14.25">
      <c r="A3584" s="253"/>
      <c r="B3584" s="253"/>
      <c r="C3584" s="254"/>
      <c r="D3584" s="254"/>
      <c r="E3584" s="254"/>
      <c r="F3584" s="253"/>
      <c r="G3584" s="255"/>
      <c r="H3584" s="254"/>
      <c r="I3584" s="253"/>
      <c r="J3584" s="254"/>
      <c r="K3584" s="253"/>
      <c r="L3584" s="253"/>
      <c r="M3584" s="253"/>
      <c r="N3584" s="253"/>
      <c r="O3584" s="256"/>
      <c r="P3584" s="257"/>
    </row>
    <row r="3585" spans="1:16" ht="14.25">
      <c r="A3585" s="253"/>
      <c r="B3585" s="253"/>
      <c r="C3585" s="254"/>
      <c r="D3585" s="254"/>
      <c r="E3585" s="254"/>
      <c r="F3585" s="253"/>
      <c r="G3585" s="255"/>
      <c r="H3585" s="254"/>
      <c r="I3585" s="253"/>
      <c r="J3585" s="254"/>
      <c r="K3585" s="253"/>
      <c r="L3585" s="253"/>
      <c r="M3585" s="253"/>
      <c r="N3585" s="253"/>
      <c r="O3585" s="256"/>
      <c r="P3585" s="257"/>
    </row>
    <row r="3586" spans="1:16" ht="14.25">
      <c r="A3586" s="253"/>
      <c r="B3586" s="253"/>
      <c r="C3586" s="254"/>
      <c r="D3586" s="254"/>
      <c r="E3586" s="254"/>
      <c r="F3586" s="253"/>
      <c r="G3586" s="255"/>
      <c r="H3586" s="254"/>
      <c r="I3586" s="253"/>
      <c r="J3586" s="254"/>
      <c r="K3586" s="253"/>
      <c r="L3586" s="253"/>
      <c r="M3586" s="253"/>
      <c r="N3586" s="253"/>
      <c r="O3586" s="256"/>
      <c r="P3586" s="257"/>
    </row>
    <row r="3587" spans="1:16" ht="14.25">
      <c r="A3587" s="253"/>
      <c r="B3587" s="253"/>
      <c r="C3587" s="254"/>
      <c r="D3587" s="254"/>
      <c r="E3587" s="254"/>
      <c r="F3587" s="253"/>
      <c r="G3587" s="255"/>
      <c r="H3587" s="254"/>
      <c r="I3587" s="253"/>
      <c r="J3587" s="254"/>
      <c r="K3587" s="253"/>
      <c r="L3587" s="253"/>
      <c r="M3587" s="253"/>
      <c r="N3587" s="253"/>
      <c r="O3587" s="256"/>
      <c r="P3587" s="257"/>
    </row>
    <row r="3588" spans="1:16" ht="14.25">
      <c r="A3588" s="253"/>
      <c r="B3588" s="253"/>
      <c r="C3588" s="254"/>
      <c r="D3588" s="254"/>
      <c r="E3588" s="254"/>
      <c r="F3588" s="253"/>
      <c r="G3588" s="255"/>
      <c r="H3588" s="254"/>
      <c r="I3588" s="253"/>
      <c r="J3588" s="254"/>
      <c r="K3588" s="253"/>
      <c r="L3588" s="253"/>
      <c r="M3588" s="253"/>
      <c r="N3588" s="253"/>
      <c r="O3588" s="256"/>
      <c r="P3588" s="257"/>
    </row>
    <row r="3589" spans="1:16" ht="14.25">
      <c r="A3589" s="253"/>
      <c r="B3589" s="253"/>
      <c r="C3589" s="254"/>
      <c r="D3589" s="254"/>
      <c r="E3589" s="254"/>
      <c r="F3589" s="253"/>
      <c r="G3589" s="255"/>
      <c r="H3589" s="254"/>
      <c r="I3589" s="253"/>
      <c r="J3589" s="254"/>
      <c r="K3589" s="253"/>
      <c r="L3589" s="253"/>
      <c r="M3589" s="253"/>
      <c r="N3589" s="253"/>
      <c r="O3589" s="256"/>
      <c r="P3589" s="257"/>
    </row>
    <row r="3590" spans="1:16" ht="14.25">
      <c r="A3590" s="253"/>
      <c r="B3590" s="253"/>
      <c r="C3590" s="254"/>
      <c r="D3590" s="254"/>
      <c r="E3590" s="254"/>
      <c r="F3590" s="253"/>
      <c r="G3590" s="255"/>
      <c r="H3590" s="254"/>
      <c r="I3590" s="253"/>
      <c r="J3590" s="254"/>
      <c r="K3590" s="253"/>
      <c r="L3590" s="253"/>
      <c r="M3590" s="253"/>
      <c r="N3590" s="253"/>
      <c r="O3590" s="256"/>
      <c r="P3590" s="257"/>
    </row>
    <row r="3591" spans="1:16" ht="14.25">
      <c r="A3591" s="253"/>
      <c r="B3591" s="253"/>
      <c r="C3591" s="254"/>
      <c r="D3591" s="254"/>
      <c r="E3591" s="254"/>
      <c r="F3591" s="253"/>
      <c r="G3591" s="255"/>
      <c r="H3591" s="254"/>
      <c r="I3591" s="253"/>
      <c r="J3591" s="254"/>
      <c r="K3591" s="253"/>
      <c r="L3591" s="253"/>
      <c r="M3591" s="253"/>
      <c r="N3591" s="253"/>
      <c r="O3591" s="256"/>
      <c r="P3591" s="257"/>
    </row>
    <row r="3592" spans="1:16" ht="14.25">
      <c r="A3592" s="253"/>
      <c r="B3592" s="253"/>
      <c r="C3592" s="254"/>
      <c r="D3592" s="254"/>
      <c r="E3592" s="254"/>
      <c r="F3592" s="253"/>
      <c r="G3592" s="255"/>
      <c r="H3592" s="254"/>
      <c r="I3592" s="253"/>
      <c r="J3592" s="254"/>
      <c r="K3592" s="253"/>
      <c r="L3592" s="253"/>
      <c r="M3592" s="253"/>
      <c r="N3592" s="253"/>
      <c r="O3592" s="256"/>
      <c r="P3592" s="257"/>
    </row>
    <row r="3593" spans="1:16" ht="14.25">
      <c r="A3593" s="253"/>
      <c r="B3593" s="253"/>
      <c r="C3593" s="254"/>
      <c r="D3593" s="254"/>
      <c r="E3593" s="254"/>
      <c r="F3593" s="253"/>
      <c r="G3593" s="255"/>
      <c r="H3593" s="254"/>
      <c r="I3593" s="253"/>
      <c r="J3593" s="254"/>
      <c r="K3593" s="253"/>
      <c r="L3593" s="253"/>
      <c r="M3593" s="253"/>
      <c r="N3593" s="253"/>
      <c r="O3593" s="256"/>
      <c r="P3593" s="257"/>
    </row>
    <row r="3594" spans="1:16" ht="14.25">
      <c r="A3594" s="253"/>
      <c r="B3594" s="253"/>
      <c r="C3594" s="254"/>
      <c r="D3594" s="254"/>
      <c r="E3594" s="254"/>
      <c r="F3594" s="253"/>
      <c r="G3594" s="255"/>
      <c r="H3594" s="254"/>
      <c r="I3594" s="253"/>
      <c r="J3594" s="254"/>
      <c r="K3594" s="253"/>
      <c r="L3594" s="253"/>
      <c r="M3594" s="253"/>
      <c r="N3594" s="253"/>
      <c r="O3594" s="256"/>
      <c r="P3594" s="257"/>
    </row>
    <row r="3595" spans="1:16" ht="14.25">
      <c r="A3595" s="253"/>
      <c r="B3595" s="253"/>
      <c r="C3595" s="254"/>
      <c r="D3595" s="254"/>
      <c r="E3595" s="254"/>
      <c r="F3595" s="253"/>
      <c r="G3595" s="255"/>
      <c r="H3595" s="254"/>
      <c r="I3595" s="253"/>
      <c r="J3595" s="254"/>
      <c r="K3595" s="253"/>
      <c r="L3595" s="253"/>
      <c r="M3595" s="253"/>
      <c r="N3595" s="253"/>
      <c r="O3595" s="256"/>
      <c r="P3595" s="257"/>
    </row>
    <row r="3596" spans="1:16" ht="14.25">
      <c r="A3596" s="253"/>
      <c r="B3596" s="253"/>
      <c r="C3596" s="254"/>
      <c r="D3596" s="254"/>
      <c r="E3596" s="254"/>
      <c r="F3596" s="253"/>
      <c r="G3596" s="255"/>
      <c r="H3596" s="254"/>
      <c r="I3596" s="253"/>
      <c r="J3596" s="254"/>
      <c r="K3596" s="253"/>
      <c r="L3596" s="253"/>
      <c r="M3596" s="253"/>
      <c r="N3596" s="253"/>
      <c r="O3596" s="256"/>
      <c r="P3596" s="257"/>
    </row>
    <row r="3597" spans="1:16" ht="14.25">
      <c r="A3597" s="253"/>
      <c r="B3597" s="253"/>
      <c r="C3597" s="254"/>
      <c r="D3597" s="254"/>
      <c r="E3597" s="254"/>
      <c r="F3597" s="253"/>
      <c r="G3597" s="255"/>
      <c r="H3597" s="254"/>
      <c r="I3597" s="253"/>
      <c r="J3597" s="254"/>
      <c r="K3597" s="253"/>
      <c r="L3597" s="253"/>
      <c r="M3597" s="253"/>
      <c r="N3597" s="253"/>
      <c r="O3597" s="256"/>
      <c r="P3597" s="257"/>
    </row>
    <row r="3598" spans="1:16" ht="14.25">
      <c r="A3598" s="253"/>
      <c r="B3598" s="253"/>
      <c r="C3598" s="254"/>
      <c r="D3598" s="254"/>
      <c r="E3598" s="254"/>
      <c r="F3598" s="253"/>
      <c r="G3598" s="255"/>
      <c r="H3598" s="254"/>
      <c r="I3598" s="253"/>
      <c r="J3598" s="254"/>
      <c r="K3598" s="253"/>
      <c r="L3598" s="253"/>
      <c r="M3598" s="253"/>
      <c r="N3598" s="253"/>
      <c r="O3598" s="256"/>
      <c r="P3598" s="257"/>
    </row>
    <row r="3599" spans="1:16" ht="14.25">
      <c r="A3599" s="253"/>
      <c r="B3599" s="253"/>
      <c r="C3599" s="254"/>
      <c r="D3599" s="254"/>
      <c r="E3599" s="254"/>
      <c r="F3599" s="253"/>
      <c r="G3599" s="255"/>
      <c r="H3599" s="254"/>
      <c r="I3599" s="253"/>
      <c r="J3599" s="254"/>
      <c r="K3599" s="253"/>
      <c r="L3599" s="253"/>
      <c r="M3599" s="253"/>
      <c r="N3599" s="253"/>
      <c r="O3599" s="256"/>
      <c r="P3599" s="257"/>
    </row>
    <row r="3600" spans="1:16" ht="14.25">
      <c r="A3600" s="253"/>
      <c r="B3600" s="253"/>
      <c r="C3600" s="254"/>
      <c r="D3600" s="254"/>
      <c r="E3600" s="254"/>
      <c r="F3600" s="253"/>
      <c r="G3600" s="255"/>
      <c r="H3600" s="254"/>
      <c r="I3600" s="253"/>
      <c r="J3600" s="254"/>
      <c r="K3600" s="253"/>
      <c r="L3600" s="253"/>
      <c r="M3600" s="253"/>
      <c r="N3600" s="253"/>
      <c r="O3600" s="256"/>
      <c r="P3600" s="257"/>
    </row>
    <row r="3601" spans="1:16" ht="14.25">
      <c r="A3601" s="253"/>
      <c r="B3601" s="253"/>
      <c r="C3601" s="254"/>
      <c r="D3601" s="254"/>
      <c r="E3601" s="254"/>
      <c r="F3601" s="253"/>
      <c r="G3601" s="255"/>
      <c r="H3601" s="254"/>
      <c r="I3601" s="253"/>
      <c r="J3601" s="254"/>
      <c r="K3601" s="253"/>
      <c r="L3601" s="253"/>
      <c r="M3601" s="253"/>
      <c r="N3601" s="253"/>
      <c r="O3601" s="256"/>
      <c r="P3601" s="257"/>
    </row>
    <row r="3602" spans="1:16" ht="14.25">
      <c r="A3602" s="253"/>
      <c r="B3602" s="253"/>
      <c r="C3602" s="254"/>
      <c r="D3602" s="254"/>
      <c r="E3602" s="254"/>
      <c r="F3602" s="253"/>
      <c r="G3602" s="255"/>
      <c r="H3602" s="254"/>
      <c r="I3602" s="253"/>
      <c r="J3602" s="254"/>
      <c r="K3602" s="253"/>
      <c r="L3602" s="253"/>
      <c r="M3602" s="253"/>
      <c r="N3602" s="253"/>
      <c r="O3602" s="256"/>
      <c r="P3602" s="257"/>
    </row>
    <row r="3603" spans="1:16" ht="14.25">
      <c r="A3603" s="253"/>
      <c r="B3603" s="253"/>
      <c r="C3603" s="254"/>
      <c r="D3603" s="254"/>
      <c r="E3603" s="254"/>
      <c r="F3603" s="253"/>
      <c r="G3603" s="255"/>
      <c r="H3603" s="254"/>
      <c r="I3603" s="253"/>
      <c r="J3603" s="254"/>
      <c r="K3603" s="253"/>
      <c r="L3603" s="253"/>
      <c r="M3603" s="253"/>
      <c r="N3603" s="253"/>
      <c r="O3603" s="256"/>
      <c r="P3603" s="257"/>
    </row>
    <row r="3604" spans="1:16" ht="14.25">
      <c r="A3604" s="253"/>
      <c r="B3604" s="253"/>
      <c r="C3604" s="254"/>
      <c r="D3604" s="254"/>
      <c r="E3604" s="254"/>
      <c r="F3604" s="253"/>
      <c r="G3604" s="255"/>
      <c r="H3604" s="254"/>
      <c r="I3604" s="253"/>
      <c r="J3604" s="254"/>
      <c r="K3604" s="253"/>
      <c r="L3604" s="253"/>
      <c r="M3604" s="253"/>
      <c r="N3604" s="253"/>
      <c r="O3604" s="256"/>
      <c r="P3604" s="257"/>
    </row>
    <row r="3605" spans="1:16" ht="14.25">
      <c r="A3605" s="253"/>
      <c r="B3605" s="253"/>
      <c r="C3605" s="254"/>
      <c r="D3605" s="254"/>
      <c r="E3605" s="254"/>
      <c r="F3605" s="253"/>
      <c r="G3605" s="255"/>
      <c r="H3605" s="254"/>
      <c r="I3605" s="253"/>
      <c r="J3605" s="254"/>
      <c r="K3605" s="253"/>
      <c r="L3605" s="253"/>
      <c r="M3605" s="253"/>
      <c r="N3605" s="253"/>
      <c r="O3605" s="256"/>
      <c r="P3605" s="257"/>
    </row>
    <row r="3606" spans="1:16" ht="14.25">
      <c r="A3606" s="253"/>
      <c r="B3606" s="253"/>
      <c r="C3606" s="254"/>
      <c r="D3606" s="254"/>
      <c r="E3606" s="254"/>
      <c r="F3606" s="253"/>
      <c r="G3606" s="255"/>
      <c r="H3606" s="254"/>
      <c r="I3606" s="253"/>
      <c r="J3606" s="254"/>
      <c r="K3606" s="253"/>
      <c r="L3606" s="253"/>
      <c r="M3606" s="253"/>
      <c r="N3606" s="253"/>
      <c r="O3606" s="256"/>
      <c r="P3606" s="257"/>
    </row>
    <row r="3607" spans="1:16" ht="14.25">
      <c r="A3607" s="253"/>
      <c r="B3607" s="253"/>
      <c r="C3607" s="254"/>
      <c r="D3607" s="254"/>
      <c r="E3607" s="254"/>
      <c r="F3607" s="253"/>
      <c r="G3607" s="255"/>
      <c r="H3607" s="254"/>
      <c r="I3607" s="253"/>
      <c r="J3607" s="254"/>
      <c r="K3607" s="253"/>
      <c r="L3607" s="253"/>
      <c r="M3607" s="253"/>
      <c r="N3607" s="253"/>
      <c r="O3607" s="256"/>
      <c r="P3607" s="257"/>
    </row>
    <row r="3608" spans="1:16" ht="14.25">
      <c r="A3608" s="253"/>
      <c r="B3608" s="253"/>
      <c r="C3608" s="254"/>
      <c r="D3608" s="254"/>
      <c r="E3608" s="254"/>
      <c r="F3608" s="253"/>
      <c r="G3608" s="255"/>
      <c r="H3608" s="254"/>
      <c r="I3608" s="253"/>
      <c r="J3608" s="254"/>
      <c r="K3608" s="253"/>
      <c r="L3608" s="253"/>
      <c r="M3608" s="253"/>
      <c r="N3608" s="253"/>
      <c r="O3608" s="256"/>
      <c r="P3608" s="257"/>
    </row>
    <row r="3609" spans="1:16" ht="14.25">
      <c r="A3609" s="253"/>
      <c r="B3609" s="253"/>
      <c r="C3609" s="254"/>
      <c r="D3609" s="254"/>
      <c r="E3609" s="254"/>
      <c r="F3609" s="253"/>
      <c r="G3609" s="255"/>
      <c r="H3609" s="254"/>
      <c r="I3609" s="253"/>
      <c r="J3609" s="254"/>
      <c r="K3609" s="253"/>
      <c r="L3609" s="253"/>
      <c r="M3609" s="253"/>
      <c r="N3609" s="253"/>
      <c r="O3609" s="256"/>
      <c r="P3609" s="257"/>
    </row>
    <row r="3610" spans="1:16" ht="14.25">
      <c r="A3610" s="253"/>
      <c r="B3610" s="253"/>
      <c r="C3610" s="254"/>
      <c r="D3610" s="254"/>
      <c r="E3610" s="254"/>
      <c r="F3610" s="253"/>
      <c r="G3610" s="255"/>
      <c r="H3610" s="254"/>
      <c r="I3610" s="253"/>
      <c r="J3610" s="254"/>
      <c r="K3610" s="253"/>
      <c r="L3610" s="253"/>
      <c r="M3610" s="253"/>
      <c r="N3610" s="253"/>
      <c r="O3610" s="256"/>
      <c r="P3610" s="257"/>
    </row>
    <row r="3611" spans="1:16" ht="14.25">
      <c r="A3611" s="253"/>
      <c r="B3611" s="253"/>
      <c r="C3611" s="254"/>
      <c r="D3611" s="254"/>
      <c r="E3611" s="254"/>
      <c r="F3611" s="253"/>
      <c r="G3611" s="255"/>
      <c r="H3611" s="254"/>
      <c r="I3611" s="253"/>
      <c r="J3611" s="254"/>
      <c r="K3611" s="253"/>
      <c r="L3611" s="253"/>
      <c r="M3611" s="253"/>
      <c r="N3611" s="253"/>
      <c r="O3611" s="256"/>
      <c r="P3611" s="257"/>
    </row>
    <row r="3612" spans="1:16" ht="14.25">
      <c r="A3612" s="253"/>
      <c r="B3612" s="253"/>
      <c r="C3612" s="254"/>
      <c r="D3612" s="254"/>
      <c r="E3612" s="254"/>
      <c r="F3612" s="253"/>
      <c r="G3612" s="255"/>
      <c r="H3612" s="254"/>
      <c r="I3612" s="253"/>
      <c r="J3612" s="254"/>
      <c r="K3612" s="253"/>
      <c r="L3612" s="253"/>
      <c r="M3612" s="253"/>
      <c r="N3612" s="253"/>
      <c r="O3612" s="256"/>
      <c r="P3612" s="257"/>
    </row>
    <row r="3613" spans="1:16" ht="14.25">
      <c r="A3613" s="253"/>
      <c r="B3613" s="253"/>
      <c r="C3613" s="254"/>
      <c r="D3613" s="254"/>
      <c r="E3613" s="254"/>
      <c r="F3613" s="253"/>
      <c r="G3613" s="255"/>
      <c r="H3613" s="254"/>
      <c r="I3613" s="253"/>
      <c r="J3613" s="254"/>
      <c r="K3613" s="253"/>
      <c r="L3613" s="253"/>
      <c r="M3613" s="253"/>
      <c r="N3613" s="253"/>
      <c r="O3613" s="256"/>
      <c r="P3613" s="257"/>
    </row>
    <row r="3614" spans="1:16" ht="14.25">
      <c r="A3614" s="253"/>
      <c r="B3614" s="253"/>
      <c r="C3614" s="254"/>
      <c r="D3614" s="254"/>
      <c r="E3614" s="254"/>
      <c r="F3614" s="253"/>
      <c r="G3614" s="255"/>
      <c r="H3614" s="254"/>
      <c r="I3614" s="253"/>
      <c r="J3614" s="254"/>
      <c r="K3614" s="253"/>
      <c r="L3614" s="253"/>
      <c r="M3614" s="253"/>
      <c r="N3614" s="253"/>
      <c r="O3614" s="256"/>
      <c r="P3614" s="257"/>
    </row>
    <row r="3615" spans="1:16" ht="14.25">
      <c r="A3615" s="253"/>
      <c r="B3615" s="253"/>
      <c r="C3615" s="254"/>
      <c r="D3615" s="254"/>
      <c r="E3615" s="254"/>
      <c r="F3615" s="253"/>
      <c r="G3615" s="255"/>
      <c r="H3615" s="254"/>
      <c r="I3615" s="253"/>
      <c r="J3615" s="254"/>
      <c r="K3615" s="253"/>
      <c r="L3615" s="253"/>
      <c r="M3615" s="253"/>
      <c r="N3615" s="253"/>
      <c r="O3615" s="256"/>
      <c r="P3615" s="257"/>
    </row>
    <row r="3616" spans="1:16" ht="14.25">
      <c r="A3616" s="253"/>
      <c r="B3616" s="253"/>
      <c r="C3616" s="254"/>
      <c r="D3616" s="254"/>
      <c r="E3616" s="254"/>
      <c r="F3616" s="253"/>
      <c r="G3616" s="255"/>
      <c r="H3616" s="254"/>
      <c r="I3616" s="253"/>
      <c r="J3616" s="254"/>
      <c r="K3616" s="253"/>
      <c r="L3616" s="253"/>
      <c r="M3616" s="253"/>
      <c r="N3616" s="253"/>
      <c r="O3616" s="256"/>
      <c r="P3616" s="257"/>
    </row>
    <row r="3617" spans="1:16" ht="14.25">
      <c r="A3617" s="253"/>
      <c r="B3617" s="253"/>
      <c r="C3617" s="254"/>
      <c r="D3617" s="254"/>
      <c r="E3617" s="254"/>
      <c r="F3617" s="253"/>
      <c r="G3617" s="255"/>
      <c r="H3617" s="254"/>
      <c r="I3617" s="253"/>
      <c r="J3617" s="254"/>
      <c r="K3617" s="253"/>
      <c r="L3617" s="253"/>
      <c r="M3617" s="253"/>
      <c r="N3617" s="253"/>
      <c r="O3617" s="256"/>
      <c r="P3617" s="257"/>
    </row>
    <row r="3618" spans="1:16" ht="14.25">
      <c r="A3618" s="253"/>
      <c r="B3618" s="253"/>
      <c r="C3618" s="254"/>
      <c r="D3618" s="254"/>
      <c r="E3618" s="254"/>
      <c r="F3618" s="253"/>
      <c r="G3618" s="255"/>
      <c r="H3618" s="254"/>
      <c r="I3618" s="253"/>
      <c r="J3618" s="254"/>
      <c r="K3618" s="253"/>
      <c r="L3618" s="253"/>
      <c r="M3618" s="253"/>
      <c r="N3618" s="253"/>
      <c r="O3618" s="256"/>
      <c r="P3618" s="257"/>
    </row>
  </sheetData>
  <autoFilter ref="A1:Z2838" xr:uid="{00000000-0009-0000-0000-000009000000}"/>
  <conditionalFormatting sqref="P1:P3618">
    <cfRule type="cellIs" dxfId="25" priority="1" operator="greaterThan">
      <formula>100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4"/>
  <sheetViews>
    <sheetView workbookViewId="0">
      <selection activeCell="G26" sqref="G26"/>
    </sheetView>
  </sheetViews>
  <sheetFormatPr defaultColWidth="12.5703125" defaultRowHeight="15.75" customHeight="1"/>
  <cols>
    <col min="1" max="1" width="4.42578125" customWidth="1"/>
    <col min="4" max="4" width="26.140625" customWidth="1"/>
    <col min="6" max="6" width="14.140625" bestFit="1" customWidth="1"/>
  </cols>
  <sheetData>
    <row r="1" spans="1:13">
      <c r="A1" s="179" t="s">
        <v>0</v>
      </c>
      <c r="B1" s="179" t="s">
        <v>6833</v>
      </c>
      <c r="C1" s="179" t="s">
        <v>857</v>
      </c>
      <c r="D1" s="179" t="s">
        <v>2394</v>
      </c>
      <c r="E1" s="179" t="s">
        <v>854</v>
      </c>
      <c r="F1" s="179" t="s">
        <v>3</v>
      </c>
      <c r="G1" s="179" t="s">
        <v>2398</v>
      </c>
      <c r="H1" s="179" t="s">
        <v>6834</v>
      </c>
      <c r="I1" s="179" t="s">
        <v>6835</v>
      </c>
      <c r="J1" s="179" t="s">
        <v>6836</v>
      </c>
      <c r="K1" s="179" t="s">
        <v>6837</v>
      </c>
      <c r="L1" s="179" t="s">
        <v>6838</v>
      </c>
      <c r="M1" s="179" t="s">
        <v>2397</v>
      </c>
    </row>
    <row r="2" spans="1:13">
      <c r="A2" s="181">
        <v>1</v>
      </c>
      <c r="B2" s="181" t="s">
        <v>5</v>
      </c>
      <c r="C2" s="181" t="s">
        <v>2402</v>
      </c>
      <c r="D2" s="182" t="s">
        <v>6839</v>
      </c>
      <c r="E2" s="258">
        <v>45678</v>
      </c>
      <c r="F2" s="259" t="s">
        <v>6840</v>
      </c>
      <c r="G2" s="183" t="s">
        <v>2400</v>
      </c>
      <c r="H2" s="260">
        <v>2925.99</v>
      </c>
      <c r="I2" s="261">
        <v>0</v>
      </c>
      <c r="J2" s="184">
        <v>0</v>
      </c>
      <c r="K2" s="184">
        <v>375.56</v>
      </c>
      <c r="L2" s="184">
        <f t="shared" ref="L2:L14" si="0">J2-K2</f>
        <v>-375.56</v>
      </c>
      <c r="M2" s="262" t="s">
        <v>6841</v>
      </c>
    </row>
    <row r="3" spans="1:13">
      <c r="A3" s="181">
        <v>2</v>
      </c>
      <c r="B3" s="181" t="s">
        <v>5</v>
      </c>
      <c r="C3" s="181" t="s">
        <v>2402</v>
      </c>
      <c r="D3" s="182" t="s">
        <v>6842</v>
      </c>
      <c r="E3" s="258">
        <v>45894</v>
      </c>
      <c r="F3" s="259" t="s">
        <v>6843</v>
      </c>
      <c r="G3" s="183" t="s">
        <v>2402</v>
      </c>
      <c r="H3" s="184">
        <v>275</v>
      </c>
      <c r="I3" s="261">
        <v>0</v>
      </c>
      <c r="J3" s="184">
        <v>0</v>
      </c>
      <c r="K3" s="184">
        <v>275</v>
      </c>
      <c r="L3" s="184">
        <f t="shared" si="0"/>
        <v>-275</v>
      </c>
      <c r="M3" s="262" t="s">
        <v>6841</v>
      </c>
    </row>
    <row r="4" spans="1:13">
      <c r="A4" s="181">
        <v>3</v>
      </c>
      <c r="B4" s="181" t="s">
        <v>5</v>
      </c>
      <c r="C4" s="181" t="s">
        <v>2402</v>
      </c>
      <c r="D4" s="182" t="s">
        <v>6844</v>
      </c>
      <c r="E4" s="258">
        <v>45899</v>
      </c>
      <c r="F4" s="259" t="s">
        <v>6843</v>
      </c>
      <c r="G4" s="183" t="s">
        <v>2402</v>
      </c>
      <c r="H4" s="184">
        <v>18.38</v>
      </c>
      <c r="I4" s="261">
        <v>0</v>
      </c>
      <c r="J4" s="184">
        <v>0</v>
      </c>
      <c r="K4" s="184">
        <v>18.38</v>
      </c>
      <c r="L4" s="184">
        <f t="shared" si="0"/>
        <v>-18.38</v>
      </c>
      <c r="M4" s="262" t="s">
        <v>6841</v>
      </c>
    </row>
    <row r="5" spans="1:13">
      <c r="A5" s="181">
        <v>4</v>
      </c>
      <c r="B5" s="181" t="s">
        <v>5</v>
      </c>
      <c r="C5" s="181" t="s">
        <v>2402</v>
      </c>
      <c r="D5" s="182" t="s">
        <v>6845</v>
      </c>
      <c r="E5" s="263">
        <v>45900</v>
      </c>
      <c r="F5" s="259" t="s">
        <v>6846</v>
      </c>
      <c r="G5" s="183" t="s">
        <v>2402</v>
      </c>
      <c r="H5" s="184">
        <v>660</v>
      </c>
      <c r="I5" s="261">
        <v>0</v>
      </c>
      <c r="J5" s="184">
        <v>0</v>
      </c>
      <c r="K5" s="184">
        <v>660</v>
      </c>
      <c r="L5" s="184">
        <f t="shared" si="0"/>
        <v>-660</v>
      </c>
      <c r="M5" s="262" t="s">
        <v>6841</v>
      </c>
    </row>
    <row r="6" spans="1:13">
      <c r="A6" s="181">
        <v>5</v>
      </c>
      <c r="B6" s="181" t="s">
        <v>5</v>
      </c>
      <c r="C6" s="181" t="s">
        <v>2402</v>
      </c>
      <c r="D6" s="264" t="s">
        <v>187</v>
      </c>
      <c r="E6" s="258">
        <v>45901</v>
      </c>
      <c r="F6" s="259" t="s">
        <v>6843</v>
      </c>
      <c r="G6" s="183" t="s">
        <v>2402</v>
      </c>
      <c r="H6" s="184">
        <v>11.9</v>
      </c>
      <c r="I6" s="261">
        <v>0</v>
      </c>
      <c r="J6" s="184">
        <v>0</v>
      </c>
      <c r="K6" s="184">
        <v>11.9</v>
      </c>
      <c r="L6" s="184">
        <f t="shared" si="0"/>
        <v>-11.9</v>
      </c>
      <c r="M6" s="262" t="s">
        <v>6841</v>
      </c>
    </row>
    <row r="7" spans="1:13">
      <c r="A7" s="181">
        <v>6</v>
      </c>
      <c r="B7" s="181" t="s">
        <v>5</v>
      </c>
      <c r="C7" s="181" t="s">
        <v>2402</v>
      </c>
      <c r="D7" s="264" t="s">
        <v>187</v>
      </c>
      <c r="E7" s="263">
        <v>45916</v>
      </c>
      <c r="F7" s="259" t="s">
        <v>6843</v>
      </c>
      <c r="G7" s="183" t="s">
        <v>2402</v>
      </c>
      <c r="H7" s="184">
        <v>17.14</v>
      </c>
      <c r="I7" s="261">
        <v>0</v>
      </c>
      <c r="J7" s="184">
        <v>0</v>
      </c>
      <c r="K7" s="184">
        <v>17.14</v>
      </c>
      <c r="L7" s="184">
        <f t="shared" si="0"/>
        <v>-17.14</v>
      </c>
      <c r="M7" s="262" t="s">
        <v>6841</v>
      </c>
    </row>
    <row r="8" spans="1:13">
      <c r="A8" s="181">
        <v>7</v>
      </c>
      <c r="B8" s="181" t="s">
        <v>5</v>
      </c>
      <c r="C8" s="181" t="s">
        <v>2402</v>
      </c>
      <c r="D8" s="264" t="s">
        <v>177</v>
      </c>
      <c r="E8" s="263">
        <v>45916</v>
      </c>
      <c r="F8" s="259" t="s">
        <v>6843</v>
      </c>
      <c r="G8" s="183" t="s">
        <v>2402</v>
      </c>
      <c r="H8" s="184">
        <v>50.08</v>
      </c>
      <c r="I8" s="261">
        <v>0</v>
      </c>
      <c r="J8" s="184">
        <v>0</v>
      </c>
      <c r="K8" s="184">
        <v>50.08</v>
      </c>
      <c r="L8" s="184">
        <f t="shared" si="0"/>
        <v>-50.08</v>
      </c>
      <c r="M8" s="262" t="s">
        <v>6841</v>
      </c>
    </row>
    <row r="9" spans="1:13">
      <c r="A9" s="181">
        <v>8</v>
      </c>
      <c r="B9" s="181" t="s">
        <v>5</v>
      </c>
      <c r="C9" s="181" t="s">
        <v>2402</v>
      </c>
      <c r="D9" s="264" t="s">
        <v>200</v>
      </c>
      <c r="E9" s="263">
        <v>45920</v>
      </c>
      <c r="F9" s="259" t="s">
        <v>6843</v>
      </c>
      <c r="G9" s="183" t="s">
        <v>2402</v>
      </c>
      <c r="H9" s="184">
        <v>39.07</v>
      </c>
      <c r="I9" s="261">
        <v>0</v>
      </c>
      <c r="J9" s="184">
        <v>0</v>
      </c>
      <c r="K9" s="184">
        <v>39.07</v>
      </c>
      <c r="L9" s="184">
        <f t="shared" si="0"/>
        <v>-39.07</v>
      </c>
      <c r="M9" s="262" t="s">
        <v>6841</v>
      </c>
    </row>
    <row r="10" spans="1:13">
      <c r="A10" s="181">
        <v>9</v>
      </c>
      <c r="B10" s="181" t="s">
        <v>5</v>
      </c>
      <c r="C10" s="181" t="s">
        <v>2402</v>
      </c>
      <c r="D10" s="264" t="s">
        <v>6847</v>
      </c>
      <c r="E10" s="263">
        <v>45921</v>
      </c>
      <c r="F10" s="259" t="s">
        <v>10</v>
      </c>
      <c r="G10" s="183" t="s">
        <v>2402</v>
      </c>
      <c r="H10" s="184">
        <v>500.74</v>
      </c>
      <c r="I10" s="261">
        <v>0</v>
      </c>
      <c r="J10" s="184">
        <v>0</v>
      </c>
      <c r="K10" s="184">
        <v>500.74</v>
      </c>
      <c r="L10" s="184">
        <f t="shared" si="0"/>
        <v>-500.74</v>
      </c>
      <c r="M10" s="262" t="s">
        <v>6841</v>
      </c>
    </row>
    <row r="11" spans="1:13">
      <c r="A11" s="181">
        <v>10</v>
      </c>
      <c r="B11" s="181" t="s">
        <v>5</v>
      </c>
      <c r="C11" s="181" t="s">
        <v>2402</v>
      </c>
      <c r="D11" s="182" t="s">
        <v>6845</v>
      </c>
      <c r="E11" s="263">
        <v>45923</v>
      </c>
      <c r="F11" s="259" t="s">
        <v>6846</v>
      </c>
      <c r="G11" s="183" t="s">
        <v>2402</v>
      </c>
      <c r="H11" s="184">
        <v>704</v>
      </c>
      <c r="I11" s="261">
        <v>0</v>
      </c>
      <c r="J11" s="184">
        <v>0</v>
      </c>
      <c r="K11" s="184">
        <v>704</v>
      </c>
      <c r="L11" s="184">
        <f t="shared" si="0"/>
        <v>-704</v>
      </c>
      <c r="M11" s="262" t="s">
        <v>6841</v>
      </c>
    </row>
    <row r="12" spans="1:13">
      <c r="A12" s="181">
        <v>11</v>
      </c>
      <c r="B12" s="181" t="s">
        <v>5</v>
      </c>
      <c r="C12" s="181" t="s">
        <v>2402</v>
      </c>
      <c r="D12" s="182" t="s">
        <v>6845</v>
      </c>
      <c r="E12" s="263">
        <v>45933</v>
      </c>
      <c r="F12" s="259" t="s">
        <v>6846</v>
      </c>
      <c r="G12" s="183" t="s">
        <v>2402</v>
      </c>
      <c r="H12" s="184">
        <v>670</v>
      </c>
      <c r="I12" s="261">
        <v>0</v>
      </c>
      <c r="J12" s="184">
        <v>0</v>
      </c>
      <c r="K12" s="184">
        <v>670</v>
      </c>
      <c r="L12" s="184">
        <f t="shared" si="0"/>
        <v>-670</v>
      </c>
      <c r="M12" s="262" t="s">
        <v>6841</v>
      </c>
    </row>
    <row r="13" spans="1:13">
      <c r="A13" s="181">
        <v>12</v>
      </c>
      <c r="B13" s="181" t="s">
        <v>5</v>
      </c>
      <c r="C13" s="181" t="s">
        <v>2402</v>
      </c>
      <c r="D13" s="182" t="s">
        <v>6845</v>
      </c>
      <c r="E13" s="263">
        <v>45963</v>
      </c>
      <c r="F13" s="259" t="s">
        <v>6846</v>
      </c>
      <c r="G13" s="183" t="s">
        <v>2402</v>
      </c>
      <c r="H13" s="184">
        <v>750</v>
      </c>
      <c r="I13" s="265">
        <v>0</v>
      </c>
      <c r="J13" s="192">
        <v>0</v>
      </c>
      <c r="K13" s="184">
        <v>750</v>
      </c>
      <c r="L13" s="184">
        <f t="shared" si="0"/>
        <v>-750</v>
      </c>
      <c r="M13" s="262" t="s">
        <v>6841</v>
      </c>
    </row>
    <row r="14" spans="1:13">
      <c r="A14" s="181">
        <v>13</v>
      </c>
      <c r="B14" s="181" t="s">
        <v>5</v>
      </c>
      <c r="C14" s="181" t="s">
        <v>2402</v>
      </c>
      <c r="D14" s="182" t="s">
        <v>6845</v>
      </c>
      <c r="E14" s="263">
        <v>45988</v>
      </c>
      <c r="F14" s="259" t="s">
        <v>6846</v>
      </c>
      <c r="G14" s="183" t="s">
        <v>2402</v>
      </c>
      <c r="H14" s="200">
        <v>10</v>
      </c>
      <c r="I14" s="265">
        <v>0</v>
      </c>
      <c r="J14" s="192">
        <v>0</v>
      </c>
      <c r="K14" s="192">
        <v>10</v>
      </c>
      <c r="L14" s="192">
        <f t="shared" si="0"/>
        <v>-10</v>
      </c>
      <c r="M14" s="181" t="s">
        <v>6841</v>
      </c>
    </row>
  </sheetData>
  <pageMargins left="0.7" right="0.7" top="0.75" bottom="0.75" header="0.3" footer="0.3"/>
  <legacyDrawing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tabColor rgb="FFF9CB9C"/>
    <outlinePr summaryBelow="0" summaryRight="0"/>
  </sheetPr>
  <dimension ref="A1:X1034"/>
  <sheetViews>
    <sheetView workbookViewId="0"/>
  </sheetViews>
  <sheetFormatPr defaultColWidth="12.5703125" defaultRowHeight="15.75" customHeight="1"/>
  <cols>
    <col min="1" max="1" width="4.42578125" customWidth="1"/>
    <col min="2" max="2" width="8.7109375" customWidth="1"/>
    <col min="3" max="3" width="8.5703125" customWidth="1"/>
    <col min="4" max="4" width="36.42578125" customWidth="1"/>
    <col min="5" max="5" width="10.5703125" customWidth="1"/>
    <col min="6" max="6" width="7.7109375" customWidth="1"/>
    <col min="7" max="7" width="9.7109375" customWidth="1"/>
    <col min="8" max="8" width="13" bestFit="1" customWidth="1"/>
    <col min="9" max="11" width="11" customWidth="1"/>
    <col min="13" max="13" width="7.7109375" customWidth="1"/>
  </cols>
  <sheetData>
    <row r="1" spans="1:24" ht="24.75" customHeight="1">
      <c r="A1" s="179" t="s">
        <v>0</v>
      </c>
      <c r="B1" s="266" t="s">
        <v>6833</v>
      </c>
      <c r="C1" s="266" t="s">
        <v>857</v>
      </c>
      <c r="D1" s="267" t="s">
        <v>2394</v>
      </c>
      <c r="E1" s="266" t="s">
        <v>854</v>
      </c>
      <c r="F1" s="179" t="s">
        <v>3</v>
      </c>
      <c r="G1" s="179" t="s">
        <v>2398</v>
      </c>
      <c r="H1" s="268" t="s">
        <v>6834</v>
      </c>
      <c r="I1" s="179" t="s">
        <v>6835</v>
      </c>
      <c r="J1" s="179" t="s">
        <v>6836</v>
      </c>
      <c r="K1" s="179" t="s">
        <v>6837</v>
      </c>
      <c r="L1" s="179" t="s">
        <v>6838</v>
      </c>
      <c r="M1" s="179" t="s">
        <v>2397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2.75">
      <c r="A2" s="269">
        <v>1</v>
      </c>
      <c r="B2" s="270" t="s">
        <v>6848</v>
      </c>
      <c r="C2" s="270" t="s">
        <v>6849</v>
      </c>
      <c r="D2" s="271" t="s">
        <v>6850</v>
      </c>
      <c r="E2" s="272">
        <v>45555</v>
      </c>
      <c r="F2" s="269" t="s">
        <v>2402</v>
      </c>
      <c r="G2" s="269" t="s">
        <v>2402</v>
      </c>
      <c r="H2" s="273">
        <v>1500</v>
      </c>
      <c r="I2" s="273">
        <v>0</v>
      </c>
      <c r="J2" s="274">
        <v>0</v>
      </c>
      <c r="K2" s="274">
        <f t="shared" ref="K2:K14" si="0">H2/7.21</f>
        <v>208.04438280166437</v>
      </c>
      <c r="L2" s="274">
        <f t="shared" ref="L2:L48" si="1">J2-K2</f>
        <v>-208.04438280166437</v>
      </c>
      <c r="M2" s="269" t="s">
        <v>6841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3" spans="1:24" ht="12.75">
      <c r="A3" s="275">
        <v>2</v>
      </c>
      <c r="B3" s="276" t="s">
        <v>6848</v>
      </c>
      <c r="C3" s="276" t="s">
        <v>6849</v>
      </c>
      <c r="D3" s="277" t="s">
        <v>6851</v>
      </c>
      <c r="E3" s="278">
        <v>45598</v>
      </c>
      <c r="F3" s="275" t="s">
        <v>2402</v>
      </c>
      <c r="G3" s="275" t="s">
        <v>2402</v>
      </c>
      <c r="H3" s="279">
        <v>1500</v>
      </c>
      <c r="I3" s="279">
        <v>0</v>
      </c>
      <c r="J3" s="280">
        <v>0</v>
      </c>
      <c r="K3" s="280">
        <f t="shared" si="0"/>
        <v>208.04438280166437</v>
      </c>
      <c r="L3" s="280">
        <f t="shared" si="1"/>
        <v>-208.04438280166437</v>
      </c>
      <c r="M3" s="275" t="s">
        <v>6841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</row>
    <row r="4" spans="1:24" ht="12.75">
      <c r="A4" s="269">
        <v>3</v>
      </c>
      <c r="B4" s="270" t="s">
        <v>6848</v>
      </c>
      <c r="C4" s="270" t="s">
        <v>6849</v>
      </c>
      <c r="D4" s="271" t="s">
        <v>6852</v>
      </c>
      <c r="E4" s="272">
        <v>45621</v>
      </c>
      <c r="F4" s="269" t="s">
        <v>2402</v>
      </c>
      <c r="G4" s="269" t="s">
        <v>2402</v>
      </c>
      <c r="H4" s="273">
        <v>1800</v>
      </c>
      <c r="I4" s="273">
        <v>0</v>
      </c>
      <c r="J4" s="274">
        <v>0</v>
      </c>
      <c r="K4" s="274">
        <f t="shared" si="0"/>
        <v>249.65325936199721</v>
      </c>
      <c r="L4" s="274">
        <f t="shared" si="1"/>
        <v>-249.65325936199721</v>
      </c>
      <c r="M4" s="269" t="s">
        <v>6841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2.75">
      <c r="A5" s="275">
        <v>4</v>
      </c>
      <c r="B5" s="281" t="s">
        <v>6853</v>
      </c>
      <c r="C5" s="276" t="s">
        <v>6854</v>
      </c>
      <c r="D5" s="277" t="s">
        <v>6855</v>
      </c>
      <c r="E5" s="278">
        <v>45421</v>
      </c>
      <c r="F5" s="275" t="s">
        <v>2402</v>
      </c>
      <c r="G5" s="282" t="s">
        <v>2402</v>
      </c>
      <c r="H5" s="279">
        <v>17250</v>
      </c>
      <c r="I5" s="279">
        <v>0</v>
      </c>
      <c r="J5" s="280">
        <v>0</v>
      </c>
      <c r="K5" s="280">
        <f t="shared" si="0"/>
        <v>2392.5104022191399</v>
      </c>
      <c r="L5" s="280">
        <f t="shared" si="1"/>
        <v>-2392.5104022191399</v>
      </c>
      <c r="M5" s="275" t="s">
        <v>6841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4" ht="12.75">
      <c r="A6" s="269">
        <v>5</v>
      </c>
      <c r="B6" s="283" t="s">
        <v>6853</v>
      </c>
      <c r="C6" s="270" t="s">
        <v>6856</v>
      </c>
      <c r="D6" s="271" t="s">
        <v>6857</v>
      </c>
      <c r="E6" s="272">
        <v>45434</v>
      </c>
      <c r="F6" s="269" t="s">
        <v>2402</v>
      </c>
      <c r="G6" s="284" t="s">
        <v>2402</v>
      </c>
      <c r="H6" s="273">
        <v>988</v>
      </c>
      <c r="I6" s="273">
        <v>0</v>
      </c>
      <c r="J6" s="274">
        <v>0</v>
      </c>
      <c r="K6" s="274">
        <f t="shared" si="0"/>
        <v>137.03190013869624</v>
      </c>
      <c r="L6" s="274">
        <f t="shared" si="1"/>
        <v>-137.03190013869624</v>
      </c>
      <c r="M6" s="269" t="s">
        <v>6841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4" ht="12.75">
      <c r="A7" s="275">
        <v>6</v>
      </c>
      <c r="B7" s="281" t="s">
        <v>6853</v>
      </c>
      <c r="C7" s="276" t="s">
        <v>6858</v>
      </c>
      <c r="D7" s="277" t="s">
        <v>6859</v>
      </c>
      <c r="E7" s="278">
        <v>45460</v>
      </c>
      <c r="F7" s="275" t="s">
        <v>2402</v>
      </c>
      <c r="G7" s="282" t="s">
        <v>2402</v>
      </c>
      <c r="H7" s="279">
        <v>50</v>
      </c>
      <c r="I7" s="279">
        <v>0</v>
      </c>
      <c r="J7" s="280">
        <v>0</v>
      </c>
      <c r="K7" s="280">
        <f t="shared" si="0"/>
        <v>6.934812760055479</v>
      </c>
      <c r="L7" s="280">
        <f t="shared" si="1"/>
        <v>-6.934812760055479</v>
      </c>
      <c r="M7" s="275" t="s">
        <v>6841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ht="12.75" hidden="1">
      <c r="A8" s="269">
        <v>7</v>
      </c>
      <c r="B8" s="283" t="s">
        <v>6853</v>
      </c>
      <c r="C8" s="270" t="s">
        <v>6858</v>
      </c>
      <c r="D8" s="271" t="s">
        <v>6859</v>
      </c>
      <c r="E8" s="272">
        <v>45460</v>
      </c>
      <c r="F8" s="269" t="s">
        <v>2400</v>
      </c>
      <c r="G8" s="284" t="s">
        <v>2400</v>
      </c>
      <c r="H8" s="273">
        <v>100</v>
      </c>
      <c r="I8" s="273">
        <v>0</v>
      </c>
      <c r="J8" s="274">
        <v>0</v>
      </c>
      <c r="K8" s="274">
        <f t="shared" si="0"/>
        <v>13.869625520110958</v>
      </c>
      <c r="L8" s="274">
        <f t="shared" si="1"/>
        <v>-13.869625520110958</v>
      </c>
      <c r="M8" s="269" t="s">
        <v>6841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4" ht="12.75" hidden="1">
      <c r="A9" s="275">
        <v>8</v>
      </c>
      <c r="B9" s="281" t="s">
        <v>6853</v>
      </c>
      <c r="C9" s="276" t="s">
        <v>6854</v>
      </c>
      <c r="D9" s="277" t="s">
        <v>6860</v>
      </c>
      <c r="E9" s="278">
        <v>45615</v>
      </c>
      <c r="F9" s="275" t="s">
        <v>2402</v>
      </c>
      <c r="G9" s="282" t="s">
        <v>2400</v>
      </c>
      <c r="H9" s="279">
        <v>7020</v>
      </c>
      <c r="I9" s="279">
        <v>0</v>
      </c>
      <c r="J9" s="280">
        <v>0</v>
      </c>
      <c r="K9" s="280">
        <f t="shared" si="0"/>
        <v>973.64771151178923</v>
      </c>
      <c r="L9" s="280">
        <f t="shared" si="1"/>
        <v>-973.64771151178923</v>
      </c>
      <c r="M9" s="275" t="s">
        <v>6841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</row>
    <row r="10" spans="1:24" ht="12.75" hidden="1">
      <c r="A10" s="269">
        <v>9</v>
      </c>
      <c r="B10" s="283" t="s">
        <v>6853</v>
      </c>
      <c r="C10" s="270" t="s">
        <v>6854</v>
      </c>
      <c r="D10" s="271" t="s">
        <v>6861</v>
      </c>
      <c r="E10" s="272">
        <v>45615</v>
      </c>
      <c r="F10" s="269" t="s">
        <v>2402</v>
      </c>
      <c r="G10" s="284" t="s">
        <v>2400</v>
      </c>
      <c r="H10" s="273">
        <v>2565</v>
      </c>
      <c r="I10" s="273">
        <v>0</v>
      </c>
      <c r="J10" s="274">
        <v>0</v>
      </c>
      <c r="K10" s="274">
        <f t="shared" si="0"/>
        <v>355.75589459084603</v>
      </c>
      <c r="L10" s="274">
        <f t="shared" si="1"/>
        <v>-355.75589459084603</v>
      </c>
      <c r="M10" s="269" t="s">
        <v>6841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1:24" ht="12.75">
      <c r="A11" s="275">
        <v>10</v>
      </c>
      <c r="B11" s="281" t="s">
        <v>6853</v>
      </c>
      <c r="C11" s="276" t="s">
        <v>6854</v>
      </c>
      <c r="D11" s="277" t="s">
        <v>6862</v>
      </c>
      <c r="E11" s="278">
        <v>45616</v>
      </c>
      <c r="F11" s="275" t="s">
        <v>2402</v>
      </c>
      <c r="G11" s="282" t="s">
        <v>2402</v>
      </c>
      <c r="H11" s="279">
        <v>200</v>
      </c>
      <c r="I11" s="279">
        <v>0</v>
      </c>
      <c r="J11" s="280">
        <v>0</v>
      </c>
      <c r="K11" s="280">
        <f t="shared" si="0"/>
        <v>27.739251040221916</v>
      </c>
      <c r="L11" s="280">
        <f t="shared" si="1"/>
        <v>-27.739251040221916</v>
      </c>
      <c r="M11" s="275" t="s">
        <v>6841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4" ht="12.75">
      <c r="A12" s="269">
        <v>11</v>
      </c>
      <c r="B12" s="283" t="s">
        <v>6853</v>
      </c>
      <c r="C12" s="270" t="s">
        <v>6854</v>
      </c>
      <c r="D12" s="271" t="s">
        <v>6863</v>
      </c>
      <c r="E12" s="272">
        <v>45618</v>
      </c>
      <c r="F12" s="269" t="s">
        <v>2402</v>
      </c>
      <c r="G12" s="284" t="s">
        <v>2402</v>
      </c>
      <c r="H12" s="273">
        <v>373</v>
      </c>
      <c r="I12" s="273">
        <v>0</v>
      </c>
      <c r="J12" s="274">
        <v>0</v>
      </c>
      <c r="K12" s="274">
        <f t="shared" si="0"/>
        <v>51.73370319001387</v>
      </c>
      <c r="L12" s="274">
        <f t="shared" si="1"/>
        <v>-51.73370319001387</v>
      </c>
      <c r="M12" s="269" t="s">
        <v>6841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4" ht="12.75" hidden="1">
      <c r="A13" s="275">
        <v>12</v>
      </c>
      <c r="B13" s="281" t="s">
        <v>6853</v>
      </c>
      <c r="C13" s="276" t="s">
        <v>6854</v>
      </c>
      <c r="D13" s="277" t="s">
        <v>6864</v>
      </c>
      <c r="E13" s="278">
        <v>45615</v>
      </c>
      <c r="F13" s="275" t="s">
        <v>2400</v>
      </c>
      <c r="G13" s="282" t="s">
        <v>2400</v>
      </c>
      <c r="H13" s="279">
        <v>350</v>
      </c>
      <c r="I13" s="279">
        <v>0</v>
      </c>
      <c r="J13" s="280">
        <v>0</v>
      </c>
      <c r="K13" s="280">
        <f t="shared" si="0"/>
        <v>48.543689320388353</v>
      </c>
      <c r="L13" s="280">
        <f t="shared" si="1"/>
        <v>-48.543689320388353</v>
      </c>
      <c r="M13" s="275" t="s">
        <v>6841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4" ht="12.75" hidden="1">
      <c r="A14" s="269">
        <v>13</v>
      </c>
      <c r="B14" s="283" t="s">
        <v>6853</v>
      </c>
      <c r="C14" s="270" t="s">
        <v>6856</v>
      </c>
      <c r="D14" s="271" t="s">
        <v>6865</v>
      </c>
      <c r="E14" s="272">
        <v>45615</v>
      </c>
      <c r="F14" s="269" t="s">
        <v>2400</v>
      </c>
      <c r="G14" s="284" t="s">
        <v>2400</v>
      </c>
      <c r="H14" s="273">
        <v>759</v>
      </c>
      <c r="I14" s="273">
        <v>0</v>
      </c>
      <c r="J14" s="274">
        <v>0</v>
      </c>
      <c r="K14" s="274">
        <f t="shared" si="0"/>
        <v>105.27045769764216</v>
      </c>
      <c r="L14" s="274">
        <f t="shared" si="1"/>
        <v>-105.27045769764216</v>
      </c>
      <c r="M14" s="269" t="s">
        <v>6841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12.75">
      <c r="A15" s="275">
        <v>14</v>
      </c>
      <c r="B15" s="276" t="s">
        <v>6848</v>
      </c>
      <c r="C15" s="276" t="s">
        <v>6849</v>
      </c>
      <c r="D15" s="277" t="s">
        <v>6866</v>
      </c>
      <c r="E15" s="278">
        <v>45682</v>
      </c>
      <c r="F15" s="275" t="s">
        <v>2402</v>
      </c>
      <c r="G15" s="275" t="s">
        <v>2402</v>
      </c>
      <c r="H15" s="279">
        <v>1800</v>
      </c>
      <c r="I15" s="279">
        <v>0</v>
      </c>
      <c r="J15" s="280">
        <v>0</v>
      </c>
      <c r="K15" s="280">
        <v>248.48</v>
      </c>
      <c r="L15" s="280">
        <f t="shared" si="1"/>
        <v>-248.48</v>
      </c>
      <c r="M15" s="275" t="s">
        <v>6841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ht="12.75">
      <c r="A16" s="269">
        <v>15</v>
      </c>
      <c r="B16" s="270" t="s">
        <v>6848</v>
      </c>
      <c r="C16" s="270" t="s">
        <v>6849</v>
      </c>
      <c r="D16" s="271" t="s">
        <v>6867</v>
      </c>
      <c r="E16" s="272">
        <v>45699</v>
      </c>
      <c r="F16" s="269" t="s">
        <v>2402</v>
      </c>
      <c r="G16" s="269" t="s">
        <v>2402</v>
      </c>
      <c r="H16" s="273">
        <v>1500</v>
      </c>
      <c r="I16" s="273">
        <v>0</v>
      </c>
      <c r="J16" s="274">
        <v>0</v>
      </c>
      <c r="K16" s="274">
        <v>205.33</v>
      </c>
      <c r="L16" s="274">
        <f t="shared" si="1"/>
        <v>-205.33</v>
      </c>
      <c r="M16" s="269" t="s">
        <v>6841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12.75">
      <c r="A17" s="275">
        <v>16</v>
      </c>
      <c r="B17" s="276" t="s">
        <v>6848</v>
      </c>
      <c r="C17" s="276" t="s">
        <v>6849</v>
      </c>
      <c r="D17" s="277" t="s">
        <v>6868</v>
      </c>
      <c r="E17" s="278">
        <v>45712</v>
      </c>
      <c r="F17" s="275" t="s">
        <v>2402</v>
      </c>
      <c r="G17" s="275" t="s">
        <v>2402</v>
      </c>
      <c r="H17" s="279">
        <v>1800</v>
      </c>
      <c r="I17" s="279">
        <v>0</v>
      </c>
      <c r="J17" s="280">
        <v>0</v>
      </c>
      <c r="K17" s="280">
        <v>248.69</v>
      </c>
      <c r="L17" s="280">
        <f t="shared" si="1"/>
        <v>-248.69</v>
      </c>
      <c r="M17" s="275" t="s">
        <v>6841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12.75">
      <c r="A18" s="269">
        <v>17</v>
      </c>
      <c r="B18" s="270" t="s">
        <v>6848</v>
      </c>
      <c r="C18" s="270" t="s">
        <v>6849</v>
      </c>
      <c r="D18" s="271" t="s">
        <v>6869</v>
      </c>
      <c r="E18" s="272">
        <v>45720</v>
      </c>
      <c r="F18" s="269" t="s">
        <v>2402</v>
      </c>
      <c r="G18" s="269" t="s">
        <v>2402</v>
      </c>
      <c r="H18" s="273">
        <v>866</v>
      </c>
      <c r="I18" s="273">
        <v>0</v>
      </c>
      <c r="J18" s="274">
        <v>0</v>
      </c>
      <c r="K18" s="274">
        <v>119.19</v>
      </c>
      <c r="L18" s="274">
        <f t="shared" si="1"/>
        <v>-119.19</v>
      </c>
      <c r="M18" s="269" t="s">
        <v>6841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spans="1:24" ht="12.75">
      <c r="A19" s="275">
        <v>18</v>
      </c>
      <c r="B19" s="276" t="s">
        <v>6848</v>
      </c>
      <c r="C19" s="276" t="s">
        <v>6849</v>
      </c>
      <c r="D19" s="277" t="s">
        <v>6870</v>
      </c>
      <c r="E19" s="278">
        <v>45728</v>
      </c>
      <c r="F19" s="275" t="s">
        <v>2402</v>
      </c>
      <c r="G19" s="275" t="s">
        <v>2402</v>
      </c>
      <c r="H19" s="279">
        <v>1500</v>
      </c>
      <c r="I19" s="279">
        <v>0</v>
      </c>
      <c r="J19" s="280">
        <v>0</v>
      </c>
      <c r="K19" s="280">
        <v>207.09</v>
      </c>
      <c r="L19" s="280">
        <f t="shared" si="1"/>
        <v>-207.09</v>
      </c>
      <c r="M19" s="275" t="s">
        <v>6841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spans="1:24" ht="12.75" hidden="1">
      <c r="A20" s="269">
        <v>19</v>
      </c>
      <c r="B20" s="283" t="s">
        <v>6853</v>
      </c>
      <c r="C20" s="270" t="s">
        <v>6854</v>
      </c>
      <c r="D20" s="271" t="s">
        <v>6871</v>
      </c>
      <c r="E20" s="272">
        <v>45730</v>
      </c>
      <c r="F20" s="269" t="s">
        <v>2400</v>
      </c>
      <c r="G20" s="284" t="s">
        <v>2400</v>
      </c>
      <c r="H20" s="273">
        <v>10393</v>
      </c>
      <c r="I20" s="273">
        <v>0</v>
      </c>
      <c r="J20" s="274">
        <v>0</v>
      </c>
      <c r="K20" s="274">
        <f t="shared" ref="K20:K21" si="2">H20/7.21</f>
        <v>1441.4701803051319</v>
      </c>
      <c r="L20" s="274">
        <f t="shared" si="1"/>
        <v>-1441.4701803051319</v>
      </c>
      <c r="M20" s="269" t="s">
        <v>6841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spans="1:24" ht="25.5">
      <c r="A21" s="275">
        <v>20</v>
      </c>
      <c r="B21" s="281" t="s">
        <v>6853</v>
      </c>
      <c r="C21" s="276" t="s">
        <v>6854</v>
      </c>
      <c r="D21" s="277" t="s">
        <v>6872</v>
      </c>
      <c r="E21" s="278">
        <v>45734</v>
      </c>
      <c r="F21" s="275" t="s">
        <v>2402</v>
      </c>
      <c r="G21" s="282" t="s">
        <v>2402</v>
      </c>
      <c r="H21" s="279">
        <v>5270</v>
      </c>
      <c r="I21" s="279">
        <v>0</v>
      </c>
      <c r="J21" s="280">
        <v>0</v>
      </c>
      <c r="K21" s="280">
        <f t="shared" si="2"/>
        <v>730.92926490984746</v>
      </c>
      <c r="L21" s="280">
        <f t="shared" si="1"/>
        <v>-730.92926490984746</v>
      </c>
      <c r="M21" s="275" t="s">
        <v>6841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spans="1:24" ht="12.75">
      <c r="A22" s="269">
        <v>21</v>
      </c>
      <c r="B22" s="270" t="s">
        <v>6848</v>
      </c>
      <c r="C22" s="270" t="s">
        <v>6849</v>
      </c>
      <c r="D22" s="271" t="s">
        <v>6873</v>
      </c>
      <c r="E22" s="272">
        <v>45741</v>
      </c>
      <c r="F22" s="269" t="s">
        <v>2402</v>
      </c>
      <c r="G22" s="269" t="s">
        <v>2402</v>
      </c>
      <c r="H22" s="273">
        <v>3100</v>
      </c>
      <c r="I22" s="273">
        <v>0</v>
      </c>
      <c r="J22" s="274">
        <v>0</v>
      </c>
      <c r="K22" s="274">
        <v>426.81</v>
      </c>
      <c r="L22" s="274">
        <f t="shared" si="1"/>
        <v>-426.81</v>
      </c>
      <c r="M22" s="269" t="s">
        <v>6841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spans="1:24" ht="12.75">
      <c r="A23" s="275">
        <v>22</v>
      </c>
      <c r="B23" s="281" t="s">
        <v>6874</v>
      </c>
      <c r="C23" s="281" t="s">
        <v>6875</v>
      </c>
      <c r="D23" s="285" t="s">
        <v>6876</v>
      </c>
      <c r="E23" s="286">
        <v>45747</v>
      </c>
      <c r="F23" s="275" t="s">
        <v>2402</v>
      </c>
      <c r="G23" s="275" t="s">
        <v>2402</v>
      </c>
      <c r="H23" s="279">
        <v>580</v>
      </c>
      <c r="I23" s="279">
        <v>0</v>
      </c>
      <c r="J23" s="280">
        <v>0</v>
      </c>
      <c r="K23" s="280">
        <v>80</v>
      </c>
      <c r="L23" s="280">
        <f t="shared" si="1"/>
        <v>-80</v>
      </c>
      <c r="M23" s="275" t="s">
        <v>6841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spans="1:24" ht="12.75">
      <c r="A24" s="269">
        <v>23</v>
      </c>
      <c r="B24" s="270" t="s">
        <v>6848</v>
      </c>
      <c r="C24" s="270" t="s">
        <v>6849</v>
      </c>
      <c r="D24" s="271" t="s">
        <v>6877</v>
      </c>
      <c r="E24" s="272">
        <v>45758</v>
      </c>
      <c r="F24" s="269" t="s">
        <v>2402</v>
      </c>
      <c r="G24" s="269" t="s">
        <v>2402</v>
      </c>
      <c r="H24" s="273">
        <v>1500</v>
      </c>
      <c r="I24" s="273">
        <v>0</v>
      </c>
      <c r="J24" s="274">
        <v>0</v>
      </c>
      <c r="K24" s="274">
        <v>206.64</v>
      </c>
      <c r="L24" s="274">
        <f t="shared" si="1"/>
        <v>-206.64</v>
      </c>
      <c r="M24" s="269" t="s">
        <v>6841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spans="1:24" ht="12.75">
      <c r="A25" s="275">
        <v>24</v>
      </c>
      <c r="B25" s="276" t="s">
        <v>6848</v>
      </c>
      <c r="C25" s="276" t="s">
        <v>6849</v>
      </c>
      <c r="D25" s="287" t="s">
        <v>6878</v>
      </c>
      <c r="E25" s="288">
        <v>45772</v>
      </c>
      <c r="F25" s="275" t="s">
        <v>2402</v>
      </c>
      <c r="G25" s="275" t="s">
        <v>2402</v>
      </c>
      <c r="H25" s="279">
        <v>3100</v>
      </c>
      <c r="I25" s="279">
        <v>0</v>
      </c>
      <c r="J25" s="280">
        <v>0</v>
      </c>
      <c r="K25" s="280">
        <v>426.29</v>
      </c>
      <c r="L25" s="280">
        <f t="shared" si="1"/>
        <v>-426.29</v>
      </c>
      <c r="M25" s="275" t="s">
        <v>6841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spans="1:24" ht="12.75">
      <c r="A26" s="269">
        <v>25</v>
      </c>
      <c r="B26" s="270" t="s">
        <v>6848</v>
      </c>
      <c r="C26" s="270" t="s">
        <v>6849</v>
      </c>
      <c r="D26" s="271" t="s">
        <v>6877</v>
      </c>
      <c r="E26" s="272">
        <v>45790</v>
      </c>
      <c r="F26" s="269" t="s">
        <v>2402</v>
      </c>
      <c r="G26" s="269" t="s">
        <v>2402</v>
      </c>
      <c r="H26" s="273">
        <v>1500</v>
      </c>
      <c r="I26" s="273">
        <v>0</v>
      </c>
      <c r="J26" s="274">
        <v>0</v>
      </c>
      <c r="K26" s="274">
        <v>207.53</v>
      </c>
      <c r="L26" s="274">
        <f t="shared" si="1"/>
        <v>-207.53</v>
      </c>
      <c r="M26" s="269" t="s">
        <v>6841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spans="1:24" ht="12.75" hidden="1">
      <c r="A27" s="275">
        <v>26</v>
      </c>
      <c r="B27" s="276" t="s">
        <v>6848</v>
      </c>
      <c r="C27" s="289" t="s">
        <v>6879</v>
      </c>
      <c r="D27" s="287" t="s">
        <v>6880</v>
      </c>
      <c r="E27" s="290">
        <v>45615</v>
      </c>
      <c r="F27" s="291" t="s">
        <v>2400</v>
      </c>
      <c r="G27" s="291" t="s">
        <v>2400</v>
      </c>
      <c r="H27" s="292">
        <v>1999</v>
      </c>
      <c r="I27" s="279">
        <v>0</v>
      </c>
      <c r="J27" s="280">
        <v>0</v>
      </c>
      <c r="K27" s="280">
        <v>276.56</v>
      </c>
      <c r="L27" s="280">
        <f t="shared" si="1"/>
        <v>-276.56</v>
      </c>
      <c r="M27" s="275" t="s">
        <v>6841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spans="1:24" ht="12.75">
      <c r="A28" s="269">
        <v>27</v>
      </c>
      <c r="B28" s="270" t="s">
        <v>6848</v>
      </c>
      <c r="C28" s="270" t="s">
        <v>6849</v>
      </c>
      <c r="D28" s="271" t="s">
        <v>6881</v>
      </c>
      <c r="E28" s="272">
        <v>45802</v>
      </c>
      <c r="F28" s="269" t="s">
        <v>2402</v>
      </c>
      <c r="G28" s="269" t="s">
        <v>2402</v>
      </c>
      <c r="H28" s="273">
        <v>3100</v>
      </c>
      <c r="I28" s="273">
        <v>0</v>
      </c>
      <c r="J28" s="274">
        <v>0</v>
      </c>
      <c r="K28" s="274">
        <v>432.36</v>
      </c>
      <c r="L28" s="274">
        <f t="shared" si="1"/>
        <v>-432.36</v>
      </c>
      <c r="M28" s="269" t="s">
        <v>6841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ht="12.75">
      <c r="A29" s="275">
        <v>28</v>
      </c>
      <c r="B29" s="281" t="s">
        <v>6853</v>
      </c>
      <c r="C29" s="276" t="s">
        <v>6854</v>
      </c>
      <c r="D29" s="277" t="s">
        <v>6882</v>
      </c>
      <c r="E29" s="278">
        <v>45806</v>
      </c>
      <c r="F29" s="275" t="s">
        <v>2402</v>
      </c>
      <c r="G29" s="282" t="s">
        <v>2402</v>
      </c>
      <c r="H29" s="279">
        <v>2058</v>
      </c>
      <c r="I29" s="279">
        <v>0</v>
      </c>
      <c r="J29" s="280">
        <v>0</v>
      </c>
      <c r="K29" s="280">
        <f t="shared" ref="K29:K32" si="3">H29/7.21</f>
        <v>285.43689320388347</v>
      </c>
      <c r="L29" s="280">
        <f t="shared" si="1"/>
        <v>-285.43689320388347</v>
      </c>
      <c r="M29" s="275" t="s">
        <v>6841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spans="1:24" ht="12.75">
      <c r="A30" s="269">
        <v>29</v>
      </c>
      <c r="B30" s="283" t="s">
        <v>6853</v>
      </c>
      <c r="C30" s="270" t="s">
        <v>6854</v>
      </c>
      <c r="D30" s="271" t="s">
        <v>6883</v>
      </c>
      <c r="E30" s="272">
        <v>45819</v>
      </c>
      <c r="F30" s="269" t="s">
        <v>2402</v>
      </c>
      <c r="G30" s="284" t="s">
        <v>2402</v>
      </c>
      <c r="H30" s="273">
        <v>3100</v>
      </c>
      <c r="I30" s="273">
        <v>0</v>
      </c>
      <c r="J30" s="274">
        <v>0</v>
      </c>
      <c r="K30" s="274">
        <f t="shared" si="3"/>
        <v>429.9583911234397</v>
      </c>
      <c r="L30" s="274">
        <f t="shared" si="1"/>
        <v>-429.9583911234397</v>
      </c>
      <c r="M30" s="269" t="s">
        <v>6841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spans="1:24" ht="12.75">
      <c r="A31" s="275">
        <v>30</v>
      </c>
      <c r="B31" s="276" t="s">
        <v>6848</v>
      </c>
      <c r="C31" s="276" t="s">
        <v>6849</v>
      </c>
      <c r="D31" s="277" t="s">
        <v>6884</v>
      </c>
      <c r="E31" s="278">
        <v>45819</v>
      </c>
      <c r="F31" s="275" t="s">
        <v>2402</v>
      </c>
      <c r="G31" s="275" t="s">
        <v>2402</v>
      </c>
      <c r="H31" s="279">
        <v>1500</v>
      </c>
      <c r="I31" s="279">
        <v>0</v>
      </c>
      <c r="J31" s="280">
        <v>0</v>
      </c>
      <c r="K31" s="280">
        <f t="shared" si="3"/>
        <v>208.04438280166437</v>
      </c>
      <c r="L31" s="280">
        <f t="shared" si="1"/>
        <v>-208.04438280166437</v>
      </c>
      <c r="M31" s="275" t="s">
        <v>6841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spans="1:24" ht="12.75">
      <c r="A32" s="269">
        <v>31</v>
      </c>
      <c r="B32" s="283" t="s">
        <v>6853</v>
      </c>
      <c r="C32" s="270" t="s">
        <v>6854</v>
      </c>
      <c r="D32" s="271" t="s">
        <v>6885</v>
      </c>
      <c r="E32" s="272">
        <v>45830</v>
      </c>
      <c r="F32" s="269" t="s">
        <v>2402</v>
      </c>
      <c r="G32" s="284" t="s">
        <v>2402</v>
      </c>
      <c r="H32" s="273">
        <v>21980</v>
      </c>
      <c r="I32" s="273">
        <v>0</v>
      </c>
      <c r="J32" s="274">
        <v>0</v>
      </c>
      <c r="K32" s="274">
        <f t="shared" si="3"/>
        <v>3048.5436893203882</v>
      </c>
      <c r="L32" s="274">
        <f t="shared" si="1"/>
        <v>-3048.5436893203882</v>
      </c>
      <c r="M32" s="269" t="s">
        <v>6841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spans="1:24" ht="12.75">
      <c r="A33" s="275">
        <v>32</v>
      </c>
      <c r="B33" s="289" t="s">
        <v>6848</v>
      </c>
      <c r="C33" s="289" t="s">
        <v>6849</v>
      </c>
      <c r="D33" s="287" t="s">
        <v>6886</v>
      </c>
      <c r="E33" s="278">
        <v>45832</v>
      </c>
      <c r="F33" s="275" t="s">
        <v>2402</v>
      </c>
      <c r="G33" s="291" t="s">
        <v>2402</v>
      </c>
      <c r="H33" s="292">
        <v>3100</v>
      </c>
      <c r="I33" s="292">
        <v>0</v>
      </c>
      <c r="J33" s="293">
        <v>0</v>
      </c>
      <c r="K33" s="293">
        <v>426.29</v>
      </c>
      <c r="L33" s="280">
        <f t="shared" si="1"/>
        <v>-426.29</v>
      </c>
      <c r="M33" s="275" t="s">
        <v>6841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spans="1:24" ht="12.75">
      <c r="A34" s="269">
        <v>33</v>
      </c>
      <c r="B34" s="294" t="s">
        <v>6848</v>
      </c>
      <c r="C34" s="294" t="s">
        <v>6849</v>
      </c>
      <c r="D34" s="295" t="s">
        <v>6887</v>
      </c>
      <c r="E34" s="272">
        <v>45863</v>
      </c>
      <c r="F34" s="269" t="s">
        <v>2402</v>
      </c>
      <c r="G34" s="296" t="s">
        <v>2402</v>
      </c>
      <c r="H34" s="297">
        <v>5810</v>
      </c>
      <c r="I34" s="297">
        <v>0</v>
      </c>
      <c r="J34" s="298">
        <v>0</v>
      </c>
      <c r="K34" s="298">
        <v>812.13</v>
      </c>
      <c r="L34" s="274">
        <f t="shared" si="1"/>
        <v>-812.13</v>
      </c>
      <c r="M34" s="269" t="s">
        <v>6841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spans="1:24" ht="12.75">
      <c r="A35" s="275">
        <v>34</v>
      </c>
      <c r="B35" s="281" t="s">
        <v>6853</v>
      </c>
      <c r="C35" s="276" t="s">
        <v>6854</v>
      </c>
      <c r="D35" s="277" t="s">
        <v>6888</v>
      </c>
      <c r="E35" s="278">
        <v>45867</v>
      </c>
      <c r="F35" s="275" t="s">
        <v>2402</v>
      </c>
      <c r="G35" s="282" t="s">
        <v>2402</v>
      </c>
      <c r="H35" s="279">
        <v>1576</v>
      </c>
      <c r="I35" s="279">
        <v>0</v>
      </c>
      <c r="J35" s="280">
        <v>0</v>
      </c>
      <c r="K35" s="280">
        <f t="shared" ref="K35:K41" si="4">H35/7.21</f>
        <v>218.58529819694868</v>
      </c>
      <c r="L35" s="280">
        <f t="shared" si="1"/>
        <v>-218.58529819694868</v>
      </c>
      <c r="M35" s="275" t="s">
        <v>6841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ht="25.5">
      <c r="A36" s="269">
        <v>35</v>
      </c>
      <c r="B36" s="294" t="s">
        <v>6853</v>
      </c>
      <c r="C36" s="294" t="s">
        <v>6854</v>
      </c>
      <c r="D36" s="295" t="s">
        <v>6889</v>
      </c>
      <c r="E36" s="299">
        <v>45728</v>
      </c>
      <c r="F36" s="296" t="s">
        <v>2400</v>
      </c>
      <c r="G36" s="296" t="s">
        <v>2400</v>
      </c>
      <c r="H36" s="297">
        <v>7594</v>
      </c>
      <c r="I36" s="273">
        <v>0</v>
      </c>
      <c r="J36" s="274">
        <v>0</v>
      </c>
      <c r="K36" s="274">
        <f t="shared" si="4"/>
        <v>1053.2593619972261</v>
      </c>
      <c r="L36" s="274">
        <f t="shared" si="1"/>
        <v>-1053.2593619972261</v>
      </c>
      <c r="M36" s="269" t="s">
        <v>6841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spans="1:24" ht="12.75">
      <c r="A37" s="275">
        <v>36</v>
      </c>
      <c r="B37" s="289" t="s">
        <v>6853</v>
      </c>
      <c r="C37" s="289" t="s">
        <v>6854</v>
      </c>
      <c r="D37" s="287" t="s">
        <v>6890</v>
      </c>
      <c r="E37" s="290">
        <v>45730</v>
      </c>
      <c r="F37" s="291" t="s">
        <v>2400</v>
      </c>
      <c r="G37" s="291" t="s">
        <v>2400</v>
      </c>
      <c r="H37" s="292">
        <v>2793</v>
      </c>
      <c r="I37" s="279">
        <v>0</v>
      </c>
      <c r="J37" s="280">
        <v>0</v>
      </c>
      <c r="K37" s="280">
        <f t="shared" si="4"/>
        <v>387.37864077669906</v>
      </c>
      <c r="L37" s="280">
        <f t="shared" si="1"/>
        <v>-387.37864077669906</v>
      </c>
      <c r="M37" s="275" t="s">
        <v>6841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ht="12.75">
      <c r="A38" s="269">
        <v>37</v>
      </c>
      <c r="B38" s="294" t="s">
        <v>6853</v>
      </c>
      <c r="C38" s="294" t="s">
        <v>6854</v>
      </c>
      <c r="D38" s="295" t="s">
        <v>6891</v>
      </c>
      <c r="E38" s="299">
        <v>45811</v>
      </c>
      <c r="F38" s="296" t="s">
        <v>2400</v>
      </c>
      <c r="G38" s="296" t="s">
        <v>2400</v>
      </c>
      <c r="H38" s="297">
        <v>160.19999999999999</v>
      </c>
      <c r="I38" s="273">
        <v>0</v>
      </c>
      <c r="J38" s="274">
        <v>0</v>
      </c>
      <c r="K38" s="274">
        <f t="shared" si="4"/>
        <v>22.219140083217752</v>
      </c>
      <c r="L38" s="274">
        <f t="shared" si="1"/>
        <v>-22.219140083217752</v>
      </c>
      <c r="M38" s="269" t="s">
        <v>6841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spans="1:24" ht="25.5">
      <c r="A39" s="275">
        <v>38</v>
      </c>
      <c r="B39" s="289" t="s">
        <v>6853</v>
      </c>
      <c r="C39" s="289" t="s">
        <v>6854</v>
      </c>
      <c r="D39" s="287" t="s">
        <v>6892</v>
      </c>
      <c r="E39" s="290">
        <v>45820</v>
      </c>
      <c r="F39" s="291" t="s">
        <v>2400</v>
      </c>
      <c r="G39" s="291" t="s">
        <v>2400</v>
      </c>
      <c r="H39" s="292">
        <v>599.34</v>
      </c>
      <c r="I39" s="279">
        <v>0</v>
      </c>
      <c r="J39" s="280">
        <v>0</v>
      </c>
      <c r="K39" s="280">
        <f t="shared" si="4"/>
        <v>83.126213592233015</v>
      </c>
      <c r="L39" s="280">
        <f t="shared" si="1"/>
        <v>-83.126213592233015</v>
      </c>
      <c r="M39" s="275" t="s">
        <v>6841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spans="1:24" ht="12.75">
      <c r="A40" s="269">
        <v>39</v>
      </c>
      <c r="B40" s="294" t="s">
        <v>6853</v>
      </c>
      <c r="C40" s="294" t="s">
        <v>6854</v>
      </c>
      <c r="D40" s="295" t="s">
        <v>6893</v>
      </c>
      <c r="E40" s="299">
        <v>45832</v>
      </c>
      <c r="F40" s="296" t="s">
        <v>2400</v>
      </c>
      <c r="G40" s="296" t="s">
        <v>2400</v>
      </c>
      <c r="H40" s="297">
        <v>310.37</v>
      </c>
      <c r="I40" s="273">
        <v>0</v>
      </c>
      <c r="J40" s="274">
        <v>0</v>
      </c>
      <c r="K40" s="274">
        <f t="shared" si="4"/>
        <v>43.047156726768378</v>
      </c>
      <c r="L40" s="274">
        <f t="shared" si="1"/>
        <v>-43.047156726768378</v>
      </c>
      <c r="M40" s="269" t="s">
        <v>6841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spans="1:24" ht="12.75">
      <c r="A41" s="275">
        <v>40</v>
      </c>
      <c r="B41" s="289" t="s">
        <v>6853</v>
      </c>
      <c r="C41" s="289" t="s">
        <v>6894</v>
      </c>
      <c r="D41" s="287" t="s">
        <v>6895</v>
      </c>
      <c r="E41" s="290">
        <v>45828</v>
      </c>
      <c r="F41" s="291" t="s">
        <v>2400</v>
      </c>
      <c r="G41" s="291" t="s">
        <v>2400</v>
      </c>
      <c r="H41" s="292">
        <v>110</v>
      </c>
      <c r="I41" s="279">
        <v>0</v>
      </c>
      <c r="J41" s="280">
        <v>0</v>
      </c>
      <c r="K41" s="280">
        <f t="shared" si="4"/>
        <v>15.256588072122053</v>
      </c>
      <c r="L41" s="280">
        <f t="shared" si="1"/>
        <v>-15.256588072122053</v>
      </c>
      <c r="M41" s="275" t="s">
        <v>6841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spans="1:24" ht="12.75">
      <c r="A42" s="269">
        <v>41</v>
      </c>
      <c r="B42" s="294" t="s">
        <v>6853</v>
      </c>
      <c r="C42" s="294" t="s">
        <v>6896</v>
      </c>
      <c r="D42" s="295" t="s">
        <v>6897</v>
      </c>
      <c r="E42" s="299">
        <v>45839</v>
      </c>
      <c r="F42" s="296" t="s">
        <v>2400</v>
      </c>
      <c r="G42" s="296" t="s">
        <v>2400</v>
      </c>
      <c r="H42" s="297" t="s">
        <v>6898</v>
      </c>
      <c r="I42" s="273">
        <v>0</v>
      </c>
      <c r="J42" s="274">
        <v>0</v>
      </c>
      <c r="K42" s="274">
        <v>192</v>
      </c>
      <c r="L42" s="274">
        <f t="shared" si="1"/>
        <v>-192</v>
      </c>
      <c r="M42" s="269" t="s">
        <v>6841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spans="1:24" ht="12.75">
      <c r="A43" s="275">
        <v>42</v>
      </c>
      <c r="B43" s="289" t="s">
        <v>6853</v>
      </c>
      <c r="C43" s="289" t="s">
        <v>6899</v>
      </c>
      <c r="D43" s="287" t="s">
        <v>6900</v>
      </c>
      <c r="E43" s="290">
        <v>45824</v>
      </c>
      <c r="F43" s="291" t="s">
        <v>2400</v>
      </c>
      <c r="G43" s="291" t="s">
        <v>2400</v>
      </c>
      <c r="H43" s="292">
        <v>266</v>
      </c>
      <c r="I43" s="279">
        <v>0</v>
      </c>
      <c r="J43" s="280">
        <v>0</v>
      </c>
      <c r="K43" s="280">
        <f t="shared" ref="K43:K48" si="5">H43/7.21</f>
        <v>36.893203883495147</v>
      </c>
      <c r="L43" s="280">
        <f t="shared" si="1"/>
        <v>-36.893203883495147</v>
      </c>
      <c r="M43" s="275" t="s">
        <v>6841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spans="1:24" ht="12.75">
      <c r="A44" s="269">
        <v>43</v>
      </c>
      <c r="B44" s="294" t="s">
        <v>6853</v>
      </c>
      <c r="C44" s="294" t="s">
        <v>6899</v>
      </c>
      <c r="D44" s="295" t="s">
        <v>6901</v>
      </c>
      <c r="E44" s="299">
        <v>45808</v>
      </c>
      <c r="F44" s="296" t="s">
        <v>2400</v>
      </c>
      <c r="G44" s="296" t="s">
        <v>2400</v>
      </c>
      <c r="H44" s="297">
        <v>400</v>
      </c>
      <c r="I44" s="273">
        <v>0</v>
      </c>
      <c r="J44" s="274">
        <v>0</v>
      </c>
      <c r="K44" s="274">
        <f t="shared" si="5"/>
        <v>55.478502080443832</v>
      </c>
      <c r="L44" s="274">
        <f t="shared" si="1"/>
        <v>-55.478502080443832</v>
      </c>
      <c r="M44" s="269" t="s">
        <v>6841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ht="12.75">
      <c r="A45" s="275">
        <v>44</v>
      </c>
      <c r="B45" s="289" t="s">
        <v>6853</v>
      </c>
      <c r="C45" s="289" t="s">
        <v>6902</v>
      </c>
      <c r="D45" s="287" t="s">
        <v>6903</v>
      </c>
      <c r="E45" s="290">
        <v>45828</v>
      </c>
      <c r="F45" s="291" t="s">
        <v>2400</v>
      </c>
      <c r="G45" s="291" t="s">
        <v>2400</v>
      </c>
      <c r="H45" s="292">
        <v>143</v>
      </c>
      <c r="I45" s="279">
        <v>0</v>
      </c>
      <c r="J45" s="280">
        <v>0</v>
      </c>
      <c r="K45" s="280">
        <f t="shared" si="5"/>
        <v>19.833564493758669</v>
      </c>
      <c r="L45" s="280">
        <f t="shared" si="1"/>
        <v>-19.833564493758669</v>
      </c>
      <c r="M45" s="275" t="s">
        <v>6841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spans="1:24" ht="12.75">
      <c r="A46" s="269">
        <v>45</v>
      </c>
      <c r="B46" s="270" t="s">
        <v>6848</v>
      </c>
      <c r="C46" s="270" t="s">
        <v>6849</v>
      </c>
      <c r="D46" s="271" t="s">
        <v>6904</v>
      </c>
      <c r="E46" s="272">
        <v>45863</v>
      </c>
      <c r="F46" s="269" t="s">
        <v>2402</v>
      </c>
      <c r="G46" s="269" t="s">
        <v>2402</v>
      </c>
      <c r="H46" s="273">
        <v>5810</v>
      </c>
      <c r="I46" s="273">
        <v>0</v>
      </c>
      <c r="J46" s="274">
        <v>0</v>
      </c>
      <c r="K46" s="274">
        <f t="shared" si="5"/>
        <v>805.82524271844659</v>
      </c>
      <c r="L46" s="274">
        <f t="shared" si="1"/>
        <v>-805.82524271844659</v>
      </c>
      <c r="M46" s="269" t="s">
        <v>6841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spans="1:24" ht="12.75">
      <c r="A47" s="275">
        <v>46</v>
      </c>
      <c r="B47" s="276" t="s">
        <v>6848</v>
      </c>
      <c r="C47" s="276" t="s">
        <v>6849</v>
      </c>
      <c r="D47" s="277" t="s">
        <v>6905</v>
      </c>
      <c r="E47" s="278">
        <v>45894</v>
      </c>
      <c r="F47" s="275" t="s">
        <v>2402</v>
      </c>
      <c r="G47" s="275" t="s">
        <v>2402</v>
      </c>
      <c r="H47" s="279">
        <v>4800</v>
      </c>
      <c r="I47" s="279">
        <v>0</v>
      </c>
      <c r="J47" s="280">
        <v>0</v>
      </c>
      <c r="K47" s="280">
        <f t="shared" si="5"/>
        <v>665.74202496532598</v>
      </c>
      <c r="L47" s="280">
        <f t="shared" si="1"/>
        <v>-665.74202496532598</v>
      </c>
      <c r="M47" s="275" t="s">
        <v>6841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ht="12.75">
      <c r="A48" s="269">
        <v>47</v>
      </c>
      <c r="B48" s="294" t="s">
        <v>6853</v>
      </c>
      <c r="C48" s="294" t="s">
        <v>6906</v>
      </c>
      <c r="D48" s="295" t="s">
        <v>6907</v>
      </c>
      <c r="E48" s="299">
        <v>45979</v>
      </c>
      <c r="F48" s="269" t="s">
        <v>2402</v>
      </c>
      <c r="G48" s="269" t="s">
        <v>2402</v>
      </c>
      <c r="H48" s="297">
        <v>5768</v>
      </c>
      <c r="I48" s="273">
        <v>0</v>
      </c>
      <c r="J48" s="274">
        <v>0</v>
      </c>
      <c r="K48" s="274">
        <f t="shared" si="5"/>
        <v>800</v>
      </c>
      <c r="L48" s="274">
        <f t="shared" si="1"/>
        <v>-800</v>
      </c>
      <c r="M48" s="269" t="s">
        <v>6841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spans="1:24" ht="12.75">
      <c r="A49" s="275">
        <v>48</v>
      </c>
      <c r="B49" s="289"/>
      <c r="C49" s="289"/>
      <c r="D49" s="287"/>
      <c r="E49" s="289"/>
      <c r="F49" s="291"/>
      <c r="G49" s="291"/>
      <c r="H49" s="292"/>
      <c r="I49" s="291"/>
      <c r="J49" s="291"/>
      <c r="K49" s="291"/>
      <c r="L49" s="293"/>
      <c r="M49" s="29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spans="1:24" ht="12.75">
      <c r="A50" s="269">
        <v>62</v>
      </c>
      <c r="B50" s="294"/>
      <c r="C50" s="294"/>
      <c r="D50" s="295"/>
      <c r="E50" s="294"/>
      <c r="F50" s="296"/>
      <c r="G50" s="296"/>
      <c r="H50" s="297"/>
      <c r="I50" s="296"/>
      <c r="J50" s="296"/>
      <c r="K50" s="296"/>
      <c r="L50" s="298"/>
      <c r="M50" s="296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spans="1:24" ht="12.75">
      <c r="A51" s="365" t="s">
        <v>2424</v>
      </c>
      <c r="B51" s="352"/>
      <c r="C51" s="352"/>
      <c r="D51" s="352"/>
      <c r="E51" s="352"/>
      <c r="F51" s="353"/>
      <c r="G51" s="27"/>
      <c r="H51" s="300">
        <f>SUM(H2:H50)</f>
        <v>140340.90999999997</v>
      </c>
      <c r="I51" s="27"/>
      <c r="J51" s="27"/>
      <c r="K51" s="201">
        <f t="shared" ref="K51:L51" si="6">SUM(K2:K50)</f>
        <v>19645.197212205268</v>
      </c>
      <c r="L51" s="201">
        <f t="shared" si="6"/>
        <v>-19645.197212205268</v>
      </c>
      <c r="M51" s="27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spans="1:24" ht="12.75">
      <c r="A52" s="12"/>
      <c r="B52" s="70"/>
      <c r="C52" s="70"/>
      <c r="D52" s="301"/>
      <c r="E52" s="70"/>
      <c r="F52" s="12"/>
      <c r="G52" s="12"/>
      <c r="H52" s="30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ht="12.75">
      <c r="A53" s="12"/>
      <c r="B53" s="70"/>
      <c r="C53" s="70"/>
      <c r="D53" s="301"/>
      <c r="E53" s="70"/>
      <c r="F53" s="12"/>
      <c r="G53" s="12"/>
      <c r="H53" s="30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spans="1:24" ht="12.75">
      <c r="A54" s="12"/>
      <c r="B54" s="70"/>
      <c r="C54" s="70"/>
      <c r="D54" s="301"/>
      <c r="E54" s="70"/>
      <c r="F54" s="12"/>
      <c r="G54" s="12"/>
      <c r="H54" s="30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spans="1:24" ht="12.75">
      <c r="A55" s="12"/>
      <c r="B55" s="70"/>
      <c r="C55" s="70"/>
      <c r="D55" s="301"/>
      <c r="E55" s="70"/>
      <c r="F55" s="12"/>
      <c r="G55" s="12"/>
      <c r="H55" s="30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spans="1:24" ht="12.75">
      <c r="A56" s="12"/>
      <c r="B56" s="70"/>
      <c r="C56" s="70"/>
      <c r="D56" s="301"/>
      <c r="E56" s="70"/>
      <c r="F56" s="12"/>
      <c r="G56" s="12"/>
      <c r="H56" s="30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ht="12.75">
      <c r="A57" s="12"/>
      <c r="B57" s="70"/>
      <c r="C57" s="70"/>
      <c r="D57" s="301"/>
      <c r="E57" s="70"/>
      <c r="F57" s="12"/>
      <c r="G57" s="12"/>
      <c r="H57" s="30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spans="1:24" ht="12.75">
      <c r="A58" s="12"/>
      <c r="B58" s="70"/>
      <c r="C58" s="70"/>
      <c r="D58" s="301"/>
      <c r="E58" s="70"/>
      <c r="F58" s="12"/>
      <c r="G58" s="12"/>
      <c r="H58" s="30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spans="1:24" ht="12.75">
      <c r="A59" s="12"/>
      <c r="B59" s="70"/>
      <c r="C59" s="70"/>
      <c r="D59" s="301"/>
      <c r="E59" s="70"/>
      <c r="F59" s="12"/>
      <c r="G59" s="12"/>
      <c r="H59" s="30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ht="12.75">
      <c r="A60" s="12"/>
      <c r="B60" s="70"/>
      <c r="C60" s="70"/>
      <c r="D60" s="301"/>
      <c r="E60" s="70"/>
      <c r="F60" s="12"/>
      <c r="G60" s="12"/>
      <c r="H60" s="30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spans="1:24" ht="12.75">
      <c r="A61" s="12"/>
      <c r="B61" s="70"/>
      <c r="C61" s="70"/>
      <c r="D61" s="301"/>
      <c r="E61" s="70"/>
      <c r="F61" s="12"/>
      <c r="G61" s="12"/>
      <c r="H61" s="30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ht="12.75">
      <c r="A62" s="12"/>
      <c r="B62" s="70"/>
      <c r="C62" s="70"/>
      <c r="D62" s="301"/>
      <c r="E62" s="70"/>
      <c r="F62" s="12"/>
      <c r="G62" s="12"/>
      <c r="H62" s="30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spans="1:24" ht="12.75">
      <c r="A63" s="12"/>
      <c r="B63" s="70"/>
      <c r="C63" s="70"/>
      <c r="D63" s="301"/>
      <c r="E63" s="70"/>
      <c r="F63" s="12"/>
      <c r="G63" s="12"/>
      <c r="H63" s="30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spans="1:24" ht="12.75">
      <c r="A64" s="12"/>
      <c r="B64" s="70"/>
      <c r="C64" s="70"/>
      <c r="D64" s="301"/>
      <c r="E64" s="70"/>
      <c r="F64" s="12"/>
      <c r="G64" s="12"/>
      <c r="H64" s="30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spans="1:24" ht="12.75">
      <c r="A65" s="12"/>
      <c r="B65" s="70"/>
      <c r="C65" s="70"/>
      <c r="D65" s="301"/>
      <c r="E65" s="70"/>
      <c r="F65" s="12"/>
      <c r="G65" s="12"/>
      <c r="H65" s="30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spans="1:24" ht="12.75">
      <c r="A66" s="12"/>
      <c r="B66" s="70"/>
      <c r="C66" s="70"/>
      <c r="D66" s="301"/>
      <c r="E66" s="70"/>
      <c r="F66" s="12"/>
      <c r="G66" s="12"/>
      <c r="H66" s="30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spans="1:24" ht="12.75">
      <c r="A67" s="12"/>
      <c r="B67" s="70"/>
      <c r="C67" s="70"/>
      <c r="D67" s="301"/>
      <c r="E67" s="70"/>
      <c r="F67" s="12"/>
      <c r="G67" s="12"/>
      <c r="H67" s="30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spans="1:24" ht="12.75">
      <c r="A68" s="12"/>
      <c r="B68" s="70"/>
      <c r="C68" s="70"/>
      <c r="D68" s="301"/>
      <c r="E68" s="70"/>
      <c r="F68" s="12"/>
      <c r="G68" s="12"/>
      <c r="H68" s="30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spans="1:24" ht="12.75">
      <c r="A69" s="12"/>
      <c r="B69" s="70"/>
      <c r="C69" s="70"/>
      <c r="D69" s="301"/>
      <c r="E69" s="70"/>
      <c r="F69" s="12"/>
      <c r="G69" s="12"/>
      <c r="H69" s="30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spans="1:24" ht="12.75">
      <c r="A70" s="12"/>
      <c r="B70" s="70"/>
      <c r="C70" s="70"/>
      <c r="D70" s="301"/>
      <c r="E70" s="70"/>
      <c r="F70" s="12"/>
      <c r="G70" s="12"/>
      <c r="H70" s="30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ht="12.75">
      <c r="A71" s="12"/>
      <c r="B71" s="70"/>
      <c r="C71" s="70"/>
      <c r="D71" s="301"/>
      <c r="E71" s="70"/>
      <c r="F71" s="12"/>
      <c r="G71" s="12"/>
      <c r="H71" s="30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ht="12.75">
      <c r="A72" s="12"/>
      <c r="B72" s="70"/>
      <c r="C72" s="70"/>
      <c r="D72" s="301"/>
      <c r="E72" s="70"/>
      <c r="F72" s="12"/>
      <c r="G72" s="12"/>
      <c r="H72" s="30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spans="1:24" ht="12.75">
      <c r="A73" s="12"/>
      <c r="B73" s="70"/>
      <c r="C73" s="70"/>
      <c r="D73" s="301"/>
      <c r="E73" s="70"/>
      <c r="F73" s="12"/>
      <c r="G73" s="12"/>
      <c r="H73" s="30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spans="1:24" ht="12.75">
      <c r="A74" s="12"/>
      <c r="B74" s="70"/>
      <c r="C74" s="70"/>
      <c r="D74" s="301"/>
      <c r="E74" s="70"/>
      <c r="F74" s="12"/>
      <c r="G74" s="12"/>
      <c r="H74" s="30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spans="1:24" ht="12.75">
      <c r="A75" s="12"/>
      <c r="B75" s="70"/>
      <c r="C75" s="70"/>
      <c r="D75" s="301"/>
      <c r="E75" s="70"/>
      <c r="F75" s="12"/>
      <c r="G75" s="12"/>
      <c r="H75" s="30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spans="1:24" ht="12.75">
      <c r="A76" s="12"/>
      <c r="B76" s="70"/>
      <c r="C76" s="70"/>
      <c r="D76" s="301"/>
      <c r="E76" s="70"/>
      <c r="F76" s="12"/>
      <c r="G76" s="12"/>
      <c r="H76" s="30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spans="1:24" ht="12.75">
      <c r="A77" s="12"/>
      <c r="B77" s="70"/>
      <c r="C77" s="70"/>
      <c r="D77" s="301"/>
      <c r="E77" s="70"/>
      <c r="F77" s="12"/>
      <c r="G77" s="12"/>
      <c r="H77" s="30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spans="1:24" ht="12.75">
      <c r="A78" s="12"/>
      <c r="B78" s="70"/>
      <c r="C78" s="70"/>
      <c r="D78" s="301"/>
      <c r="E78" s="70"/>
      <c r="F78" s="12"/>
      <c r="G78" s="12"/>
      <c r="H78" s="30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spans="1:24" ht="12.75">
      <c r="A79" s="12"/>
      <c r="B79" s="70"/>
      <c r="C79" s="70"/>
      <c r="D79" s="301"/>
      <c r="E79" s="70"/>
      <c r="F79" s="12"/>
      <c r="G79" s="12"/>
      <c r="H79" s="30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spans="1:24" ht="12.75">
      <c r="A80" s="12"/>
      <c r="B80" s="70"/>
      <c r="C80" s="70"/>
      <c r="D80" s="301"/>
      <c r="E80" s="70"/>
      <c r="F80" s="12"/>
      <c r="G80" s="12"/>
      <c r="H80" s="30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spans="1:24" ht="12.75">
      <c r="A81" s="12"/>
      <c r="B81" s="70"/>
      <c r="C81" s="70"/>
      <c r="D81" s="301"/>
      <c r="E81" s="70"/>
      <c r="F81" s="12"/>
      <c r="G81" s="12"/>
      <c r="H81" s="30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spans="1:24" ht="12.75">
      <c r="A82" s="12"/>
      <c r="B82" s="70"/>
      <c r="C82" s="70"/>
      <c r="D82" s="301"/>
      <c r="E82" s="70"/>
      <c r="F82" s="12"/>
      <c r="G82" s="12"/>
      <c r="H82" s="30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spans="1:24" ht="12.75">
      <c r="A83" s="12"/>
      <c r="B83" s="70"/>
      <c r="C83" s="70"/>
      <c r="D83" s="301"/>
      <c r="E83" s="70"/>
      <c r="F83" s="12"/>
      <c r="G83" s="12"/>
      <c r="H83" s="30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spans="1:24" ht="12.75">
      <c r="A84" s="12"/>
      <c r="B84" s="70"/>
      <c r="C84" s="70"/>
      <c r="D84" s="301"/>
      <c r="E84" s="70"/>
      <c r="F84" s="12"/>
      <c r="G84" s="12"/>
      <c r="H84" s="30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ht="12.75">
      <c r="A85" s="12"/>
      <c r="B85" s="70"/>
      <c r="C85" s="70"/>
      <c r="D85" s="301"/>
      <c r="E85" s="70"/>
      <c r="F85" s="12"/>
      <c r="G85" s="12"/>
      <c r="H85" s="30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spans="1:24" ht="12.75">
      <c r="A86" s="12"/>
      <c r="B86" s="70"/>
      <c r="C86" s="70"/>
      <c r="D86" s="301"/>
      <c r="E86" s="70"/>
      <c r="F86" s="12"/>
      <c r="G86" s="12"/>
      <c r="H86" s="30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spans="1:24" ht="12.75">
      <c r="A87" s="12"/>
      <c r="B87" s="70"/>
      <c r="C87" s="70"/>
      <c r="D87" s="301"/>
      <c r="E87" s="70"/>
      <c r="F87" s="12"/>
      <c r="G87" s="12"/>
      <c r="H87" s="30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spans="1:24" ht="12.75">
      <c r="A88" s="12"/>
      <c r="B88" s="70"/>
      <c r="C88" s="70"/>
      <c r="D88" s="301"/>
      <c r="E88" s="70"/>
      <c r="F88" s="12"/>
      <c r="G88" s="12"/>
      <c r="H88" s="30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spans="1:24" ht="12.75">
      <c r="A89" s="12"/>
      <c r="B89" s="70"/>
      <c r="C89" s="70"/>
      <c r="D89" s="301"/>
      <c r="E89" s="70"/>
      <c r="F89" s="12"/>
      <c r="G89" s="12"/>
      <c r="H89" s="30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spans="1:24" ht="12.75">
      <c r="A90" s="12"/>
      <c r="B90" s="70"/>
      <c r="C90" s="70"/>
      <c r="D90" s="301"/>
      <c r="E90" s="70"/>
      <c r="F90" s="12"/>
      <c r="G90" s="12"/>
      <c r="H90" s="30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spans="1:24" ht="12.75">
      <c r="A91" s="12"/>
      <c r="B91" s="70"/>
      <c r="C91" s="70"/>
      <c r="D91" s="301"/>
      <c r="E91" s="70"/>
      <c r="F91" s="12"/>
      <c r="G91" s="12"/>
      <c r="H91" s="30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spans="1:24" ht="12.75">
      <c r="A92" s="12"/>
      <c r="B92" s="70"/>
      <c r="C92" s="70"/>
      <c r="D92" s="301"/>
      <c r="E92" s="70"/>
      <c r="F92" s="12"/>
      <c r="G92" s="12"/>
      <c r="H92" s="30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spans="1:24" ht="12.75">
      <c r="A93" s="12"/>
      <c r="B93" s="70"/>
      <c r="C93" s="70"/>
      <c r="D93" s="301"/>
      <c r="E93" s="70"/>
      <c r="F93" s="12"/>
      <c r="G93" s="12"/>
      <c r="H93" s="30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spans="1:24" ht="12.75">
      <c r="A94" s="12"/>
      <c r="B94" s="70"/>
      <c r="C94" s="70"/>
      <c r="D94" s="301"/>
      <c r="E94" s="70"/>
      <c r="F94" s="12"/>
      <c r="G94" s="12"/>
      <c r="H94" s="30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spans="1:24" ht="12.75">
      <c r="A95" s="12"/>
      <c r="B95" s="70"/>
      <c r="C95" s="70"/>
      <c r="D95" s="301"/>
      <c r="E95" s="70"/>
      <c r="F95" s="12"/>
      <c r="G95" s="12"/>
      <c r="H95" s="30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spans="1:24" ht="12.75">
      <c r="A96" s="12"/>
      <c r="B96" s="70"/>
      <c r="C96" s="70"/>
      <c r="D96" s="301"/>
      <c r="E96" s="70"/>
      <c r="F96" s="12"/>
      <c r="G96" s="12"/>
      <c r="H96" s="30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spans="1:24" ht="12.75">
      <c r="A97" s="12"/>
      <c r="B97" s="70"/>
      <c r="C97" s="70"/>
      <c r="D97" s="301"/>
      <c r="E97" s="70"/>
      <c r="F97" s="12"/>
      <c r="G97" s="12"/>
      <c r="H97" s="30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spans="1:24" ht="12.75">
      <c r="A98" s="12"/>
      <c r="B98" s="70"/>
      <c r="C98" s="70"/>
      <c r="D98" s="301"/>
      <c r="E98" s="70"/>
      <c r="F98" s="12"/>
      <c r="G98" s="12"/>
      <c r="H98" s="30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ht="12.75">
      <c r="A99" s="12"/>
      <c r="B99" s="70"/>
      <c r="C99" s="70"/>
      <c r="D99" s="301"/>
      <c r="E99" s="70"/>
      <c r="F99" s="12"/>
      <c r="G99" s="12"/>
      <c r="H99" s="30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spans="1:24" ht="12.75">
      <c r="A100" s="12"/>
      <c r="B100" s="70"/>
      <c r="C100" s="70"/>
      <c r="D100" s="301"/>
      <c r="E100" s="70"/>
      <c r="F100" s="12"/>
      <c r="G100" s="12"/>
      <c r="H100" s="30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spans="1:24" ht="12.75">
      <c r="A101" s="12"/>
      <c r="B101" s="70"/>
      <c r="C101" s="70"/>
      <c r="D101" s="301"/>
      <c r="E101" s="70"/>
      <c r="F101" s="12"/>
      <c r="G101" s="12"/>
      <c r="H101" s="30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spans="1:24" ht="12.75">
      <c r="A102" s="12"/>
      <c r="B102" s="70"/>
      <c r="C102" s="70"/>
      <c r="D102" s="301"/>
      <c r="E102" s="70"/>
      <c r="F102" s="12"/>
      <c r="G102" s="12"/>
      <c r="H102" s="30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spans="1:24" ht="12.75">
      <c r="A103" s="12"/>
      <c r="B103" s="70"/>
      <c r="C103" s="70"/>
      <c r="D103" s="301"/>
      <c r="E103" s="70"/>
      <c r="F103" s="12"/>
      <c r="G103" s="12"/>
      <c r="H103" s="30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spans="1:24" ht="12.75">
      <c r="A104" s="12"/>
      <c r="B104" s="70"/>
      <c r="C104" s="70"/>
      <c r="D104" s="301"/>
      <c r="E104" s="70"/>
      <c r="F104" s="12"/>
      <c r="G104" s="12"/>
      <c r="H104" s="30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spans="1:24" ht="12.75">
      <c r="A105" s="12"/>
      <c r="B105" s="70"/>
      <c r="C105" s="70"/>
      <c r="D105" s="301"/>
      <c r="E105" s="70"/>
      <c r="F105" s="12"/>
      <c r="G105" s="12"/>
      <c r="H105" s="30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spans="1:24" ht="12.75">
      <c r="A106" s="12"/>
      <c r="B106" s="70"/>
      <c r="C106" s="70"/>
      <c r="D106" s="301"/>
      <c r="E106" s="70"/>
      <c r="F106" s="12"/>
      <c r="G106" s="12"/>
      <c r="H106" s="30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spans="1:24" ht="12.75">
      <c r="A107" s="12"/>
      <c r="B107" s="70"/>
      <c r="C107" s="70"/>
      <c r="D107" s="301"/>
      <c r="E107" s="70"/>
      <c r="F107" s="12"/>
      <c r="G107" s="12"/>
      <c r="H107" s="30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spans="1:24" ht="12.75">
      <c r="A108" s="12"/>
      <c r="B108" s="70"/>
      <c r="C108" s="70"/>
      <c r="D108" s="301"/>
      <c r="E108" s="70"/>
      <c r="F108" s="12"/>
      <c r="G108" s="12"/>
      <c r="H108" s="30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spans="1:24" ht="12.75">
      <c r="A109" s="12"/>
      <c r="B109" s="70"/>
      <c r="C109" s="70"/>
      <c r="D109" s="301"/>
      <c r="E109" s="70"/>
      <c r="F109" s="12"/>
      <c r="G109" s="12"/>
      <c r="H109" s="30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spans="1:24" ht="12.75">
      <c r="A110" s="12"/>
      <c r="B110" s="70"/>
      <c r="C110" s="70"/>
      <c r="D110" s="301"/>
      <c r="E110" s="70"/>
      <c r="F110" s="12"/>
      <c r="G110" s="12"/>
      <c r="H110" s="30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spans="1:24" ht="12.75">
      <c r="A111" s="12"/>
      <c r="B111" s="70"/>
      <c r="C111" s="70"/>
      <c r="D111" s="301"/>
      <c r="E111" s="70"/>
      <c r="F111" s="12"/>
      <c r="G111" s="12"/>
      <c r="H111" s="30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spans="1:24" ht="12.75">
      <c r="A112" s="12"/>
      <c r="B112" s="70"/>
      <c r="C112" s="70"/>
      <c r="D112" s="301"/>
      <c r="E112" s="70"/>
      <c r="F112" s="12"/>
      <c r="G112" s="12"/>
      <c r="H112" s="30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spans="1:24" ht="12.75">
      <c r="A113" s="12"/>
      <c r="B113" s="70"/>
      <c r="C113" s="70"/>
      <c r="D113" s="301"/>
      <c r="E113" s="70"/>
      <c r="F113" s="12"/>
      <c r="G113" s="12"/>
      <c r="H113" s="30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spans="1:24" ht="12.75">
      <c r="A114" s="12"/>
      <c r="B114" s="70"/>
      <c r="C114" s="70"/>
      <c r="D114" s="301"/>
      <c r="E114" s="70"/>
      <c r="F114" s="12"/>
      <c r="G114" s="12"/>
      <c r="H114" s="30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spans="1:24" ht="12.75">
      <c r="A115" s="12"/>
      <c r="B115" s="70"/>
      <c r="C115" s="70"/>
      <c r="D115" s="301"/>
      <c r="E115" s="70"/>
      <c r="F115" s="12"/>
      <c r="G115" s="12"/>
      <c r="H115" s="30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spans="1:24" ht="12.75">
      <c r="A116" s="12"/>
      <c r="B116" s="70"/>
      <c r="C116" s="70"/>
      <c r="D116" s="301"/>
      <c r="E116" s="70"/>
      <c r="F116" s="12"/>
      <c r="G116" s="12"/>
      <c r="H116" s="30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spans="1:24" ht="12.75">
      <c r="A117" s="12"/>
      <c r="B117" s="70"/>
      <c r="C117" s="70"/>
      <c r="D117" s="301"/>
      <c r="E117" s="70"/>
      <c r="F117" s="12"/>
      <c r="G117" s="12"/>
      <c r="H117" s="30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spans="1:24" ht="12.75">
      <c r="A118" s="12"/>
      <c r="B118" s="70"/>
      <c r="C118" s="70"/>
      <c r="D118" s="301"/>
      <c r="E118" s="70"/>
      <c r="F118" s="12"/>
      <c r="G118" s="12"/>
      <c r="H118" s="30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spans="1:24" ht="12.75">
      <c r="A119" s="12"/>
      <c r="B119" s="70"/>
      <c r="C119" s="70"/>
      <c r="D119" s="301"/>
      <c r="E119" s="70"/>
      <c r="F119" s="12"/>
      <c r="G119" s="12"/>
      <c r="H119" s="30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spans="1:24" ht="12.75">
      <c r="A120" s="12"/>
      <c r="B120" s="70"/>
      <c r="C120" s="70"/>
      <c r="D120" s="301"/>
      <c r="E120" s="70"/>
      <c r="F120" s="12"/>
      <c r="G120" s="12"/>
      <c r="H120" s="30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spans="1:24" ht="12.75">
      <c r="A121" s="12"/>
      <c r="B121" s="70"/>
      <c r="C121" s="70"/>
      <c r="D121" s="301"/>
      <c r="E121" s="70"/>
      <c r="F121" s="12"/>
      <c r="G121" s="12"/>
      <c r="H121" s="30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spans="1:24" ht="12.75">
      <c r="A122" s="12"/>
      <c r="B122" s="70"/>
      <c r="C122" s="70"/>
      <c r="D122" s="301"/>
      <c r="E122" s="70"/>
      <c r="F122" s="12"/>
      <c r="G122" s="12"/>
      <c r="H122" s="30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spans="1:24" ht="12.75">
      <c r="A123" s="12"/>
      <c r="B123" s="70"/>
      <c r="C123" s="70"/>
      <c r="D123" s="301"/>
      <c r="E123" s="70"/>
      <c r="F123" s="12"/>
      <c r="G123" s="12"/>
      <c r="H123" s="30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spans="1:24" ht="12.75">
      <c r="A124" s="12"/>
      <c r="B124" s="70"/>
      <c r="C124" s="70"/>
      <c r="D124" s="301"/>
      <c r="E124" s="70"/>
      <c r="F124" s="12"/>
      <c r="G124" s="12"/>
      <c r="H124" s="30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spans="1:24" ht="12.75">
      <c r="A125" s="12"/>
      <c r="B125" s="70"/>
      <c r="C125" s="70"/>
      <c r="D125" s="301"/>
      <c r="E125" s="70"/>
      <c r="F125" s="12"/>
      <c r="G125" s="12"/>
      <c r="H125" s="30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spans="1:24" ht="12.75">
      <c r="A126" s="12"/>
      <c r="B126" s="70"/>
      <c r="C126" s="70"/>
      <c r="D126" s="301"/>
      <c r="E126" s="70"/>
      <c r="F126" s="12"/>
      <c r="G126" s="12"/>
      <c r="H126" s="30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spans="1:24" ht="12.75">
      <c r="A127" s="12"/>
      <c r="B127" s="70"/>
      <c r="C127" s="70"/>
      <c r="D127" s="301"/>
      <c r="E127" s="70"/>
      <c r="F127" s="12"/>
      <c r="G127" s="12"/>
      <c r="H127" s="30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spans="1:24" ht="12.75">
      <c r="A128" s="12"/>
      <c r="B128" s="70"/>
      <c r="C128" s="70"/>
      <c r="D128" s="301"/>
      <c r="E128" s="70"/>
      <c r="F128" s="12"/>
      <c r="G128" s="12"/>
      <c r="H128" s="30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spans="1:24" ht="12.75">
      <c r="A129" s="12"/>
      <c r="B129" s="70"/>
      <c r="C129" s="70"/>
      <c r="D129" s="301"/>
      <c r="E129" s="70"/>
      <c r="F129" s="12"/>
      <c r="G129" s="12"/>
      <c r="H129" s="30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spans="1:24" ht="12.75">
      <c r="A130" s="12"/>
      <c r="B130" s="70"/>
      <c r="C130" s="70"/>
      <c r="D130" s="301"/>
      <c r="E130" s="70"/>
      <c r="F130" s="12"/>
      <c r="G130" s="12"/>
      <c r="H130" s="30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spans="1:24" ht="12.75">
      <c r="A131" s="12"/>
      <c r="B131" s="70"/>
      <c r="C131" s="70"/>
      <c r="D131" s="301"/>
      <c r="E131" s="70"/>
      <c r="F131" s="12"/>
      <c r="G131" s="12"/>
      <c r="H131" s="30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spans="1:24" ht="12.75">
      <c r="A132" s="12"/>
      <c r="B132" s="70"/>
      <c r="C132" s="70"/>
      <c r="D132" s="301"/>
      <c r="E132" s="70"/>
      <c r="F132" s="12"/>
      <c r="G132" s="12"/>
      <c r="H132" s="30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spans="1:24" ht="12.75">
      <c r="A133" s="12"/>
      <c r="B133" s="70"/>
      <c r="C133" s="70"/>
      <c r="D133" s="301"/>
      <c r="E133" s="70"/>
      <c r="F133" s="12"/>
      <c r="G133" s="12"/>
      <c r="H133" s="30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spans="1:24" ht="12.75">
      <c r="A134" s="12"/>
      <c r="B134" s="70"/>
      <c r="C134" s="70"/>
      <c r="D134" s="301"/>
      <c r="E134" s="70"/>
      <c r="F134" s="12"/>
      <c r="G134" s="12"/>
      <c r="H134" s="30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spans="1:24" ht="12.75">
      <c r="A135" s="12"/>
      <c r="B135" s="70"/>
      <c r="C135" s="70"/>
      <c r="D135" s="301"/>
      <c r="E135" s="70"/>
      <c r="F135" s="12"/>
      <c r="G135" s="12"/>
      <c r="H135" s="30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spans="1:24" ht="12.75">
      <c r="A136" s="12"/>
      <c r="B136" s="70"/>
      <c r="C136" s="70"/>
      <c r="D136" s="301"/>
      <c r="E136" s="70"/>
      <c r="F136" s="12"/>
      <c r="G136" s="12"/>
      <c r="H136" s="30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spans="1:24" ht="12.75">
      <c r="A137" s="12"/>
      <c r="B137" s="70"/>
      <c r="C137" s="70"/>
      <c r="D137" s="301"/>
      <c r="E137" s="70"/>
      <c r="F137" s="12"/>
      <c r="G137" s="12"/>
      <c r="H137" s="30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spans="1:24" ht="12.75">
      <c r="A138" s="12"/>
      <c r="B138" s="70"/>
      <c r="C138" s="70"/>
      <c r="D138" s="301"/>
      <c r="E138" s="70"/>
      <c r="F138" s="12"/>
      <c r="G138" s="12"/>
      <c r="H138" s="30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spans="1:24" ht="12.75">
      <c r="A139" s="12"/>
      <c r="B139" s="70"/>
      <c r="C139" s="70"/>
      <c r="D139" s="301"/>
      <c r="E139" s="70"/>
      <c r="F139" s="12"/>
      <c r="G139" s="12"/>
      <c r="H139" s="30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spans="1:24" ht="12.75">
      <c r="A140" s="12"/>
      <c r="B140" s="70"/>
      <c r="C140" s="70"/>
      <c r="D140" s="301"/>
      <c r="E140" s="70"/>
      <c r="F140" s="12"/>
      <c r="G140" s="12"/>
      <c r="H140" s="30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spans="1:24" ht="12.75">
      <c r="A141" s="12"/>
      <c r="B141" s="70"/>
      <c r="C141" s="70"/>
      <c r="D141" s="301"/>
      <c r="E141" s="70"/>
      <c r="F141" s="12"/>
      <c r="G141" s="12"/>
      <c r="H141" s="30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spans="1:24" ht="12.75">
      <c r="A142" s="12"/>
      <c r="B142" s="70"/>
      <c r="C142" s="70"/>
      <c r="D142" s="301"/>
      <c r="E142" s="70"/>
      <c r="F142" s="12"/>
      <c r="G142" s="12"/>
      <c r="H142" s="30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spans="1:24" ht="12.75">
      <c r="A143" s="12"/>
      <c r="B143" s="70"/>
      <c r="C143" s="70"/>
      <c r="D143" s="301"/>
      <c r="E143" s="70"/>
      <c r="F143" s="12"/>
      <c r="G143" s="12"/>
      <c r="H143" s="30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spans="1:24" ht="12.75">
      <c r="A144" s="12"/>
      <c r="B144" s="70"/>
      <c r="C144" s="70"/>
      <c r="D144" s="301"/>
      <c r="E144" s="70"/>
      <c r="F144" s="12"/>
      <c r="G144" s="12"/>
      <c r="H144" s="30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spans="1:24" ht="12.75">
      <c r="A145" s="12"/>
      <c r="B145" s="70"/>
      <c r="C145" s="70"/>
      <c r="D145" s="301"/>
      <c r="E145" s="70"/>
      <c r="F145" s="12"/>
      <c r="G145" s="12"/>
      <c r="H145" s="30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spans="1:24" ht="12.75">
      <c r="A146" s="12"/>
      <c r="B146" s="70"/>
      <c r="C146" s="70"/>
      <c r="D146" s="301"/>
      <c r="E146" s="70"/>
      <c r="F146" s="12"/>
      <c r="G146" s="12"/>
      <c r="H146" s="30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spans="1:24" ht="12.75">
      <c r="A147" s="12"/>
      <c r="B147" s="70"/>
      <c r="C147" s="70"/>
      <c r="D147" s="301"/>
      <c r="E147" s="70"/>
      <c r="F147" s="12"/>
      <c r="G147" s="12"/>
      <c r="H147" s="30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spans="1:24" ht="12.75">
      <c r="A148" s="12"/>
      <c r="B148" s="70"/>
      <c r="C148" s="70"/>
      <c r="D148" s="301"/>
      <c r="E148" s="70"/>
      <c r="F148" s="12"/>
      <c r="G148" s="12"/>
      <c r="H148" s="30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spans="1:24" ht="12.75">
      <c r="A149" s="12"/>
      <c r="B149" s="70"/>
      <c r="C149" s="70"/>
      <c r="D149" s="301"/>
      <c r="E149" s="70"/>
      <c r="F149" s="12"/>
      <c r="G149" s="12"/>
      <c r="H149" s="30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spans="1:24" ht="12.75">
      <c r="A150" s="12"/>
      <c r="B150" s="70"/>
      <c r="C150" s="70"/>
      <c r="D150" s="301"/>
      <c r="E150" s="70"/>
      <c r="F150" s="12"/>
      <c r="G150" s="12"/>
      <c r="H150" s="30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spans="1:24" ht="12.75">
      <c r="A151" s="12"/>
      <c r="B151" s="70"/>
      <c r="C151" s="70"/>
      <c r="D151" s="301"/>
      <c r="E151" s="70"/>
      <c r="F151" s="12"/>
      <c r="G151" s="12"/>
      <c r="H151" s="30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spans="1:24" ht="12.75">
      <c r="A152" s="12"/>
      <c r="B152" s="70"/>
      <c r="C152" s="70"/>
      <c r="D152" s="301"/>
      <c r="E152" s="70"/>
      <c r="F152" s="12"/>
      <c r="G152" s="12"/>
      <c r="H152" s="30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spans="1:24" ht="12.75">
      <c r="A153" s="12"/>
      <c r="B153" s="70"/>
      <c r="C153" s="70"/>
      <c r="D153" s="301"/>
      <c r="E153" s="70"/>
      <c r="F153" s="12"/>
      <c r="G153" s="12"/>
      <c r="H153" s="30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spans="1:24" ht="12.75">
      <c r="A154" s="12"/>
      <c r="B154" s="70"/>
      <c r="C154" s="70"/>
      <c r="D154" s="301"/>
      <c r="E154" s="70"/>
      <c r="F154" s="12"/>
      <c r="G154" s="12"/>
      <c r="H154" s="30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spans="1:24" ht="12.75">
      <c r="A155" s="12"/>
      <c r="B155" s="70"/>
      <c r="C155" s="70"/>
      <c r="D155" s="301"/>
      <c r="E155" s="70"/>
      <c r="F155" s="12"/>
      <c r="G155" s="12"/>
      <c r="H155" s="30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spans="1:24" ht="12.75">
      <c r="A156" s="12"/>
      <c r="B156" s="70"/>
      <c r="C156" s="70"/>
      <c r="D156" s="301"/>
      <c r="E156" s="70"/>
      <c r="F156" s="12"/>
      <c r="G156" s="12"/>
      <c r="H156" s="30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spans="1:24" ht="12.75">
      <c r="A157" s="12"/>
      <c r="B157" s="70"/>
      <c r="C157" s="70"/>
      <c r="D157" s="301"/>
      <c r="E157" s="70"/>
      <c r="F157" s="12"/>
      <c r="G157" s="12"/>
      <c r="H157" s="30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spans="1:24" ht="12.75">
      <c r="A158" s="12"/>
      <c r="B158" s="70"/>
      <c r="C158" s="70"/>
      <c r="D158" s="301"/>
      <c r="E158" s="70"/>
      <c r="F158" s="12"/>
      <c r="G158" s="12"/>
      <c r="H158" s="30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spans="1:24" ht="12.75">
      <c r="A159" s="12"/>
      <c r="B159" s="70"/>
      <c r="C159" s="70"/>
      <c r="D159" s="301"/>
      <c r="E159" s="70"/>
      <c r="F159" s="12"/>
      <c r="G159" s="12"/>
      <c r="H159" s="30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spans="1:24" ht="12.75">
      <c r="A160" s="12"/>
      <c r="B160" s="70"/>
      <c r="C160" s="70"/>
      <c r="D160" s="301"/>
      <c r="E160" s="70"/>
      <c r="F160" s="12"/>
      <c r="G160" s="12"/>
      <c r="H160" s="30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spans="1:24" ht="12.75">
      <c r="A161" s="12"/>
      <c r="B161" s="70"/>
      <c r="C161" s="70"/>
      <c r="D161" s="301"/>
      <c r="E161" s="70"/>
      <c r="F161" s="12"/>
      <c r="G161" s="12"/>
      <c r="H161" s="30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spans="1:24" ht="12.75">
      <c r="A162" s="12"/>
      <c r="B162" s="70"/>
      <c r="C162" s="70"/>
      <c r="D162" s="301"/>
      <c r="E162" s="70"/>
      <c r="F162" s="12"/>
      <c r="G162" s="12"/>
      <c r="H162" s="30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spans="1:24" ht="12.75">
      <c r="A163" s="12"/>
      <c r="B163" s="70"/>
      <c r="C163" s="70"/>
      <c r="D163" s="301"/>
      <c r="E163" s="70"/>
      <c r="F163" s="12"/>
      <c r="G163" s="12"/>
      <c r="H163" s="30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spans="1:24" ht="12.75">
      <c r="A164" s="12"/>
      <c r="B164" s="70"/>
      <c r="C164" s="70"/>
      <c r="D164" s="301"/>
      <c r="E164" s="70"/>
      <c r="F164" s="12"/>
      <c r="G164" s="12"/>
      <c r="H164" s="30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spans="1:24" ht="12.75">
      <c r="A165" s="12"/>
      <c r="B165" s="70"/>
      <c r="C165" s="70"/>
      <c r="D165" s="301"/>
      <c r="E165" s="70"/>
      <c r="F165" s="12"/>
      <c r="G165" s="12"/>
      <c r="H165" s="30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spans="1:24" ht="12.75">
      <c r="A166" s="12"/>
      <c r="B166" s="70"/>
      <c r="C166" s="70"/>
      <c r="D166" s="301"/>
      <c r="E166" s="70"/>
      <c r="F166" s="12"/>
      <c r="G166" s="12"/>
      <c r="H166" s="30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spans="1:24" ht="12.75">
      <c r="A167" s="12"/>
      <c r="B167" s="70"/>
      <c r="C167" s="70"/>
      <c r="D167" s="301"/>
      <c r="E167" s="70"/>
      <c r="F167" s="12"/>
      <c r="G167" s="12"/>
      <c r="H167" s="30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spans="1:24" ht="12.75">
      <c r="A168" s="12"/>
      <c r="B168" s="70"/>
      <c r="C168" s="70"/>
      <c r="D168" s="301"/>
      <c r="E168" s="70"/>
      <c r="F168" s="12"/>
      <c r="G168" s="12"/>
      <c r="H168" s="30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spans="1:24" ht="12.75">
      <c r="A169" s="12"/>
      <c r="B169" s="70"/>
      <c r="C169" s="70"/>
      <c r="D169" s="301"/>
      <c r="E169" s="70"/>
      <c r="F169" s="12"/>
      <c r="G169" s="12"/>
      <c r="H169" s="30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spans="1:24" ht="12.75">
      <c r="A170" s="12"/>
      <c r="B170" s="70"/>
      <c r="C170" s="70"/>
      <c r="D170" s="301"/>
      <c r="E170" s="70"/>
      <c r="F170" s="12"/>
      <c r="G170" s="12"/>
      <c r="H170" s="30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spans="1:24" ht="12.75">
      <c r="A171" s="12"/>
      <c r="B171" s="70"/>
      <c r="C171" s="70"/>
      <c r="D171" s="301"/>
      <c r="E171" s="70"/>
      <c r="F171" s="12"/>
      <c r="G171" s="12"/>
      <c r="H171" s="30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spans="1:24" ht="12.75">
      <c r="A172" s="12"/>
      <c r="B172" s="70"/>
      <c r="C172" s="70"/>
      <c r="D172" s="301"/>
      <c r="E172" s="70"/>
      <c r="F172" s="12"/>
      <c r="G172" s="12"/>
      <c r="H172" s="30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spans="1:24" ht="12.75">
      <c r="A173" s="12"/>
      <c r="B173" s="70"/>
      <c r="C173" s="70"/>
      <c r="D173" s="301"/>
      <c r="E173" s="70"/>
      <c r="F173" s="12"/>
      <c r="G173" s="12"/>
      <c r="H173" s="30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spans="1:24" ht="12.75">
      <c r="A174" s="12"/>
      <c r="B174" s="70"/>
      <c r="C174" s="70"/>
      <c r="D174" s="301"/>
      <c r="E174" s="70"/>
      <c r="F174" s="12"/>
      <c r="G174" s="12"/>
      <c r="H174" s="30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spans="1:24" ht="12.75">
      <c r="A175" s="12"/>
      <c r="B175" s="70"/>
      <c r="C175" s="70"/>
      <c r="D175" s="301"/>
      <c r="E175" s="70"/>
      <c r="F175" s="12"/>
      <c r="G175" s="12"/>
      <c r="H175" s="30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spans="1:24" ht="12.75">
      <c r="A176" s="12"/>
      <c r="B176" s="70"/>
      <c r="C176" s="70"/>
      <c r="D176" s="301"/>
      <c r="E176" s="70"/>
      <c r="F176" s="12"/>
      <c r="G176" s="12"/>
      <c r="H176" s="30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spans="1:24" ht="12.75">
      <c r="A177" s="12"/>
      <c r="B177" s="70"/>
      <c r="C177" s="70"/>
      <c r="D177" s="301"/>
      <c r="E177" s="70"/>
      <c r="F177" s="12"/>
      <c r="G177" s="12"/>
      <c r="H177" s="30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spans="1:24" ht="12.75">
      <c r="A178" s="12"/>
      <c r="B178" s="70"/>
      <c r="C178" s="70"/>
      <c r="D178" s="301"/>
      <c r="E178" s="70"/>
      <c r="F178" s="12"/>
      <c r="G178" s="12"/>
      <c r="H178" s="30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spans="1:24" ht="12.75">
      <c r="A179" s="12"/>
      <c r="B179" s="70"/>
      <c r="C179" s="70"/>
      <c r="D179" s="301"/>
      <c r="E179" s="70"/>
      <c r="F179" s="12"/>
      <c r="G179" s="12"/>
      <c r="H179" s="30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spans="1:24" ht="12.75">
      <c r="A180" s="12"/>
      <c r="B180" s="70"/>
      <c r="C180" s="70"/>
      <c r="D180" s="301"/>
      <c r="E180" s="70"/>
      <c r="F180" s="12"/>
      <c r="G180" s="12"/>
      <c r="H180" s="30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spans="1:24" ht="12.75">
      <c r="A181" s="12"/>
      <c r="B181" s="70"/>
      <c r="C181" s="70"/>
      <c r="D181" s="301"/>
      <c r="E181" s="70"/>
      <c r="F181" s="12"/>
      <c r="G181" s="12"/>
      <c r="H181" s="30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spans="1:24" ht="12.75">
      <c r="A182" s="12"/>
      <c r="B182" s="70"/>
      <c r="C182" s="70"/>
      <c r="D182" s="301"/>
      <c r="E182" s="70"/>
      <c r="F182" s="12"/>
      <c r="G182" s="12"/>
      <c r="H182" s="30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spans="1:24" ht="12.75">
      <c r="A183" s="12"/>
      <c r="B183" s="70"/>
      <c r="C183" s="70"/>
      <c r="D183" s="301"/>
      <c r="E183" s="70"/>
      <c r="F183" s="12"/>
      <c r="G183" s="12"/>
      <c r="H183" s="30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spans="1:24" ht="12.75">
      <c r="A184" s="12"/>
      <c r="B184" s="70"/>
      <c r="C184" s="70"/>
      <c r="D184" s="301"/>
      <c r="E184" s="70"/>
      <c r="F184" s="12"/>
      <c r="G184" s="12"/>
      <c r="H184" s="30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spans="1:24" ht="12.75">
      <c r="A185" s="12"/>
      <c r="B185" s="70"/>
      <c r="C185" s="70"/>
      <c r="D185" s="301"/>
      <c r="E185" s="70"/>
      <c r="F185" s="12"/>
      <c r="G185" s="12"/>
      <c r="H185" s="30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spans="1:24" ht="12.75">
      <c r="A186" s="12"/>
      <c r="B186" s="70"/>
      <c r="C186" s="70"/>
      <c r="D186" s="301"/>
      <c r="E186" s="70"/>
      <c r="F186" s="12"/>
      <c r="G186" s="12"/>
      <c r="H186" s="30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spans="1:24" ht="12.75">
      <c r="A187" s="12"/>
      <c r="B187" s="70"/>
      <c r="C187" s="70"/>
      <c r="D187" s="301"/>
      <c r="E187" s="70"/>
      <c r="F187" s="12"/>
      <c r="G187" s="12"/>
      <c r="H187" s="30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spans="1:24" ht="12.75">
      <c r="A188" s="12"/>
      <c r="B188" s="70"/>
      <c r="C188" s="70"/>
      <c r="D188" s="301"/>
      <c r="E188" s="70"/>
      <c r="F188" s="12"/>
      <c r="G188" s="12"/>
      <c r="H188" s="30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spans="1:24" ht="12.75">
      <c r="A189" s="12"/>
      <c r="B189" s="70"/>
      <c r="C189" s="70"/>
      <c r="D189" s="301"/>
      <c r="E189" s="70"/>
      <c r="F189" s="12"/>
      <c r="G189" s="12"/>
      <c r="H189" s="30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spans="1:24" ht="12.75">
      <c r="A190" s="12"/>
      <c r="B190" s="70"/>
      <c r="C190" s="70"/>
      <c r="D190" s="301"/>
      <c r="E190" s="70"/>
      <c r="F190" s="12"/>
      <c r="G190" s="12"/>
      <c r="H190" s="30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spans="1:24" ht="12.75">
      <c r="A191" s="12"/>
      <c r="B191" s="70"/>
      <c r="C191" s="70"/>
      <c r="D191" s="301"/>
      <c r="E191" s="70"/>
      <c r="F191" s="12"/>
      <c r="G191" s="12"/>
      <c r="H191" s="30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spans="1:24" ht="12.75">
      <c r="A192" s="12"/>
      <c r="B192" s="70"/>
      <c r="C192" s="70"/>
      <c r="D192" s="301"/>
      <c r="E192" s="70"/>
      <c r="F192" s="12"/>
      <c r="G192" s="12"/>
      <c r="H192" s="30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spans="1:24" ht="12.75">
      <c r="A193" s="12"/>
      <c r="B193" s="70"/>
      <c r="C193" s="70"/>
      <c r="D193" s="301"/>
      <c r="E193" s="70"/>
      <c r="F193" s="12"/>
      <c r="G193" s="12"/>
      <c r="H193" s="30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spans="1:24" ht="12.75">
      <c r="A194" s="12"/>
      <c r="B194" s="70"/>
      <c r="C194" s="70"/>
      <c r="D194" s="301"/>
      <c r="E194" s="70"/>
      <c r="F194" s="12"/>
      <c r="G194" s="12"/>
      <c r="H194" s="30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spans="1:24" ht="12.75">
      <c r="A195" s="12"/>
      <c r="B195" s="70"/>
      <c r="C195" s="70"/>
      <c r="D195" s="301"/>
      <c r="E195" s="70"/>
      <c r="F195" s="12"/>
      <c r="G195" s="12"/>
      <c r="H195" s="30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spans="1:24" ht="12.75">
      <c r="A196" s="12"/>
      <c r="B196" s="70"/>
      <c r="C196" s="70"/>
      <c r="D196" s="301"/>
      <c r="E196" s="70"/>
      <c r="F196" s="12"/>
      <c r="G196" s="12"/>
      <c r="H196" s="30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spans="1:24" ht="12.75">
      <c r="A197" s="12"/>
      <c r="B197" s="70"/>
      <c r="C197" s="70"/>
      <c r="D197" s="301"/>
      <c r="E197" s="70"/>
      <c r="F197" s="12"/>
      <c r="G197" s="12"/>
      <c r="H197" s="30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spans="1:24" ht="12.75">
      <c r="A198" s="12"/>
      <c r="B198" s="70"/>
      <c r="C198" s="70"/>
      <c r="D198" s="301"/>
      <c r="E198" s="70"/>
      <c r="F198" s="12"/>
      <c r="G198" s="12"/>
      <c r="H198" s="30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spans="1:24" ht="12.75">
      <c r="A199" s="12"/>
      <c r="B199" s="70"/>
      <c r="C199" s="70"/>
      <c r="D199" s="301"/>
      <c r="E199" s="70"/>
      <c r="F199" s="12"/>
      <c r="G199" s="12"/>
      <c r="H199" s="30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spans="1:24" ht="12.75">
      <c r="A200" s="12"/>
      <c r="B200" s="70"/>
      <c r="C200" s="70"/>
      <c r="D200" s="301"/>
      <c r="E200" s="70"/>
      <c r="F200" s="12"/>
      <c r="G200" s="12"/>
      <c r="H200" s="30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spans="1:24" ht="12.75">
      <c r="A201" s="12"/>
      <c r="B201" s="70"/>
      <c r="C201" s="70"/>
      <c r="D201" s="301"/>
      <c r="E201" s="70"/>
      <c r="F201" s="12"/>
      <c r="G201" s="12"/>
      <c r="H201" s="30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spans="1:24" ht="12.75">
      <c r="A202" s="12"/>
      <c r="B202" s="70"/>
      <c r="C202" s="70"/>
      <c r="D202" s="301"/>
      <c r="E202" s="70"/>
      <c r="F202" s="12"/>
      <c r="G202" s="12"/>
      <c r="H202" s="30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spans="1:24" ht="12.75">
      <c r="A203" s="12"/>
      <c r="B203" s="70"/>
      <c r="C203" s="70"/>
      <c r="D203" s="301"/>
      <c r="E203" s="70"/>
      <c r="F203" s="12"/>
      <c r="G203" s="12"/>
      <c r="H203" s="30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spans="1:24" ht="12.75">
      <c r="A204" s="12"/>
      <c r="B204" s="70"/>
      <c r="C204" s="70"/>
      <c r="D204" s="301"/>
      <c r="E204" s="70"/>
      <c r="F204" s="12"/>
      <c r="G204" s="12"/>
      <c r="H204" s="30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spans="1:24" ht="12.75">
      <c r="A205" s="12"/>
      <c r="B205" s="70"/>
      <c r="C205" s="70"/>
      <c r="D205" s="301"/>
      <c r="E205" s="70"/>
      <c r="F205" s="12"/>
      <c r="G205" s="12"/>
      <c r="H205" s="30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spans="1:24" ht="12.75">
      <c r="A206" s="12"/>
      <c r="B206" s="70"/>
      <c r="C206" s="70"/>
      <c r="D206" s="301"/>
      <c r="E206" s="70"/>
      <c r="F206" s="12"/>
      <c r="G206" s="12"/>
      <c r="H206" s="30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spans="1:24" ht="12.75">
      <c r="A207" s="12"/>
      <c r="B207" s="70"/>
      <c r="C207" s="70"/>
      <c r="D207" s="301"/>
      <c r="E207" s="70"/>
      <c r="F207" s="12"/>
      <c r="G207" s="12"/>
      <c r="H207" s="30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spans="1:24" ht="12.75">
      <c r="A208" s="12"/>
      <c r="B208" s="70"/>
      <c r="C208" s="70"/>
      <c r="D208" s="301"/>
      <c r="E208" s="70"/>
      <c r="F208" s="12"/>
      <c r="G208" s="12"/>
      <c r="H208" s="30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spans="1:24" ht="12.75">
      <c r="A209" s="12"/>
      <c r="B209" s="70"/>
      <c r="C209" s="70"/>
      <c r="D209" s="301"/>
      <c r="E209" s="70"/>
      <c r="F209" s="12"/>
      <c r="G209" s="12"/>
      <c r="H209" s="30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spans="1:24" ht="12.75">
      <c r="A210" s="12"/>
      <c r="B210" s="70"/>
      <c r="C210" s="70"/>
      <c r="D210" s="301"/>
      <c r="E210" s="70"/>
      <c r="F210" s="12"/>
      <c r="G210" s="12"/>
      <c r="H210" s="30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spans="1:24" ht="12.75">
      <c r="A211" s="12"/>
      <c r="B211" s="70"/>
      <c r="C211" s="70"/>
      <c r="D211" s="301"/>
      <c r="E211" s="70"/>
      <c r="F211" s="12"/>
      <c r="G211" s="12"/>
      <c r="H211" s="30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spans="1:24" ht="12.75">
      <c r="A212" s="12"/>
      <c r="B212" s="70"/>
      <c r="C212" s="70"/>
      <c r="D212" s="301"/>
      <c r="E212" s="70"/>
      <c r="F212" s="12"/>
      <c r="G212" s="12"/>
      <c r="H212" s="30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spans="1:24" ht="12.75">
      <c r="A213" s="12"/>
      <c r="B213" s="70"/>
      <c r="C213" s="70"/>
      <c r="D213" s="301"/>
      <c r="E213" s="70"/>
      <c r="F213" s="12"/>
      <c r="G213" s="12"/>
      <c r="H213" s="30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spans="1:24" ht="12.75">
      <c r="A214" s="12"/>
      <c r="B214" s="70"/>
      <c r="C214" s="70"/>
      <c r="D214" s="301"/>
      <c r="E214" s="70"/>
      <c r="F214" s="12"/>
      <c r="G214" s="12"/>
      <c r="H214" s="30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spans="1:24" ht="12.75">
      <c r="A215" s="12"/>
      <c r="B215" s="70"/>
      <c r="C215" s="70"/>
      <c r="D215" s="301"/>
      <c r="E215" s="70"/>
      <c r="F215" s="12"/>
      <c r="G215" s="12"/>
      <c r="H215" s="30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spans="1:24" ht="12.75">
      <c r="A216" s="12"/>
      <c r="B216" s="70"/>
      <c r="C216" s="70"/>
      <c r="D216" s="301"/>
      <c r="E216" s="70"/>
      <c r="F216" s="12"/>
      <c r="G216" s="12"/>
      <c r="H216" s="30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  <row r="217" spans="1:24" ht="12.75">
      <c r="A217" s="12"/>
      <c r="B217" s="70"/>
      <c r="C217" s="70"/>
      <c r="D217" s="301"/>
      <c r="E217" s="70"/>
      <c r="F217" s="12"/>
      <c r="G217" s="12"/>
      <c r="H217" s="30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</row>
    <row r="218" spans="1:24" ht="12.75">
      <c r="A218" s="12"/>
      <c r="B218" s="70"/>
      <c r="C218" s="70"/>
      <c r="D218" s="301"/>
      <c r="E218" s="70"/>
      <c r="F218" s="12"/>
      <c r="G218" s="12"/>
      <c r="H218" s="30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</row>
    <row r="219" spans="1:24" ht="12.75">
      <c r="A219" s="12"/>
      <c r="B219" s="70"/>
      <c r="C219" s="70"/>
      <c r="D219" s="301"/>
      <c r="E219" s="70"/>
      <c r="F219" s="12"/>
      <c r="G219" s="12"/>
      <c r="H219" s="30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</row>
    <row r="220" spans="1:24" ht="12.75">
      <c r="A220" s="12"/>
      <c r="B220" s="70"/>
      <c r="C220" s="70"/>
      <c r="D220" s="301"/>
      <c r="E220" s="70"/>
      <c r="F220" s="12"/>
      <c r="G220" s="12"/>
      <c r="H220" s="30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</row>
    <row r="221" spans="1:24" ht="12.75">
      <c r="A221" s="12"/>
      <c r="B221" s="70"/>
      <c r="C221" s="70"/>
      <c r="D221" s="301"/>
      <c r="E221" s="70"/>
      <c r="F221" s="12"/>
      <c r="G221" s="12"/>
      <c r="H221" s="30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</row>
    <row r="222" spans="1:24" ht="12.75">
      <c r="A222" s="12"/>
      <c r="B222" s="70"/>
      <c r="C222" s="70"/>
      <c r="D222" s="301"/>
      <c r="E222" s="70"/>
      <c r="F222" s="12"/>
      <c r="G222" s="12"/>
      <c r="H222" s="30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</row>
    <row r="223" spans="1:24" ht="12.75">
      <c r="A223" s="12"/>
      <c r="B223" s="70"/>
      <c r="C223" s="70"/>
      <c r="D223" s="301"/>
      <c r="E223" s="70"/>
      <c r="F223" s="12"/>
      <c r="G223" s="12"/>
      <c r="H223" s="30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</row>
    <row r="224" spans="1:24" ht="12.75">
      <c r="A224" s="12"/>
      <c r="B224" s="70"/>
      <c r="C224" s="70"/>
      <c r="D224" s="301"/>
      <c r="E224" s="70"/>
      <c r="F224" s="12"/>
      <c r="G224" s="12"/>
      <c r="H224" s="30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</row>
    <row r="225" spans="1:24" ht="12.75">
      <c r="A225" s="12"/>
      <c r="B225" s="70"/>
      <c r="C225" s="70"/>
      <c r="D225" s="301"/>
      <c r="E225" s="70"/>
      <c r="F225" s="12"/>
      <c r="G225" s="12"/>
      <c r="H225" s="30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</row>
    <row r="226" spans="1:24" ht="12.75">
      <c r="A226" s="12"/>
      <c r="B226" s="70"/>
      <c r="C226" s="70"/>
      <c r="D226" s="301"/>
      <c r="E226" s="70"/>
      <c r="F226" s="12"/>
      <c r="G226" s="12"/>
      <c r="H226" s="30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</row>
    <row r="227" spans="1:24" ht="12.75">
      <c r="A227" s="12"/>
      <c r="B227" s="70"/>
      <c r="C227" s="70"/>
      <c r="D227" s="301"/>
      <c r="E227" s="70"/>
      <c r="F227" s="12"/>
      <c r="G227" s="12"/>
      <c r="H227" s="30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</row>
    <row r="228" spans="1:24" ht="12.75">
      <c r="A228" s="12"/>
      <c r="B228" s="70"/>
      <c r="C228" s="70"/>
      <c r="D228" s="301"/>
      <c r="E228" s="70"/>
      <c r="F228" s="12"/>
      <c r="G228" s="12"/>
      <c r="H228" s="30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</row>
    <row r="229" spans="1:24" ht="12.75">
      <c r="A229" s="12"/>
      <c r="B229" s="70"/>
      <c r="C229" s="70"/>
      <c r="D229" s="301"/>
      <c r="E229" s="70"/>
      <c r="F229" s="12"/>
      <c r="G229" s="12"/>
      <c r="H229" s="30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</row>
    <row r="230" spans="1:24" ht="12.75">
      <c r="A230" s="12"/>
      <c r="B230" s="70"/>
      <c r="C230" s="70"/>
      <c r="D230" s="301"/>
      <c r="E230" s="70"/>
      <c r="F230" s="12"/>
      <c r="G230" s="12"/>
      <c r="H230" s="30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</row>
    <row r="231" spans="1:24" ht="12.75">
      <c r="A231" s="12"/>
      <c r="B231" s="70"/>
      <c r="C231" s="70"/>
      <c r="D231" s="301"/>
      <c r="E231" s="70"/>
      <c r="F231" s="12"/>
      <c r="G231" s="12"/>
      <c r="H231" s="30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</row>
    <row r="232" spans="1:24" ht="12.75">
      <c r="A232" s="12"/>
      <c r="B232" s="70"/>
      <c r="C232" s="70"/>
      <c r="D232" s="301"/>
      <c r="E232" s="70"/>
      <c r="F232" s="12"/>
      <c r="G232" s="12"/>
      <c r="H232" s="30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</row>
    <row r="233" spans="1:24" ht="12.75">
      <c r="A233" s="12"/>
      <c r="B233" s="70"/>
      <c r="C233" s="70"/>
      <c r="D233" s="301"/>
      <c r="E233" s="70"/>
      <c r="F233" s="12"/>
      <c r="G233" s="12"/>
      <c r="H233" s="30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</row>
    <row r="234" spans="1:24" ht="12.75">
      <c r="A234" s="12"/>
      <c r="B234" s="70"/>
      <c r="C234" s="70"/>
      <c r="D234" s="301"/>
      <c r="E234" s="70"/>
      <c r="F234" s="12"/>
      <c r="G234" s="12"/>
      <c r="H234" s="30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</row>
    <row r="235" spans="1:24" ht="12.75">
      <c r="A235" s="12"/>
      <c r="B235" s="70"/>
      <c r="C235" s="70"/>
      <c r="D235" s="301"/>
      <c r="E235" s="70"/>
      <c r="F235" s="12"/>
      <c r="G235" s="12"/>
      <c r="H235" s="30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</row>
    <row r="236" spans="1:24" ht="12.75">
      <c r="A236" s="12"/>
      <c r="B236" s="70"/>
      <c r="C236" s="70"/>
      <c r="D236" s="301"/>
      <c r="E236" s="70"/>
      <c r="F236" s="12"/>
      <c r="G236" s="12"/>
      <c r="H236" s="30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</row>
    <row r="237" spans="1:24" ht="12.75">
      <c r="A237" s="12"/>
      <c r="B237" s="70"/>
      <c r="C237" s="70"/>
      <c r="D237" s="301"/>
      <c r="E237" s="70"/>
      <c r="F237" s="12"/>
      <c r="G237" s="12"/>
      <c r="H237" s="30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</row>
    <row r="238" spans="1:24" ht="12.75">
      <c r="A238" s="12"/>
      <c r="B238" s="70"/>
      <c r="C238" s="70"/>
      <c r="D238" s="301"/>
      <c r="E238" s="70"/>
      <c r="F238" s="12"/>
      <c r="G238" s="12"/>
      <c r="H238" s="30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</row>
    <row r="239" spans="1:24" ht="12.75">
      <c r="A239" s="12"/>
      <c r="B239" s="70"/>
      <c r="C239" s="70"/>
      <c r="D239" s="301"/>
      <c r="E239" s="70"/>
      <c r="F239" s="12"/>
      <c r="G239" s="12"/>
      <c r="H239" s="30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</row>
    <row r="240" spans="1:24" ht="12.75">
      <c r="A240" s="12"/>
      <c r="B240" s="70"/>
      <c r="C240" s="70"/>
      <c r="D240" s="301"/>
      <c r="E240" s="70"/>
      <c r="F240" s="12"/>
      <c r="G240" s="12"/>
      <c r="H240" s="30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</row>
    <row r="241" spans="1:24" ht="12.75">
      <c r="A241" s="12"/>
      <c r="B241" s="70"/>
      <c r="C241" s="70"/>
      <c r="D241" s="301"/>
      <c r="E241" s="70"/>
      <c r="F241" s="12"/>
      <c r="G241" s="12"/>
      <c r="H241" s="30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</row>
    <row r="242" spans="1:24" ht="12.75">
      <c r="A242" s="12"/>
      <c r="B242" s="70"/>
      <c r="C242" s="70"/>
      <c r="D242" s="301"/>
      <c r="E242" s="70"/>
      <c r="F242" s="12"/>
      <c r="G242" s="12"/>
      <c r="H242" s="30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</row>
    <row r="243" spans="1:24" ht="12.75">
      <c r="A243" s="12"/>
      <c r="B243" s="70"/>
      <c r="C243" s="70"/>
      <c r="D243" s="301"/>
      <c r="E243" s="70"/>
      <c r="F243" s="12"/>
      <c r="G243" s="12"/>
      <c r="H243" s="30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</row>
    <row r="244" spans="1:24" ht="12.75">
      <c r="A244" s="12"/>
      <c r="B244" s="70"/>
      <c r="C244" s="70"/>
      <c r="D244" s="301"/>
      <c r="E244" s="70"/>
      <c r="F244" s="12"/>
      <c r="G244" s="12"/>
      <c r="H244" s="30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</row>
    <row r="245" spans="1:24" ht="12.75">
      <c r="A245" s="12"/>
      <c r="B245" s="70"/>
      <c r="C245" s="70"/>
      <c r="D245" s="301"/>
      <c r="E245" s="70"/>
      <c r="F245" s="12"/>
      <c r="G245" s="12"/>
      <c r="H245" s="30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</row>
    <row r="246" spans="1:24" ht="12.75">
      <c r="A246" s="12"/>
      <c r="B246" s="70"/>
      <c r="C246" s="70"/>
      <c r="D246" s="301"/>
      <c r="E246" s="70"/>
      <c r="F246" s="12"/>
      <c r="G246" s="12"/>
      <c r="H246" s="30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</row>
    <row r="247" spans="1:24" ht="12.75">
      <c r="A247" s="12"/>
      <c r="B247" s="70"/>
      <c r="C247" s="70"/>
      <c r="D247" s="301"/>
      <c r="E247" s="70"/>
      <c r="F247" s="12"/>
      <c r="G247" s="12"/>
      <c r="H247" s="30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</row>
    <row r="248" spans="1:24" ht="12.75">
      <c r="A248" s="12"/>
      <c r="B248" s="70"/>
      <c r="C248" s="70"/>
      <c r="D248" s="301"/>
      <c r="E248" s="70"/>
      <c r="F248" s="12"/>
      <c r="G248" s="12"/>
      <c r="H248" s="30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</row>
    <row r="249" spans="1:24" ht="12.75">
      <c r="A249" s="12"/>
      <c r="B249" s="70"/>
      <c r="C249" s="70"/>
      <c r="D249" s="301"/>
      <c r="E249" s="70"/>
      <c r="F249" s="12"/>
      <c r="G249" s="12"/>
      <c r="H249" s="30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</row>
    <row r="250" spans="1:24" ht="12.75">
      <c r="A250" s="12"/>
      <c r="B250" s="70"/>
      <c r="C250" s="70"/>
      <c r="D250" s="301"/>
      <c r="E250" s="70"/>
      <c r="F250" s="12"/>
      <c r="G250" s="12"/>
      <c r="H250" s="30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</row>
    <row r="251" spans="1:24" ht="12.75">
      <c r="A251" s="12"/>
      <c r="B251" s="70"/>
      <c r="C251" s="70"/>
      <c r="D251" s="301"/>
      <c r="E251" s="70"/>
      <c r="F251" s="12"/>
      <c r="G251" s="12"/>
      <c r="H251" s="30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</row>
    <row r="252" spans="1:24" ht="12.75">
      <c r="A252" s="12"/>
      <c r="B252" s="70"/>
      <c r="C252" s="70"/>
      <c r="D252" s="301"/>
      <c r="E252" s="70"/>
      <c r="F252" s="12"/>
      <c r="G252" s="12"/>
      <c r="H252" s="30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</row>
    <row r="253" spans="1:24" ht="12.75">
      <c r="A253" s="12"/>
      <c r="B253" s="70"/>
      <c r="C253" s="70"/>
      <c r="D253" s="301"/>
      <c r="E253" s="70"/>
      <c r="F253" s="12"/>
      <c r="G253" s="12"/>
      <c r="H253" s="30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</row>
    <row r="254" spans="1:24" ht="12.75">
      <c r="A254" s="12"/>
      <c r="B254" s="70"/>
      <c r="C254" s="70"/>
      <c r="D254" s="301"/>
      <c r="E254" s="70"/>
      <c r="F254" s="12"/>
      <c r="G254" s="12"/>
      <c r="H254" s="30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</row>
    <row r="255" spans="1:24" ht="12.75">
      <c r="A255" s="12"/>
      <c r="B255" s="70"/>
      <c r="C255" s="70"/>
      <c r="D255" s="301"/>
      <c r="E255" s="70"/>
      <c r="F255" s="12"/>
      <c r="G255" s="12"/>
      <c r="H255" s="30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</row>
    <row r="256" spans="1:24" ht="12.75">
      <c r="A256" s="12"/>
      <c r="B256" s="70"/>
      <c r="C256" s="70"/>
      <c r="D256" s="301"/>
      <c r="E256" s="70"/>
      <c r="F256" s="12"/>
      <c r="G256" s="12"/>
      <c r="H256" s="30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</row>
    <row r="257" spans="1:24" ht="12.75">
      <c r="A257" s="12"/>
      <c r="B257" s="70"/>
      <c r="C257" s="70"/>
      <c r="D257" s="301"/>
      <c r="E257" s="70"/>
      <c r="F257" s="12"/>
      <c r="G257" s="12"/>
      <c r="H257" s="30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</row>
    <row r="258" spans="1:24" ht="12.75">
      <c r="A258" s="12"/>
      <c r="B258" s="70"/>
      <c r="C258" s="70"/>
      <c r="D258" s="301"/>
      <c r="E258" s="70"/>
      <c r="F258" s="12"/>
      <c r="G258" s="12"/>
      <c r="H258" s="30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</row>
    <row r="259" spans="1:24" ht="12.75">
      <c r="A259" s="12"/>
      <c r="B259" s="70"/>
      <c r="C259" s="70"/>
      <c r="D259" s="301"/>
      <c r="E259" s="70"/>
      <c r="F259" s="12"/>
      <c r="G259" s="12"/>
      <c r="H259" s="30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</row>
    <row r="260" spans="1:24" ht="12.75">
      <c r="A260" s="12"/>
      <c r="B260" s="70"/>
      <c r="C260" s="70"/>
      <c r="D260" s="301"/>
      <c r="E260" s="70"/>
      <c r="F260" s="12"/>
      <c r="G260" s="12"/>
      <c r="H260" s="30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</row>
    <row r="261" spans="1:24" ht="12.75">
      <c r="A261" s="12"/>
      <c r="B261" s="70"/>
      <c r="C261" s="70"/>
      <c r="D261" s="301"/>
      <c r="E261" s="70"/>
      <c r="F261" s="12"/>
      <c r="G261" s="12"/>
      <c r="H261" s="30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</row>
    <row r="262" spans="1:24" ht="12.75">
      <c r="A262" s="12"/>
      <c r="B262" s="70"/>
      <c r="C262" s="70"/>
      <c r="D262" s="301"/>
      <c r="E262" s="70"/>
      <c r="F262" s="12"/>
      <c r="G262" s="12"/>
      <c r="H262" s="30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</row>
    <row r="263" spans="1:24" ht="12.75">
      <c r="A263" s="12"/>
      <c r="B263" s="70"/>
      <c r="C263" s="70"/>
      <c r="D263" s="301"/>
      <c r="E263" s="70"/>
      <c r="F263" s="12"/>
      <c r="G263" s="12"/>
      <c r="H263" s="30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</row>
    <row r="264" spans="1:24" ht="12.75">
      <c r="A264" s="12"/>
      <c r="B264" s="70"/>
      <c r="C264" s="70"/>
      <c r="D264" s="301"/>
      <c r="E264" s="70"/>
      <c r="F264" s="12"/>
      <c r="G264" s="12"/>
      <c r="H264" s="30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</row>
    <row r="265" spans="1:24" ht="12.75">
      <c r="A265" s="12"/>
      <c r="B265" s="70"/>
      <c r="C265" s="70"/>
      <c r="D265" s="301"/>
      <c r="E265" s="70"/>
      <c r="F265" s="12"/>
      <c r="G265" s="12"/>
      <c r="H265" s="30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</row>
    <row r="266" spans="1:24" ht="12.75">
      <c r="A266" s="12"/>
      <c r="B266" s="70"/>
      <c r="C266" s="70"/>
      <c r="D266" s="301"/>
      <c r="E266" s="70"/>
      <c r="F266" s="12"/>
      <c r="G266" s="12"/>
      <c r="H266" s="30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</row>
    <row r="267" spans="1:24" ht="12.75">
      <c r="A267" s="12"/>
      <c r="B267" s="70"/>
      <c r="C267" s="70"/>
      <c r="D267" s="301"/>
      <c r="E267" s="70"/>
      <c r="F267" s="12"/>
      <c r="G267" s="12"/>
      <c r="H267" s="30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</row>
    <row r="268" spans="1:24" ht="12.75">
      <c r="A268" s="12"/>
      <c r="B268" s="70"/>
      <c r="C268" s="70"/>
      <c r="D268" s="301"/>
      <c r="E268" s="70"/>
      <c r="F268" s="12"/>
      <c r="G268" s="12"/>
      <c r="H268" s="30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</row>
    <row r="269" spans="1:24" ht="12.75">
      <c r="A269" s="12"/>
      <c r="B269" s="70"/>
      <c r="C269" s="70"/>
      <c r="D269" s="301"/>
      <c r="E269" s="70"/>
      <c r="F269" s="12"/>
      <c r="G269" s="12"/>
      <c r="H269" s="30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</row>
    <row r="270" spans="1:24" ht="12.75">
      <c r="A270" s="12"/>
      <c r="B270" s="70"/>
      <c r="C270" s="70"/>
      <c r="D270" s="301"/>
      <c r="E270" s="70"/>
      <c r="F270" s="12"/>
      <c r="G270" s="12"/>
      <c r="H270" s="30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</row>
    <row r="271" spans="1:24" ht="12.75">
      <c r="A271" s="12"/>
      <c r="B271" s="70"/>
      <c r="C271" s="70"/>
      <c r="D271" s="301"/>
      <c r="E271" s="70"/>
      <c r="F271" s="12"/>
      <c r="G271" s="12"/>
      <c r="H271" s="30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</row>
    <row r="272" spans="1:24" ht="12.75">
      <c r="A272" s="12"/>
      <c r="B272" s="70"/>
      <c r="C272" s="70"/>
      <c r="D272" s="301"/>
      <c r="E272" s="70"/>
      <c r="F272" s="12"/>
      <c r="G272" s="12"/>
      <c r="H272" s="30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</row>
    <row r="273" spans="1:24" ht="12.75">
      <c r="A273" s="12"/>
      <c r="B273" s="70"/>
      <c r="C273" s="70"/>
      <c r="D273" s="301"/>
      <c r="E273" s="70"/>
      <c r="F273" s="12"/>
      <c r="G273" s="12"/>
      <c r="H273" s="30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</row>
    <row r="274" spans="1:24" ht="12.75">
      <c r="A274" s="12"/>
      <c r="B274" s="70"/>
      <c r="C274" s="70"/>
      <c r="D274" s="301"/>
      <c r="E274" s="70"/>
      <c r="F274" s="12"/>
      <c r="G274" s="12"/>
      <c r="H274" s="30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</row>
    <row r="275" spans="1:24" ht="12.75">
      <c r="A275" s="12"/>
      <c r="B275" s="70"/>
      <c r="C275" s="70"/>
      <c r="D275" s="301"/>
      <c r="E275" s="70"/>
      <c r="F275" s="12"/>
      <c r="G275" s="12"/>
      <c r="H275" s="30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</row>
    <row r="276" spans="1:24" ht="12.75">
      <c r="A276" s="12"/>
      <c r="B276" s="70"/>
      <c r="C276" s="70"/>
      <c r="D276" s="301"/>
      <c r="E276" s="70"/>
      <c r="F276" s="12"/>
      <c r="G276" s="12"/>
      <c r="H276" s="30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</row>
    <row r="277" spans="1:24" ht="12.75">
      <c r="A277" s="12"/>
      <c r="B277" s="70"/>
      <c r="C277" s="70"/>
      <c r="D277" s="301"/>
      <c r="E277" s="70"/>
      <c r="F277" s="12"/>
      <c r="G277" s="12"/>
      <c r="H277" s="30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</row>
    <row r="278" spans="1:24" ht="12.75">
      <c r="A278" s="12"/>
      <c r="B278" s="70"/>
      <c r="C278" s="70"/>
      <c r="D278" s="301"/>
      <c r="E278" s="70"/>
      <c r="F278" s="12"/>
      <c r="G278" s="12"/>
      <c r="H278" s="30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</row>
    <row r="279" spans="1:24" ht="12.75">
      <c r="A279" s="12"/>
      <c r="B279" s="70"/>
      <c r="C279" s="70"/>
      <c r="D279" s="301"/>
      <c r="E279" s="70"/>
      <c r="F279" s="12"/>
      <c r="G279" s="12"/>
      <c r="H279" s="30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</row>
    <row r="280" spans="1:24" ht="12.75">
      <c r="A280" s="12"/>
      <c r="B280" s="70"/>
      <c r="C280" s="70"/>
      <c r="D280" s="301"/>
      <c r="E280" s="70"/>
      <c r="F280" s="12"/>
      <c r="G280" s="12"/>
      <c r="H280" s="30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</row>
    <row r="281" spans="1:24" ht="12.75">
      <c r="A281" s="12"/>
      <c r="B281" s="70"/>
      <c r="C281" s="70"/>
      <c r="D281" s="301"/>
      <c r="E281" s="70"/>
      <c r="F281" s="12"/>
      <c r="G281" s="12"/>
      <c r="H281" s="30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</row>
    <row r="282" spans="1:24" ht="12.75">
      <c r="A282" s="12"/>
      <c r="B282" s="70"/>
      <c r="C282" s="70"/>
      <c r="D282" s="301"/>
      <c r="E282" s="70"/>
      <c r="F282" s="12"/>
      <c r="G282" s="12"/>
      <c r="H282" s="30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</row>
    <row r="283" spans="1:24" ht="12.75">
      <c r="A283" s="12"/>
      <c r="B283" s="70"/>
      <c r="C283" s="70"/>
      <c r="D283" s="301"/>
      <c r="E283" s="70"/>
      <c r="F283" s="12"/>
      <c r="G283" s="12"/>
      <c r="H283" s="30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</row>
    <row r="284" spans="1:24" ht="12.75">
      <c r="A284" s="12"/>
      <c r="B284" s="70"/>
      <c r="C284" s="70"/>
      <c r="D284" s="301"/>
      <c r="E284" s="70"/>
      <c r="F284" s="12"/>
      <c r="G284" s="12"/>
      <c r="H284" s="30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</row>
    <row r="285" spans="1:24" ht="12.75">
      <c r="A285" s="12"/>
      <c r="B285" s="70"/>
      <c r="C285" s="70"/>
      <c r="D285" s="301"/>
      <c r="E285" s="70"/>
      <c r="F285" s="12"/>
      <c r="G285" s="12"/>
      <c r="H285" s="30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</row>
    <row r="286" spans="1:24" ht="12.75">
      <c r="A286" s="12"/>
      <c r="B286" s="70"/>
      <c r="C286" s="70"/>
      <c r="D286" s="301"/>
      <c r="E286" s="70"/>
      <c r="F286" s="12"/>
      <c r="G286" s="12"/>
      <c r="H286" s="30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</row>
    <row r="287" spans="1:24" ht="12.75">
      <c r="A287" s="12"/>
      <c r="B287" s="70"/>
      <c r="C287" s="70"/>
      <c r="D287" s="301"/>
      <c r="E287" s="70"/>
      <c r="F287" s="12"/>
      <c r="G287" s="12"/>
      <c r="H287" s="30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</row>
    <row r="288" spans="1:24" ht="12.75">
      <c r="A288" s="12"/>
      <c r="B288" s="70"/>
      <c r="C288" s="70"/>
      <c r="D288" s="301"/>
      <c r="E288" s="70"/>
      <c r="F288" s="12"/>
      <c r="G288" s="12"/>
      <c r="H288" s="30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</row>
    <row r="289" spans="1:24" ht="12.75">
      <c r="A289" s="12"/>
      <c r="B289" s="70"/>
      <c r="C289" s="70"/>
      <c r="D289" s="301"/>
      <c r="E289" s="70"/>
      <c r="F289" s="12"/>
      <c r="G289" s="12"/>
      <c r="H289" s="30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</row>
    <row r="290" spans="1:24" ht="12.75">
      <c r="A290" s="12"/>
      <c r="B290" s="70"/>
      <c r="C290" s="70"/>
      <c r="D290" s="301"/>
      <c r="E290" s="70"/>
      <c r="F290" s="12"/>
      <c r="G290" s="12"/>
      <c r="H290" s="30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</row>
    <row r="291" spans="1:24" ht="12.75">
      <c r="A291" s="12"/>
      <c r="B291" s="70"/>
      <c r="C291" s="70"/>
      <c r="D291" s="301"/>
      <c r="E291" s="70"/>
      <c r="F291" s="12"/>
      <c r="G291" s="12"/>
      <c r="H291" s="30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</row>
    <row r="292" spans="1:24" ht="12.75">
      <c r="A292" s="12"/>
      <c r="B292" s="70"/>
      <c r="C292" s="70"/>
      <c r="D292" s="301"/>
      <c r="E292" s="70"/>
      <c r="F292" s="12"/>
      <c r="G292" s="12"/>
      <c r="H292" s="30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</row>
    <row r="293" spans="1:24" ht="12.75">
      <c r="A293" s="12"/>
      <c r="B293" s="70"/>
      <c r="C293" s="70"/>
      <c r="D293" s="301"/>
      <c r="E293" s="70"/>
      <c r="F293" s="12"/>
      <c r="G293" s="12"/>
      <c r="H293" s="30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</row>
    <row r="294" spans="1:24" ht="12.75">
      <c r="A294" s="12"/>
      <c r="B294" s="70"/>
      <c r="C294" s="70"/>
      <c r="D294" s="301"/>
      <c r="E294" s="70"/>
      <c r="F294" s="12"/>
      <c r="G294" s="12"/>
      <c r="H294" s="30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</row>
    <row r="295" spans="1:24" ht="12.75">
      <c r="A295" s="12"/>
      <c r="B295" s="70"/>
      <c r="C295" s="70"/>
      <c r="D295" s="301"/>
      <c r="E295" s="70"/>
      <c r="F295" s="12"/>
      <c r="G295" s="12"/>
      <c r="H295" s="30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</row>
    <row r="296" spans="1:24" ht="12.75">
      <c r="A296" s="12"/>
      <c r="B296" s="70"/>
      <c r="C296" s="70"/>
      <c r="D296" s="301"/>
      <c r="E296" s="70"/>
      <c r="F296" s="12"/>
      <c r="G296" s="12"/>
      <c r="H296" s="30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</row>
    <row r="297" spans="1:24" ht="12.75">
      <c r="A297" s="12"/>
      <c r="B297" s="70"/>
      <c r="C297" s="70"/>
      <c r="D297" s="301"/>
      <c r="E297" s="70"/>
      <c r="F297" s="12"/>
      <c r="G297" s="12"/>
      <c r="H297" s="30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</row>
    <row r="298" spans="1:24" ht="12.75">
      <c r="A298" s="12"/>
      <c r="B298" s="70"/>
      <c r="C298" s="70"/>
      <c r="D298" s="301"/>
      <c r="E298" s="70"/>
      <c r="F298" s="12"/>
      <c r="G298" s="12"/>
      <c r="H298" s="30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</row>
    <row r="299" spans="1:24" ht="12.75">
      <c r="A299" s="12"/>
      <c r="B299" s="70"/>
      <c r="C299" s="70"/>
      <c r="D299" s="301"/>
      <c r="E299" s="70"/>
      <c r="F299" s="12"/>
      <c r="G299" s="12"/>
      <c r="H299" s="30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</row>
    <row r="300" spans="1:24" ht="12.75">
      <c r="A300" s="12"/>
      <c r="B300" s="70"/>
      <c r="C300" s="70"/>
      <c r="D300" s="301"/>
      <c r="E300" s="70"/>
      <c r="F300" s="12"/>
      <c r="G300" s="12"/>
      <c r="H300" s="30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</row>
    <row r="301" spans="1:24" ht="12.75">
      <c r="A301" s="12"/>
      <c r="B301" s="70"/>
      <c r="C301" s="70"/>
      <c r="D301" s="301"/>
      <c r="E301" s="70"/>
      <c r="F301" s="12"/>
      <c r="G301" s="12"/>
      <c r="H301" s="30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</row>
    <row r="302" spans="1:24" ht="12.75">
      <c r="A302" s="12"/>
      <c r="B302" s="70"/>
      <c r="C302" s="70"/>
      <c r="D302" s="301"/>
      <c r="E302" s="70"/>
      <c r="F302" s="12"/>
      <c r="G302" s="12"/>
      <c r="H302" s="30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</row>
    <row r="303" spans="1:24" ht="12.75">
      <c r="A303" s="12"/>
      <c r="B303" s="70"/>
      <c r="C303" s="70"/>
      <c r="D303" s="301"/>
      <c r="E303" s="70"/>
      <c r="F303" s="12"/>
      <c r="G303" s="12"/>
      <c r="H303" s="30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</row>
    <row r="304" spans="1:24" ht="12.75">
      <c r="A304" s="12"/>
      <c r="B304" s="70"/>
      <c r="C304" s="70"/>
      <c r="D304" s="301"/>
      <c r="E304" s="70"/>
      <c r="F304" s="12"/>
      <c r="G304" s="12"/>
      <c r="H304" s="30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</row>
    <row r="305" spans="1:24" ht="12.75">
      <c r="A305" s="12"/>
      <c r="B305" s="70"/>
      <c r="C305" s="70"/>
      <c r="D305" s="301"/>
      <c r="E305" s="70"/>
      <c r="F305" s="12"/>
      <c r="G305" s="12"/>
      <c r="H305" s="30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</row>
    <row r="306" spans="1:24" ht="12.75">
      <c r="A306" s="12"/>
      <c r="B306" s="70"/>
      <c r="C306" s="70"/>
      <c r="D306" s="301"/>
      <c r="E306" s="70"/>
      <c r="F306" s="12"/>
      <c r="G306" s="12"/>
      <c r="H306" s="30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</row>
    <row r="307" spans="1:24" ht="12.75">
      <c r="A307" s="12"/>
      <c r="B307" s="70"/>
      <c r="C307" s="70"/>
      <c r="D307" s="301"/>
      <c r="E307" s="70"/>
      <c r="F307" s="12"/>
      <c r="G307" s="12"/>
      <c r="H307" s="30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</row>
    <row r="308" spans="1:24" ht="12.75">
      <c r="A308" s="12"/>
      <c r="B308" s="70"/>
      <c r="C308" s="70"/>
      <c r="D308" s="301"/>
      <c r="E308" s="70"/>
      <c r="F308" s="12"/>
      <c r="G308" s="12"/>
      <c r="H308" s="30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</row>
    <row r="309" spans="1:24" ht="12.75">
      <c r="A309" s="12"/>
      <c r="B309" s="70"/>
      <c r="C309" s="70"/>
      <c r="D309" s="301"/>
      <c r="E309" s="70"/>
      <c r="F309" s="12"/>
      <c r="G309" s="12"/>
      <c r="H309" s="30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</row>
    <row r="310" spans="1:24" ht="12.75">
      <c r="A310" s="12"/>
      <c r="B310" s="70"/>
      <c r="C310" s="70"/>
      <c r="D310" s="301"/>
      <c r="E310" s="70"/>
      <c r="F310" s="12"/>
      <c r="G310" s="12"/>
      <c r="H310" s="30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</row>
    <row r="311" spans="1:24" ht="12.75">
      <c r="A311" s="12"/>
      <c r="B311" s="70"/>
      <c r="C311" s="70"/>
      <c r="D311" s="301"/>
      <c r="E311" s="70"/>
      <c r="F311" s="12"/>
      <c r="G311" s="12"/>
      <c r="H311" s="30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</row>
    <row r="312" spans="1:24" ht="12.75">
      <c r="A312" s="12"/>
      <c r="B312" s="70"/>
      <c r="C312" s="70"/>
      <c r="D312" s="301"/>
      <c r="E312" s="70"/>
      <c r="F312" s="12"/>
      <c r="G312" s="12"/>
      <c r="H312" s="30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</row>
    <row r="313" spans="1:24" ht="12.75">
      <c r="A313" s="12"/>
      <c r="B313" s="70"/>
      <c r="C313" s="70"/>
      <c r="D313" s="301"/>
      <c r="E313" s="70"/>
      <c r="F313" s="12"/>
      <c r="G313" s="12"/>
      <c r="H313" s="30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</row>
    <row r="314" spans="1:24" ht="12.75">
      <c r="A314" s="12"/>
      <c r="B314" s="70"/>
      <c r="C314" s="70"/>
      <c r="D314" s="301"/>
      <c r="E314" s="70"/>
      <c r="F314" s="12"/>
      <c r="G314" s="12"/>
      <c r="H314" s="30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</row>
    <row r="315" spans="1:24" ht="12.75">
      <c r="A315" s="12"/>
      <c r="B315" s="70"/>
      <c r="C315" s="70"/>
      <c r="D315" s="301"/>
      <c r="E315" s="70"/>
      <c r="F315" s="12"/>
      <c r="G315" s="12"/>
      <c r="H315" s="30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</row>
    <row r="316" spans="1:24" ht="12.75">
      <c r="A316" s="12"/>
      <c r="B316" s="70"/>
      <c r="C316" s="70"/>
      <c r="D316" s="301"/>
      <c r="E316" s="70"/>
      <c r="F316" s="12"/>
      <c r="G316" s="12"/>
      <c r="H316" s="30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</row>
    <row r="317" spans="1:24" ht="12.75">
      <c r="A317" s="12"/>
      <c r="B317" s="70"/>
      <c r="C317" s="70"/>
      <c r="D317" s="301"/>
      <c r="E317" s="70"/>
      <c r="F317" s="12"/>
      <c r="G317" s="12"/>
      <c r="H317" s="30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</row>
    <row r="318" spans="1:24" ht="12.75">
      <c r="A318" s="12"/>
      <c r="B318" s="70"/>
      <c r="C318" s="70"/>
      <c r="D318" s="301"/>
      <c r="E318" s="70"/>
      <c r="F318" s="12"/>
      <c r="G318" s="12"/>
      <c r="H318" s="30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</row>
    <row r="319" spans="1:24" ht="12.75">
      <c r="A319" s="12"/>
      <c r="B319" s="70"/>
      <c r="C319" s="70"/>
      <c r="D319" s="301"/>
      <c r="E319" s="70"/>
      <c r="F319" s="12"/>
      <c r="G319" s="12"/>
      <c r="H319" s="30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</row>
    <row r="320" spans="1:24" ht="12.75">
      <c r="A320" s="12"/>
      <c r="B320" s="70"/>
      <c r="C320" s="70"/>
      <c r="D320" s="301"/>
      <c r="E320" s="70"/>
      <c r="F320" s="12"/>
      <c r="G320" s="12"/>
      <c r="H320" s="30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</row>
    <row r="321" spans="1:24" ht="12.75">
      <c r="A321" s="12"/>
      <c r="B321" s="70"/>
      <c r="C321" s="70"/>
      <c r="D321" s="301"/>
      <c r="E321" s="70"/>
      <c r="F321" s="12"/>
      <c r="G321" s="12"/>
      <c r="H321" s="30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</row>
    <row r="322" spans="1:24" ht="12.75">
      <c r="A322" s="12"/>
      <c r="B322" s="70"/>
      <c r="C322" s="70"/>
      <c r="D322" s="301"/>
      <c r="E322" s="70"/>
      <c r="F322" s="12"/>
      <c r="G322" s="12"/>
      <c r="H322" s="30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</row>
    <row r="323" spans="1:24" ht="12.75">
      <c r="A323" s="12"/>
      <c r="B323" s="70"/>
      <c r="C323" s="70"/>
      <c r="D323" s="301"/>
      <c r="E323" s="70"/>
      <c r="F323" s="12"/>
      <c r="G323" s="12"/>
      <c r="H323" s="30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</row>
    <row r="324" spans="1:24" ht="12.75">
      <c r="A324" s="12"/>
      <c r="B324" s="70"/>
      <c r="C324" s="70"/>
      <c r="D324" s="301"/>
      <c r="E324" s="70"/>
      <c r="F324" s="12"/>
      <c r="G324" s="12"/>
      <c r="H324" s="30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</row>
    <row r="325" spans="1:24" ht="12.75">
      <c r="A325" s="12"/>
      <c r="B325" s="70"/>
      <c r="C325" s="70"/>
      <c r="D325" s="301"/>
      <c r="E325" s="70"/>
      <c r="F325" s="12"/>
      <c r="G325" s="12"/>
      <c r="H325" s="30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</row>
    <row r="326" spans="1:24" ht="12.75">
      <c r="A326" s="12"/>
      <c r="B326" s="70"/>
      <c r="C326" s="70"/>
      <c r="D326" s="301"/>
      <c r="E326" s="70"/>
      <c r="F326" s="12"/>
      <c r="G326" s="12"/>
      <c r="H326" s="30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</row>
    <row r="327" spans="1:24" ht="12.75">
      <c r="A327" s="12"/>
      <c r="B327" s="70"/>
      <c r="C327" s="70"/>
      <c r="D327" s="301"/>
      <c r="E327" s="70"/>
      <c r="F327" s="12"/>
      <c r="G327" s="12"/>
      <c r="H327" s="30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</row>
    <row r="328" spans="1:24" ht="12.75">
      <c r="A328" s="12"/>
      <c r="B328" s="70"/>
      <c r="C328" s="70"/>
      <c r="D328" s="301"/>
      <c r="E328" s="70"/>
      <c r="F328" s="12"/>
      <c r="G328" s="12"/>
      <c r="H328" s="30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</row>
    <row r="329" spans="1:24" ht="12.75">
      <c r="A329" s="12"/>
      <c r="B329" s="70"/>
      <c r="C329" s="70"/>
      <c r="D329" s="301"/>
      <c r="E329" s="70"/>
      <c r="F329" s="12"/>
      <c r="G329" s="12"/>
      <c r="H329" s="30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</row>
    <row r="330" spans="1:24" ht="12.75">
      <c r="A330" s="12"/>
      <c r="B330" s="70"/>
      <c r="C330" s="70"/>
      <c r="D330" s="301"/>
      <c r="E330" s="70"/>
      <c r="F330" s="12"/>
      <c r="G330" s="12"/>
      <c r="H330" s="30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</row>
    <row r="331" spans="1:24" ht="12.75">
      <c r="A331" s="12"/>
      <c r="B331" s="70"/>
      <c r="C331" s="70"/>
      <c r="D331" s="301"/>
      <c r="E331" s="70"/>
      <c r="F331" s="12"/>
      <c r="G331" s="12"/>
      <c r="H331" s="30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</row>
    <row r="332" spans="1:24" ht="12.75">
      <c r="A332" s="12"/>
      <c r="B332" s="70"/>
      <c r="C332" s="70"/>
      <c r="D332" s="301"/>
      <c r="E332" s="70"/>
      <c r="F332" s="12"/>
      <c r="G332" s="12"/>
      <c r="H332" s="30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</row>
    <row r="333" spans="1:24" ht="12.75">
      <c r="A333" s="12"/>
      <c r="B333" s="70"/>
      <c r="C333" s="70"/>
      <c r="D333" s="301"/>
      <c r="E333" s="70"/>
      <c r="F333" s="12"/>
      <c r="G333" s="12"/>
      <c r="H333" s="30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</row>
    <row r="334" spans="1:24" ht="12.75">
      <c r="A334" s="12"/>
      <c r="B334" s="70"/>
      <c r="C334" s="70"/>
      <c r="D334" s="301"/>
      <c r="E334" s="70"/>
      <c r="F334" s="12"/>
      <c r="G334" s="12"/>
      <c r="H334" s="30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</row>
    <row r="335" spans="1:24" ht="12.75">
      <c r="A335" s="12"/>
      <c r="B335" s="70"/>
      <c r="C335" s="70"/>
      <c r="D335" s="301"/>
      <c r="E335" s="70"/>
      <c r="F335" s="12"/>
      <c r="G335" s="12"/>
      <c r="H335" s="30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</row>
    <row r="336" spans="1:24" ht="12.75">
      <c r="A336" s="12"/>
      <c r="B336" s="70"/>
      <c r="C336" s="70"/>
      <c r="D336" s="301"/>
      <c r="E336" s="70"/>
      <c r="F336" s="12"/>
      <c r="G336" s="12"/>
      <c r="H336" s="30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</row>
    <row r="337" spans="1:24" ht="12.75">
      <c r="A337" s="12"/>
      <c r="B337" s="70"/>
      <c r="C337" s="70"/>
      <c r="D337" s="301"/>
      <c r="E337" s="70"/>
      <c r="F337" s="12"/>
      <c r="G337" s="12"/>
      <c r="H337" s="30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</row>
    <row r="338" spans="1:24" ht="12.75">
      <c r="A338" s="12"/>
      <c r="B338" s="70"/>
      <c r="C338" s="70"/>
      <c r="D338" s="301"/>
      <c r="E338" s="70"/>
      <c r="F338" s="12"/>
      <c r="G338" s="12"/>
      <c r="H338" s="30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</row>
    <row r="339" spans="1:24" ht="12.75">
      <c r="A339" s="12"/>
      <c r="B339" s="70"/>
      <c r="C339" s="70"/>
      <c r="D339" s="301"/>
      <c r="E339" s="70"/>
      <c r="F339" s="12"/>
      <c r="G339" s="12"/>
      <c r="H339" s="30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</row>
    <row r="340" spans="1:24" ht="12.75">
      <c r="A340" s="12"/>
      <c r="B340" s="70"/>
      <c r="C340" s="70"/>
      <c r="D340" s="301"/>
      <c r="E340" s="70"/>
      <c r="F340" s="12"/>
      <c r="G340" s="12"/>
      <c r="H340" s="30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</row>
    <row r="341" spans="1:24" ht="12.75">
      <c r="A341" s="12"/>
      <c r="B341" s="70"/>
      <c r="C341" s="70"/>
      <c r="D341" s="301"/>
      <c r="E341" s="70"/>
      <c r="F341" s="12"/>
      <c r="G341" s="12"/>
      <c r="H341" s="30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</row>
    <row r="342" spans="1:24" ht="12.75">
      <c r="A342" s="12"/>
      <c r="B342" s="70"/>
      <c r="C342" s="70"/>
      <c r="D342" s="301"/>
      <c r="E342" s="70"/>
      <c r="F342" s="12"/>
      <c r="G342" s="12"/>
      <c r="H342" s="30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</row>
    <row r="343" spans="1:24" ht="12.75">
      <c r="A343" s="12"/>
      <c r="B343" s="70"/>
      <c r="C343" s="70"/>
      <c r="D343" s="301"/>
      <c r="E343" s="70"/>
      <c r="F343" s="12"/>
      <c r="G343" s="12"/>
      <c r="H343" s="30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</row>
    <row r="344" spans="1:24" ht="12.75">
      <c r="A344" s="12"/>
      <c r="B344" s="70"/>
      <c r="C344" s="70"/>
      <c r="D344" s="301"/>
      <c r="E344" s="70"/>
      <c r="F344" s="12"/>
      <c r="G344" s="12"/>
      <c r="H344" s="30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</row>
    <row r="345" spans="1:24" ht="12.75">
      <c r="A345" s="12"/>
      <c r="B345" s="70"/>
      <c r="C345" s="70"/>
      <c r="D345" s="301"/>
      <c r="E345" s="70"/>
      <c r="F345" s="12"/>
      <c r="G345" s="12"/>
      <c r="H345" s="30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</row>
    <row r="346" spans="1:24" ht="12.75">
      <c r="A346" s="12"/>
      <c r="B346" s="70"/>
      <c r="C346" s="70"/>
      <c r="D346" s="301"/>
      <c r="E346" s="70"/>
      <c r="F346" s="12"/>
      <c r="G346" s="12"/>
      <c r="H346" s="30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</row>
    <row r="347" spans="1:24" ht="12.75">
      <c r="A347" s="12"/>
      <c r="B347" s="70"/>
      <c r="C347" s="70"/>
      <c r="D347" s="301"/>
      <c r="E347" s="70"/>
      <c r="F347" s="12"/>
      <c r="G347" s="12"/>
      <c r="H347" s="30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</row>
    <row r="348" spans="1:24" ht="12.75">
      <c r="A348" s="12"/>
      <c r="B348" s="70"/>
      <c r="C348" s="70"/>
      <c r="D348" s="301"/>
      <c r="E348" s="70"/>
      <c r="F348" s="12"/>
      <c r="G348" s="12"/>
      <c r="H348" s="30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</row>
    <row r="349" spans="1:24" ht="12.75">
      <c r="A349" s="12"/>
      <c r="B349" s="70"/>
      <c r="C349" s="70"/>
      <c r="D349" s="301"/>
      <c r="E349" s="70"/>
      <c r="F349" s="12"/>
      <c r="G349" s="12"/>
      <c r="H349" s="30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</row>
    <row r="350" spans="1:24" ht="12.75">
      <c r="A350" s="12"/>
      <c r="B350" s="70"/>
      <c r="C350" s="70"/>
      <c r="D350" s="301"/>
      <c r="E350" s="70"/>
      <c r="F350" s="12"/>
      <c r="G350" s="12"/>
      <c r="H350" s="30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</row>
    <row r="351" spans="1:24" ht="12.75">
      <c r="A351" s="12"/>
      <c r="B351" s="70"/>
      <c r="C351" s="70"/>
      <c r="D351" s="301"/>
      <c r="E351" s="70"/>
      <c r="F351" s="12"/>
      <c r="G351" s="12"/>
      <c r="H351" s="30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</row>
    <row r="352" spans="1:24" ht="12.75">
      <c r="A352" s="12"/>
      <c r="B352" s="70"/>
      <c r="C352" s="70"/>
      <c r="D352" s="301"/>
      <c r="E352" s="70"/>
      <c r="F352" s="12"/>
      <c r="G352" s="12"/>
      <c r="H352" s="30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</row>
    <row r="353" spans="1:24" ht="12.75">
      <c r="A353" s="12"/>
      <c r="B353" s="70"/>
      <c r="C353" s="70"/>
      <c r="D353" s="301"/>
      <c r="E353" s="70"/>
      <c r="F353" s="12"/>
      <c r="G353" s="12"/>
      <c r="H353" s="30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</row>
    <row r="354" spans="1:24" ht="12.75">
      <c r="A354" s="12"/>
      <c r="B354" s="70"/>
      <c r="C354" s="70"/>
      <c r="D354" s="301"/>
      <c r="E354" s="70"/>
      <c r="F354" s="12"/>
      <c r="G354" s="12"/>
      <c r="H354" s="30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</row>
    <row r="355" spans="1:24" ht="12.75">
      <c r="A355" s="12"/>
      <c r="B355" s="70"/>
      <c r="C355" s="70"/>
      <c r="D355" s="301"/>
      <c r="E355" s="70"/>
      <c r="F355" s="12"/>
      <c r="G355" s="12"/>
      <c r="H355" s="30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</row>
    <row r="356" spans="1:24" ht="12.75">
      <c r="A356" s="12"/>
      <c r="B356" s="70"/>
      <c r="C356" s="70"/>
      <c r="D356" s="301"/>
      <c r="E356" s="70"/>
      <c r="F356" s="12"/>
      <c r="G356" s="12"/>
      <c r="H356" s="30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</row>
    <row r="357" spans="1:24" ht="12.75">
      <c r="A357" s="12"/>
      <c r="B357" s="70"/>
      <c r="C357" s="70"/>
      <c r="D357" s="301"/>
      <c r="E357" s="70"/>
      <c r="F357" s="12"/>
      <c r="G357" s="12"/>
      <c r="H357" s="30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</row>
    <row r="358" spans="1:24" ht="12.75">
      <c r="A358" s="12"/>
      <c r="B358" s="70"/>
      <c r="C358" s="70"/>
      <c r="D358" s="301"/>
      <c r="E358" s="70"/>
      <c r="F358" s="12"/>
      <c r="G358" s="12"/>
      <c r="H358" s="30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</row>
    <row r="359" spans="1:24" ht="12.75">
      <c r="A359" s="12"/>
      <c r="B359" s="70"/>
      <c r="C359" s="70"/>
      <c r="D359" s="301"/>
      <c r="E359" s="70"/>
      <c r="F359" s="12"/>
      <c r="G359" s="12"/>
      <c r="H359" s="30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</row>
    <row r="360" spans="1:24" ht="12.75">
      <c r="A360" s="12"/>
      <c r="B360" s="70"/>
      <c r="C360" s="70"/>
      <c r="D360" s="301"/>
      <c r="E360" s="70"/>
      <c r="F360" s="12"/>
      <c r="G360" s="12"/>
      <c r="H360" s="30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</row>
    <row r="361" spans="1:24" ht="12.75">
      <c r="A361" s="12"/>
      <c r="B361" s="70"/>
      <c r="C361" s="70"/>
      <c r="D361" s="301"/>
      <c r="E361" s="70"/>
      <c r="F361" s="12"/>
      <c r="G361" s="12"/>
      <c r="H361" s="30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</row>
    <row r="362" spans="1:24" ht="12.75">
      <c r="A362" s="12"/>
      <c r="B362" s="70"/>
      <c r="C362" s="70"/>
      <c r="D362" s="301"/>
      <c r="E362" s="70"/>
      <c r="F362" s="12"/>
      <c r="G362" s="12"/>
      <c r="H362" s="30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</row>
    <row r="363" spans="1:24" ht="12.75">
      <c r="A363" s="12"/>
      <c r="B363" s="70"/>
      <c r="C363" s="70"/>
      <c r="D363" s="301"/>
      <c r="E363" s="70"/>
      <c r="F363" s="12"/>
      <c r="G363" s="12"/>
      <c r="H363" s="30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</row>
    <row r="364" spans="1:24" ht="12.75">
      <c r="A364" s="12"/>
      <c r="B364" s="70"/>
      <c r="C364" s="70"/>
      <c r="D364" s="301"/>
      <c r="E364" s="70"/>
      <c r="F364" s="12"/>
      <c r="G364" s="12"/>
      <c r="H364" s="30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</row>
    <row r="365" spans="1:24" ht="12.75">
      <c r="A365" s="12"/>
      <c r="B365" s="70"/>
      <c r="C365" s="70"/>
      <c r="D365" s="301"/>
      <c r="E365" s="70"/>
      <c r="F365" s="12"/>
      <c r="G365" s="12"/>
      <c r="H365" s="30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</row>
    <row r="366" spans="1:24" ht="12.75">
      <c r="A366" s="12"/>
      <c r="B366" s="70"/>
      <c r="C366" s="70"/>
      <c r="D366" s="301"/>
      <c r="E366" s="70"/>
      <c r="F366" s="12"/>
      <c r="G366" s="12"/>
      <c r="H366" s="30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</row>
    <row r="367" spans="1:24" ht="12.75">
      <c r="A367" s="12"/>
      <c r="B367" s="70"/>
      <c r="C367" s="70"/>
      <c r="D367" s="301"/>
      <c r="E367" s="70"/>
      <c r="F367" s="12"/>
      <c r="G367" s="12"/>
      <c r="H367" s="30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</row>
    <row r="368" spans="1:24" ht="12.75">
      <c r="A368" s="12"/>
      <c r="B368" s="70"/>
      <c r="C368" s="70"/>
      <c r="D368" s="301"/>
      <c r="E368" s="70"/>
      <c r="F368" s="12"/>
      <c r="G368" s="12"/>
      <c r="H368" s="30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</row>
    <row r="369" spans="1:24" ht="12.75">
      <c r="A369" s="12"/>
      <c r="B369" s="70"/>
      <c r="C369" s="70"/>
      <c r="D369" s="301"/>
      <c r="E369" s="70"/>
      <c r="F369" s="12"/>
      <c r="G369" s="12"/>
      <c r="H369" s="30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</row>
    <row r="370" spans="1:24" ht="12.75">
      <c r="A370" s="12"/>
      <c r="B370" s="70"/>
      <c r="C370" s="70"/>
      <c r="D370" s="301"/>
      <c r="E370" s="70"/>
      <c r="F370" s="12"/>
      <c r="G370" s="12"/>
      <c r="H370" s="30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</row>
    <row r="371" spans="1:24" ht="12.75">
      <c r="A371" s="12"/>
      <c r="B371" s="70"/>
      <c r="C371" s="70"/>
      <c r="D371" s="301"/>
      <c r="E371" s="70"/>
      <c r="F371" s="12"/>
      <c r="G371" s="12"/>
      <c r="H371" s="30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</row>
    <row r="372" spans="1:24" ht="12.75">
      <c r="A372" s="12"/>
      <c r="B372" s="70"/>
      <c r="C372" s="70"/>
      <c r="D372" s="301"/>
      <c r="E372" s="70"/>
      <c r="F372" s="12"/>
      <c r="G372" s="12"/>
      <c r="H372" s="30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</row>
    <row r="373" spans="1:24" ht="12.75">
      <c r="A373" s="12"/>
      <c r="B373" s="70"/>
      <c r="C373" s="70"/>
      <c r="D373" s="301"/>
      <c r="E373" s="70"/>
      <c r="F373" s="12"/>
      <c r="G373" s="12"/>
      <c r="H373" s="30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</row>
    <row r="374" spans="1:24" ht="12.75">
      <c r="A374" s="12"/>
      <c r="B374" s="70"/>
      <c r="C374" s="70"/>
      <c r="D374" s="301"/>
      <c r="E374" s="70"/>
      <c r="F374" s="12"/>
      <c r="G374" s="12"/>
      <c r="H374" s="30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</row>
    <row r="375" spans="1:24" ht="12.75">
      <c r="A375" s="12"/>
      <c r="B375" s="70"/>
      <c r="C375" s="70"/>
      <c r="D375" s="301"/>
      <c r="E375" s="70"/>
      <c r="F375" s="12"/>
      <c r="G375" s="12"/>
      <c r="H375" s="30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</row>
    <row r="376" spans="1:24" ht="12.75">
      <c r="A376" s="12"/>
      <c r="B376" s="70"/>
      <c r="C376" s="70"/>
      <c r="D376" s="301"/>
      <c r="E376" s="70"/>
      <c r="F376" s="12"/>
      <c r="G376" s="12"/>
      <c r="H376" s="30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</row>
    <row r="377" spans="1:24" ht="12.75">
      <c r="A377" s="12"/>
      <c r="B377" s="70"/>
      <c r="C377" s="70"/>
      <c r="D377" s="301"/>
      <c r="E377" s="70"/>
      <c r="F377" s="12"/>
      <c r="G377" s="12"/>
      <c r="H377" s="30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</row>
    <row r="378" spans="1:24" ht="12.75">
      <c r="A378" s="12"/>
      <c r="B378" s="70"/>
      <c r="C378" s="70"/>
      <c r="D378" s="301"/>
      <c r="E378" s="70"/>
      <c r="F378" s="12"/>
      <c r="G378" s="12"/>
      <c r="H378" s="30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</row>
    <row r="379" spans="1:24" ht="12.75">
      <c r="A379" s="12"/>
      <c r="B379" s="70"/>
      <c r="C379" s="70"/>
      <c r="D379" s="301"/>
      <c r="E379" s="70"/>
      <c r="F379" s="12"/>
      <c r="G379" s="12"/>
      <c r="H379" s="30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</row>
    <row r="380" spans="1:24" ht="12.75">
      <c r="A380" s="12"/>
      <c r="B380" s="70"/>
      <c r="C380" s="70"/>
      <c r="D380" s="301"/>
      <c r="E380" s="70"/>
      <c r="F380" s="12"/>
      <c r="G380" s="12"/>
      <c r="H380" s="30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</row>
    <row r="381" spans="1:24" ht="12.75">
      <c r="A381" s="12"/>
      <c r="B381" s="70"/>
      <c r="C381" s="70"/>
      <c r="D381" s="301"/>
      <c r="E381" s="70"/>
      <c r="F381" s="12"/>
      <c r="G381" s="12"/>
      <c r="H381" s="30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</row>
    <row r="382" spans="1:24" ht="12.75">
      <c r="A382" s="12"/>
      <c r="B382" s="70"/>
      <c r="C382" s="70"/>
      <c r="D382" s="301"/>
      <c r="E382" s="70"/>
      <c r="F382" s="12"/>
      <c r="G382" s="12"/>
      <c r="H382" s="30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</row>
    <row r="383" spans="1:24" ht="12.75">
      <c r="A383" s="12"/>
      <c r="B383" s="70"/>
      <c r="C383" s="70"/>
      <c r="D383" s="301"/>
      <c r="E383" s="70"/>
      <c r="F383" s="12"/>
      <c r="G383" s="12"/>
      <c r="H383" s="30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</row>
    <row r="384" spans="1:24" ht="12.75">
      <c r="A384" s="12"/>
      <c r="B384" s="70"/>
      <c r="C384" s="70"/>
      <c r="D384" s="301"/>
      <c r="E384" s="70"/>
      <c r="F384" s="12"/>
      <c r="G384" s="12"/>
      <c r="H384" s="30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</row>
    <row r="385" spans="1:24" ht="12.75">
      <c r="A385" s="12"/>
      <c r="B385" s="70"/>
      <c r="C385" s="70"/>
      <c r="D385" s="301"/>
      <c r="E385" s="70"/>
      <c r="F385" s="12"/>
      <c r="G385" s="12"/>
      <c r="H385" s="30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</row>
    <row r="386" spans="1:24" ht="12.75">
      <c r="A386" s="12"/>
      <c r="B386" s="70"/>
      <c r="C386" s="70"/>
      <c r="D386" s="301"/>
      <c r="E386" s="70"/>
      <c r="F386" s="12"/>
      <c r="G386" s="12"/>
      <c r="H386" s="30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</row>
    <row r="387" spans="1:24" ht="12.75">
      <c r="A387" s="12"/>
      <c r="B387" s="70"/>
      <c r="C387" s="70"/>
      <c r="D387" s="301"/>
      <c r="E387" s="70"/>
      <c r="F387" s="12"/>
      <c r="G387" s="12"/>
      <c r="H387" s="30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</row>
    <row r="388" spans="1:24" ht="12.75">
      <c r="A388" s="12"/>
      <c r="B388" s="70"/>
      <c r="C388" s="70"/>
      <c r="D388" s="301"/>
      <c r="E388" s="70"/>
      <c r="F388" s="12"/>
      <c r="G388" s="12"/>
      <c r="H388" s="30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</row>
    <row r="389" spans="1:24" ht="12.75">
      <c r="A389" s="12"/>
      <c r="B389" s="70"/>
      <c r="C389" s="70"/>
      <c r="D389" s="301"/>
      <c r="E389" s="70"/>
      <c r="F389" s="12"/>
      <c r="G389" s="12"/>
      <c r="H389" s="30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</row>
    <row r="390" spans="1:24" ht="12.75">
      <c r="A390" s="12"/>
      <c r="B390" s="70"/>
      <c r="C390" s="70"/>
      <c r="D390" s="301"/>
      <c r="E390" s="70"/>
      <c r="F390" s="12"/>
      <c r="G390" s="12"/>
      <c r="H390" s="30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</row>
    <row r="391" spans="1:24" ht="12.75">
      <c r="A391" s="12"/>
      <c r="B391" s="70"/>
      <c r="C391" s="70"/>
      <c r="D391" s="301"/>
      <c r="E391" s="70"/>
      <c r="F391" s="12"/>
      <c r="G391" s="12"/>
      <c r="H391" s="30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</row>
    <row r="392" spans="1:24" ht="12.75">
      <c r="A392" s="12"/>
      <c r="B392" s="70"/>
      <c r="C392" s="70"/>
      <c r="D392" s="301"/>
      <c r="E392" s="70"/>
      <c r="F392" s="12"/>
      <c r="G392" s="12"/>
      <c r="H392" s="30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</row>
    <row r="393" spans="1:24" ht="12.75">
      <c r="A393" s="12"/>
      <c r="B393" s="70"/>
      <c r="C393" s="70"/>
      <c r="D393" s="301"/>
      <c r="E393" s="70"/>
      <c r="F393" s="12"/>
      <c r="G393" s="12"/>
      <c r="H393" s="30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</row>
    <row r="394" spans="1:24" ht="12.75">
      <c r="A394" s="12"/>
      <c r="B394" s="70"/>
      <c r="C394" s="70"/>
      <c r="D394" s="301"/>
      <c r="E394" s="70"/>
      <c r="F394" s="12"/>
      <c r="G394" s="12"/>
      <c r="H394" s="30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</row>
    <row r="395" spans="1:24" ht="12.75">
      <c r="A395" s="12"/>
      <c r="B395" s="70"/>
      <c r="C395" s="70"/>
      <c r="D395" s="301"/>
      <c r="E395" s="70"/>
      <c r="F395" s="12"/>
      <c r="G395" s="12"/>
      <c r="H395" s="30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</row>
    <row r="396" spans="1:24" ht="12.75">
      <c r="A396" s="12"/>
      <c r="B396" s="70"/>
      <c r="C396" s="70"/>
      <c r="D396" s="301"/>
      <c r="E396" s="70"/>
      <c r="F396" s="12"/>
      <c r="G396" s="12"/>
      <c r="H396" s="30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</row>
    <row r="397" spans="1:24" ht="12.75">
      <c r="A397" s="12"/>
      <c r="B397" s="70"/>
      <c r="C397" s="70"/>
      <c r="D397" s="301"/>
      <c r="E397" s="70"/>
      <c r="F397" s="12"/>
      <c r="G397" s="12"/>
      <c r="H397" s="30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</row>
    <row r="398" spans="1:24" ht="12.75">
      <c r="A398" s="12"/>
      <c r="B398" s="70"/>
      <c r="C398" s="70"/>
      <c r="D398" s="301"/>
      <c r="E398" s="70"/>
      <c r="F398" s="12"/>
      <c r="G398" s="12"/>
      <c r="H398" s="30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</row>
    <row r="399" spans="1:24" ht="12.75">
      <c r="A399" s="12"/>
      <c r="B399" s="70"/>
      <c r="C399" s="70"/>
      <c r="D399" s="301"/>
      <c r="E399" s="70"/>
      <c r="F399" s="12"/>
      <c r="G399" s="12"/>
      <c r="H399" s="30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</row>
    <row r="400" spans="1:24" ht="12.75">
      <c r="A400" s="12"/>
      <c r="B400" s="70"/>
      <c r="C400" s="70"/>
      <c r="D400" s="301"/>
      <c r="E400" s="70"/>
      <c r="F400" s="12"/>
      <c r="G400" s="12"/>
      <c r="H400" s="30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</row>
    <row r="401" spans="1:24" ht="12.75">
      <c r="A401" s="12"/>
      <c r="B401" s="70"/>
      <c r="C401" s="70"/>
      <c r="D401" s="301"/>
      <c r="E401" s="70"/>
      <c r="F401" s="12"/>
      <c r="G401" s="12"/>
      <c r="H401" s="30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</row>
    <row r="402" spans="1:24" ht="12.75">
      <c r="A402" s="12"/>
      <c r="B402" s="70"/>
      <c r="C402" s="70"/>
      <c r="D402" s="301"/>
      <c r="E402" s="70"/>
      <c r="F402" s="12"/>
      <c r="G402" s="12"/>
      <c r="H402" s="30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</row>
    <row r="403" spans="1:24" ht="12.75">
      <c r="A403" s="12"/>
      <c r="B403" s="70"/>
      <c r="C403" s="70"/>
      <c r="D403" s="301"/>
      <c r="E403" s="70"/>
      <c r="F403" s="12"/>
      <c r="G403" s="12"/>
      <c r="H403" s="30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</row>
    <row r="404" spans="1:24" ht="12.75">
      <c r="A404" s="12"/>
      <c r="B404" s="70"/>
      <c r="C404" s="70"/>
      <c r="D404" s="301"/>
      <c r="E404" s="70"/>
      <c r="F404" s="12"/>
      <c r="G404" s="12"/>
      <c r="H404" s="30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</row>
    <row r="405" spans="1:24" ht="12.75">
      <c r="A405" s="12"/>
      <c r="B405" s="70"/>
      <c r="C405" s="70"/>
      <c r="D405" s="301"/>
      <c r="E405" s="70"/>
      <c r="F405" s="12"/>
      <c r="G405" s="12"/>
      <c r="H405" s="30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</row>
    <row r="406" spans="1:24" ht="12.75">
      <c r="A406" s="12"/>
      <c r="B406" s="70"/>
      <c r="C406" s="70"/>
      <c r="D406" s="301"/>
      <c r="E406" s="70"/>
      <c r="F406" s="12"/>
      <c r="G406" s="12"/>
      <c r="H406" s="30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</row>
    <row r="407" spans="1:24" ht="12.75">
      <c r="A407" s="12"/>
      <c r="B407" s="70"/>
      <c r="C407" s="70"/>
      <c r="D407" s="301"/>
      <c r="E407" s="70"/>
      <c r="F407" s="12"/>
      <c r="G407" s="12"/>
      <c r="H407" s="30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</row>
    <row r="408" spans="1:24" ht="12.75">
      <c r="A408" s="12"/>
      <c r="B408" s="70"/>
      <c r="C408" s="70"/>
      <c r="D408" s="301"/>
      <c r="E408" s="70"/>
      <c r="F408" s="12"/>
      <c r="G408" s="12"/>
      <c r="H408" s="30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</row>
    <row r="409" spans="1:24" ht="12.75">
      <c r="A409" s="12"/>
      <c r="B409" s="70"/>
      <c r="C409" s="70"/>
      <c r="D409" s="301"/>
      <c r="E409" s="70"/>
      <c r="F409" s="12"/>
      <c r="G409" s="12"/>
      <c r="H409" s="30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</row>
    <row r="410" spans="1:24" ht="12.75">
      <c r="A410" s="12"/>
      <c r="B410" s="70"/>
      <c r="C410" s="70"/>
      <c r="D410" s="301"/>
      <c r="E410" s="70"/>
      <c r="F410" s="12"/>
      <c r="G410" s="12"/>
      <c r="H410" s="30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</row>
    <row r="411" spans="1:24" ht="12.75">
      <c r="A411" s="12"/>
      <c r="B411" s="70"/>
      <c r="C411" s="70"/>
      <c r="D411" s="301"/>
      <c r="E411" s="70"/>
      <c r="F411" s="12"/>
      <c r="G411" s="12"/>
      <c r="H411" s="30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</row>
    <row r="412" spans="1:24" ht="12.75">
      <c r="A412" s="12"/>
      <c r="B412" s="70"/>
      <c r="C412" s="70"/>
      <c r="D412" s="301"/>
      <c r="E412" s="70"/>
      <c r="F412" s="12"/>
      <c r="G412" s="12"/>
      <c r="H412" s="30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</row>
    <row r="413" spans="1:24" ht="12.75">
      <c r="A413" s="12"/>
      <c r="B413" s="70"/>
      <c r="C413" s="70"/>
      <c r="D413" s="301"/>
      <c r="E413" s="70"/>
      <c r="F413" s="12"/>
      <c r="G413" s="12"/>
      <c r="H413" s="30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</row>
    <row r="414" spans="1:24" ht="12.75">
      <c r="A414" s="12"/>
      <c r="B414" s="70"/>
      <c r="C414" s="70"/>
      <c r="D414" s="301"/>
      <c r="E414" s="70"/>
      <c r="F414" s="12"/>
      <c r="G414" s="12"/>
      <c r="H414" s="30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</row>
    <row r="415" spans="1:24" ht="12.75">
      <c r="A415" s="12"/>
      <c r="B415" s="70"/>
      <c r="C415" s="70"/>
      <c r="D415" s="301"/>
      <c r="E415" s="70"/>
      <c r="F415" s="12"/>
      <c r="G415" s="12"/>
      <c r="H415" s="30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</row>
    <row r="416" spans="1:24" ht="12.75">
      <c r="A416" s="12"/>
      <c r="B416" s="70"/>
      <c r="C416" s="70"/>
      <c r="D416" s="301"/>
      <c r="E416" s="70"/>
      <c r="F416" s="12"/>
      <c r="G416" s="12"/>
      <c r="H416" s="30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</row>
    <row r="417" spans="1:24" ht="12.75">
      <c r="A417" s="12"/>
      <c r="B417" s="70"/>
      <c r="C417" s="70"/>
      <c r="D417" s="301"/>
      <c r="E417" s="70"/>
      <c r="F417" s="12"/>
      <c r="G417" s="12"/>
      <c r="H417" s="30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</row>
    <row r="418" spans="1:24" ht="12.75">
      <c r="A418" s="12"/>
      <c r="B418" s="70"/>
      <c r="C418" s="70"/>
      <c r="D418" s="301"/>
      <c r="E418" s="70"/>
      <c r="F418" s="12"/>
      <c r="G418" s="12"/>
      <c r="H418" s="30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</row>
    <row r="419" spans="1:24" ht="12.75">
      <c r="A419" s="12"/>
      <c r="B419" s="70"/>
      <c r="C419" s="70"/>
      <c r="D419" s="301"/>
      <c r="E419" s="70"/>
      <c r="F419" s="12"/>
      <c r="G419" s="12"/>
      <c r="H419" s="30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</row>
    <row r="420" spans="1:24" ht="12.75">
      <c r="A420" s="12"/>
      <c r="B420" s="70"/>
      <c r="C420" s="70"/>
      <c r="D420" s="301"/>
      <c r="E420" s="70"/>
      <c r="F420" s="12"/>
      <c r="G420" s="12"/>
      <c r="H420" s="30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</row>
    <row r="421" spans="1:24" ht="12.75">
      <c r="A421" s="12"/>
      <c r="B421" s="70"/>
      <c r="C421" s="70"/>
      <c r="D421" s="301"/>
      <c r="E421" s="70"/>
      <c r="F421" s="12"/>
      <c r="G421" s="12"/>
      <c r="H421" s="30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</row>
    <row r="422" spans="1:24" ht="12.75">
      <c r="A422" s="12"/>
      <c r="B422" s="70"/>
      <c r="C422" s="70"/>
      <c r="D422" s="301"/>
      <c r="E422" s="70"/>
      <c r="F422" s="12"/>
      <c r="G422" s="12"/>
      <c r="H422" s="30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</row>
    <row r="423" spans="1:24" ht="12.75">
      <c r="A423" s="12"/>
      <c r="B423" s="70"/>
      <c r="C423" s="70"/>
      <c r="D423" s="301"/>
      <c r="E423" s="70"/>
      <c r="F423" s="12"/>
      <c r="G423" s="12"/>
      <c r="H423" s="30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</row>
    <row r="424" spans="1:24" ht="12.75">
      <c r="A424" s="12"/>
      <c r="B424" s="70"/>
      <c r="C424" s="70"/>
      <c r="D424" s="301"/>
      <c r="E424" s="70"/>
      <c r="F424" s="12"/>
      <c r="G424" s="12"/>
      <c r="H424" s="30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</row>
    <row r="425" spans="1:24" ht="12.75">
      <c r="A425" s="12"/>
      <c r="B425" s="70"/>
      <c r="C425" s="70"/>
      <c r="D425" s="301"/>
      <c r="E425" s="70"/>
      <c r="F425" s="12"/>
      <c r="G425" s="12"/>
      <c r="H425" s="30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</row>
    <row r="426" spans="1:24" ht="12.75">
      <c r="A426" s="12"/>
      <c r="B426" s="70"/>
      <c r="C426" s="70"/>
      <c r="D426" s="301"/>
      <c r="E426" s="70"/>
      <c r="F426" s="12"/>
      <c r="G426" s="12"/>
      <c r="H426" s="30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</row>
    <row r="427" spans="1:24" ht="12.75">
      <c r="A427" s="12"/>
      <c r="B427" s="70"/>
      <c r="C427" s="70"/>
      <c r="D427" s="301"/>
      <c r="E427" s="70"/>
      <c r="F427" s="12"/>
      <c r="G427" s="12"/>
      <c r="H427" s="30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</row>
    <row r="428" spans="1:24" ht="12.75">
      <c r="A428" s="12"/>
      <c r="B428" s="70"/>
      <c r="C428" s="70"/>
      <c r="D428" s="301"/>
      <c r="E428" s="70"/>
      <c r="F428" s="12"/>
      <c r="G428" s="12"/>
      <c r="H428" s="30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</row>
    <row r="429" spans="1:24" ht="12.75">
      <c r="A429" s="12"/>
      <c r="B429" s="70"/>
      <c r="C429" s="70"/>
      <c r="D429" s="301"/>
      <c r="E429" s="70"/>
      <c r="F429" s="12"/>
      <c r="G429" s="12"/>
      <c r="H429" s="30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</row>
    <row r="430" spans="1:24" ht="12.75">
      <c r="A430" s="12"/>
      <c r="B430" s="70"/>
      <c r="C430" s="70"/>
      <c r="D430" s="301"/>
      <c r="E430" s="70"/>
      <c r="F430" s="12"/>
      <c r="G430" s="12"/>
      <c r="H430" s="30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</row>
    <row r="431" spans="1:24" ht="12.75">
      <c r="A431" s="12"/>
      <c r="B431" s="70"/>
      <c r="C431" s="70"/>
      <c r="D431" s="301"/>
      <c r="E431" s="70"/>
      <c r="F431" s="12"/>
      <c r="G431" s="12"/>
      <c r="H431" s="30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</row>
    <row r="432" spans="1:24" ht="12.75">
      <c r="A432" s="12"/>
      <c r="B432" s="70"/>
      <c r="C432" s="70"/>
      <c r="D432" s="301"/>
      <c r="E432" s="70"/>
      <c r="F432" s="12"/>
      <c r="G432" s="12"/>
      <c r="H432" s="30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</row>
    <row r="433" spans="1:24" ht="12.75">
      <c r="A433" s="12"/>
      <c r="B433" s="70"/>
      <c r="C433" s="70"/>
      <c r="D433" s="301"/>
      <c r="E433" s="70"/>
      <c r="F433" s="12"/>
      <c r="G433" s="12"/>
      <c r="H433" s="30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</row>
    <row r="434" spans="1:24" ht="12.75">
      <c r="A434" s="12"/>
      <c r="B434" s="70"/>
      <c r="C434" s="70"/>
      <c r="D434" s="301"/>
      <c r="E434" s="70"/>
      <c r="F434" s="12"/>
      <c r="G434" s="12"/>
      <c r="H434" s="30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</row>
    <row r="435" spans="1:24" ht="12.75">
      <c r="A435" s="12"/>
      <c r="B435" s="70"/>
      <c r="C435" s="70"/>
      <c r="D435" s="301"/>
      <c r="E435" s="70"/>
      <c r="F435" s="12"/>
      <c r="G435" s="12"/>
      <c r="H435" s="30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</row>
    <row r="436" spans="1:24" ht="12.75">
      <c r="A436" s="12"/>
      <c r="B436" s="70"/>
      <c r="C436" s="70"/>
      <c r="D436" s="301"/>
      <c r="E436" s="70"/>
      <c r="F436" s="12"/>
      <c r="G436" s="12"/>
      <c r="H436" s="30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</row>
    <row r="437" spans="1:24" ht="12.75">
      <c r="A437" s="12"/>
      <c r="B437" s="70"/>
      <c r="C437" s="70"/>
      <c r="D437" s="301"/>
      <c r="E437" s="70"/>
      <c r="F437" s="12"/>
      <c r="G437" s="12"/>
      <c r="H437" s="30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</row>
    <row r="438" spans="1:24" ht="12.75">
      <c r="A438" s="12"/>
      <c r="B438" s="70"/>
      <c r="C438" s="70"/>
      <c r="D438" s="301"/>
      <c r="E438" s="70"/>
      <c r="F438" s="12"/>
      <c r="G438" s="12"/>
      <c r="H438" s="30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</row>
    <row r="439" spans="1:24" ht="12.75">
      <c r="A439" s="12"/>
      <c r="B439" s="70"/>
      <c r="C439" s="70"/>
      <c r="D439" s="301"/>
      <c r="E439" s="70"/>
      <c r="F439" s="12"/>
      <c r="G439" s="12"/>
      <c r="H439" s="30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</row>
    <row r="440" spans="1:24" ht="12.75">
      <c r="A440" s="12"/>
      <c r="B440" s="70"/>
      <c r="C440" s="70"/>
      <c r="D440" s="301"/>
      <c r="E440" s="70"/>
      <c r="F440" s="12"/>
      <c r="G440" s="12"/>
      <c r="H440" s="30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</row>
    <row r="441" spans="1:24" ht="12.75">
      <c r="A441" s="12"/>
      <c r="B441" s="70"/>
      <c r="C441" s="70"/>
      <c r="D441" s="301"/>
      <c r="E441" s="70"/>
      <c r="F441" s="12"/>
      <c r="G441" s="12"/>
      <c r="H441" s="30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</row>
    <row r="442" spans="1:24" ht="12.75">
      <c r="A442" s="12"/>
      <c r="B442" s="70"/>
      <c r="C442" s="70"/>
      <c r="D442" s="301"/>
      <c r="E442" s="70"/>
      <c r="F442" s="12"/>
      <c r="G442" s="12"/>
      <c r="H442" s="30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</row>
    <row r="443" spans="1:24" ht="12.75">
      <c r="A443" s="12"/>
      <c r="B443" s="70"/>
      <c r="C443" s="70"/>
      <c r="D443" s="301"/>
      <c r="E443" s="70"/>
      <c r="F443" s="12"/>
      <c r="G443" s="12"/>
      <c r="H443" s="30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</row>
    <row r="444" spans="1:24" ht="12.75">
      <c r="A444" s="12"/>
      <c r="B444" s="70"/>
      <c r="C444" s="70"/>
      <c r="D444" s="301"/>
      <c r="E444" s="70"/>
      <c r="F444" s="12"/>
      <c r="G444" s="12"/>
      <c r="H444" s="30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</row>
    <row r="445" spans="1:24" ht="12.75">
      <c r="A445" s="12"/>
      <c r="B445" s="70"/>
      <c r="C445" s="70"/>
      <c r="D445" s="301"/>
      <c r="E445" s="70"/>
      <c r="F445" s="12"/>
      <c r="G445" s="12"/>
      <c r="H445" s="30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</row>
    <row r="446" spans="1:24" ht="12.75">
      <c r="A446" s="12"/>
      <c r="B446" s="70"/>
      <c r="C446" s="70"/>
      <c r="D446" s="301"/>
      <c r="E446" s="70"/>
      <c r="F446" s="12"/>
      <c r="G446" s="12"/>
      <c r="H446" s="30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</row>
    <row r="447" spans="1:24" ht="12.75">
      <c r="A447" s="12"/>
      <c r="B447" s="70"/>
      <c r="C447" s="70"/>
      <c r="D447" s="301"/>
      <c r="E447" s="70"/>
      <c r="F447" s="12"/>
      <c r="G447" s="12"/>
      <c r="H447" s="30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</row>
    <row r="448" spans="1:24" ht="12.75">
      <c r="A448" s="12"/>
      <c r="B448" s="70"/>
      <c r="C448" s="70"/>
      <c r="D448" s="301"/>
      <c r="E448" s="70"/>
      <c r="F448" s="12"/>
      <c r="G448" s="12"/>
      <c r="H448" s="30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</row>
    <row r="449" spans="1:24" ht="12.75">
      <c r="A449" s="12"/>
      <c r="B449" s="70"/>
      <c r="C449" s="70"/>
      <c r="D449" s="301"/>
      <c r="E449" s="70"/>
      <c r="F449" s="12"/>
      <c r="G449" s="12"/>
      <c r="H449" s="30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</row>
    <row r="450" spans="1:24" ht="12.75">
      <c r="A450" s="12"/>
      <c r="B450" s="70"/>
      <c r="C450" s="70"/>
      <c r="D450" s="301"/>
      <c r="E450" s="70"/>
      <c r="F450" s="12"/>
      <c r="G450" s="12"/>
      <c r="H450" s="30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</row>
    <row r="451" spans="1:24" ht="12.75">
      <c r="A451" s="12"/>
      <c r="B451" s="70"/>
      <c r="C451" s="70"/>
      <c r="D451" s="301"/>
      <c r="E451" s="70"/>
      <c r="F451" s="12"/>
      <c r="G451" s="12"/>
      <c r="H451" s="30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</row>
    <row r="452" spans="1:24" ht="12.75">
      <c r="A452" s="12"/>
      <c r="B452" s="70"/>
      <c r="C452" s="70"/>
      <c r="D452" s="301"/>
      <c r="E452" s="70"/>
      <c r="F452" s="12"/>
      <c r="G452" s="12"/>
      <c r="H452" s="30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</row>
    <row r="453" spans="1:24" ht="12.75">
      <c r="A453" s="12"/>
      <c r="B453" s="70"/>
      <c r="C453" s="70"/>
      <c r="D453" s="301"/>
      <c r="E453" s="70"/>
      <c r="F453" s="12"/>
      <c r="G453" s="12"/>
      <c r="H453" s="30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</row>
    <row r="454" spans="1:24" ht="12.75">
      <c r="A454" s="12"/>
      <c r="B454" s="70"/>
      <c r="C454" s="70"/>
      <c r="D454" s="301"/>
      <c r="E454" s="70"/>
      <c r="F454" s="12"/>
      <c r="G454" s="12"/>
      <c r="H454" s="30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</row>
    <row r="455" spans="1:24" ht="12.75">
      <c r="A455" s="12"/>
      <c r="B455" s="70"/>
      <c r="C455" s="70"/>
      <c r="D455" s="301"/>
      <c r="E455" s="70"/>
      <c r="F455" s="12"/>
      <c r="G455" s="12"/>
      <c r="H455" s="30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</row>
    <row r="456" spans="1:24" ht="12.75">
      <c r="A456" s="12"/>
      <c r="B456" s="70"/>
      <c r="C456" s="70"/>
      <c r="D456" s="301"/>
      <c r="E456" s="70"/>
      <c r="F456" s="12"/>
      <c r="G456" s="12"/>
      <c r="H456" s="30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</row>
    <row r="457" spans="1:24" ht="12.75">
      <c r="A457" s="12"/>
      <c r="B457" s="70"/>
      <c r="C457" s="70"/>
      <c r="D457" s="301"/>
      <c r="E457" s="70"/>
      <c r="F457" s="12"/>
      <c r="G457" s="12"/>
      <c r="H457" s="30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</row>
    <row r="458" spans="1:24" ht="12.75">
      <c r="A458" s="12"/>
      <c r="B458" s="70"/>
      <c r="C458" s="70"/>
      <c r="D458" s="301"/>
      <c r="E458" s="70"/>
      <c r="F458" s="12"/>
      <c r="G458" s="12"/>
      <c r="H458" s="30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</row>
    <row r="459" spans="1:24" ht="12.75">
      <c r="A459" s="12"/>
      <c r="B459" s="70"/>
      <c r="C459" s="70"/>
      <c r="D459" s="301"/>
      <c r="E459" s="70"/>
      <c r="F459" s="12"/>
      <c r="G459" s="12"/>
      <c r="H459" s="30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</row>
    <row r="460" spans="1:24" ht="12.75">
      <c r="A460" s="12"/>
      <c r="B460" s="70"/>
      <c r="C460" s="70"/>
      <c r="D460" s="301"/>
      <c r="E460" s="70"/>
      <c r="F460" s="12"/>
      <c r="G460" s="12"/>
      <c r="H460" s="30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</row>
    <row r="461" spans="1:24" ht="12.75">
      <c r="A461" s="12"/>
      <c r="B461" s="70"/>
      <c r="C461" s="70"/>
      <c r="D461" s="301"/>
      <c r="E461" s="70"/>
      <c r="F461" s="12"/>
      <c r="G461" s="12"/>
      <c r="H461" s="30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</row>
    <row r="462" spans="1:24" ht="12.75">
      <c r="A462" s="12"/>
      <c r="B462" s="70"/>
      <c r="C462" s="70"/>
      <c r="D462" s="301"/>
      <c r="E462" s="70"/>
      <c r="F462" s="12"/>
      <c r="G462" s="12"/>
      <c r="H462" s="30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</row>
    <row r="463" spans="1:24" ht="12.75">
      <c r="A463" s="12"/>
      <c r="B463" s="70"/>
      <c r="C463" s="70"/>
      <c r="D463" s="301"/>
      <c r="E463" s="70"/>
      <c r="F463" s="12"/>
      <c r="G463" s="12"/>
      <c r="H463" s="30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</row>
    <row r="464" spans="1:24" ht="12.75">
      <c r="A464" s="12"/>
      <c r="B464" s="70"/>
      <c r="C464" s="70"/>
      <c r="D464" s="301"/>
      <c r="E464" s="70"/>
      <c r="F464" s="12"/>
      <c r="G464" s="12"/>
      <c r="H464" s="30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</row>
    <row r="465" spans="1:24" ht="12.75">
      <c r="A465" s="12"/>
      <c r="B465" s="70"/>
      <c r="C465" s="70"/>
      <c r="D465" s="301"/>
      <c r="E465" s="70"/>
      <c r="F465" s="12"/>
      <c r="G465" s="12"/>
      <c r="H465" s="30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</row>
    <row r="466" spans="1:24" ht="12.75">
      <c r="A466" s="12"/>
      <c r="B466" s="70"/>
      <c r="C466" s="70"/>
      <c r="D466" s="301"/>
      <c r="E466" s="70"/>
      <c r="F466" s="12"/>
      <c r="G466" s="12"/>
      <c r="H466" s="30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</row>
    <row r="467" spans="1:24" ht="12.75">
      <c r="A467" s="12"/>
      <c r="B467" s="70"/>
      <c r="C467" s="70"/>
      <c r="D467" s="301"/>
      <c r="E467" s="70"/>
      <c r="F467" s="12"/>
      <c r="G467" s="12"/>
      <c r="H467" s="30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</row>
    <row r="468" spans="1:24" ht="12.75">
      <c r="A468" s="12"/>
      <c r="B468" s="70"/>
      <c r="C468" s="70"/>
      <c r="D468" s="301"/>
      <c r="E468" s="70"/>
      <c r="F468" s="12"/>
      <c r="G468" s="12"/>
      <c r="H468" s="30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</row>
    <row r="469" spans="1:24" ht="12.75">
      <c r="A469" s="12"/>
      <c r="B469" s="70"/>
      <c r="C469" s="70"/>
      <c r="D469" s="301"/>
      <c r="E469" s="70"/>
      <c r="F469" s="12"/>
      <c r="G469" s="12"/>
      <c r="H469" s="30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</row>
    <row r="470" spans="1:24" ht="12.75">
      <c r="A470" s="12"/>
      <c r="B470" s="70"/>
      <c r="C470" s="70"/>
      <c r="D470" s="301"/>
      <c r="E470" s="70"/>
      <c r="F470" s="12"/>
      <c r="G470" s="12"/>
      <c r="H470" s="30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</row>
    <row r="471" spans="1:24" ht="12.75">
      <c r="A471" s="12"/>
      <c r="B471" s="70"/>
      <c r="C471" s="70"/>
      <c r="D471" s="301"/>
      <c r="E471" s="70"/>
      <c r="F471" s="12"/>
      <c r="G471" s="12"/>
      <c r="H471" s="30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</row>
    <row r="472" spans="1:24" ht="12.75">
      <c r="A472" s="12"/>
      <c r="B472" s="70"/>
      <c r="C472" s="70"/>
      <c r="D472" s="301"/>
      <c r="E472" s="70"/>
      <c r="F472" s="12"/>
      <c r="G472" s="12"/>
      <c r="H472" s="30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</row>
    <row r="473" spans="1:24" ht="12.75">
      <c r="A473" s="12"/>
      <c r="B473" s="70"/>
      <c r="C473" s="70"/>
      <c r="D473" s="301"/>
      <c r="E473" s="70"/>
      <c r="F473" s="12"/>
      <c r="G473" s="12"/>
      <c r="H473" s="30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</row>
    <row r="474" spans="1:24" ht="12.75">
      <c r="A474" s="12"/>
      <c r="B474" s="70"/>
      <c r="C474" s="70"/>
      <c r="D474" s="301"/>
      <c r="E474" s="70"/>
      <c r="F474" s="12"/>
      <c r="G474" s="12"/>
      <c r="H474" s="30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</row>
    <row r="475" spans="1:24" ht="12.75">
      <c r="A475" s="12"/>
      <c r="B475" s="70"/>
      <c r="C475" s="70"/>
      <c r="D475" s="301"/>
      <c r="E475" s="70"/>
      <c r="F475" s="12"/>
      <c r="G475" s="12"/>
      <c r="H475" s="30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</row>
    <row r="476" spans="1:24" ht="12.75">
      <c r="A476" s="12"/>
      <c r="B476" s="70"/>
      <c r="C476" s="70"/>
      <c r="D476" s="301"/>
      <c r="E476" s="70"/>
      <c r="F476" s="12"/>
      <c r="G476" s="12"/>
      <c r="H476" s="30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</row>
    <row r="477" spans="1:24" ht="12.75">
      <c r="A477" s="12"/>
      <c r="B477" s="70"/>
      <c r="C477" s="70"/>
      <c r="D477" s="301"/>
      <c r="E477" s="70"/>
      <c r="F477" s="12"/>
      <c r="G477" s="12"/>
      <c r="H477" s="30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</row>
    <row r="478" spans="1:24" ht="12.75">
      <c r="A478" s="12"/>
      <c r="B478" s="70"/>
      <c r="C478" s="70"/>
      <c r="D478" s="301"/>
      <c r="E478" s="70"/>
      <c r="F478" s="12"/>
      <c r="G478" s="12"/>
      <c r="H478" s="30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</row>
    <row r="479" spans="1:24" ht="12.75">
      <c r="A479" s="12"/>
      <c r="B479" s="70"/>
      <c r="C479" s="70"/>
      <c r="D479" s="301"/>
      <c r="E479" s="70"/>
      <c r="F479" s="12"/>
      <c r="G479" s="12"/>
      <c r="H479" s="30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</row>
    <row r="480" spans="1:24" ht="12.75">
      <c r="A480" s="12"/>
      <c r="B480" s="70"/>
      <c r="C480" s="70"/>
      <c r="D480" s="301"/>
      <c r="E480" s="70"/>
      <c r="F480" s="12"/>
      <c r="G480" s="12"/>
      <c r="H480" s="30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</row>
    <row r="481" spans="1:24" ht="12.75">
      <c r="A481" s="12"/>
      <c r="B481" s="70"/>
      <c r="C481" s="70"/>
      <c r="D481" s="301"/>
      <c r="E481" s="70"/>
      <c r="F481" s="12"/>
      <c r="G481" s="12"/>
      <c r="H481" s="30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</row>
    <row r="482" spans="1:24" ht="12.75">
      <c r="A482" s="12"/>
      <c r="B482" s="70"/>
      <c r="C482" s="70"/>
      <c r="D482" s="301"/>
      <c r="E482" s="70"/>
      <c r="F482" s="12"/>
      <c r="G482" s="12"/>
      <c r="H482" s="30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</row>
    <row r="483" spans="1:24" ht="12.75">
      <c r="A483" s="12"/>
      <c r="B483" s="70"/>
      <c r="C483" s="70"/>
      <c r="D483" s="301"/>
      <c r="E483" s="70"/>
      <c r="F483" s="12"/>
      <c r="G483" s="12"/>
      <c r="H483" s="30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</row>
    <row r="484" spans="1:24" ht="12.75">
      <c r="A484" s="12"/>
      <c r="B484" s="70"/>
      <c r="C484" s="70"/>
      <c r="D484" s="301"/>
      <c r="E484" s="70"/>
      <c r="F484" s="12"/>
      <c r="G484" s="12"/>
      <c r="H484" s="30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</row>
    <row r="485" spans="1:24" ht="12.75">
      <c r="A485" s="12"/>
      <c r="B485" s="70"/>
      <c r="C485" s="70"/>
      <c r="D485" s="301"/>
      <c r="E485" s="70"/>
      <c r="F485" s="12"/>
      <c r="G485" s="12"/>
      <c r="H485" s="30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</row>
    <row r="486" spans="1:24" ht="12.75">
      <c r="A486" s="12"/>
      <c r="B486" s="70"/>
      <c r="C486" s="70"/>
      <c r="D486" s="301"/>
      <c r="E486" s="70"/>
      <c r="F486" s="12"/>
      <c r="G486" s="12"/>
      <c r="H486" s="30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</row>
    <row r="487" spans="1:24" ht="12.75">
      <c r="A487" s="12"/>
      <c r="B487" s="70"/>
      <c r="C487" s="70"/>
      <c r="D487" s="301"/>
      <c r="E487" s="70"/>
      <c r="F487" s="12"/>
      <c r="G487" s="12"/>
      <c r="H487" s="30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</row>
    <row r="488" spans="1:24" ht="12.75">
      <c r="A488" s="12"/>
      <c r="B488" s="70"/>
      <c r="C488" s="70"/>
      <c r="D488" s="301"/>
      <c r="E488" s="70"/>
      <c r="F488" s="12"/>
      <c r="G488" s="12"/>
      <c r="H488" s="30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</row>
    <row r="489" spans="1:24" ht="12.75">
      <c r="A489" s="12"/>
      <c r="B489" s="70"/>
      <c r="C489" s="70"/>
      <c r="D489" s="301"/>
      <c r="E489" s="70"/>
      <c r="F489" s="12"/>
      <c r="G489" s="12"/>
      <c r="H489" s="30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</row>
    <row r="490" spans="1:24" ht="12.75">
      <c r="A490" s="12"/>
      <c r="B490" s="70"/>
      <c r="C490" s="70"/>
      <c r="D490" s="301"/>
      <c r="E490" s="70"/>
      <c r="F490" s="12"/>
      <c r="G490" s="12"/>
      <c r="H490" s="30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</row>
    <row r="491" spans="1:24" ht="12.75">
      <c r="A491" s="12"/>
      <c r="B491" s="70"/>
      <c r="C491" s="70"/>
      <c r="D491" s="301"/>
      <c r="E491" s="70"/>
      <c r="F491" s="12"/>
      <c r="G491" s="12"/>
      <c r="H491" s="30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</row>
    <row r="492" spans="1:24" ht="12.75">
      <c r="A492" s="12"/>
      <c r="B492" s="70"/>
      <c r="C492" s="70"/>
      <c r="D492" s="301"/>
      <c r="E492" s="70"/>
      <c r="F492" s="12"/>
      <c r="G492" s="12"/>
      <c r="H492" s="30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</row>
    <row r="493" spans="1:24" ht="12.75">
      <c r="A493" s="12"/>
      <c r="B493" s="70"/>
      <c r="C493" s="70"/>
      <c r="D493" s="301"/>
      <c r="E493" s="70"/>
      <c r="F493" s="12"/>
      <c r="G493" s="12"/>
      <c r="H493" s="30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</row>
    <row r="494" spans="1:24" ht="12.75">
      <c r="A494" s="12"/>
      <c r="B494" s="70"/>
      <c r="C494" s="70"/>
      <c r="D494" s="301"/>
      <c r="E494" s="70"/>
      <c r="F494" s="12"/>
      <c r="G494" s="12"/>
      <c r="H494" s="30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</row>
    <row r="495" spans="1:24" ht="12.75">
      <c r="A495" s="12"/>
      <c r="B495" s="70"/>
      <c r="C495" s="70"/>
      <c r="D495" s="301"/>
      <c r="E495" s="70"/>
      <c r="F495" s="12"/>
      <c r="G495" s="12"/>
      <c r="H495" s="30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</row>
    <row r="496" spans="1:24" ht="12.75">
      <c r="A496" s="12"/>
      <c r="B496" s="70"/>
      <c r="C496" s="70"/>
      <c r="D496" s="301"/>
      <c r="E496" s="70"/>
      <c r="F496" s="12"/>
      <c r="G496" s="12"/>
      <c r="H496" s="30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</row>
    <row r="497" spans="1:24" ht="12.75">
      <c r="A497" s="12"/>
      <c r="B497" s="70"/>
      <c r="C497" s="70"/>
      <c r="D497" s="301"/>
      <c r="E497" s="70"/>
      <c r="F497" s="12"/>
      <c r="G497" s="12"/>
      <c r="H497" s="30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</row>
    <row r="498" spans="1:24" ht="12.75">
      <c r="A498" s="12"/>
      <c r="B498" s="70"/>
      <c r="C498" s="70"/>
      <c r="D498" s="301"/>
      <c r="E498" s="70"/>
      <c r="F498" s="12"/>
      <c r="G498" s="12"/>
      <c r="H498" s="30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</row>
    <row r="499" spans="1:24" ht="12.75">
      <c r="A499" s="12"/>
      <c r="B499" s="70"/>
      <c r="C499" s="70"/>
      <c r="D499" s="301"/>
      <c r="E499" s="70"/>
      <c r="F499" s="12"/>
      <c r="G499" s="12"/>
      <c r="H499" s="30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</row>
    <row r="500" spans="1:24" ht="12.75">
      <c r="A500" s="12"/>
      <c r="B500" s="70"/>
      <c r="C500" s="70"/>
      <c r="D500" s="301"/>
      <c r="E500" s="70"/>
      <c r="F500" s="12"/>
      <c r="G500" s="12"/>
      <c r="H500" s="30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</row>
    <row r="501" spans="1:24" ht="12.75">
      <c r="A501" s="12"/>
      <c r="B501" s="70"/>
      <c r="C501" s="70"/>
      <c r="D501" s="301"/>
      <c r="E501" s="70"/>
      <c r="F501" s="12"/>
      <c r="G501" s="12"/>
      <c r="H501" s="30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</row>
    <row r="502" spans="1:24" ht="12.75">
      <c r="A502" s="12"/>
      <c r="B502" s="70"/>
      <c r="C502" s="70"/>
      <c r="D502" s="301"/>
      <c r="E502" s="70"/>
      <c r="F502" s="12"/>
      <c r="G502" s="12"/>
      <c r="H502" s="30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</row>
    <row r="503" spans="1:24" ht="12.75">
      <c r="A503" s="12"/>
      <c r="B503" s="70"/>
      <c r="C503" s="70"/>
      <c r="D503" s="301"/>
      <c r="E503" s="70"/>
      <c r="F503" s="12"/>
      <c r="G503" s="12"/>
      <c r="H503" s="30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</row>
    <row r="504" spans="1:24" ht="12.75">
      <c r="A504" s="12"/>
      <c r="B504" s="70"/>
      <c r="C504" s="70"/>
      <c r="D504" s="301"/>
      <c r="E504" s="70"/>
      <c r="F504" s="12"/>
      <c r="G504" s="12"/>
      <c r="H504" s="30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</row>
    <row r="505" spans="1:24" ht="12.75">
      <c r="A505" s="12"/>
      <c r="B505" s="70"/>
      <c r="C505" s="70"/>
      <c r="D505" s="301"/>
      <c r="E505" s="70"/>
      <c r="F505" s="12"/>
      <c r="G505" s="12"/>
      <c r="H505" s="30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</row>
    <row r="506" spans="1:24" ht="12.75">
      <c r="A506" s="12"/>
      <c r="B506" s="70"/>
      <c r="C506" s="70"/>
      <c r="D506" s="301"/>
      <c r="E506" s="70"/>
      <c r="F506" s="12"/>
      <c r="G506" s="12"/>
      <c r="H506" s="30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</row>
    <row r="507" spans="1:24" ht="12.75">
      <c r="A507" s="12"/>
      <c r="B507" s="70"/>
      <c r="C507" s="70"/>
      <c r="D507" s="301"/>
      <c r="E507" s="70"/>
      <c r="F507" s="12"/>
      <c r="G507" s="12"/>
      <c r="H507" s="30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</row>
    <row r="508" spans="1:24" ht="12.75">
      <c r="A508" s="12"/>
      <c r="B508" s="70"/>
      <c r="C508" s="70"/>
      <c r="D508" s="301"/>
      <c r="E508" s="70"/>
      <c r="F508" s="12"/>
      <c r="G508" s="12"/>
      <c r="H508" s="30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</row>
    <row r="509" spans="1:24" ht="12.75">
      <c r="A509" s="12"/>
      <c r="B509" s="70"/>
      <c r="C509" s="70"/>
      <c r="D509" s="301"/>
      <c r="E509" s="70"/>
      <c r="F509" s="12"/>
      <c r="G509" s="12"/>
      <c r="H509" s="30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</row>
    <row r="510" spans="1:24" ht="12.75">
      <c r="A510" s="12"/>
      <c r="B510" s="70"/>
      <c r="C510" s="70"/>
      <c r="D510" s="301"/>
      <c r="E510" s="70"/>
      <c r="F510" s="12"/>
      <c r="G510" s="12"/>
      <c r="H510" s="30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</row>
    <row r="511" spans="1:24" ht="12.75">
      <c r="A511" s="12"/>
      <c r="B511" s="70"/>
      <c r="C511" s="70"/>
      <c r="D511" s="301"/>
      <c r="E511" s="70"/>
      <c r="F511" s="12"/>
      <c r="G511" s="12"/>
      <c r="H511" s="30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</row>
    <row r="512" spans="1:24" ht="12.75">
      <c r="A512" s="12"/>
      <c r="B512" s="70"/>
      <c r="C512" s="70"/>
      <c r="D512" s="301"/>
      <c r="E512" s="70"/>
      <c r="F512" s="12"/>
      <c r="G512" s="12"/>
      <c r="H512" s="30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</row>
    <row r="513" spans="1:24" ht="12.75">
      <c r="A513" s="12"/>
      <c r="B513" s="70"/>
      <c r="C513" s="70"/>
      <c r="D513" s="301"/>
      <c r="E513" s="70"/>
      <c r="F513" s="12"/>
      <c r="G513" s="12"/>
      <c r="H513" s="30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</row>
    <row r="514" spans="1:24" ht="12.75">
      <c r="A514" s="12"/>
      <c r="B514" s="70"/>
      <c r="C514" s="70"/>
      <c r="D514" s="301"/>
      <c r="E514" s="70"/>
      <c r="F514" s="12"/>
      <c r="G514" s="12"/>
      <c r="H514" s="30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</row>
    <row r="515" spans="1:24" ht="12.75">
      <c r="A515" s="12"/>
      <c r="B515" s="70"/>
      <c r="C515" s="70"/>
      <c r="D515" s="301"/>
      <c r="E515" s="70"/>
      <c r="F515" s="12"/>
      <c r="G515" s="12"/>
      <c r="H515" s="30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</row>
    <row r="516" spans="1:24" ht="12.75">
      <c r="A516" s="12"/>
      <c r="B516" s="70"/>
      <c r="C516" s="70"/>
      <c r="D516" s="301"/>
      <c r="E516" s="70"/>
      <c r="F516" s="12"/>
      <c r="G516" s="12"/>
      <c r="H516" s="30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</row>
    <row r="517" spans="1:24" ht="12.75">
      <c r="A517" s="12"/>
      <c r="B517" s="70"/>
      <c r="C517" s="70"/>
      <c r="D517" s="301"/>
      <c r="E517" s="70"/>
      <c r="F517" s="12"/>
      <c r="G517" s="12"/>
      <c r="H517" s="30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</row>
    <row r="518" spans="1:24" ht="12.75">
      <c r="A518" s="12"/>
      <c r="B518" s="70"/>
      <c r="C518" s="70"/>
      <c r="D518" s="301"/>
      <c r="E518" s="70"/>
      <c r="F518" s="12"/>
      <c r="G518" s="12"/>
      <c r="H518" s="30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</row>
    <row r="519" spans="1:24" ht="12.75">
      <c r="A519" s="12"/>
      <c r="B519" s="70"/>
      <c r="C519" s="70"/>
      <c r="D519" s="301"/>
      <c r="E519" s="70"/>
      <c r="F519" s="12"/>
      <c r="G519" s="12"/>
      <c r="H519" s="30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</row>
    <row r="520" spans="1:24" ht="12.75">
      <c r="A520" s="12"/>
      <c r="B520" s="70"/>
      <c r="C520" s="70"/>
      <c r="D520" s="301"/>
      <c r="E520" s="70"/>
      <c r="F520" s="12"/>
      <c r="G520" s="12"/>
      <c r="H520" s="30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</row>
    <row r="521" spans="1:24" ht="12.75">
      <c r="A521" s="12"/>
      <c r="B521" s="70"/>
      <c r="C521" s="70"/>
      <c r="D521" s="301"/>
      <c r="E521" s="70"/>
      <c r="F521" s="12"/>
      <c r="G521" s="12"/>
      <c r="H521" s="30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</row>
    <row r="522" spans="1:24" ht="12.75">
      <c r="A522" s="12"/>
      <c r="B522" s="70"/>
      <c r="C522" s="70"/>
      <c r="D522" s="301"/>
      <c r="E522" s="70"/>
      <c r="F522" s="12"/>
      <c r="G522" s="12"/>
      <c r="H522" s="30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</row>
    <row r="523" spans="1:24" ht="12.75">
      <c r="A523" s="12"/>
      <c r="B523" s="70"/>
      <c r="C523" s="70"/>
      <c r="D523" s="301"/>
      <c r="E523" s="70"/>
      <c r="F523" s="12"/>
      <c r="G523" s="12"/>
      <c r="H523" s="30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</row>
    <row r="524" spans="1:24" ht="12.75">
      <c r="A524" s="12"/>
      <c r="B524" s="70"/>
      <c r="C524" s="70"/>
      <c r="D524" s="301"/>
      <c r="E524" s="70"/>
      <c r="F524" s="12"/>
      <c r="G524" s="12"/>
      <c r="H524" s="30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</row>
    <row r="525" spans="1:24" ht="12.75">
      <c r="A525" s="12"/>
      <c r="B525" s="70"/>
      <c r="C525" s="70"/>
      <c r="D525" s="301"/>
      <c r="E525" s="70"/>
      <c r="F525" s="12"/>
      <c r="G525" s="12"/>
      <c r="H525" s="30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</row>
    <row r="526" spans="1:24" ht="12.75">
      <c r="A526" s="12"/>
      <c r="B526" s="70"/>
      <c r="C526" s="70"/>
      <c r="D526" s="301"/>
      <c r="E526" s="70"/>
      <c r="F526" s="12"/>
      <c r="G526" s="12"/>
      <c r="H526" s="30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</row>
    <row r="527" spans="1:24" ht="12.75">
      <c r="A527" s="12"/>
      <c r="B527" s="70"/>
      <c r="C527" s="70"/>
      <c r="D527" s="301"/>
      <c r="E527" s="70"/>
      <c r="F527" s="12"/>
      <c r="G527" s="12"/>
      <c r="H527" s="30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</row>
    <row r="528" spans="1:24" ht="12.75">
      <c r="A528" s="12"/>
      <c r="B528" s="70"/>
      <c r="C528" s="70"/>
      <c r="D528" s="301"/>
      <c r="E528" s="70"/>
      <c r="F528" s="12"/>
      <c r="G528" s="12"/>
      <c r="H528" s="30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</row>
    <row r="529" spans="1:24" ht="12.75">
      <c r="A529" s="12"/>
      <c r="B529" s="70"/>
      <c r="C529" s="70"/>
      <c r="D529" s="301"/>
      <c r="E529" s="70"/>
      <c r="F529" s="12"/>
      <c r="G529" s="12"/>
      <c r="H529" s="30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</row>
    <row r="530" spans="1:24" ht="12.75">
      <c r="A530" s="12"/>
      <c r="B530" s="70"/>
      <c r="C530" s="70"/>
      <c r="D530" s="301"/>
      <c r="E530" s="70"/>
      <c r="F530" s="12"/>
      <c r="G530" s="12"/>
      <c r="H530" s="30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</row>
    <row r="531" spans="1:24" ht="12.75">
      <c r="A531" s="12"/>
      <c r="B531" s="70"/>
      <c r="C531" s="70"/>
      <c r="D531" s="301"/>
      <c r="E531" s="70"/>
      <c r="F531" s="12"/>
      <c r="G531" s="12"/>
      <c r="H531" s="30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</row>
    <row r="532" spans="1:24" ht="12.75">
      <c r="A532" s="12"/>
      <c r="B532" s="70"/>
      <c r="C532" s="70"/>
      <c r="D532" s="301"/>
      <c r="E532" s="70"/>
      <c r="F532" s="12"/>
      <c r="G532" s="12"/>
      <c r="H532" s="30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</row>
    <row r="533" spans="1:24" ht="12.75">
      <c r="A533" s="12"/>
      <c r="B533" s="70"/>
      <c r="C533" s="70"/>
      <c r="D533" s="301"/>
      <c r="E533" s="70"/>
      <c r="F533" s="12"/>
      <c r="G533" s="12"/>
      <c r="H533" s="30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</row>
    <row r="534" spans="1:24" ht="12.75">
      <c r="A534" s="12"/>
      <c r="B534" s="70"/>
      <c r="C534" s="70"/>
      <c r="D534" s="301"/>
      <c r="E534" s="70"/>
      <c r="F534" s="12"/>
      <c r="G534" s="12"/>
      <c r="H534" s="30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</row>
    <row r="535" spans="1:24" ht="12.75">
      <c r="A535" s="12"/>
      <c r="B535" s="70"/>
      <c r="C535" s="70"/>
      <c r="D535" s="301"/>
      <c r="E535" s="70"/>
      <c r="F535" s="12"/>
      <c r="G535" s="12"/>
      <c r="H535" s="30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</row>
    <row r="536" spans="1:24" ht="12.75">
      <c r="A536" s="12"/>
      <c r="B536" s="70"/>
      <c r="C536" s="70"/>
      <c r="D536" s="301"/>
      <c r="E536" s="70"/>
      <c r="F536" s="12"/>
      <c r="G536" s="12"/>
      <c r="H536" s="30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</row>
    <row r="537" spans="1:24" ht="12.75">
      <c r="A537" s="12"/>
      <c r="B537" s="70"/>
      <c r="C537" s="70"/>
      <c r="D537" s="301"/>
      <c r="E537" s="70"/>
      <c r="F537" s="12"/>
      <c r="G537" s="12"/>
      <c r="H537" s="30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</row>
    <row r="538" spans="1:24" ht="12.75">
      <c r="A538" s="12"/>
      <c r="B538" s="70"/>
      <c r="C538" s="70"/>
      <c r="D538" s="301"/>
      <c r="E538" s="70"/>
      <c r="F538" s="12"/>
      <c r="G538" s="12"/>
      <c r="H538" s="30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</row>
    <row r="539" spans="1:24" ht="12.75">
      <c r="A539" s="12"/>
      <c r="B539" s="70"/>
      <c r="C539" s="70"/>
      <c r="D539" s="301"/>
      <c r="E539" s="70"/>
      <c r="F539" s="12"/>
      <c r="G539" s="12"/>
      <c r="H539" s="30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</row>
    <row r="540" spans="1:24" ht="12.75">
      <c r="A540" s="12"/>
      <c r="B540" s="70"/>
      <c r="C540" s="70"/>
      <c r="D540" s="301"/>
      <c r="E540" s="70"/>
      <c r="F540" s="12"/>
      <c r="G540" s="12"/>
      <c r="H540" s="30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</row>
    <row r="541" spans="1:24" ht="12.75">
      <c r="A541" s="12"/>
      <c r="B541" s="70"/>
      <c r="C541" s="70"/>
      <c r="D541" s="301"/>
      <c r="E541" s="70"/>
      <c r="F541" s="12"/>
      <c r="G541" s="12"/>
      <c r="H541" s="30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</row>
    <row r="542" spans="1:24" ht="12.75">
      <c r="A542" s="12"/>
      <c r="B542" s="70"/>
      <c r="C542" s="70"/>
      <c r="D542" s="301"/>
      <c r="E542" s="70"/>
      <c r="F542" s="12"/>
      <c r="G542" s="12"/>
      <c r="H542" s="30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</row>
    <row r="543" spans="1:24" ht="12.75">
      <c r="A543" s="12"/>
      <c r="B543" s="70"/>
      <c r="C543" s="70"/>
      <c r="D543" s="301"/>
      <c r="E543" s="70"/>
      <c r="F543" s="12"/>
      <c r="G543" s="12"/>
      <c r="H543" s="30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</row>
    <row r="544" spans="1:24" ht="12.75">
      <c r="A544" s="12"/>
      <c r="B544" s="70"/>
      <c r="C544" s="70"/>
      <c r="D544" s="301"/>
      <c r="E544" s="70"/>
      <c r="F544" s="12"/>
      <c r="G544" s="12"/>
      <c r="H544" s="30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</row>
    <row r="545" spans="1:24" ht="12.75">
      <c r="A545" s="12"/>
      <c r="B545" s="70"/>
      <c r="C545" s="70"/>
      <c r="D545" s="301"/>
      <c r="E545" s="70"/>
      <c r="F545" s="12"/>
      <c r="G545" s="12"/>
      <c r="H545" s="30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</row>
    <row r="546" spans="1:24" ht="12.75">
      <c r="A546" s="12"/>
      <c r="B546" s="70"/>
      <c r="C546" s="70"/>
      <c r="D546" s="301"/>
      <c r="E546" s="70"/>
      <c r="F546" s="12"/>
      <c r="G546" s="12"/>
      <c r="H546" s="30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</row>
    <row r="547" spans="1:24" ht="12.75">
      <c r="A547" s="12"/>
      <c r="B547" s="70"/>
      <c r="C547" s="70"/>
      <c r="D547" s="301"/>
      <c r="E547" s="70"/>
      <c r="F547" s="12"/>
      <c r="G547" s="12"/>
      <c r="H547" s="30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</row>
    <row r="548" spans="1:24" ht="12.75">
      <c r="A548" s="12"/>
      <c r="B548" s="70"/>
      <c r="C548" s="70"/>
      <c r="D548" s="301"/>
      <c r="E548" s="70"/>
      <c r="F548" s="12"/>
      <c r="G548" s="12"/>
      <c r="H548" s="30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</row>
    <row r="549" spans="1:24" ht="12.75">
      <c r="A549" s="12"/>
      <c r="B549" s="70"/>
      <c r="C549" s="70"/>
      <c r="D549" s="301"/>
      <c r="E549" s="70"/>
      <c r="F549" s="12"/>
      <c r="G549" s="12"/>
      <c r="H549" s="30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</row>
    <row r="550" spans="1:24" ht="12.75">
      <c r="A550" s="12"/>
      <c r="B550" s="70"/>
      <c r="C550" s="70"/>
      <c r="D550" s="301"/>
      <c r="E550" s="70"/>
      <c r="F550" s="12"/>
      <c r="G550" s="12"/>
      <c r="H550" s="30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</row>
    <row r="551" spans="1:24" ht="12.75">
      <c r="A551" s="12"/>
      <c r="B551" s="70"/>
      <c r="C551" s="70"/>
      <c r="D551" s="301"/>
      <c r="E551" s="70"/>
      <c r="F551" s="12"/>
      <c r="G551" s="12"/>
      <c r="H551" s="30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</row>
    <row r="552" spans="1:24" ht="12.75">
      <c r="A552" s="12"/>
      <c r="B552" s="70"/>
      <c r="C552" s="70"/>
      <c r="D552" s="301"/>
      <c r="E552" s="70"/>
      <c r="F552" s="12"/>
      <c r="G552" s="12"/>
      <c r="H552" s="30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</row>
    <row r="553" spans="1:24" ht="12.75">
      <c r="A553" s="12"/>
      <c r="B553" s="70"/>
      <c r="C553" s="70"/>
      <c r="D553" s="301"/>
      <c r="E553" s="70"/>
      <c r="F553" s="12"/>
      <c r="G553" s="12"/>
      <c r="H553" s="30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</row>
    <row r="554" spans="1:24" ht="12.75">
      <c r="A554" s="12"/>
      <c r="B554" s="70"/>
      <c r="C554" s="70"/>
      <c r="D554" s="301"/>
      <c r="E554" s="70"/>
      <c r="F554" s="12"/>
      <c r="G554" s="12"/>
      <c r="H554" s="30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</row>
    <row r="555" spans="1:24" ht="12.75">
      <c r="A555" s="12"/>
      <c r="B555" s="70"/>
      <c r="C555" s="70"/>
      <c r="D555" s="301"/>
      <c r="E555" s="70"/>
      <c r="F555" s="12"/>
      <c r="G555" s="12"/>
      <c r="H555" s="30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</row>
    <row r="556" spans="1:24" ht="12.75">
      <c r="A556" s="12"/>
      <c r="B556" s="70"/>
      <c r="C556" s="70"/>
      <c r="D556" s="301"/>
      <c r="E556" s="70"/>
      <c r="F556" s="12"/>
      <c r="G556" s="12"/>
      <c r="H556" s="30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</row>
    <row r="557" spans="1:24" ht="12.75">
      <c r="A557" s="12"/>
      <c r="B557" s="70"/>
      <c r="C557" s="70"/>
      <c r="D557" s="301"/>
      <c r="E557" s="70"/>
      <c r="F557" s="12"/>
      <c r="G557" s="12"/>
      <c r="H557" s="30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</row>
    <row r="558" spans="1:24" ht="12.75">
      <c r="A558" s="12"/>
      <c r="B558" s="70"/>
      <c r="C558" s="70"/>
      <c r="D558" s="301"/>
      <c r="E558" s="70"/>
      <c r="F558" s="12"/>
      <c r="G558" s="12"/>
      <c r="H558" s="30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</row>
    <row r="559" spans="1:24" ht="12.75">
      <c r="A559" s="12"/>
      <c r="B559" s="70"/>
      <c r="C559" s="70"/>
      <c r="D559" s="301"/>
      <c r="E559" s="70"/>
      <c r="F559" s="12"/>
      <c r="G559" s="12"/>
      <c r="H559" s="30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</row>
    <row r="560" spans="1:24" ht="12.75">
      <c r="A560" s="12"/>
      <c r="B560" s="70"/>
      <c r="C560" s="70"/>
      <c r="D560" s="301"/>
      <c r="E560" s="70"/>
      <c r="F560" s="12"/>
      <c r="G560" s="12"/>
      <c r="H560" s="30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</row>
    <row r="561" spans="1:24" ht="12.75">
      <c r="A561" s="12"/>
      <c r="B561" s="70"/>
      <c r="C561" s="70"/>
      <c r="D561" s="301"/>
      <c r="E561" s="70"/>
      <c r="F561" s="12"/>
      <c r="G561" s="12"/>
      <c r="H561" s="30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</row>
    <row r="562" spans="1:24" ht="12.75">
      <c r="A562" s="12"/>
      <c r="B562" s="70"/>
      <c r="C562" s="70"/>
      <c r="D562" s="301"/>
      <c r="E562" s="70"/>
      <c r="F562" s="12"/>
      <c r="G562" s="12"/>
      <c r="H562" s="30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</row>
    <row r="563" spans="1:24" ht="12.75">
      <c r="A563" s="12"/>
      <c r="B563" s="70"/>
      <c r="C563" s="70"/>
      <c r="D563" s="301"/>
      <c r="E563" s="70"/>
      <c r="F563" s="12"/>
      <c r="G563" s="12"/>
      <c r="H563" s="30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</row>
    <row r="564" spans="1:24" ht="12.75">
      <c r="A564" s="12"/>
      <c r="B564" s="70"/>
      <c r="C564" s="70"/>
      <c r="D564" s="301"/>
      <c r="E564" s="70"/>
      <c r="F564" s="12"/>
      <c r="G564" s="12"/>
      <c r="H564" s="30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</row>
    <row r="565" spans="1:24" ht="12.75">
      <c r="A565" s="12"/>
      <c r="B565" s="70"/>
      <c r="C565" s="70"/>
      <c r="D565" s="301"/>
      <c r="E565" s="70"/>
      <c r="F565" s="12"/>
      <c r="G565" s="12"/>
      <c r="H565" s="30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</row>
    <row r="566" spans="1:24" ht="12.75">
      <c r="A566" s="12"/>
      <c r="B566" s="70"/>
      <c r="C566" s="70"/>
      <c r="D566" s="301"/>
      <c r="E566" s="70"/>
      <c r="F566" s="12"/>
      <c r="G566" s="12"/>
      <c r="H566" s="30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</row>
    <row r="567" spans="1:24" ht="12.75">
      <c r="A567" s="12"/>
      <c r="B567" s="70"/>
      <c r="C567" s="70"/>
      <c r="D567" s="301"/>
      <c r="E567" s="70"/>
      <c r="F567" s="12"/>
      <c r="G567" s="12"/>
      <c r="H567" s="30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</row>
    <row r="568" spans="1:24" ht="12.75">
      <c r="A568" s="12"/>
      <c r="B568" s="70"/>
      <c r="C568" s="70"/>
      <c r="D568" s="301"/>
      <c r="E568" s="70"/>
      <c r="F568" s="12"/>
      <c r="G568" s="12"/>
      <c r="H568" s="30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</row>
    <row r="569" spans="1:24" ht="12.75">
      <c r="A569" s="12"/>
      <c r="B569" s="70"/>
      <c r="C569" s="70"/>
      <c r="D569" s="301"/>
      <c r="E569" s="70"/>
      <c r="F569" s="12"/>
      <c r="G569" s="12"/>
      <c r="H569" s="30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</row>
    <row r="570" spans="1:24" ht="12.75">
      <c r="A570" s="12"/>
      <c r="B570" s="70"/>
      <c r="C570" s="70"/>
      <c r="D570" s="301"/>
      <c r="E570" s="70"/>
      <c r="F570" s="12"/>
      <c r="G570" s="12"/>
      <c r="H570" s="30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</row>
    <row r="571" spans="1:24" ht="12.75">
      <c r="A571" s="12"/>
      <c r="B571" s="70"/>
      <c r="C571" s="70"/>
      <c r="D571" s="301"/>
      <c r="E571" s="70"/>
      <c r="F571" s="12"/>
      <c r="G571" s="12"/>
      <c r="H571" s="30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</row>
    <row r="572" spans="1:24" ht="12.75">
      <c r="A572" s="12"/>
      <c r="B572" s="70"/>
      <c r="C572" s="70"/>
      <c r="D572" s="301"/>
      <c r="E572" s="70"/>
      <c r="F572" s="12"/>
      <c r="G572" s="12"/>
      <c r="H572" s="30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</row>
    <row r="573" spans="1:24" ht="12.75">
      <c r="A573" s="12"/>
      <c r="B573" s="70"/>
      <c r="C573" s="70"/>
      <c r="D573" s="301"/>
      <c r="E573" s="70"/>
      <c r="F573" s="12"/>
      <c r="G573" s="12"/>
      <c r="H573" s="30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</row>
    <row r="574" spans="1:24" ht="12.75">
      <c r="A574" s="12"/>
      <c r="B574" s="70"/>
      <c r="C574" s="70"/>
      <c r="D574" s="301"/>
      <c r="E574" s="70"/>
      <c r="F574" s="12"/>
      <c r="G574" s="12"/>
      <c r="H574" s="30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</row>
    <row r="575" spans="1:24" ht="12.75">
      <c r="A575" s="12"/>
      <c r="B575" s="70"/>
      <c r="C575" s="70"/>
      <c r="D575" s="301"/>
      <c r="E575" s="70"/>
      <c r="F575" s="12"/>
      <c r="G575" s="12"/>
      <c r="H575" s="30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</row>
    <row r="576" spans="1:24" ht="12.75">
      <c r="A576" s="12"/>
      <c r="B576" s="70"/>
      <c r="C576" s="70"/>
      <c r="D576" s="301"/>
      <c r="E576" s="70"/>
      <c r="F576" s="12"/>
      <c r="G576" s="12"/>
      <c r="H576" s="30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</row>
    <row r="577" spans="1:24" ht="12.75">
      <c r="A577" s="12"/>
      <c r="B577" s="70"/>
      <c r="C577" s="70"/>
      <c r="D577" s="301"/>
      <c r="E577" s="70"/>
      <c r="F577" s="12"/>
      <c r="G577" s="12"/>
      <c r="H577" s="30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</row>
    <row r="578" spans="1:24" ht="12.75">
      <c r="A578" s="12"/>
      <c r="B578" s="70"/>
      <c r="C578" s="70"/>
      <c r="D578" s="301"/>
      <c r="E578" s="70"/>
      <c r="F578" s="12"/>
      <c r="G578" s="12"/>
      <c r="H578" s="30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</row>
    <row r="579" spans="1:24" ht="12.75">
      <c r="A579" s="12"/>
      <c r="B579" s="70"/>
      <c r="C579" s="70"/>
      <c r="D579" s="301"/>
      <c r="E579" s="70"/>
      <c r="F579" s="12"/>
      <c r="G579" s="12"/>
      <c r="H579" s="30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</row>
    <row r="580" spans="1:24" ht="12.75">
      <c r="A580" s="12"/>
      <c r="B580" s="70"/>
      <c r="C580" s="70"/>
      <c r="D580" s="301"/>
      <c r="E580" s="70"/>
      <c r="F580" s="12"/>
      <c r="G580" s="12"/>
      <c r="H580" s="30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</row>
    <row r="581" spans="1:24" ht="12.75">
      <c r="A581" s="12"/>
      <c r="B581" s="70"/>
      <c r="C581" s="70"/>
      <c r="D581" s="301"/>
      <c r="E581" s="70"/>
      <c r="F581" s="12"/>
      <c r="G581" s="12"/>
      <c r="H581" s="30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</row>
    <row r="582" spans="1:24" ht="12.75">
      <c r="A582" s="12"/>
      <c r="B582" s="70"/>
      <c r="C582" s="70"/>
      <c r="D582" s="301"/>
      <c r="E582" s="70"/>
      <c r="F582" s="12"/>
      <c r="G582" s="12"/>
      <c r="H582" s="30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</row>
    <row r="583" spans="1:24" ht="12.75">
      <c r="A583" s="12"/>
      <c r="B583" s="70"/>
      <c r="C583" s="70"/>
      <c r="D583" s="301"/>
      <c r="E583" s="70"/>
      <c r="F583" s="12"/>
      <c r="G583" s="12"/>
      <c r="H583" s="30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</row>
    <row r="584" spans="1:24" ht="12.75">
      <c r="A584" s="12"/>
      <c r="B584" s="70"/>
      <c r="C584" s="70"/>
      <c r="D584" s="301"/>
      <c r="E584" s="70"/>
      <c r="F584" s="12"/>
      <c r="G584" s="12"/>
      <c r="H584" s="30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</row>
    <row r="585" spans="1:24" ht="12.75">
      <c r="A585" s="12"/>
      <c r="B585" s="70"/>
      <c r="C585" s="70"/>
      <c r="D585" s="301"/>
      <c r="E585" s="70"/>
      <c r="F585" s="12"/>
      <c r="G585" s="12"/>
      <c r="H585" s="30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</row>
    <row r="586" spans="1:24" ht="12.75">
      <c r="A586" s="12"/>
      <c r="B586" s="70"/>
      <c r="C586" s="70"/>
      <c r="D586" s="301"/>
      <c r="E586" s="70"/>
      <c r="F586" s="12"/>
      <c r="G586" s="12"/>
      <c r="H586" s="30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</row>
    <row r="587" spans="1:24" ht="12.75">
      <c r="A587" s="12"/>
      <c r="B587" s="70"/>
      <c r="C587" s="70"/>
      <c r="D587" s="301"/>
      <c r="E587" s="70"/>
      <c r="F587" s="12"/>
      <c r="G587" s="12"/>
      <c r="H587" s="30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</row>
    <row r="588" spans="1:24" ht="12.75">
      <c r="A588" s="12"/>
      <c r="B588" s="70"/>
      <c r="C588" s="70"/>
      <c r="D588" s="301"/>
      <c r="E588" s="70"/>
      <c r="F588" s="12"/>
      <c r="G588" s="12"/>
      <c r="H588" s="30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</row>
    <row r="589" spans="1:24" ht="12.75">
      <c r="A589" s="12"/>
      <c r="B589" s="70"/>
      <c r="C589" s="70"/>
      <c r="D589" s="301"/>
      <c r="E589" s="70"/>
      <c r="F589" s="12"/>
      <c r="G589" s="12"/>
      <c r="H589" s="30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</row>
    <row r="590" spans="1:24" ht="12.75">
      <c r="A590" s="12"/>
      <c r="B590" s="70"/>
      <c r="C590" s="70"/>
      <c r="D590" s="301"/>
      <c r="E590" s="70"/>
      <c r="F590" s="12"/>
      <c r="G590" s="12"/>
      <c r="H590" s="30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</row>
    <row r="591" spans="1:24" ht="12.75">
      <c r="A591" s="12"/>
      <c r="B591" s="70"/>
      <c r="C591" s="70"/>
      <c r="D591" s="301"/>
      <c r="E591" s="70"/>
      <c r="F591" s="12"/>
      <c r="G591" s="12"/>
      <c r="H591" s="30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</row>
    <row r="592" spans="1:24" ht="12.75">
      <c r="A592" s="12"/>
      <c r="B592" s="70"/>
      <c r="C592" s="70"/>
      <c r="D592" s="301"/>
      <c r="E592" s="70"/>
      <c r="F592" s="12"/>
      <c r="G592" s="12"/>
      <c r="H592" s="30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</row>
    <row r="593" spans="1:24" ht="12.75">
      <c r="A593" s="12"/>
      <c r="B593" s="70"/>
      <c r="C593" s="70"/>
      <c r="D593" s="301"/>
      <c r="E593" s="70"/>
      <c r="F593" s="12"/>
      <c r="G593" s="12"/>
      <c r="H593" s="30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</row>
    <row r="594" spans="1:24" ht="12.75">
      <c r="A594" s="12"/>
      <c r="B594" s="70"/>
      <c r="C594" s="70"/>
      <c r="D594" s="301"/>
      <c r="E594" s="70"/>
      <c r="F594" s="12"/>
      <c r="G594" s="12"/>
      <c r="H594" s="30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</row>
    <row r="595" spans="1:24" ht="12.75">
      <c r="A595" s="12"/>
      <c r="B595" s="70"/>
      <c r="C595" s="70"/>
      <c r="D595" s="301"/>
      <c r="E595" s="70"/>
      <c r="F595" s="12"/>
      <c r="G595" s="12"/>
      <c r="H595" s="30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</row>
    <row r="596" spans="1:24" ht="12.75">
      <c r="A596" s="12"/>
      <c r="B596" s="70"/>
      <c r="C596" s="70"/>
      <c r="D596" s="301"/>
      <c r="E596" s="70"/>
      <c r="F596" s="12"/>
      <c r="G596" s="12"/>
      <c r="H596" s="30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</row>
    <row r="597" spans="1:24" ht="12.75">
      <c r="A597" s="12"/>
      <c r="B597" s="70"/>
      <c r="C597" s="70"/>
      <c r="D597" s="301"/>
      <c r="E597" s="70"/>
      <c r="F597" s="12"/>
      <c r="G597" s="12"/>
      <c r="H597" s="30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</row>
    <row r="598" spans="1:24" ht="12.75">
      <c r="A598" s="12"/>
      <c r="B598" s="70"/>
      <c r="C598" s="70"/>
      <c r="D598" s="301"/>
      <c r="E598" s="70"/>
      <c r="F598" s="12"/>
      <c r="G598" s="12"/>
      <c r="H598" s="30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</row>
    <row r="599" spans="1:24" ht="12.75">
      <c r="A599" s="12"/>
      <c r="B599" s="70"/>
      <c r="C599" s="70"/>
      <c r="D599" s="301"/>
      <c r="E599" s="70"/>
      <c r="F599" s="12"/>
      <c r="G599" s="12"/>
      <c r="H599" s="30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</row>
    <row r="600" spans="1:24" ht="12.75">
      <c r="A600" s="12"/>
      <c r="B600" s="70"/>
      <c r="C600" s="70"/>
      <c r="D600" s="301"/>
      <c r="E600" s="70"/>
      <c r="F600" s="12"/>
      <c r="G600" s="12"/>
      <c r="H600" s="30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</row>
    <row r="601" spans="1:24" ht="12.75">
      <c r="A601" s="12"/>
      <c r="B601" s="70"/>
      <c r="C601" s="70"/>
      <c r="D601" s="301"/>
      <c r="E601" s="70"/>
      <c r="F601" s="12"/>
      <c r="G601" s="12"/>
      <c r="H601" s="30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</row>
    <row r="602" spans="1:24" ht="12.75">
      <c r="A602" s="12"/>
      <c r="B602" s="70"/>
      <c r="C602" s="70"/>
      <c r="D602" s="301"/>
      <c r="E602" s="70"/>
      <c r="F602" s="12"/>
      <c r="G602" s="12"/>
      <c r="H602" s="30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</row>
    <row r="603" spans="1:24" ht="12.75">
      <c r="A603" s="12"/>
      <c r="B603" s="70"/>
      <c r="C603" s="70"/>
      <c r="D603" s="301"/>
      <c r="E603" s="70"/>
      <c r="F603" s="12"/>
      <c r="G603" s="12"/>
      <c r="H603" s="30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</row>
    <row r="604" spans="1:24" ht="12.75">
      <c r="A604" s="12"/>
      <c r="B604" s="70"/>
      <c r="C604" s="70"/>
      <c r="D604" s="301"/>
      <c r="E604" s="70"/>
      <c r="F604" s="12"/>
      <c r="G604" s="12"/>
      <c r="H604" s="30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</row>
    <row r="605" spans="1:24" ht="12.75">
      <c r="A605" s="12"/>
      <c r="B605" s="70"/>
      <c r="C605" s="70"/>
      <c r="D605" s="301"/>
      <c r="E605" s="70"/>
      <c r="F605" s="12"/>
      <c r="G605" s="12"/>
      <c r="H605" s="30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</row>
    <row r="606" spans="1:24" ht="12.75">
      <c r="A606" s="12"/>
      <c r="B606" s="70"/>
      <c r="C606" s="70"/>
      <c r="D606" s="301"/>
      <c r="E606" s="70"/>
      <c r="F606" s="12"/>
      <c r="G606" s="12"/>
      <c r="H606" s="30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</row>
    <row r="607" spans="1:24" ht="12.75">
      <c r="A607" s="12"/>
      <c r="B607" s="70"/>
      <c r="C607" s="70"/>
      <c r="D607" s="301"/>
      <c r="E607" s="70"/>
      <c r="F607" s="12"/>
      <c r="G607" s="12"/>
      <c r="H607" s="30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</row>
    <row r="608" spans="1:24" ht="12.75">
      <c r="A608" s="12"/>
      <c r="B608" s="70"/>
      <c r="C608" s="70"/>
      <c r="D608" s="301"/>
      <c r="E608" s="70"/>
      <c r="F608" s="12"/>
      <c r="G608" s="12"/>
      <c r="H608" s="30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</row>
    <row r="609" spans="1:24" ht="12.75">
      <c r="A609" s="12"/>
      <c r="B609" s="70"/>
      <c r="C609" s="70"/>
      <c r="D609" s="301"/>
      <c r="E609" s="70"/>
      <c r="F609" s="12"/>
      <c r="G609" s="12"/>
      <c r="H609" s="30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</row>
    <row r="610" spans="1:24" ht="12.75">
      <c r="A610" s="12"/>
      <c r="B610" s="70"/>
      <c r="C610" s="70"/>
      <c r="D610" s="301"/>
      <c r="E610" s="70"/>
      <c r="F610" s="12"/>
      <c r="G610" s="12"/>
      <c r="H610" s="30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</row>
    <row r="611" spans="1:24" ht="12.75">
      <c r="A611" s="12"/>
      <c r="B611" s="70"/>
      <c r="C611" s="70"/>
      <c r="D611" s="301"/>
      <c r="E611" s="70"/>
      <c r="F611" s="12"/>
      <c r="G611" s="12"/>
      <c r="H611" s="30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</row>
    <row r="612" spans="1:24" ht="12.75">
      <c r="A612" s="12"/>
      <c r="B612" s="70"/>
      <c r="C612" s="70"/>
      <c r="D612" s="301"/>
      <c r="E612" s="70"/>
      <c r="F612" s="12"/>
      <c r="G612" s="12"/>
      <c r="H612" s="30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</row>
    <row r="613" spans="1:24" ht="12.75">
      <c r="A613" s="12"/>
      <c r="B613" s="70"/>
      <c r="C613" s="70"/>
      <c r="D613" s="301"/>
      <c r="E613" s="70"/>
      <c r="F613" s="12"/>
      <c r="G613" s="12"/>
      <c r="H613" s="30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</row>
    <row r="614" spans="1:24" ht="12.75">
      <c r="A614" s="12"/>
      <c r="B614" s="70"/>
      <c r="C614" s="70"/>
      <c r="D614" s="301"/>
      <c r="E614" s="70"/>
      <c r="F614" s="12"/>
      <c r="G614" s="12"/>
      <c r="H614" s="30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</row>
    <row r="615" spans="1:24" ht="12.75">
      <c r="A615" s="12"/>
      <c r="B615" s="70"/>
      <c r="C615" s="70"/>
      <c r="D615" s="301"/>
      <c r="E615" s="70"/>
      <c r="F615" s="12"/>
      <c r="G615" s="12"/>
      <c r="H615" s="30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</row>
    <row r="616" spans="1:24" ht="12.75">
      <c r="A616" s="12"/>
      <c r="B616" s="70"/>
      <c r="C616" s="70"/>
      <c r="D616" s="301"/>
      <c r="E616" s="70"/>
      <c r="F616" s="12"/>
      <c r="G616" s="12"/>
      <c r="H616" s="30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</row>
    <row r="617" spans="1:24" ht="12.75">
      <c r="A617" s="12"/>
      <c r="B617" s="70"/>
      <c r="C617" s="70"/>
      <c r="D617" s="301"/>
      <c r="E617" s="70"/>
      <c r="F617" s="12"/>
      <c r="G617" s="12"/>
      <c r="H617" s="30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</row>
    <row r="618" spans="1:24" ht="12.75">
      <c r="A618" s="12"/>
      <c r="B618" s="70"/>
      <c r="C618" s="70"/>
      <c r="D618" s="301"/>
      <c r="E618" s="70"/>
      <c r="F618" s="12"/>
      <c r="G618" s="12"/>
      <c r="H618" s="30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</row>
    <row r="619" spans="1:24" ht="12.75">
      <c r="A619" s="12"/>
      <c r="B619" s="70"/>
      <c r="C619" s="70"/>
      <c r="D619" s="301"/>
      <c r="E619" s="70"/>
      <c r="F619" s="12"/>
      <c r="G619" s="12"/>
      <c r="H619" s="30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</row>
    <row r="620" spans="1:24" ht="12.75">
      <c r="A620" s="12"/>
      <c r="B620" s="70"/>
      <c r="C620" s="70"/>
      <c r="D620" s="301"/>
      <c r="E620" s="70"/>
      <c r="F620" s="12"/>
      <c r="G620" s="12"/>
      <c r="H620" s="30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</row>
    <row r="621" spans="1:24" ht="12.75">
      <c r="A621" s="12"/>
      <c r="B621" s="70"/>
      <c r="C621" s="70"/>
      <c r="D621" s="301"/>
      <c r="E621" s="70"/>
      <c r="F621" s="12"/>
      <c r="G621" s="12"/>
      <c r="H621" s="30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</row>
    <row r="622" spans="1:24" ht="12.75">
      <c r="A622" s="12"/>
      <c r="B622" s="70"/>
      <c r="C622" s="70"/>
      <c r="D622" s="301"/>
      <c r="E622" s="70"/>
      <c r="F622" s="12"/>
      <c r="G622" s="12"/>
      <c r="H622" s="30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</row>
    <row r="623" spans="1:24" ht="12.75">
      <c r="A623" s="12"/>
      <c r="B623" s="70"/>
      <c r="C623" s="70"/>
      <c r="D623" s="301"/>
      <c r="E623" s="70"/>
      <c r="F623" s="12"/>
      <c r="G623" s="12"/>
      <c r="H623" s="30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</row>
    <row r="624" spans="1:24" ht="12.75">
      <c r="A624" s="12"/>
      <c r="B624" s="70"/>
      <c r="C624" s="70"/>
      <c r="D624" s="301"/>
      <c r="E624" s="70"/>
      <c r="F624" s="12"/>
      <c r="G624" s="12"/>
      <c r="H624" s="30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</row>
    <row r="625" spans="1:24" ht="12.75">
      <c r="A625" s="12"/>
      <c r="B625" s="70"/>
      <c r="C625" s="70"/>
      <c r="D625" s="301"/>
      <c r="E625" s="70"/>
      <c r="F625" s="12"/>
      <c r="G625" s="12"/>
      <c r="H625" s="30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</row>
    <row r="626" spans="1:24" ht="12.75">
      <c r="A626" s="12"/>
      <c r="B626" s="70"/>
      <c r="C626" s="70"/>
      <c r="D626" s="301"/>
      <c r="E626" s="70"/>
      <c r="F626" s="12"/>
      <c r="G626" s="12"/>
      <c r="H626" s="30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</row>
    <row r="627" spans="1:24" ht="12.75">
      <c r="A627" s="12"/>
      <c r="B627" s="70"/>
      <c r="C627" s="70"/>
      <c r="D627" s="301"/>
      <c r="E627" s="70"/>
      <c r="F627" s="12"/>
      <c r="G627" s="12"/>
      <c r="H627" s="30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</row>
    <row r="628" spans="1:24" ht="12.75">
      <c r="A628" s="12"/>
      <c r="B628" s="70"/>
      <c r="C628" s="70"/>
      <c r="D628" s="301"/>
      <c r="E628" s="70"/>
      <c r="F628" s="12"/>
      <c r="G628" s="12"/>
      <c r="H628" s="30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</row>
    <row r="629" spans="1:24" ht="12.75">
      <c r="A629" s="12"/>
      <c r="B629" s="70"/>
      <c r="C629" s="70"/>
      <c r="D629" s="301"/>
      <c r="E629" s="70"/>
      <c r="F629" s="12"/>
      <c r="G629" s="12"/>
      <c r="H629" s="30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</row>
    <row r="630" spans="1:24" ht="12.75">
      <c r="A630" s="12"/>
      <c r="B630" s="70"/>
      <c r="C630" s="70"/>
      <c r="D630" s="301"/>
      <c r="E630" s="70"/>
      <c r="F630" s="12"/>
      <c r="G630" s="12"/>
      <c r="H630" s="30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</row>
    <row r="631" spans="1:24" ht="12.75">
      <c r="A631" s="12"/>
      <c r="B631" s="70"/>
      <c r="C631" s="70"/>
      <c r="D631" s="301"/>
      <c r="E631" s="70"/>
      <c r="F631" s="12"/>
      <c r="G631" s="12"/>
      <c r="H631" s="30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</row>
    <row r="632" spans="1:24" ht="12.75">
      <c r="A632" s="12"/>
      <c r="B632" s="70"/>
      <c r="C632" s="70"/>
      <c r="D632" s="301"/>
      <c r="E632" s="70"/>
      <c r="F632" s="12"/>
      <c r="G632" s="12"/>
      <c r="H632" s="30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</row>
    <row r="633" spans="1:24" ht="12.75">
      <c r="A633" s="12"/>
      <c r="B633" s="70"/>
      <c r="C633" s="70"/>
      <c r="D633" s="301"/>
      <c r="E633" s="70"/>
      <c r="F633" s="12"/>
      <c r="G633" s="12"/>
      <c r="H633" s="30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</row>
    <row r="634" spans="1:24" ht="12.75">
      <c r="A634" s="12"/>
      <c r="B634" s="70"/>
      <c r="C634" s="70"/>
      <c r="D634" s="301"/>
      <c r="E634" s="70"/>
      <c r="F634" s="12"/>
      <c r="G634" s="12"/>
      <c r="H634" s="30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</row>
    <row r="635" spans="1:24" ht="12.75">
      <c r="A635" s="12"/>
      <c r="B635" s="70"/>
      <c r="C635" s="70"/>
      <c r="D635" s="301"/>
      <c r="E635" s="70"/>
      <c r="F635" s="12"/>
      <c r="G635" s="12"/>
      <c r="H635" s="30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</row>
    <row r="636" spans="1:24" ht="12.75">
      <c r="A636" s="12"/>
      <c r="B636" s="70"/>
      <c r="C636" s="70"/>
      <c r="D636" s="301"/>
      <c r="E636" s="70"/>
      <c r="F636" s="12"/>
      <c r="G636" s="12"/>
      <c r="H636" s="30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</row>
    <row r="637" spans="1:24" ht="12.75">
      <c r="A637" s="12"/>
      <c r="B637" s="70"/>
      <c r="C637" s="70"/>
      <c r="D637" s="301"/>
      <c r="E637" s="70"/>
      <c r="F637" s="12"/>
      <c r="G637" s="12"/>
      <c r="H637" s="30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</row>
    <row r="638" spans="1:24" ht="12.75">
      <c r="A638" s="12"/>
      <c r="B638" s="70"/>
      <c r="C638" s="70"/>
      <c r="D638" s="301"/>
      <c r="E638" s="70"/>
      <c r="F638" s="12"/>
      <c r="G638" s="12"/>
      <c r="H638" s="30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</row>
    <row r="639" spans="1:24" ht="12.75">
      <c r="A639" s="12"/>
      <c r="B639" s="70"/>
      <c r="C639" s="70"/>
      <c r="D639" s="301"/>
      <c r="E639" s="70"/>
      <c r="F639" s="12"/>
      <c r="G639" s="12"/>
      <c r="H639" s="30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</row>
    <row r="640" spans="1:24" ht="12.75">
      <c r="A640" s="12"/>
      <c r="B640" s="70"/>
      <c r="C640" s="70"/>
      <c r="D640" s="301"/>
      <c r="E640" s="70"/>
      <c r="F640" s="12"/>
      <c r="G640" s="12"/>
      <c r="H640" s="30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</row>
    <row r="641" spans="1:24" ht="12.75">
      <c r="A641" s="12"/>
      <c r="B641" s="70"/>
      <c r="C641" s="70"/>
      <c r="D641" s="301"/>
      <c r="E641" s="70"/>
      <c r="F641" s="12"/>
      <c r="G641" s="12"/>
      <c r="H641" s="30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</row>
    <row r="642" spans="1:24" ht="12.75">
      <c r="A642" s="12"/>
      <c r="B642" s="70"/>
      <c r="C642" s="70"/>
      <c r="D642" s="301"/>
      <c r="E642" s="70"/>
      <c r="F642" s="12"/>
      <c r="G642" s="12"/>
      <c r="H642" s="30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</row>
    <row r="643" spans="1:24" ht="12.75">
      <c r="A643" s="12"/>
      <c r="B643" s="70"/>
      <c r="C643" s="70"/>
      <c r="D643" s="301"/>
      <c r="E643" s="70"/>
      <c r="F643" s="12"/>
      <c r="G643" s="12"/>
      <c r="H643" s="30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</row>
    <row r="644" spans="1:24" ht="12.75">
      <c r="A644" s="12"/>
      <c r="B644" s="70"/>
      <c r="C644" s="70"/>
      <c r="D644" s="301"/>
      <c r="E644" s="70"/>
      <c r="F644" s="12"/>
      <c r="G644" s="12"/>
      <c r="H644" s="30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</row>
    <row r="645" spans="1:24" ht="12.75">
      <c r="A645" s="12"/>
      <c r="B645" s="70"/>
      <c r="C645" s="70"/>
      <c r="D645" s="301"/>
      <c r="E645" s="70"/>
      <c r="F645" s="12"/>
      <c r="G645" s="12"/>
      <c r="H645" s="30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</row>
    <row r="646" spans="1:24" ht="12.75">
      <c r="A646" s="12"/>
      <c r="B646" s="70"/>
      <c r="C646" s="70"/>
      <c r="D646" s="301"/>
      <c r="E646" s="70"/>
      <c r="F646" s="12"/>
      <c r="G646" s="12"/>
      <c r="H646" s="30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</row>
    <row r="647" spans="1:24" ht="12.75">
      <c r="A647" s="12"/>
      <c r="B647" s="70"/>
      <c r="C647" s="70"/>
      <c r="D647" s="301"/>
      <c r="E647" s="70"/>
      <c r="F647" s="12"/>
      <c r="G647" s="12"/>
      <c r="H647" s="30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</row>
    <row r="648" spans="1:24" ht="12.75">
      <c r="A648" s="12"/>
      <c r="B648" s="70"/>
      <c r="C648" s="70"/>
      <c r="D648" s="301"/>
      <c r="E648" s="70"/>
      <c r="F648" s="12"/>
      <c r="G648" s="12"/>
      <c r="H648" s="30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</row>
    <row r="649" spans="1:24" ht="12.75">
      <c r="A649" s="12"/>
      <c r="B649" s="70"/>
      <c r="C649" s="70"/>
      <c r="D649" s="301"/>
      <c r="E649" s="70"/>
      <c r="F649" s="12"/>
      <c r="G649" s="12"/>
      <c r="H649" s="30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</row>
    <row r="650" spans="1:24" ht="12.75">
      <c r="A650" s="12"/>
      <c r="B650" s="70"/>
      <c r="C650" s="70"/>
      <c r="D650" s="301"/>
      <c r="E650" s="70"/>
      <c r="F650" s="12"/>
      <c r="G650" s="12"/>
      <c r="H650" s="30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</row>
    <row r="651" spans="1:24" ht="12.75">
      <c r="A651" s="12"/>
      <c r="B651" s="70"/>
      <c r="C651" s="70"/>
      <c r="D651" s="301"/>
      <c r="E651" s="70"/>
      <c r="F651" s="12"/>
      <c r="G651" s="12"/>
      <c r="H651" s="30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</row>
    <row r="652" spans="1:24" ht="12.75">
      <c r="A652" s="12"/>
      <c r="B652" s="70"/>
      <c r="C652" s="70"/>
      <c r="D652" s="301"/>
      <c r="E652" s="70"/>
      <c r="F652" s="12"/>
      <c r="G652" s="12"/>
      <c r="H652" s="30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</row>
    <row r="653" spans="1:24" ht="12.75">
      <c r="A653" s="12"/>
      <c r="B653" s="70"/>
      <c r="C653" s="70"/>
      <c r="D653" s="301"/>
      <c r="E653" s="70"/>
      <c r="F653" s="12"/>
      <c r="G653" s="12"/>
      <c r="H653" s="30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</row>
    <row r="654" spans="1:24" ht="12.75">
      <c r="A654" s="12"/>
      <c r="B654" s="70"/>
      <c r="C654" s="70"/>
      <c r="D654" s="301"/>
      <c r="E654" s="70"/>
      <c r="F654" s="12"/>
      <c r="G654" s="12"/>
      <c r="H654" s="30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</row>
    <row r="655" spans="1:24" ht="12.75">
      <c r="A655" s="12"/>
      <c r="B655" s="70"/>
      <c r="C655" s="70"/>
      <c r="D655" s="301"/>
      <c r="E655" s="70"/>
      <c r="F655" s="12"/>
      <c r="G655" s="12"/>
      <c r="H655" s="30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</row>
    <row r="656" spans="1:24" ht="12.75">
      <c r="A656" s="12"/>
      <c r="B656" s="70"/>
      <c r="C656" s="70"/>
      <c r="D656" s="301"/>
      <c r="E656" s="70"/>
      <c r="F656" s="12"/>
      <c r="G656" s="12"/>
      <c r="H656" s="30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</row>
    <row r="657" spans="1:24" ht="12.75">
      <c r="A657" s="12"/>
      <c r="B657" s="70"/>
      <c r="C657" s="70"/>
      <c r="D657" s="301"/>
      <c r="E657" s="70"/>
      <c r="F657" s="12"/>
      <c r="G657" s="12"/>
      <c r="H657" s="30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</row>
    <row r="658" spans="1:24" ht="12.75">
      <c r="A658" s="12"/>
      <c r="B658" s="70"/>
      <c r="C658" s="70"/>
      <c r="D658" s="301"/>
      <c r="E658" s="70"/>
      <c r="F658" s="12"/>
      <c r="G658" s="12"/>
      <c r="H658" s="30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</row>
    <row r="659" spans="1:24" ht="12.75">
      <c r="A659" s="12"/>
      <c r="B659" s="70"/>
      <c r="C659" s="70"/>
      <c r="D659" s="301"/>
      <c r="E659" s="70"/>
      <c r="F659" s="12"/>
      <c r="G659" s="12"/>
      <c r="H659" s="30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</row>
    <row r="660" spans="1:24" ht="12.75">
      <c r="A660" s="12"/>
      <c r="B660" s="70"/>
      <c r="C660" s="70"/>
      <c r="D660" s="301"/>
      <c r="E660" s="70"/>
      <c r="F660" s="12"/>
      <c r="G660" s="12"/>
      <c r="H660" s="30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</row>
    <row r="661" spans="1:24" ht="12.75">
      <c r="A661" s="12"/>
      <c r="B661" s="70"/>
      <c r="C661" s="70"/>
      <c r="D661" s="301"/>
      <c r="E661" s="70"/>
      <c r="F661" s="12"/>
      <c r="G661" s="12"/>
      <c r="H661" s="30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</row>
    <row r="662" spans="1:24" ht="12.75">
      <c r="A662" s="12"/>
      <c r="B662" s="70"/>
      <c r="C662" s="70"/>
      <c r="D662" s="301"/>
      <c r="E662" s="70"/>
      <c r="F662" s="12"/>
      <c r="G662" s="12"/>
      <c r="H662" s="30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</row>
    <row r="663" spans="1:24" ht="12.75">
      <c r="A663" s="12"/>
      <c r="B663" s="70"/>
      <c r="C663" s="70"/>
      <c r="D663" s="301"/>
      <c r="E663" s="70"/>
      <c r="F663" s="12"/>
      <c r="G663" s="12"/>
      <c r="H663" s="30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</row>
    <row r="664" spans="1:24" ht="12.75">
      <c r="A664" s="12"/>
      <c r="B664" s="70"/>
      <c r="C664" s="70"/>
      <c r="D664" s="301"/>
      <c r="E664" s="70"/>
      <c r="F664" s="12"/>
      <c r="G664" s="12"/>
      <c r="H664" s="30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</row>
    <row r="665" spans="1:24" ht="12.75">
      <c r="A665" s="12"/>
      <c r="B665" s="70"/>
      <c r="C665" s="70"/>
      <c r="D665" s="301"/>
      <c r="E665" s="70"/>
      <c r="F665" s="12"/>
      <c r="G665" s="12"/>
      <c r="H665" s="30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</row>
    <row r="666" spans="1:24" ht="12.75">
      <c r="A666" s="12"/>
      <c r="B666" s="70"/>
      <c r="C666" s="70"/>
      <c r="D666" s="301"/>
      <c r="E666" s="70"/>
      <c r="F666" s="12"/>
      <c r="G666" s="12"/>
      <c r="H666" s="30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</row>
    <row r="667" spans="1:24" ht="12.75">
      <c r="A667" s="12"/>
      <c r="B667" s="70"/>
      <c r="C667" s="70"/>
      <c r="D667" s="301"/>
      <c r="E667" s="70"/>
      <c r="F667" s="12"/>
      <c r="G667" s="12"/>
      <c r="H667" s="30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</row>
    <row r="668" spans="1:24" ht="12.75">
      <c r="A668" s="12"/>
      <c r="B668" s="70"/>
      <c r="C668" s="70"/>
      <c r="D668" s="301"/>
      <c r="E668" s="70"/>
      <c r="F668" s="12"/>
      <c r="G668" s="12"/>
      <c r="H668" s="30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</row>
    <row r="669" spans="1:24" ht="12.75">
      <c r="A669" s="12"/>
      <c r="B669" s="70"/>
      <c r="C669" s="70"/>
      <c r="D669" s="301"/>
      <c r="E669" s="70"/>
      <c r="F669" s="12"/>
      <c r="G669" s="12"/>
      <c r="H669" s="30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</row>
    <row r="670" spans="1:24" ht="12.75">
      <c r="A670" s="12"/>
      <c r="B670" s="70"/>
      <c r="C670" s="70"/>
      <c r="D670" s="301"/>
      <c r="E670" s="70"/>
      <c r="F670" s="12"/>
      <c r="G670" s="12"/>
      <c r="H670" s="30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</row>
    <row r="671" spans="1:24" ht="12.75">
      <c r="A671" s="12"/>
      <c r="B671" s="70"/>
      <c r="C671" s="70"/>
      <c r="D671" s="301"/>
      <c r="E671" s="70"/>
      <c r="F671" s="12"/>
      <c r="G671" s="12"/>
      <c r="H671" s="30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</row>
    <row r="672" spans="1:24" ht="12.75">
      <c r="A672" s="12"/>
      <c r="B672" s="70"/>
      <c r="C672" s="70"/>
      <c r="D672" s="301"/>
      <c r="E672" s="70"/>
      <c r="F672" s="12"/>
      <c r="G672" s="12"/>
      <c r="H672" s="30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</row>
    <row r="673" spans="1:24" ht="12.75">
      <c r="A673" s="12"/>
      <c r="B673" s="70"/>
      <c r="C673" s="70"/>
      <c r="D673" s="301"/>
      <c r="E673" s="70"/>
      <c r="F673" s="12"/>
      <c r="G673" s="12"/>
      <c r="H673" s="30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</row>
    <row r="674" spans="1:24" ht="12.75">
      <c r="A674" s="12"/>
      <c r="B674" s="70"/>
      <c r="C674" s="70"/>
      <c r="D674" s="301"/>
      <c r="E674" s="70"/>
      <c r="F674" s="12"/>
      <c r="G674" s="12"/>
      <c r="H674" s="30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</row>
    <row r="675" spans="1:24" ht="12.75">
      <c r="A675" s="12"/>
      <c r="B675" s="70"/>
      <c r="C675" s="70"/>
      <c r="D675" s="301"/>
      <c r="E675" s="70"/>
      <c r="F675" s="12"/>
      <c r="G675" s="12"/>
      <c r="H675" s="30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</row>
    <row r="676" spans="1:24" ht="12.75">
      <c r="A676" s="12"/>
      <c r="B676" s="70"/>
      <c r="C676" s="70"/>
      <c r="D676" s="301"/>
      <c r="E676" s="70"/>
      <c r="F676" s="12"/>
      <c r="G676" s="12"/>
      <c r="H676" s="30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</row>
    <row r="677" spans="1:24" ht="12.75">
      <c r="A677" s="12"/>
      <c r="B677" s="70"/>
      <c r="C677" s="70"/>
      <c r="D677" s="301"/>
      <c r="E677" s="70"/>
      <c r="F677" s="12"/>
      <c r="G677" s="12"/>
      <c r="H677" s="30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</row>
    <row r="678" spans="1:24" ht="12.75">
      <c r="A678" s="12"/>
      <c r="B678" s="70"/>
      <c r="C678" s="70"/>
      <c r="D678" s="301"/>
      <c r="E678" s="70"/>
      <c r="F678" s="12"/>
      <c r="G678" s="12"/>
      <c r="H678" s="30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</row>
    <row r="679" spans="1:24" ht="12.75">
      <c r="A679" s="12"/>
      <c r="B679" s="70"/>
      <c r="C679" s="70"/>
      <c r="D679" s="301"/>
      <c r="E679" s="70"/>
      <c r="F679" s="12"/>
      <c r="G679" s="12"/>
      <c r="H679" s="30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</row>
    <row r="680" spans="1:24" ht="12.75">
      <c r="A680" s="12"/>
      <c r="B680" s="70"/>
      <c r="C680" s="70"/>
      <c r="D680" s="301"/>
      <c r="E680" s="70"/>
      <c r="F680" s="12"/>
      <c r="G680" s="12"/>
      <c r="H680" s="30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</row>
    <row r="681" spans="1:24" ht="12.75">
      <c r="A681" s="12"/>
      <c r="B681" s="70"/>
      <c r="C681" s="70"/>
      <c r="D681" s="301"/>
      <c r="E681" s="70"/>
      <c r="F681" s="12"/>
      <c r="G681" s="12"/>
      <c r="H681" s="30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</row>
    <row r="682" spans="1:24" ht="12.75">
      <c r="A682" s="12"/>
      <c r="B682" s="70"/>
      <c r="C682" s="70"/>
      <c r="D682" s="301"/>
      <c r="E682" s="70"/>
      <c r="F682" s="12"/>
      <c r="G682" s="12"/>
      <c r="H682" s="30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</row>
    <row r="683" spans="1:24" ht="12.75">
      <c r="A683" s="12"/>
      <c r="B683" s="70"/>
      <c r="C683" s="70"/>
      <c r="D683" s="301"/>
      <c r="E683" s="70"/>
      <c r="F683" s="12"/>
      <c r="G683" s="12"/>
      <c r="H683" s="30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</row>
    <row r="684" spans="1:24" ht="12.75">
      <c r="A684" s="12"/>
      <c r="B684" s="70"/>
      <c r="C684" s="70"/>
      <c r="D684" s="301"/>
      <c r="E684" s="70"/>
      <c r="F684" s="12"/>
      <c r="G684" s="12"/>
      <c r="H684" s="30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</row>
    <row r="685" spans="1:24" ht="12.75">
      <c r="A685" s="12"/>
      <c r="B685" s="70"/>
      <c r="C685" s="70"/>
      <c r="D685" s="301"/>
      <c r="E685" s="70"/>
      <c r="F685" s="12"/>
      <c r="G685" s="12"/>
      <c r="H685" s="30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</row>
    <row r="686" spans="1:24" ht="12.75">
      <c r="A686" s="12"/>
      <c r="B686" s="70"/>
      <c r="C686" s="70"/>
      <c r="D686" s="301"/>
      <c r="E686" s="70"/>
      <c r="F686" s="12"/>
      <c r="G686" s="12"/>
      <c r="H686" s="30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</row>
    <row r="687" spans="1:24" ht="12.75">
      <c r="A687" s="12"/>
      <c r="B687" s="70"/>
      <c r="C687" s="70"/>
      <c r="D687" s="301"/>
      <c r="E687" s="70"/>
      <c r="F687" s="12"/>
      <c r="G687" s="12"/>
      <c r="H687" s="30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</row>
    <row r="688" spans="1:24" ht="12.75">
      <c r="A688" s="12"/>
      <c r="B688" s="70"/>
      <c r="C688" s="70"/>
      <c r="D688" s="301"/>
      <c r="E688" s="70"/>
      <c r="F688" s="12"/>
      <c r="G688" s="12"/>
      <c r="H688" s="30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</row>
    <row r="689" spans="1:24" ht="12.75">
      <c r="A689" s="12"/>
      <c r="B689" s="70"/>
      <c r="C689" s="70"/>
      <c r="D689" s="301"/>
      <c r="E689" s="70"/>
      <c r="F689" s="12"/>
      <c r="G689" s="12"/>
      <c r="H689" s="30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</row>
    <row r="690" spans="1:24" ht="12.75">
      <c r="A690" s="12"/>
      <c r="B690" s="70"/>
      <c r="C690" s="70"/>
      <c r="D690" s="301"/>
      <c r="E690" s="70"/>
      <c r="F690" s="12"/>
      <c r="G690" s="12"/>
      <c r="H690" s="30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</row>
    <row r="691" spans="1:24" ht="12.75">
      <c r="A691" s="12"/>
      <c r="B691" s="70"/>
      <c r="C691" s="70"/>
      <c r="D691" s="301"/>
      <c r="E691" s="70"/>
      <c r="F691" s="12"/>
      <c r="G691" s="12"/>
      <c r="H691" s="30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</row>
    <row r="692" spans="1:24" ht="12.75">
      <c r="A692" s="12"/>
      <c r="B692" s="70"/>
      <c r="C692" s="70"/>
      <c r="D692" s="301"/>
      <c r="E692" s="70"/>
      <c r="F692" s="12"/>
      <c r="G692" s="12"/>
      <c r="H692" s="30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</row>
    <row r="693" spans="1:24" ht="12.75">
      <c r="A693" s="12"/>
      <c r="B693" s="70"/>
      <c r="C693" s="70"/>
      <c r="D693" s="301"/>
      <c r="E693" s="70"/>
      <c r="F693" s="12"/>
      <c r="G693" s="12"/>
      <c r="H693" s="30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</row>
    <row r="694" spans="1:24" ht="12.75">
      <c r="A694" s="12"/>
      <c r="B694" s="70"/>
      <c r="C694" s="70"/>
      <c r="D694" s="301"/>
      <c r="E694" s="70"/>
      <c r="F694" s="12"/>
      <c r="G694" s="12"/>
      <c r="H694" s="30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</row>
    <row r="695" spans="1:24" ht="12.75">
      <c r="A695" s="12"/>
      <c r="B695" s="70"/>
      <c r="C695" s="70"/>
      <c r="D695" s="301"/>
      <c r="E695" s="70"/>
      <c r="F695" s="12"/>
      <c r="G695" s="12"/>
      <c r="H695" s="30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</row>
    <row r="696" spans="1:24" ht="12.75">
      <c r="A696" s="12"/>
      <c r="B696" s="70"/>
      <c r="C696" s="70"/>
      <c r="D696" s="301"/>
      <c r="E696" s="70"/>
      <c r="F696" s="12"/>
      <c r="G696" s="12"/>
      <c r="H696" s="30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</row>
    <row r="697" spans="1:24" ht="12.75">
      <c r="A697" s="12"/>
      <c r="B697" s="70"/>
      <c r="C697" s="70"/>
      <c r="D697" s="301"/>
      <c r="E697" s="70"/>
      <c r="F697" s="12"/>
      <c r="G697" s="12"/>
      <c r="H697" s="30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</row>
    <row r="698" spans="1:24" ht="12.75">
      <c r="A698" s="12"/>
      <c r="B698" s="70"/>
      <c r="C698" s="70"/>
      <c r="D698" s="301"/>
      <c r="E698" s="70"/>
      <c r="F698" s="12"/>
      <c r="G698" s="12"/>
      <c r="H698" s="30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</row>
    <row r="699" spans="1:24" ht="12.75">
      <c r="A699" s="12"/>
      <c r="B699" s="70"/>
      <c r="C699" s="70"/>
      <c r="D699" s="301"/>
      <c r="E699" s="70"/>
      <c r="F699" s="12"/>
      <c r="G699" s="12"/>
      <c r="H699" s="30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</row>
    <row r="700" spans="1:24" ht="12.75">
      <c r="A700" s="12"/>
      <c r="B700" s="70"/>
      <c r="C700" s="70"/>
      <c r="D700" s="301"/>
      <c r="E700" s="70"/>
      <c r="F700" s="12"/>
      <c r="G700" s="12"/>
      <c r="H700" s="30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</row>
    <row r="701" spans="1:24" ht="12.75">
      <c r="A701" s="12"/>
      <c r="B701" s="70"/>
      <c r="C701" s="70"/>
      <c r="D701" s="301"/>
      <c r="E701" s="70"/>
      <c r="F701" s="12"/>
      <c r="G701" s="12"/>
      <c r="H701" s="30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</row>
    <row r="702" spans="1:24" ht="12.75">
      <c r="A702" s="12"/>
      <c r="B702" s="70"/>
      <c r="C702" s="70"/>
      <c r="D702" s="301"/>
      <c r="E702" s="70"/>
      <c r="F702" s="12"/>
      <c r="G702" s="12"/>
      <c r="H702" s="30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</row>
    <row r="703" spans="1:24" ht="12.75">
      <c r="A703" s="12"/>
      <c r="B703" s="70"/>
      <c r="C703" s="70"/>
      <c r="D703" s="301"/>
      <c r="E703" s="70"/>
      <c r="F703" s="12"/>
      <c r="G703" s="12"/>
      <c r="H703" s="30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</row>
    <row r="704" spans="1:24" ht="12.75">
      <c r="A704" s="12"/>
      <c r="B704" s="70"/>
      <c r="C704" s="70"/>
      <c r="D704" s="301"/>
      <c r="E704" s="70"/>
      <c r="F704" s="12"/>
      <c r="G704" s="12"/>
      <c r="H704" s="30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</row>
    <row r="705" spans="1:24" ht="12.75">
      <c r="A705" s="12"/>
      <c r="B705" s="70"/>
      <c r="C705" s="70"/>
      <c r="D705" s="301"/>
      <c r="E705" s="70"/>
      <c r="F705" s="12"/>
      <c r="G705" s="12"/>
      <c r="H705" s="30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</row>
    <row r="706" spans="1:24" ht="12.75">
      <c r="A706" s="12"/>
      <c r="B706" s="70"/>
      <c r="C706" s="70"/>
      <c r="D706" s="301"/>
      <c r="E706" s="70"/>
      <c r="F706" s="12"/>
      <c r="G706" s="12"/>
      <c r="H706" s="30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</row>
    <row r="707" spans="1:24" ht="12.75">
      <c r="A707" s="12"/>
      <c r="B707" s="70"/>
      <c r="C707" s="70"/>
      <c r="D707" s="301"/>
      <c r="E707" s="70"/>
      <c r="F707" s="12"/>
      <c r="G707" s="12"/>
      <c r="H707" s="30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</row>
    <row r="708" spans="1:24" ht="12.75">
      <c r="A708" s="12"/>
      <c r="B708" s="70"/>
      <c r="C708" s="70"/>
      <c r="D708" s="301"/>
      <c r="E708" s="70"/>
      <c r="F708" s="12"/>
      <c r="G708" s="12"/>
      <c r="H708" s="30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</row>
    <row r="709" spans="1:24" ht="12.75">
      <c r="A709" s="12"/>
      <c r="B709" s="70"/>
      <c r="C709" s="70"/>
      <c r="D709" s="301"/>
      <c r="E709" s="70"/>
      <c r="F709" s="12"/>
      <c r="G709" s="12"/>
      <c r="H709" s="30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</row>
    <row r="710" spans="1:24" ht="12.75">
      <c r="A710" s="12"/>
      <c r="B710" s="70"/>
      <c r="C710" s="70"/>
      <c r="D710" s="301"/>
      <c r="E710" s="70"/>
      <c r="F710" s="12"/>
      <c r="G710" s="12"/>
      <c r="H710" s="30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</row>
    <row r="711" spans="1:24" ht="12.75">
      <c r="A711" s="12"/>
      <c r="B711" s="70"/>
      <c r="C711" s="70"/>
      <c r="D711" s="301"/>
      <c r="E711" s="70"/>
      <c r="F711" s="12"/>
      <c r="G711" s="12"/>
      <c r="H711" s="30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</row>
    <row r="712" spans="1:24" ht="12.75">
      <c r="A712" s="12"/>
      <c r="B712" s="70"/>
      <c r="C712" s="70"/>
      <c r="D712" s="301"/>
      <c r="E712" s="70"/>
      <c r="F712" s="12"/>
      <c r="G712" s="12"/>
      <c r="H712" s="30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</row>
    <row r="713" spans="1:24" ht="12.75">
      <c r="A713" s="12"/>
      <c r="B713" s="70"/>
      <c r="C713" s="70"/>
      <c r="D713" s="301"/>
      <c r="E713" s="70"/>
      <c r="F713" s="12"/>
      <c r="G713" s="12"/>
      <c r="H713" s="30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</row>
    <row r="714" spans="1:24" ht="12.75">
      <c r="A714" s="12"/>
      <c r="B714" s="70"/>
      <c r="C714" s="70"/>
      <c r="D714" s="301"/>
      <c r="E714" s="70"/>
      <c r="F714" s="12"/>
      <c r="G714" s="12"/>
      <c r="H714" s="30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</row>
    <row r="715" spans="1:24" ht="12.75">
      <c r="A715" s="12"/>
      <c r="B715" s="70"/>
      <c r="C715" s="70"/>
      <c r="D715" s="301"/>
      <c r="E715" s="70"/>
      <c r="F715" s="12"/>
      <c r="G715" s="12"/>
      <c r="H715" s="30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</row>
    <row r="716" spans="1:24" ht="12.75">
      <c r="A716" s="12"/>
      <c r="B716" s="70"/>
      <c r="C716" s="70"/>
      <c r="D716" s="301"/>
      <c r="E716" s="70"/>
      <c r="F716" s="12"/>
      <c r="G716" s="12"/>
      <c r="H716" s="30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</row>
    <row r="717" spans="1:24" ht="12.75">
      <c r="A717" s="12"/>
      <c r="B717" s="70"/>
      <c r="C717" s="70"/>
      <c r="D717" s="301"/>
      <c r="E717" s="70"/>
      <c r="F717" s="12"/>
      <c r="G717" s="12"/>
      <c r="H717" s="30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</row>
    <row r="718" spans="1:24" ht="12.75">
      <c r="A718" s="12"/>
      <c r="B718" s="70"/>
      <c r="C718" s="70"/>
      <c r="D718" s="301"/>
      <c r="E718" s="70"/>
      <c r="F718" s="12"/>
      <c r="G718" s="12"/>
      <c r="H718" s="30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</row>
    <row r="719" spans="1:24" ht="12.75">
      <c r="A719" s="12"/>
      <c r="B719" s="70"/>
      <c r="C719" s="70"/>
      <c r="D719" s="301"/>
      <c r="E719" s="70"/>
      <c r="F719" s="12"/>
      <c r="G719" s="12"/>
      <c r="H719" s="30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</row>
    <row r="720" spans="1:24" ht="12.75">
      <c r="A720" s="12"/>
      <c r="B720" s="70"/>
      <c r="C720" s="70"/>
      <c r="D720" s="301"/>
      <c r="E720" s="70"/>
      <c r="F720" s="12"/>
      <c r="G720" s="12"/>
      <c r="H720" s="30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</row>
    <row r="721" spans="1:24" ht="12.75">
      <c r="A721" s="12"/>
      <c r="B721" s="70"/>
      <c r="C721" s="70"/>
      <c r="D721" s="301"/>
      <c r="E721" s="70"/>
      <c r="F721" s="12"/>
      <c r="G721" s="12"/>
      <c r="H721" s="30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</row>
    <row r="722" spans="1:24" ht="12.75">
      <c r="A722" s="12"/>
      <c r="B722" s="70"/>
      <c r="C722" s="70"/>
      <c r="D722" s="301"/>
      <c r="E722" s="70"/>
      <c r="F722" s="12"/>
      <c r="G722" s="12"/>
      <c r="H722" s="30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</row>
    <row r="723" spans="1:24" ht="12.75">
      <c r="A723" s="12"/>
      <c r="B723" s="70"/>
      <c r="C723" s="70"/>
      <c r="D723" s="301"/>
      <c r="E723" s="70"/>
      <c r="F723" s="12"/>
      <c r="G723" s="12"/>
      <c r="H723" s="30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</row>
    <row r="724" spans="1:24" ht="12.75">
      <c r="A724" s="12"/>
      <c r="B724" s="70"/>
      <c r="C724" s="70"/>
      <c r="D724" s="301"/>
      <c r="E724" s="70"/>
      <c r="F724" s="12"/>
      <c r="G724" s="12"/>
      <c r="H724" s="30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</row>
    <row r="725" spans="1:24" ht="12.75">
      <c r="A725" s="12"/>
      <c r="B725" s="70"/>
      <c r="C725" s="70"/>
      <c r="D725" s="301"/>
      <c r="E725" s="70"/>
      <c r="F725" s="12"/>
      <c r="G725" s="12"/>
      <c r="H725" s="30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</row>
    <row r="726" spans="1:24" ht="12.75">
      <c r="A726" s="12"/>
      <c r="B726" s="70"/>
      <c r="C726" s="70"/>
      <c r="D726" s="301"/>
      <c r="E726" s="70"/>
      <c r="F726" s="12"/>
      <c r="G726" s="12"/>
      <c r="H726" s="30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</row>
    <row r="727" spans="1:24" ht="12.75">
      <c r="A727" s="12"/>
      <c r="B727" s="70"/>
      <c r="C727" s="70"/>
      <c r="D727" s="301"/>
      <c r="E727" s="70"/>
      <c r="F727" s="12"/>
      <c r="G727" s="12"/>
      <c r="H727" s="30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</row>
    <row r="728" spans="1:24" ht="12.75">
      <c r="A728" s="12"/>
      <c r="B728" s="70"/>
      <c r="C728" s="70"/>
      <c r="D728" s="301"/>
      <c r="E728" s="70"/>
      <c r="F728" s="12"/>
      <c r="G728" s="12"/>
      <c r="H728" s="30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</row>
    <row r="729" spans="1:24" ht="12.75">
      <c r="A729" s="12"/>
      <c r="B729" s="70"/>
      <c r="C729" s="70"/>
      <c r="D729" s="301"/>
      <c r="E729" s="70"/>
      <c r="F729" s="12"/>
      <c r="G729" s="12"/>
      <c r="H729" s="30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</row>
    <row r="730" spans="1:24" ht="12.75">
      <c r="A730" s="12"/>
      <c r="B730" s="70"/>
      <c r="C730" s="70"/>
      <c r="D730" s="301"/>
      <c r="E730" s="70"/>
      <c r="F730" s="12"/>
      <c r="G730" s="12"/>
      <c r="H730" s="30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</row>
    <row r="731" spans="1:24" ht="12.75">
      <c r="A731" s="12"/>
      <c r="B731" s="70"/>
      <c r="C731" s="70"/>
      <c r="D731" s="301"/>
      <c r="E731" s="70"/>
      <c r="F731" s="12"/>
      <c r="G731" s="12"/>
      <c r="H731" s="30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</row>
    <row r="732" spans="1:24" ht="12.75">
      <c r="A732" s="12"/>
      <c r="B732" s="70"/>
      <c r="C732" s="70"/>
      <c r="D732" s="301"/>
      <c r="E732" s="70"/>
      <c r="F732" s="12"/>
      <c r="G732" s="12"/>
      <c r="H732" s="30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</row>
    <row r="733" spans="1:24" ht="12.75">
      <c r="A733" s="12"/>
      <c r="B733" s="70"/>
      <c r="C733" s="70"/>
      <c r="D733" s="301"/>
      <c r="E733" s="70"/>
      <c r="F733" s="12"/>
      <c r="G733" s="12"/>
      <c r="H733" s="30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</row>
    <row r="734" spans="1:24" ht="12.75">
      <c r="A734" s="12"/>
      <c r="B734" s="70"/>
      <c r="C734" s="70"/>
      <c r="D734" s="301"/>
      <c r="E734" s="70"/>
      <c r="F734" s="12"/>
      <c r="G734" s="12"/>
      <c r="H734" s="30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</row>
    <row r="735" spans="1:24" ht="12.75">
      <c r="A735" s="12"/>
      <c r="B735" s="70"/>
      <c r="C735" s="70"/>
      <c r="D735" s="301"/>
      <c r="E735" s="70"/>
      <c r="F735" s="12"/>
      <c r="G735" s="12"/>
      <c r="H735" s="30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</row>
    <row r="736" spans="1:24" ht="12.75">
      <c r="A736" s="12"/>
      <c r="B736" s="70"/>
      <c r="C736" s="70"/>
      <c r="D736" s="301"/>
      <c r="E736" s="70"/>
      <c r="F736" s="12"/>
      <c r="G736" s="12"/>
      <c r="H736" s="30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</row>
    <row r="737" spans="1:24" ht="12.75">
      <c r="A737" s="12"/>
      <c r="B737" s="70"/>
      <c r="C737" s="70"/>
      <c r="D737" s="301"/>
      <c r="E737" s="70"/>
      <c r="F737" s="12"/>
      <c r="G737" s="12"/>
      <c r="H737" s="30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</row>
    <row r="738" spans="1:24" ht="12.75">
      <c r="A738" s="12"/>
      <c r="B738" s="70"/>
      <c r="C738" s="70"/>
      <c r="D738" s="301"/>
      <c r="E738" s="70"/>
      <c r="F738" s="12"/>
      <c r="G738" s="12"/>
      <c r="H738" s="30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</row>
    <row r="739" spans="1:24" ht="12.75">
      <c r="A739" s="12"/>
      <c r="B739" s="70"/>
      <c r="C739" s="70"/>
      <c r="D739" s="301"/>
      <c r="E739" s="70"/>
      <c r="F739" s="12"/>
      <c r="G739" s="12"/>
      <c r="H739" s="30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</row>
    <row r="740" spans="1:24" ht="12.75">
      <c r="A740" s="12"/>
      <c r="B740" s="70"/>
      <c r="C740" s="70"/>
      <c r="D740" s="301"/>
      <c r="E740" s="70"/>
      <c r="F740" s="12"/>
      <c r="G740" s="12"/>
      <c r="H740" s="30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</row>
    <row r="741" spans="1:24" ht="12.75">
      <c r="A741" s="12"/>
      <c r="B741" s="70"/>
      <c r="C741" s="70"/>
      <c r="D741" s="301"/>
      <c r="E741" s="70"/>
      <c r="F741" s="12"/>
      <c r="G741" s="12"/>
      <c r="H741" s="30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</row>
    <row r="742" spans="1:24" ht="12.75">
      <c r="A742" s="12"/>
      <c r="B742" s="70"/>
      <c r="C742" s="70"/>
      <c r="D742" s="301"/>
      <c r="E742" s="70"/>
      <c r="F742" s="12"/>
      <c r="G742" s="12"/>
      <c r="H742" s="30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</row>
    <row r="743" spans="1:24" ht="12.75">
      <c r="A743" s="12"/>
      <c r="B743" s="70"/>
      <c r="C743" s="70"/>
      <c r="D743" s="301"/>
      <c r="E743" s="70"/>
      <c r="F743" s="12"/>
      <c r="G743" s="12"/>
      <c r="H743" s="30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</row>
    <row r="744" spans="1:24" ht="12.75">
      <c r="A744" s="12"/>
      <c r="B744" s="70"/>
      <c r="C744" s="70"/>
      <c r="D744" s="301"/>
      <c r="E744" s="70"/>
      <c r="F744" s="12"/>
      <c r="G744" s="12"/>
      <c r="H744" s="30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</row>
    <row r="745" spans="1:24" ht="12.75">
      <c r="A745" s="12"/>
      <c r="B745" s="70"/>
      <c r="C745" s="70"/>
      <c r="D745" s="301"/>
      <c r="E745" s="70"/>
      <c r="F745" s="12"/>
      <c r="G745" s="12"/>
      <c r="H745" s="30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</row>
    <row r="746" spans="1:24" ht="12.75">
      <c r="A746" s="12"/>
      <c r="B746" s="70"/>
      <c r="C746" s="70"/>
      <c r="D746" s="301"/>
      <c r="E746" s="70"/>
      <c r="F746" s="12"/>
      <c r="G746" s="12"/>
      <c r="H746" s="30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</row>
    <row r="747" spans="1:24" ht="12.75">
      <c r="A747" s="12"/>
      <c r="B747" s="70"/>
      <c r="C747" s="70"/>
      <c r="D747" s="301"/>
      <c r="E747" s="70"/>
      <c r="F747" s="12"/>
      <c r="G747" s="12"/>
      <c r="H747" s="30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</row>
    <row r="748" spans="1:24" ht="12.75">
      <c r="A748" s="12"/>
      <c r="B748" s="70"/>
      <c r="C748" s="70"/>
      <c r="D748" s="301"/>
      <c r="E748" s="70"/>
      <c r="F748" s="12"/>
      <c r="G748" s="12"/>
      <c r="H748" s="30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</row>
    <row r="749" spans="1:24" ht="12.75">
      <c r="A749" s="12"/>
      <c r="B749" s="70"/>
      <c r="C749" s="70"/>
      <c r="D749" s="301"/>
      <c r="E749" s="70"/>
      <c r="F749" s="12"/>
      <c r="G749" s="12"/>
      <c r="H749" s="30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</row>
    <row r="750" spans="1:24" ht="12.75">
      <c r="A750" s="12"/>
      <c r="B750" s="70"/>
      <c r="C750" s="70"/>
      <c r="D750" s="301"/>
      <c r="E750" s="70"/>
      <c r="F750" s="12"/>
      <c r="G750" s="12"/>
      <c r="H750" s="30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</row>
    <row r="751" spans="1:24" ht="12.75">
      <c r="A751" s="12"/>
      <c r="B751" s="70"/>
      <c r="C751" s="70"/>
      <c r="D751" s="301"/>
      <c r="E751" s="70"/>
      <c r="F751" s="12"/>
      <c r="G751" s="12"/>
      <c r="H751" s="30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</row>
    <row r="752" spans="1:24" ht="12.75">
      <c r="A752" s="12"/>
      <c r="B752" s="70"/>
      <c r="C752" s="70"/>
      <c r="D752" s="301"/>
      <c r="E752" s="70"/>
      <c r="F752" s="12"/>
      <c r="G752" s="12"/>
      <c r="H752" s="30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</row>
    <row r="753" spans="1:24" ht="12.75">
      <c r="A753" s="12"/>
      <c r="B753" s="70"/>
      <c r="C753" s="70"/>
      <c r="D753" s="301"/>
      <c r="E753" s="70"/>
      <c r="F753" s="12"/>
      <c r="G753" s="12"/>
      <c r="H753" s="30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</row>
    <row r="754" spans="1:24" ht="12.75">
      <c r="A754" s="12"/>
      <c r="B754" s="70"/>
      <c r="C754" s="70"/>
      <c r="D754" s="301"/>
      <c r="E754" s="70"/>
      <c r="F754" s="12"/>
      <c r="G754" s="12"/>
      <c r="H754" s="30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</row>
    <row r="755" spans="1:24" ht="12.75">
      <c r="A755" s="12"/>
      <c r="B755" s="70"/>
      <c r="C755" s="70"/>
      <c r="D755" s="301"/>
      <c r="E755" s="70"/>
      <c r="F755" s="12"/>
      <c r="G755" s="12"/>
      <c r="H755" s="30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</row>
    <row r="756" spans="1:24" ht="12.75">
      <c r="A756" s="12"/>
      <c r="B756" s="70"/>
      <c r="C756" s="70"/>
      <c r="D756" s="301"/>
      <c r="E756" s="70"/>
      <c r="F756" s="12"/>
      <c r="G756" s="12"/>
      <c r="H756" s="30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</row>
    <row r="757" spans="1:24" ht="12.75">
      <c r="A757" s="12"/>
      <c r="B757" s="70"/>
      <c r="C757" s="70"/>
      <c r="D757" s="301"/>
      <c r="E757" s="70"/>
      <c r="F757" s="12"/>
      <c r="G757" s="12"/>
      <c r="H757" s="30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</row>
    <row r="758" spans="1:24" ht="12.75">
      <c r="A758" s="12"/>
      <c r="B758" s="70"/>
      <c r="C758" s="70"/>
      <c r="D758" s="301"/>
      <c r="E758" s="70"/>
      <c r="F758" s="12"/>
      <c r="G758" s="12"/>
      <c r="H758" s="30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</row>
    <row r="759" spans="1:24" ht="12.75">
      <c r="A759" s="12"/>
      <c r="B759" s="70"/>
      <c r="C759" s="70"/>
      <c r="D759" s="301"/>
      <c r="E759" s="70"/>
      <c r="F759" s="12"/>
      <c r="G759" s="12"/>
      <c r="H759" s="30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</row>
    <row r="760" spans="1:24" ht="12.75">
      <c r="A760" s="12"/>
      <c r="B760" s="70"/>
      <c r="C760" s="70"/>
      <c r="D760" s="301"/>
      <c r="E760" s="70"/>
      <c r="F760" s="12"/>
      <c r="G760" s="12"/>
      <c r="H760" s="30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</row>
    <row r="761" spans="1:24" ht="12.75">
      <c r="A761" s="12"/>
      <c r="B761" s="70"/>
      <c r="C761" s="70"/>
      <c r="D761" s="301"/>
      <c r="E761" s="70"/>
      <c r="F761" s="12"/>
      <c r="G761" s="12"/>
      <c r="H761" s="30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</row>
    <row r="762" spans="1:24" ht="12.75">
      <c r="A762" s="12"/>
      <c r="B762" s="70"/>
      <c r="C762" s="70"/>
      <c r="D762" s="301"/>
      <c r="E762" s="70"/>
      <c r="F762" s="12"/>
      <c r="G762" s="12"/>
      <c r="H762" s="30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</row>
    <row r="763" spans="1:24" ht="12.75">
      <c r="A763" s="12"/>
      <c r="B763" s="70"/>
      <c r="C763" s="70"/>
      <c r="D763" s="301"/>
      <c r="E763" s="70"/>
      <c r="F763" s="12"/>
      <c r="G763" s="12"/>
      <c r="H763" s="30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</row>
    <row r="764" spans="1:24" ht="12.75">
      <c r="A764" s="12"/>
      <c r="B764" s="70"/>
      <c r="C764" s="70"/>
      <c r="D764" s="301"/>
      <c r="E764" s="70"/>
      <c r="F764" s="12"/>
      <c r="G764" s="12"/>
      <c r="H764" s="30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</row>
    <row r="765" spans="1:24" ht="12.75">
      <c r="A765" s="12"/>
      <c r="B765" s="70"/>
      <c r="C765" s="70"/>
      <c r="D765" s="301"/>
      <c r="E765" s="70"/>
      <c r="F765" s="12"/>
      <c r="G765" s="12"/>
      <c r="H765" s="30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</row>
    <row r="766" spans="1:24" ht="12.75">
      <c r="A766" s="12"/>
      <c r="B766" s="70"/>
      <c r="C766" s="70"/>
      <c r="D766" s="301"/>
      <c r="E766" s="70"/>
      <c r="F766" s="12"/>
      <c r="G766" s="12"/>
      <c r="H766" s="30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</row>
    <row r="767" spans="1:24" ht="12.75">
      <c r="A767" s="12"/>
      <c r="B767" s="70"/>
      <c r="C767" s="70"/>
      <c r="D767" s="301"/>
      <c r="E767" s="70"/>
      <c r="F767" s="12"/>
      <c r="G767" s="12"/>
      <c r="H767" s="30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</row>
    <row r="768" spans="1:24" ht="12.75">
      <c r="A768" s="12"/>
      <c r="B768" s="70"/>
      <c r="C768" s="70"/>
      <c r="D768" s="301"/>
      <c r="E768" s="70"/>
      <c r="F768" s="12"/>
      <c r="G768" s="12"/>
      <c r="H768" s="30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</row>
    <row r="769" spans="1:24" ht="12.75">
      <c r="A769" s="12"/>
      <c r="B769" s="70"/>
      <c r="C769" s="70"/>
      <c r="D769" s="301"/>
      <c r="E769" s="70"/>
      <c r="F769" s="12"/>
      <c r="G769" s="12"/>
      <c r="H769" s="30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</row>
    <row r="770" spans="1:24" ht="12.75">
      <c r="A770" s="12"/>
      <c r="B770" s="70"/>
      <c r="C770" s="70"/>
      <c r="D770" s="301"/>
      <c r="E770" s="70"/>
      <c r="F770" s="12"/>
      <c r="G770" s="12"/>
      <c r="H770" s="30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</row>
    <row r="771" spans="1:24" ht="12.75">
      <c r="A771" s="12"/>
      <c r="B771" s="70"/>
      <c r="C771" s="70"/>
      <c r="D771" s="301"/>
      <c r="E771" s="70"/>
      <c r="F771" s="12"/>
      <c r="G771" s="12"/>
      <c r="H771" s="30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</row>
    <row r="772" spans="1:24" ht="12.75">
      <c r="A772" s="12"/>
      <c r="B772" s="70"/>
      <c r="C772" s="70"/>
      <c r="D772" s="301"/>
      <c r="E772" s="70"/>
      <c r="F772" s="12"/>
      <c r="G772" s="12"/>
      <c r="H772" s="30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</row>
    <row r="773" spans="1:24" ht="12.75">
      <c r="A773" s="12"/>
      <c r="B773" s="70"/>
      <c r="C773" s="70"/>
      <c r="D773" s="301"/>
      <c r="E773" s="70"/>
      <c r="F773" s="12"/>
      <c r="G773" s="12"/>
      <c r="H773" s="30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</row>
    <row r="774" spans="1:24" ht="12.75">
      <c r="A774" s="12"/>
      <c r="B774" s="70"/>
      <c r="C774" s="70"/>
      <c r="D774" s="301"/>
      <c r="E774" s="70"/>
      <c r="F774" s="12"/>
      <c r="G774" s="12"/>
      <c r="H774" s="30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</row>
    <row r="775" spans="1:24" ht="12.75">
      <c r="A775" s="12"/>
      <c r="B775" s="70"/>
      <c r="C775" s="70"/>
      <c r="D775" s="301"/>
      <c r="E775" s="70"/>
      <c r="F775" s="12"/>
      <c r="G775" s="12"/>
      <c r="H775" s="30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</row>
    <row r="776" spans="1:24" ht="12.75">
      <c r="A776" s="12"/>
      <c r="B776" s="70"/>
      <c r="C776" s="70"/>
      <c r="D776" s="301"/>
      <c r="E776" s="70"/>
      <c r="F776" s="12"/>
      <c r="G776" s="12"/>
      <c r="H776" s="30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</row>
    <row r="777" spans="1:24" ht="12.75">
      <c r="A777" s="12"/>
      <c r="B777" s="70"/>
      <c r="C777" s="70"/>
      <c r="D777" s="301"/>
      <c r="E777" s="70"/>
      <c r="F777" s="12"/>
      <c r="G777" s="12"/>
      <c r="H777" s="30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</row>
    <row r="778" spans="1:24" ht="12.75">
      <c r="A778" s="12"/>
      <c r="B778" s="70"/>
      <c r="C778" s="70"/>
      <c r="D778" s="301"/>
      <c r="E778" s="70"/>
      <c r="F778" s="12"/>
      <c r="G778" s="12"/>
      <c r="H778" s="30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</row>
    <row r="779" spans="1:24" ht="12.75">
      <c r="A779" s="12"/>
      <c r="B779" s="70"/>
      <c r="C779" s="70"/>
      <c r="D779" s="301"/>
      <c r="E779" s="70"/>
      <c r="F779" s="12"/>
      <c r="G779" s="12"/>
      <c r="H779" s="30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</row>
    <row r="780" spans="1:24" ht="12.75">
      <c r="A780" s="12"/>
      <c r="B780" s="70"/>
      <c r="C780" s="70"/>
      <c r="D780" s="301"/>
      <c r="E780" s="70"/>
      <c r="F780" s="12"/>
      <c r="G780" s="12"/>
      <c r="H780" s="30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</row>
    <row r="781" spans="1:24" ht="12.75">
      <c r="A781" s="12"/>
      <c r="B781" s="70"/>
      <c r="C781" s="70"/>
      <c r="D781" s="301"/>
      <c r="E781" s="70"/>
      <c r="F781" s="12"/>
      <c r="G781" s="12"/>
      <c r="H781" s="30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</row>
    <row r="782" spans="1:24" ht="12.75">
      <c r="A782" s="12"/>
      <c r="B782" s="70"/>
      <c r="C782" s="70"/>
      <c r="D782" s="301"/>
      <c r="E782" s="70"/>
      <c r="F782" s="12"/>
      <c r="G782" s="12"/>
      <c r="H782" s="30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</row>
    <row r="783" spans="1:24" ht="12.75">
      <c r="A783" s="12"/>
      <c r="B783" s="70"/>
      <c r="C783" s="70"/>
      <c r="D783" s="301"/>
      <c r="E783" s="70"/>
      <c r="F783" s="12"/>
      <c r="G783" s="12"/>
      <c r="H783" s="30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</row>
    <row r="784" spans="1:24" ht="12.75">
      <c r="A784" s="12"/>
      <c r="B784" s="70"/>
      <c r="C784" s="70"/>
      <c r="D784" s="301"/>
      <c r="E784" s="70"/>
      <c r="F784" s="12"/>
      <c r="G784" s="12"/>
      <c r="H784" s="30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</row>
    <row r="785" spans="1:24" ht="12.75">
      <c r="A785" s="12"/>
      <c r="B785" s="70"/>
      <c r="C785" s="70"/>
      <c r="D785" s="301"/>
      <c r="E785" s="70"/>
      <c r="F785" s="12"/>
      <c r="G785" s="12"/>
      <c r="H785" s="30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</row>
    <row r="786" spans="1:24" ht="12.75">
      <c r="A786" s="12"/>
      <c r="B786" s="70"/>
      <c r="C786" s="70"/>
      <c r="D786" s="301"/>
      <c r="E786" s="70"/>
      <c r="F786" s="12"/>
      <c r="G786" s="12"/>
      <c r="H786" s="30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</row>
    <row r="787" spans="1:24" ht="12.75">
      <c r="A787" s="12"/>
      <c r="B787" s="70"/>
      <c r="C787" s="70"/>
      <c r="D787" s="301"/>
      <c r="E787" s="70"/>
      <c r="F787" s="12"/>
      <c r="G787" s="12"/>
      <c r="H787" s="30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</row>
    <row r="788" spans="1:24" ht="12.75">
      <c r="A788" s="12"/>
      <c r="B788" s="70"/>
      <c r="C788" s="70"/>
      <c r="D788" s="301"/>
      <c r="E788" s="70"/>
      <c r="F788" s="12"/>
      <c r="G788" s="12"/>
      <c r="H788" s="30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</row>
    <row r="789" spans="1:24" ht="12.75">
      <c r="A789" s="12"/>
      <c r="B789" s="70"/>
      <c r="C789" s="70"/>
      <c r="D789" s="301"/>
      <c r="E789" s="70"/>
      <c r="F789" s="12"/>
      <c r="G789" s="12"/>
      <c r="H789" s="30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</row>
    <row r="790" spans="1:24" ht="12.75">
      <c r="A790" s="12"/>
      <c r="B790" s="70"/>
      <c r="C790" s="70"/>
      <c r="D790" s="301"/>
      <c r="E790" s="70"/>
      <c r="F790" s="12"/>
      <c r="G790" s="12"/>
      <c r="H790" s="30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</row>
    <row r="791" spans="1:24" ht="12.75">
      <c r="A791" s="12"/>
      <c r="B791" s="70"/>
      <c r="C791" s="70"/>
      <c r="D791" s="301"/>
      <c r="E791" s="70"/>
      <c r="F791" s="12"/>
      <c r="G791" s="12"/>
      <c r="H791" s="30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</row>
    <row r="792" spans="1:24" ht="12.75">
      <c r="A792" s="12"/>
      <c r="B792" s="70"/>
      <c r="C792" s="70"/>
      <c r="D792" s="301"/>
      <c r="E792" s="70"/>
      <c r="F792" s="12"/>
      <c r="G792" s="12"/>
      <c r="H792" s="30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</row>
    <row r="793" spans="1:24" ht="12.75">
      <c r="A793" s="12"/>
      <c r="B793" s="70"/>
      <c r="C793" s="70"/>
      <c r="D793" s="301"/>
      <c r="E793" s="70"/>
      <c r="F793" s="12"/>
      <c r="G793" s="12"/>
      <c r="H793" s="30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</row>
    <row r="794" spans="1:24" ht="12.75">
      <c r="A794" s="12"/>
      <c r="B794" s="70"/>
      <c r="C794" s="70"/>
      <c r="D794" s="301"/>
      <c r="E794" s="70"/>
      <c r="F794" s="12"/>
      <c r="G794" s="12"/>
      <c r="H794" s="30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</row>
    <row r="795" spans="1:24" ht="12.75">
      <c r="A795" s="12"/>
      <c r="B795" s="70"/>
      <c r="C795" s="70"/>
      <c r="D795" s="301"/>
      <c r="E795" s="70"/>
      <c r="F795" s="12"/>
      <c r="G795" s="12"/>
      <c r="H795" s="30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</row>
    <row r="796" spans="1:24" ht="12.75">
      <c r="A796" s="12"/>
      <c r="B796" s="70"/>
      <c r="C796" s="70"/>
      <c r="D796" s="301"/>
      <c r="E796" s="70"/>
      <c r="F796" s="12"/>
      <c r="G796" s="12"/>
      <c r="H796" s="30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</row>
    <row r="797" spans="1:24" ht="12.75">
      <c r="A797" s="12"/>
      <c r="B797" s="70"/>
      <c r="C797" s="70"/>
      <c r="D797" s="301"/>
      <c r="E797" s="70"/>
      <c r="F797" s="12"/>
      <c r="G797" s="12"/>
      <c r="H797" s="30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</row>
    <row r="798" spans="1:24" ht="12.75">
      <c r="A798" s="12"/>
      <c r="B798" s="70"/>
      <c r="C798" s="70"/>
      <c r="D798" s="301"/>
      <c r="E798" s="70"/>
      <c r="F798" s="12"/>
      <c r="G798" s="12"/>
      <c r="H798" s="30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</row>
    <row r="799" spans="1:24" ht="12.75">
      <c r="A799" s="12"/>
      <c r="B799" s="70"/>
      <c r="C799" s="70"/>
      <c r="D799" s="301"/>
      <c r="E799" s="70"/>
      <c r="F799" s="12"/>
      <c r="G799" s="12"/>
      <c r="H799" s="30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</row>
    <row r="800" spans="1:24" ht="12.75">
      <c r="A800" s="12"/>
      <c r="B800" s="70"/>
      <c r="C800" s="70"/>
      <c r="D800" s="301"/>
      <c r="E800" s="70"/>
      <c r="F800" s="12"/>
      <c r="G800" s="12"/>
      <c r="H800" s="30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</row>
    <row r="801" spans="1:24" ht="12.75">
      <c r="A801" s="12"/>
      <c r="B801" s="70"/>
      <c r="C801" s="70"/>
      <c r="D801" s="301"/>
      <c r="E801" s="70"/>
      <c r="F801" s="12"/>
      <c r="G801" s="12"/>
      <c r="H801" s="30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</row>
    <row r="802" spans="1:24" ht="12.75">
      <c r="A802" s="12"/>
      <c r="B802" s="70"/>
      <c r="C802" s="70"/>
      <c r="D802" s="301"/>
      <c r="E802" s="70"/>
      <c r="F802" s="12"/>
      <c r="G802" s="12"/>
      <c r="H802" s="30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</row>
    <row r="803" spans="1:24" ht="12.75">
      <c r="A803" s="12"/>
      <c r="B803" s="70"/>
      <c r="C803" s="70"/>
      <c r="D803" s="301"/>
      <c r="E803" s="70"/>
      <c r="F803" s="12"/>
      <c r="G803" s="12"/>
      <c r="H803" s="30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</row>
    <row r="804" spans="1:24" ht="12.75">
      <c r="A804" s="12"/>
      <c r="B804" s="70"/>
      <c r="C804" s="70"/>
      <c r="D804" s="301"/>
      <c r="E804" s="70"/>
      <c r="F804" s="12"/>
      <c r="G804" s="12"/>
      <c r="H804" s="30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</row>
    <row r="805" spans="1:24" ht="12.75">
      <c r="A805" s="12"/>
      <c r="B805" s="70"/>
      <c r="C805" s="70"/>
      <c r="D805" s="301"/>
      <c r="E805" s="70"/>
      <c r="F805" s="12"/>
      <c r="G805" s="12"/>
      <c r="H805" s="30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</row>
    <row r="806" spans="1:24" ht="12.75">
      <c r="A806" s="12"/>
      <c r="B806" s="70"/>
      <c r="C806" s="70"/>
      <c r="D806" s="301"/>
      <c r="E806" s="70"/>
      <c r="F806" s="12"/>
      <c r="G806" s="12"/>
      <c r="H806" s="30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</row>
    <row r="807" spans="1:24" ht="12.75">
      <c r="A807" s="12"/>
      <c r="B807" s="70"/>
      <c r="C807" s="70"/>
      <c r="D807" s="301"/>
      <c r="E807" s="70"/>
      <c r="F807" s="12"/>
      <c r="G807" s="12"/>
      <c r="H807" s="30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</row>
    <row r="808" spans="1:24" ht="12.75">
      <c r="A808" s="12"/>
      <c r="B808" s="70"/>
      <c r="C808" s="70"/>
      <c r="D808" s="301"/>
      <c r="E808" s="70"/>
      <c r="F808" s="12"/>
      <c r="G808" s="12"/>
      <c r="H808" s="30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</row>
    <row r="809" spans="1:24" ht="12.75">
      <c r="A809" s="12"/>
      <c r="B809" s="70"/>
      <c r="C809" s="70"/>
      <c r="D809" s="301"/>
      <c r="E809" s="70"/>
      <c r="F809" s="12"/>
      <c r="G809" s="12"/>
      <c r="H809" s="30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</row>
    <row r="810" spans="1:24" ht="12.75">
      <c r="A810" s="12"/>
      <c r="B810" s="70"/>
      <c r="C810" s="70"/>
      <c r="D810" s="301"/>
      <c r="E810" s="70"/>
      <c r="F810" s="12"/>
      <c r="G810" s="12"/>
      <c r="H810" s="30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</row>
    <row r="811" spans="1:24" ht="12.75">
      <c r="A811" s="12"/>
      <c r="B811" s="70"/>
      <c r="C811" s="70"/>
      <c r="D811" s="301"/>
      <c r="E811" s="70"/>
      <c r="F811" s="12"/>
      <c r="G811" s="12"/>
      <c r="H811" s="30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</row>
    <row r="812" spans="1:24" ht="12.75">
      <c r="A812" s="12"/>
      <c r="B812" s="70"/>
      <c r="C812" s="70"/>
      <c r="D812" s="301"/>
      <c r="E812" s="70"/>
      <c r="F812" s="12"/>
      <c r="G812" s="12"/>
      <c r="H812" s="30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</row>
    <row r="813" spans="1:24" ht="12.75">
      <c r="A813" s="12"/>
      <c r="B813" s="70"/>
      <c r="C813" s="70"/>
      <c r="D813" s="301"/>
      <c r="E813" s="70"/>
      <c r="F813" s="12"/>
      <c r="G813" s="12"/>
      <c r="H813" s="30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</row>
    <row r="814" spans="1:24" ht="12.75">
      <c r="A814" s="12"/>
      <c r="B814" s="70"/>
      <c r="C814" s="70"/>
      <c r="D814" s="301"/>
      <c r="E814" s="70"/>
      <c r="F814" s="12"/>
      <c r="G814" s="12"/>
      <c r="H814" s="30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</row>
    <row r="815" spans="1:24" ht="12.75">
      <c r="A815" s="12"/>
      <c r="B815" s="70"/>
      <c r="C815" s="70"/>
      <c r="D815" s="301"/>
      <c r="E815" s="70"/>
      <c r="F815" s="12"/>
      <c r="G815" s="12"/>
      <c r="H815" s="30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</row>
    <row r="816" spans="1:24" ht="12.75">
      <c r="A816" s="12"/>
      <c r="B816" s="70"/>
      <c r="C816" s="70"/>
      <c r="D816" s="301"/>
      <c r="E816" s="70"/>
      <c r="F816" s="12"/>
      <c r="G816" s="12"/>
      <c r="H816" s="30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</row>
    <row r="817" spans="1:24" ht="12.75">
      <c r="A817" s="12"/>
      <c r="B817" s="70"/>
      <c r="C817" s="70"/>
      <c r="D817" s="301"/>
      <c r="E817" s="70"/>
      <c r="F817" s="12"/>
      <c r="G817" s="12"/>
      <c r="H817" s="30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</row>
    <row r="818" spans="1:24" ht="12.75">
      <c r="A818" s="12"/>
      <c r="B818" s="70"/>
      <c r="C818" s="70"/>
      <c r="D818" s="301"/>
      <c r="E818" s="70"/>
      <c r="F818" s="12"/>
      <c r="G818" s="12"/>
      <c r="H818" s="30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</row>
    <row r="819" spans="1:24" ht="12.75">
      <c r="A819" s="12"/>
      <c r="B819" s="70"/>
      <c r="C819" s="70"/>
      <c r="D819" s="301"/>
      <c r="E819" s="70"/>
      <c r="F819" s="12"/>
      <c r="G819" s="12"/>
      <c r="H819" s="30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</row>
    <row r="820" spans="1:24" ht="12.75">
      <c r="A820" s="12"/>
      <c r="B820" s="70"/>
      <c r="C820" s="70"/>
      <c r="D820" s="301"/>
      <c r="E820" s="70"/>
      <c r="F820" s="12"/>
      <c r="G820" s="12"/>
      <c r="H820" s="30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</row>
    <row r="821" spans="1:24" ht="12.75">
      <c r="A821" s="12"/>
      <c r="B821" s="70"/>
      <c r="C821" s="70"/>
      <c r="D821" s="301"/>
      <c r="E821" s="70"/>
      <c r="F821" s="12"/>
      <c r="G821" s="12"/>
      <c r="H821" s="30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</row>
    <row r="822" spans="1:24" ht="12.75">
      <c r="A822" s="12"/>
      <c r="B822" s="70"/>
      <c r="C822" s="70"/>
      <c r="D822" s="301"/>
      <c r="E822" s="70"/>
      <c r="F822" s="12"/>
      <c r="G822" s="12"/>
      <c r="H822" s="30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</row>
    <row r="823" spans="1:24" ht="12.75">
      <c r="A823" s="12"/>
      <c r="B823" s="70"/>
      <c r="C823" s="70"/>
      <c r="D823" s="301"/>
      <c r="E823" s="70"/>
      <c r="F823" s="12"/>
      <c r="G823" s="12"/>
      <c r="H823" s="30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</row>
    <row r="824" spans="1:24" ht="12.75">
      <c r="A824" s="12"/>
      <c r="B824" s="70"/>
      <c r="C824" s="70"/>
      <c r="D824" s="301"/>
      <c r="E824" s="70"/>
      <c r="F824" s="12"/>
      <c r="G824" s="12"/>
      <c r="H824" s="30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</row>
    <row r="825" spans="1:24" ht="12.75">
      <c r="A825" s="12"/>
      <c r="B825" s="70"/>
      <c r="C825" s="70"/>
      <c r="D825" s="301"/>
      <c r="E825" s="70"/>
      <c r="F825" s="12"/>
      <c r="G825" s="12"/>
      <c r="H825" s="30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</row>
    <row r="826" spans="1:24" ht="12.75">
      <c r="A826" s="12"/>
      <c r="B826" s="70"/>
      <c r="C826" s="70"/>
      <c r="D826" s="301"/>
      <c r="E826" s="70"/>
      <c r="F826" s="12"/>
      <c r="G826" s="12"/>
      <c r="H826" s="30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</row>
    <row r="827" spans="1:24" ht="12.75">
      <c r="A827" s="12"/>
      <c r="B827" s="70"/>
      <c r="C827" s="70"/>
      <c r="D827" s="301"/>
      <c r="E827" s="70"/>
      <c r="F827" s="12"/>
      <c r="G827" s="12"/>
      <c r="H827" s="30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</row>
    <row r="828" spans="1:24" ht="12.75">
      <c r="A828" s="12"/>
      <c r="B828" s="70"/>
      <c r="C828" s="70"/>
      <c r="D828" s="301"/>
      <c r="E828" s="70"/>
      <c r="F828" s="12"/>
      <c r="G828" s="12"/>
      <c r="H828" s="30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</row>
    <row r="829" spans="1:24" ht="12.75">
      <c r="A829" s="12"/>
      <c r="B829" s="70"/>
      <c r="C829" s="70"/>
      <c r="D829" s="301"/>
      <c r="E829" s="70"/>
      <c r="F829" s="12"/>
      <c r="G829" s="12"/>
      <c r="H829" s="30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</row>
    <row r="830" spans="1:24" ht="12.75">
      <c r="A830" s="12"/>
      <c r="B830" s="70"/>
      <c r="C830" s="70"/>
      <c r="D830" s="301"/>
      <c r="E830" s="70"/>
      <c r="F830" s="12"/>
      <c r="G830" s="12"/>
      <c r="H830" s="30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</row>
    <row r="831" spans="1:24" ht="12.75">
      <c r="A831" s="12"/>
      <c r="B831" s="70"/>
      <c r="C831" s="70"/>
      <c r="D831" s="301"/>
      <c r="E831" s="70"/>
      <c r="F831" s="12"/>
      <c r="G831" s="12"/>
      <c r="H831" s="30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</row>
    <row r="832" spans="1:24" ht="12.75">
      <c r="A832" s="12"/>
      <c r="B832" s="70"/>
      <c r="C832" s="70"/>
      <c r="D832" s="301"/>
      <c r="E832" s="70"/>
      <c r="F832" s="12"/>
      <c r="G832" s="12"/>
      <c r="H832" s="30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</row>
    <row r="833" spans="1:24" ht="12.75">
      <c r="A833" s="12"/>
      <c r="B833" s="70"/>
      <c r="C833" s="70"/>
      <c r="D833" s="301"/>
      <c r="E833" s="70"/>
      <c r="F833" s="12"/>
      <c r="G833" s="12"/>
      <c r="H833" s="30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</row>
    <row r="834" spans="1:24" ht="12.75">
      <c r="A834" s="12"/>
      <c r="B834" s="70"/>
      <c r="C834" s="70"/>
      <c r="D834" s="301"/>
      <c r="E834" s="70"/>
      <c r="F834" s="12"/>
      <c r="G834" s="12"/>
      <c r="H834" s="30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</row>
    <row r="835" spans="1:24" ht="12.75">
      <c r="A835" s="12"/>
      <c r="B835" s="70"/>
      <c r="C835" s="70"/>
      <c r="D835" s="301"/>
      <c r="E835" s="70"/>
      <c r="F835" s="12"/>
      <c r="G835" s="12"/>
      <c r="H835" s="30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</row>
    <row r="836" spans="1:24" ht="12.75">
      <c r="A836" s="12"/>
      <c r="B836" s="70"/>
      <c r="C836" s="70"/>
      <c r="D836" s="301"/>
      <c r="E836" s="70"/>
      <c r="F836" s="12"/>
      <c r="G836" s="12"/>
      <c r="H836" s="30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</row>
    <row r="837" spans="1:24" ht="12.75">
      <c r="A837" s="12"/>
      <c r="B837" s="70"/>
      <c r="C837" s="70"/>
      <c r="D837" s="301"/>
      <c r="E837" s="70"/>
      <c r="F837" s="12"/>
      <c r="G837" s="12"/>
      <c r="H837" s="30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</row>
    <row r="838" spans="1:24" ht="12.75">
      <c r="A838" s="12"/>
      <c r="B838" s="70"/>
      <c r="C838" s="70"/>
      <c r="D838" s="301"/>
      <c r="E838" s="70"/>
      <c r="F838" s="12"/>
      <c r="G838" s="12"/>
      <c r="H838" s="30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</row>
    <row r="839" spans="1:24" ht="12.75">
      <c r="A839" s="12"/>
      <c r="B839" s="70"/>
      <c r="C839" s="70"/>
      <c r="D839" s="301"/>
      <c r="E839" s="70"/>
      <c r="F839" s="12"/>
      <c r="G839" s="12"/>
      <c r="H839" s="30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</row>
    <row r="840" spans="1:24" ht="12.75">
      <c r="A840" s="12"/>
      <c r="B840" s="70"/>
      <c r="C840" s="70"/>
      <c r="D840" s="301"/>
      <c r="E840" s="70"/>
      <c r="F840" s="12"/>
      <c r="G840" s="12"/>
      <c r="H840" s="30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</row>
    <row r="841" spans="1:24" ht="12.75">
      <c r="A841" s="12"/>
      <c r="B841" s="70"/>
      <c r="C841" s="70"/>
      <c r="D841" s="301"/>
      <c r="E841" s="70"/>
      <c r="F841" s="12"/>
      <c r="G841" s="12"/>
      <c r="H841" s="30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</row>
    <row r="842" spans="1:24" ht="12.75">
      <c r="A842" s="12"/>
      <c r="B842" s="70"/>
      <c r="C842" s="70"/>
      <c r="D842" s="301"/>
      <c r="E842" s="70"/>
      <c r="F842" s="12"/>
      <c r="G842" s="12"/>
      <c r="H842" s="30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</row>
    <row r="843" spans="1:24" ht="12.75">
      <c r="A843" s="12"/>
      <c r="B843" s="70"/>
      <c r="C843" s="70"/>
      <c r="D843" s="301"/>
      <c r="E843" s="70"/>
      <c r="F843" s="12"/>
      <c r="G843" s="12"/>
      <c r="H843" s="30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</row>
    <row r="844" spans="1:24" ht="12.75">
      <c r="A844" s="12"/>
      <c r="B844" s="70"/>
      <c r="C844" s="70"/>
      <c r="D844" s="301"/>
      <c r="E844" s="70"/>
      <c r="F844" s="12"/>
      <c r="G844" s="12"/>
      <c r="H844" s="30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</row>
    <row r="845" spans="1:24" ht="12.75">
      <c r="A845" s="12"/>
      <c r="B845" s="70"/>
      <c r="C845" s="70"/>
      <c r="D845" s="301"/>
      <c r="E845" s="70"/>
      <c r="F845" s="12"/>
      <c r="G845" s="12"/>
      <c r="H845" s="30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</row>
    <row r="846" spans="1:24" ht="12.75">
      <c r="A846" s="12"/>
      <c r="B846" s="70"/>
      <c r="C846" s="70"/>
      <c r="D846" s="301"/>
      <c r="E846" s="70"/>
      <c r="F846" s="12"/>
      <c r="G846" s="12"/>
      <c r="H846" s="30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</row>
    <row r="847" spans="1:24" ht="12.75">
      <c r="A847" s="12"/>
      <c r="B847" s="70"/>
      <c r="C847" s="70"/>
      <c r="D847" s="301"/>
      <c r="E847" s="70"/>
      <c r="F847" s="12"/>
      <c r="G847" s="12"/>
      <c r="H847" s="30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</row>
    <row r="848" spans="1:24" ht="12.75">
      <c r="A848" s="12"/>
      <c r="B848" s="70"/>
      <c r="C848" s="70"/>
      <c r="D848" s="301"/>
      <c r="E848" s="70"/>
      <c r="F848" s="12"/>
      <c r="G848" s="12"/>
      <c r="H848" s="30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</row>
    <row r="849" spans="1:24" ht="12.75">
      <c r="A849" s="12"/>
      <c r="B849" s="70"/>
      <c r="C849" s="70"/>
      <c r="D849" s="301"/>
      <c r="E849" s="70"/>
      <c r="F849" s="12"/>
      <c r="G849" s="12"/>
      <c r="H849" s="30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</row>
    <row r="850" spans="1:24" ht="12.75">
      <c r="A850" s="12"/>
      <c r="B850" s="70"/>
      <c r="C850" s="70"/>
      <c r="D850" s="301"/>
      <c r="E850" s="70"/>
      <c r="F850" s="12"/>
      <c r="G850" s="12"/>
      <c r="H850" s="30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</row>
    <row r="851" spans="1:24" ht="12.75">
      <c r="A851" s="12"/>
      <c r="B851" s="70"/>
      <c r="C851" s="70"/>
      <c r="D851" s="301"/>
      <c r="E851" s="70"/>
      <c r="F851" s="12"/>
      <c r="G851" s="12"/>
      <c r="H851" s="30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</row>
    <row r="852" spans="1:24" ht="12.75">
      <c r="A852" s="12"/>
      <c r="B852" s="70"/>
      <c r="C852" s="70"/>
      <c r="D852" s="301"/>
      <c r="E852" s="70"/>
      <c r="F852" s="12"/>
      <c r="G852" s="12"/>
      <c r="H852" s="30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</row>
    <row r="853" spans="1:24" ht="12.75">
      <c r="A853" s="12"/>
      <c r="B853" s="70"/>
      <c r="C853" s="70"/>
      <c r="D853" s="301"/>
      <c r="E853" s="70"/>
      <c r="F853" s="12"/>
      <c r="G853" s="12"/>
      <c r="H853" s="30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</row>
    <row r="854" spans="1:24" ht="12.75">
      <c r="A854" s="12"/>
      <c r="B854" s="70"/>
      <c r="C854" s="70"/>
      <c r="D854" s="301"/>
      <c r="E854" s="70"/>
      <c r="F854" s="12"/>
      <c r="G854" s="12"/>
      <c r="H854" s="30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</row>
    <row r="855" spans="1:24" ht="12.75">
      <c r="A855" s="12"/>
      <c r="B855" s="70"/>
      <c r="C855" s="70"/>
      <c r="D855" s="301"/>
      <c r="E855" s="70"/>
      <c r="F855" s="12"/>
      <c r="G855" s="12"/>
      <c r="H855" s="30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</row>
    <row r="856" spans="1:24" ht="12.75">
      <c r="A856" s="12"/>
      <c r="B856" s="70"/>
      <c r="C856" s="70"/>
      <c r="D856" s="301"/>
      <c r="E856" s="70"/>
      <c r="F856" s="12"/>
      <c r="G856" s="12"/>
      <c r="H856" s="30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</row>
    <row r="857" spans="1:24" ht="12.75">
      <c r="A857" s="12"/>
      <c r="B857" s="70"/>
      <c r="C857" s="70"/>
      <c r="D857" s="301"/>
      <c r="E857" s="70"/>
      <c r="F857" s="12"/>
      <c r="G857" s="12"/>
      <c r="H857" s="30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</row>
    <row r="858" spans="1:24" ht="12.75">
      <c r="A858" s="12"/>
      <c r="B858" s="70"/>
      <c r="C858" s="70"/>
      <c r="D858" s="301"/>
      <c r="E858" s="70"/>
      <c r="F858" s="12"/>
      <c r="G858" s="12"/>
      <c r="H858" s="30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</row>
    <row r="859" spans="1:24" ht="12.75">
      <c r="A859" s="12"/>
      <c r="B859" s="70"/>
      <c r="C859" s="70"/>
      <c r="D859" s="301"/>
      <c r="E859" s="70"/>
      <c r="F859" s="12"/>
      <c r="G859" s="12"/>
      <c r="H859" s="30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</row>
    <row r="860" spans="1:24" ht="12.75">
      <c r="A860" s="12"/>
      <c r="B860" s="70"/>
      <c r="C860" s="70"/>
      <c r="D860" s="301"/>
      <c r="E860" s="70"/>
      <c r="F860" s="12"/>
      <c r="G860" s="12"/>
      <c r="H860" s="30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</row>
    <row r="861" spans="1:24" ht="12.75">
      <c r="A861" s="12"/>
      <c r="B861" s="70"/>
      <c r="C861" s="70"/>
      <c r="D861" s="301"/>
      <c r="E861" s="70"/>
      <c r="F861" s="12"/>
      <c r="G861" s="12"/>
      <c r="H861" s="30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</row>
    <row r="862" spans="1:24" ht="12.75">
      <c r="A862" s="12"/>
      <c r="B862" s="70"/>
      <c r="C862" s="70"/>
      <c r="D862" s="301"/>
      <c r="E862" s="70"/>
      <c r="F862" s="12"/>
      <c r="G862" s="12"/>
      <c r="H862" s="30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</row>
    <row r="863" spans="1:24" ht="12.75">
      <c r="A863" s="12"/>
      <c r="B863" s="70"/>
      <c r="C863" s="70"/>
      <c r="D863" s="301"/>
      <c r="E863" s="70"/>
      <c r="F863" s="12"/>
      <c r="G863" s="12"/>
      <c r="H863" s="30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</row>
    <row r="864" spans="1:24" ht="12.75">
      <c r="A864" s="12"/>
      <c r="B864" s="70"/>
      <c r="C864" s="70"/>
      <c r="D864" s="301"/>
      <c r="E864" s="70"/>
      <c r="F864" s="12"/>
      <c r="G864" s="12"/>
      <c r="H864" s="30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</row>
    <row r="865" spans="1:24" ht="12.75">
      <c r="A865" s="12"/>
      <c r="B865" s="70"/>
      <c r="C865" s="70"/>
      <c r="D865" s="301"/>
      <c r="E865" s="70"/>
      <c r="F865" s="12"/>
      <c r="G865" s="12"/>
      <c r="H865" s="30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</row>
    <row r="866" spans="1:24" ht="12.75">
      <c r="A866" s="12"/>
      <c r="B866" s="70"/>
      <c r="C866" s="70"/>
      <c r="D866" s="301"/>
      <c r="E866" s="70"/>
      <c r="F866" s="12"/>
      <c r="G866" s="12"/>
      <c r="H866" s="30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</row>
    <row r="867" spans="1:24" ht="12.75">
      <c r="A867" s="12"/>
      <c r="B867" s="70"/>
      <c r="C867" s="70"/>
      <c r="D867" s="301"/>
      <c r="E867" s="70"/>
      <c r="F867" s="12"/>
      <c r="G867" s="12"/>
      <c r="H867" s="30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</row>
    <row r="868" spans="1:24" ht="12.75">
      <c r="A868" s="12"/>
      <c r="B868" s="70"/>
      <c r="C868" s="70"/>
      <c r="D868" s="301"/>
      <c r="E868" s="70"/>
      <c r="F868" s="12"/>
      <c r="G868" s="12"/>
      <c r="H868" s="30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</row>
    <row r="869" spans="1:24" ht="12.75">
      <c r="A869" s="12"/>
      <c r="B869" s="70"/>
      <c r="C869" s="70"/>
      <c r="D869" s="301"/>
      <c r="E869" s="70"/>
      <c r="F869" s="12"/>
      <c r="G869" s="12"/>
      <c r="H869" s="30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</row>
    <row r="870" spans="1:24" ht="12.75">
      <c r="A870" s="12"/>
      <c r="B870" s="70"/>
      <c r="C870" s="70"/>
      <c r="D870" s="301"/>
      <c r="E870" s="70"/>
      <c r="F870" s="12"/>
      <c r="G870" s="12"/>
      <c r="H870" s="30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</row>
    <row r="871" spans="1:24" ht="12.75">
      <c r="A871" s="12"/>
      <c r="B871" s="70"/>
      <c r="C871" s="70"/>
      <c r="D871" s="301"/>
      <c r="E871" s="70"/>
      <c r="F871" s="12"/>
      <c r="G871" s="12"/>
      <c r="H871" s="30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</row>
    <row r="872" spans="1:24" ht="12.75">
      <c r="A872" s="12"/>
      <c r="B872" s="70"/>
      <c r="C872" s="70"/>
      <c r="D872" s="301"/>
      <c r="E872" s="70"/>
      <c r="F872" s="12"/>
      <c r="G872" s="12"/>
      <c r="H872" s="30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</row>
    <row r="873" spans="1:24" ht="12.75">
      <c r="A873" s="12"/>
      <c r="B873" s="70"/>
      <c r="C873" s="70"/>
      <c r="D873" s="301"/>
      <c r="E873" s="70"/>
      <c r="F873" s="12"/>
      <c r="G873" s="12"/>
      <c r="H873" s="30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</row>
    <row r="874" spans="1:24" ht="12.75">
      <c r="A874" s="12"/>
      <c r="B874" s="70"/>
      <c r="C874" s="70"/>
      <c r="D874" s="301"/>
      <c r="E874" s="70"/>
      <c r="F874" s="12"/>
      <c r="G874" s="12"/>
      <c r="H874" s="30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</row>
    <row r="875" spans="1:24" ht="12.75">
      <c r="A875" s="12"/>
      <c r="B875" s="70"/>
      <c r="C875" s="70"/>
      <c r="D875" s="301"/>
      <c r="E875" s="70"/>
      <c r="F875" s="12"/>
      <c r="G875" s="12"/>
      <c r="H875" s="30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</row>
    <row r="876" spans="1:24" ht="12.75">
      <c r="A876" s="12"/>
      <c r="B876" s="70"/>
      <c r="C876" s="70"/>
      <c r="D876" s="301"/>
      <c r="E876" s="70"/>
      <c r="F876" s="12"/>
      <c r="G876" s="12"/>
      <c r="H876" s="30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</row>
    <row r="877" spans="1:24" ht="12.75">
      <c r="A877" s="12"/>
      <c r="B877" s="70"/>
      <c r="C877" s="70"/>
      <c r="D877" s="301"/>
      <c r="E877" s="70"/>
      <c r="F877" s="12"/>
      <c r="G877" s="12"/>
      <c r="H877" s="30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</row>
    <row r="878" spans="1:24" ht="12.75">
      <c r="A878" s="12"/>
      <c r="B878" s="70"/>
      <c r="C878" s="70"/>
      <c r="D878" s="301"/>
      <c r="E878" s="70"/>
      <c r="F878" s="12"/>
      <c r="G878" s="12"/>
      <c r="H878" s="30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</row>
    <row r="879" spans="1:24" ht="12.75">
      <c r="A879" s="12"/>
      <c r="B879" s="70"/>
      <c r="C879" s="70"/>
      <c r="D879" s="301"/>
      <c r="E879" s="70"/>
      <c r="F879" s="12"/>
      <c r="G879" s="12"/>
      <c r="H879" s="30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</row>
    <row r="880" spans="1:24" ht="12.75">
      <c r="A880" s="12"/>
      <c r="B880" s="70"/>
      <c r="C880" s="70"/>
      <c r="D880" s="301"/>
      <c r="E880" s="70"/>
      <c r="F880" s="12"/>
      <c r="G880" s="12"/>
      <c r="H880" s="30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</row>
    <row r="881" spans="1:24" ht="12.75">
      <c r="A881" s="12"/>
      <c r="B881" s="70"/>
      <c r="C881" s="70"/>
      <c r="D881" s="301"/>
      <c r="E881" s="70"/>
      <c r="F881" s="12"/>
      <c r="G881" s="12"/>
      <c r="H881" s="30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</row>
    <row r="882" spans="1:24" ht="12.75">
      <c r="A882" s="12"/>
      <c r="B882" s="70"/>
      <c r="C882" s="70"/>
      <c r="D882" s="301"/>
      <c r="E882" s="70"/>
      <c r="F882" s="12"/>
      <c r="G882" s="12"/>
      <c r="H882" s="30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</row>
    <row r="883" spans="1:24" ht="12.75">
      <c r="A883" s="12"/>
      <c r="B883" s="70"/>
      <c r="C883" s="70"/>
      <c r="D883" s="301"/>
      <c r="E883" s="70"/>
      <c r="F883" s="12"/>
      <c r="G883" s="12"/>
      <c r="H883" s="30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</row>
    <row r="884" spans="1:24" ht="12.75">
      <c r="A884" s="12"/>
      <c r="B884" s="70"/>
      <c r="C884" s="70"/>
      <c r="D884" s="301"/>
      <c r="E884" s="70"/>
      <c r="F884" s="12"/>
      <c r="G884" s="12"/>
      <c r="H884" s="30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</row>
    <row r="885" spans="1:24" ht="12.75">
      <c r="A885" s="12"/>
      <c r="B885" s="70"/>
      <c r="C885" s="70"/>
      <c r="D885" s="301"/>
      <c r="E885" s="70"/>
      <c r="F885" s="12"/>
      <c r="G885" s="12"/>
      <c r="H885" s="30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</row>
    <row r="886" spans="1:24" ht="12.75">
      <c r="A886" s="12"/>
      <c r="B886" s="70"/>
      <c r="C886" s="70"/>
      <c r="D886" s="301"/>
      <c r="E886" s="70"/>
      <c r="F886" s="12"/>
      <c r="G886" s="12"/>
      <c r="H886" s="30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</row>
    <row r="887" spans="1:24" ht="12.75">
      <c r="A887" s="12"/>
      <c r="B887" s="70"/>
      <c r="C887" s="70"/>
      <c r="D887" s="301"/>
      <c r="E887" s="70"/>
      <c r="F887" s="12"/>
      <c r="G887" s="12"/>
      <c r="H887" s="30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</row>
    <row r="888" spans="1:24" ht="12.75">
      <c r="A888" s="12"/>
      <c r="B888" s="70"/>
      <c r="C888" s="70"/>
      <c r="D888" s="301"/>
      <c r="E888" s="70"/>
      <c r="F888" s="12"/>
      <c r="G888" s="12"/>
      <c r="H888" s="30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</row>
    <row r="889" spans="1:24" ht="12.75">
      <c r="A889" s="12"/>
      <c r="B889" s="70"/>
      <c r="C889" s="70"/>
      <c r="D889" s="301"/>
      <c r="E889" s="70"/>
      <c r="F889" s="12"/>
      <c r="G889" s="12"/>
      <c r="H889" s="30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</row>
    <row r="890" spans="1:24" ht="12.75">
      <c r="A890" s="12"/>
      <c r="B890" s="70"/>
      <c r="C890" s="70"/>
      <c r="D890" s="301"/>
      <c r="E890" s="70"/>
      <c r="F890" s="12"/>
      <c r="G890" s="12"/>
      <c r="H890" s="30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</row>
    <row r="891" spans="1:24" ht="12.75">
      <c r="A891" s="12"/>
      <c r="B891" s="70"/>
      <c r="C891" s="70"/>
      <c r="D891" s="301"/>
      <c r="E891" s="70"/>
      <c r="F891" s="12"/>
      <c r="G891" s="12"/>
      <c r="H891" s="30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</row>
    <row r="892" spans="1:24" ht="12.75">
      <c r="A892" s="12"/>
      <c r="B892" s="70"/>
      <c r="C892" s="70"/>
      <c r="D892" s="301"/>
      <c r="E892" s="70"/>
      <c r="F892" s="12"/>
      <c r="G892" s="12"/>
      <c r="H892" s="30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</row>
    <row r="893" spans="1:24" ht="12.75">
      <c r="A893" s="12"/>
      <c r="B893" s="70"/>
      <c r="C893" s="70"/>
      <c r="D893" s="301"/>
      <c r="E893" s="70"/>
      <c r="F893" s="12"/>
      <c r="G893" s="12"/>
      <c r="H893" s="30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</row>
    <row r="894" spans="1:24" ht="12.75">
      <c r="A894" s="12"/>
      <c r="B894" s="70"/>
      <c r="C894" s="70"/>
      <c r="D894" s="301"/>
      <c r="E894" s="70"/>
      <c r="F894" s="12"/>
      <c r="G894" s="12"/>
      <c r="H894" s="30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</row>
    <row r="895" spans="1:24" ht="12.75">
      <c r="A895" s="12"/>
      <c r="B895" s="70"/>
      <c r="C895" s="70"/>
      <c r="D895" s="301"/>
      <c r="E895" s="70"/>
      <c r="F895" s="12"/>
      <c r="G895" s="12"/>
      <c r="H895" s="30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</row>
    <row r="896" spans="1:24" ht="12.75">
      <c r="A896" s="12"/>
      <c r="B896" s="70"/>
      <c r="C896" s="70"/>
      <c r="D896" s="301"/>
      <c r="E896" s="70"/>
      <c r="F896" s="12"/>
      <c r="G896" s="12"/>
      <c r="H896" s="30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</row>
    <row r="897" spans="1:24" ht="12.75">
      <c r="A897" s="12"/>
      <c r="B897" s="70"/>
      <c r="C897" s="70"/>
      <c r="D897" s="301"/>
      <c r="E897" s="70"/>
      <c r="F897" s="12"/>
      <c r="G897" s="12"/>
      <c r="H897" s="30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</row>
    <row r="898" spans="1:24" ht="12.75">
      <c r="A898" s="12"/>
      <c r="B898" s="70"/>
      <c r="C898" s="70"/>
      <c r="D898" s="301"/>
      <c r="E898" s="70"/>
      <c r="F898" s="12"/>
      <c r="G898" s="12"/>
      <c r="H898" s="30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</row>
    <row r="899" spans="1:24" ht="12.75">
      <c r="A899" s="12"/>
      <c r="B899" s="70"/>
      <c r="C899" s="70"/>
      <c r="D899" s="301"/>
      <c r="E899" s="70"/>
      <c r="F899" s="12"/>
      <c r="G899" s="12"/>
      <c r="H899" s="30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</row>
    <row r="900" spans="1:24" ht="12.75">
      <c r="A900" s="12"/>
      <c r="B900" s="70"/>
      <c r="C900" s="70"/>
      <c r="D900" s="301"/>
      <c r="E900" s="70"/>
      <c r="F900" s="12"/>
      <c r="G900" s="12"/>
      <c r="H900" s="30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</row>
    <row r="901" spans="1:24" ht="12.75">
      <c r="A901" s="12"/>
      <c r="B901" s="70"/>
      <c r="C901" s="70"/>
      <c r="D901" s="301"/>
      <c r="E901" s="70"/>
      <c r="F901" s="12"/>
      <c r="G901" s="12"/>
      <c r="H901" s="30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</row>
    <row r="902" spans="1:24" ht="12.75">
      <c r="A902" s="12"/>
      <c r="B902" s="70"/>
      <c r="C902" s="70"/>
      <c r="D902" s="301"/>
      <c r="E902" s="70"/>
      <c r="F902" s="12"/>
      <c r="G902" s="12"/>
      <c r="H902" s="30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</row>
    <row r="903" spans="1:24" ht="12.75">
      <c r="A903" s="12"/>
      <c r="B903" s="70"/>
      <c r="C903" s="70"/>
      <c r="D903" s="301"/>
      <c r="E903" s="70"/>
      <c r="F903" s="12"/>
      <c r="G903" s="12"/>
      <c r="H903" s="30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</row>
    <row r="904" spans="1:24" ht="12.75">
      <c r="A904" s="12"/>
      <c r="B904" s="70"/>
      <c r="C904" s="70"/>
      <c r="D904" s="301"/>
      <c r="E904" s="70"/>
      <c r="F904" s="12"/>
      <c r="G904" s="12"/>
      <c r="H904" s="30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</row>
    <row r="905" spans="1:24" ht="12.75">
      <c r="A905" s="12"/>
      <c r="B905" s="70"/>
      <c r="C905" s="70"/>
      <c r="D905" s="301"/>
      <c r="E905" s="70"/>
      <c r="F905" s="12"/>
      <c r="G905" s="12"/>
      <c r="H905" s="30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</row>
    <row r="906" spans="1:24" ht="12.75">
      <c r="A906" s="12"/>
      <c r="B906" s="70"/>
      <c r="C906" s="70"/>
      <c r="D906" s="301"/>
      <c r="E906" s="70"/>
      <c r="F906" s="12"/>
      <c r="G906" s="12"/>
      <c r="H906" s="30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</row>
    <row r="907" spans="1:24" ht="12.75">
      <c r="A907" s="12"/>
      <c r="B907" s="70"/>
      <c r="C907" s="70"/>
      <c r="D907" s="301"/>
      <c r="E907" s="70"/>
      <c r="F907" s="12"/>
      <c r="G907" s="12"/>
      <c r="H907" s="30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</row>
    <row r="908" spans="1:24" ht="12.75">
      <c r="A908" s="12"/>
      <c r="B908" s="70"/>
      <c r="C908" s="70"/>
      <c r="D908" s="301"/>
      <c r="E908" s="70"/>
      <c r="F908" s="12"/>
      <c r="G908" s="12"/>
      <c r="H908" s="30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</row>
    <row r="909" spans="1:24" ht="12.75">
      <c r="A909" s="12"/>
      <c r="B909" s="70"/>
      <c r="C909" s="70"/>
      <c r="D909" s="301"/>
      <c r="E909" s="70"/>
      <c r="F909" s="12"/>
      <c r="G909" s="12"/>
      <c r="H909" s="30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</row>
    <row r="910" spans="1:24" ht="12.75">
      <c r="A910" s="12"/>
      <c r="B910" s="70"/>
      <c r="C910" s="70"/>
      <c r="D910" s="301"/>
      <c r="E910" s="70"/>
      <c r="F910" s="12"/>
      <c r="G910" s="12"/>
      <c r="H910" s="30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</row>
    <row r="911" spans="1:24" ht="12.75">
      <c r="A911" s="12"/>
      <c r="B911" s="70"/>
      <c r="C911" s="70"/>
      <c r="D911" s="301"/>
      <c r="E911" s="70"/>
      <c r="F911" s="12"/>
      <c r="G911" s="12"/>
      <c r="H911" s="30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</row>
    <row r="912" spans="1:24" ht="12.75">
      <c r="A912" s="12"/>
      <c r="B912" s="70"/>
      <c r="C912" s="70"/>
      <c r="D912" s="301"/>
      <c r="E912" s="70"/>
      <c r="F912" s="12"/>
      <c r="G912" s="12"/>
      <c r="H912" s="30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</row>
    <row r="913" spans="1:24" ht="12.75">
      <c r="A913" s="12"/>
      <c r="B913" s="70"/>
      <c r="C913" s="70"/>
      <c r="D913" s="301"/>
      <c r="E913" s="70"/>
      <c r="F913" s="12"/>
      <c r="G913" s="12"/>
      <c r="H913" s="30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</row>
    <row r="914" spans="1:24" ht="12.75">
      <c r="A914" s="12"/>
      <c r="B914" s="70"/>
      <c r="C914" s="70"/>
      <c r="D914" s="301"/>
      <c r="E914" s="70"/>
      <c r="F914" s="12"/>
      <c r="G914" s="12"/>
      <c r="H914" s="30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</row>
    <row r="915" spans="1:24" ht="12.75">
      <c r="A915" s="12"/>
      <c r="B915" s="70"/>
      <c r="C915" s="70"/>
      <c r="D915" s="301"/>
      <c r="E915" s="70"/>
      <c r="F915" s="12"/>
      <c r="G915" s="12"/>
      <c r="H915" s="30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</row>
    <row r="916" spans="1:24" ht="12.75">
      <c r="A916" s="12"/>
      <c r="B916" s="70"/>
      <c r="C916" s="70"/>
      <c r="D916" s="301"/>
      <c r="E916" s="70"/>
      <c r="F916" s="12"/>
      <c r="G916" s="12"/>
      <c r="H916" s="30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</row>
    <row r="917" spans="1:24" ht="12.75">
      <c r="A917" s="12"/>
      <c r="B917" s="70"/>
      <c r="C917" s="70"/>
      <c r="D917" s="301"/>
      <c r="E917" s="70"/>
      <c r="F917" s="12"/>
      <c r="G917" s="12"/>
      <c r="H917" s="30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</row>
    <row r="918" spans="1:24" ht="12.75">
      <c r="A918" s="12"/>
      <c r="B918" s="70"/>
      <c r="C918" s="70"/>
      <c r="D918" s="301"/>
      <c r="E918" s="70"/>
      <c r="F918" s="12"/>
      <c r="G918" s="12"/>
      <c r="H918" s="30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</row>
    <row r="919" spans="1:24" ht="12.75">
      <c r="A919" s="12"/>
      <c r="B919" s="70"/>
      <c r="C919" s="70"/>
      <c r="D919" s="301"/>
      <c r="E919" s="70"/>
      <c r="F919" s="12"/>
      <c r="G919" s="12"/>
      <c r="H919" s="30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</row>
    <row r="920" spans="1:24" ht="12.75">
      <c r="A920" s="12"/>
      <c r="B920" s="70"/>
      <c r="C920" s="70"/>
      <c r="D920" s="301"/>
      <c r="E920" s="70"/>
      <c r="F920" s="12"/>
      <c r="G920" s="12"/>
      <c r="H920" s="30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</row>
    <row r="921" spans="1:24" ht="12.75">
      <c r="A921" s="12"/>
      <c r="B921" s="70"/>
      <c r="C921" s="70"/>
      <c r="D921" s="301"/>
      <c r="E921" s="70"/>
      <c r="F921" s="12"/>
      <c r="G921" s="12"/>
      <c r="H921" s="30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</row>
    <row r="922" spans="1:24" ht="12.75">
      <c r="A922" s="12"/>
      <c r="B922" s="70"/>
      <c r="C922" s="70"/>
      <c r="D922" s="301"/>
      <c r="E922" s="70"/>
      <c r="F922" s="12"/>
      <c r="G922" s="12"/>
      <c r="H922" s="30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</row>
    <row r="923" spans="1:24" ht="12.75">
      <c r="A923" s="12"/>
      <c r="B923" s="70"/>
      <c r="C923" s="70"/>
      <c r="D923" s="301"/>
      <c r="E923" s="70"/>
      <c r="F923" s="12"/>
      <c r="G923" s="12"/>
      <c r="H923" s="30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</row>
    <row r="924" spans="1:24" ht="12.75">
      <c r="A924" s="12"/>
      <c r="B924" s="70"/>
      <c r="C924" s="70"/>
      <c r="D924" s="301"/>
      <c r="E924" s="70"/>
      <c r="F924" s="12"/>
      <c r="G924" s="12"/>
      <c r="H924" s="30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</row>
    <row r="925" spans="1:24" ht="12.75">
      <c r="A925" s="12"/>
      <c r="B925" s="70"/>
      <c r="C925" s="70"/>
      <c r="D925" s="301"/>
      <c r="E925" s="70"/>
      <c r="F925" s="12"/>
      <c r="G925" s="12"/>
      <c r="H925" s="30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</row>
    <row r="926" spans="1:24" ht="12.75">
      <c r="A926" s="12"/>
      <c r="B926" s="70"/>
      <c r="C926" s="70"/>
      <c r="D926" s="301"/>
      <c r="E926" s="70"/>
      <c r="F926" s="12"/>
      <c r="G926" s="12"/>
      <c r="H926" s="30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</row>
    <row r="927" spans="1:24" ht="12.75">
      <c r="A927" s="12"/>
      <c r="B927" s="70"/>
      <c r="C927" s="70"/>
      <c r="D927" s="301"/>
      <c r="E927" s="70"/>
      <c r="F927" s="12"/>
      <c r="G927" s="12"/>
      <c r="H927" s="30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</row>
    <row r="928" spans="1:24" ht="12.75">
      <c r="A928" s="12"/>
      <c r="B928" s="70"/>
      <c r="C928" s="70"/>
      <c r="D928" s="301"/>
      <c r="E928" s="70"/>
      <c r="F928" s="12"/>
      <c r="G928" s="12"/>
      <c r="H928" s="30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</row>
    <row r="929" spans="1:24" ht="12.75">
      <c r="A929" s="12"/>
      <c r="B929" s="70"/>
      <c r="C929" s="70"/>
      <c r="D929" s="301"/>
      <c r="E929" s="70"/>
      <c r="F929" s="12"/>
      <c r="G929" s="12"/>
      <c r="H929" s="30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</row>
    <row r="930" spans="1:24" ht="12.75">
      <c r="A930" s="12"/>
      <c r="B930" s="70"/>
      <c r="C930" s="70"/>
      <c r="D930" s="301"/>
      <c r="E930" s="70"/>
      <c r="F930" s="12"/>
      <c r="G930" s="12"/>
      <c r="H930" s="30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</row>
    <row r="931" spans="1:24" ht="12.75">
      <c r="A931" s="12"/>
      <c r="B931" s="70"/>
      <c r="C931" s="70"/>
      <c r="D931" s="301"/>
      <c r="E931" s="70"/>
      <c r="F931" s="12"/>
      <c r="G931" s="12"/>
      <c r="H931" s="30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</row>
    <row r="932" spans="1:24" ht="12.75">
      <c r="A932" s="12"/>
      <c r="B932" s="70"/>
      <c r="C932" s="70"/>
      <c r="D932" s="301"/>
      <c r="E932" s="70"/>
      <c r="F932" s="12"/>
      <c r="G932" s="12"/>
      <c r="H932" s="30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</row>
    <row r="933" spans="1:24" ht="12.75">
      <c r="A933" s="12"/>
      <c r="B933" s="70"/>
      <c r="C933" s="70"/>
      <c r="D933" s="301"/>
      <c r="E933" s="70"/>
      <c r="F933" s="12"/>
      <c r="G933" s="12"/>
      <c r="H933" s="30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</row>
    <row r="934" spans="1:24" ht="12.75">
      <c r="A934" s="12"/>
      <c r="B934" s="70"/>
      <c r="C934" s="70"/>
      <c r="D934" s="301"/>
      <c r="E934" s="70"/>
      <c r="F934" s="12"/>
      <c r="G934" s="12"/>
      <c r="H934" s="30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</row>
    <row r="935" spans="1:24" ht="12.75">
      <c r="A935" s="12"/>
      <c r="B935" s="70"/>
      <c r="C935" s="70"/>
      <c r="D935" s="301"/>
      <c r="E935" s="70"/>
      <c r="F935" s="12"/>
      <c r="G935" s="12"/>
      <c r="H935" s="30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</row>
    <row r="936" spans="1:24" ht="12.75">
      <c r="A936" s="12"/>
      <c r="B936" s="70"/>
      <c r="C936" s="70"/>
      <c r="D936" s="301"/>
      <c r="E936" s="70"/>
      <c r="F936" s="12"/>
      <c r="G936" s="12"/>
      <c r="H936" s="30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</row>
    <row r="937" spans="1:24" ht="12.75">
      <c r="A937" s="12"/>
      <c r="B937" s="70"/>
      <c r="C937" s="70"/>
      <c r="D937" s="301"/>
      <c r="E937" s="70"/>
      <c r="F937" s="12"/>
      <c r="G937" s="12"/>
      <c r="H937" s="30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</row>
    <row r="938" spans="1:24" ht="12.75">
      <c r="A938" s="12"/>
      <c r="B938" s="70"/>
      <c r="C938" s="70"/>
      <c r="D938" s="301"/>
      <c r="E938" s="70"/>
      <c r="F938" s="12"/>
      <c r="G938" s="12"/>
      <c r="H938" s="30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</row>
    <row r="939" spans="1:24" ht="12.75">
      <c r="A939" s="12"/>
      <c r="B939" s="70"/>
      <c r="C939" s="70"/>
      <c r="D939" s="301"/>
      <c r="E939" s="70"/>
      <c r="F939" s="12"/>
      <c r="G939" s="12"/>
      <c r="H939" s="30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</row>
    <row r="940" spans="1:24" ht="12.75">
      <c r="A940" s="12"/>
      <c r="B940" s="70"/>
      <c r="C940" s="70"/>
      <c r="D940" s="301"/>
      <c r="E940" s="70"/>
      <c r="F940" s="12"/>
      <c r="G940" s="12"/>
      <c r="H940" s="30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</row>
    <row r="941" spans="1:24" ht="12.75">
      <c r="A941" s="12"/>
      <c r="B941" s="70"/>
      <c r="C941" s="70"/>
      <c r="D941" s="301"/>
      <c r="E941" s="70"/>
      <c r="F941" s="12"/>
      <c r="G941" s="12"/>
      <c r="H941" s="30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</row>
    <row r="942" spans="1:24" ht="12.75">
      <c r="A942" s="12"/>
      <c r="B942" s="70"/>
      <c r="C942" s="70"/>
      <c r="D942" s="301"/>
      <c r="E942" s="70"/>
      <c r="F942" s="12"/>
      <c r="G942" s="12"/>
      <c r="H942" s="30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</row>
    <row r="943" spans="1:24" ht="12.75">
      <c r="A943" s="12"/>
      <c r="B943" s="70"/>
      <c r="C943" s="70"/>
      <c r="D943" s="301"/>
      <c r="E943" s="70"/>
      <c r="F943" s="12"/>
      <c r="G943" s="12"/>
      <c r="H943" s="30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</row>
    <row r="944" spans="1:24" ht="12.75">
      <c r="A944" s="12"/>
      <c r="B944" s="70"/>
      <c r="C944" s="70"/>
      <c r="D944" s="301"/>
      <c r="E944" s="70"/>
      <c r="F944" s="12"/>
      <c r="G944" s="12"/>
      <c r="H944" s="30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</row>
    <row r="945" spans="1:24" ht="12.75">
      <c r="A945" s="12"/>
      <c r="B945" s="70"/>
      <c r="C945" s="70"/>
      <c r="D945" s="301"/>
      <c r="E945" s="70"/>
      <c r="F945" s="12"/>
      <c r="G945" s="12"/>
      <c r="H945" s="30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</row>
    <row r="946" spans="1:24" ht="12.75">
      <c r="A946" s="12"/>
      <c r="B946" s="70"/>
      <c r="C946" s="70"/>
      <c r="D946" s="301"/>
      <c r="E946" s="70"/>
      <c r="F946" s="12"/>
      <c r="G946" s="12"/>
      <c r="H946" s="30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</row>
    <row r="947" spans="1:24" ht="12.75">
      <c r="A947" s="12"/>
      <c r="B947" s="70"/>
      <c r="C947" s="70"/>
      <c r="D947" s="301"/>
      <c r="E947" s="70"/>
      <c r="F947" s="12"/>
      <c r="G947" s="12"/>
      <c r="H947" s="30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</row>
    <row r="948" spans="1:24" ht="12.75">
      <c r="A948" s="12"/>
      <c r="B948" s="70"/>
      <c r="C948" s="70"/>
      <c r="D948" s="301"/>
      <c r="E948" s="70"/>
      <c r="F948" s="12"/>
      <c r="G948" s="12"/>
      <c r="H948" s="30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</row>
    <row r="949" spans="1:24" ht="12.75">
      <c r="A949" s="12"/>
      <c r="B949" s="70"/>
      <c r="C949" s="70"/>
      <c r="D949" s="301"/>
      <c r="E949" s="70"/>
      <c r="F949" s="12"/>
      <c r="G949" s="12"/>
      <c r="H949" s="30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</row>
    <row r="950" spans="1:24" ht="12.75">
      <c r="A950" s="12"/>
      <c r="B950" s="70"/>
      <c r="C950" s="70"/>
      <c r="D950" s="301"/>
      <c r="E950" s="70"/>
      <c r="F950" s="12"/>
      <c r="G950" s="12"/>
      <c r="H950" s="30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</row>
    <row r="951" spans="1:24" ht="12.75">
      <c r="A951" s="12"/>
      <c r="B951" s="70"/>
      <c r="C951" s="70"/>
      <c r="D951" s="301"/>
      <c r="E951" s="70"/>
      <c r="F951" s="12"/>
      <c r="G951" s="12"/>
      <c r="H951" s="30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</row>
    <row r="952" spans="1:24" ht="12.75">
      <c r="A952" s="12"/>
      <c r="B952" s="70"/>
      <c r="C952" s="70"/>
      <c r="D952" s="301"/>
      <c r="E952" s="70"/>
      <c r="F952" s="12"/>
      <c r="G952" s="12"/>
      <c r="H952" s="30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</row>
    <row r="953" spans="1:24" ht="12.75">
      <c r="A953" s="12"/>
      <c r="B953" s="70"/>
      <c r="C953" s="70"/>
      <c r="D953" s="301"/>
      <c r="E953" s="70"/>
      <c r="F953" s="12"/>
      <c r="G953" s="12"/>
      <c r="H953" s="30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</row>
    <row r="954" spans="1:24" ht="12.75">
      <c r="A954" s="12"/>
      <c r="B954" s="70"/>
      <c r="C954" s="70"/>
      <c r="D954" s="301"/>
      <c r="E954" s="70"/>
      <c r="F954" s="12"/>
      <c r="G954" s="12"/>
      <c r="H954" s="30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</row>
    <row r="955" spans="1:24" ht="12.75">
      <c r="A955" s="12"/>
      <c r="B955" s="70"/>
      <c r="C955" s="70"/>
      <c r="D955" s="301"/>
      <c r="E955" s="70"/>
      <c r="F955" s="12"/>
      <c r="G955" s="12"/>
      <c r="H955" s="30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</row>
    <row r="956" spans="1:24" ht="12.75">
      <c r="A956" s="12"/>
      <c r="B956" s="70"/>
      <c r="C956" s="70"/>
      <c r="D956" s="301"/>
      <c r="E956" s="70"/>
      <c r="F956" s="12"/>
      <c r="G956" s="12"/>
      <c r="H956" s="30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</row>
    <row r="957" spans="1:24" ht="12.75">
      <c r="A957" s="12"/>
      <c r="B957" s="70"/>
      <c r="C957" s="70"/>
      <c r="D957" s="301"/>
      <c r="E957" s="70"/>
      <c r="F957" s="12"/>
      <c r="G957" s="12"/>
      <c r="H957" s="30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</row>
    <row r="958" spans="1:24" ht="12.75">
      <c r="A958" s="12"/>
      <c r="B958" s="70"/>
      <c r="C958" s="70"/>
      <c r="D958" s="301"/>
      <c r="E958" s="70"/>
      <c r="F958" s="12"/>
      <c r="G958" s="12"/>
      <c r="H958" s="30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</row>
    <row r="959" spans="1:24" ht="12.75">
      <c r="A959" s="12"/>
      <c r="B959" s="70"/>
      <c r="C959" s="70"/>
      <c r="D959" s="301"/>
      <c r="E959" s="70"/>
      <c r="F959" s="12"/>
      <c r="G959" s="12"/>
      <c r="H959" s="30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</row>
    <row r="960" spans="1:24" ht="12.75">
      <c r="A960" s="12"/>
      <c r="B960" s="70"/>
      <c r="C960" s="70"/>
      <c r="D960" s="301"/>
      <c r="E960" s="70"/>
      <c r="F960" s="12"/>
      <c r="G960" s="12"/>
      <c r="H960" s="30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</row>
    <row r="961" spans="1:24" ht="12.75">
      <c r="A961" s="12"/>
      <c r="B961" s="70"/>
      <c r="C961" s="70"/>
      <c r="D961" s="301"/>
      <c r="E961" s="70"/>
      <c r="F961" s="12"/>
      <c r="G961" s="12"/>
      <c r="H961" s="30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</row>
    <row r="962" spans="1:24" ht="12.75">
      <c r="A962" s="12"/>
      <c r="B962" s="70"/>
      <c r="C962" s="70"/>
      <c r="D962" s="301"/>
      <c r="E962" s="70"/>
      <c r="F962" s="12"/>
      <c r="G962" s="12"/>
      <c r="H962" s="30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</row>
    <row r="963" spans="1:24" ht="12.75">
      <c r="A963" s="12"/>
      <c r="B963" s="70"/>
      <c r="C963" s="70"/>
      <c r="D963" s="301"/>
      <c r="E963" s="70"/>
      <c r="F963" s="12"/>
      <c r="G963" s="12"/>
      <c r="H963" s="30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</row>
    <row r="964" spans="1:24" ht="12.75">
      <c r="A964" s="12"/>
      <c r="B964" s="70"/>
      <c r="C964" s="70"/>
      <c r="D964" s="301"/>
      <c r="E964" s="70"/>
      <c r="F964" s="12"/>
      <c r="G964" s="12"/>
      <c r="H964" s="30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</row>
    <row r="965" spans="1:24" ht="12.75">
      <c r="A965" s="12"/>
      <c r="B965" s="70"/>
      <c r="C965" s="70"/>
      <c r="D965" s="301"/>
      <c r="E965" s="70"/>
      <c r="F965" s="12"/>
      <c r="G965" s="12"/>
      <c r="H965" s="30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</row>
    <row r="966" spans="1:24" ht="12.75">
      <c r="A966" s="12"/>
      <c r="B966" s="70"/>
      <c r="C966" s="70"/>
      <c r="D966" s="301"/>
      <c r="E966" s="70"/>
      <c r="F966" s="12"/>
      <c r="G966" s="12"/>
      <c r="H966" s="30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</row>
    <row r="967" spans="1:24" ht="12.75">
      <c r="A967" s="12"/>
      <c r="B967" s="70"/>
      <c r="C967" s="70"/>
      <c r="D967" s="301"/>
      <c r="E967" s="70"/>
      <c r="F967" s="12"/>
      <c r="G967" s="12"/>
      <c r="H967" s="30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</row>
    <row r="968" spans="1:24" ht="12.75">
      <c r="A968" s="12"/>
      <c r="B968" s="70"/>
      <c r="C968" s="70"/>
      <c r="D968" s="301"/>
      <c r="E968" s="70"/>
      <c r="F968" s="12"/>
      <c r="G968" s="12"/>
      <c r="H968" s="30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</row>
    <row r="969" spans="1:24" ht="12.75">
      <c r="A969" s="12"/>
      <c r="B969" s="70"/>
      <c r="C969" s="70"/>
      <c r="D969" s="301"/>
      <c r="E969" s="70"/>
      <c r="F969" s="12"/>
      <c r="G969" s="12"/>
      <c r="H969" s="30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</row>
    <row r="970" spans="1:24" ht="12.75">
      <c r="A970" s="12"/>
      <c r="B970" s="70"/>
      <c r="C970" s="70"/>
      <c r="D970" s="301"/>
      <c r="E970" s="70"/>
      <c r="F970" s="12"/>
      <c r="G970" s="12"/>
      <c r="H970" s="30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</row>
    <row r="971" spans="1:24" ht="12.75">
      <c r="A971" s="12"/>
      <c r="B971" s="70"/>
      <c r="C971" s="70"/>
      <c r="D971" s="301"/>
      <c r="E971" s="70"/>
      <c r="F971" s="12"/>
      <c r="G971" s="12"/>
      <c r="H971" s="30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</row>
    <row r="972" spans="1:24" ht="12.75">
      <c r="A972" s="12"/>
      <c r="B972" s="70"/>
      <c r="C972" s="70"/>
      <c r="D972" s="301"/>
      <c r="E972" s="70"/>
      <c r="F972" s="12"/>
      <c r="G972" s="12"/>
      <c r="H972" s="30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</row>
    <row r="973" spans="1:24" ht="12.75">
      <c r="A973" s="12"/>
      <c r="B973" s="70"/>
      <c r="C973" s="70"/>
      <c r="D973" s="301"/>
      <c r="E973" s="70"/>
      <c r="F973" s="12"/>
      <c r="G973" s="12"/>
      <c r="H973" s="30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</row>
    <row r="974" spans="1:24" ht="12.75">
      <c r="A974" s="12"/>
      <c r="B974" s="70"/>
      <c r="C974" s="70"/>
      <c r="D974" s="301"/>
      <c r="E974" s="70"/>
      <c r="F974" s="12"/>
      <c r="G974" s="12"/>
      <c r="H974" s="30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</row>
    <row r="975" spans="1:24" ht="12.75">
      <c r="A975" s="12"/>
      <c r="B975" s="70"/>
      <c r="C975" s="70"/>
      <c r="D975" s="301"/>
      <c r="E975" s="70"/>
      <c r="F975" s="12"/>
      <c r="G975" s="12"/>
      <c r="H975" s="30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</row>
    <row r="976" spans="1:24" ht="12.75">
      <c r="A976" s="12"/>
      <c r="B976" s="70"/>
      <c r="C976" s="70"/>
      <c r="D976" s="301"/>
      <c r="E976" s="70"/>
      <c r="F976" s="12"/>
      <c r="G976" s="12"/>
      <c r="H976" s="30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</row>
    <row r="977" spans="1:24" ht="12.75">
      <c r="A977" s="12"/>
      <c r="B977" s="70"/>
      <c r="C977" s="70"/>
      <c r="D977" s="301"/>
      <c r="E977" s="70"/>
      <c r="F977" s="12"/>
      <c r="G977" s="12"/>
      <c r="H977" s="30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</row>
    <row r="978" spans="1:24" ht="12.75">
      <c r="A978" s="12"/>
      <c r="B978" s="70"/>
      <c r="C978" s="70"/>
      <c r="D978" s="301"/>
      <c r="E978" s="70"/>
      <c r="F978" s="12"/>
      <c r="G978" s="12"/>
      <c r="H978" s="30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</row>
    <row r="979" spans="1:24" ht="12.75">
      <c r="A979" s="12"/>
      <c r="B979" s="70"/>
      <c r="C979" s="70"/>
      <c r="D979" s="301"/>
      <c r="E979" s="70"/>
      <c r="F979" s="12"/>
      <c r="G979" s="12"/>
      <c r="H979" s="30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</row>
    <row r="980" spans="1:24" ht="12.75">
      <c r="A980" s="12"/>
      <c r="B980" s="70"/>
      <c r="C980" s="70"/>
      <c r="D980" s="301"/>
      <c r="E980" s="70"/>
      <c r="F980" s="12"/>
      <c r="G980" s="12"/>
      <c r="H980" s="30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</row>
    <row r="981" spans="1:24" ht="12.75">
      <c r="A981" s="12"/>
      <c r="B981" s="70"/>
      <c r="C981" s="70"/>
      <c r="D981" s="301"/>
      <c r="E981" s="70"/>
      <c r="F981" s="12"/>
      <c r="G981" s="12"/>
      <c r="H981" s="30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</row>
    <row r="982" spans="1:24" ht="12.75">
      <c r="A982" s="12"/>
      <c r="B982" s="70"/>
      <c r="C982" s="70"/>
      <c r="D982" s="301"/>
      <c r="E982" s="70"/>
      <c r="F982" s="12"/>
      <c r="G982" s="12"/>
      <c r="H982" s="30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</row>
    <row r="983" spans="1:24" ht="12.75">
      <c r="A983" s="12"/>
      <c r="B983" s="70"/>
      <c r="C983" s="70"/>
      <c r="D983" s="301"/>
      <c r="E983" s="70"/>
      <c r="F983" s="12"/>
      <c r="G983" s="12"/>
      <c r="H983" s="30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</row>
    <row r="984" spans="1:24" ht="12.75">
      <c r="A984" s="12"/>
      <c r="B984" s="70"/>
      <c r="C984" s="70"/>
      <c r="D984" s="301"/>
      <c r="E984" s="70"/>
      <c r="F984" s="12"/>
      <c r="G984" s="12"/>
      <c r="H984" s="30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</row>
    <row r="985" spans="1:24" ht="12.75">
      <c r="A985" s="12"/>
      <c r="B985" s="70"/>
      <c r="C985" s="70"/>
      <c r="D985" s="301"/>
      <c r="E985" s="70"/>
      <c r="F985" s="12"/>
      <c r="G985" s="12"/>
      <c r="H985" s="30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</row>
    <row r="986" spans="1:24" ht="12.75">
      <c r="A986" s="12"/>
      <c r="B986" s="70"/>
      <c r="C986" s="70"/>
      <c r="D986" s="301"/>
      <c r="E986" s="70"/>
      <c r="F986" s="12"/>
      <c r="G986" s="12"/>
      <c r="H986" s="30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</row>
    <row r="987" spans="1:24" ht="12.75">
      <c r="A987" s="12"/>
      <c r="B987" s="70"/>
      <c r="C987" s="70"/>
      <c r="D987" s="301"/>
      <c r="E987" s="70"/>
      <c r="F987" s="12"/>
      <c r="G987" s="12"/>
      <c r="H987" s="30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</row>
    <row r="988" spans="1:24" ht="12.75">
      <c r="A988" s="12"/>
      <c r="B988" s="70"/>
      <c r="C988" s="70"/>
      <c r="D988" s="301"/>
      <c r="E988" s="70"/>
      <c r="F988" s="12"/>
      <c r="G988" s="12"/>
      <c r="H988" s="30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</row>
    <row r="989" spans="1:24" ht="12.75">
      <c r="A989" s="12"/>
      <c r="B989" s="70"/>
      <c r="C989" s="70"/>
      <c r="D989" s="301"/>
      <c r="E989" s="70"/>
      <c r="F989" s="12"/>
      <c r="G989" s="12"/>
      <c r="H989" s="30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</row>
    <row r="990" spans="1:24" ht="12.75">
      <c r="A990" s="12"/>
      <c r="B990" s="70"/>
      <c r="C990" s="70"/>
      <c r="D990" s="301"/>
      <c r="E990" s="70"/>
      <c r="F990" s="12"/>
      <c r="G990" s="12"/>
      <c r="H990" s="30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</row>
    <row r="991" spans="1:24" ht="12.75">
      <c r="A991" s="12"/>
      <c r="B991" s="70"/>
      <c r="C991" s="70"/>
      <c r="D991" s="301"/>
      <c r="E991" s="70"/>
      <c r="F991" s="12"/>
      <c r="G991" s="12"/>
      <c r="H991" s="30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</row>
    <row r="992" spans="1:24" ht="12.75">
      <c r="A992" s="12"/>
      <c r="B992" s="70"/>
      <c r="C992" s="70"/>
      <c r="D992" s="301"/>
      <c r="E992" s="70"/>
      <c r="F992" s="12"/>
      <c r="G992" s="12"/>
      <c r="H992" s="30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</row>
    <row r="993" spans="1:24" ht="12.75">
      <c r="A993" s="12"/>
      <c r="B993" s="70"/>
      <c r="C993" s="70"/>
      <c r="D993" s="301"/>
      <c r="E993" s="70"/>
      <c r="F993" s="12"/>
      <c r="G993" s="12"/>
      <c r="H993" s="30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</row>
    <row r="994" spans="1:24" ht="12.75">
      <c r="A994" s="12"/>
      <c r="B994" s="70"/>
      <c r="C994" s="70"/>
      <c r="D994" s="301"/>
      <c r="E994" s="70"/>
      <c r="F994" s="12"/>
      <c r="G994" s="12"/>
      <c r="H994" s="30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</row>
    <row r="995" spans="1:24" ht="12.75">
      <c r="A995" s="12"/>
      <c r="B995" s="70"/>
      <c r="C995" s="70"/>
      <c r="D995" s="301"/>
      <c r="E995" s="70"/>
      <c r="F995" s="12"/>
      <c r="G995" s="12"/>
      <c r="H995" s="30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</row>
    <row r="996" spans="1:24" ht="12.75">
      <c r="A996" s="12"/>
      <c r="B996" s="70"/>
      <c r="C996" s="70"/>
      <c r="D996" s="301"/>
      <c r="E996" s="70"/>
      <c r="F996" s="12"/>
      <c r="G996" s="12"/>
      <c r="H996" s="30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</row>
    <row r="997" spans="1:24" ht="12.75">
      <c r="A997" s="12"/>
      <c r="B997" s="70"/>
      <c r="C997" s="70"/>
      <c r="D997" s="301"/>
      <c r="E997" s="70"/>
      <c r="F997" s="12"/>
      <c r="G997" s="12"/>
      <c r="H997" s="30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</row>
    <row r="998" spans="1:24" ht="12.75">
      <c r="A998" s="12"/>
      <c r="B998" s="70"/>
      <c r="C998" s="70"/>
      <c r="D998" s="301"/>
      <c r="E998" s="70"/>
      <c r="F998" s="12"/>
      <c r="G998" s="12"/>
      <c r="H998" s="30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</row>
    <row r="999" spans="1:24" ht="12.75">
      <c r="A999" s="12"/>
      <c r="B999" s="70"/>
      <c r="C999" s="70"/>
      <c r="D999" s="301"/>
      <c r="E999" s="70"/>
      <c r="F999" s="12"/>
      <c r="G999" s="12"/>
      <c r="H999" s="30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</row>
    <row r="1000" spans="1:24" ht="12.75">
      <c r="A1000" s="12"/>
      <c r="B1000" s="70"/>
      <c r="C1000" s="70"/>
      <c r="D1000" s="301"/>
      <c r="E1000" s="70"/>
      <c r="F1000" s="12"/>
      <c r="G1000" s="12"/>
      <c r="H1000" s="30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</row>
    <row r="1001" spans="1:24" ht="12.75">
      <c r="A1001" s="12"/>
      <c r="B1001" s="70"/>
      <c r="C1001" s="70"/>
      <c r="D1001" s="301"/>
      <c r="E1001" s="70"/>
      <c r="F1001" s="12"/>
      <c r="G1001" s="12"/>
      <c r="H1001" s="30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</row>
    <row r="1002" spans="1:24" ht="12.75">
      <c r="A1002" s="12"/>
      <c r="B1002" s="70"/>
      <c r="C1002" s="70"/>
      <c r="D1002" s="301"/>
      <c r="E1002" s="70"/>
      <c r="F1002" s="12"/>
      <c r="G1002" s="12"/>
      <c r="H1002" s="30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</row>
    <row r="1003" spans="1:24" ht="12.75">
      <c r="A1003" s="12"/>
      <c r="B1003" s="70"/>
      <c r="C1003" s="70"/>
      <c r="D1003" s="301"/>
      <c r="E1003" s="70"/>
      <c r="F1003" s="12"/>
      <c r="G1003" s="12"/>
      <c r="H1003" s="30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</row>
    <row r="1004" spans="1:24" ht="12.75">
      <c r="A1004" s="12"/>
      <c r="B1004" s="70"/>
      <c r="C1004" s="70"/>
      <c r="D1004" s="301"/>
      <c r="E1004" s="70"/>
      <c r="F1004" s="12"/>
      <c r="G1004" s="12"/>
      <c r="H1004" s="30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</row>
    <row r="1005" spans="1:24" ht="12.75">
      <c r="A1005" s="12"/>
      <c r="B1005" s="70"/>
      <c r="C1005" s="70"/>
      <c r="D1005" s="301"/>
      <c r="E1005" s="70"/>
      <c r="F1005" s="12"/>
      <c r="G1005" s="12"/>
      <c r="H1005" s="30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</row>
    <row r="1006" spans="1:24" ht="12.75">
      <c r="A1006" s="12"/>
      <c r="B1006" s="70"/>
      <c r="C1006" s="70"/>
      <c r="D1006" s="301"/>
      <c r="E1006" s="70"/>
      <c r="F1006" s="12"/>
      <c r="G1006" s="12"/>
      <c r="H1006" s="30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</row>
    <row r="1007" spans="1:24" ht="12.75">
      <c r="A1007" s="12"/>
      <c r="B1007" s="70"/>
      <c r="C1007" s="70"/>
      <c r="D1007" s="301"/>
      <c r="E1007" s="70"/>
      <c r="F1007" s="12"/>
      <c r="G1007" s="12"/>
      <c r="H1007" s="30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</row>
    <row r="1008" spans="1:24" ht="12.75">
      <c r="A1008" s="12"/>
      <c r="B1008" s="70"/>
      <c r="C1008" s="70"/>
      <c r="D1008" s="301"/>
      <c r="E1008" s="70"/>
      <c r="F1008" s="12"/>
      <c r="G1008" s="12"/>
      <c r="H1008" s="30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</row>
    <row r="1009" spans="1:24" ht="12.75">
      <c r="A1009" s="12"/>
      <c r="B1009" s="70"/>
      <c r="C1009" s="70"/>
      <c r="D1009" s="301"/>
      <c r="E1009" s="70"/>
      <c r="F1009" s="12"/>
      <c r="G1009" s="12"/>
      <c r="H1009" s="30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</row>
    <row r="1010" spans="1:24" ht="12.75">
      <c r="A1010" s="12"/>
      <c r="B1010" s="70"/>
      <c r="C1010" s="70"/>
      <c r="D1010" s="301"/>
      <c r="E1010" s="70"/>
      <c r="F1010" s="12"/>
      <c r="G1010" s="12"/>
      <c r="H1010" s="30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</row>
    <row r="1011" spans="1:24" ht="12.75">
      <c r="A1011" s="12"/>
      <c r="B1011" s="70"/>
      <c r="C1011" s="70"/>
      <c r="D1011" s="301"/>
      <c r="E1011" s="70"/>
      <c r="F1011" s="12"/>
      <c r="G1011" s="12"/>
      <c r="H1011" s="30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</row>
    <row r="1012" spans="1:24" ht="12.75">
      <c r="A1012" s="12"/>
      <c r="B1012" s="70"/>
      <c r="C1012" s="70"/>
      <c r="D1012" s="301"/>
      <c r="E1012" s="70"/>
      <c r="F1012" s="12"/>
      <c r="G1012" s="12"/>
      <c r="H1012" s="30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</row>
    <row r="1013" spans="1:24" ht="12.75">
      <c r="A1013" s="12"/>
      <c r="B1013" s="70"/>
      <c r="C1013" s="70"/>
      <c r="D1013" s="301"/>
      <c r="E1013" s="70"/>
      <c r="F1013" s="12"/>
      <c r="G1013" s="12"/>
      <c r="H1013" s="30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</row>
    <row r="1014" spans="1:24" ht="12.75">
      <c r="A1014" s="12"/>
      <c r="B1014" s="70"/>
      <c r="C1014" s="70"/>
      <c r="D1014" s="301"/>
      <c r="E1014" s="70"/>
      <c r="F1014" s="12"/>
      <c r="G1014" s="12"/>
      <c r="H1014" s="30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</row>
    <row r="1015" spans="1:24" ht="12.75">
      <c r="A1015" s="12"/>
      <c r="B1015" s="70"/>
      <c r="C1015" s="70"/>
      <c r="D1015" s="301"/>
      <c r="E1015" s="70"/>
      <c r="F1015" s="12"/>
      <c r="G1015" s="12"/>
      <c r="H1015" s="30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</row>
    <row r="1016" spans="1:24" ht="12.75">
      <c r="A1016" s="12"/>
      <c r="B1016" s="70"/>
      <c r="C1016" s="70"/>
      <c r="D1016" s="301"/>
      <c r="E1016" s="70"/>
      <c r="F1016" s="12"/>
      <c r="G1016" s="12"/>
      <c r="H1016" s="30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</row>
    <row r="1017" spans="1:24" ht="12.75">
      <c r="A1017" s="12"/>
      <c r="B1017" s="70"/>
      <c r="C1017" s="70"/>
      <c r="D1017" s="301"/>
      <c r="E1017" s="70"/>
      <c r="F1017" s="12"/>
      <c r="G1017" s="12"/>
      <c r="H1017" s="30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</row>
    <row r="1018" spans="1:24" ht="12.75">
      <c r="A1018" s="12"/>
      <c r="B1018" s="70"/>
      <c r="C1018" s="70"/>
      <c r="D1018" s="301"/>
      <c r="E1018" s="70"/>
      <c r="F1018" s="12"/>
      <c r="G1018" s="12"/>
      <c r="H1018" s="30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</row>
    <row r="1019" spans="1:24" ht="12.75">
      <c r="A1019" s="12"/>
      <c r="B1019" s="70"/>
      <c r="C1019" s="70"/>
      <c r="D1019" s="301"/>
      <c r="E1019" s="70"/>
      <c r="F1019" s="12"/>
      <c r="G1019" s="12"/>
      <c r="H1019" s="30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</row>
    <row r="1020" spans="1:24" ht="12.75">
      <c r="A1020" s="12"/>
      <c r="B1020" s="70"/>
      <c r="C1020" s="70"/>
      <c r="D1020" s="301"/>
      <c r="E1020" s="70"/>
      <c r="F1020" s="12"/>
      <c r="G1020" s="12"/>
      <c r="H1020" s="30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</row>
    <row r="1021" spans="1:24" ht="12.75">
      <c r="A1021" s="12"/>
      <c r="B1021" s="70"/>
      <c r="C1021" s="70"/>
      <c r="D1021" s="301"/>
      <c r="E1021" s="70"/>
      <c r="F1021" s="12"/>
      <c r="G1021" s="12"/>
      <c r="H1021" s="30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</row>
    <row r="1022" spans="1:24" ht="12.75">
      <c r="A1022" s="12"/>
      <c r="B1022" s="70"/>
      <c r="C1022" s="70"/>
      <c r="D1022" s="301"/>
      <c r="E1022" s="70"/>
      <c r="F1022" s="12"/>
      <c r="G1022" s="12"/>
      <c r="H1022" s="30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</row>
    <row r="1023" spans="1:24" ht="12.75">
      <c r="A1023" s="12"/>
      <c r="B1023" s="70"/>
      <c r="C1023" s="70"/>
      <c r="D1023" s="301"/>
      <c r="E1023" s="70"/>
      <c r="F1023" s="12"/>
      <c r="G1023" s="12"/>
      <c r="H1023" s="30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</row>
    <row r="1024" spans="1:24" ht="12.75">
      <c r="A1024" s="12"/>
      <c r="B1024" s="70"/>
      <c r="C1024" s="70"/>
      <c r="D1024" s="301"/>
      <c r="E1024" s="70"/>
      <c r="F1024" s="12"/>
      <c r="G1024" s="12"/>
      <c r="H1024" s="30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</row>
    <row r="1025" spans="1:24" ht="12.75">
      <c r="A1025" s="12"/>
      <c r="B1025" s="70"/>
      <c r="C1025" s="70"/>
      <c r="D1025" s="301"/>
      <c r="E1025" s="70"/>
      <c r="F1025" s="12"/>
      <c r="G1025" s="12"/>
      <c r="H1025" s="30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</row>
    <row r="1026" spans="1:24" ht="12.75">
      <c r="A1026" s="12"/>
      <c r="B1026" s="70"/>
      <c r="C1026" s="70"/>
      <c r="D1026" s="301"/>
      <c r="E1026" s="70"/>
      <c r="F1026" s="12"/>
      <c r="G1026" s="12"/>
      <c r="H1026" s="30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</row>
    <row r="1027" spans="1:24" ht="12.75">
      <c r="A1027" s="12"/>
      <c r="B1027" s="70"/>
      <c r="C1027" s="70"/>
      <c r="D1027" s="301"/>
      <c r="E1027" s="70"/>
      <c r="F1027" s="12"/>
      <c r="G1027" s="12"/>
      <c r="H1027" s="30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</row>
    <row r="1028" spans="1:24" ht="12.75">
      <c r="A1028" s="12"/>
      <c r="B1028" s="70"/>
      <c r="C1028" s="70"/>
      <c r="D1028" s="301"/>
      <c r="E1028" s="70"/>
      <c r="F1028" s="12"/>
      <c r="G1028" s="12"/>
      <c r="H1028" s="30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</row>
    <row r="1029" spans="1:24" ht="12.75">
      <c r="A1029" s="12"/>
      <c r="B1029" s="70"/>
      <c r="C1029" s="70"/>
      <c r="D1029" s="301"/>
      <c r="E1029" s="70"/>
      <c r="F1029" s="12"/>
      <c r="G1029" s="12"/>
      <c r="H1029" s="30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</row>
    <row r="1030" spans="1:24" ht="12.75">
      <c r="A1030" s="12"/>
      <c r="B1030" s="70"/>
      <c r="C1030" s="70"/>
      <c r="D1030" s="301"/>
      <c r="E1030" s="70"/>
      <c r="F1030" s="12"/>
      <c r="G1030" s="12"/>
      <c r="H1030" s="30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</row>
    <row r="1031" spans="1:24" ht="12.75">
      <c r="A1031" s="12"/>
      <c r="B1031" s="70"/>
      <c r="C1031" s="70"/>
      <c r="D1031" s="301"/>
      <c r="E1031" s="70"/>
      <c r="F1031" s="12"/>
      <c r="G1031" s="12"/>
      <c r="H1031" s="30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</row>
    <row r="1032" spans="1:24" ht="12.75">
      <c r="A1032" s="12"/>
      <c r="B1032" s="70"/>
      <c r="C1032" s="70"/>
      <c r="D1032" s="301"/>
      <c r="E1032" s="70"/>
      <c r="F1032" s="12"/>
      <c r="G1032" s="12"/>
      <c r="H1032" s="30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</row>
    <row r="1033" spans="1:24" ht="12.75">
      <c r="A1033" s="12"/>
      <c r="B1033" s="70"/>
      <c r="C1033" s="70"/>
      <c r="D1033" s="301"/>
      <c r="E1033" s="70"/>
      <c r="F1033" s="12"/>
      <c r="G1033" s="12"/>
      <c r="H1033" s="30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</row>
    <row r="1034" spans="1:24" ht="12.75">
      <c r="A1034" s="12"/>
      <c r="B1034" s="70"/>
      <c r="C1034" s="70"/>
      <c r="D1034" s="301"/>
      <c r="E1034" s="70"/>
      <c r="F1034" s="12"/>
      <c r="G1034" s="12"/>
      <c r="H1034" s="30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</row>
  </sheetData>
  <autoFilter ref="A1:X29" xr:uid="{00000000-0009-0000-0000-00000B000000}">
    <filterColumn colId="5">
      <filters>
        <filter val="Thuny"/>
      </filters>
    </filterColumn>
    <filterColumn colId="6">
      <filters>
        <filter val="Thuny"/>
      </filters>
    </filterColumn>
  </autoFilter>
  <mergeCells count="1">
    <mergeCell ref="A51:F5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J3"/>
  <sheetViews>
    <sheetView workbookViewId="0"/>
  </sheetViews>
  <sheetFormatPr defaultColWidth="12.5703125" defaultRowHeight="15.75" customHeight="1"/>
  <cols>
    <col min="1" max="1" width="3.42578125" customWidth="1"/>
    <col min="2" max="2" width="10.85546875" customWidth="1"/>
    <col min="3" max="3" width="5.42578125" customWidth="1"/>
    <col min="4" max="4" width="6.5703125" customWidth="1"/>
    <col min="5" max="5" width="12.42578125" customWidth="1"/>
    <col min="6" max="6" width="12.7109375" customWidth="1"/>
    <col min="7" max="7" width="7.5703125" customWidth="1"/>
    <col min="8" max="8" width="8.85546875" customWidth="1"/>
    <col min="9" max="9" width="11" customWidth="1"/>
    <col min="10" max="10" width="8.7109375" customWidth="1"/>
  </cols>
  <sheetData>
    <row r="1" spans="1:10">
      <c r="A1" s="12" t="s">
        <v>853</v>
      </c>
      <c r="B1" s="12" t="s">
        <v>854</v>
      </c>
      <c r="C1" s="12" t="s">
        <v>855</v>
      </c>
      <c r="D1" s="12" t="s">
        <v>856</v>
      </c>
      <c r="E1" s="12" t="s">
        <v>857</v>
      </c>
      <c r="F1" s="175" t="s">
        <v>6908</v>
      </c>
      <c r="G1" s="12" t="s">
        <v>859</v>
      </c>
      <c r="H1" s="303" t="s">
        <v>5</v>
      </c>
      <c r="I1" s="12" t="s">
        <v>6909</v>
      </c>
      <c r="J1" s="12" t="s">
        <v>860</v>
      </c>
    </row>
    <row r="2" spans="1:10">
      <c r="A2" s="12">
        <v>1</v>
      </c>
      <c r="B2" s="304">
        <v>45811</v>
      </c>
      <c r="C2" s="12">
        <v>2025</v>
      </c>
      <c r="D2" s="12">
        <v>6</v>
      </c>
      <c r="E2" s="45" t="s">
        <v>2400</v>
      </c>
      <c r="F2" s="12" t="s">
        <v>10</v>
      </c>
      <c r="G2" s="12" t="s">
        <v>16</v>
      </c>
      <c r="H2" s="305">
        <v>1712</v>
      </c>
      <c r="I2" s="12"/>
      <c r="J2" s="12"/>
    </row>
    <row r="3" spans="1:10">
      <c r="A3" s="12">
        <v>2</v>
      </c>
      <c r="B3" s="304">
        <v>45811</v>
      </c>
      <c r="C3" s="12">
        <v>2025</v>
      </c>
      <c r="D3" s="12">
        <v>6</v>
      </c>
      <c r="E3" s="45" t="s">
        <v>2402</v>
      </c>
      <c r="F3" s="12" t="s">
        <v>10</v>
      </c>
      <c r="G3" s="12" t="s">
        <v>16</v>
      </c>
      <c r="H3" s="305">
        <v>1712</v>
      </c>
      <c r="I3" s="12"/>
      <c r="J3" s="12"/>
    </row>
  </sheetData>
  <dataValidations count="1">
    <dataValidation type="list" allowBlank="1" showErrorMessage="1" sqref="E2:E3" xr:uid="{00000000-0002-0000-0C00-000000000000}">
      <formula1>"Peter,Thuny"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4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2.85546875" customWidth="1"/>
    <col min="2" max="2" width="11.85546875" bestFit="1" customWidth="1"/>
    <col min="3" max="3" width="6" customWidth="1"/>
    <col min="4" max="4" width="4.140625" customWidth="1"/>
    <col min="5" max="5" width="11.140625" customWidth="1"/>
    <col min="6" max="6" width="21" customWidth="1"/>
    <col min="7" max="7" width="12.140625" customWidth="1"/>
    <col min="8" max="12" width="10.42578125" customWidth="1"/>
    <col min="13" max="13" width="12.140625" customWidth="1"/>
  </cols>
  <sheetData>
    <row r="1" spans="1:13" ht="25.5" customHeight="1">
      <c r="A1" s="148" t="s">
        <v>853</v>
      </c>
      <c r="B1" s="148" t="s">
        <v>854</v>
      </c>
      <c r="C1" s="148" t="s">
        <v>855</v>
      </c>
      <c r="D1" s="148" t="s">
        <v>856</v>
      </c>
      <c r="E1" s="148" t="s">
        <v>857</v>
      </c>
      <c r="F1" s="148" t="s">
        <v>859</v>
      </c>
      <c r="G1" s="148" t="s">
        <v>4</v>
      </c>
      <c r="H1" s="150" t="s">
        <v>5</v>
      </c>
      <c r="I1" s="148" t="s">
        <v>860</v>
      </c>
      <c r="J1" s="149" t="s">
        <v>6910</v>
      </c>
      <c r="K1" s="149" t="s">
        <v>6911</v>
      </c>
      <c r="L1" s="149" t="s">
        <v>6912</v>
      </c>
      <c r="M1" s="148" t="s">
        <v>6</v>
      </c>
    </row>
    <row r="2" spans="1:13" ht="22.5" customHeight="1">
      <c r="A2" s="153">
        <v>1</v>
      </c>
      <c r="B2" s="154">
        <v>45464</v>
      </c>
      <c r="C2" s="153">
        <f t="shared" ref="C2:C35" si="0">YEAR(B2)</f>
        <v>2024</v>
      </c>
      <c r="D2" s="153">
        <f t="shared" ref="D2:D35" si="1">MONTH(B2)</f>
        <v>6</v>
      </c>
      <c r="E2" s="153" t="s">
        <v>865</v>
      </c>
      <c r="F2" s="157" t="s">
        <v>866</v>
      </c>
      <c r="G2" s="306">
        <v>255</v>
      </c>
      <c r="H2" s="159">
        <v>0</v>
      </c>
      <c r="I2" s="153" t="s">
        <v>867</v>
      </c>
      <c r="J2" s="153"/>
      <c r="K2" s="307">
        <v>2024</v>
      </c>
      <c r="L2" s="307">
        <v>11</v>
      </c>
      <c r="M2" s="308">
        <f t="shared" ref="M2:M35" si="2">IF(I2="已结算",SUM(G2-H2),0)</f>
        <v>255</v>
      </c>
    </row>
    <row r="3" spans="1:13" ht="22.5" customHeight="1">
      <c r="A3" s="153">
        <v>2</v>
      </c>
      <c r="B3" s="154">
        <v>45472</v>
      </c>
      <c r="C3" s="153">
        <f t="shared" si="0"/>
        <v>2024</v>
      </c>
      <c r="D3" s="153">
        <f t="shared" si="1"/>
        <v>6</v>
      </c>
      <c r="E3" s="153" t="s">
        <v>865</v>
      </c>
      <c r="F3" s="157" t="s">
        <v>866</v>
      </c>
      <c r="G3" s="306">
        <v>5.9217000000000004</v>
      </c>
      <c r="H3" s="159">
        <v>0</v>
      </c>
      <c r="I3" s="153" t="s">
        <v>867</v>
      </c>
      <c r="J3" s="153"/>
      <c r="K3" s="307">
        <v>2024</v>
      </c>
      <c r="L3" s="307">
        <v>11</v>
      </c>
      <c r="M3" s="308">
        <f t="shared" si="2"/>
        <v>5.9217000000000004</v>
      </c>
    </row>
    <row r="4" spans="1:13" ht="22.5" customHeight="1">
      <c r="A4" s="153">
        <v>3</v>
      </c>
      <c r="B4" s="154">
        <v>45472</v>
      </c>
      <c r="C4" s="153">
        <f t="shared" si="0"/>
        <v>2024</v>
      </c>
      <c r="D4" s="153">
        <f t="shared" si="1"/>
        <v>6</v>
      </c>
      <c r="E4" s="153" t="s">
        <v>865</v>
      </c>
      <c r="F4" s="157" t="s">
        <v>866</v>
      </c>
      <c r="G4" s="306">
        <v>5.9217000000000004</v>
      </c>
      <c r="H4" s="159">
        <v>0</v>
      </c>
      <c r="I4" s="153" t="s">
        <v>867</v>
      </c>
      <c r="J4" s="153"/>
      <c r="K4" s="307">
        <v>2024</v>
      </c>
      <c r="L4" s="307">
        <v>11</v>
      </c>
      <c r="M4" s="308">
        <f t="shared" si="2"/>
        <v>5.9217000000000004</v>
      </c>
    </row>
    <row r="5" spans="1:13" ht="22.5" customHeight="1">
      <c r="A5" s="153">
        <v>4</v>
      </c>
      <c r="B5" s="154">
        <v>45473</v>
      </c>
      <c r="C5" s="153">
        <f t="shared" si="0"/>
        <v>2024</v>
      </c>
      <c r="D5" s="153">
        <f t="shared" si="1"/>
        <v>6</v>
      </c>
      <c r="E5" s="153" t="s">
        <v>865</v>
      </c>
      <c r="F5" s="157" t="s">
        <v>866</v>
      </c>
      <c r="G5" s="306">
        <v>4.99</v>
      </c>
      <c r="H5" s="159">
        <v>0</v>
      </c>
      <c r="I5" s="153" t="s">
        <v>867</v>
      </c>
      <c r="J5" s="153"/>
      <c r="K5" s="307">
        <v>2024</v>
      </c>
      <c r="L5" s="307">
        <v>11</v>
      </c>
      <c r="M5" s="308">
        <f t="shared" si="2"/>
        <v>4.99</v>
      </c>
    </row>
    <row r="6" spans="1:13" ht="22.5" customHeight="1">
      <c r="A6" s="153">
        <v>5</v>
      </c>
      <c r="B6" s="309">
        <v>45475</v>
      </c>
      <c r="C6" s="153">
        <f t="shared" si="0"/>
        <v>2024</v>
      </c>
      <c r="D6" s="153">
        <f t="shared" si="1"/>
        <v>7</v>
      </c>
      <c r="E6" s="153" t="s">
        <v>865</v>
      </c>
      <c r="F6" s="310" t="s">
        <v>6913</v>
      </c>
      <c r="G6" s="306">
        <v>0</v>
      </c>
      <c r="H6" s="311">
        <v>1180.8699999999999</v>
      </c>
      <c r="I6" s="153" t="s">
        <v>867</v>
      </c>
      <c r="J6" s="153"/>
      <c r="K6" s="307">
        <v>2024</v>
      </c>
      <c r="L6" s="307">
        <v>11</v>
      </c>
      <c r="M6" s="308">
        <f t="shared" si="2"/>
        <v>-1180.8699999999999</v>
      </c>
    </row>
    <row r="7" spans="1:13" ht="22.5" customHeight="1">
      <c r="A7" s="153">
        <v>6</v>
      </c>
      <c r="B7" s="154">
        <v>45481</v>
      </c>
      <c r="C7" s="153">
        <f t="shared" si="0"/>
        <v>2024</v>
      </c>
      <c r="D7" s="153">
        <f t="shared" si="1"/>
        <v>7</v>
      </c>
      <c r="E7" s="153" t="s">
        <v>865</v>
      </c>
      <c r="F7" s="157" t="s">
        <v>866</v>
      </c>
      <c r="G7" s="306">
        <v>1.98</v>
      </c>
      <c r="H7" s="159">
        <v>0</v>
      </c>
      <c r="I7" s="153" t="s">
        <v>867</v>
      </c>
      <c r="J7" s="153"/>
      <c r="K7" s="307">
        <v>2024</v>
      </c>
      <c r="L7" s="307">
        <v>11</v>
      </c>
      <c r="M7" s="308">
        <f t="shared" si="2"/>
        <v>1.98</v>
      </c>
    </row>
    <row r="8" spans="1:13" ht="22.5" customHeight="1">
      <c r="A8" s="153">
        <v>7</v>
      </c>
      <c r="B8" s="154">
        <v>45482</v>
      </c>
      <c r="C8" s="153">
        <f t="shared" si="0"/>
        <v>2024</v>
      </c>
      <c r="D8" s="153">
        <f t="shared" si="1"/>
        <v>7</v>
      </c>
      <c r="E8" s="153" t="s">
        <v>865</v>
      </c>
      <c r="F8" s="157" t="s">
        <v>866</v>
      </c>
      <c r="G8" s="306">
        <v>1.98</v>
      </c>
      <c r="H8" s="159">
        <v>0</v>
      </c>
      <c r="I8" s="153" t="s">
        <v>867</v>
      </c>
      <c r="J8" s="153"/>
      <c r="K8" s="307">
        <v>2024</v>
      </c>
      <c r="L8" s="307">
        <v>11</v>
      </c>
      <c r="M8" s="308">
        <f t="shared" si="2"/>
        <v>1.98</v>
      </c>
    </row>
    <row r="9" spans="1:13" ht="22.5" customHeight="1">
      <c r="A9" s="153">
        <v>8</v>
      </c>
      <c r="B9" s="154">
        <v>45483</v>
      </c>
      <c r="C9" s="153">
        <f t="shared" si="0"/>
        <v>2024</v>
      </c>
      <c r="D9" s="153">
        <f t="shared" si="1"/>
        <v>7</v>
      </c>
      <c r="E9" s="153" t="s">
        <v>865</v>
      </c>
      <c r="F9" s="157" t="s">
        <v>866</v>
      </c>
      <c r="G9" s="306">
        <v>300</v>
      </c>
      <c r="H9" s="159">
        <v>0</v>
      </c>
      <c r="I9" s="153" t="s">
        <v>867</v>
      </c>
      <c r="J9" s="153"/>
      <c r="K9" s="307">
        <v>2024</v>
      </c>
      <c r="L9" s="307">
        <v>11</v>
      </c>
      <c r="M9" s="308">
        <f t="shared" si="2"/>
        <v>300</v>
      </c>
    </row>
    <row r="10" spans="1:13" ht="22.5" customHeight="1">
      <c r="A10" s="153">
        <v>9</v>
      </c>
      <c r="B10" s="154">
        <v>45484</v>
      </c>
      <c r="C10" s="153">
        <f t="shared" si="0"/>
        <v>2024</v>
      </c>
      <c r="D10" s="153">
        <f t="shared" si="1"/>
        <v>7</v>
      </c>
      <c r="E10" s="153" t="s">
        <v>865</v>
      </c>
      <c r="F10" s="157" t="s">
        <v>866</v>
      </c>
      <c r="G10" s="306">
        <v>1.98</v>
      </c>
      <c r="H10" s="159">
        <v>0</v>
      </c>
      <c r="I10" s="153" t="s">
        <v>867</v>
      </c>
      <c r="J10" s="153"/>
      <c r="K10" s="307">
        <v>2024</v>
      </c>
      <c r="L10" s="307">
        <v>11</v>
      </c>
      <c r="M10" s="308">
        <f t="shared" si="2"/>
        <v>1.98</v>
      </c>
    </row>
    <row r="11" spans="1:13" ht="22.5" customHeight="1">
      <c r="A11" s="153">
        <v>10</v>
      </c>
      <c r="B11" s="309">
        <v>45504</v>
      </c>
      <c r="C11" s="153">
        <f t="shared" si="0"/>
        <v>2024</v>
      </c>
      <c r="D11" s="153">
        <f t="shared" si="1"/>
        <v>7</v>
      </c>
      <c r="E11" s="153" t="s">
        <v>865</v>
      </c>
      <c r="F11" s="310" t="s">
        <v>6913</v>
      </c>
      <c r="G11" s="306">
        <v>0</v>
      </c>
      <c r="H11" s="159">
        <v>886.28</v>
      </c>
      <c r="I11" s="153" t="s">
        <v>867</v>
      </c>
      <c r="J11" s="153"/>
      <c r="K11" s="307">
        <v>2024</v>
      </c>
      <c r="L11" s="307">
        <v>11</v>
      </c>
      <c r="M11" s="308">
        <f t="shared" si="2"/>
        <v>-886.28</v>
      </c>
    </row>
    <row r="12" spans="1:13" ht="22.5" customHeight="1">
      <c r="A12" s="153">
        <v>11</v>
      </c>
      <c r="B12" s="154">
        <v>45597</v>
      </c>
      <c r="C12" s="153">
        <f t="shared" si="0"/>
        <v>2024</v>
      </c>
      <c r="D12" s="153">
        <f t="shared" si="1"/>
        <v>11</v>
      </c>
      <c r="E12" s="153" t="s">
        <v>865</v>
      </c>
      <c r="F12" s="157" t="s">
        <v>866</v>
      </c>
      <c r="G12" s="306">
        <v>2.9929999999999999</v>
      </c>
      <c r="H12" s="159">
        <v>0</v>
      </c>
      <c r="I12" s="153" t="s">
        <v>867</v>
      </c>
      <c r="J12" s="153"/>
      <c r="K12" s="307">
        <v>2024</v>
      </c>
      <c r="L12" s="307">
        <v>11</v>
      </c>
      <c r="M12" s="308">
        <f t="shared" si="2"/>
        <v>2.9929999999999999</v>
      </c>
    </row>
    <row r="13" spans="1:13" ht="22.5" customHeight="1">
      <c r="A13" s="153">
        <v>12</v>
      </c>
      <c r="B13" s="154">
        <v>45513</v>
      </c>
      <c r="C13" s="153">
        <f t="shared" si="0"/>
        <v>2024</v>
      </c>
      <c r="D13" s="153">
        <f t="shared" si="1"/>
        <v>8</v>
      </c>
      <c r="E13" s="153" t="s">
        <v>865</v>
      </c>
      <c r="F13" s="157" t="s">
        <v>866</v>
      </c>
      <c r="G13" s="306">
        <v>500</v>
      </c>
      <c r="H13" s="159">
        <v>0</v>
      </c>
      <c r="I13" s="153" t="s">
        <v>867</v>
      </c>
      <c r="J13" s="153"/>
      <c r="K13" s="307">
        <v>2024</v>
      </c>
      <c r="L13" s="307">
        <v>11</v>
      </c>
      <c r="M13" s="308">
        <f t="shared" si="2"/>
        <v>500</v>
      </c>
    </row>
    <row r="14" spans="1:13" ht="22.5" customHeight="1">
      <c r="A14" s="153">
        <v>13</v>
      </c>
      <c r="B14" s="154">
        <v>45527</v>
      </c>
      <c r="C14" s="153">
        <f t="shared" si="0"/>
        <v>2024</v>
      </c>
      <c r="D14" s="153">
        <f t="shared" si="1"/>
        <v>8</v>
      </c>
      <c r="E14" s="153" t="s">
        <v>865</v>
      </c>
      <c r="F14" s="157" t="s">
        <v>866</v>
      </c>
      <c r="G14" s="306">
        <v>7.99</v>
      </c>
      <c r="H14" s="159">
        <v>0</v>
      </c>
      <c r="I14" s="153" t="s">
        <v>867</v>
      </c>
      <c r="J14" s="153"/>
      <c r="K14" s="307">
        <v>2024</v>
      </c>
      <c r="L14" s="307">
        <v>11</v>
      </c>
      <c r="M14" s="308">
        <f t="shared" si="2"/>
        <v>7.99</v>
      </c>
    </row>
    <row r="15" spans="1:13" ht="22.5" customHeight="1">
      <c r="A15" s="153">
        <v>14</v>
      </c>
      <c r="B15" s="154">
        <v>45529</v>
      </c>
      <c r="C15" s="153">
        <f t="shared" si="0"/>
        <v>2024</v>
      </c>
      <c r="D15" s="153">
        <f t="shared" si="1"/>
        <v>8</v>
      </c>
      <c r="E15" s="153" t="s">
        <v>865</v>
      </c>
      <c r="F15" s="157" t="s">
        <v>866</v>
      </c>
      <c r="G15" s="306">
        <v>16.989999999999998</v>
      </c>
      <c r="H15" s="159">
        <v>0</v>
      </c>
      <c r="I15" s="153" t="s">
        <v>867</v>
      </c>
      <c r="J15" s="153"/>
      <c r="K15" s="307">
        <v>2024</v>
      </c>
      <c r="L15" s="307">
        <v>11</v>
      </c>
      <c r="M15" s="308">
        <f t="shared" si="2"/>
        <v>16.989999999999998</v>
      </c>
    </row>
    <row r="16" spans="1:13" ht="22.5" customHeight="1">
      <c r="A16" s="153">
        <v>15</v>
      </c>
      <c r="B16" s="154">
        <v>45540</v>
      </c>
      <c r="C16" s="153">
        <f t="shared" si="0"/>
        <v>2024</v>
      </c>
      <c r="D16" s="153">
        <f t="shared" si="1"/>
        <v>9</v>
      </c>
      <c r="E16" s="153" t="s">
        <v>865</v>
      </c>
      <c r="F16" s="157" t="s">
        <v>866</v>
      </c>
      <c r="G16" s="306">
        <v>87.89</v>
      </c>
      <c r="H16" s="159">
        <v>0</v>
      </c>
      <c r="I16" s="153" t="s">
        <v>867</v>
      </c>
      <c r="J16" s="153"/>
      <c r="K16" s="307">
        <v>2024</v>
      </c>
      <c r="L16" s="307">
        <v>11</v>
      </c>
      <c r="M16" s="308">
        <f t="shared" si="2"/>
        <v>87.89</v>
      </c>
    </row>
    <row r="17" spans="1:13" ht="22.5" customHeight="1">
      <c r="A17" s="153">
        <v>16</v>
      </c>
      <c r="B17" s="154">
        <v>45544</v>
      </c>
      <c r="C17" s="153">
        <f t="shared" si="0"/>
        <v>2024</v>
      </c>
      <c r="D17" s="153">
        <f t="shared" si="1"/>
        <v>9</v>
      </c>
      <c r="E17" s="153" t="s">
        <v>865</v>
      </c>
      <c r="F17" s="157" t="s">
        <v>866</v>
      </c>
      <c r="G17" s="306">
        <v>500</v>
      </c>
      <c r="H17" s="159">
        <v>0</v>
      </c>
      <c r="I17" s="153" t="s">
        <v>867</v>
      </c>
      <c r="J17" s="153"/>
      <c r="K17" s="307">
        <v>2024</v>
      </c>
      <c r="L17" s="307">
        <v>11</v>
      </c>
      <c r="M17" s="308">
        <f t="shared" si="2"/>
        <v>500</v>
      </c>
    </row>
    <row r="18" spans="1:13" ht="22.5" customHeight="1">
      <c r="A18" s="153">
        <v>17</v>
      </c>
      <c r="B18" s="154">
        <v>45545</v>
      </c>
      <c r="C18" s="153">
        <f t="shared" si="0"/>
        <v>2024</v>
      </c>
      <c r="D18" s="153">
        <f t="shared" si="1"/>
        <v>9</v>
      </c>
      <c r="E18" s="153" t="s">
        <v>865</v>
      </c>
      <c r="F18" s="157" t="s">
        <v>866</v>
      </c>
      <c r="G18" s="306">
        <v>7.99</v>
      </c>
      <c r="H18" s="159">
        <v>0</v>
      </c>
      <c r="I18" s="153" t="s">
        <v>867</v>
      </c>
      <c r="J18" s="153"/>
      <c r="K18" s="307">
        <v>2024</v>
      </c>
      <c r="L18" s="307">
        <v>11</v>
      </c>
      <c r="M18" s="308">
        <f t="shared" si="2"/>
        <v>7.99</v>
      </c>
    </row>
    <row r="19" spans="1:13" ht="22.5" customHeight="1">
      <c r="A19" s="153">
        <v>18</v>
      </c>
      <c r="B19" s="154">
        <v>45545</v>
      </c>
      <c r="C19" s="153">
        <f t="shared" si="0"/>
        <v>2024</v>
      </c>
      <c r="D19" s="153">
        <f t="shared" si="1"/>
        <v>9</v>
      </c>
      <c r="E19" s="153" t="s">
        <v>6914</v>
      </c>
      <c r="F19" s="157" t="s">
        <v>6915</v>
      </c>
      <c r="G19" s="306">
        <v>0</v>
      </c>
      <c r="H19" s="159">
        <v>1271.46</v>
      </c>
      <c r="I19" s="153" t="s">
        <v>867</v>
      </c>
      <c r="J19" s="153"/>
      <c r="K19" s="307">
        <v>2024</v>
      </c>
      <c r="L19" s="307">
        <v>11</v>
      </c>
      <c r="M19" s="308">
        <f t="shared" si="2"/>
        <v>-1271.46</v>
      </c>
    </row>
    <row r="20" spans="1:13" ht="22.5" customHeight="1">
      <c r="A20" s="153">
        <v>19</v>
      </c>
      <c r="B20" s="154">
        <v>45546</v>
      </c>
      <c r="C20" s="153">
        <f t="shared" si="0"/>
        <v>2024</v>
      </c>
      <c r="D20" s="153">
        <f t="shared" si="1"/>
        <v>9</v>
      </c>
      <c r="E20" s="153" t="s">
        <v>6914</v>
      </c>
      <c r="F20" s="157" t="s">
        <v>6916</v>
      </c>
      <c r="G20" s="306">
        <v>0</v>
      </c>
      <c r="H20" s="159">
        <v>441.28</v>
      </c>
      <c r="I20" s="153" t="s">
        <v>867</v>
      </c>
      <c r="J20" s="153"/>
      <c r="K20" s="307">
        <v>2024</v>
      </c>
      <c r="L20" s="307">
        <v>11</v>
      </c>
      <c r="M20" s="308">
        <f t="shared" si="2"/>
        <v>-441.28</v>
      </c>
    </row>
    <row r="21" spans="1:13" ht="22.5" customHeight="1">
      <c r="A21" s="153">
        <v>20</v>
      </c>
      <c r="B21" s="154">
        <v>45563</v>
      </c>
      <c r="C21" s="153">
        <f t="shared" si="0"/>
        <v>2024</v>
      </c>
      <c r="D21" s="153">
        <f t="shared" si="1"/>
        <v>9</v>
      </c>
      <c r="E21" s="153" t="s">
        <v>865</v>
      </c>
      <c r="F21" s="157" t="s">
        <v>866</v>
      </c>
      <c r="G21" s="306">
        <v>4.9843000000000002</v>
      </c>
      <c r="H21" s="159">
        <v>0</v>
      </c>
      <c r="I21" s="153" t="s">
        <v>867</v>
      </c>
      <c r="J21" s="153"/>
      <c r="K21" s="307">
        <v>2024</v>
      </c>
      <c r="L21" s="307">
        <v>11</v>
      </c>
      <c r="M21" s="308">
        <f t="shared" si="2"/>
        <v>4.9843000000000002</v>
      </c>
    </row>
    <row r="22" spans="1:13" ht="22.5" customHeight="1">
      <c r="A22" s="153">
        <v>21</v>
      </c>
      <c r="B22" s="154">
        <v>45565</v>
      </c>
      <c r="C22" s="153">
        <f t="shared" si="0"/>
        <v>2024</v>
      </c>
      <c r="D22" s="153">
        <f t="shared" si="1"/>
        <v>9</v>
      </c>
      <c r="E22" s="153" t="s">
        <v>865</v>
      </c>
      <c r="F22" s="157" t="s">
        <v>866</v>
      </c>
      <c r="G22" s="306">
        <v>7.9801000000000002</v>
      </c>
      <c r="H22" s="159">
        <v>0</v>
      </c>
      <c r="I22" s="153" t="s">
        <v>867</v>
      </c>
      <c r="J22" s="153"/>
      <c r="K22" s="307">
        <v>2024</v>
      </c>
      <c r="L22" s="307">
        <v>11</v>
      </c>
      <c r="M22" s="308">
        <f t="shared" si="2"/>
        <v>7.9801000000000002</v>
      </c>
    </row>
    <row r="23" spans="1:13" ht="22.5" customHeight="1">
      <c r="A23" s="153">
        <v>22</v>
      </c>
      <c r="B23" s="154">
        <v>45570</v>
      </c>
      <c r="C23" s="153">
        <f t="shared" si="0"/>
        <v>2024</v>
      </c>
      <c r="D23" s="153">
        <f t="shared" si="1"/>
        <v>10</v>
      </c>
      <c r="E23" s="153" t="s">
        <v>865</v>
      </c>
      <c r="F23" s="157" t="s">
        <v>866</v>
      </c>
      <c r="G23" s="306">
        <v>7.99</v>
      </c>
      <c r="H23" s="159">
        <v>0</v>
      </c>
      <c r="I23" s="153" t="s">
        <v>867</v>
      </c>
      <c r="J23" s="153"/>
      <c r="K23" s="307">
        <v>2024</v>
      </c>
      <c r="L23" s="307">
        <v>11</v>
      </c>
      <c r="M23" s="308">
        <f t="shared" si="2"/>
        <v>7.99</v>
      </c>
    </row>
    <row r="24" spans="1:13" ht="22.5" customHeight="1">
      <c r="A24" s="153">
        <v>23</v>
      </c>
      <c r="B24" s="154">
        <v>45575</v>
      </c>
      <c r="C24" s="153">
        <f t="shared" si="0"/>
        <v>2024</v>
      </c>
      <c r="D24" s="153">
        <f t="shared" si="1"/>
        <v>10</v>
      </c>
      <c r="E24" s="153" t="s">
        <v>865</v>
      </c>
      <c r="F24" s="157" t="s">
        <v>866</v>
      </c>
      <c r="G24" s="306">
        <v>500</v>
      </c>
      <c r="H24" s="159">
        <v>0</v>
      </c>
      <c r="I24" s="153" t="s">
        <v>867</v>
      </c>
      <c r="J24" s="153"/>
      <c r="K24" s="307">
        <v>2024</v>
      </c>
      <c r="L24" s="307">
        <v>11</v>
      </c>
      <c r="M24" s="308">
        <f t="shared" si="2"/>
        <v>500</v>
      </c>
    </row>
    <row r="25" spans="1:13" ht="22.5" customHeight="1">
      <c r="A25" s="153">
        <v>24</v>
      </c>
      <c r="B25" s="154">
        <v>45576</v>
      </c>
      <c r="C25" s="153">
        <f t="shared" si="0"/>
        <v>2024</v>
      </c>
      <c r="D25" s="153">
        <f t="shared" si="1"/>
        <v>10</v>
      </c>
      <c r="E25" s="153" t="s">
        <v>6914</v>
      </c>
      <c r="F25" s="157" t="s">
        <v>6916</v>
      </c>
      <c r="G25" s="306">
        <v>0</v>
      </c>
      <c r="H25" s="159">
        <v>445.2</v>
      </c>
      <c r="I25" s="153" t="s">
        <v>867</v>
      </c>
      <c r="J25" s="153"/>
      <c r="K25" s="307">
        <v>2024</v>
      </c>
      <c r="L25" s="307">
        <v>11</v>
      </c>
      <c r="M25" s="308">
        <f t="shared" si="2"/>
        <v>-445.2</v>
      </c>
    </row>
    <row r="26" spans="1:13" ht="22.5" customHeight="1">
      <c r="A26" s="153">
        <v>25</v>
      </c>
      <c r="B26" s="154">
        <v>45576</v>
      </c>
      <c r="C26" s="153">
        <f t="shared" si="0"/>
        <v>2024</v>
      </c>
      <c r="D26" s="153">
        <f t="shared" si="1"/>
        <v>10</v>
      </c>
      <c r="E26" s="153" t="s">
        <v>865</v>
      </c>
      <c r="F26" s="157" t="s">
        <v>866</v>
      </c>
      <c r="G26" s="306">
        <v>17.032599999999999</v>
      </c>
      <c r="H26" s="159">
        <v>0</v>
      </c>
      <c r="I26" s="153" t="s">
        <v>867</v>
      </c>
      <c r="J26" s="153"/>
      <c r="K26" s="307">
        <v>2024</v>
      </c>
      <c r="L26" s="307">
        <v>11</v>
      </c>
      <c r="M26" s="308">
        <f t="shared" si="2"/>
        <v>17.032599999999999</v>
      </c>
    </row>
    <row r="27" spans="1:13" ht="22.5" customHeight="1">
      <c r="A27" s="153">
        <v>26</v>
      </c>
      <c r="B27" s="154">
        <v>45581</v>
      </c>
      <c r="C27" s="153">
        <f t="shared" si="0"/>
        <v>2024</v>
      </c>
      <c r="D27" s="153">
        <f t="shared" si="1"/>
        <v>10</v>
      </c>
      <c r="E27" s="153" t="s">
        <v>865</v>
      </c>
      <c r="F27" s="157" t="s">
        <v>866</v>
      </c>
      <c r="G27" s="306">
        <v>32.917099999999998</v>
      </c>
      <c r="H27" s="159">
        <v>0</v>
      </c>
      <c r="I27" s="153" t="s">
        <v>867</v>
      </c>
      <c r="J27" s="153"/>
      <c r="K27" s="307">
        <v>2024</v>
      </c>
      <c r="L27" s="307">
        <v>11</v>
      </c>
      <c r="M27" s="308">
        <f t="shared" si="2"/>
        <v>32.917099999999998</v>
      </c>
    </row>
    <row r="28" spans="1:13" ht="22.5" customHeight="1">
      <c r="A28" s="153">
        <v>27</v>
      </c>
      <c r="B28" s="154">
        <v>45588</v>
      </c>
      <c r="C28" s="153">
        <f t="shared" si="0"/>
        <v>2024</v>
      </c>
      <c r="D28" s="153">
        <f t="shared" si="1"/>
        <v>10</v>
      </c>
      <c r="E28" s="153" t="s">
        <v>865</v>
      </c>
      <c r="F28" s="157" t="s">
        <v>866</v>
      </c>
      <c r="G28" s="306">
        <v>200</v>
      </c>
      <c r="H28" s="159">
        <v>0</v>
      </c>
      <c r="I28" s="153" t="s">
        <v>867</v>
      </c>
      <c r="J28" s="153"/>
      <c r="K28" s="307">
        <v>2024</v>
      </c>
      <c r="L28" s="307">
        <v>11</v>
      </c>
      <c r="M28" s="308">
        <f t="shared" si="2"/>
        <v>200</v>
      </c>
    </row>
    <row r="29" spans="1:13" ht="22.5" customHeight="1">
      <c r="A29" s="153">
        <v>28</v>
      </c>
      <c r="B29" s="154">
        <v>45592</v>
      </c>
      <c r="C29" s="153">
        <f t="shared" si="0"/>
        <v>2024</v>
      </c>
      <c r="D29" s="153">
        <f t="shared" si="1"/>
        <v>10</v>
      </c>
      <c r="E29" s="153" t="s">
        <v>865</v>
      </c>
      <c r="F29" s="157" t="s">
        <v>866</v>
      </c>
      <c r="G29" s="306">
        <v>197.65280000000001</v>
      </c>
      <c r="H29" s="159">
        <v>0</v>
      </c>
      <c r="I29" s="153" t="s">
        <v>867</v>
      </c>
      <c r="J29" s="153"/>
      <c r="K29" s="307">
        <v>2024</v>
      </c>
      <c r="L29" s="307">
        <v>11</v>
      </c>
      <c r="M29" s="308">
        <f t="shared" si="2"/>
        <v>197.65280000000001</v>
      </c>
    </row>
    <row r="30" spans="1:13" ht="22.5" customHeight="1">
      <c r="A30" s="153">
        <v>29</v>
      </c>
      <c r="B30" s="154">
        <v>45593</v>
      </c>
      <c r="C30" s="153">
        <f t="shared" si="0"/>
        <v>2024</v>
      </c>
      <c r="D30" s="153">
        <f t="shared" si="1"/>
        <v>10</v>
      </c>
      <c r="E30" s="153" t="s">
        <v>865</v>
      </c>
      <c r="F30" s="157" t="s">
        <v>866</v>
      </c>
      <c r="G30" s="306">
        <v>40</v>
      </c>
      <c r="H30" s="159">
        <v>0</v>
      </c>
      <c r="I30" s="153" t="s">
        <v>867</v>
      </c>
      <c r="J30" s="153"/>
      <c r="K30" s="307">
        <v>2024</v>
      </c>
      <c r="L30" s="307">
        <v>11</v>
      </c>
      <c r="M30" s="308">
        <f t="shared" si="2"/>
        <v>40</v>
      </c>
    </row>
    <row r="31" spans="1:13" ht="22.5" customHeight="1">
      <c r="A31" s="153">
        <v>30</v>
      </c>
      <c r="B31" s="154">
        <v>45593</v>
      </c>
      <c r="C31" s="153">
        <f t="shared" si="0"/>
        <v>2024</v>
      </c>
      <c r="D31" s="153">
        <f t="shared" si="1"/>
        <v>10</v>
      </c>
      <c r="E31" s="153" t="s">
        <v>865</v>
      </c>
      <c r="F31" s="157" t="s">
        <v>866</v>
      </c>
      <c r="G31" s="306">
        <v>7.99</v>
      </c>
      <c r="H31" s="159">
        <v>0</v>
      </c>
      <c r="I31" s="153" t="s">
        <v>867</v>
      </c>
      <c r="J31" s="153"/>
      <c r="K31" s="307">
        <v>2024</v>
      </c>
      <c r="L31" s="307">
        <v>11</v>
      </c>
      <c r="M31" s="308">
        <f t="shared" si="2"/>
        <v>7.99</v>
      </c>
    </row>
    <row r="32" spans="1:13" ht="22.5" customHeight="1">
      <c r="A32" s="153">
        <v>31</v>
      </c>
      <c r="B32" s="154">
        <v>45596</v>
      </c>
      <c r="C32" s="153">
        <f t="shared" si="0"/>
        <v>2024</v>
      </c>
      <c r="D32" s="153">
        <f t="shared" si="1"/>
        <v>10</v>
      </c>
      <c r="E32" s="153" t="s">
        <v>865</v>
      </c>
      <c r="F32" s="157" t="s">
        <v>866</v>
      </c>
      <c r="G32" s="306">
        <v>3.2921</v>
      </c>
      <c r="H32" s="159">
        <v>0</v>
      </c>
      <c r="I32" s="153" t="s">
        <v>867</v>
      </c>
      <c r="J32" s="153"/>
      <c r="K32" s="307">
        <v>2024</v>
      </c>
      <c r="L32" s="307">
        <v>11</v>
      </c>
      <c r="M32" s="308">
        <f t="shared" si="2"/>
        <v>3.2921</v>
      </c>
    </row>
    <row r="33" spans="1:13" ht="22.5" customHeight="1">
      <c r="A33" s="153">
        <v>32</v>
      </c>
      <c r="B33" s="312">
        <v>45598</v>
      </c>
      <c r="C33" s="153">
        <f t="shared" si="0"/>
        <v>2024</v>
      </c>
      <c r="D33" s="153">
        <f t="shared" si="1"/>
        <v>11</v>
      </c>
      <c r="E33" s="313" t="s">
        <v>6917</v>
      </c>
      <c r="F33" s="310" t="s">
        <v>6918</v>
      </c>
      <c r="G33" s="314">
        <v>0</v>
      </c>
      <c r="H33" s="315">
        <v>41</v>
      </c>
      <c r="I33" s="153" t="s">
        <v>867</v>
      </c>
      <c r="J33" s="316" t="s">
        <v>2464</v>
      </c>
      <c r="K33" s="307">
        <v>2024</v>
      </c>
      <c r="L33" s="307">
        <v>11</v>
      </c>
      <c r="M33" s="308">
        <f t="shared" si="2"/>
        <v>-41</v>
      </c>
    </row>
    <row r="34" spans="1:13" ht="22.5" customHeight="1">
      <c r="A34" s="153">
        <v>33</v>
      </c>
      <c r="B34" s="317">
        <v>45601</v>
      </c>
      <c r="C34" s="153">
        <f t="shared" si="0"/>
        <v>2024</v>
      </c>
      <c r="D34" s="153">
        <f t="shared" si="1"/>
        <v>11</v>
      </c>
      <c r="E34" s="153" t="s">
        <v>865</v>
      </c>
      <c r="F34" s="310" t="s">
        <v>6913</v>
      </c>
      <c r="G34" s="314">
        <v>0</v>
      </c>
      <c r="H34" s="315">
        <v>443.17</v>
      </c>
      <c r="I34" s="153" t="s">
        <v>867</v>
      </c>
      <c r="J34" s="153" t="s">
        <v>6919</v>
      </c>
      <c r="K34" s="307">
        <v>2024</v>
      </c>
      <c r="L34" s="307">
        <v>11</v>
      </c>
      <c r="M34" s="308">
        <f t="shared" si="2"/>
        <v>-443.17</v>
      </c>
    </row>
    <row r="35" spans="1:13" ht="22.5" customHeight="1">
      <c r="A35" s="153">
        <v>34</v>
      </c>
      <c r="B35" s="312">
        <v>45628</v>
      </c>
      <c r="C35" s="153">
        <f t="shared" si="0"/>
        <v>2024</v>
      </c>
      <c r="D35" s="153">
        <f t="shared" si="1"/>
        <v>12</v>
      </c>
      <c r="E35" s="313" t="s">
        <v>6917</v>
      </c>
      <c r="F35" s="310" t="s">
        <v>6918</v>
      </c>
      <c r="G35" s="314">
        <v>0</v>
      </c>
      <c r="H35" s="315">
        <v>62.8</v>
      </c>
      <c r="I35" s="153" t="s">
        <v>867</v>
      </c>
      <c r="J35" s="316" t="s">
        <v>2464</v>
      </c>
      <c r="K35" s="307">
        <v>2024</v>
      </c>
      <c r="L35" s="307">
        <v>12</v>
      </c>
      <c r="M35" s="308">
        <f t="shared" si="2"/>
        <v>-62.8</v>
      </c>
    </row>
    <row r="36" spans="1:13" ht="22.5" customHeight="1">
      <c r="A36" s="318"/>
      <c r="B36" s="319"/>
      <c r="C36" s="318"/>
      <c r="D36" s="318"/>
      <c r="E36" s="318"/>
      <c r="F36" s="318"/>
      <c r="G36" s="320"/>
      <c r="H36" s="321"/>
      <c r="I36" s="318"/>
      <c r="J36" s="318"/>
      <c r="K36" s="318"/>
      <c r="L36" s="318"/>
      <c r="M36" s="318"/>
    </row>
    <row r="37" spans="1:13" ht="22.5" customHeight="1">
      <c r="A37" s="318"/>
      <c r="B37" s="319"/>
      <c r="C37" s="318"/>
      <c r="D37" s="318"/>
      <c r="E37" s="318"/>
      <c r="F37" s="318"/>
      <c r="G37" s="320"/>
      <c r="H37" s="321"/>
      <c r="I37" s="318"/>
      <c r="J37" s="318"/>
      <c r="K37" s="318"/>
      <c r="L37" s="318"/>
      <c r="M37" s="318"/>
    </row>
    <row r="38" spans="1:13" ht="22.5" customHeight="1">
      <c r="A38" s="318"/>
      <c r="B38" s="319"/>
      <c r="C38" s="318"/>
      <c r="D38" s="318"/>
      <c r="E38" s="318"/>
      <c r="F38" s="318"/>
      <c r="G38" s="320"/>
      <c r="H38" s="321"/>
      <c r="I38" s="318"/>
      <c r="J38" s="318"/>
      <c r="K38" s="318"/>
      <c r="L38" s="318"/>
      <c r="M38" s="318"/>
    </row>
    <row r="39" spans="1:13" ht="22.5" customHeight="1">
      <c r="A39" s="318"/>
      <c r="B39" s="319"/>
      <c r="C39" s="318"/>
      <c r="D39" s="318"/>
      <c r="E39" s="318"/>
      <c r="F39" s="318"/>
      <c r="G39" s="320"/>
      <c r="H39" s="321"/>
      <c r="I39" s="318"/>
      <c r="J39" s="318"/>
      <c r="K39" s="318"/>
      <c r="L39" s="318"/>
      <c r="M39" s="318"/>
    </row>
    <row r="40" spans="1:13" ht="22.5" customHeight="1">
      <c r="A40" s="318"/>
      <c r="B40" s="319"/>
      <c r="C40" s="318"/>
      <c r="D40" s="318"/>
      <c r="E40" s="318"/>
      <c r="F40" s="318"/>
      <c r="G40" s="320"/>
      <c r="H40" s="321"/>
      <c r="I40" s="318"/>
      <c r="J40" s="318"/>
      <c r="K40" s="318"/>
      <c r="L40" s="318"/>
      <c r="M40" s="318"/>
    </row>
    <row r="41" spans="1:13" ht="22.5" customHeight="1">
      <c r="A41" s="318"/>
      <c r="B41" s="318"/>
      <c r="C41" s="318"/>
      <c r="D41" s="318"/>
      <c r="E41" s="318"/>
      <c r="F41" s="318"/>
      <c r="G41" s="320"/>
      <c r="H41" s="321"/>
      <c r="I41" s="318"/>
      <c r="J41" s="318"/>
      <c r="K41" s="318"/>
      <c r="L41" s="318"/>
      <c r="M41" s="318"/>
    </row>
    <row r="42" spans="1:13" ht="22.5" customHeight="1">
      <c r="A42" s="318"/>
      <c r="B42" s="318"/>
      <c r="C42" s="318"/>
      <c r="D42" s="318"/>
      <c r="E42" s="318"/>
      <c r="F42" s="318"/>
      <c r="G42" s="320"/>
      <c r="H42" s="321"/>
      <c r="I42" s="318"/>
      <c r="J42" s="318"/>
      <c r="K42" s="318"/>
      <c r="L42" s="318"/>
      <c r="M42" s="318"/>
    </row>
    <row r="43" spans="1:13" ht="22.5" customHeight="1">
      <c r="A43" s="318"/>
      <c r="B43" s="318"/>
      <c r="C43" s="318"/>
      <c r="D43" s="318"/>
      <c r="E43" s="318"/>
      <c r="F43" s="318"/>
      <c r="G43" s="320"/>
      <c r="H43" s="321"/>
      <c r="I43" s="318"/>
      <c r="J43" s="318"/>
      <c r="K43" s="318"/>
      <c r="L43" s="318"/>
      <c r="M43" s="318"/>
    </row>
    <row r="44" spans="1:13" ht="22.5" customHeight="1">
      <c r="A44" s="318"/>
      <c r="B44" s="318"/>
      <c r="C44" s="318"/>
      <c r="D44" s="318"/>
      <c r="E44" s="318"/>
      <c r="F44" s="318"/>
      <c r="G44" s="320"/>
      <c r="H44" s="321"/>
      <c r="I44" s="318"/>
      <c r="J44" s="318"/>
      <c r="K44" s="318"/>
      <c r="L44" s="318"/>
      <c r="M44" s="318"/>
    </row>
    <row r="45" spans="1:13" ht="22.5" customHeight="1">
      <c r="A45" s="318"/>
      <c r="B45" s="318"/>
      <c r="C45" s="318"/>
      <c r="D45" s="318"/>
      <c r="E45" s="318"/>
      <c r="F45" s="318"/>
      <c r="G45" s="320"/>
      <c r="H45" s="321"/>
      <c r="I45" s="318"/>
      <c r="J45" s="318"/>
      <c r="K45" s="318"/>
      <c r="L45" s="318"/>
      <c r="M45" s="318"/>
    </row>
    <row r="46" spans="1:13" ht="22.5" customHeight="1">
      <c r="A46" s="318"/>
      <c r="B46" s="318"/>
      <c r="C46" s="318"/>
      <c r="D46" s="318"/>
      <c r="E46" s="318"/>
      <c r="F46" s="318"/>
      <c r="G46" s="320"/>
      <c r="H46" s="321"/>
      <c r="I46" s="318"/>
      <c r="J46" s="318"/>
      <c r="K46" s="318"/>
      <c r="L46" s="318"/>
      <c r="M46" s="318"/>
    </row>
    <row r="47" spans="1:13" ht="12.75">
      <c r="A47" s="370" t="s">
        <v>2424</v>
      </c>
      <c r="B47" s="352"/>
      <c r="C47" s="352"/>
      <c r="D47" s="352"/>
      <c r="E47" s="352"/>
      <c r="F47" s="353"/>
      <c r="G47" s="322">
        <f>SUM(表格_3[[#Data],[#Totals],[收入]])</f>
        <v>2721.4654</v>
      </c>
      <c r="H47" s="322">
        <f>SUM(表格_3[支出])</f>
        <v>4772.0599999999995</v>
      </c>
      <c r="I47" s="323"/>
      <c r="J47" s="322"/>
      <c r="K47" s="322"/>
      <c r="L47" s="322"/>
      <c r="M47" s="322">
        <f>SUM(表格_3[[#Data],[#Totals],[结算金额]])</f>
        <v>-2050.5946000000004</v>
      </c>
    </row>
  </sheetData>
  <customSheetViews>
    <customSheetView guid="{320E83B0-EA91-46E2-B71C-E89A1C29F6D2}" filter="1" showAutoFilter="1">
      <pageMargins left="0.7" right="0.7" top="0.75" bottom="0.75" header="0.3" footer="0.3"/>
      <autoFilter ref="A1:M46" xr:uid="{05C6E679-1AE6-400B-B563-EA34BD5E142C}"/>
    </customSheetView>
  </customSheetViews>
  <mergeCells count="1">
    <mergeCell ref="A47:F47"/>
  </mergeCells>
  <conditionalFormatting sqref="A1:M46">
    <cfRule type="cellIs" dxfId="24" priority="4" operator="equal">
      <formula>"KCD"</formula>
    </cfRule>
    <cfRule type="cellIs" dxfId="23" priority="5" operator="equal">
      <formula>"NiiHost-AFF"</formula>
    </cfRule>
  </conditionalFormatting>
  <conditionalFormatting sqref="E1:F46">
    <cfRule type="cellIs" dxfId="22" priority="1" operator="equal">
      <formula>"TUTU"</formula>
    </cfRule>
  </conditionalFormatting>
  <conditionalFormatting sqref="G2:G46">
    <cfRule type="cellIs" dxfId="21" priority="3" operator="greaterThan">
      <formula>0</formula>
    </cfRule>
  </conditionalFormatting>
  <conditionalFormatting sqref="H1:H46">
    <cfRule type="cellIs" dxfId="20" priority="2" operator="greaterThan">
      <formula>0</formula>
    </cfRule>
  </conditionalFormatting>
  <dataValidations count="1">
    <dataValidation type="custom" allowBlank="1" showDropDown="1" sqref="G2:G45" xr:uid="{00000000-0002-0000-0D00-000000000000}">
      <formula1>AND(ISNUMBER(G2),(NOT(OR(NOT(ISERROR(DATEVALUE(G2))), AND(ISNUMBER(G2), LEFT(CELL("format", G2))="D")))))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S83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2" max="2" width="5.42578125" customWidth="1"/>
    <col min="3" max="3" width="2.85546875" customWidth="1"/>
    <col min="4" max="4" width="20.5703125" customWidth="1"/>
    <col min="5" max="5" width="15" customWidth="1"/>
    <col min="6" max="6" width="10.42578125" customWidth="1"/>
    <col min="7" max="7" width="12.28515625" customWidth="1"/>
    <col min="8" max="8" width="9" customWidth="1"/>
    <col min="9" max="9" width="20.28515625" customWidth="1"/>
    <col min="10" max="10" width="25.5703125" customWidth="1"/>
    <col min="11" max="11" width="29.42578125" customWidth="1"/>
    <col min="12" max="12" width="7.85546875" customWidth="1"/>
    <col min="13" max="13" width="8.7109375" customWidth="1"/>
    <col min="14" max="14" width="9.140625" customWidth="1"/>
    <col min="15" max="15" width="8.28515625" customWidth="1"/>
    <col min="16" max="16" width="8" customWidth="1"/>
    <col min="17" max="17" width="16.42578125" customWidth="1"/>
    <col min="18" max="18" width="6.42578125" customWidth="1"/>
    <col min="19" max="19" width="8.140625" customWidth="1"/>
  </cols>
  <sheetData>
    <row r="1" spans="1:19" ht="22.5" customHeight="1">
      <c r="A1" s="324" t="s">
        <v>17</v>
      </c>
      <c r="B1" s="325" t="s">
        <v>18</v>
      </c>
      <c r="C1" s="324" t="s">
        <v>19</v>
      </c>
      <c r="D1" s="324" t="s">
        <v>20</v>
      </c>
      <c r="E1" s="324" t="s">
        <v>21</v>
      </c>
      <c r="F1" s="324" t="s">
        <v>22</v>
      </c>
      <c r="G1" s="324" t="s">
        <v>23</v>
      </c>
      <c r="H1" s="324" t="s">
        <v>24</v>
      </c>
      <c r="I1" s="324" t="s">
        <v>25</v>
      </c>
      <c r="J1" s="324" t="s">
        <v>26</v>
      </c>
      <c r="K1" s="324" t="s">
        <v>27</v>
      </c>
      <c r="L1" s="324" t="s">
        <v>28</v>
      </c>
      <c r="M1" s="324" t="s">
        <v>29</v>
      </c>
      <c r="N1" s="324" t="s">
        <v>30</v>
      </c>
      <c r="O1" s="324" t="s">
        <v>31</v>
      </c>
      <c r="P1" s="324" t="s">
        <v>32</v>
      </c>
      <c r="Q1" s="324" t="s">
        <v>33</v>
      </c>
      <c r="R1" s="324" t="s">
        <v>34</v>
      </c>
      <c r="S1" s="324" t="s">
        <v>35</v>
      </c>
    </row>
    <row r="2" spans="1:19" ht="22.5" customHeight="1">
      <c r="A2" s="181" t="s">
        <v>6920</v>
      </c>
      <c r="B2" s="224">
        <v>2024</v>
      </c>
      <c r="C2" s="224">
        <v>5</v>
      </c>
      <c r="D2" s="191" t="s">
        <v>47</v>
      </c>
      <c r="E2" s="326">
        <v>-5.4</v>
      </c>
      <c r="F2" s="326">
        <v>0</v>
      </c>
      <c r="G2" s="326">
        <v>5.4</v>
      </c>
      <c r="H2" s="191" t="s">
        <v>39</v>
      </c>
      <c r="I2" s="191" t="s">
        <v>40</v>
      </c>
      <c r="J2" s="191" t="s">
        <v>48</v>
      </c>
      <c r="K2" s="191"/>
      <c r="L2" s="191"/>
      <c r="M2" s="224">
        <v>5180</v>
      </c>
      <c r="N2" s="191" t="s">
        <v>42</v>
      </c>
      <c r="O2" s="191" t="s">
        <v>49</v>
      </c>
      <c r="P2" s="191"/>
      <c r="Q2" s="191" t="s">
        <v>6921</v>
      </c>
      <c r="R2" s="191"/>
      <c r="S2" s="191"/>
    </row>
    <row r="3" spans="1:19" ht="22.5" customHeight="1">
      <c r="A3" s="181" t="s">
        <v>6922</v>
      </c>
      <c r="B3" s="224">
        <v>2024</v>
      </c>
      <c r="C3" s="224">
        <v>5</v>
      </c>
      <c r="D3" s="191" t="s">
        <v>47</v>
      </c>
      <c r="E3" s="326">
        <v>-5.0999999999999996</v>
      </c>
      <c r="F3" s="326">
        <v>0</v>
      </c>
      <c r="G3" s="326">
        <v>5.0999999999999996</v>
      </c>
      <c r="H3" s="191" t="s">
        <v>39</v>
      </c>
      <c r="I3" s="191" t="s">
        <v>40</v>
      </c>
      <c r="J3" s="191" t="s">
        <v>48</v>
      </c>
      <c r="K3" s="191"/>
      <c r="L3" s="191"/>
      <c r="M3" s="224">
        <v>5180</v>
      </c>
      <c r="N3" s="191" t="s">
        <v>42</v>
      </c>
      <c r="O3" s="191" t="s">
        <v>49</v>
      </c>
      <c r="P3" s="191"/>
      <c r="Q3" s="191" t="s">
        <v>6923</v>
      </c>
      <c r="R3" s="191"/>
      <c r="S3" s="191"/>
    </row>
    <row r="4" spans="1:19" ht="22.5" customHeight="1">
      <c r="A4" s="181" t="s">
        <v>6924</v>
      </c>
      <c r="B4" s="224">
        <v>2024</v>
      </c>
      <c r="C4" s="224">
        <v>6</v>
      </c>
      <c r="D4" s="191" t="s">
        <v>47</v>
      </c>
      <c r="E4" s="326">
        <v>-10.8</v>
      </c>
      <c r="F4" s="326">
        <v>0</v>
      </c>
      <c r="G4" s="326">
        <v>10.8</v>
      </c>
      <c r="H4" s="191" t="s">
        <v>39</v>
      </c>
      <c r="I4" s="191" t="s">
        <v>40</v>
      </c>
      <c r="J4" s="191" t="s">
        <v>48</v>
      </c>
      <c r="K4" s="191"/>
      <c r="L4" s="191"/>
      <c r="M4" s="224">
        <v>5180</v>
      </c>
      <c r="N4" s="191" t="s">
        <v>42</v>
      </c>
      <c r="O4" s="191" t="s">
        <v>49</v>
      </c>
      <c r="P4" s="191"/>
      <c r="Q4" s="191" t="s">
        <v>6925</v>
      </c>
      <c r="R4" s="191"/>
      <c r="S4" s="191"/>
    </row>
    <row r="5" spans="1:19" ht="22.5" customHeight="1">
      <c r="A5" s="327">
        <v>45298</v>
      </c>
      <c r="B5" s="224">
        <v>2024</v>
      </c>
      <c r="C5" s="224">
        <v>7</v>
      </c>
      <c r="D5" s="191" t="s">
        <v>72</v>
      </c>
      <c r="E5" s="326">
        <v>1180.8699999999999</v>
      </c>
      <c r="F5" s="326">
        <v>1180.8699999999999</v>
      </c>
      <c r="G5" s="326">
        <v>0</v>
      </c>
      <c r="H5" s="191" t="s">
        <v>39</v>
      </c>
      <c r="I5" s="191" t="s">
        <v>40</v>
      </c>
      <c r="J5" s="191" t="s">
        <v>6926</v>
      </c>
      <c r="K5" s="191" t="s">
        <v>6927</v>
      </c>
      <c r="L5" s="191"/>
      <c r="M5" s="191"/>
      <c r="N5" s="191"/>
      <c r="O5" s="191"/>
      <c r="P5" s="191"/>
      <c r="Q5" s="328">
        <v>45298.938287037039</v>
      </c>
      <c r="R5" s="191"/>
      <c r="S5" s="191"/>
    </row>
    <row r="6" spans="1:19" ht="22.5" customHeight="1">
      <c r="A6" s="327">
        <v>45329</v>
      </c>
      <c r="B6" s="224">
        <v>2024</v>
      </c>
      <c r="C6" s="224">
        <v>7</v>
      </c>
      <c r="D6" s="191" t="s">
        <v>58</v>
      </c>
      <c r="E6" s="326">
        <v>-1580.84</v>
      </c>
      <c r="F6" s="326">
        <v>0</v>
      </c>
      <c r="G6" s="326">
        <v>1580.84</v>
      </c>
      <c r="H6" s="191" t="s">
        <v>39</v>
      </c>
      <c r="I6" s="191" t="s">
        <v>40</v>
      </c>
      <c r="J6" s="191" t="s">
        <v>59</v>
      </c>
      <c r="K6" s="191" t="s">
        <v>60</v>
      </c>
      <c r="L6" s="191" t="s">
        <v>6928</v>
      </c>
      <c r="M6" s="191"/>
      <c r="N6" s="191"/>
      <c r="O6" s="191" t="s">
        <v>43</v>
      </c>
      <c r="P6" s="191"/>
      <c r="Q6" s="328">
        <v>45329.607835648145</v>
      </c>
      <c r="R6" s="191"/>
      <c r="S6" s="191"/>
    </row>
    <row r="7" spans="1:19" ht="22.5" customHeight="1">
      <c r="A7" s="327">
        <v>45389</v>
      </c>
      <c r="B7" s="224">
        <v>2024</v>
      </c>
      <c r="C7" s="224">
        <v>7</v>
      </c>
      <c r="D7" s="191" t="s">
        <v>38</v>
      </c>
      <c r="E7" s="326">
        <v>-4.16</v>
      </c>
      <c r="F7" s="326">
        <v>0</v>
      </c>
      <c r="G7" s="326">
        <v>4.16</v>
      </c>
      <c r="H7" s="191" t="s">
        <v>39</v>
      </c>
      <c r="I7" s="191" t="s">
        <v>40</v>
      </c>
      <c r="J7" s="191" t="s">
        <v>41</v>
      </c>
      <c r="K7" s="191"/>
      <c r="L7" s="191"/>
      <c r="M7" s="224">
        <v>5180</v>
      </c>
      <c r="N7" s="191" t="s">
        <v>42</v>
      </c>
      <c r="O7" s="191" t="s">
        <v>84</v>
      </c>
      <c r="P7" s="191"/>
      <c r="Q7" s="328">
        <v>45389.050439814811</v>
      </c>
      <c r="R7" s="191"/>
      <c r="S7" s="191"/>
    </row>
    <row r="8" spans="1:19" ht="22.5" customHeight="1">
      <c r="A8" s="327">
        <v>45450</v>
      </c>
      <c r="B8" s="224">
        <v>2024</v>
      </c>
      <c r="C8" s="224">
        <v>7</v>
      </c>
      <c r="D8" s="191" t="s">
        <v>6929</v>
      </c>
      <c r="E8" s="326">
        <v>-4</v>
      </c>
      <c r="F8" s="326">
        <v>0</v>
      </c>
      <c r="G8" s="326">
        <v>4</v>
      </c>
      <c r="H8" s="191" t="s">
        <v>39</v>
      </c>
      <c r="I8" s="191" t="s">
        <v>40</v>
      </c>
      <c r="J8" s="191" t="s">
        <v>6930</v>
      </c>
      <c r="K8" s="191"/>
      <c r="L8" s="191"/>
      <c r="M8" s="224">
        <v>5180</v>
      </c>
      <c r="N8" s="191" t="s">
        <v>42</v>
      </c>
      <c r="O8" s="191" t="s">
        <v>43</v>
      </c>
      <c r="P8" s="191"/>
      <c r="Q8" s="328">
        <v>45450.418587962966</v>
      </c>
      <c r="R8" s="191"/>
      <c r="S8" s="191"/>
    </row>
    <row r="9" spans="1:19" ht="22.5" customHeight="1">
      <c r="A9" s="329">
        <v>45450</v>
      </c>
      <c r="B9" s="224">
        <v>2024</v>
      </c>
      <c r="C9" s="224">
        <v>7</v>
      </c>
      <c r="D9" s="191" t="s">
        <v>6929</v>
      </c>
      <c r="E9" s="326">
        <v>-62</v>
      </c>
      <c r="F9" s="326">
        <v>0</v>
      </c>
      <c r="G9" s="326">
        <v>62</v>
      </c>
      <c r="H9" s="191" t="s">
        <v>39</v>
      </c>
      <c r="I9" s="191" t="s">
        <v>40</v>
      </c>
      <c r="J9" s="191" t="s">
        <v>6930</v>
      </c>
      <c r="K9" s="191"/>
      <c r="L9" s="191"/>
      <c r="M9" s="224">
        <v>5180</v>
      </c>
      <c r="N9" s="191" t="s">
        <v>42</v>
      </c>
      <c r="O9" s="191" t="s">
        <v>43</v>
      </c>
      <c r="P9" s="191"/>
      <c r="Q9" s="328">
        <v>45450.418587962966</v>
      </c>
      <c r="R9" s="191"/>
      <c r="S9" s="191"/>
    </row>
    <row r="10" spans="1:19" ht="22.5" customHeight="1">
      <c r="A10" s="181" t="s">
        <v>6931</v>
      </c>
      <c r="B10" s="224">
        <v>2024</v>
      </c>
      <c r="C10" s="224">
        <v>7</v>
      </c>
      <c r="D10" s="191" t="s">
        <v>47</v>
      </c>
      <c r="E10" s="326">
        <v>-10.8</v>
      </c>
      <c r="F10" s="326">
        <v>0</v>
      </c>
      <c r="G10" s="326">
        <v>10.8</v>
      </c>
      <c r="H10" s="191" t="s">
        <v>39</v>
      </c>
      <c r="I10" s="191" t="s">
        <v>40</v>
      </c>
      <c r="J10" s="191" t="s">
        <v>48</v>
      </c>
      <c r="K10" s="191"/>
      <c r="L10" s="191"/>
      <c r="M10" s="224">
        <v>5180</v>
      </c>
      <c r="N10" s="191" t="s">
        <v>42</v>
      </c>
      <c r="O10" s="191" t="s">
        <v>49</v>
      </c>
      <c r="P10" s="191"/>
      <c r="Q10" s="191" t="s">
        <v>6932</v>
      </c>
      <c r="R10" s="191"/>
      <c r="S10" s="191"/>
    </row>
    <row r="11" spans="1:19" ht="22.5" customHeight="1">
      <c r="A11" s="181" t="s">
        <v>6933</v>
      </c>
      <c r="B11" s="224">
        <v>2024</v>
      </c>
      <c r="C11" s="224">
        <v>7</v>
      </c>
      <c r="D11" s="191" t="s">
        <v>72</v>
      </c>
      <c r="E11" s="326">
        <v>868.08</v>
      </c>
      <c r="F11" s="326">
        <v>868.08</v>
      </c>
      <c r="G11" s="326">
        <v>0</v>
      </c>
      <c r="H11" s="191" t="s">
        <v>39</v>
      </c>
      <c r="I11" s="191" t="s">
        <v>40</v>
      </c>
      <c r="J11" s="191" t="s">
        <v>6934</v>
      </c>
      <c r="K11" s="191" t="s">
        <v>6927</v>
      </c>
      <c r="L11" s="191"/>
      <c r="M11" s="191"/>
      <c r="N11" s="191"/>
      <c r="O11" s="191"/>
      <c r="P11" s="191"/>
      <c r="Q11" s="191" t="s">
        <v>6935</v>
      </c>
      <c r="R11" s="191"/>
      <c r="S11" s="191"/>
    </row>
    <row r="12" spans="1:19" ht="22.5" customHeight="1">
      <c r="A12" s="327">
        <v>45299</v>
      </c>
      <c r="B12" s="224">
        <v>2024</v>
      </c>
      <c r="C12" s="224">
        <v>8</v>
      </c>
      <c r="D12" s="191" t="s">
        <v>58</v>
      </c>
      <c r="E12" s="326">
        <v>-868.08</v>
      </c>
      <c r="F12" s="326">
        <v>0</v>
      </c>
      <c r="G12" s="326">
        <v>868.08</v>
      </c>
      <c r="H12" s="191" t="s">
        <v>39</v>
      </c>
      <c r="I12" s="191" t="s">
        <v>40</v>
      </c>
      <c r="J12" s="191" t="s">
        <v>59</v>
      </c>
      <c r="K12" s="191" t="s">
        <v>60</v>
      </c>
      <c r="L12" s="191" t="s">
        <v>6936</v>
      </c>
      <c r="M12" s="191"/>
      <c r="N12" s="191"/>
      <c r="O12" s="191"/>
      <c r="P12" s="191"/>
      <c r="Q12" s="328">
        <v>45299.607939814814</v>
      </c>
      <c r="R12" s="191"/>
      <c r="S12" s="191"/>
    </row>
    <row r="13" spans="1:19" ht="22.5" customHeight="1">
      <c r="A13" s="327">
        <v>45299</v>
      </c>
      <c r="B13" s="224">
        <v>2024</v>
      </c>
      <c r="C13" s="224">
        <v>8</v>
      </c>
      <c r="D13" s="191" t="s">
        <v>66</v>
      </c>
      <c r="E13" s="326">
        <v>3.57</v>
      </c>
      <c r="F13" s="326">
        <v>3.57</v>
      </c>
      <c r="G13" s="326">
        <v>0</v>
      </c>
      <c r="H13" s="191" t="s">
        <v>39</v>
      </c>
      <c r="I13" s="191" t="s">
        <v>40</v>
      </c>
      <c r="J13" s="191" t="s">
        <v>67</v>
      </c>
      <c r="K13" s="191"/>
      <c r="L13" s="191"/>
      <c r="M13" s="191"/>
      <c r="N13" s="191"/>
      <c r="O13" s="191"/>
      <c r="P13" s="191"/>
      <c r="Q13" s="328">
        <v>45299.522581018522</v>
      </c>
      <c r="R13" s="191"/>
      <c r="S13" s="191"/>
    </row>
    <row r="14" spans="1:19" ht="22.5" customHeight="1">
      <c r="A14" s="327">
        <v>45451</v>
      </c>
      <c r="B14" s="224">
        <v>2024</v>
      </c>
      <c r="C14" s="224">
        <v>8</v>
      </c>
      <c r="D14" s="191" t="s">
        <v>6929</v>
      </c>
      <c r="E14" s="326">
        <v>-57.48</v>
      </c>
      <c r="F14" s="326">
        <v>0</v>
      </c>
      <c r="G14" s="326">
        <v>57.48</v>
      </c>
      <c r="H14" s="191" t="s">
        <v>39</v>
      </c>
      <c r="I14" s="191" t="s">
        <v>40</v>
      </c>
      <c r="J14" s="191" t="s">
        <v>6930</v>
      </c>
      <c r="K14" s="191"/>
      <c r="L14" s="191"/>
      <c r="M14" s="224">
        <v>5180</v>
      </c>
      <c r="N14" s="191" t="s">
        <v>42</v>
      </c>
      <c r="O14" s="191" t="s">
        <v>43</v>
      </c>
      <c r="P14" s="191"/>
      <c r="Q14" s="328">
        <v>45451.30704861111</v>
      </c>
      <c r="R14" s="191"/>
      <c r="S14" s="191"/>
    </row>
    <row r="15" spans="1:19" ht="22.5" customHeight="1">
      <c r="A15" s="329">
        <v>45481</v>
      </c>
      <c r="B15" s="224">
        <v>2024</v>
      </c>
      <c r="C15" s="224">
        <v>8</v>
      </c>
      <c r="D15" s="191" t="s">
        <v>66</v>
      </c>
      <c r="E15" s="326">
        <v>4.55</v>
      </c>
      <c r="F15" s="326">
        <v>4.55</v>
      </c>
      <c r="G15" s="326">
        <v>0</v>
      </c>
      <c r="H15" s="191" t="s">
        <v>39</v>
      </c>
      <c r="I15" s="191" t="s">
        <v>40</v>
      </c>
      <c r="J15" s="191" t="s">
        <v>67</v>
      </c>
      <c r="K15" s="191"/>
      <c r="L15" s="191"/>
      <c r="M15" s="191"/>
      <c r="N15" s="191"/>
      <c r="O15" s="191"/>
      <c r="P15" s="191"/>
      <c r="Q15" s="328">
        <v>45481.521597222221</v>
      </c>
      <c r="R15" s="191"/>
      <c r="S15" s="191"/>
    </row>
    <row r="16" spans="1:19" ht="22.5" customHeight="1">
      <c r="A16" s="181" t="s">
        <v>6937</v>
      </c>
      <c r="B16" s="224">
        <v>2024</v>
      </c>
      <c r="C16" s="224">
        <v>8</v>
      </c>
      <c r="D16" s="191" t="s">
        <v>66</v>
      </c>
      <c r="E16" s="326">
        <v>2.63</v>
      </c>
      <c r="F16" s="326">
        <v>2.63</v>
      </c>
      <c r="G16" s="326">
        <v>0</v>
      </c>
      <c r="H16" s="191" t="s">
        <v>39</v>
      </c>
      <c r="I16" s="191" t="s">
        <v>40</v>
      </c>
      <c r="J16" s="191" t="s">
        <v>67</v>
      </c>
      <c r="K16" s="191"/>
      <c r="L16" s="191"/>
      <c r="M16" s="191"/>
      <c r="N16" s="191"/>
      <c r="O16" s="191"/>
      <c r="P16" s="191"/>
      <c r="Q16" s="191" t="s">
        <v>6938</v>
      </c>
      <c r="R16" s="191"/>
      <c r="S16" s="191"/>
    </row>
    <row r="17" spans="1:19" ht="22.5" customHeight="1">
      <c r="A17" s="181" t="s">
        <v>6939</v>
      </c>
      <c r="B17" s="224">
        <v>2024</v>
      </c>
      <c r="C17" s="224">
        <v>8</v>
      </c>
      <c r="D17" s="191" t="s">
        <v>66</v>
      </c>
      <c r="E17" s="326">
        <v>9.75</v>
      </c>
      <c r="F17" s="326">
        <v>9.75</v>
      </c>
      <c r="G17" s="326">
        <v>0</v>
      </c>
      <c r="H17" s="191" t="s">
        <v>39</v>
      </c>
      <c r="I17" s="191" t="s">
        <v>40</v>
      </c>
      <c r="J17" s="191" t="s">
        <v>67</v>
      </c>
      <c r="K17" s="191"/>
      <c r="L17" s="191"/>
      <c r="M17" s="191"/>
      <c r="N17" s="191"/>
      <c r="O17" s="191"/>
      <c r="P17" s="191"/>
      <c r="Q17" s="191" t="s">
        <v>6940</v>
      </c>
      <c r="R17" s="191"/>
      <c r="S17" s="191"/>
    </row>
    <row r="18" spans="1:19" ht="22.5" customHeight="1">
      <c r="A18" s="181" t="s">
        <v>6941</v>
      </c>
      <c r="B18" s="224">
        <v>2024</v>
      </c>
      <c r="C18" s="224">
        <v>8</v>
      </c>
      <c r="D18" s="191" t="s">
        <v>66</v>
      </c>
      <c r="E18" s="326">
        <v>38.68</v>
      </c>
      <c r="F18" s="326">
        <v>38.68</v>
      </c>
      <c r="G18" s="326">
        <v>0</v>
      </c>
      <c r="H18" s="191" t="s">
        <v>39</v>
      </c>
      <c r="I18" s="191" t="s">
        <v>40</v>
      </c>
      <c r="J18" s="191" t="s">
        <v>67</v>
      </c>
      <c r="K18" s="191"/>
      <c r="L18" s="191"/>
      <c r="M18" s="191"/>
      <c r="N18" s="191"/>
      <c r="O18" s="191"/>
      <c r="P18" s="191"/>
      <c r="Q18" s="191" t="s">
        <v>6942</v>
      </c>
      <c r="R18" s="191"/>
      <c r="S18" s="191"/>
    </row>
    <row r="19" spans="1:19" ht="22.5" customHeight="1">
      <c r="A19" s="181" t="s">
        <v>6943</v>
      </c>
      <c r="B19" s="224">
        <v>2024</v>
      </c>
      <c r="C19" s="224">
        <v>8</v>
      </c>
      <c r="D19" s="191" t="s">
        <v>47</v>
      </c>
      <c r="E19" s="326">
        <v>-10.8</v>
      </c>
      <c r="F19" s="326">
        <v>0</v>
      </c>
      <c r="G19" s="326">
        <v>10.8</v>
      </c>
      <c r="H19" s="191" t="s">
        <v>39</v>
      </c>
      <c r="I19" s="191" t="s">
        <v>40</v>
      </c>
      <c r="J19" s="191" t="s">
        <v>48</v>
      </c>
      <c r="K19" s="191"/>
      <c r="L19" s="191"/>
      <c r="M19" s="224">
        <v>5180</v>
      </c>
      <c r="N19" s="191" t="s">
        <v>42</v>
      </c>
      <c r="O19" s="191" t="s">
        <v>49</v>
      </c>
      <c r="P19" s="191"/>
      <c r="Q19" s="191" t="s">
        <v>6944</v>
      </c>
      <c r="R19" s="191"/>
      <c r="S19" s="191"/>
    </row>
    <row r="20" spans="1:19" ht="22.5" customHeight="1">
      <c r="A20" s="181" t="s">
        <v>6945</v>
      </c>
      <c r="B20" s="224">
        <v>2024</v>
      </c>
      <c r="C20" s="224">
        <v>8</v>
      </c>
      <c r="D20" s="191" t="s">
        <v>66</v>
      </c>
      <c r="E20" s="326">
        <v>13.95</v>
      </c>
      <c r="F20" s="326">
        <v>13.95</v>
      </c>
      <c r="G20" s="326">
        <v>0</v>
      </c>
      <c r="H20" s="191" t="s">
        <v>39</v>
      </c>
      <c r="I20" s="191" t="s">
        <v>40</v>
      </c>
      <c r="J20" s="191" t="s">
        <v>67</v>
      </c>
      <c r="K20" s="191"/>
      <c r="L20" s="191"/>
      <c r="M20" s="191"/>
      <c r="N20" s="191"/>
      <c r="O20" s="191"/>
      <c r="P20" s="191"/>
      <c r="Q20" s="191" t="s">
        <v>6946</v>
      </c>
      <c r="R20" s="191"/>
      <c r="S20" s="191"/>
    </row>
    <row r="21" spans="1:19" ht="22.5" customHeight="1">
      <c r="A21" s="181" t="s">
        <v>6947</v>
      </c>
      <c r="B21" s="224">
        <v>2024</v>
      </c>
      <c r="C21" s="224">
        <v>8</v>
      </c>
      <c r="D21" s="191" t="s">
        <v>66</v>
      </c>
      <c r="E21" s="326">
        <v>4.55</v>
      </c>
      <c r="F21" s="326">
        <v>4.55</v>
      </c>
      <c r="G21" s="326">
        <v>0</v>
      </c>
      <c r="H21" s="191" t="s">
        <v>39</v>
      </c>
      <c r="I21" s="191" t="s">
        <v>40</v>
      </c>
      <c r="J21" s="191" t="s">
        <v>67</v>
      </c>
      <c r="K21" s="191"/>
      <c r="L21" s="191"/>
      <c r="M21" s="191"/>
      <c r="N21" s="191"/>
      <c r="O21" s="191"/>
      <c r="P21" s="191"/>
      <c r="Q21" s="191" t="s">
        <v>6948</v>
      </c>
      <c r="R21" s="191"/>
      <c r="S21" s="191"/>
    </row>
    <row r="22" spans="1:19" ht="22.5" customHeight="1">
      <c r="A22" s="181" t="s">
        <v>6949</v>
      </c>
      <c r="B22" s="224">
        <v>2024</v>
      </c>
      <c r="C22" s="224">
        <v>8</v>
      </c>
      <c r="D22" s="191" t="s">
        <v>66</v>
      </c>
      <c r="E22" s="326">
        <v>4.55</v>
      </c>
      <c r="F22" s="326">
        <v>4.55</v>
      </c>
      <c r="G22" s="326">
        <v>0</v>
      </c>
      <c r="H22" s="191" t="s">
        <v>39</v>
      </c>
      <c r="I22" s="191" t="s">
        <v>40</v>
      </c>
      <c r="J22" s="191" t="s">
        <v>67</v>
      </c>
      <c r="K22" s="191"/>
      <c r="L22" s="191"/>
      <c r="M22" s="191"/>
      <c r="N22" s="191"/>
      <c r="O22" s="191"/>
      <c r="P22" s="191"/>
      <c r="Q22" s="191" t="s">
        <v>6950</v>
      </c>
      <c r="R22" s="191"/>
      <c r="S22" s="191"/>
    </row>
    <row r="23" spans="1:19" ht="22.5" customHeight="1">
      <c r="A23" s="327">
        <v>45331</v>
      </c>
      <c r="B23" s="224">
        <v>2024</v>
      </c>
      <c r="C23" s="224">
        <v>9</v>
      </c>
      <c r="D23" s="191" t="s">
        <v>6929</v>
      </c>
      <c r="E23" s="326">
        <v>-66</v>
      </c>
      <c r="F23" s="326">
        <v>0</v>
      </c>
      <c r="G23" s="326">
        <v>66</v>
      </c>
      <c r="H23" s="191" t="s">
        <v>39</v>
      </c>
      <c r="I23" s="191" t="s">
        <v>40</v>
      </c>
      <c r="J23" s="191" t="s">
        <v>6930</v>
      </c>
      <c r="K23" s="191"/>
      <c r="L23" s="191"/>
      <c r="M23" s="224">
        <v>5180</v>
      </c>
      <c r="N23" s="191" t="s">
        <v>42</v>
      </c>
      <c r="O23" s="191" t="s">
        <v>43</v>
      </c>
      <c r="P23" s="191"/>
      <c r="Q23" s="328">
        <v>45331.285439814812</v>
      </c>
      <c r="R23" s="191"/>
      <c r="S23" s="191"/>
    </row>
    <row r="24" spans="1:19" ht="22.5" customHeight="1">
      <c r="A24" s="327">
        <v>45360</v>
      </c>
      <c r="B24" s="224">
        <v>2024</v>
      </c>
      <c r="C24" s="224">
        <v>9</v>
      </c>
      <c r="D24" s="191" t="s">
        <v>66</v>
      </c>
      <c r="E24" s="326">
        <v>2.6</v>
      </c>
      <c r="F24" s="326">
        <v>2.6</v>
      </c>
      <c r="G24" s="326">
        <v>0</v>
      </c>
      <c r="H24" s="191" t="s">
        <v>39</v>
      </c>
      <c r="I24" s="191" t="s">
        <v>40</v>
      </c>
      <c r="J24" s="191" t="s">
        <v>67</v>
      </c>
      <c r="K24" s="191"/>
      <c r="L24" s="191"/>
      <c r="M24" s="191"/>
      <c r="N24" s="191"/>
      <c r="O24" s="191"/>
      <c r="P24" s="191"/>
      <c r="Q24" s="328">
        <v>45360.626145833332</v>
      </c>
      <c r="R24" s="191"/>
      <c r="S24" s="191"/>
    </row>
    <row r="25" spans="1:19" ht="22.5" customHeight="1">
      <c r="A25" s="327">
        <v>45391</v>
      </c>
      <c r="B25" s="224">
        <v>2024</v>
      </c>
      <c r="C25" s="224">
        <v>9</v>
      </c>
      <c r="D25" s="191" t="s">
        <v>66</v>
      </c>
      <c r="E25" s="326">
        <v>4.55</v>
      </c>
      <c r="F25" s="326">
        <v>4.55</v>
      </c>
      <c r="G25" s="326">
        <v>0</v>
      </c>
      <c r="H25" s="191" t="s">
        <v>39</v>
      </c>
      <c r="I25" s="191" t="s">
        <v>40</v>
      </c>
      <c r="J25" s="191" t="s">
        <v>67</v>
      </c>
      <c r="K25" s="191"/>
      <c r="L25" s="191"/>
      <c r="M25" s="191"/>
      <c r="N25" s="191"/>
      <c r="O25" s="191"/>
      <c r="P25" s="191"/>
      <c r="Q25" s="328">
        <v>45391.522002314814</v>
      </c>
      <c r="R25" s="191"/>
      <c r="S25" s="191"/>
    </row>
    <row r="26" spans="1:19" ht="22.5" customHeight="1">
      <c r="A26" s="327">
        <v>45421</v>
      </c>
      <c r="B26" s="224">
        <v>2024</v>
      </c>
      <c r="C26" s="224">
        <v>9</v>
      </c>
      <c r="D26" s="191" t="s">
        <v>66</v>
      </c>
      <c r="E26" s="326">
        <v>48.55</v>
      </c>
      <c r="F26" s="326">
        <v>48.55</v>
      </c>
      <c r="G26" s="326">
        <v>0</v>
      </c>
      <c r="H26" s="191" t="s">
        <v>39</v>
      </c>
      <c r="I26" s="191" t="s">
        <v>40</v>
      </c>
      <c r="J26" s="191" t="s">
        <v>67</v>
      </c>
      <c r="K26" s="191"/>
      <c r="L26" s="191"/>
      <c r="M26" s="191"/>
      <c r="N26" s="191"/>
      <c r="O26" s="191"/>
      <c r="P26" s="191"/>
      <c r="Q26" s="328">
        <v>45421.525787037041</v>
      </c>
      <c r="R26" s="191"/>
      <c r="S26" s="191"/>
    </row>
    <row r="27" spans="1:19" ht="22.5" customHeight="1">
      <c r="A27" s="327">
        <v>45452</v>
      </c>
      <c r="B27" s="224">
        <v>2024</v>
      </c>
      <c r="C27" s="224">
        <v>9</v>
      </c>
      <c r="D27" s="191" t="s">
        <v>66</v>
      </c>
      <c r="E27" s="326">
        <v>9.09</v>
      </c>
      <c r="F27" s="326">
        <v>9.09</v>
      </c>
      <c r="G27" s="326">
        <v>0</v>
      </c>
      <c r="H27" s="191" t="s">
        <v>39</v>
      </c>
      <c r="I27" s="191" t="s">
        <v>40</v>
      </c>
      <c r="J27" s="191" t="s">
        <v>67</v>
      </c>
      <c r="K27" s="191"/>
      <c r="L27" s="191"/>
      <c r="M27" s="191"/>
      <c r="N27" s="191"/>
      <c r="O27" s="191"/>
      <c r="P27" s="191"/>
      <c r="Q27" s="328">
        <v>45452.56386574074</v>
      </c>
      <c r="R27" s="191"/>
      <c r="S27" s="191"/>
    </row>
    <row r="28" spans="1:19" ht="22.5" customHeight="1">
      <c r="A28" s="327">
        <v>45544</v>
      </c>
      <c r="B28" s="224">
        <v>2024</v>
      </c>
      <c r="C28" s="224">
        <v>9</v>
      </c>
      <c r="D28" s="191" t="s">
        <v>66</v>
      </c>
      <c r="E28" s="326">
        <v>20.46</v>
      </c>
      <c r="F28" s="326">
        <v>20.46</v>
      </c>
      <c r="G28" s="326">
        <v>0</v>
      </c>
      <c r="H28" s="191" t="s">
        <v>39</v>
      </c>
      <c r="I28" s="191" t="s">
        <v>40</v>
      </c>
      <c r="J28" s="191" t="s">
        <v>67</v>
      </c>
      <c r="K28" s="191"/>
      <c r="L28" s="191"/>
      <c r="M28" s="191"/>
      <c r="N28" s="191"/>
      <c r="O28" s="191"/>
      <c r="P28" s="191"/>
      <c r="Q28" s="328">
        <v>45544.524050925924</v>
      </c>
      <c r="R28" s="191"/>
      <c r="S28" s="191"/>
    </row>
    <row r="29" spans="1:19" ht="22.5" customHeight="1">
      <c r="A29" s="327">
        <v>45574</v>
      </c>
      <c r="B29" s="224">
        <v>2024</v>
      </c>
      <c r="C29" s="224">
        <v>9</v>
      </c>
      <c r="D29" s="191" t="s">
        <v>66</v>
      </c>
      <c r="E29" s="326">
        <v>5.75</v>
      </c>
      <c r="F29" s="326">
        <v>5.75</v>
      </c>
      <c r="G29" s="326">
        <v>0</v>
      </c>
      <c r="H29" s="191" t="s">
        <v>39</v>
      </c>
      <c r="I29" s="191" t="s">
        <v>40</v>
      </c>
      <c r="J29" s="191" t="s">
        <v>67</v>
      </c>
      <c r="K29" s="191"/>
      <c r="L29" s="191"/>
      <c r="M29" s="191"/>
      <c r="N29" s="191"/>
      <c r="O29" s="191"/>
      <c r="P29" s="191"/>
      <c r="Q29" s="328">
        <v>45574.521550925929</v>
      </c>
      <c r="R29" s="191"/>
      <c r="S29" s="191"/>
    </row>
    <row r="30" spans="1:19" ht="22.5" customHeight="1">
      <c r="A30" s="327">
        <v>45605</v>
      </c>
      <c r="B30" s="224">
        <v>2024</v>
      </c>
      <c r="C30" s="224">
        <v>9</v>
      </c>
      <c r="D30" s="191" t="s">
        <v>66</v>
      </c>
      <c r="E30" s="326">
        <v>36.369999999999997</v>
      </c>
      <c r="F30" s="326">
        <v>36.369999999999997</v>
      </c>
      <c r="G30" s="326">
        <v>0</v>
      </c>
      <c r="H30" s="191" t="s">
        <v>39</v>
      </c>
      <c r="I30" s="191" t="s">
        <v>40</v>
      </c>
      <c r="J30" s="191" t="s">
        <v>67</v>
      </c>
      <c r="K30" s="191"/>
      <c r="L30" s="191"/>
      <c r="M30" s="191"/>
      <c r="N30" s="191"/>
      <c r="O30" s="191"/>
      <c r="P30" s="191"/>
      <c r="Q30" s="328">
        <v>45605.522233796299</v>
      </c>
      <c r="R30" s="191"/>
      <c r="S30" s="191"/>
    </row>
    <row r="31" spans="1:19" ht="22.5" customHeight="1">
      <c r="A31" s="329">
        <v>45635</v>
      </c>
      <c r="B31" s="224">
        <v>2024</v>
      </c>
      <c r="C31" s="224">
        <v>9</v>
      </c>
      <c r="D31" s="191" t="s">
        <v>66</v>
      </c>
      <c r="E31" s="326">
        <v>8.56</v>
      </c>
      <c r="F31" s="326">
        <v>8.56</v>
      </c>
      <c r="G31" s="326">
        <v>0</v>
      </c>
      <c r="H31" s="191" t="s">
        <v>39</v>
      </c>
      <c r="I31" s="191" t="s">
        <v>40</v>
      </c>
      <c r="J31" s="191" t="s">
        <v>67</v>
      </c>
      <c r="K31" s="191"/>
      <c r="L31" s="191"/>
      <c r="M31" s="191"/>
      <c r="N31" s="191"/>
      <c r="O31" s="191"/>
      <c r="P31" s="191"/>
      <c r="Q31" s="328">
        <v>45635.521018518521</v>
      </c>
      <c r="R31" s="191"/>
      <c r="S31" s="191"/>
    </row>
    <row r="32" spans="1:19" ht="22.5" customHeight="1">
      <c r="A32" s="181" t="s">
        <v>6951</v>
      </c>
      <c r="B32" s="224">
        <v>2024</v>
      </c>
      <c r="C32" s="224">
        <v>9</v>
      </c>
      <c r="D32" s="191" t="s">
        <v>66</v>
      </c>
      <c r="E32" s="326">
        <v>7.23</v>
      </c>
      <c r="F32" s="326">
        <v>7.23</v>
      </c>
      <c r="G32" s="326">
        <v>0</v>
      </c>
      <c r="H32" s="191" t="s">
        <v>39</v>
      </c>
      <c r="I32" s="191" t="s">
        <v>40</v>
      </c>
      <c r="J32" s="191" t="s">
        <v>67</v>
      </c>
      <c r="K32" s="191"/>
      <c r="L32" s="191"/>
      <c r="M32" s="191"/>
      <c r="N32" s="191"/>
      <c r="O32" s="191"/>
      <c r="P32" s="191"/>
      <c r="Q32" s="191" t="s">
        <v>6952</v>
      </c>
      <c r="R32" s="191"/>
      <c r="S32" s="191"/>
    </row>
    <row r="33" spans="1:19" ht="22.5" customHeight="1">
      <c r="A33" s="181" t="s">
        <v>6953</v>
      </c>
      <c r="B33" s="224">
        <v>2024</v>
      </c>
      <c r="C33" s="224">
        <v>9</v>
      </c>
      <c r="D33" s="191" t="s">
        <v>66</v>
      </c>
      <c r="E33" s="326">
        <v>9.5500000000000007</v>
      </c>
      <c r="F33" s="326">
        <v>9.5500000000000007</v>
      </c>
      <c r="G33" s="326">
        <v>0</v>
      </c>
      <c r="H33" s="191" t="s">
        <v>39</v>
      </c>
      <c r="I33" s="191" t="s">
        <v>40</v>
      </c>
      <c r="J33" s="191" t="s">
        <v>67</v>
      </c>
      <c r="K33" s="191"/>
      <c r="L33" s="191"/>
      <c r="M33" s="191"/>
      <c r="N33" s="191"/>
      <c r="O33" s="191"/>
      <c r="P33" s="191"/>
      <c r="Q33" s="191" t="s">
        <v>6954</v>
      </c>
      <c r="R33" s="191"/>
      <c r="S33" s="191"/>
    </row>
    <row r="34" spans="1:19" ht="22.5" customHeight="1">
      <c r="A34" s="181" t="s">
        <v>6953</v>
      </c>
      <c r="B34" s="224">
        <v>2024</v>
      </c>
      <c r="C34" s="224">
        <v>9</v>
      </c>
      <c r="D34" s="191" t="s">
        <v>6929</v>
      </c>
      <c r="E34" s="326">
        <v>-2</v>
      </c>
      <c r="F34" s="326">
        <v>0</v>
      </c>
      <c r="G34" s="326">
        <v>2</v>
      </c>
      <c r="H34" s="191" t="s">
        <v>39</v>
      </c>
      <c r="I34" s="191" t="s">
        <v>40</v>
      </c>
      <c r="J34" s="191" t="s">
        <v>6930</v>
      </c>
      <c r="K34" s="191"/>
      <c r="L34" s="191"/>
      <c r="M34" s="224">
        <v>5180</v>
      </c>
      <c r="N34" s="191" t="s">
        <v>42</v>
      </c>
      <c r="O34" s="191" t="s">
        <v>43</v>
      </c>
      <c r="P34" s="191"/>
      <c r="Q34" s="191" t="s">
        <v>6955</v>
      </c>
      <c r="R34" s="191"/>
      <c r="S34" s="191"/>
    </row>
    <row r="35" spans="1:19" ht="22.5" customHeight="1">
      <c r="A35" s="181" t="s">
        <v>6956</v>
      </c>
      <c r="B35" s="224">
        <v>2024</v>
      </c>
      <c r="C35" s="224">
        <v>9</v>
      </c>
      <c r="D35" s="191" t="s">
        <v>38</v>
      </c>
      <c r="E35" s="326">
        <v>-4.16</v>
      </c>
      <c r="F35" s="326">
        <v>0</v>
      </c>
      <c r="G35" s="326">
        <v>4.16</v>
      </c>
      <c r="H35" s="191" t="s">
        <v>39</v>
      </c>
      <c r="I35" s="191" t="s">
        <v>40</v>
      </c>
      <c r="J35" s="191" t="s">
        <v>41</v>
      </c>
      <c r="K35" s="191"/>
      <c r="L35" s="191"/>
      <c r="M35" s="224">
        <v>5180</v>
      </c>
      <c r="N35" s="191" t="s">
        <v>42</v>
      </c>
      <c r="O35" s="191" t="s">
        <v>43</v>
      </c>
      <c r="P35" s="191"/>
      <c r="Q35" s="191" t="s">
        <v>6957</v>
      </c>
      <c r="R35" s="191"/>
      <c r="S35" s="191"/>
    </row>
    <row r="36" spans="1:19" ht="22.5" customHeight="1">
      <c r="A36" s="181" t="s">
        <v>6956</v>
      </c>
      <c r="B36" s="224">
        <v>2024</v>
      </c>
      <c r="C36" s="224">
        <v>9</v>
      </c>
      <c r="D36" s="191" t="s">
        <v>66</v>
      </c>
      <c r="E36" s="326">
        <v>16.98</v>
      </c>
      <c r="F36" s="326">
        <v>16.98</v>
      </c>
      <c r="G36" s="326">
        <v>0</v>
      </c>
      <c r="H36" s="191" t="s">
        <v>39</v>
      </c>
      <c r="I36" s="191" t="s">
        <v>40</v>
      </c>
      <c r="J36" s="191" t="s">
        <v>67</v>
      </c>
      <c r="K36" s="191"/>
      <c r="L36" s="191"/>
      <c r="M36" s="191"/>
      <c r="N36" s="191"/>
      <c r="O36" s="191"/>
      <c r="P36" s="191"/>
      <c r="Q36" s="191" t="s">
        <v>6958</v>
      </c>
      <c r="R36" s="191"/>
      <c r="S36" s="191"/>
    </row>
    <row r="37" spans="1:19" ht="22.5" customHeight="1">
      <c r="A37" s="181" t="s">
        <v>6959</v>
      </c>
      <c r="B37" s="224">
        <v>2024</v>
      </c>
      <c r="C37" s="224">
        <v>9</v>
      </c>
      <c r="D37" s="191" t="s">
        <v>66</v>
      </c>
      <c r="E37" s="326">
        <v>15.31</v>
      </c>
      <c r="F37" s="326">
        <v>15.31</v>
      </c>
      <c r="G37" s="326">
        <v>0</v>
      </c>
      <c r="H37" s="191" t="s">
        <v>39</v>
      </c>
      <c r="I37" s="191" t="s">
        <v>40</v>
      </c>
      <c r="J37" s="191" t="s">
        <v>67</v>
      </c>
      <c r="K37" s="191"/>
      <c r="L37" s="191"/>
      <c r="M37" s="191"/>
      <c r="N37" s="191"/>
      <c r="O37" s="191"/>
      <c r="P37" s="191"/>
      <c r="Q37" s="191" t="s">
        <v>6960</v>
      </c>
      <c r="R37" s="191"/>
      <c r="S37" s="191"/>
    </row>
    <row r="38" spans="1:19" ht="22.5" customHeight="1">
      <c r="A38" s="181" t="s">
        <v>6961</v>
      </c>
      <c r="B38" s="224">
        <v>2024</v>
      </c>
      <c r="C38" s="224">
        <v>9</v>
      </c>
      <c r="D38" s="191" t="s">
        <v>66</v>
      </c>
      <c r="E38" s="326">
        <v>8.91</v>
      </c>
      <c r="F38" s="326">
        <v>8.91</v>
      </c>
      <c r="G38" s="326">
        <v>0</v>
      </c>
      <c r="H38" s="191" t="s">
        <v>39</v>
      </c>
      <c r="I38" s="191" t="s">
        <v>40</v>
      </c>
      <c r="J38" s="191" t="s">
        <v>67</v>
      </c>
      <c r="K38" s="191"/>
      <c r="L38" s="191"/>
      <c r="M38" s="191"/>
      <c r="N38" s="191"/>
      <c r="O38" s="191"/>
      <c r="P38" s="191"/>
      <c r="Q38" s="191" t="s">
        <v>6962</v>
      </c>
      <c r="R38" s="191"/>
      <c r="S38" s="191"/>
    </row>
    <row r="39" spans="1:19" ht="22.5" customHeight="1">
      <c r="A39" s="181" t="s">
        <v>6963</v>
      </c>
      <c r="B39" s="224">
        <v>2024</v>
      </c>
      <c r="C39" s="224">
        <v>9</v>
      </c>
      <c r="D39" s="191" t="s">
        <v>47</v>
      </c>
      <c r="E39" s="326">
        <v>-10.8</v>
      </c>
      <c r="F39" s="326">
        <v>0</v>
      </c>
      <c r="G39" s="326">
        <v>10.8</v>
      </c>
      <c r="H39" s="191" t="s">
        <v>39</v>
      </c>
      <c r="I39" s="191" t="s">
        <v>40</v>
      </c>
      <c r="J39" s="191" t="s">
        <v>48</v>
      </c>
      <c r="K39" s="191"/>
      <c r="L39" s="191"/>
      <c r="M39" s="224">
        <v>5180</v>
      </c>
      <c r="N39" s="191" t="s">
        <v>42</v>
      </c>
      <c r="O39" s="191" t="s">
        <v>49</v>
      </c>
      <c r="P39" s="191"/>
      <c r="Q39" s="191" t="s">
        <v>6964</v>
      </c>
      <c r="R39" s="191"/>
      <c r="S39" s="191"/>
    </row>
    <row r="40" spans="1:19" ht="22.5" customHeight="1">
      <c r="A40" s="181" t="s">
        <v>6965</v>
      </c>
      <c r="B40" s="224">
        <v>2024</v>
      </c>
      <c r="C40" s="224">
        <v>9</v>
      </c>
      <c r="D40" s="191" t="s">
        <v>66</v>
      </c>
      <c r="E40" s="326">
        <v>16.809999999999999</v>
      </c>
      <c r="F40" s="326">
        <v>16.809999999999999</v>
      </c>
      <c r="G40" s="326">
        <v>0</v>
      </c>
      <c r="H40" s="191" t="s">
        <v>39</v>
      </c>
      <c r="I40" s="191" t="s">
        <v>40</v>
      </c>
      <c r="J40" s="191" t="s">
        <v>67</v>
      </c>
      <c r="K40" s="191"/>
      <c r="L40" s="191"/>
      <c r="M40" s="191"/>
      <c r="N40" s="191"/>
      <c r="O40" s="191"/>
      <c r="P40" s="191"/>
      <c r="Q40" s="191" t="s">
        <v>6966</v>
      </c>
      <c r="R40" s="191"/>
      <c r="S40" s="191"/>
    </row>
    <row r="41" spans="1:19" ht="22.5" customHeight="1">
      <c r="A41" s="181" t="s">
        <v>6967</v>
      </c>
      <c r="B41" s="224">
        <v>2024</v>
      </c>
      <c r="C41" s="224">
        <v>9</v>
      </c>
      <c r="D41" s="191" t="s">
        <v>66</v>
      </c>
      <c r="E41" s="326">
        <v>3.04</v>
      </c>
      <c r="F41" s="326">
        <v>3.04</v>
      </c>
      <c r="G41" s="326">
        <v>0</v>
      </c>
      <c r="H41" s="191" t="s">
        <v>39</v>
      </c>
      <c r="I41" s="191" t="s">
        <v>40</v>
      </c>
      <c r="J41" s="191" t="s">
        <v>67</v>
      </c>
      <c r="K41" s="191"/>
      <c r="L41" s="191"/>
      <c r="M41" s="191"/>
      <c r="N41" s="191"/>
      <c r="O41" s="191"/>
      <c r="P41" s="191"/>
      <c r="Q41" s="191" t="s">
        <v>6968</v>
      </c>
      <c r="R41" s="191"/>
      <c r="S41" s="191"/>
    </row>
    <row r="42" spans="1:19" ht="22.5" customHeight="1">
      <c r="A42" s="181" t="s">
        <v>6969</v>
      </c>
      <c r="B42" s="224">
        <v>2024</v>
      </c>
      <c r="C42" s="224">
        <v>9</v>
      </c>
      <c r="D42" s="191" t="s">
        <v>66</v>
      </c>
      <c r="E42" s="326">
        <v>54.09</v>
      </c>
      <c r="F42" s="326">
        <v>54.09</v>
      </c>
      <c r="G42" s="326">
        <v>0</v>
      </c>
      <c r="H42" s="191" t="s">
        <v>39</v>
      </c>
      <c r="I42" s="191" t="s">
        <v>40</v>
      </c>
      <c r="J42" s="191" t="s">
        <v>67</v>
      </c>
      <c r="K42" s="191"/>
      <c r="L42" s="191"/>
      <c r="M42" s="191"/>
      <c r="N42" s="191"/>
      <c r="O42" s="191"/>
      <c r="P42" s="191"/>
      <c r="Q42" s="191" t="s">
        <v>6970</v>
      </c>
      <c r="R42" s="191"/>
      <c r="S42" s="191"/>
    </row>
    <row r="43" spans="1:19" ht="22.5" customHeight="1">
      <c r="A43" s="181" t="s">
        <v>6971</v>
      </c>
      <c r="B43" s="224">
        <v>2024</v>
      </c>
      <c r="C43" s="224">
        <v>9</v>
      </c>
      <c r="D43" s="191" t="s">
        <v>66</v>
      </c>
      <c r="E43" s="326">
        <v>7.8</v>
      </c>
      <c r="F43" s="326">
        <v>7.8</v>
      </c>
      <c r="G43" s="326">
        <v>0</v>
      </c>
      <c r="H43" s="191" t="s">
        <v>39</v>
      </c>
      <c r="I43" s="191" t="s">
        <v>40</v>
      </c>
      <c r="J43" s="191" t="s">
        <v>67</v>
      </c>
      <c r="K43" s="191"/>
      <c r="L43" s="191"/>
      <c r="M43" s="191"/>
      <c r="N43" s="191"/>
      <c r="O43" s="191"/>
      <c r="P43" s="191"/>
      <c r="Q43" s="191" t="s">
        <v>6972</v>
      </c>
      <c r="R43" s="191"/>
      <c r="S43" s="191"/>
    </row>
    <row r="44" spans="1:19" ht="22.5" customHeight="1">
      <c r="A44" s="181" t="s">
        <v>6973</v>
      </c>
      <c r="B44" s="224">
        <v>2024</v>
      </c>
      <c r="C44" s="224">
        <v>9</v>
      </c>
      <c r="D44" s="191" t="s">
        <v>66</v>
      </c>
      <c r="E44" s="326">
        <v>20.82</v>
      </c>
      <c r="F44" s="326">
        <v>20.82</v>
      </c>
      <c r="G44" s="326">
        <v>0</v>
      </c>
      <c r="H44" s="191" t="s">
        <v>39</v>
      </c>
      <c r="I44" s="191" t="s">
        <v>40</v>
      </c>
      <c r="J44" s="191" t="s">
        <v>67</v>
      </c>
      <c r="K44" s="191"/>
      <c r="L44" s="191"/>
      <c r="M44" s="191"/>
      <c r="N44" s="191"/>
      <c r="O44" s="191"/>
      <c r="P44" s="191"/>
      <c r="Q44" s="191" t="s">
        <v>6974</v>
      </c>
      <c r="R44" s="191"/>
      <c r="S44" s="191"/>
    </row>
    <row r="45" spans="1:19" ht="22.5" customHeight="1">
      <c r="A45" s="327">
        <v>45301</v>
      </c>
      <c r="B45" s="224">
        <v>2024</v>
      </c>
      <c r="C45" s="224">
        <v>10</v>
      </c>
      <c r="D45" s="191" t="s">
        <v>66</v>
      </c>
      <c r="E45" s="326">
        <v>9.1</v>
      </c>
      <c r="F45" s="326">
        <v>9.1</v>
      </c>
      <c r="G45" s="326">
        <v>0</v>
      </c>
      <c r="H45" s="191" t="s">
        <v>39</v>
      </c>
      <c r="I45" s="191" t="s">
        <v>40</v>
      </c>
      <c r="J45" s="191" t="s">
        <v>67</v>
      </c>
      <c r="K45" s="191"/>
      <c r="L45" s="191"/>
      <c r="M45" s="191"/>
      <c r="N45" s="191"/>
      <c r="O45" s="191"/>
      <c r="P45" s="191"/>
      <c r="Q45" s="328">
        <v>45301.522083333337</v>
      </c>
      <c r="R45" s="191"/>
      <c r="S45" s="191"/>
    </row>
    <row r="46" spans="1:19" ht="22.5" customHeight="1">
      <c r="A46" s="327">
        <v>45332</v>
      </c>
      <c r="B46" s="224">
        <v>2024</v>
      </c>
      <c r="C46" s="224">
        <v>10</v>
      </c>
      <c r="D46" s="191" t="s">
        <v>66</v>
      </c>
      <c r="E46" s="326">
        <v>51.26</v>
      </c>
      <c r="F46" s="326">
        <v>51.26</v>
      </c>
      <c r="G46" s="326">
        <v>0</v>
      </c>
      <c r="H46" s="191" t="s">
        <v>39</v>
      </c>
      <c r="I46" s="191" t="s">
        <v>40</v>
      </c>
      <c r="J46" s="191" t="s">
        <v>67</v>
      </c>
      <c r="K46" s="191"/>
      <c r="L46" s="191"/>
      <c r="M46" s="191"/>
      <c r="N46" s="191"/>
      <c r="O46" s="191"/>
      <c r="P46" s="191"/>
      <c r="Q46" s="328">
        <v>45332.52207175926</v>
      </c>
      <c r="R46" s="191"/>
      <c r="S46" s="191"/>
    </row>
    <row r="47" spans="1:19" ht="22.5" customHeight="1">
      <c r="A47" s="327">
        <v>45332</v>
      </c>
      <c r="B47" s="224">
        <v>2024</v>
      </c>
      <c r="C47" s="224">
        <v>10</v>
      </c>
      <c r="D47" s="191" t="s">
        <v>6929</v>
      </c>
      <c r="E47" s="326">
        <v>-66</v>
      </c>
      <c r="F47" s="326">
        <v>0</v>
      </c>
      <c r="G47" s="326">
        <v>66</v>
      </c>
      <c r="H47" s="191" t="s">
        <v>39</v>
      </c>
      <c r="I47" s="191" t="s">
        <v>40</v>
      </c>
      <c r="J47" s="191" t="s">
        <v>6930</v>
      </c>
      <c r="K47" s="191"/>
      <c r="L47" s="191"/>
      <c r="M47" s="224">
        <v>5180</v>
      </c>
      <c r="N47" s="191" t="s">
        <v>42</v>
      </c>
      <c r="O47" s="191" t="s">
        <v>43</v>
      </c>
      <c r="P47" s="191"/>
      <c r="Q47" s="328">
        <v>45332.4687962963</v>
      </c>
      <c r="R47" s="191"/>
      <c r="S47" s="191"/>
    </row>
    <row r="48" spans="1:19" ht="22.5" customHeight="1">
      <c r="A48" s="327">
        <v>45361</v>
      </c>
      <c r="B48" s="224">
        <v>2024</v>
      </c>
      <c r="C48" s="224">
        <v>10</v>
      </c>
      <c r="D48" s="191" t="s">
        <v>66</v>
      </c>
      <c r="E48" s="326">
        <v>42.11</v>
      </c>
      <c r="F48" s="326">
        <v>42.11</v>
      </c>
      <c r="G48" s="326">
        <v>0</v>
      </c>
      <c r="H48" s="191" t="s">
        <v>39</v>
      </c>
      <c r="I48" s="191" t="s">
        <v>40</v>
      </c>
      <c r="J48" s="191" t="s">
        <v>67</v>
      </c>
      <c r="K48" s="191"/>
      <c r="L48" s="191"/>
      <c r="M48" s="191"/>
      <c r="N48" s="191"/>
      <c r="O48" s="191"/>
      <c r="P48" s="191"/>
      <c r="Q48" s="328">
        <v>45361.521990740737</v>
      </c>
      <c r="R48" s="191"/>
      <c r="S48" s="191"/>
    </row>
    <row r="49" spans="1:19" ht="22.5" customHeight="1">
      <c r="A49" s="327">
        <v>45392</v>
      </c>
      <c r="B49" s="224">
        <v>2024</v>
      </c>
      <c r="C49" s="224">
        <v>10</v>
      </c>
      <c r="D49" s="191" t="s">
        <v>66</v>
      </c>
      <c r="E49" s="326">
        <v>10.81</v>
      </c>
      <c r="F49" s="326">
        <v>10.81</v>
      </c>
      <c r="G49" s="326">
        <v>0</v>
      </c>
      <c r="H49" s="191" t="s">
        <v>39</v>
      </c>
      <c r="I49" s="191" t="s">
        <v>40</v>
      </c>
      <c r="J49" s="191" t="s">
        <v>67</v>
      </c>
      <c r="K49" s="191"/>
      <c r="L49" s="191"/>
      <c r="M49" s="191"/>
      <c r="N49" s="191"/>
      <c r="O49" s="191"/>
      <c r="P49" s="191"/>
      <c r="Q49" s="328">
        <v>45392.521979166668</v>
      </c>
      <c r="R49" s="191"/>
      <c r="S49" s="191"/>
    </row>
    <row r="50" spans="1:19" ht="22.5" customHeight="1">
      <c r="A50" s="327">
        <v>45483</v>
      </c>
      <c r="B50" s="224">
        <v>2024</v>
      </c>
      <c r="C50" s="224">
        <v>10</v>
      </c>
      <c r="D50" s="191" t="s">
        <v>66</v>
      </c>
      <c r="E50" s="326">
        <v>7.46</v>
      </c>
      <c r="F50" s="326">
        <v>7.46</v>
      </c>
      <c r="G50" s="326">
        <v>0</v>
      </c>
      <c r="H50" s="191" t="s">
        <v>39</v>
      </c>
      <c r="I50" s="191" t="s">
        <v>40</v>
      </c>
      <c r="J50" s="191" t="s">
        <v>67</v>
      </c>
      <c r="K50" s="191"/>
      <c r="L50" s="191"/>
      <c r="M50" s="191"/>
      <c r="N50" s="191"/>
      <c r="O50" s="191"/>
      <c r="P50" s="191"/>
      <c r="Q50" s="328">
        <v>45483.526805555557</v>
      </c>
      <c r="R50" s="191"/>
      <c r="S50" s="191"/>
    </row>
    <row r="51" spans="1:19" ht="22.5" customHeight="1">
      <c r="A51" s="327">
        <v>45514</v>
      </c>
      <c r="B51" s="224">
        <v>2024</v>
      </c>
      <c r="C51" s="224">
        <v>10</v>
      </c>
      <c r="D51" s="191" t="s">
        <v>66</v>
      </c>
      <c r="E51" s="326">
        <v>33.03</v>
      </c>
      <c r="F51" s="326">
        <v>33.03</v>
      </c>
      <c r="G51" s="326">
        <v>0</v>
      </c>
      <c r="H51" s="191" t="s">
        <v>39</v>
      </c>
      <c r="I51" s="191" t="s">
        <v>40</v>
      </c>
      <c r="J51" s="191" t="s">
        <v>67</v>
      </c>
      <c r="K51" s="191"/>
      <c r="L51" s="191"/>
      <c r="M51" s="191"/>
      <c r="N51" s="191"/>
      <c r="O51" s="191"/>
      <c r="P51" s="191"/>
      <c r="Q51" s="328">
        <v>45514.522106481483</v>
      </c>
      <c r="R51" s="191"/>
      <c r="S51" s="191"/>
    </row>
    <row r="52" spans="1:19" ht="22.5" customHeight="1">
      <c r="A52" s="327">
        <v>45545</v>
      </c>
      <c r="B52" s="224">
        <v>2024</v>
      </c>
      <c r="C52" s="224">
        <v>10</v>
      </c>
      <c r="D52" s="191" t="s">
        <v>66</v>
      </c>
      <c r="E52" s="326">
        <v>64.540000000000006</v>
      </c>
      <c r="F52" s="326">
        <v>64.540000000000006</v>
      </c>
      <c r="G52" s="326">
        <v>0</v>
      </c>
      <c r="H52" s="191" t="s">
        <v>39</v>
      </c>
      <c r="I52" s="191" t="s">
        <v>40</v>
      </c>
      <c r="J52" s="191" t="s">
        <v>67</v>
      </c>
      <c r="K52" s="191"/>
      <c r="L52" s="191"/>
      <c r="M52" s="191"/>
      <c r="N52" s="191"/>
      <c r="O52" s="191"/>
      <c r="P52" s="191"/>
      <c r="Q52" s="328">
        <v>45545.522129629629</v>
      </c>
      <c r="R52" s="191"/>
      <c r="S52" s="191"/>
    </row>
    <row r="53" spans="1:19" ht="22.5" customHeight="1">
      <c r="A53" s="327">
        <v>45575</v>
      </c>
      <c r="B53" s="224">
        <v>2024</v>
      </c>
      <c r="C53" s="224">
        <v>10</v>
      </c>
      <c r="D53" s="191" t="s">
        <v>66</v>
      </c>
      <c r="E53" s="326">
        <v>6.08</v>
      </c>
      <c r="F53" s="326">
        <v>6.08</v>
      </c>
      <c r="G53" s="326">
        <v>0</v>
      </c>
      <c r="H53" s="191" t="s">
        <v>39</v>
      </c>
      <c r="I53" s="191" t="s">
        <v>40</v>
      </c>
      <c r="J53" s="191" t="s">
        <v>67</v>
      </c>
      <c r="K53" s="191"/>
      <c r="L53" s="191"/>
      <c r="M53" s="191"/>
      <c r="N53" s="191"/>
      <c r="O53" s="191"/>
      <c r="P53" s="191"/>
      <c r="Q53" s="330">
        <v>45575.521550925929</v>
      </c>
      <c r="R53" s="191"/>
      <c r="S53" s="191"/>
    </row>
    <row r="54" spans="1:19" ht="22.5" customHeight="1">
      <c r="A54" s="331">
        <v>45606</v>
      </c>
      <c r="B54" s="224">
        <v>2024</v>
      </c>
      <c r="C54" s="224">
        <v>10</v>
      </c>
      <c r="D54" s="191" t="s">
        <v>66</v>
      </c>
      <c r="E54" s="326">
        <v>2.6</v>
      </c>
      <c r="F54" s="326">
        <v>2.6</v>
      </c>
      <c r="G54" s="326">
        <v>0</v>
      </c>
      <c r="H54" s="191" t="s">
        <v>39</v>
      </c>
      <c r="I54" s="191" t="s">
        <v>40</v>
      </c>
      <c r="J54" s="191" t="s">
        <v>67</v>
      </c>
      <c r="K54" s="191"/>
      <c r="L54" s="191"/>
      <c r="M54" s="191"/>
      <c r="N54" s="191"/>
      <c r="O54" s="191"/>
      <c r="P54" s="191"/>
      <c r="Q54" s="330">
        <v>45606.522222222222</v>
      </c>
      <c r="R54" s="191"/>
      <c r="S54" s="191"/>
    </row>
    <row r="55" spans="1:19" ht="22.5" customHeight="1">
      <c r="A55" s="181" t="s">
        <v>6975</v>
      </c>
      <c r="B55" s="224">
        <v>2024</v>
      </c>
      <c r="C55" s="224">
        <v>10</v>
      </c>
      <c r="D55" s="191" t="s">
        <v>66</v>
      </c>
      <c r="E55" s="326">
        <v>1.1299999999999999</v>
      </c>
      <c r="F55" s="326">
        <v>1.1299999999999999</v>
      </c>
      <c r="G55" s="326">
        <v>0</v>
      </c>
      <c r="H55" s="191" t="s">
        <v>39</v>
      </c>
      <c r="I55" s="191" t="s">
        <v>40</v>
      </c>
      <c r="J55" s="191" t="s">
        <v>67</v>
      </c>
      <c r="K55" s="191"/>
      <c r="L55" s="191"/>
      <c r="M55" s="191"/>
      <c r="N55" s="191"/>
      <c r="O55" s="191"/>
      <c r="P55" s="191"/>
      <c r="Q55" s="191" t="s">
        <v>6976</v>
      </c>
      <c r="R55" s="191"/>
      <c r="S55" s="191"/>
    </row>
    <row r="56" spans="1:19" ht="22.5" customHeight="1">
      <c r="A56" s="181" t="s">
        <v>6975</v>
      </c>
      <c r="B56" s="224">
        <v>2024</v>
      </c>
      <c r="C56" s="224">
        <v>10</v>
      </c>
      <c r="D56" s="191" t="s">
        <v>6977</v>
      </c>
      <c r="E56" s="326">
        <v>-1.1000000000000001</v>
      </c>
      <c r="F56" s="326">
        <v>0</v>
      </c>
      <c r="G56" s="326">
        <v>1.1000000000000001</v>
      </c>
      <c r="H56" s="191" t="s">
        <v>39</v>
      </c>
      <c r="I56" s="191" t="s">
        <v>40</v>
      </c>
      <c r="J56" s="191" t="s">
        <v>6930</v>
      </c>
      <c r="K56" s="191"/>
      <c r="L56" s="191"/>
      <c r="M56" s="224">
        <v>5180</v>
      </c>
      <c r="N56" s="191" t="s">
        <v>42</v>
      </c>
      <c r="O56" s="191" t="s">
        <v>43</v>
      </c>
      <c r="P56" s="191"/>
      <c r="Q56" s="191" t="s">
        <v>6978</v>
      </c>
      <c r="R56" s="191"/>
      <c r="S56" s="191"/>
    </row>
    <row r="57" spans="1:19" ht="22.5" customHeight="1">
      <c r="A57" s="181" t="s">
        <v>6979</v>
      </c>
      <c r="B57" s="224">
        <v>2024</v>
      </c>
      <c r="C57" s="224">
        <v>10</v>
      </c>
      <c r="D57" s="191" t="s">
        <v>66</v>
      </c>
      <c r="E57" s="326">
        <v>16.899999999999999</v>
      </c>
      <c r="F57" s="326">
        <v>16.899999999999999</v>
      </c>
      <c r="G57" s="326">
        <v>0</v>
      </c>
      <c r="H57" s="191" t="s">
        <v>39</v>
      </c>
      <c r="I57" s="191" t="s">
        <v>40</v>
      </c>
      <c r="J57" s="191" t="s">
        <v>67</v>
      </c>
      <c r="K57" s="191"/>
      <c r="L57" s="191"/>
      <c r="M57" s="191"/>
      <c r="N57" s="191"/>
      <c r="O57" s="191"/>
      <c r="P57" s="191"/>
      <c r="Q57" s="191" t="s">
        <v>6980</v>
      </c>
      <c r="R57" s="191"/>
      <c r="S57" s="191"/>
    </row>
    <row r="58" spans="1:19" ht="22.5" customHeight="1">
      <c r="A58" s="181" t="s">
        <v>6981</v>
      </c>
      <c r="B58" s="224">
        <v>2024</v>
      </c>
      <c r="C58" s="224">
        <v>10</v>
      </c>
      <c r="D58" s="191" t="s">
        <v>66</v>
      </c>
      <c r="E58" s="326">
        <v>2.6</v>
      </c>
      <c r="F58" s="326">
        <v>2.6</v>
      </c>
      <c r="G58" s="326">
        <v>0</v>
      </c>
      <c r="H58" s="191" t="s">
        <v>39</v>
      </c>
      <c r="I58" s="191" t="s">
        <v>40</v>
      </c>
      <c r="J58" s="191" t="s">
        <v>67</v>
      </c>
      <c r="K58" s="191"/>
      <c r="L58" s="191"/>
      <c r="M58" s="191"/>
      <c r="N58" s="191"/>
      <c r="O58" s="191"/>
      <c r="P58" s="191"/>
      <c r="Q58" s="191" t="s">
        <v>6982</v>
      </c>
      <c r="R58" s="191"/>
      <c r="S58" s="191"/>
    </row>
    <row r="59" spans="1:19" ht="22.5" customHeight="1">
      <c r="A59" s="181" t="s">
        <v>6983</v>
      </c>
      <c r="B59" s="224">
        <v>2024</v>
      </c>
      <c r="C59" s="224">
        <v>10</v>
      </c>
      <c r="D59" s="191" t="s">
        <v>66</v>
      </c>
      <c r="E59" s="326">
        <v>8.2200000000000006</v>
      </c>
      <c r="F59" s="326">
        <v>8.2200000000000006</v>
      </c>
      <c r="G59" s="326">
        <v>0</v>
      </c>
      <c r="H59" s="191" t="s">
        <v>39</v>
      </c>
      <c r="I59" s="191" t="s">
        <v>40</v>
      </c>
      <c r="J59" s="191" t="s">
        <v>67</v>
      </c>
      <c r="K59" s="191"/>
      <c r="L59" s="191"/>
      <c r="M59" s="191"/>
      <c r="N59" s="191"/>
      <c r="O59" s="191"/>
      <c r="P59" s="191"/>
      <c r="Q59" s="191" t="s">
        <v>6984</v>
      </c>
      <c r="R59" s="191"/>
      <c r="S59" s="191"/>
    </row>
    <row r="60" spans="1:19" ht="22.5" customHeight="1">
      <c r="A60" s="181" t="s">
        <v>6985</v>
      </c>
      <c r="B60" s="224">
        <v>2024</v>
      </c>
      <c r="C60" s="224">
        <v>10</v>
      </c>
      <c r="D60" s="191" t="s">
        <v>47</v>
      </c>
      <c r="E60" s="326">
        <v>-10.8</v>
      </c>
      <c r="F60" s="326">
        <v>0</v>
      </c>
      <c r="G60" s="326">
        <v>10.8</v>
      </c>
      <c r="H60" s="191" t="s">
        <v>39</v>
      </c>
      <c r="I60" s="191" t="s">
        <v>40</v>
      </c>
      <c r="J60" s="191" t="s">
        <v>48</v>
      </c>
      <c r="K60" s="191"/>
      <c r="L60" s="191"/>
      <c r="M60" s="224">
        <v>5180</v>
      </c>
      <c r="N60" s="191" t="s">
        <v>42</v>
      </c>
      <c r="O60" s="191" t="s">
        <v>49</v>
      </c>
      <c r="P60" s="191"/>
      <c r="Q60" s="191" t="s">
        <v>6986</v>
      </c>
      <c r="R60" s="191"/>
      <c r="S60" s="191"/>
    </row>
    <row r="61" spans="1:19" ht="22.5" customHeight="1">
      <c r="A61" s="181" t="s">
        <v>6987</v>
      </c>
      <c r="B61" s="224">
        <v>2024</v>
      </c>
      <c r="C61" s="224">
        <v>10</v>
      </c>
      <c r="D61" s="191" t="s">
        <v>66</v>
      </c>
      <c r="E61" s="326">
        <v>12.68</v>
      </c>
      <c r="F61" s="326">
        <v>12.68</v>
      </c>
      <c r="G61" s="326">
        <v>0</v>
      </c>
      <c r="H61" s="191" t="s">
        <v>39</v>
      </c>
      <c r="I61" s="191" t="s">
        <v>40</v>
      </c>
      <c r="J61" s="191" t="s">
        <v>67</v>
      </c>
      <c r="K61" s="191"/>
      <c r="L61" s="191"/>
      <c r="M61" s="191"/>
      <c r="N61" s="191"/>
      <c r="O61" s="191"/>
      <c r="P61" s="191"/>
      <c r="Q61" s="191" t="s">
        <v>6988</v>
      </c>
      <c r="R61" s="191"/>
      <c r="S61" s="191"/>
    </row>
    <row r="62" spans="1:19" ht="22.5" customHeight="1">
      <c r="A62" s="181" t="s">
        <v>6989</v>
      </c>
      <c r="B62" s="224">
        <v>2024</v>
      </c>
      <c r="C62" s="224">
        <v>10</v>
      </c>
      <c r="D62" s="191" t="s">
        <v>66</v>
      </c>
      <c r="E62" s="326">
        <v>2.6</v>
      </c>
      <c r="F62" s="326">
        <v>2.6</v>
      </c>
      <c r="G62" s="326">
        <v>0</v>
      </c>
      <c r="H62" s="191" t="s">
        <v>39</v>
      </c>
      <c r="I62" s="191" t="s">
        <v>40</v>
      </c>
      <c r="J62" s="191" t="s">
        <v>67</v>
      </c>
      <c r="K62" s="191"/>
      <c r="L62" s="191"/>
      <c r="M62" s="191"/>
      <c r="N62" s="191"/>
      <c r="O62" s="191"/>
      <c r="P62" s="191"/>
      <c r="Q62" s="191" t="s">
        <v>6990</v>
      </c>
      <c r="R62" s="191"/>
      <c r="S62" s="191"/>
    </row>
    <row r="63" spans="1:19" ht="22.5" customHeight="1">
      <c r="A63" s="181" t="s">
        <v>6991</v>
      </c>
      <c r="B63" s="224">
        <v>2024</v>
      </c>
      <c r="C63" s="224">
        <v>10</v>
      </c>
      <c r="D63" s="191" t="s">
        <v>66</v>
      </c>
      <c r="E63" s="326">
        <v>10.82</v>
      </c>
      <c r="F63" s="326">
        <v>10.82</v>
      </c>
      <c r="G63" s="326">
        <v>0</v>
      </c>
      <c r="H63" s="191" t="s">
        <v>39</v>
      </c>
      <c r="I63" s="191" t="s">
        <v>40</v>
      </c>
      <c r="J63" s="191" t="s">
        <v>67</v>
      </c>
      <c r="K63" s="191"/>
      <c r="L63" s="191"/>
      <c r="M63" s="191"/>
      <c r="N63" s="191"/>
      <c r="O63" s="191"/>
      <c r="P63" s="191"/>
      <c r="Q63" s="191" t="s">
        <v>6992</v>
      </c>
      <c r="R63" s="191"/>
      <c r="S63" s="191"/>
    </row>
    <row r="64" spans="1:19" ht="22.5" customHeight="1">
      <c r="A64" s="181" t="s">
        <v>6993</v>
      </c>
      <c r="B64" s="224">
        <v>2024</v>
      </c>
      <c r="C64" s="224">
        <v>10</v>
      </c>
      <c r="D64" s="191" t="s">
        <v>66</v>
      </c>
      <c r="E64" s="326">
        <v>11.4</v>
      </c>
      <c r="F64" s="326">
        <v>11.4</v>
      </c>
      <c r="G64" s="326">
        <v>0</v>
      </c>
      <c r="H64" s="191" t="s">
        <v>39</v>
      </c>
      <c r="I64" s="191" t="s">
        <v>40</v>
      </c>
      <c r="J64" s="191" t="s">
        <v>67</v>
      </c>
      <c r="K64" s="191"/>
      <c r="L64" s="191"/>
      <c r="M64" s="191"/>
      <c r="N64" s="191"/>
      <c r="O64" s="191"/>
      <c r="P64" s="191"/>
      <c r="Q64" s="191" t="s">
        <v>6994</v>
      </c>
      <c r="R64" s="191"/>
      <c r="S64" s="191"/>
    </row>
    <row r="65" spans="1:19" ht="22.5" customHeight="1">
      <c r="A65" s="181" t="s">
        <v>6993</v>
      </c>
      <c r="B65" s="224">
        <v>2024</v>
      </c>
      <c r="C65" s="224">
        <v>10</v>
      </c>
      <c r="D65" s="191" t="s">
        <v>82</v>
      </c>
      <c r="E65" s="326">
        <v>-50</v>
      </c>
      <c r="F65" s="326">
        <v>0</v>
      </c>
      <c r="G65" s="326">
        <v>50</v>
      </c>
      <c r="H65" s="191" t="s">
        <v>39</v>
      </c>
      <c r="I65" s="191" t="s">
        <v>40</v>
      </c>
      <c r="J65" s="191" t="s">
        <v>83</v>
      </c>
      <c r="K65" s="191"/>
      <c r="L65" s="191"/>
      <c r="M65" s="224">
        <v>5180</v>
      </c>
      <c r="N65" s="191" t="s">
        <v>42</v>
      </c>
      <c r="O65" s="191" t="s">
        <v>84</v>
      </c>
      <c r="P65" s="191"/>
      <c r="Q65" s="191" t="s">
        <v>6995</v>
      </c>
      <c r="R65" s="191"/>
      <c r="S65" s="191"/>
    </row>
    <row r="66" spans="1:19" ht="22.5" customHeight="1">
      <c r="A66" s="181" t="s">
        <v>6996</v>
      </c>
      <c r="B66" s="224">
        <v>2024</v>
      </c>
      <c r="C66" s="224">
        <v>10</v>
      </c>
      <c r="D66" s="191" t="s">
        <v>66</v>
      </c>
      <c r="E66" s="326">
        <v>189.5</v>
      </c>
      <c r="F66" s="326">
        <v>189.5</v>
      </c>
      <c r="G66" s="326">
        <v>0</v>
      </c>
      <c r="H66" s="191" t="s">
        <v>39</v>
      </c>
      <c r="I66" s="191" t="s">
        <v>40</v>
      </c>
      <c r="J66" s="191" t="s">
        <v>67</v>
      </c>
      <c r="K66" s="191"/>
      <c r="L66" s="191"/>
      <c r="M66" s="191"/>
      <c r="N66" s="191"/>
      <c r="O66" s="191"/>
      <c r="P66" s="191"/>
      <c r="Q66" s="191" t="s">
        <v>6997</v>
      </c>
      <c r="R66" s="191"/>
      <c r="S66" s="191"/>
    </row>
    <row r="67" spans="1:19" ht="22.5" customHeight="1">
      <c r="A67" s="181" t="s">
        <v>6998</v>
      </c>
      <c r="B67" s="224">
        <v>2024</v>
      </c>
      <c r="C67" s="224">
        <v>10</v>
      </c>
      <c r="D67" s="191" t="s">
        <v>58</v>
      </c>
      <c r="E67" s="326">
        <v>-399</v>
      </c>
      <c r="F67" s="326">
        <v>0</v>
      </c>
      <c r="G67" s="326">
        <v>399</v>
      </c>
      <c r="H67" s="191" t="s">
        <v>39</v>
      </c>
      <c r="I67" s="191" t="s">
        <v>40</v>
      </c>
      <c r="J67" s="191" t="s">
        <v>59</v>
      </c>
      <c r="K67" s="191" t="s">
        <v>6999</v>
      </c>
      <c r="L67" s="191" t="s">
        <v>7000</v>
      </c>
      <c r="M67" s="191"/>
      <c r="N67" s="191"/>
      <c r="O67" s="191"/>
      <c r="P67" s="191"/>
      <c r="Q67" s="191" t="s">
        <v>7001</v>
      </c>
      <c r="R67" s="191"/>
      <c r="S67" s="191"/>
    </row>
    <row r="68" spans="1:19" ht="22.5" customHeight="1">
      <c r="A68" s="181" t="s">
        <v>6998</v>
      </c>
      <c r="B68" s="224">
        <v>2024</v>
      </c>
      <c r="C68" s="224">
        <v>10</v>
      </c>
      <c r="D68" s="191" t="s">
        <v>66</v>
      </c>
      <c r="E68" s="326">
        <v>106.96</v>
      </c>
      <c r="F68" s="326">
        <v>106.96</v>
      </c>
      <c r="G68" s="326">
        <v>0</v>
      </c>
      <c r="H68" s="191" t="s">
        <v>39</v>
      </c>
      <c r="I68" s="191" t="s">
        <v>40</v>
      </c>
      <c r="J68" s="191" t="s">
        <v>67</v>
      </c>
      <c r="K68" s="191"/>
      <c r="L68" s="191"/>
      <c r="M68" s="191"/>
      <c r="N68" s="191"/>
      <c r="O68" s="191"/>
      <c r="P68" s="191"/>
      <c r="Q68" s="191" t="s">
        <v>7002</v>
      </c>
      <c r="R68" s="191"/>
      <c r="S68" s="191"/>
    </row>
    <row r="69" spans="1:19" ht="22.5" customHeight="1">
      <c r="A69" s="181" t="s">
        <v>7003</v>
      </c>
      <c r="B69" s="224">
        <v>2024</v>
      </c>
      <c r="C69" s="224">
        <v>10</v>
      </c>
      <c r="D69" s="191" t="s">
        <v>66</v>
      </c>
      <c r="E69" s="326">
        <v>11.76</v>
      </c>
      <c r="F69" s="326">
        <v>11.76</v>
      </c>
      <c r="G69" s="326">
        <v>0</v>
      </c>
      <c r="H69" s="191" t="s">
        <v>39</v>
      </c>
      <c r="I69" s="191" t="s">
        <v>40</v>
      </c>
      <c r="J69" s="191" t="s">
        <v>67</v>
      </c>
      <c r="K69" s="191"/>
      <c r="L69" s="191"/>
      <c r="M69" s="191"/>
      <c r="N69" s="191"/>
      <c r="O69" s="191"/>
      <c r="P69" s="191"/>
      <c r="Q69" s="191" t="s">
        <v>7004</v>
      </c>
      <c r="R69" s="191"/>
      <c r="S69" s="191"/>
    </row>
    <row r="70" spans="1:19" ht="22.5" customHeight="1">
      <c r="A70" s="327">
        <v>45302</v>
      </c>
      <c r="B70" s="224">
        <v>2024</v>
      </c>
      <c r="C70" s="224">
        <v>11</v>
      </c>
      <c r="D70" s="191" t="s">
        <v>66</v>
      </c>
      <c r="E70" s="326">
        <v>47.61</v>
      </c>
      <c r="F70" s="326">
        <v>47.61</v>
      </c>
      <c r="G70" s="326">
        <v>0</v>
      </c>
      <c r="H70" s="191" t="s">
        <v>39</v>
      </c>
      <c r="I70" s="191" t="s">
        <v>40</v>
      </c>
      <c r="J70" s="191" t="s">
        <v>67</v>
      </c>
      <c r="K70" s="191"/>
      <c r="L70" s="191"/>
      <c r="M70" s="191"/>
      <c r="N70" s="191"/>
      <c r="O70" s="191"/>
      <c r="P70" s="191"/>
      <c r="Q70" s="328">
        <v>45302.524317129632</v>
      </c>
      <c r="R70" s="191"/>
      <c r="S70" s="191"/>
    </row>
    <row r="71" spans="1:19" ht="22.5" customHeight="1">
      <c r="A71" s="327">
        <v>45333</v>
      </c>
      <c r="B71" s="224">
        <v>2024</v>
      </c>
      <c r="C71" s="224">
        <v>11</v>
      </c>
      <c r="D71" s="191" t="s">
        <v>6977</v>
      </c>
      <c r="E71" s="326">
        <v>-68</v>
      </c>
      <c r="F71" s="326">
        <v>0</v>
      </c>
      <c r="G71" s="326">
        <v>68</v>
      </c>
      <c r="H71" s="191" t="s">
        <v>39</v>
      </c>
      <c r="I71" s="191" t="s">
        <v>40</v>
      </c>
      <c r="J71" s="191" t="s">
        <v>6930</v>
      </c>
      <c r="K71" s="191"/>
      <c r="L71" s="191"/>
      <c r="M71" s="224">
        <v>5180</v>
      </c>
      <c r="N71" s="191" t="s">
        <v>42</v>
      </c>
      <c r="O71" s="191" t="s">
        <v>43</v>
      </c>
      <c r="P71" s="191"/>
      <c r="Q71" s="328">
        <v>45333.441759259258</v>
      </c>
      <c r="R71" s="191"/>
      <c r="S71" s="191"/>
    </row>
    <row r="72" spans="1:19" ht="22.5" customHeight="1">
      <c r="A72" s="327">
        <v>45393</v>
      </c>
      <c r="B72" s="224">
        <v>2024</v>
      </c>
      <c r="C72" s="224">
        <v>11</v>
      </c>
      <c r="D72" s="191" t="s">
        <v>72</v>
      </c>
      <c r="E72" s="326">
        <v>300</v>
      </c>
      <c r="F72" s="326">
        <v>300</v>
      </c>
      <c r="G72" s="326">
        <v>0</v>
      </c>
      <c r="H72" s="191" t="s">
        <v>39</v>
      </c>
      <c r="I72" s="191" t="s">
        <v>40</v>
      </c>
      <c r="J72" s="191" t="s">
        <v>73</v>
      </c>
      <c r="K72" s="191" t="s">
        <v>74</v>
      </c>
      <c r="L72" s="191"/>
      <c r="M72" s="191"/>
      <c r="N72" s="191"/>
      <c r="O72" s="191"/>
      <c r="P72" s="191"/>
      <c r="Q72" s="328">
        <v>45393.889293981483</v>
      </c>
      <c r="R72" s="191"/>
      <c r="S72" s="191"/>
    </row>
    <row r="73" spans="1:19" ht="22.5" customHeight="1">
      <c r="A73" s="327">
        <v>45393</v>
      </c>
      <c r="B73" s="224">
        <v>2024</v>
      </c>
      <c r="C73" s="224">
        <v>11</v>
      </c>
      <c r="D73" s="191" t="s">
        <v>66</v>
      </c>
      <c r="E73" s="326">
        <v>68.760000000000005</v>
      </c>
      <c r="F73" s="326">
        <v>68.760000000000005</v>
      </c>
      <c r="G73" s="326">
        <v>0</v>
      </c>
      <c r="H73" s="191" t="s">
        <v>39</v>
      </c>
      <c r="I73" s="191" t="s">
        <v>40</v>
      </c>
      <c r="J73" s="191" t="s">
        <v>67</v>
      </c>
      <c r="K73" s="191"/>
      <c r="L73" s="191"/>
      <c r="M73" s="191"/>
      <c r="N73" s="191"/>
      <c r="O73" s="191"/>
      <c r="P73" s="191"/>
      <c r="Q73" s="328">
        <v>45393.625219907408</v>
      </c>
      <c r="R73" s="191"/>
      <c r="S73" s="191"/>
    </row>
    <row r="74" spans="1:19" ht="22.5" customHeight="1">
      <c r="A74" s="327">
        <v>45393</v>
      </c>
      <c r="B74" s="224">
        <v>2024</v>
      </c>
      <c r="C74" s="224">
        <v>11</v>
      </c>
      <c r="D74" s="191" t="s">
        <v>82</v>
      </c>
      <c r="E74" s="326">
        <v>-250</v>
      </c>
      <c r="F74" s="326">
        <v>0</v>
      </c>
      <c r="G74" s="326">
        <v>250</v>
      </c>
      <c r="H74" s="191" t="s">
        <v>39</v>
      </c>
      <c r="I74" s="191" t="s">
        <v>40</v>
      </c>
      <c r="J74" s="191" t="s">
        <v>83</v>
      </c>
      <c r="K74" s="191"/>
      <c r="L74" s="191"/>
      <c r="M74" s="224">
        <v>5180</v>
      </c>
      <c r="N74" s="191" t="s">
        <v>42</v>
      </c>
      <c r="O74" s="191" t="s">
        <v>84</v>
      </c>
      <c r="P74" s="191"/>
      <c r="Q74" s="328">
        <v>45393.557789351849</v>
      </c>
      <c r="R74" s="191"/>
      <c r="S74" s="191"/>
    </row>
    <row r="75" spans="1:19" ht="22.5" customHeight="1">
      <c r="A75" s="327">
        <v>45423</v>
      </c>
      <c r="B75" s="224">
        <v>2024</v>
      </c>
      <c r="C75" s="224">
        <v>11</v>
      </c>
      <c r="D75" s="191" t="s">
        <v>72</v>
      </c>
      <c r="E75" s="326">
        <v>441.87</v>
      </c>
      <c r="F75" s="326">
        <v>441.87</v>
      </c>
      <c r="G75" s="326">
        <v>0</v>
      </c>
      <c r="H75" s="191" t="s">
        <v>39</v>
      </c>
      <c r="I75" s="191" t="s">
        <v>40</v>
      </c>
      <c r="J75" s="191" t="s">
        <v>7005</v>
      </c>
      <c r="K75" s="191" t="s">
        <v>74</v>
      </c>
      <c r="L75" s="191"/>
      <c r="M75" s="191"/>
      <c r="N75" s="191"/>
      <c r="O75" s="191"/>
      <c r="P75" s="191"/>
      <c r="Q75" s="328">
        <v>45423.979629629626</v>
      </c>
      <c r="R75" s="191"/>
      <c r="S75" s="191"/>
    </row>
    <row r="76" spans="1:19" ht="22.5" customHeight="1">
      <c r="A76" s="327">
        <v>45423</v>
      </c>
      <c r="B76" s="224">
        <v>2024</v>
      </c>
      <c r="C76" s="224">
        <v>11</v>
      </c>
      <c r="D76" s="191" t="s">
        <v>66</v>
      </c>
      <c r="E76" s="326">
        <v>83.7</v>
      </c>
      <c r="F76" s="326">
        <v>83.7</v>
      </c>
      <c r="G76" s="326">
        <v>0</v>
      </c>
      <c r="H76" s="191" t="s">
        <v>39</v>
      </c>
      <c r="I76" s="191" t="s">
        <v>40</v>
      </c>
      <c r="J76" s="191" t="s">
        <v>67</v>
      </c>
      <c r="K76" s="191"/>
      <c r="L76" s="191"/>
      <c r="M76" s="191"/>
      <c r="N76" s="191"/>
      <c r="O76" s="191"/>
      <c r="P76" s="191"/>
      <c r="Q76" s="328">
        <v>45423.564409722225</v>
      </c>
      <c r="R76" s="191"/>
      <c r="S76" s="191"/>
    </row>
    <row r="77" spans="1:19" ht="22.5" customHeight="1">
      <c r="A77" s="327">
        <v>45454</v>
      </c>
      <c r="B77" s="224">
        <v>2024</v>
      </c>
      <c r="C77" s="224">
        <v>11</v>
      </c>
      <c r="D77" s="191" t="s">
        <v>58</v>
      </c>
      <c r="E77" s="326">
        <v>-886.48</v>
      </c>
      <c r="F77" s="326">
        <v>0</v>
      </c>
      <c r="G77" s="326">
        <v>886.48</v>
      </c>
      <c r="H77" s="191" t="s">
        <v>39</v>
      </c>
      <c r="I77" s="191" t="s">
        <v>40</v>
      </c>
      <c r="J77" s="191" t="s">
        <v>59</v>
      </c>
      <c r="K77" s="191" t="s">
        <v>7006</v>
      </c>
      <c r="L77" s="191"/>
      <c r="M77" s="191"/>
      <c r="N77" s="191"/>
      <c r="O77" s="191"/>
      <c r="P77" s="191"/>
      <c r="Q77" s="328">
        <v>45454.649675925924</v>
      </c>
      <c r="R77" s="191"/>
      <c r="S77" s="191"/>
    </row>
    <row r="78" spans="1:19" ht="22.5" customHeight="1">
      <c r="A78" s="327">
        <v>45454</v>
      </c>
      <c r="B78" s="224">
        <v>2024</v>
      </c>
      <c r="C78" s="224">
        <v>11</v>
      </c>
      <c r="D78" s="191" t="s">
        <v>66</v>
      </c>
      <c r="E78" s="326">
        <v>306.55</v>
      </c>
      <c r="F78" s="326">
        <v>306.55</v>
      </c>
      <c r="G78" s="326">
        <v>0</v>
      </c>
      <c r="H78" s="191" t="s">
        <v>39</v>
      </c>
      <c r="I78" s="191" t="s">
        <v>40</v>
      </c>
      <c r="J78" s="191" t="s">
        <v>67</v>
      </c>
      <c r="K78" s="191"/>
      <c r="L78" s="191"/>
      <c r="M78" s="191"/>
      <c r="N78" s="191"/>
      <c r="O78" s="191"/>
      <c r="P78" s="191"/>
      <c r="Q78" s="328">
        <v>45454.563194444447</v>
      </c>
      <c r="R78" s="191"/>
      <c r="S78" s="191"/>
    </row>
    <row r="79" spans="1:19" ht="22.5" customHeight="1">
      <c r="A79" s="327">
        <v>45484</v>
      </c>
      <c r="B79" s="224">
        <v>2024</v>
      </c>
      <c r="C79" s="224">
        <v>11</v>
      </c>
      <c r="D79" s="191" t="s">
        <v>66</v>
      </c>
      <c r="E79" s="326">
        <v>301.69</v>
      </c>
      <c r="F79" s="326">
        <v>301.69</v>
      </c>
      <c r="G79" s="326">
        <v>0</v>
      </c>
      <c r="H79" s="191" t="s">
        <v>39</v>
      </c>
      <c r="I79" s="191" t="s">
        <v>40</v>
      </c>
      <c r="J79" s="191" t="s">
        <v>67</v>
      </c>
      <c r="K79" s="191"/>
      <c r="L79" s="191"/>
      <c r="M79" s="191"/>
      <c r="N79" s="191"/>
      <c r="O79" s="191"/>
      <c r="P79" s="191"/>
      <c r="Q79" s="328">
        <v>45484.563090277778</v>
      </c>
      <c r="R79" s="191"/>
      <c r="S79" s="191"/>
    </row>
    <row r="80" spans="1:19" ht="22.5" customHeight="1">
      <c r="A80" s="327">
        <v>45515</v>
      </c>
      <c r="B80" s="224">
        <v>2024</v>
      </c>
      <c r="C80" s="224">
        <v>11</v>
      </c>
      <c r="D80" s="191" t="s">
        <v>66</v>
      </c>
      <c r="E80" s="326">
        <v>2.89</v>
      </c>
      <c r="F80" s="326">
        <v>2.89</v>
      </c>
      <c r="G80" s="326">
        <v>0</v>
      </c>
      <c r="H80" s="191" t="s">
        <v>39</v>
      </c>
      <c r="I80" s="191" t="s">
        <v>40</v>
      </c>
      <c r="J80" s="191" t="s">
        <v>67</v>
      </c>
      <c r="K80" s="191"/>
      <c r="L80" s="191"/>
      <c r="M80" s="191"/>
      <c r="N80" s="191"/>
      <c r="O80" s="191"/>
      <c r="P80" s="191"/>
      <c r="Q80" s="328">
        <v>45515.563483796293</v>
      </c>
      <c r="R80" s="191"/>
      <c r="S80" s="191"/>
    </row>
    <row r="81" spans="1:19" ht="22.5" customHeight="1">
      <c r="A81" s="331">
        <v>45637</v>
      </c>
      <c r="B81" s="224">
        <v>2024</v>
      </c>
      <c r="C81" s="224">
        <v>11</v>
      </c>
      <c r="D81" s="191" t="s">
        <v>66</v>
      </c>
      <c r="E81" s="326">
        <v>28.08</v>
      </c>
      <c r="F81" s="326">
        <v>28.08</v>
      </c>
      <c r="G81" s="326">
        <v>0</v>
      </c>
      <c r="H81" s="191" t="s">
        <v>39</v>
      </c>
      <c r="I81" s="191" t="s">
        <v>40</v>
      </c>
      <c r="J81" s="191" t="s">
        <v>67</v>
      </c>
      <c r="K81" s="191"/>
      <c r="L81" s="191"/>
      <c r="M81" s="191"/>
      <c r="N81" s="191"/>
      <c r="O81" s="191"/>
      <c r="P81" s="191"/>
      <c r="Q81" s="330">
        <v>45637.566574074073</v>
      </c>
      <c r="R81" s="191"/>
      <c r="S81" s="191"/>
    </row>
    <row r="82" spans="1:19" ht="22.5" customHeight="1">
      <c r="A82" s="181" t="s">
        <v>7007</v>
      </c>
      <c r="B82" s="224">
        <v>2024</v>
      </c>
      <c r="C82" s="224">
        <v>11</v>
      </c>
      <c r="D82" s="191" t="s">
        <v>66</v>
      </c>
      <c r="E82" s="326">
        <v>26.7</v>
      </c>
      <c r="F82" s="326">
        <v>26.7</v>
      </c>
      <c r="G82" s="326">
        <v>0</v>
      </c>
      <c r="H82" s="191" t="s">
        <v>39</v>
      </c>
      <c r="I82" s="191" t="s">
        <v>40</v>
      </c>
      <c r="J82" s="191" t="s">
        <v>67</v>
      </c>
      <c r="K82" s="191"/>
      <c r="L82" s="191"/>
      <c r="M82" s="191"/>
      <c r="N82" s="191"/>
      <c r="O82" s="191"/>
      <c r="P82" s="191"/>
      <c r="Q82" s="191" t="s">
        <v>7008</v>
      </c>
      <c r="R82" s="191"/>
      <c r="S82" s="191"/>
    </row>
    <row r="83" spans="1:19" ht="22.5" customHeight="1">
      <c r="A83" s="181" t="s">
        <v>7009</v>
      </c>
      <c r="B83" s="224">
        <v>2024</v>
      </c>
      <c r="C83" s="224">
        <v>11</v>
      </c>
      <c r="D83" s="191" t="s">
        <v>66</v>
      </c>
      <c r="E83" s="326">
        <v>375.84</v>
      </c>
      <c r="F83" s="326">
        <v>375.84</v>
      </c>
      <c r="G83" s="326">
        <v>0</v>
      </c>
      <c r="H83" s="191" t="s">
        <v>39</v>
      </c>
      <c r="I83" s="191" t="s">
        <v>40</v>
      </c>
      <c r="J83" s="191" t="s">
        <v>67</v>
      </c>
      <c r="K83" s="191"/>
      <c r="L83" s="191"/>
      <c r="M83" s="191"/>
      <c r="N83" s="191"/>
      <c r="O83" s="191"/>
      <c r="P83" s="191"/>
      <c r="Q83" s="191" t="s">
        <v>7010</v>
      </c>
      <c r="R83" s="191"/>
      <c r="S83" s="191"/>
    </row>
    <row r="84" spans="1:19" ht="22.5" customHeight="1">
      <c r="A84" s="181" t="s">
        <v>7011</v>
      </c>
      <c r="B84" s="224">
        <v>2024</v>
      </c>
      <c r="C84" s="224">
        <v>11</v>
      </c>
      <c r="D84" s="191" t="s">
        <v>66</v>
      </c>
      <c r="E84" s="326">
        <v>4.0999999999999996</v>
      </c>
      <c r="F84" s="326">
        <v>4.0999999999999996</v>
      </c>
      <c r="G84" s="326">
        <v>0</v>
      </c>
      <c r="H84" s="191" t="s">
        <v>39</v>
      </c>
      <c r="I84" s="191" t="s">
        <v>40</v>
      </c>
      <c r="J84" s="191" t="s">
        <v>67</v>
      </c>
      <c r="K84" s="191"/>
      <c r="L84" s="191"/>
      <c r="M84" s="191"/>
      <c r="N84" s="191"/>
      <c r="O84" s="191"/>
      <c r="P84" s="191"/>
      <c r="Q84" s="191" t="s">
        <v>7012</v>
      </c>
      <c r="R84" s="191"/>
      <c r="S84" s="191"/>
    </row>
    <row r="85" spans="1:19" ht="22.5" customHeight="1">
      <c r="A85" s="181" t="s">
        <v>7013</v>
      </c>
      <c r="B85" s="224">
        <v>2024</v>
      </c>
      <c r="C85" s="224">
        <v>11</v>
      </c>
      <c r="D85" s="191" t="s">
        <v>66</v>
      </c>
      <c r="E85" s="326">
        <v>26.47</v>
      </c>
      <c r="F85" s="326">
        <v>26.47</v>
      </c>
      <c r="G85" s="326">
        <v>0</v>
      </c>
      <c r="H85" s="191" t="s">
        <v>39</v>
      </c>
      <c r="I85" s="191" t="s">
        <v>40</v>
      </c>
      <c r="J85" s="191" t="s">
        <v>67</v>
      </c>
      <c r="K85" s="191"/>
      <c r="L85" s="191"/>
      <c r="M85" s="191"/>
      <c r="N85" s="191"/>
      <c r="O85" s="191"/>
      <c r="P85" s="191"/>
      <c r="Q85" s="191" t="s">
        <v>7014</v>
      </c>
      <c r="R85" s="191"/>
      <c r="S85" s="191"/>
    </row>
    <row r="86" spans="1:19" ht="22.5" customHeight="1">
      <c r="A86" s="181" t="s">
        <v>7015</v>
      </c>
      <c r="B86" s="224">
        <v>2024</v>
      </c>
      <c r="C86" s="224">
        <v>11</v>
      </c>
      <c r="D86" s="191" t="s">
        <v>66</v>
      </c>
      <c r="E86" s="326">
        <v>0.73</v>
      </c>
      <c r="F86" s="326">
        <v>0.73</v>
      </c>
      <c r="G86" s="326">
        <v>0</v>
      </c>
      <c r="H86" s="191" t="s">
        <v>39</v>
      </c>
      <c r="I86" s="191" t="s">
        <v>40</v>
      </c>
      <c r="J86" s="191" t="s">
        <v>67</v>
      </c>
      <c r="K86" s="191"/>
      <c r="L86" s="191"/>
      <c r="M86" s="191"/>
      <c r="N86" s="191"/>
      <c r="O86" s="191"/>
      <c r="P86" s="191"/>
      <c r="Q86" s="191" t="s">
        <v>7016</v>
      </c>
      <c r="R86" s="191"/>
      <c r="S86" s="191"/>
    </row>
    <row r="87" spans="1:19" ht="22.5" customHeight="1">
      <c r="A87" s="181" t="s">
        <v>7017</v>
      </c>
      <c r="B87" s="224">
        <v>2024</v>
      </c>
      <c r="C87" s="224">
        <v>11</v>
      </c>
      <c r="D87" s="191" t="s">
        <v>66</v>
      </c>
      <c r="E87" s="326">
        <v>27.82</v>
      </c>
      <c r="F87" s="326">
        <v>27.82</v>
      </c>
      <c r="G87" s="326">
        <v>0</v>
      </c>
      <c r="H87" s="191" t="s">
        <v>39</v>
      </c>
      <c r="I87" s="191" t="s">
        <v>40</v>
      </c>
      <c r="J87" s="191" t="s">
        <v>67</v>
      </c>
      <c r="K87" s="191"/>
      <c r="L87" s="191"/>
      <c r="M87" s="191"/>
      <c r="N87" s="191"/>
      <c r="O87" s="191"/>
      <c r="P87" s="191"/>
      <c r="Q87" s="191" t="s">
        <v>7018</v>
      </c>
      <c r="R87" s="191"/>
      <c r="S87" s="191"/>
    </row>
    <row r="88" spans="1:19" ht="22.5" customHeight="1">
      <c r="A88" s="181" t="s">
        <v>7019</v>
      </c>
      <c r="B88" s="224">
        <v>2024</v>
      </c>
      <c r="C88" s="224">
        <v>11</v>
      </c>
      <c r="D88" s="191" t="s">
        <v>66</v>
      </c>
      <c r="E88" s="326">
        <v>0.67</v>
      </c>
      <c r="F88" s="326">
        <v>0.67</v>
      </c>
      <c r="G88" s="326">
        <v>0</v>
      </c>
      <c r="H88" s="191" t="s">
        <v>39</v>
      </c>
      <c r="I88" s="191" t="s">
        <v>40</v>
      </c>
      <c r="J88" s="191" t="s">
        <v>67</v>
      </c>
      <c r="K88" s="191"/>
      <c r="L88" s="191"/>
      <c r="M88" s="191"/>
      <c r="N88" s="191"/>
      <c r="O88" s="191"/>
      <c r="P88" s="191"/>
      <c r="Q88" s="191" t="s">
        <v>7020</v>
      </c>
      <c r="R88" s="191"/>
      <c r="S88" s="191"/>
    </row>
    <row r="89" spans="1:19" ht="22.5" customHeight="1">
      <c r="A89" s="181" t="s">
        <v>7021</v>
      </c>
      <c r="B89" s="224">
        <v>2024</v>
      </c>
      <c r="C89" s="224">
        <v>11</v>
      </c>
      <c r="D89" s="191" t="s">
        <v>66</v>
      </c>
      <c r="E89" s="326">
        <v>53.57</v>
      </c>
      <c r="F89" s="326">
        <v>53.57</v>
      </c>
      <c r="G89" s="326">
        <v>0</v>
      </c>
      <c r="H89" s="191" t="s">
        <v>39</v>
      </c>
      <c r="I89" s="191" t="s">
        <v>40</v>
      </c>
      <c r="J89" s="191" t="s">
        <v>67</v>
      </c>
      <c r="K89" s="191"/>
      <c r="L89" s="191"/>
      <c r="M89" s="191"/>
      <c r="N89" s="191"/>
      <c r="O89" s="191"/>
      <c r="P89" s="191"/>
      <c r="Q89" s="191" t="s">
        <v>7022</v>
      </c>
      <c r="R89" s="191"/>
      <c r="S89" s="191"/>
    </row>
    <row r="90" spans="1:19" ht="22.5" customHeight="1">
      <c r="A90" s="181" t="s">
        <v>7021</v>
      </c>
      <c r="B90" s="224">
        <v>2024</v>
      </c>
      <c r="C90" s="224">
        <v>11</v>
      </c>
      <c r="D90" s="191" t="s">
        <v>47</v>
      </c>
      <c r="E90" s="326">
        <v>-10.8</v>
      </c>
      <c r="F90" s="326">
        <v>0</v>
      </c>
      <c r="G90" s="326">
        <v>10.8</v>
      </c>
      <c r="H90" s="191" t="s">
        <v>39</v>
      </c>
      <c r="I90" s="191" t="s">
        <v>40</v>
      </c>
      <c r="J90" s="191" t="s">
        <v>48</v>
      </c>
      <c r="K90" s="191"/>
      <c r="L90" s="191"/>
      <c r="M90" s="224">
        <v>5180</v>
      </c>
      <c r="N90" s="191" t="s">
        <v>42</v>
      </c>
      <c r="O90" s="191" t="s">
        <v>49</v>
      </c>
      <c r="P90" s="191"/>
      <c r="Q90" s="191" t="s">
        <v>7023</v>
      </c>
      <c r="R90" s="191"/>
      <c r="S90" s="191"/>
    </row>
    <row r="91" spans="1:19" ht="22.5" customHeight="1">
      <c r="A91" s="181" t="s">
        <v>7024</v>
      </c>
      <c r="B91" s="224">
        <v>2024</v>
      </c>
      <c r="C91" s="224">
        <v>11</v>
      </c>
      <c r="D91" s="191" t="s">
        <v>66</v>
      </c>
      <c r="E91" s="326">
        <v>138.08000000000001</v>
      </c>
      <c r="F91" s="326">
        <v>138.08000000000001</v>
      </c>
      <c r="G91" s="326">
        <v>0</v>
      </c>
      <c r="H91" s="191" t="s">
        <v>39</v>
      </c>
      <c r="I91" s="191" t="s">
        <v>40</v>
      </c>
      <c r="J91" s="191" t="s">
        <v>67</v>
      </c>
      <c r="K91" s="191"/>
      <c r="L91" s="191"/>
      <c r="M91" s="191"/>
      <c r="N91" s="191"/>
      <c r="O91" s="191"/>
      <c r="P91" s="191"/>
      <c r="Q91" s="191" t="s">
        <v>7025</v>
      </c>
      <c r="R91" s="191"/>
      <c r="S91" s="191"/>
    </row>
    <row r="92" spans="1:19" ht="22.5" customHeight="1">
      <c r="A92" s="181" t="s">
        <v>7026</v>
      </c>
      <c r="B92" s="224">
        <v>2024</v>
      </c>
      <c r="C92" s="224">
        <v>11</v>
      </c>
      <c r="D92" s="191" t="s">
        <v>66</v>
      </c>
      <c r="E92" s="326">
        <v>254.01</v>
      </c>
      <c r="F92" s="326">
        <v>254.01</v>
      </c>
      <c r="G92" s="326">
        <v>0</v>
      </c>
      <c r="H92" s="191" t="s">
        <v>39</v>
      </c>
      <c r="I92" s="191" t="s">
        <v>40</v>
      </c>
      <c r="J92" s="191" t="s">
        <v>67</v>
      </c>
      <c r="K92" s="191"/>
      <c r="L92" s="191"/>
      <c r="M92" s="191"/>
      <c r="N92" s="191"/>
      <c r="O92" s="191"/>
      <c r="P92" s="191"/>
      <c r="Q92" s="191" t="s">
        <v>7027</v>
      </c>
      <c r="R92" s="191"/>
      <c r="S92" s="191"/>
    </row>
    <row r="93" spans="1:19" ht="22.5" customHeight="1">
      <c r="A93" s="181" t="s">
        <v>7026</v>
      </c>
      <c r="B93" s="224">
        <v>2024</v>
      </c>
      <c r="C93" s="224">
        <v>11</v>
      </c>
      <c r="D93" s="191" t="s">
        <v>62</v>
      </c>
      <c r="E93" s="326">
        <v>-2</v>
      </c>
      <c r="F93" s="326">
        <v>0</v>
      </c>
      <c r="G93" s="326">
        <v>2</v>
      </c>
      <c r="H93" s="191" t="s">
        <v>39</v>
      </c>
      <c r="I93" s="191" t="s">
        <v>40</v>
      </c>
      <c r="J93" s="191" t="s">
        <v>62</v>
      </c>
      <c r="K93" s="191"/>
      <c r="L93" s="191"/>
      <c r="M93" s="224">
        <v>4422</v>
      </c>
      <c r="N93" s="191" t="s">
        <v>63</v>
      </c>
      <c r="O93" s="191" t="s">
        <v>43</v>
      </c>
      <c r="P93" s="191"/>
      <c r="Q93" s="191" t="s">
        <v>7028</v>
      </c>
      <c r="R93" s="191"/>
      <c r="S93" s="191"/>
    </row>
    <row r="94" spans="1:19" ht="22.5" customHeight="1">
      <c r="A94" s="181" t="s">
        <v>7026</v>
      </c>
      <c r="B94" s="224">
        <v>2024</v>
      </c>
      <c r="C94" s="224">
        <v>11</v>
      </c>
      <c r="D94" s="191" t="s">
        <v>62</v>
      </c>
      <c r="E94" s="326">
        <v>-2</v>
      </c>
      <c r="F94" s="326">
        <v>0</v>
      </c>
      <c r="G94" s="326">
        <v>2</v>
      </c>
      <c r="H94" s="191" t="s">
        <v>39</v>
      </c>
      <c r="I94" s="191" t="s">
        <v>40</v>
      </c>
      <c r="J94" s="191" t="s">
        <v>62</v>
      </c>
      <c r="K94" s="191"/>
      <c r="L94" s="191"/>
      <c r="M94" s="224">
        <v>4422</v>
      </c>
      <c r="N94" s="191" t="s">
        <v>63</v>
      </c>
      <c r="O94" s="191" t="s">
        <v>43</v>
      </c>
      <c r="P94" s="191"/>
      <c r="Q94" s="191" t="s">
        <v>7029</v>
      </c>
      <c r="R94" s="191"/>
      <c r="S94" s="191"/>
    </row>
    <row r="95" spans="1:19" ht="22.5" customHeight="1">
      <c r="A95" s="181" t="s">
        <v>7030</v>
      </c>
      <c r="B95" s="224">
        <v>2024</v>
      </c>
      <c r="C95" s="224">
        <v>11</v>
      </c>
      <c r="D95" s="191" t="s">
        <v>66</v>
      </c>
      <c r="E95" s="326">
        <v>793.72</v>
      </c>
      <c r="F95" s="326">
        <v>793.72</v>
      </c>
      <c r="G95" s="326">
        <v>0</v>
      </c>
      <c r="H95" s="191" t="s">
        <v>39</v>
      </c>
      <c r="I95" s="191" t="s">
        <v>40</v>
      </c>
      <c r="J95" s="191" t="s">
        <v>67</v>
      </c>
      <c r="K95" s="191"/>
      <c r="L95" s="191"/>
      <c r="M95" s="191"/>
      <c r="N95" s="191"/>
      <c r="O95" s="191"/>
      <c r="P95" s="191"/>
      <c r="Q95" s="191" t="s">
        <v>7031</v>
      </c>
      <c r="R95" s="191"/>
      <c r="S95" s="191"/>
    </row>
    <row r="96" spans="1:19" ht="22.5" customHeight="1">
      <c r="A96" s="181" t="s">
        <v>7032</v>
      </c>
      <c r="B96" s="224">
        <v>2024</v>
      </c>
      <c r="C96" s="224">
        <v>11</v>
      </c>
      <c r="D96" s="191" t="s">
        <v>66</v>
      </c>
      <c r="E96" s="326">
        <v>125.98</v>
      </c>
      <c r="F96" s="326">
        <v>125.98</v>
      </c>
      <c r="G96" s="326">
        <v>0</v>
      </c>
      <c r="H96" s="191" t="s">
        <v>39</v>
      </c>
      <c r="I96" s="191" t="s">
        <v>40</v>
      </c>
      <c r="J96" s="191" t="s">
        <v>67</v>
      </c>
      <c r="K96" s="191"/>
      <c r="L96" s="191"/>
      <c r="M96" s="191"/>
      <c r="N96" s="191"/>
      <c r="O96" s="191"/>
      <c r="P96" s="191"/>
      <c r="Q96" s="191" t="s">
        <v>7033</v>
      </c>
      <c r="R96" s="191"/>
      <c r="S96" s="191"/>
    </row>
    <row r="97" spans="1:19" ht="22.5" customHeight="1">
      <c r="A97" s="181" t="s">
        <v>7032</v>
      </c>
      <c r="B97" s="224">
        <v>2024</v>
      </c>
      <c r="C97" s="224">
        <v>11</v>
      </c>
      <c r="D97" s="191" t="s">
        <v>58</v>
      </c>
      <c r="E97" s="326">
        <v>-400</v>
      </c>
      <c r="F97" s="326">
        <v>0</v>
      </c>
      <c r="G97" s="326">
        <v>400</v>
      </c>
      <c r="H97" s="191" t="s">
        <v>39</v>
      </c>
      <c r="I97" s="191" t="s">
        <v>40</v>
      </c>
      <c r="J97" s="191" t="s">
        <v>59</v>
      </c>
      <c r="K97" s="191" t="s">
        <v>60</v>
      </c>
      <c r="L97" s="191" t="s">
        <v>7034</v>
      </c>
      <c r="M97" s="191"/>
      <c r="N97" s="191"/>
      <c r="O97" s="191"/>
      <c r="P97" s="191"/>
      <c r="Q97" s="191" t="s">
        <v>7035</v>
      </c>
      <c r="R97" s="191"/>
      <c r="S97" s="191"/>
    </row>
    <row r="98" spans="1:19" ht="22.5" customHeight="1">
      <c r="A98" s="332">
        <v>45334</v>
      </c>
      <c r="B98" s="162">
        <v>2024</v>
      </c>
      <c r="C98" s="162">
        <v>12</v>
      </c>
      <c r="D98" s="162" t="s">
        <v>66</v>
      </c>
      <c r="E98" s="333">
        <v>64.209999999999994</v>
      </c>
      <c r="F98" s="326">
        <f t="shared" ref="F98:F106" si="0">IF(E98&gt;0,E98*1,0)</f>
        <v>64.209999999999994</v>
      </c>
      <c r="G98" s="326">
        <f t="shared" ref="G98:G106" si="1">IF(E98&lt;0,E98*-1,0)</f>
        <v>0</v>
      </c>
      <c r="H98" s="162" t="s">
        <v>39</v>
      </c>
      <c r="I98" s="162" t="s">
        <v>40</v>
      </c>
      <c r="J98" s="162" t="s">
        <v>67</v>
      </c>
      <c r="K98" s="162"/>
      <c r="L98" s="162"/>
      <c r="M98" s="162"/>
      <c r="N98" s="162"/>
      <c r="O98" s="162"/>
      <c r="P98" s="162"/>
      <c r="Q98" s="334">
        <v>45334.60328703704</v>
      </c>
      <c r="R98" s="162"/>
      <c r="S98" s="162"/>
    </row>
    <row r="99" spans="1:19" ht="22.5" customHeight="1">
      <c r="A99" s="332">
        <v>45363</v>
      </c>
      <c r="B99" s="162">
        <v>2024</v>
      </c>
      <c r="C99" s="162">
        <v>12</v>
      </c>
      <c r="D99" s="162" t="s">
        <v>66</v>
      </c>
      <c r="E99" s="333">
        <v>273.17</v>
      </c>
      <c r="F99" s="326">
        <f t="shared" si="0"/>
        <v>273.17</v>
      </c>
      <c r="G99" s="326">
        <f t="shared" si="1"/>
        <v>0</v>
      </c>
      <c r="H99" s="162" t="s">
        <v>39</v>
      </c>
      <c r="I99" s="162" t="s">
        <v>40</v>
      </c>
      <c r="J99" s="162" t="s">
        <v>67</v>
      </c>
      <c r="K99" s="162"/>
      <c r="L99" s="162"/>
      <c r="M99" s="162"/>
      <c r="N99" s="162"/>
      <c r="O99" s="162"/>
      <c r="P99" s="162"/>
      <c r="Q99" s="334">
        <v>45363.566458333335</v>
      </c>
      <c r="R99" s="162"/>
      <c r="S99" s="162"/>
    </row>
    <row r="100" spans="1:19" ht="22.5" customHeight="1">
      <c r="A100" s="332">
        <v>45394</v>
      </c>
      <c r="B100" s="162">
        <v>2024</v>
      </c>
      <c r="C100" s="162">
        <v>12</v>
      </c>
      <c r="D100" s="162" t="s">
        <v>66</v>
      </c>
      <c r="E100" s="333">
        <v>103.94</v>
      </c>
      <c r="F100" s="326">
        <f t="shared" si="0"/>
        <v>103.94</v>
      </c>
      <c r="G100" s="326">
        <f t="shared" si="1"/>
        <v>0</v>
      </c>
      <c r="H100" s="162" t="s">
        <v>39</v>
      </c>
      <c r="I100" s="162" t="s">
        <v>40</v>
      </c>
      <c r="J100" s="162" t="s">
        <v>67</v>
      </c>
      <c r="K100" s="162"/>
      <c r="L100" s="162"/>
      <c r="M100" s="162"/>
      <c r="N100" s="162"/>
      <c r="O100" s="162"/>
      <c r="P100" s="162"/>
      <c r="Q100" s="334">
        <v>45394.56653935185</v>
      </c>
      <c r="R100" s="162"/>
      <c r="S100" s="162"/>
    </row>
    <row r="101" spans="1:19" ht="22.5" customHeight="1">
      <c r="A101" s="332">
        <v>45424</v>
      </c>
      <c r="B101" s="162">
        <v>2024</v>
      </c>
      <c r="C101" s="162">
        <v>12</v>
      </c>
      <c r="D101" s="162" t="s">
        <v>66</v>
      </c>
      <c r="E101" s="333">
        <v>118.49</v>
      </c>
      <c r="F101" s="326">
        <f t="shared" si="0"/>
        <v>118.49</v>
      </c>
      <c r="G101" s="326">
        <f t="shared" si="1"/>
        <v>0</v>
      </c>
      <c r="H101" s="162" t="s">
        <v>39</v>
      </c>
      <c r="I101" s="162" t="s">
        <v>40</v>
      </c>
      <c r="J101" s="162" t="s">
        <v>67</v>
      </c>
      <c r="K101" s="162"/>
      <c r="L101" s="162"/>
      <c r="M101" s="162"/>
      <c r="N101" s="162"/>
      <c r="O101" s="162"/>
      <c r="P101" s="162"/>
      <c r="Q101" s="334">
        <v>45424.564918981479</v>
      </c>
      <c r="R101" s="162"/>
      <c r="S101" s="162"/>
    </row>
    <row r="102" spans="1:19" ht="22.5" customHeight="1">
      <c r="A102" s="332">
        <v>45455</v>
      </c>
      <c r="B102" s="162">
        <v>2024</v>
      </c>
      <c r="C102" s="162">
        <v>12</v>
      </c>
      <c r="D102" s="162" t="s">
        <v>58</v>
      </c>
      <c r="E102" s="333">
        <v>-886.48</v>
      </c>
      <c r="F102" s="326">
        <f t="shared" si="0"/>
        <v>0</v>
      </c>
      <c r="G102" s="326">
        <f t="shared" si="1"/>
        <v>886.48</v>
      </c>
      <c r="H102" s="162" t="s">
        <v>39</v>
      </c>
      <c r="I102" s="162" t="s">
        <v>40</v>
      </c>
      <c r="J102" s="162" t="s">
        <v>59</v>
      </c>
      <c r="K102" s="162" t="s">
        <v>60</v>
      </c>
      <c r="L102" s="162" t="s">
        <v>7036</v>
      </c>
      <c r="M102" s="162"/>
      <c r="N102" s="162"/>
      <c r="O102" s="162"/>
      <c r="P102" s="162"/>
      <c r="Q102" s="334">
        <v>45455.649571759262</v>
      </c>
      <c r="R102" s="162"/>
      <c r="S102" s="162"/>
    </row>
    <row r="103" spans="1:19" ht="22.5" customHeight="1">
      <c r="A103" s="332">
        <v>45455</v>
      </c>
      <c r="B103" s="162">
        <v>2024</v>
      </c>
      <c r="C103" s="162">
        <v>12</v>
      </c>
      <c r="D103" s="162" t="s">
        <v>66</v>
      </c>
      <c r="E103" s="333">
        <v>77.89</v>
      </c>
      <c r="F103" s="326">
        <f t="shared" si="0"/>
        <v>77.89</v>
      </c>
      <c r="G103" s="326">
        <f t="shared" si="1"/>
        <v>0</v>
      </c>
      <c r="H103" s="162" t="s">
        <v>39</v>
      </c>
      <c r="I103" s="162" t="s">
        <v>40</v>
      </c>
      <c r="J103" s="162" t="s">
        <v>67</v>
      </c>
      <c r="K103" s="162"/>
      <c r="L103" s="162"/>
      <c r="M103" s="162"/>
      <c r="N103" s="162"/>
      <c r="O103" s="162"/>
      <c r="P103" s="162"/>
      <c r="Q103" s="334">
        <v>45455.565752314818</v>
      </c>
      <c r="R103" s="162"/>
      <c r="S103" s="162"/>
    </row>
    <row r="104" spans="1:19" ht="22.5" customHeight="1">
      <c r="A104" s="160" t="s">
        <v>7037</v>
      </c>
      <c r="B104" s="162">
        <v>2024</v>
      </c>
      <c r="C104" s="162">
        <v>12</v>
      </c>
      <c r="D104" s="162" t="s">
        <v>47</v>
      </c>
      <c r="E104" s="333">
        <v>-10.8</v>
      </c>
      <c r="F104" s="326">
        <f t="shared" si="0"/>
        <v>0</v>
      </c>
      <c r="G104" s="326">
        <f t="shared" si="1"/>
        <v>10.8</v>
      </c>
      <c r="H104" s="162" t="s">
        <v>39</v>
      </c>
      <c r="I104" s="162" t="s">
        <v>40</v>
      </c>
      <c r="J104" s="162" t="s">
        <v>48</v>
      </c>
      <c r="K104" s="162"/>
      <c r="L104" s="162"/>
      <c r="M104" s="162">
        <v>5180</v>
      </c>
      <c r="N104" s="162" t="s">
        <v>42</v>
      </c>
      <c r="O104" s="162" t="s">
        <v>49</v>
      </c>
      <c r="P104" s="162"/>
      <c r="Q104" s="162" t="s">
        <v>7038</v>
      </c>
      <c r="R104" s="162"/>
      <c r="S104" s="162"/>
    </row>
    <row r="105" spans="1:19" ht="22.5" customHeight="1">
      <c r="A105" s="160" t="s">
        <v>7039</v>
      </c>
      <c r="B105" s="162">
        <v>2024</v>
      </c>
      <c r="C105" s="162">
        <v>12</v>
      </c>
      <c r="D105" s="162" t="s">
        <v>62</v>
      </c>
      <c r="E105" s="333">
        <v>-8.7100000000000009</v>
      </c>
      <c r="F105" s="326">
        <f t="shared" si="0"/>
        <v>0</v>
      </c>
      <c r="G105" s="326">
        <f t="shared" si="1"/>
        <v>8.7100000000000009</v>
      </c>
      <c r="H105" s="162" t="s">
        <v>39</v>
      </c>
      <c r="I105" s="162" t="s">
        <v>40</v>
      </c>
      <c r="J105" s="162" t="s">
        <v>62</v>
      </c>
      <c r="K105" s="162"/>
      <c r="L105" s="162"/>
      <c r="M105" s="162">
        <v>4422</v>
      </c>
      <c r="N105" s="162" t="s">
        <v>63</v>
      </c>
      <c r="O105" s="162" t="s">
        <v>43</v>
      </c>
      <c r="P105" s="162"/>
      <c r="Q105" s="162" t="s">
        <v>7040</v>
      </c>
      <c r="R105" s="162"/>
      <c r="S105" s="162"/>
    </row>
    <row r="106" spans="1:19" ht="22.5" customHeight="1">
      <c r="A106" s="160" t="s">
        <v>7041</v>
      </c>
      <c r="B106" s="162">
        <v>2024</v>
      </c>
      <c r="C106" s="162">
        <v>12</v>
      </c>
      <c r="D106" s="162" t="s">
        <v>62</v>
      </c>
      <c r="E106" s="333">
        <v>-0.78</v>
      </c>
      <c r="F106" s="326">
        <f t="shared" si="0"/>
        <v>0</v>
      </c>
      <c r="G106" s="326">
        <f t="shared" si="1"/>
        <v>0.78</v>
      </c>
      <c r="H106" s="162" t="s">
        <v>39</v>
      </c>
      <c r="I106" s="162" t="s">
        <v>40</v>
      </c>
      <c r="J106" s="162" t="s">
        <v>62</v>
      </c>
      <c r="K106" s="162"/>
      <c r="L106" s="162"/>
      <c r="M106" s="162">
        <v>4422</v>
      </c>
      <c r="N106" s="162" t="s">
        <v>63</v>
      </c>
      <c r="O106" s="162" t="s">
        <v>43</v>
      </c>
      <c r="P106" s="162"/>
      <c r="Q106" s="162" t="s">
        <v>7042</v>
      </c>
      <c r="R106" s="162"/>
      <c r="S106" s="162"/>
    </row>
    <row r="107" spans="1:19" ht="12.75">
      <c r="A107" s="12"/>
    </row>
    <row r="108" spans="1:19" ht="12.75">
      <c r="A108" s="12"/>
    </row>
    <row r="109" spans="1:19" ht="12.75">
      <c r="A109" s="12"/>
    </row>
    <row r="110" spans="1:19" ht="12.75">
      <c r="A110" s="12"/>
    </row>
    <row r="111" spans="1:19" ht="12.75">
      <c r="A111" s="12"/>
    </row>
    <row r="112" spans="1:19" ht="12.75">
      <c r="A112" s="12"/>
    </row>
    <row r="113" spans="1:1" ht="12.75">
      <c r="A113" s="12"/>
    </row>
    <row r="114" spans="1:1" ht="12.75">
      <c r="A114" s="12"/>
    </row>
    <row r="115" spans="1:1" ht="12.75">
      <c r="A115" s="12"/>
    </row>
    <row r="116" spans="1:1" ht="12.75">
      <c r="A116" s="12"/>
    </row>
    <row r="117" spans="1:1" ht="12.75">
      <c r="A117" s="12"/>
    </row>
    <row r="118" spans="1:1" ht="12.75">
      <c r="A118" s="12"/>
    </row>
    <row r="119" spans="1:1" ht="12.75">
      <c r="A119" s="12"/>
    </row>
    <row r="120" spans="1:1" ht="12.75">
      <c r="A120" s="12"/>
    </row>
    <row r="121" spans="1:1" ht="12.75">
      <c r="A121" s="12"/>
    </row>
    <row r="122" spans="1:1" ht="12.75">
      <c r="A122" s="12"/>
    </row>
    <row r="123" spans="1:1" ht="12.75">
      <c r="A123" s="12"/>
    </row>
    <row r="124" spans="1:1" ht="12.75">
      <c r="A124" s="12"/>
    </row>
    <row r="125" spans="1:1" ht="12.75">
      <c r="A125" s="12"/>
    </row>
    <row r="126" spans="1:1" ht="12.75">
      <c r="A126" s="12"/>
    </row>
    <row r="127" spans="1:1" ht="12.75">
      <c r="A127" s="12"/>
    </row>
    <row r="128" spans="1:1" ht="12.75">
      <c r="A128" s="12"/>
    </row>
    <row r="129" spans="1:1" ht="12.75">
      <c r="A129" s="12"/>
    </row>
    <row r="130" spans="1:1" ht="12.75">
      <c r="A130" s="12"/>
    </row>
    <row r="131" spans="1:1" ht="12.75">
      <c r="A131" s="12"/>
    </row>
    <row r="132" spans="1:1" ht="12.75">
      <c r="A132" s="12"/>
    </row>
    <row r="133" spans="1:1" ht="12.75">
      <c r="A133" s="12"/>
    </row>
    <row r="134" spans="1:1" ht="12.75">
      <c r="A134" s="12"/>
    </row>
    <row r="135" spans="1:1" ht="12.75">
      <c r="A135" s="12"/>
    </row>
    <row r="136" spans="1:1" ht="12.75">
      <c r="A136" s="12"/>
    </row>
    <row r="137" spans="1:1" ht="12.75">
      <c r="A137" s="12"/>
    </row>
    <row r="138" spans="1:1" ht="12.75">
      <c r="A138" s="12"/>
    </row>
    <row r="139" spans="1:1" ht="12.75">
      <c r="A139" s="12"/>
    </row>
    <row r="140" spans="1:1" ht="12.75">
      <c r="A140" s="12"/>
    </row>
    <row r="141" spans="1:1" ht="12.75">
      <c r="A141" s="12"/>
    </row>
    <row r="142" spans="1:1" ht="12.75">
      <c r="A142" s="12"/>
    </row>
    <row r="143" spans="1:1" ht="12.75">
      <c r="A143" s="12"/>
    </row>
    <row r="144" spans="1:1" ht="12.75">
      <c r="A144" s="12"/>
    </row>
    <row r="145" spans="1:1" ht="12.75">
      <c r="A145" s="12"/>
    </row>
    <row r="146" spans="1:1" ht="12.75">
      <c r="A146" s="12"/>
    </row>
    <row r="147" spans="1:1" ht="12.75">
      <c r="A147" s="12"/>
    </row>
    <row r="148" spans="1:1" ht="12.75">
      <c r="A148" s="12"/>
    </row>
    <row r="149" spans="1:1" ht="12.75">
      <c r="A149" s="12"/>
    </row>
    <row r="150" spans="1:1" ht="12.75">
      <c r="A150" s="12"/>
    </row>
    <row r="151" spans="1:1" ht="12.75">
      <c r="A151" s="12"/>
    </row>
    <row r="152" spans="1:1" ht="12.75">
      <c r="A152" s="12"/>
    </row>
    <row r="153" spans="1:1" ht="12.75">
      <c r="A153" s="12"/>
    </row>
    <row r="154" spans="1:1" ht="12.75">
      <c r="A154" s="12"/>
    </row>
    <row r="155" spans="1:1" ht="12.75">
      <c r="A155" s="12"/>
    </row>
    <row r="156" spans="1:1" ht="12.75">
      <c r="A156" s="12"/>
    </row>
    <row r="157" spans="1:1" ht="12.75">
      <c r="A157" s="12"/>
    </row>
    <row r="158" spans="1:1" ht="12.75">
      <c r="A158" s="12"/>
    </row>
    <row r="159" spans="1:1" ht="12.75">
      <c r="A159" s="12"/>
    </row>
    <row r="160" spans="1:1" ht="12.75">
      <c r="A160" s="12"/>
    </row>
    <row r="161" spans="1:1" ht="12.75">
      <c r="A161" s="12"/>
    </row>
    <row r="162" spans="1:1" ht="12.75">
      <c r="A162" s="12"/>
    </row>
    <row r="163" spans="1:1" ht="12.75">
      <c r="A163" s="12"/>
    </row>
    <row r="164" spans="1:1" ht="12.75">
      <c r="A164" s="12"/>
    </row>
    <row r="165" spans="1:1" ht="12.75">
      <c r="A165" s="12"/>
    </row>
    <row r="166" spans="1:1" ht="12.75">
      <c r="A166" s="12"/>
    </row>
    <row r="167" spans="1:1" ht="12.75">
      <c r="A167" s="12"/>
    </row>
    <row r="168" spans="1:1" ht="12.75">
      <c r="A168" s="12"/>
    </row>
    <row r="169" spans="1:1" ht="12.75">
      <c r="A169" s="12"/>
    </row>
    <row r="170" spans="1:1" ht="12.75">
      <c r="A170" s="12"/>
    </row>
    <row r="171" spans="1:1" ht="12.75">
      <c r="A171" s="12"/>
    </row>
    <row r="172" spans="1:1" ht="12.75">
      <c r="A172" s="12"/>
    </row>
    <row r="173" spans="1:1" ht="12.75">
      <c r="A173" s="12"/>
    </row>
    <row r="174" spans="1:1" ht="12.75">
      <c r="A174" s="12"/>
    </row>
    <row r="175" spans="1:1" ht="12.75">
      <c r="A175" s="12"/>
    </row>
    <row r="176" spans="1:1" ht="12.75">
      <c r="A176" s="12"/>
    </row>
    <row r="177" spans="1:1" ht="12.75">
      <c r="A177" s="12"/>
    </row>
    <row r="178" spans="1:1" ht="12.75">
      <c r="A178" s="12"/>
    </row>
    <row r="179" spans="1:1" ht="12.75">
      <c r="A179" s="12"/>
    </row>
    <row r="180" spans="1:1" ht="12.75">
      <c r="A180" s="12"/>
    </row>
    <row r="181" spans="1:1" ht="12.75">
      <c r="A181" s="12"/>
    </row>
    <row r="182" spans="1:1" ht="12.75">
      <c r="A182" s="12"/>
    </row>
    <row r="183" spans="1:1" ht="12.75">
      <c r="A183" s="12"/>
    </row>
    <row r="184" spans="1:1" ht="12.75">
      <c r="A184" s="12"/>
    </row>
    <row r="185" spans="1:1" ht="12.75">
      <c r="A185" s="12"/>
    </row>
    <row r="186" spans="1:1" ht="12.75">
      <c r="A186" s="12"/>
    </row>
    <row r="187" spans="1:1" ht="12.75">
      <c r="A187" s="12"/>
    </row>
    <row r="188" spans="1:1" ht="12.75">
      <c r="A188" s="12"/>
    </row>
    <row r="189" spans="1:1" ht="12.75">
      <c r="A189" s="12"/>
    </row>
    <row r="190" spans="1:1" ht="12.75">
      <c r="A190" s="12"/>
    </row>
    <row r="191" spans="1:1" ht="12.75">
      <c r="A191" s="12"/>
    </row>
    <row r="192" spans="1:1" ht="12.75">
      <c r="A192" s="12"/>
    </row>
    <row r="193" spans="1:1" ht="12.75">
      <c r="A193" s="12"/>
    </row>
    <row r="194" spans="1:1" ht="12.75">
      <c r="A194" s="12"/>
    </row>
    <row r="195" spans="1:1" ht="12.75">
      <c r="A195" s="12"/>
    </row>
    <row r="196" spans="1:1" ht="12.75">
      <c r="A196" s="12"/>
    </row>
    <row r="197" spans="1:1" ht="12.75">
      <c r="A197" s="12"/>
    </row>
    <row r="198" spans="1:1" ht="12.75">
      <c r="A198" s="12"/>
    </row>
    <row r="199" spans="1:1" ht="12.75">
      <c r="A199" s="12"/>
    </row>
    <row r="200" spans="1:1" ht="12.75">
      <c r="A200" s="12"/>
    </row>
    <row r="201" spans="1:1" ht="12.75">
      <c r="A201" s="12"/>
    </row>
    <row r="202" spans="1:1" ht="12.75">
      <c r="A202" s="12"/>
    </row>
    <row r="203" spans="1:1" ht="12.75">
      <c r="A203" s="12"/>
    </row>
    <row r="204" spans="1:1" ht="12.75">
      <c r="A204" s="12"/>
    </row>
    <row r="205" spans="1:1" ht="12.75">
      <c r="A205" s="12"/>
    </row>
    <row r="206" spans="1:1" ht="12.75">
      <c r="A206" s="12"/>
    </row>
    <row r="207" spans="1:1" ht="12.75">
      <c r="A207" s="12"/>
    </row>
    <row r="208" spans="1:1" ht="12.75">
      <c r="A208" s="12"/>
    </row>
    <row r="209" spans="1:1" ht="12.75">
      <c r="A209" s="12"/>
    </row>
    <row r="210" spans="1:1" ht="12.75">
      <c r="A210" s="12"/>
    </row>
    <row r="211" spans="1:1" ht="12.75">
      <c r="A211" s="12"/>
    </row>
    <row r="212" spans="1:1" ht="12.75">
      <c r="A212" s="12"/>
    </row>
    <row r="213" spans="1:1" ht="12.75">
      <c r="A213" s="12"/>
    </row>
    <row r="214" spans="1:1" ht="12.75">
      <c r="A214" s="12"/>
    </row>
    <row r="215" spans="1:1" ht="12.75">
      <c r="A215" s="12"/>
    </row>
    <row r="216" spans="1:1" ht="12.75">
      <c r="A216" s="12"/>
    </row>
    <row r="217" spans="1:1" ht="12.75">
      <c r="A217" s="12"/>
    </row>
    <row r="218" spans="1:1" ht="12.75">
      <c r="A218" s="12"/>
    </row>
    <row r="219" spans="1:1" ht="12.75">
      <c r="A219" s="12"/>
    </row>
    <row r="220" spans="1:1" ht="12.75">
      <c r="A220" s="12"/>
    </row>
    <row r="221" spans="1:1" ht="12.75">
      <c r="A221" s="12"/>
    </row>
    <row r="222" spans="1:1" ht="12.75">
      <c r="A222" s="12"/>
    </row>
    <row r="223" spans="1:1" ht="12.75">
      <c r="A223" s="12"/>
    </row>
    <row r="224" spans="1:1" ht="12.75">
      <c r="A224" s="12"/>
    </row>
    <row r="225" spans="1:1" ht="12.75">
      <c r="A225" s="12"/>
    </row>
    <row r="226" spans="1:1" ht="12.75">
      <c r="A226" s="12"/>
    </row>
    <row r="227" spans="1:1" ht="12.75">
      <c r="A227" s="12"/>
    </row>
    <row r="228" spans="1:1" ht="12.75">
      <c r="A228" s="12"/>
    </row>
    <row r="229" spans="1:1" ht="12.75">
      <c r="A229" s="12"/>
    </row>
    <row r="230" spans="1:1" ht="12.75">
      <c r="A230" s="12"/>
    </row>
    <row r="231" spans="1:1" ht="12.75">
      <c r="A231" s="12"/>
    </row>
    <row r="232" spans="1:1" ht="12.75">
      <c r="A232" s="12"/>
    </row>
    <row r="233" spans="1:1" ht="12.75">
      <c r="A233" s="12"/>
    </row>
    <row r="234" spans="1:1" ht="12.75">
      <c r="A234" s="12"/>
    </row>
    <row r="235" spans="1:1" ht="12.75">
      <c r="A235" s="12"/>
    </row>
    <row r="236" spans="1:1" ht="12.75">
      <c r="A236" s="12"/>
    </row>
    <row r="237" spans="1:1" ht="12.75">
      <c r="A237" s="12"/>
    </row>
    <row r="238" spans="1:1" ht="12.75">
      <c r="A238" s="12"/>
    </row>
    <row r="239" spans="1:1" ht="12.75">
      <c r="A239" s="12"/>
    </row>
    <row r="240" spans="1:1" ht="12.75">
      <c r="A240" s="12"/>
    </row>
    <row r="241" spans="1:1" ht="12.75">
      <c r="A241" s="12"/>
    </row>
    <row r="242" spans="1:1" ht="12.75">
      <c r="A242" s="12"/>
    </row>
    <row r="243" spans="1:1" ht="12.75">
      <c r="A243" s="12"/>
    </row>
    <row r="244" spans="1:1" ht="12.75">
      <c r="A244" s="12"/>
    </row>
    <row r="245" spans="1:1" ht="12.75">
      <c r="A245" s="12"/>
    </row>
    <row r="246" spans="1:1" ht="12.75">
      <c r="A246" s="12"/>
    </row>
    <row r="247" spans="1:1" ht="12.75">
      <c r="A247" s="12"/>
    </row>
    <row r="248" spans="1:1" ht="12.75">
      <c r="A248" s="12"/>
    </row>
    <row r="249" spans="1:1" ht="12.75">
      <c r="A249" s="12"/>
    </row>
    <row r="250" spans="1:1" ht="12.75">
      <c r="A250" s="12"/>
    </row>
    <row r="251" spans="1:1" ht="12.75">
      <c r="A251" s="12"/>
    </row>
    <row r="252" spans="1:1" ht="12.75">
      <c r="A252" s="12"/>
    </row>
    <row r="253" spans="1:1" ht="12.75">
      <c r="A253" s="12"/>
    </row>
    <row r="254" spans="1:1" ht="12.75">
      <c r="A254" s="12"/>
    </row>
    <row r="255" spans="1:1" ht="12.75">
      <c r="A255" s="12"/>
    </row>
    <row r="256" spans="1:1" ht="12.75">
      <c r="A256" s="12"/>
    </row>
    <row r="257" spans="1:1" ht="12.75">
      <c r="A257" s="12"/>
    </row>
    <row r="258" spans="1:1" ht="12.75">
      <c r="A258" s="12"/>
    </row>
    <row r="259" spans="1:1" ht="12.75">
      <c r="A259" s="12"/>
    </row>
    <row r="260" spans="1:1" ht="12.75">
      <c r="A260" s="12"/>
    </row>
    <row r="261" spans="1:1" ht="12.75">
      <c r="A261" s="12"/>
    </row>
    <row r="262" spans="1:1" ht="12.75">
      <c r="A262" s="12"/>
    </row>
    <row r="263" spans="1:1" ht="12.75">
      <c r="A263" s="12"/>
    </row>
    <row r="264" spans="1:1" ht="12.75">
      <c r="A264" s="12"/>
    </row>
    <row r="265" spans="1:1" ht="12.75">
      <c r="A265" s="12"/>
    </row>
    <row r="266" spans="1:1" ht="12.75">
      <c r="A266" s="12"/>
    </row>
    <row r="267" spans="1:1" ht="12.75">
      <c r="A267" s="12"/>
    </row>
    <row r="268" spans="1:1" ht="12.75">
      <c r="A268" s="12"/>
    </row>
    <row r="269" spans="1:1" ht="12.75">
      <c r="A269" s="12"/>
    </row>
    <row r="270" spans="1:1" ht="12.75">
      <c r="A270" s="12"/>
    </row>
    <row r="271" spans="1:1" ht="12.75">
      <c r="A271" s="12"/>
    </row>
    <row r="272" spans="1:1" ht="12.75">
      <c r="A272" s="12"/>
    </row>
    <row r="273" spans="1:1" ht="12.75">
      <c r="A273" s="12"/>
    </row>
    <row r="274" spans="1:1" ht="12.75">
      <c r="A274" s="12"/>
    </row>
    <row r="275" spans="1:1" ht="12.75">
      <c r="A275" s="12"/>
    </row>
    <row r="276" spans="1:1" ht="12.75">
      <c r="A276" s="12"/>
    </row>
    <row r="277" spans="1:1" ht="12.75">
      <c r="A277" s="12"/>
    </row>
    <row r="278" spans="1:1" ht="12.75">
      <c r="A278" s="12"/>
    </row>
    <row r="279" spans="1:1" ht="12.75">
      <c r="A279" s="12"/>
    </row>
    <row r="280" spans="1:1" ht="12.75">
      <c r="A280" s="12"/>
    </row>
    <row r="281" spans="1:1" ht="12.75">
      <c r="A281" s="12"/>
    </row>
    <row r="282" spans="1:1" ht="12.75">
      <c r="A282" s="12"/>
    </row>
    <row r="283" spans="1:1" ht="12.75">
      <c r="A283" s="12"/>
    </row>
    <row r="284" spans="1:1" ht="12.75">
      <c r="A284" s="12"/>
    </row>
    <row r="285" spans="1:1" ht="12.75">
      <c r="A285" s="12"/>
    </row>
    <row r="286" spans="1:1" ht="12.75">
      <c r="A286" s="12"/>
    </row>
    <row r="287" spans="1:1" ht="12.75">
      <c r="A287" s="12"/>
    </row>
    <row r="288" spans="1:1" ht="12.75">
      <c r="A288" s="12"/>
    </row>
    <row r="289" spans="1:1" ht="12.75">
      <c r="A289" s="12"/>
    </row>
    <row r="290" spans="1:1" ht="12.75">
      <c r="A290" s="12"/>
    </row>
    <row r="291" spans="1:1" ht="12.75">
      <c r="A291" s="12"/>
    </row>
    <row r="292" spans="1:1" ht="12.75">
      <c r="A292" s="12"/>
    </row>
    <row r="293" spans="1:1" ht="12.75">
      <c r="A293" s="12"/>
    </row>
    <row r="294" spans="1:1" ht="12.75">
      <c r="A294" s="12"/>
    </row>
    <row r="295" spans="1:1" ht="12.75">
      <c r="A295" s="12"/>
    </row>
    <row r="296" spans="1:1" ht="12.75">
      <c r="A296" s="12"/>
    </row>
    <row r="297" spans="1:1" ht="12.75">
      <c r="A297" s="12"/>
    </row>
    <row r="298" spans="1:1" ht="12.75">
      <c r="A298" s="12"/>
    </row>
    <row r="299" spans="1:1" ht="12.75">
      <c r="A299" s="12"/>
    </row>
    <row r="300" spans="1:1" ht="12.75">
      <c r="A300" s="12"/>
    </row>
    <row r="301" spans="1:1" ht="12.75">
      <c r="A301" s="12"/>
    </row>
    <row r="302" spans="1:1" ht="12.75">
      <c r="A302" s="12"/>
    </row>
    <row r="303" spans="1:1" ht="12.75">
      <c r="A303" s="12"/>
    </row>
    <row r="304" spans="1:1" ht="12.75">
      <c r="A304" s="12"/>
    </row>
    <row r="305" spans="1:1" ht="12.75">
      <c r="A305" s="12"/>
    </row>
    <row r="306" spans="1:1" ht="12.75">
      <c r="A306" s="12"/>
    </row>
    <row r="307" spans="1:1" ht="12.75">
      <c r="A307" s="12"/>
    </row>
    <row r="308" spans="1:1" ht="12.75">
      <c r="A308" s="12"/>
    </row>
    <row r="309" spans="1:1" ht="12.75">
      <c r="A309" s="12"/>
    </row>
    <row r="310" spans="1:1" ht="12.75">
      <c r="A310" s="12"/>
    </row>
    <row r="311" spans="1:1" ht="12.75">
      <c r="A311" s="12"/>
    </row>
    <row r="312" spans="1:1" ht="12.75">
      <c r="A312" s="12"/>
    </row>
    <row r="313" spans="1:1" ht="12.75">
      <c r="A313" s="12"/>
    </row>
    <row r="314" spans="1:1" ht="12.75">
      <c r="A314" s="12"/>
    </row>
    <row r="315" spans="1:1" ht="12.75">
      <c r="A315" s="12"/>
    </row>
    <row r="316" spans="1:1" ht="12.75">
      <c r="A316" s="12"/>
    </row>
    <row r="317" spans="1:1" ht="12.75">
      <c r="A317" s="12"/>
    </row>
    <row r="318" spans="1:1" ht="12.75">
      <c r="A318" s="12"/>
    </row>
    <row r="319" spans="1:1" ht="12.75">
      <c r="A319" s="12"/>
    </row>
    <row r="320" spans="1:1" ht="12.75">
      <c r="A320" s="12"/>
    </row>
    <row r="321" spans="1:1" ht="12.75">
      <c r="A321" s="12"/>
    </row>
    <row r="322" spans="1:1" ht="12.75">
      <c r="A322" s="12"/>
    </row>
    <row r="323" spans="1:1" ht="12.75">
      <c r="A323" s="12"/>
    </row>
    <row r="324" spans="1:1" ht="12.75">
      <c r="A324" s="12"/>
    </row>
    <row r="325" spans="1:1" ht="12.75">
      <c r="A325" s="12"/>
    </row>
    <row r="326" spans="1:1" ht="12.75">
      <c r="A326" s="12"/>
    </row>
    <row r="327" spans="1:1" ht="12.75">
      <c r="A327" s="12"/>
    </row>
    <row r="328" spans="1:1" ht="12.75">
      <c r="A328" s="12"/>
    </row>
    <row r="329" spans="1:1" ht="12.75">
      <c r="A329" s="12"/>
    </row>
    <row r="330" spans="1:1" ht="12.75">
      <c r="A330" s="12"/>
    </row>
    <row r="331" spans="1:1" ht="12.75">
      <c r="A331" s="12"/>
    </row>
    <row r="332" spans="1:1" ht="12.75">
      <c r="A332" s="12"/>
    </row>
    <row r="333" spans="1:1" ht="12.75">
      <c r="A333" s="12"/>
    </row>
    <row r="334" spans="1:1" ht="12.75">
      <c r="A334" s="12"/>
    </row>
    <row r="335" spans="1:1" ht="12.75">
      <c r="A335" s="12"/>
    </row>
    <row r="336" spans="1:1" ht="12.75">
      <c r="A336" s="12"/>
    </row>
    <row r="337" spans="1:1" ht="12.75">
      <c r="A337" s="12"/>
    </row>
    <row r="338" spans="1:1" ht="12.75">
      <c r="A338" s="12"/>
    </row>
    <row r="339" spans="1:1" ht="12.75">
      <c r="A339" s="12"/>
    </row>
    <row r="340" spans="1:1" ht="12.75">
      <c r="A340" s="12"/>
    </row>
    <row r="341" spans="1:1" ht="12.75">
      <c r="A341" s="12"/>
    </row>
    <row r="342" spans="1:1" ht="12.75">
      <c r="A342" s="12"/>
    </row>
    <row r="343" spans="1:1" ht="12.75">
      <c r="A343" s="12"/>
    </row>
    <row r="344" spans="1:1" ht="12.75">
      <c r="A344" s="12"/>
    </row>
    <row r="345" spans="1:1" ht="12.75">
      <c r="A345" s="12"/>
    </row>
    <row r="346" spans="1:1" ht="12.75">
      <c r="A346" s="12"/>
    </row>
    <row r="347" spans="1:1" ht="12.75">
      <c r="A347" s="12"/>
    </row>
    <row r="348" spans="1:1" ht="12.75">
      <c r="A348" s="12"/>
    </row>
    <row r="349" spans="1:1" ht="12.75">
      <c r="A349" s="12"/>
    </row>
    <row r="350" spans="1:1" ht="12.75">
      <c r="A350" s="12"/>
    </row>
    <row r="351" spans="1:1" ht="12.75">
      <c r="A351" s="12"/>
    </row>
    <row r="352" spans="1:1" ht="12.75">
      <c r="A352" s="12"/>
    </row>
    <row r="353" spans="1:1" ht="12.75">
      <c r="A353" s="12"/>
    </row>
    <row r="354" spans="1:1" ht="12.75">
      <c r="A354" s="12"/>
    </row>
    <row r="355" spans="1:1" ht="12.75">
      <c r="A355" s="12"/>
    </row>
    <row r="356" spans="1:1" ht="12.75">
      <c r="A356" s="12"/>
    </row>
    <row r="357" spans="1:1" ht="12.75">
      <c r="A357" s="12"/>
    </row>
    <row r="358" spans="1:1" ht="12.75">
      <c r="A358" s="12"/>
    </row>
    <row r="359" spans="1:1" ht="12.75">
      <c r="A359" s="12"/>
    </row>
    <row r="360" spans="1:1" ht="12.75">
      <c r="A360" s="12"/>
    </row>
    <row r="361" spans="1:1" ht="12.75">
      <c r="A361" s="12"/>
    </row>
    <row r="362" spans="1:1" ht="12.75">
      <c r="A362" s="12"/>
    </row>
    <row r="363" spans="1:1" ht="12.75">
      <c r="A363" s="12"/>
    </row>
    <row r="364" spans="1:1" ht="12.75">
      <c r="A364" s="12"/>
    </row>
    <row r="365" spans="1:1" ht="12.75">
      <c r="A365" s="12"/>
    </row>
    <row r="366" spans="1:1" ht="12.75">
      <c r="A366" s="12"/>
    </row>
    <row r="367" spans="1:1" ht="12.75">
      <c r="A367" s="12"/>
    </row>
    <row r="368" spans="1:1" ht="12.75">
      <c r="A368" s="12"/>
    </row>
    <row r="369" spans="1:1" ht="12.75">
      <c r="A369" s="12"/>
    </row>
    <row r="370" spans="1:1" ht="12.75">
      <c r="A370" s="12"/>
    </row>
    <row r="371" spans="1:1" ht="12.75">
      <c r="A371" s="12"/>
    </row>
    <row r="372" spans="1:1" ht="12.75">
      <c r="A372" s="12"/>
    </row>
    <row r="373" spans="1:1" ht="12.75">
      <c r="A373" s="12"/>
    </row>
    <row r="374" spans="1:1" ht="12.75">
      <c r="A374" s="12"/>
    </row>
    <row r="375" spans="1:1" ht="12.75">
      <c r="A375" s="12"/>
    </row>
    <row r="376" spans="1:1" ht="12.75">
      <c r="A376" s="12"/>
    </row>
    <row r="377" spans="1:1" ht="12.75">
      <c r="A377" s="12"/>
    </row>
    <row r="378" spans="1:1" ht="12.75">
      <c r="A378" s="12"/>
    </row>
    <row r="379" spans="1:1" ht="12.75">
      <c r="A379" s="12"/>
    </row>
    <row r="380" spans="1:1" ht="12.75">
      <c r="A380" s="12"/>
    </row>
    <row r="381" spans="1:1" ht="12.75">
      <c r="A381" s="12"/>
    </row>
    <row r="382" spans="1:1" ht="12.75">
      <c r="A382" s="12"/>
    </row>
    <row r="383" spans="1:1" ht="12.75">
      <c r="A383" s="12"/>
    </row>
    <row r="384" spans="1:1" ht="12.75">
      <c r="A384" s="12"/>
    </row>
    <row r="385" spans="1:1" ht="12.75">
      <c r="A385" s="12"/>
    </row>
    <row r="386" spans="1:1" ht="12.75">
      <c r="A386" s="12"/>
    </row>
    <row r="387" spans="1:1" ht="12.75">
      <c r="A387" s="12"/>
    </row>
    <row r="388" spans="1:1" ht="12.75">
      <c r="A388" s="12"/>
    </row>
    <row r="389" spans="1:1" ht="12.75">
      <c r="A389" s="12"/>
    </row>
    <row r="390" spans="1:1" ht="12.75">
      <c r="A390" s="12"/>
    </row>
    <row r="391" spans="1:1" ht="12.75">
      <c r="A391" s="12"/>
    </row>
    <row r="392" spans="1:1" ht="12.75">
      <c r="A392" s="12"/>
    </row>
    <row r="393" spans="1:1" ht="12.75">
      <c r="A393" s="12"/>
    </row>
    <row r="394" spans="1:1" ht="12.75">
      <c r="A394" s="12"/>
    </row>
    <row r="395" spans="1:1" ht="12.75">
      <c r="A395" s="12"/>
    </row>
    <row r="396" spans="1:1" ht="12.75">
      <c r="A396" s="12"/>
    </row>
    <row r="397" spans="1:1" ht="12.75">
      <c r="A397" s="12"/>
    </row>
    <row r="398" spans="1:1" ht="12.75">
      <c r="A398" s="12"/>
    </row>
    <row r="399" spans="1:1" ht="12.75">
      <c r="A399" s="12"/>
    </row>
    <row r="400" spans="1:1" ht="12.75">
      <c r="A400" s="12"/>
    </row>
    <row r="401" spans="1:1" ht="12.75">
      <c r="A401" s="12"/>
    </row>
    <row r="402" spans="1:1" ht="12.75">
      <c r="A402" s="12"/>
    </row>
    <row r="403" spans="1:1" ht="12.75">
      <c r="A403" s="12"/>
    </row>
    <row r="404" spans="1:1" ht="12.75">
      <c r="A404" s="12"/>
    </row>
    <row r="405" spans="1:1" ht="12.75">
      <c r="A405" s="12"/>
    </row>
    <row r="406" spans="1:1" ht="12.75">
      <c r="A406" s="12"/>
    </row>
    <row r="407" spans="1:1" ht="12.75">
      <c r="A407" s="12"/>
    </row>
    <row r="408" spans="1:1" ht="12.75">
      <c r="A408" s="12"/>
    </row>
    <row r="409" spans="1:1" ht="12.75">
      <c r="A409" s="12"/>
    </row>
    <row r="410" spans="1:1" ht="12.75">
      <c r="A410" s="12"/>
    </row>
    <row r="411" spans="1:1" ht="12.75">
      <c r="A411" s="12"/>
    </row>
    <row r="412" spans="1:1" ht="12.75">
      <c r="A412" s="12"/>
    </row>
    <row r="413" spans="1:1" ht="12.75">
      <c r="A413" s="12"/>
    </row>
    <row r="414" spans="1:1" ht="12.75">
      <c r="A414" s="12"/>
    </row>
    <row r="415" spans="1:1" ht="12.75">
      <c r="A415" s="12"/>
    </row>
    <row r="416" spans="1:1" ht="12.75">
      <c r="A416" s="12"/>
    </row>
    <row r="417" spans="1:1" ht="12.75">
      <c r="A417" s="12"/>
    </row>
    <row r="418" spans="1:1" ht="12.75">
      <c r="A418" s="12"/>
    </row>
    <row r="419" spans="1:1" ht="12.75">
      <c r="A419" s="12"/>
    </row>
    <row r="420" spans="1:1" ht="12.75">
      <c r="A420" s="12"/>
    </row>
    <row r="421" spans="1:1" ht="12.75">
      <c r="A421" s="12"/>
    </row>
    <row r="422" spans="1:1" ht="12.75">
      <c r="A422" s="12"/>
    </row>
    <row r="423" spans="1:1" ht="12.75">
      <c r="A423" s="12"/>
    </row>
    <row r="424" spans="1:1" ht="12.75">
      <c r="A424" s="12"/>
    </row>
    <row r="425" spans="1:1" ht="12.75">
      <c r="A425" s="12"/>
    </row>
    <row r="426" spans="1:1" ht="12.75">
      <c r="A426" s="12"/>
    </row>
    <row r="427" spans="1:1" ht="12.75">
      <c r="A427" s="12"/>
    </row>
    <row r="428" spans="1:1" ht="12.75">
      <c r="A428" s="12"/>
    </row>
    <row r="429" spans="1:1" ht="12.75">
      <c r="A429" s="12"/>
    </row>
    <row r="430" spans="1:1" ht="12.75">
      <c r="A430" s="12"/>
    </row>
    <row r="431" spans="1:1" ht="12.75">
      <c r="A431" s="12"/>
    </row>
    <row r="432" spans="1:1" ht="12.75">
      <c r="A432" s="12"/>
    </row>
    <row r="433" spans="1:1" ht="12.75">
      <c r="A433" s="12"/>
    </row>
    <row r="434" spans="1:1" ht="12.75">
      <c r="A434" s="12"/>
    </row>
    <row r="435" spans="1:1" ht="12.75">
      <c r="A435" s="12"/>
    </row>
    <row r="436" spans="1:1" ht="12.75">
      <c r="A436" s="12"/>
    </row>
    <row r="437" spans="1:1" ht="12.75">
      <c r="A437" s="12"/>
    </row>
    <row r="438" spans="1:1" ht="12.75">
      <c r="A438" s="12"/>
    </row>
    <row r="439" spans="1:1" ht="12.75">
      <c r="A439" s="12"/>
    </row>
    <row r="440" spans="1:1" ht="12.75">
      <c r="A440" s="12"/>
    </row>
    <row r="441" spans="1:1" ht="12.75">
      <c r="A441" s="12"/>
    </row>
    <row r="442" spans="1:1" ht="12.75">
      <c r="A442" s="12"/>
    </row>
    <row r="443" spans="1:1" ht="12.75">
      <c r="A443" s="12"/>
    </row>
    <row r="444" spans="1:1" ht="12.75">
      <c r="A444" s="12"/>
    </row>
    <row r="445" spans="1:1" ht="12.75">
      <c r="A445" s="12"/>
    </row>
    <row r="446" spans="1:1" ht="12.75">
      <c r="A446" s="12"/>
    </row>
    <row r="447" spans="1:1" ht="12.75">
      <c r="A447" s="12"/>
    </row>
    <row r="448" spans="1:1" ht="12.75">
      <c r="A448" s="12"/>
    </row>
    <row r="449" spans="1:1" ht="12.75">
      <c r="A449" s="12"/>
    </row>
    <row r="450" spans="1:1" ht="12.75">
      <c r="A450" s="12"/>
    </row>
    <row r="451" spans="1:1" ht="12.75">
      <c r="A451" s="12"/>
    </row>
    <row r="452" spans="1:1" ht="12.75">
      <c r="A452" s="12"/>
    </row>
    <row r="453" spans="1:1" ht="12.75">
      <c r="A453" s="12"/>
    </row>
    <row r="454" spans="1:1" ht="12.75">
      <c r="A454" s="12"/>
    </row>
    <row r="455" spans="1:1" ht="12.75">
      <c r="A455" s="12"/>
    </row>
    <row r="456" spans="1:1" ht="12.75">
      <c r="A456" s="12"/>
    </row>
    <row r="457" spans="1:1" ht="12.75">
      <c r="A457" s="12"/>
    </row>
    <row r="458" spans="1:1" ht="12.75">
      <c r="A458" s="12"/>
    </row>
    <row r="459" spans="1:1" ht="12.75">
      <c r="A459" s="12"/>
    </row>
    <row r="460" spans="1:1" ht="12.75">
      <c r="A460" s="12"/>
    </row>
    <row r="461" spans="1:1" ht="12.75">
      <c r="A461" s="12"/>
    </row>
    <row r="462" spans="1:1" ht="12.75">
      <c r="A462" s="12"/>
    </row>
    <row r="463" spans="1:1" ht="12.75">
      <c r="A463" s="12"/>
    </row>
    <row r="464" spans="1:1" ht="12.75">
      <c r="A464" s="12"/>
    </row>
    <row r="465" spans="1:1" ht="12.75">
      <c r="A465" s="12"/>
    </row>
    <row r="466" spans="1:1" ht="12.75">
      <c r="A466" s="12"/>
    </row>
    <row r="467" spans="1:1" ht="12.75">
      <c r="A467" s="12"/>
    </row>
    <row r="468" spans="1:1" ht="12.75">
      <c r="A468" s="12"/>
    </row>
    <row r="469" spans="1:1" ht="12.75">
      <c r="A469" s="12"/>
    </row>
    <row r="470" spans="1:1" ht="12.75">
      <c r="A470" s="12"/>
    </row>
    <row r="471" spans="1:1" ht="12.75">
      <c r="A471" s="12"/>
    </row>
    <row r="472" spans="1:1" ht="12.75">
      <c r="A472" s="12"/>
    </row>
    <row r="473" spans="1:1" ht="12.75">
      <c r="A473" s="12"/>
    </row>
    <row r="474" spans="1:1" ht="12.75">
      <c r="A474" s="12"/>
    </row>
    <row r="475" spans="1:1" ht="12.75">
      <c r="A475" s="12"/>
    </row>
    <row r="476" spans="1:1" ht="12.75">
      <c r="A476" s="12"/>
    </row>
    <row r="477" spans="1:1" ht="12.75">
      <c r="A477" s="12"/>
    </row>
    <row r="478" spans="1:1" ht="12.75">
      <c r="A478" s="12"/>
    </row>
    <row r="479" spans="1:1" ht="12.75">
      <c r="A479" s="12"/>
    </row>
    <row r="480" spans="1:1" ht="12.75">
      <c r="A480" s="12"/>
    </row>
    <row r="481" spans="1:1" ht="12.75">
      <c r="A481" s="12"/>
    </row>
    <row r="482" spans="1:1" ht="12.75">
      <c r="A482" s="12"/>
    </row>
    <row r="483" spans="1:1" ht="12.75">
      <c r="A483" s="12"/>
    </row>
    <row r="484" spans="1:1" ht="12.75">
      <c r="A484" s="12"/>
    </row>
    <row r="485" spans="1:1" ht="12.75">
      <c r="A485" s="12"/>
    </row>
    <row r="486" spans="1:1" ht="12.75">
      <c r="A486" s="12"/>
    </row>
    <row r="487" spans="1:1" ht="12.75">
      <c r="A487" s="12"/>
    </row>
    <row r="488" spans="1:1" ht="12.75">
      <c r="A488" s="12"/>
    </row>
    <row r="489" spans="1:1" ht="12.75">
      <c r="A489" s="12"/>
    </row>
    <row r="490" spans="1:1" ht="12.75">
      <c r="A490" s="12"/>
    </row>
    <row r="491" spans="1:1" ht="12.75">
      <c r="A491" s="12"/>
    </row>
    <row r="492" spans="1:1" ht="12.75">
      <c r="A492" s="12"/>
    </row>
    <row r="493" spans="1:1" ht="12.75">
      <c r="A493" s="12"/>
    </row>
    <row r="494" spans="1:1" ht="12.75">
      <c r="A494" s="12"/>
    </row>
    <row r="495" spans="1:1" ht="12.75">
      <c r="A495" s="12"/>
    </row>
    <row r="496" spans="1:1" ht="12.75">
      <c r="A496" s="12"/>
    </row>
    <row r="497" spans="1:1" ht="12.75">
      <c r="A497" s="12"/>
    </row>
    <row r="498" spans="1:1" ht="12.75">
      <c r="A498" s="12"/>
    </row>
    <row r="499" spans="1:1" ht="12.75">
      <c r="A499" s="12"/>
    </row>
    <row r="500" spans="1:1" ht="12.75">
      <c r="A500" s="12"/>
    </row>
    <row r="501" spans="1:1" ht="12.75">
      <c r="A501" s="12"/>
    </row>
    <row r="502" spans="1:1" ht="12.75">
      <c r="A502" s="12"/>
    </row>
    <row r="503" spans="1:1" ht="12.75">
      <c r="A503" s="12"/>
    </row>
    <row r="504" spans="1:1" ht="12.75">
      <c r="A504" s="12"/>
    </row>
    <row r="505" spans="1:1" ht="12.75">
      <c r="A505" s="12"/>
    </row>
    <row r="506" spans="1:1" ht="12.75">
      <c r="A506" s="12"/>
    </row>
    <row r="507" spans="1:1" ht="12.75">
      <c r="A507" s="12"/>
    </row>
    <row r="508" spans="1:1" ht="12.75">
      <c r="A508" s="12"/>
    </row>
    <row r="509" spans="1:1" ht="12.75">
      <c r="A509" s="12"/>
    </row>
    <row r="510" spans="1:1" ht="12.75">
      <c r="A510" s="12"/>
    </row>
    <row r="511" spans="1:1" ht="12.75">
      <c r="A511" s="12"/>
    </row>
    <row r="512" spans="1:1" ht="12.75">
      <c r="A512" s="12"/>
    </row>
    <row r="513" spans="1:1" ht="12.75">
      <c r="A513" s="12"/>
    </row>
    <row r="514" spans="1:1" ht="12.75">
      <c r="A514" s="12"/>
    </row>
    <row r="515" spans="1:1" ht="12.75">
      <c r="A515" s="12"/>
    </row>
    <row r="516" spans="1:1" ht="12.75">
      <c r="A516" s="12"/>
    </row>
    <row r="517" spans="1:1" ht="12.75">
      <c r="A517" s="12"/>
    </row>
    <row r="518" spans="1:1" ht="12.75">
      <c r="A518" s="12"/>
    </row>
    <row r="519" spans="1:1" ht="12.75">
      <c r="A519" s="12"/>
    </row>
    <row r="520" spans="1:1" ht="12.75">
      <c r="A520" s="12"/>
    </row>
    <row r="521" spans="1:1" ht="12.75">
      <c r="A521" s="12"/>
    </row>
    <row r="522" spans="1:1" ht="12.75">
      <c r="A522" s="12"/>
    </row>
    <row r="523" spans="1:1" ht="12.75">
      <c r="A523" s="12"/>
    </row>
    <row r="524" spans="1:1" ht="12.75">
      <c r="A524" s="12"/>
    </row>
    <row r="525" spans="1:1" ht="12.75">
      <c r="A525" s="12"/>
    </row>
    <row r="526" spans="1:1" ht="12.75">
      <c r="A526" s="12"/>
    </row>
    <row r="527" spans="1:1" ht="12.75">
      <c r="A527" s="12"/>
    </row>
    <row r="528" spans="1:1" ht="12.75">
      <c r="A528" s="12"/>
    </row>
    <row r="529" spans="1:1" ht="12.75">
      <c r="A529" s="12"/>
    </row>
    <row r="530" spans="1:1" ht="12.75">
      <c r="A530" s="12"/>
    </row>
    <row r="531" spans="1:1" ht="12.75">
      <c r="A531" s="12"/>
    </row>
    <row r="532" spans="1:1" ht="12.75">
      <c r="A532" s="12"/>
    </row>
    <row r="533" spans="1:1" ht="12.75">
      <c r="A533" s="12"/>
    </row>
    <row r="534" spans="1:1" ht="12.75">
      <c r="A534" s="12"/>
    </row>
    <row r="535" spans="1:1" ht="12.75">
      <c r="A535" s="12"/>
    </row>
    <row r="536" spans="1:1" ht="12.75">
      <c r="A536" s="12"/>
    </row>
    <row r="537" spans="1:1" ht="12.75">
      <c r="A537" s="12"/>
    </row>
    <row r="538" spans="1:1" ht="12.75">
      <c r="A538" s="12"/>
    </row>
    <row r="539" spans="1:1" ht="12.75">
      <c r="A539" s="12"/>
    </row>
    <row r="540" spans="1:1" ht="12.75">
      <c r="A540" s="12"/>
    </row>
    <row r="541" spans="1:1" ht="12.75">
      <c r="A541" s="12"/>
    </row>
    <row r="542" spans="1:1" ht="12.75">
      <c r="A542" s="12"/>
    </row>
    <row r="543" spans="1:1" ht="12.75">
      <c r="A543" s="12"/>
    </row>
    <row r="544" spans="1:1" ht="12.75">
      <c r="A544" s="12"/>
    </row>
    <row r="545" spans="1:1" ht="12.75">
      <c r="A545" s="12"/>
    </row>
    <row r="546" spans="1:1" ht="12.75">
      <c r="A546" s="12"/>
    </row>
    <row r="547" spans="1:1" ht="12.75">
      <c r="A547" s="12"/>
    </row>
    <row r="548" spans="1:1" ht="12.75">
      <c r="A548" s="12"/>
    </row>
    <row r="549" spans="1:1" ht="12.75">
      <c r="A549" s="12"/>
    </row>
    <row r="550" spans="1:1" ht="12.75">
      <c r="A550" s="12"/>
    </row>
    <row r="551" spans="1:1" ht="12.75">
      <c r="A551" s="12"/>
    </row>
    <row r="552" spans="1:1" ht="12.75">
      <c r="A552" s="12"/>
    </row>
    <row r="553" spans="1:1" ht="12.75">
      <c r="A553" s="12"/>
    </row>
    <row r="554" spans="1:1" ht="12.75">
      <c r="A554" s="12"/>
    </row>
    <row r="555" spans="1:1" ht="12.75">
      <c r="A555" s="12"/>
    </row>
    <row r="556" spans="1:1" ht="12.75">
      <c r="A556" s="12"/>
    </row>
    <row r="557" spans="1:1" ht="12.75">
      <c r="A557" s="12"/>
    </row>
    <row r="558" spans="1:1" ht="12.75">
      <c r="A558" s="12"/>
    </row>
    <row r="559" spans="1:1" ht="12.75">
      <c r="A559" s="12"/>
    </row>
    <row r="560" spans="1:1" ht="12.75">
      <c r="A560" s="12"/>
    </row>
    <row r="561" spans="1:1" ht="12.75">
      <c r="A561" s="12"/>
    </row>
    <row r="562" spans="1:1" ht="12.75">
      <c r="A562" s="12"/>
    </row>
    <row r="563" spans="1:1" ht="12.75">
      <c r="A563" s="12"/>
    </row>
    <row r="564" spans="1:1" ht="12.75">
      <c r="A564" s="12"/>
    </row>
    <row r="565" spans="1:1" ht="12.75">
      <c r="A565" s="12"/>
    </row>
    <row r="566" spans="1:1" ht="12.75">
      <c r="A566" s="12"/>
    </row>
    <row r="567" spans="1:1" ht="12.75">
      <c r="A567" s="12"/>
    </row>
    <row r="568" spans="1:1" ht="12.75">
      <c r="A568" s="12"/>
    </row>
    <row r="569" spans="1:1" ht="12.75">
      <c r="A569" s="12"/>
    </row>
    <row r="570" spans="1:1" ht="12.75">
      <c r="A570" s="12"/>
    </row>
    <row r="571" spans="1:1" ht="12.75">
      <c r="A571" s="12"/>
    </row>
    <row r="572" spans="1:1" ht="12.75">
      <c r="A572" s="12"/>
    </row>
    <row r="573" spans="1:1" ht="12.75">
      <c r="A573" s="12"/>
    </row>
    <row r="574" spans="1:1" ht="12.75">
      <c r="A574" s="12"/>
    </row>
    <row r="575" spans="1:1" ht="12.75">
      <c r="A575" s="12"/>
    </row>
    <row r="576" spans="1:1" ht="12.75">
      <c r="A576" s="12"/>
    </row>
    <row r="577" spans="1:1" ht="12.75">
      <c r="A577" s="12"/>
    </row>
    <row r="578" spans="1:1" ht="12.75">
      <c r="A578" s="12"/>
    </row>
    <row r="579" spans="1:1" ht="12.75">
      <c r="A579" s="12"/>
    </row>
    <row r="580" spans="1:1" ht="12.75">
      <c r="A580" s="12"/>
    </row>
    <row r="581" spans="1:1" ht="12.75">
      <c r="A581" s="12"/>
    </row>
    <row r="582" spans="1:1" ht="12.75">
      <c r="A582" s="12"/>
    </row>
    <row r="583" spans="1:1" ht="12.75">
      <c r="A583" s="12"/>
    </row>
    <row r="584" spans="1:1" ht="12.75">
      <c r="A584" s="12"/>
    </row>
    <row r="585" spans="1:1" ht="12.75">
      <c r="A585" s="12"/>
    </row>
    <row r="586" spans="1:1" ht="12.75">
      <c r="A586" s="12"/>
    </row>
    <row r="587" spans="1:1" ht="12.75">
      <c r="A587" s="12"/>
    </row>
    <row r="588" spans="1:1" ht="12.75">
      <c r="A588" s="12"/>
    </row>
    <row r="589" spans="1:1" ht="12.75">
      <c r="A589" s="12"/>
    </row>
    <row r="590" spans="1:1" ht="12.75">
      <c r="A590" s="12"/>
    </row>
    <row r="591" spans="1:1" ht="12.75">
      <c r="A591" s="12"/>
    </row>
    <row r="592" spans="1:1" ht="12.75">
      <c r="A592" s="12"/>
    </row>
    <row r="593" spans="1:1" ht="12.75">
      <c r="A593" s="12"/>
    </row>
    <row r="594" spans="1:1" ht="12.75">
      <c r="A594" s="12"/>
    </row>
    <row r="595" spans="1:1" ht="12.75">
      <c r="A595" s="12"/>
    </row>
    <row r="596" spans="1:1" ht="12.75">
      <c r="A596" s="12"/>
    </row>
    <row r="597" spans="1:1" ht="12.75">
      <c r="A597" s="12"/>
    </row>
    <row r="598" spans="1:1" ht="12.75">
      <c r="A598" s="12"/>
    </row>
    <row r="599" spans="1:1" ht="12.75">
      <c r="A599" s="12"/>
    </row>
    <row r="600" spans="1:1" ht="12.75">
      <c r="A600" s="12"/>
    </row>
    <row r="601" spans="1:1" ht="12.75">
      <c r="A601" s="12"/>
    </row>
    <row r="602" spans="1:1" ht="12.75">
      <c r="A602" s="12"/>
    </row>
    <row r="603" spans="1:1" ht="12.75">
      <c r="A603" s="12"/>
    </row>
    <row r="604" spans="1:1" ht="12.75">
      <c r="A604" s="12"/>
    </row>
    <row r="605" spans="1:1" ht="12.75">
      <c r="A605" s="12"/>
    </row>
    <row r="606" spans="1:1" ht="12.75">
      <c r="A606" s="12"/>
    </row>
    <row r="607" spans="1:1" ht="12.75">
      <c r="A607" s="12"/>
    </row>
    <row r="608" spans="1:1" ht="12.75">
      <c r="A608" s="12"/>
    </row>
    <row r="609" spans="1:1" ht="12.75">
      <c r="A609" s="12"/>
    </row>
    <row r="610" spans="1:1" ht="12.75">
      <c r="A610" s="12"/>
    </row>
    <row r="611" spans="1:1" ht="12.75">
      <c r="A611" s="12"/>
    </row>
    <row r="612" spans="1:1" ht="12.75">
      <c r="A612" s="12"/>
    </row>
    <row r="613" spans="1:1" ht="12.75">
      <c r="A613" s="12"/>
    </row>
    <row r="614" spans="1:1" ht="12.75">
      <c r="A614" s="12"/>
    </row>
    <row r="615" spans="1:1" ht="12.75">
      <c r="A615" s="12"/>
    </row>
    <row r="616" spans="1:1" ht="12.75">
      <c r="A616" s="12"/>
    </row>
    <row r="617" spans="1:1" ht="12.75">
      <c r="A617" s="12"/>
    </row>
    <row r="618" spans="1:1" ht="12.75">
      <c r="A618" s="12"/>
    </row>
    <row r="619" spans="1:1" ht="12.75">
      <c r="A619" s="12"/>
    </row>
    <row r="620" spans="1:1" ht="12.75">
      <c r="A620" s="12"/>
    </row>
    <row r="621" spans="1:1" ht="12.75">
      <c r="A621" s="12"/>
    </row>
    <row r="622" spans="1:1" ht="12.75">
      <c r="A622" s="12"/>
    </row>
    <row r="623" spans="1:1" ht="12.75">
      <c r="A623" s="12"/>
    </row>
    <row r="624" spans="1:1" ht="12.75">
      <c r="A624" s="12"/>
    </row>
    <row r="625" spans="1:1" ht="12.75">
      <c r="A625" s="12"/>
    </row>
    <row r="626" spans="1:1" ht="12.75">
      <c r="A626" s="12"/>
    </row>
    <row r="627" spans="1:1" ht="12.75">
      <c r="A627" s="12"/>
    </row>
    <row r="628" spans="1:1" ht="12.75">
      <c r="A628" s="12"/>
    </row>
    <row r="629" spans="1:1" ht="12.75">
      <c r="A629" s="12"/>
    </row>
    <row r="630" spans="1:1" ht="12.75">
      <c r="A630" s="12"/>
    </row>
    <row r="631" spans="1:1" ht="12.75">
      <c r="A631" s="12"/>
    </row>
    <row r="632" spans="1:1" ht="12.75">
      <c r="A632" s="12"/>
    </row>
    <row r="633" spans="1:1" ht="12.75">
      <c r="A633" s="12"/>
    </row>
    <row r="634" spans="1:1" ht="12.75">
      <c r="A634" s="12"/>
    </row>
    <row r="635" spans="1:1" ht="12.75">
      <c r="A635" s="12"/>
    </row>
    <row r="636" spans="1:1" ht="12.75">
      <c r="A636" s="12"/>
    </row>
    <row r="637" spans="1:1" ht="12.75">
      <c r="A637" s="12"/>
    </row>
    <row r="638" spans="1:1" ht="12.75">
      <c r="A638" s="12"/>
    </row>
    <row r="639" spans="1:1" ht="12.75">
      <c r="A639" s="12"/>
    </row>
    <row r="640" spans="1:1" ht="12.75">
      <c r="A640" s="12"/>
    </row>
    <row r="641" spans="1:1" ht="12.75">
      <c r="A641" s="12"/>
    </row>
    <row r="642" spans="1:1" ht="12.75">
      <c r="A642" s="12"/>
    </row>
    <row r="643" spans="1:1" ht="12.75">
      <c r="A643" s="12"/>
    </row>
    <row r="644" spans="1:1" ht="12.75">
      <c r="A644" s="12"/>
    </row>
    <row r="645" spans="1:1" ht="12.75">
      <c r="A645" s="12"/>
    </row>
    <row r="646" spans="1:1" ht="12.75">
      <c r="A646" s="12"/>
    </row>
    <row r="647" spans="1:1" ht="12.75">
      <c r="A647" s="12"/>
    </row>
    <row r="648" spans="1:1" ht="12.75">
      <c r="A648" s="12"/>
    </row>
    <row r="649" spans="1:1" ht="12.75">
      <c r="A649" s="12"/>
    </row>
    <row r="650" spans="1:1" ht="12.75">
      <c r="A650" s="12"/>
    </row>
    <row r="651" spans="1:1" ht="12.75">
      <c r="A651" s="12"/>
    </row>
    <row r="652" spans="1:1" ht="12.75">
      <c r="A652" s="12"/>
    </row>
    <row r="653" spans="1:1" ht="12.75">
      <c r="A653" s="12"/>
    </row>
    <row r="654" spans="1:1" ht="12.75">
      <c r="A654" s="12"/>
    </row>
    <row r="655" spans="1:1" ht="12.75">
      <c r="A655" s="12"/>
    </row>
    <row r="656" spans="1:1" ht="12.75">
      <c r="A656" s="12"/>
    </row>
    <row r="657" spans="1:1" ht="12.75">
      <c r="A657" s="12"/>
    </row>
    <row r="658" spans="1:1" ht="12.75">
      <c r="A658" s="12"/>
    </row>
    <row r="659" spans="1:1" ht="12.75">
      <c r="A659" s="12"/>
    </row>
    <row r="660" spans="1:1" ht="12.75">
      <c r="A660" s="12"/>
    </row>
    <row r="661" spans="1:1" ht="12.75">
      <c r="A661" s="12"/>
    </row>
    <row r="662" spans="1:1" ht="12.75">
      <c r="A662" s="12"/>
    </row>
    <row r="663" spans="1:1" ht="12.75">
      <c r="A663" s="12"/>
    </row>
    <row r="664" spans="1:1" ht="12.75">
      <c r="A664" s="12"/>
    </row>
    <row r="665" spans="1:1" ht="12.75">
      <c r="A665" s="12"/>
    </row>
    <row r="666" spans="1:1" ht="12.75">
      <c r="A666" s="12"/>
    </row>
    <row r="667" spans="1:1" ht="12.75">
      <c r="A667" s="12"/>
    </row>
    <row r="668" spans="1:1" ht="12.75">
      <c r="A668" s="12"/>
    </row>
    <row r="669" spans="1:1" ht="12.75">
      <c r="A669" s="12"/>
    </row>
    <row r="670" spans="1:1" ht="12.75">
      <c r="A670" s="12"/>
    </row>
    <row r="671" spans="1:1" ht="12.75">
      <c r="A671" s="12"/>
    </row>
    <row r="672" spans="1:1" ht="12.75">
      <c r="A672" s="12"/>
    </row>
    <row r="673" spans="1:1" ht="12.75">
      <c r="A673" s="12"/>
    </row>
    <row r="674" spans="1:1" ht="12.75">
      <c r="A674" s="12"/>
    </row>
    <row r="675" spans="1:1" ht="12.75">
      <c r="A675" s="12"/>
    </row>
    <row r="676" spans="1:1" ht="12.75">
      <c r="A676" s="12"/>
    </row>
    <row r="677" spans="1:1" ht="12.75">
      <c r="A677" s="12"/>
    </row>
    <row r="678" spans="1:1" ht="12.75">
      <c r="A678" s="12"/>
    </row>
    <row r="679" spans="1:1" ht="12.75">
      <c r="A679" s="12"/>
    </row>
    <row r="680" spans="1:1" ht="12.75">
      <c r="A680" s="12"/>
    </row>
    <row r="681" spans="1:1" ht="12.75">
      <c r="A681" s="12"/>
    </row>
    <row r="682" spans="1:1" ht="12.75">
      <c r="A682" s="12"/>
    </row>
    <row r="683" spans="1:1" ht="12.75">
      <c r="A683" s="12"/>
    </row>
    <row r="684" spans="1:1" ht="12.75">
      <c r="A684" s="12"/>
    </row>
    <row r="685" spans="1:1" ht="12.75">
      <c r="A685" s="12"/>
    </row>
    <row r="686" spans="1:1" ht="12.75">
      <c r="A686" s="12"/>
    </row>
    <row r="687" spans="1:1" ht="12.75">
      <c r="A687" s="12"/>
    </row>
    <row r="688" spans="1:1" ht="12.75">
      <c r="A688" s="12"/>
    </row>
    <row r="689" spans="1:1" ht="12.75">
      <c r="A689" s="12"/>
    </row>
    <row r="690" spans="1:1" ht="12.75">
      <c r="A690" s="12"/>
    </row>
    <row r="691" spans="1:1" ht="12.75">
      <c r="A691" s="12"/>
    </row>
    <row r="692" spans="1:1" ht="12.75">
      <c r="A692" s="12"/>
    </row>
    <row r="693" spans="1:1" ht="12.75">
      <c r="A693" s="12"/>
    </row>
    <row r="694" spans="1:1" ht="12.75">
      <c r="A694" s="12"/>
    </row>
    <row r="695" spans="1:1" ht="12.75">
      <c r="A695" s="12"/>
    </row>
    <row r="696" spans="1:1" ht="12.75">
      <c r="A696" s="12"/>
    </row>
    <row r="697" spans="1:1" ht="12.75">
      <c r="A697" s="12"/>
    </row>
    <row r="698" spans="1:1" ht="12.75">
      <c r="A698" s="12"/>
    </row>
    <row r="699" spans="1:1" ht="12.75">
      <c r="A699" s="12"/>
    </row>
    <row r="700" spans="1:1" ht="12.75">
      <c r="A700" s="12"/>
    </row>
    <row r="701" spans="1:1" ht="12.75">
      <c r="A701" s="12"/>
    </row>
    <row r="702" spans="1:1" ht="12.75">
      <c r="A702" s="12"/>
    </row>
    <row r="703" spans="1:1" ht="12.75">
      <c r="A703" s="12"/>
    </row>
    <row r="704" spans="1:1" ht="12.75">
      <c r="A704" s="12"/>
    </row>
    <row r="705" spans="1:1" ht="12.75">
      <c r="A705" s="12"/>
    </row>
    <row r="706" spans="1:1" ht="12.75">
      <c r="A706" s="12"/>
    </row>
    <row r="707" spans="1:1" ht="12.75">
      <c r="A707" s="12"/>
    </row>
    <row r="708" spans="1:1" ht="12.75">
      <c r="A708" s="12"/>
    </row>
    <row r="709" spans="1:1" ht="12.75">
      <c r="A709" s="12"/>
    </row>
    <row r="710" spans="1:1" ht="12.75">
      <c r="A710" s="12"/>
    </row>
    <row r="711" spans="1:1" ht="12.75">
      <c r="A711" s="12"/>
    </row>
    <row r="712" spans="1:1" ht="12.75">
      <c r="A712" s="12"/>
    </row>
    <row r="713" spans="1:1" ht="12.75">
      <c r="A713" s="12"/>
    </row>
    <row r="714" spans="1:1" ht="12.75">
      <c r="A714" s="12"/>
    </row>
    <row r="715" spans="1:1" ht="12.75">
      <c r="A715" s="12"/>
    </row>
    <row r="716" spans="1:1" ht="12.75">
      <c r="A716" s="12"/>
    </row>
    <row r="717" spans="1:1" ht="12.75">
      <c r="A717" s="12"/>
    </row>
    <row r="718" spans="1:1" ht="12.75">
      <c r="A718" s="12"/>
    </row>
    <row r="719" spans="1:1" ht="12.75">
      <c r="A719" s="12"/>
    </row>
    <row r="720" spans="1:1" ht="12.75">
      <c r="A720" s="12"/>
    </row>
    <row r="721" spans="1:1" ht="12.75">
      <c r="A721" s="12"/>
    </row>
    <row r="722" spans="1:1" ht="12.75">
      <c r="A722" s="12"/>
    </row>
    <row r="723" spans="1:1" ht="12.75">
      <c r="A723" s="12"/>
    </row>
    <row r="724" spans="1:1" ht="12.75">
      <c r="A724" s="12"/>
    </row>
    <row r="725" spans="1:1" ht="12.75">
      <c r="A725" s="12"/>
    </row>
    <row r="726" spans="1:1" ht="12.75">
      <c r="A726" s="12"/>
    </row>
    <row r="727" spans="1:1" ht="12.75">
      <c r="A727" s="12"/>
    </row>
    <row r="728" spans="1:1" ht="12.75">
      <c r="A728" s="12"/>
    </row>
    <row r="729" spans="1:1" ht="12.75">
      <c r="A729" s="12"/>
    </row>
    <row r="730" spans="1:1" ht="12.75">
      <c r="A730" s="12"/>
    </row>
    <row r="731" spans="1:1" ht="12.75">
      <c r="A731" s="12"/>
    </row>
    <row r="732" spans="1:1" ht="12.75">
      <c r="A732" s="12"/>
    </row>
    <row r="733" spans="1:1" ht="12.75">
      <c r="A733" s="12"/>
    </row>
    <row r="734" spans="1:1" ht="12.75">
      <c r="A734" s="12"/>
    </row>
    <row r="735" spans="1:1" ht="12.75">
      <c r="A735" s="12"/>
    </row>
    <row r="736" spans="1:1" ht="12.75">
      <c r="A736" s="12"/>
    </row>
    <row r="737" spans="1:1" ht="12.75">
      <c r="A737" s="12"/>
    </row>
    <row r="738" spans="1:1" ht="12.75">
      <c r="A738" s="12"/>
    </row>
    <row r="739" spans="1:1" ht="12.75">
      <c r="A739" s="12"/>
    </row>
    <row r="740" spans="1:1" ht="12.75">
      <c r="A740" s="12"/>
    </row>
    <row r="741" spans="1:1" ht="12.75">
      <c r="A741" s="12"/>
    </row>
    <row r="742" spans="1:1" ht="12.75">
      <c r="A742" s="12"/>
    </row>
    <row r="743" spans="1:1" ht="12.75">
      <c r="A743" s="12"/>
    </row>
    <row r="744" spans="1:1" ht="12.75">
      <c r="A744" s="12"/>
    </row>
    <row r="745" spans="1:1" ht="12.75">
      <c r="A745" s="12"/>
    </row>
    <row r="746" spans="1:1" ht="12.75">
      <c r="A746" s="12"/>
    </row>
    <row r="747" spans="1:1" ht="12.75">
      <c r="A747" s="12"/>
    </row>
    <row r="748" spans="1:1" ht="12.75">
      <c r="A748" s="12"/>
    </row>
    <row r="749" spans="1:1" ht="12.75">
      <c r="A749" s="12"/>
    </row>
    <row r="750" spans="1:1" ht="12.75">
      <c r="A750" s="12"/>
    </row>
    <row r="751" spans="1:1" ht="12.75">
      <c r="A751" s="12"/>
    </row>
    <row r="752" spans="1:1" ht="12.75">
      <c r="A752" s="12"/>
    </row>
    <row r="753" spans="1:1" ht="12.75">
      <c r="A753" s="12"/>
    </row>
    <row r="754" spans="1:1" ht="12.75">
      <c r="A754" s="12"/>
    </row>
    <row r="755" spans="1:1" ht="12.75">
      <c r="A755" s="12"/>
    </row>
    <row r="756" spans="1:1" ht="12.75">
      <c r="A756" s="12"/>
    </row>
    <row r="757" spans="1:1" ht="12.75">
      <c r="A757" s="12"/>
    </row>
    <row r="758" spans="1:1" ht="12.75">
      <c r="A758" s="12"/>
    </row>
    <row r="759" spans="1:1" ht="12.75">
      <c r="A759" s="12"/>
    </row>
    <row r="760" spans="1:1" ht="12.75">
      <c r="A760" s="12"/>
    </row>
    <row r="761" spans="1:1" ht="12.75">
      <c r="A761" s="12"/>
    </row>
    <row r="762" spans="1:1" ht="12.75">
      <c r="A762" s="12"/>
    </row>
    <row r="763" spans="1:1" ht="12.75">
      <c r="A763" s="12"/>
    </row>
    <row r="764" spans="1:1" ht="12.75">
      <c r="A764" s="12"/>
    </row>
    <row r="765" spans="1:1" ht="12.75">
      <c r="A765" s="12"/>
    </row>
    <row r="766" spans="1:1" ht="12.75">
      <c r="A766" s="12"/>
    </row>
    <row r="767" spans="1:1" ht="12.75">
      <c r="A767" s="12"/>
    </row>
    <row r="768" spans="1:1" ht="12.75">
      <c r="A768" s="12"/>
    </row>
    <row r="769" spans="1:1" ht="12.75">
      <c r="A769" s="12"/>
    </row>
    <row r="770" spans="1:1" ht="12.75">
      <c r="A770" s="12"/>
    </row>
    <row r="771" spans="1:1" ht="12.75">
      <c r="A771" s="12"/>
    </row>
    <row r="772" spans="1:1" ht="12.75">
      <c r="A772" s="12"/>
    </row>
    <row r="773" spans="1:1" ht="12.75">
      <c r="A773" s="12"/>
    </row>
    <row r="774" spans="1:1" ht="12.75">
      <c r="A774" s="12"/>
    </row>
    <row r="775" spans="1:1" ht="12.75">
      <c r="A775" s="12"/>
    </row>
    <row r="776" spans="1:1" ht="12.75">
      <c r="A776" s="12"/>
    </row>
    <row r="777" spans="1:1" ht="12.75">
      <c r="A777" s="12"/>
    </row>
    <row r="778" spans="1:1" ht="12.75">
      <c r="A778" s="12"/>
    </row>
    <row r="779" spans="1:1" ht="12.75">
      <c r="A779" s="12"/>
    </row>
    <row r="780" spans="1:1" ht="12.75">
      <c r="A780" s="12"/>
    </row>
    <row r="781" spans="1:1" ht="12.75">
      <c r="A781" s="12"/>
    </row>
    <row r="782" spans="1:1" ht="12.75">
      <c r="A782" s="12"/>
    </row>
    <row r="783" spans="1:1" ht="12.75">
      <c r="A783" s="12"/>
    </row>
    <row r="784" spans="1:1" ht="12.75">
      <c r="A784" s="12"/>
    </row>
    <row r="785" spans="1:1" ht="12.75">
      <c r="A785" s="12"/>
    </row>
    <row r="786" spans="1:1" ht="12.75">
      <c r="A786" s="12"/>
    </row>
    <row r="787" spans="1:1" ht="12.75">
      <c r="A787" s="12"/>
    </row>
    <row r="788" spans="1:1" ht="12.75">
      <c r="A788" s="12"/>
    </row>
    <row r="789" spans="1:1" ht="12.75">
      <c r="A789" s="12"/>
    </row>
    <row r="790" spans="1:1" ht="12.75">
      <c r="A790" s="12"/>
    </row>
    <row r="791" spans="1:1" ht="12.75">
      <c r="A791" s="12"/>
    </row>
    <row r="792" spans="1:1" ht="12.75">
      <c r="A792" s="12"/>
    </row>
    <row r="793" spans="1:1" ht="12.75">
      <c r="A793" s="12"/>
    </row>
    <row r="794" spans="1:1" ht="12.75">
      <c r="A794" s="12"/>
    </row>
    <row r="795" spans="1:1" ht="12.75">
      <c r="A795" s="12"/>
    </row>
    <row r="796" spans="1:1" ht="12.75">
      <c r="A796" s="12"/>
    </row>
    <row r="797" spans="1:1" ht="12.75">
      <c r="A797" s="12"/>
    </row>
    <row r="798" spans="1:1" ht="12.75">
      <c r="A798" s="12"/>
    </row>
    <row r="799" spans="1:1" ht="12.75">
      <c r="A799" s="12"/>
    </row>
    <row r="800" spans="1:1" ht="12.75">
      <c r="A800" s="12"/>
    </row>
    <row r="801" spans="1:1" ht="12.75">
      <c r="A801" s="12"/>
    </row>
    <row r="802" spans="1:1" ht="12.75">
      <c r="A802" s="12"/>
    </row>
    <row r="803" spans="1:1" ht="12.75">
      <c r="A803" s="12"/>
    </row>
    <row r="804" spans="1:1" ht="12.75">
      <c r="A804" s="12"/>
    </row>
    <row r="805" spans="1:1" ht="12.75">
      <c r="A805" s="12"/>
    </row>
    <row r="806" spans="1:1" ht="12.75">
      <c r="A806" s="12"/>
    </row>
    <row r="807" spans="1:1" ht="12.75">
      <c r="A807" s="12"/>
    </row>
    <row r="808" spans="1:1" ht="12.75">
      <c r="A808" s="12"/>
    </row>
    <row r="809" spans="1:1" ht="12.75">
      <c r="A809" s="12"/>
    </row>
    <row r="810" spans="1:1" ht="12.75">
      <c r="A810" s="12"/>
    </row>
    <row r="811" spans="1:1" ht="12.75">
      <c r="A811" s="12"/>
    </row>
    <row r="812" spans="1:1" ht="12.75">
      <c r="A812" s="12"/>
    </row>
    <row r="813" spans="1:1" ht="12.75">
      <c r="A813" s="12"/>
    </row>
    <row r="814" spans="1:1" ht="12.75">
      <c r="A814" s="12"/>
    </row>
    <row r="815" spans="1:1" ht="12.75">
      <c r="A815" s="12"/>
    </row>
    <row r="816" spans="1:1" ht="12.75">
      <c r="A816" s="12"/>
    </row>
    <row r="817" spans="1:1" ht="12.75">
      <c r="A817" s="12"/>
    </row>
    <row r="818" spans="1:1" ht="12.75">
      <c r="A818" s="12"/>
    </row>
    <row r="819" spans="1:1" ht="12.75">
      <c r="A819" s="12"/>
    </row>
    <row r="820" spans="1:1" ht="12.75">
      <c r="A820" s="12"/>
    </row>
    <row r="821" spans="1:1" ht="12.75">
      <c r="A821" s="12"/>
    </row>
    <row r="822" spans="1:1" ht="12.75">
      <c r="A822" s="12"/>
    </row>
    <row r="823" spans="1:1" ht="12.75">
      <c r="A823" s="12"/>
    </row>
    <row r="824" spans="1:1" ht="12.75">
      <c r="A824" s="12"/>
    </row>
    <row r="825" spans="1:1" ht="12.75">
      <c r="A825" s="12"/>
    </row>
    <row r="826" spans="1:1" ht="12.75">
      <c r="A826" s="12"/>
    </row>
    <row r="827" spans="1:1" ht="12.75">
      <c r="A827" s="12"/>
    </row>
    <row r="828" spans="1:1" ht="12.75">
      <c r="A828" s="12"/>
    </row>
    <row r="829" spans="1:1" ht="12.75">
      <c r="A829" s="12"/>
    </row>
    <row r="830" spans="1:1" ht="12.75">
      <c r="A830" s="12"/>
    </row>
    <row r="831" spans="1:1" ht="12.75">
      <c r="A831" s="12"/>
    </row>
    <row r="832" spans="1:1" ht="12.75">
      <c r="A832" s="12"/>
    </row>
    <row r="833" spans="1:1" ht="12.75">
      <c r="A833" s="12"/>
    </row>
    <row r="834" spans="1:1" ht="12.75">
      <c r="A834" s="12"/>
    </row>
    <row r="835" spans="1:1" ht="12.75">
      <c r="A835" s="12"/>
    </row>
  </sheetData>
  <conditionalFormatting sqref="B1:C96">
    <cfRule type="cellIs" dxfId="19" priority="1" operator="equal">
      <formula>"O2 Network Limited"</formula>
    </cfRule>
  </conditionalFormatting>
  <dataValidations count="1">
    <dataValidation type="custom" allowBlank="1" showDropDown="1" sqref="E2:E106" xr:uid="{00000000-0002-0000-0E00-000000000000}">
      <formula1>AND(ISNUMBER(E2),(NOT(OR(NOT(ISERROR(DATEVALUE(E2))), AND(ISNUMBER(E2), LEFT(CELL("format", E2))="D")))))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999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2.42578125" customWidth="1"/>
    <col min="2" max="2" width="6.42578125" customWidth="1"/>
    <col min="3" max="3" width="5.140625" customWidth="1"/>
    <col min="4" max="4" width="7.85546875" customWidth="1"/>
    <col min="5" max="5" width="8.42578125" customWidth="1"/>
    <col min="6" max="6" width="24.42578125" customWidth="1"/>
    <col min="7" max="7" width="23.28515625" customWidth="1"/>
    <col min="8" max="8" width="9" customWidth="1"/>
    <col min="9" max="9" width="7.7109375" customWidth="1"/>
    <col min="10" max="10" width="9" customWidth="1"/>
    <col min="11" max="11" width="8.42578125" customWidth="1"/>
    <col min="12" max="12" width="8.140625" customWidth="1"/>
    <col min="13" max="13" width="7.42578125" customWidth="1"/>
    <col min="14" max="14" width="9" customWidth="1"/>
    <col min="15" max="15" width="18.7109375" customWidth="1"/>
    <col min="16" max="16" width="11.85546875" customWidth="1"/>
  </cols>
  <sheetData>
    <row r="1" spans="1:16" ht="22.5" customHeight="1">
      <c r="A1" s="335" t="s">
        <v>245</v>
      </c>
      <c r="B1" s="335" t="s">
        <v>7043</v>
      </c>
      <c r="C1" s="335" t="s">
        <v>7044</v>
      </c>
      <c r="D1" s="335" t="s">
        <v>246</v>
      </c>
      <c r="E1" s="335" t="s">
        <v>247</v>
      </c>
      <c r="F1" s="336" t="s">
        <v>248</v>
      </c>
      <c r="G1" s="336" t="s">
        <v>249</v>
      </c>
      <c r="H1" s="335" t="s">
        <v>24</v>
      </c>
      <c r="I1" s="335" t="s">
        <v>250</v>
      </c>
      <c r="J1" s="336" t="s">
        <v>251</v>
      </c>
      <c r="K1" s="336" t="s">
        <v>252</v>
      </c>
      <c r="L1" s="336" t="s">
        <v>253</v>
      </c>
      <c r="M1" s="336" t="s">
        <v>22</v>
      </c>
      <c r="N1" s="336" t="s">
        <v>23</v>
      </c>
      <c r="O1" s="336" t="s">
        <v>254</v>
      </c>
      <c r="P1" s="336" t="s">
        <v>255</v>
      </c>
    </row>
    <row r="2" spans="1:16" ht="22.5" customHeight="1">
      <c r="A2" s="337">
        <v>45489</v>
      </c>
      <c r="B2" s="338">
        <f t="shared" ref="B2:B147" si="0">YEAR(A2)</f>
        <v>2024</v>
      </c>
      <c r="C2" s="338">
        <f t="shared" ref="C2:C119" si="1">MONTH(A2)</f>
        <v>7</v>
      </c>
      <c r="D2" s="339">
        <v>0.18113425925925927</v>
      </c>
      <c r="E2" s="340" t="s">
        <v>398</v>
      </c>
      <c r="F2" s="341" t="s">
        <v>7045</v>
      </c>
      <c r="G2" s="341" t="s">
        <v>7046</v>
      </c>
      <c r="H2" s="340" t="s">
        <v>7047</v>
      </c>
      <c r="I2" s="340"/>
      <c r="J2" s="170">
        <v>-2.99</v>
      </c>
      <c r="K2" s="170">
        <v>0</v>
      </c>
      <c r="L2" s="170">
        <v>-2.99</v>
      </c>
      <c r="M2" s="172">
        <f t="shared" ref="M2:M194" si="2">IF(L2&gt;0,L2,0)</f>
        <v>0</v>
      </c>
      <c r="N2" s="172">
        <f t="shared" ref="N2:N194" si="3">IF(L2&lt;0,L2,0)*-1</f>
        <v>2.99</v>
      </c>
      <c r="O2" s="172" t="s">
        <v>7048</v>
      </c>
      <c r="P2" s="170">
        <v>107.44</v>
      </c>
    </row>
    <row r="3" spans="1:16" ht="22.5" customHeight="1">
      <c r="A3" s="337">
        <v>45521</v>
      </c>
      <c r="B3" s="338">
        <f t="shared" si="0"/>
        <v>2024</v>
      </c>
      <c r="C3" s="338">
        <f t="shared" si="1"/>
        <v>8</v>
      </c>
      <c r="D3" s="339">
        <v>0.32021990740740741</v>
      </c>
      <c r="E3" s="340" t="s">
        <v>398</v>
      </c>
      <c r="F3" s="341" t="s">
        <v>7049</v>
      </c>
      <c r="G3" s="341" t="s">
        <v>7046</v>
      </c>
      <c r="H3" s="340" t="s">
        <v>7047</v>
      </c>
      <c r="I3" s="340"/>
      <c r="J3" s="170">
        <v>4.99</v>
      </c>
      <c r="K3" s="170">
        <v>-0.74</v>
      </c>
      <c r="L3" s="170">
        <v>4.25</v>
      </c>
      <c r="M3" s="172">
        <f t="shared" si="2"/>
        <v>4.25</v>
      </c>
      <c r="N3" s="172">
        <f t="shared" si="3"/>
        <v>0</v>
      </c>
      <c r="O3" s="172" t="s">
        <v>7050</v>
      </c>
      <c r="P3" s="170">
        <v>111.69</v>
      </c>
    </row>
    <row r="4" spans="1:16" ht="22.5" customHeight="1">
      <c r="A4" s="337">
        <v>45521</v>
      </c>
      <c r="B4" s="338">
        <f t="shared" si="0"/>
        <v>2024</v>
      </c>
      <c r="C4" s="338">
        <f t="shared" si="1"/>
        <v>8</v>
      </c>
      <c r="D4" s="339">
        <v>0.32030092592592591</v>
      </c>
      <c r="E4" s="340" t="s">
        <v>398</v>
      </c>
      <c r="F4" s="341"/>
      <c r="G4" s="341" t="s">
        <v>7051</v>
      </c>
      <c r="H4" s="340" t="s">
        <v>7047</v>
      </c>
      <c r="I4" s="340"/>
      <c r="J4" s="170">
        <v>-4.25</v>
      </c>
      <c r="K4" s="170">
        <v>0</v>
      </c>
      <c r="L4" s="170">
        <v>-4.25</v>
      </c>
      <c r="M4" s="172">
        <f t="shared" si="2"/>
        <v>0</v>
      </c>
      <c r="N4" s="172">
        <f t="shared" si="3"/>
        <v>4.25</v>
      </c>
      <c r="O4" s="172" t="s">
        <v>7052</v>
      </c>
      <c r="P4" s="170">
        <v>107.44</v>
      </c>
    </row>
    <row r="5" spans="1:16" ht="22.5" customHeight="1">
      <c r="A5" s="337">
        <v>45521</v>
      </c>
      <c r="B5" s="338">
        <f t="shared" si="0"/>
        <v>2024</v>
      </c>
      <c r="C5" s="338">
        <f t="shared" si="1"/>
        <v>8</v>
      </c>
      <c r="D5" s="339">
        <v>0.50594907407407408</v>
      </c>
      <c r="E5" s="340" t="s">
        <v>398</v>
      </c>
      <c r="F5" s="341" t="s">
        <v>7053</v>
      </c>
      <c r="G5" s="341" t="s">
        <v>7054</v>
      </c>
      <c r="H5" s="340" t="s">
        <v>7047</v>
      </c>
      <c r="I5" s="340"/>
      <c r="J5" s="170">
        <v>9.99</v>
      </c>
      <c r="K5" s="170">
        <v>-0.99</v>
      </c>
      <c r="L5" s="170">
        <v>9</v>
      </c>
      <c r="M5" s="172">
        <f t="shared" si="2"/>
        <v>9</v>
      </c>
      <c r="N5" s="172">
        <f t="shared" si="3"/>
        <v>0</v>
      </c>
      <c r="O5" s="172" t="s">
        <v>7055</v>
      </c>
      <c r="P5" s="170">
        <v>116.44</v>
      </c>
    </row>
    <row r="6" spans="1:16" ht="22.5" customHeight="1">
      <c r="A6" s="337">
        <v>45521</v>
      </c>
      <c r="B6" s="338">
        <f t="shared" si="0"/>
        <v>2024</v>
      </c>
      <c r="C6" s="338">
        <f t="shared" si="1"/>
        <v>8</v>
      </c>
      <c r="D6" s="339">
        <v>0.50603009259259257</v>
      </c>
      <c r="E6" s="340" t="s">
        <v>398</v>
      </c>
      <c r="F6" s="341"/>
      <c r="G6" s="341" t="s">
        <v>7051</v>
      </c>
      <c r="H6" s="340" t="s">
        <v>7047</v>
      </c>
      <c r="I6" s="340"/>
      <c r="J6" s="170">
        <v>-9</v>
      </c>
      <c r="K6" s="170">
        <v>0</v>
      </c>
      <c r="L6" s="170">
        <v>-9</v>
      </c>
      <c r="M6" s="172">
        <f t="shared" si="2"/>
        <v>0</v>
      </c>
      <c r="N6" s="172">
        <f t="shared" si="3"/>
        <v>9</v>
      </c>
      <c r="O6" s="172" t="s">
        <v>7056</v>
      </c>
      <c r="P6" s="170">
        <v>107.44</v>
      </c>
    </row>
    <row r="7" spans="1:16" ht="22.5" customHeight="1">
      <c r="A7" s="337">
        <v>45522</v>
      </c>
      <c r="B7" s="338">
        <f t="shared" si="0"/>
        <v>2024</v>
      </c>
      <c r="C7" s="338">
        <f t="shared" si="1"/>
        <v>8</v>
      </c>
      <c r="D7" s="339">
        <v>7.0405092592592589E-2</v>
      </c>
      <c r="E7" s="340" t="s">
        <v>398</v>
      </c>
      <c r="F7" s="341" t="s">
        <v>7057</v>
      </c>
      <c r="G7" s="341" t="s">
        <v>7046</v>
      </c>
      <c r="H7" s="340" t="s">
        <v>7047</v>
      </c>
      <c r="I7" s="340"/>
      <c r="J7" s="170">
        <v>9.99</v>
      </c>
      <c r="K7" s="170">
        <v>-0.99</v>
      </c>
      <c r="L7" s="170">
        <v>9</v>
      </c>
      <c r="M7" s="172">
        <f t="shared" si="2"/>
        <v>9</v>
      </c>
      <c r="N7" s="172">
        <f t="shared" si="3"/>
        <v>0</v>
      </c>
      <c r="O7" s="172" t="s">
        <v>7058</v>
      </c>
      <c r="P7" s="170">
        <v>116.44</v>
      </c>
    </row>
    <row r="8" spans="1:16" ht="22.5" customHeight="1">
      <c r="A8" s="337">
        <v>45522</v>
      </c>
      <c r="B8" s="338">
        <f t="shared" si="0"/>
        <v>2024</v>
      </c>
      <c r="C8" s="338">
        <f t="shared" si="1"/>
        <v>8</v>
      </c>
      <c r="D8" s="339">
        <v>7.0474537037037044E-2</v>
      </c>
      <c r="E8" s="340" t="s">
        <v>398</v>
      </c>
      <c r="F8" s="341"/>
      <c r="G8" s="341" t="s">
        <v>7051</v>
      </c>
      <c r="H8" s="340" t="s">
        <v>7047</v>
      </c>
      <c r="I8" s="340"/>
      <c r="J8" s="170">
        <v>-9</v>
      </c>
      <c r="K8" s="170">
        <v>0</v>
      </c>
      <c r="L8" s="170">
        <v>-9</v>
      </c>
      <c r="M8" s="172">
        <f t="shared" si="2"/>
        <v>0</v>
      </c>
      <c r="N8" s="172">
        <f t="shared" si="3"/>
        <v>9</v>
      </c>
      <c r="O8" s="172" t="s">
        <v>7059</v>
      </c>
      <c r="P8" s="170">
        <v>107.44</v>
      </c>
    </row>
    <row r="9" spans="1:16" ht="22.5" customHeight="1">
      <c r="A9" s="337">
        <v>45524</v>
      </c>
      <c r="B9" s="338">
        <f t="shared" si="0"/>
        <v>2024</v>
      </c>
      <c r="C9" s="338">
        <f t="shared" si="1"/>
        <v>8</v>
      </c>
      <c r="D9" s="339">
        <v>0.35480324074074077</v>
      </c>
      <c r="E9" s="340" t="s">
        <v>398</v>
      </c>
      <c r="F9" s="341" t="s">
        <v>632</v>
      </c>
      <c r="G9" s="341" t="s">
        <v>7046</v>
      </c>
      <c r="H9" s="340" t="s">
        <v>7047</v>
      </c>
      <c r="I9" s="340"/>
      <c r="J9" s="170">
        <v>9.99</v>
      </c>
      <c r="K9" s="170">
        <v>-0.84</v>
      </c>
      <c r="L9" s="170">
        <v>9.15</v>
      </c>
      <c r="M9" s="172">
        <f t="shared" si="2"/>
        <v>9.15</v>
      </c>
      <c r="N9" s="172">
        <f t="shared" si="3"/>
        <v>0</v>
      </c>
      <c r="O9" s="172" t="s">
        <v>7060</v>
      </c>
      <c r="P9" s="170">
        <v>116.59</v>
      </c>
    </row>
    <row r="10" spans="1:16" ht="22.5" customHeight="1">
      <c r="A10" s="337">
        <v>45524</v>
      </c>
      <c r="B10" s="338">
        <f t="shared" si="0"/>
        <v>2024</v>
      </c>
      <c r="C10" s="338">
        <f t="shared" si="1"/>
        <v>8</v>
      </c>
      <c r="D10" s="339">
        <v>0.35486111111111113</v>
      </c>
      <c r="E10" s="340" t="s">
        <v>398</v>
      </c>
      <c r="F10" s="341"/>
      <c r="G10" s="341" t="s">
        <v>7051</v>
      </c>
      <c r="H10" s="340" t="s">
        <v>7047</v>
      </c>
      <c r="I10" s="340"/>
      <c r="J10" s="170">
        <v>-9.15</v>
      </c>
      <c r="K10" s="170">
        <v>0</v>
      </c>
      <c r="L10" s="170">
        <v>-9.15</v>
      </c>
      <c r="M10" s="172">
        <f t="shared" si="2"/>
        <v>0</v>
      </c>
      <c r="N10" s="172">
        <f t="shared" si="3"/>
        <v>9.15</v>
      </c>
      <c r="O10" s="172" t="s">
        <v>7061</v>
      </c>
      <c r="P10" s="170">
        <v>107.44</v>
      </c>
    </row>
    <row r="11" spans="1:16" ht="22.5" customHeight="1">
      <c r="A11" s="337">
        <v>45528</v>
      </c>
      <c r="B11" s="338">
        <f t="shared" si="0"/>
        <v>2024</v>
      </c>
      <c r="C11" s="338">
        <f t="shared" si="1"/>
        <v>8</v>
      </c>
      <c r="D11" s="339">
        <v>8.1365740740740738E-3</v>
      </c>
      <c r="E11" s="340" t="s">
        <v>398</v>
      </c>
      <c r="F11" s="341"/>
      <c r="G11" s="341" t="s">
        <v>7062</v>
      </c>
      <c r="H11" s="340" t="s">
        <v>7047</v>
      </c>
      <c r="I11" s="340"/>
      <c r="J11" s="170">
        <v>4.25</v>
      </c>
      <c r="K11" s="170">
        <v>0</v>
      </c>
      <c r="L11" s="170">
        <v>4.25</v>
      </c>
      <c r="M11" s="172">
        <f t="shared" si="2"/>
        <v>4.25</v>
      </c>
      <c r="N11" s="172">
        <f t="shared" si="3"/>
        <v>0</v>
      </c>
      <c r="O11" s="172" t="s">
        <v>7063</v>
      </c>
      <c r="P11" s="170">
        <v>111.69</v>
      </c>
    </row>
    <row r="12" spans="1:16" ht="22.5" customHeight="1">
      <c r="A12" s="337">
        <v>45528</v>
      </c>
      <c r="B12" s="338">
        <f t="shared" si="0"/>
        <v>2024</v>
      </c>
      <c r="C12" s="338">
        <f t="shared" si="1"/>
        <v>8</v>
      </c>
      <c r="D12" s="339">
        <v>8.1481481481481474E-3</v>
      </c>
      <c r="E12" s="340" t="s">
        <v>398</v>
      </c>
      <c r="F12" s="341"/>
      <c r="G12" s="341" t="s">
        <v>7062</v>
      </c>
      <c r="H12" s="340" t="s">
        <v>7047</v>
      </c>
      <c r="I12" s="340"/>
      <c r="J12" s="170">
        <v>9</v>
      </c>
      <c r="K12" s="170">
        <v>0</v>
      </c>
      <c r="L12" s="170">
        <v>9</v>
      </c>
      <c r="M12" s="172">
        <f t="shared" si="2"/>
        <v>9</v>
      </c>
      <c r="N12" s="172">
        <f t="shared" si="3"/>
        <v>0</v>
      </c>
      <c r="O12" s="172" t="s">
        <v>7064</v>
      </c>
      <c r="P12" s="170">
        <v>120.69</v>
      </c>
    </row>
    <row r="13" spans="1:16" ht="22.5" customHeight="1">
      <c r="A13" s="337">
        <v>45528</v>
      </c>
      <c r="B13" s="338">
        <f t="shared" si="0"/>
        <v>2024</v>
      </c>
      <c r="C13" s="338">
        <f t="shared" si="1"/>
        <v>8</v>
      </c>
      <c r="D13" s="339">
        <v>8.1481481481481474E-3</v>
      </c>
      <c r="E13" s="340" t="s">
        <v>398</v>
      </c>
      <c r="F13" s="341"/>
      <c r="G13" s="341" t="s">
        <v>7062</v>
      </c>
      <c r="H13" s="340" t="s">
        <v>7047</v>
      </c>
      <c r="I13" s="340"/>
      <c r="J13" s="170">
        <v>9</v>
      </c>
      <c r="K13" s="170">
        <v>0</v>
      </c>
      <c r="L13" s="170">
        <v>9</v>
      </c>
      <c r="M13" s="172">
        <f t="shared" si="2"/>
        <v>9</v>
      </c>
      <c r="N13" s="172">
        <f t="shared" si="3"/>
        <v>0</v>
      </c>
      <c r="O13" s="172" t="s">
        <v>7065</v>
      </c>
      <c r="P13" s="170">
        <v>129.69</v>
      </c>
    </row>
    <row r="14" spans="1:16" ht="22.5" customHeight="1">
      <c r="A14" s="337">
        <v>45528</v>
      </c>
      <c r="B14" s="338">
        <f t="shared" si="0"/>
        <v>2024</v>
      </c>
      <c r="C14" s="338">
        <f t="shared" si="1"/>
        <v>8</v>
      </c>
      <c r="D14" s="339">
        <v>8.1597222222222227E-3</v>
      </c>
      <c r="E14" s="340" t="s">
        <v>398</v>
      </c>
      <c r="F14" s="341"/>
      <c r="G14" s="341" t="s">
        <v>7062</v>
      </c>
      <c r="H14" s="340" t="s">
        <v>7047</v>
      </c>
      <c r="I14" s="340"/>
      <c r="J14" s="170">
        <v>9.15</v>
      </c>
      <c r="K14" s="170">
        <v>0</v>
      </c>
      <c r="L14" s="170">
        <v>9.15</v>
      </c>
      <c r="M14" s="172">
        <f t="shared" si="2"/>
        <v>9.15</v>
      </c>
      <c r="N14" s="172">
        <f t="shared" si="3"/>
        <v>0</v>
      </c>
      <c r="O14" s="172" t="s">
        <v>7066</v>
      </c>
      <c r="P14" s="170">
        <v>138.84</v>
      </c>
    </row>
    <row r="15" spans="1:16" ht="22.5" customHeight="1">
      <c r="A15" s="337">
        <v>45533</v>
      </c>
      <c r="B15" s="338">
        <f t="shared" si="0"/>
        <v>2024</v>
      </c>
      <c r="C15" s="338">
        <f t="shared" si="1"/>
        <v>8</v>
      </c>
      <c r="D15" s="339">
        <v>0.65060185185185182</v>
      </c>
      <c r="E15" s="340" t="s">
        <v>398</v>
      </c>
      <c r="F15" s="341" t="s">
        <v>7067</v>
      </c>
      <c r="G15" s="341" t="s">
        <v>7054</v>
      </c>
      <c r="H15" s="340" t="s">
        <v>7047</v>
      </c>
      <c r="I15" s="340"/>
      <c r="J15" s="170">
        <v>1</v>
      </c>
      <c r="K15" s="170">
        <v>-0.54</v>
      </c>
      <c r="L15" s="170">
        <v>0.46</v>
      </c>
      <c r="M15" s="172">
        <f t="shared" si="2"/>
        <v>0.46</v>
      </c>
      <c r="N15" s="172">
        <f t="shared" si="3"/>
        <v>0</v>
      </c>
      <c r="O15" s="172" t="s">
        <v>7068</v>
      </c>
      <c r="P15" s="170">
        <v>139.30000000000001</v>
      </c>
    </row>
    <row r="16" spans="1:16" ht="22.5" customHeight="1">
      <c r="A16" s="337">
        <v>45533</v>
      </c>
      <c r="B16" s="338">
        <f t="shared" si="0"/>
        <v>2024</v>
      </c>
      <c r="C16" s="338">
        <f t="shared" si="1"/>
        <v>8</v>
      </c>
      <c r="D16" s="339">
        <v>0.65060185185185182</v>
      </c>
      <c r="E16" s="340" t="s">
        <v>398</v>
      </c>
      <c r="F16" s="341"/>
      <c r="G16" s="341" t="s">
        <v>7069</v>
      </c>
      <c r="H16" s="340" t="s">
        <v>7047</v>
      </c>
      <c r="I16" s="340"/>
      <c r="J16" s="170">
        <v>-0.46</v>
      </c>
      <c r="K16" s="170">
        <v>0</v>
      </c>
      <c r="L16" s="170">
        <v>-0.46</v>
      </c>
      <c r="M16" s="172">
        <f t="shared" si="2"/>
        <v>0</v>
      </c>
      <c r="N16" s="172">
        <f t="shared" si="3"/>
        <v>0.46</v>
      </c>
      <c r="O16" s="172" t="s">
        <v>7070</v>
      </c>
      <c r="P16" s="170">
        <v>138.84</v>
      </c>
    </row>
    <row r="17" spans="1:16" ht="22.5" customHeight="1">
      <c r="A17" s="337">
        <v>45535</v>
      </c>
      <c r="B17" s="338">
        <f t="shared" si="0"/>
        <v>2024</v>
      </c>
      <c r="C17" s="338">
        <f t="shared" si="1"/>
        <v>8</v>
      </c>
      <c r="D17" s="339">
        <v>0.96105324074074072</v>
      </c>
      <c r="E17" s="340" t="s">
        <v>398</v>
      </c>
      <c r="F17" s="341" t="s">
        <v>7049</v>
      </c>
      <c r="G17" s="341" t="s">
        <v>7046</v>
      </c>
      <c r="H17" s="340" t="s">
        <v>7047</v>
      </c>
      <c r="I17" s="340"/>
      <c r="J17" s="170">
        <v>1.99</v>
      </c>
      <c r="K17" s="170">
        <v>-0.59</v>
      </c>
      <c r="L17" s="170">
        <v>1.4</v>
      </c>
      <c r="M17" s="172">
        <f t="shared" si="2"/>
        <v>1.4</v>
      </c>
      <c r="N17" s="172">
        <f t="shared" si="3"/>
        <v>0</v>
      </c>
      <c r="O17" s="172" t="s">
        <v>7071</v>
      </c>
      <c r="P17" s="170">
        <v>140.24</v>
      </c>
    </row>
    <row r="18" spans="1:16" ht="22.5" customHeight="1">
      <c r="A18" s="337">
        <v>45535</v>
      </c>
      <c r="B18" s="338">
        <f t="shared" si="0"/>
        <v>2024</v>
      </c>
      <c r="C18" s="338">
        <f t="shared" si="1"/>
        <v>8</v>
      </c>
      <c r="D18" s="339">
        <v>0.96105324074074072</v>
      </c>
      <c r="E18" s="340" t="s">
        <v>398</v>
      </c>
      <c r="F18" s="341"/>
      <c r="G18" s="341" t="s">
        <v>7069</v>
      </c>
      <c r="H18" s="340" t="s">
        <v>7047</v>
      </c>
      <c r="I18" s="340"/>
      <c r="J18" s="170">
        <v>-1.4</v>
      </c>
      <c r="K18" s="170">
        <v>0</v>
      </c>
      <c r="L18" s="170">
        <v>-1.4</v>
      </c>
      <c r="M18" s="172">
        <f t="shared" si="2"/>
        <v>0</v>
      </c>
      <c r="N18" s="172">
        <f t="shared" si="3"/>
        <v>1.4</v>
      </c>
      <c r="O18" s="172" t="s">
        <v>7072</v>
      </c>
      <c r="P18" s="170">
        <v>138.84</v>
      </c>
    </row>
    <row r="19" spans="1:16" ht="22.5" customHeight="1">
      <c r="A19" s="337">
        <v>45536</v>
      </c>
      <c r="B19" s="338">
        <f t="shared" si="0"/>
        <v>2024</v>
      </c>
      <c r="C19" s="338">
        <f t="shared" si="1"/>
        <v>9</v>
      </c>
      <c r="D19" s="339">
        <v>0.32848379629629632</v>
      </c>
      <c r="E19" s="340" t="s">
        <v>398</v>
      </c>
      <c r="F19" s="341" t="s">
        <v>7073</v>
      </c>
      <c r="G19" s="341" t="s">
        <v>7054</v>
      </c>
      <c r="H19" s="340" t="s">
        <v>7047</v>
      </c>
      <c r="I19" s="340"/>
      <c r="J19" s="170">
        <v>1.99</v>
      </c>
      <c r="K19" s="170">
        <v>-0.56000000000000005</v>
      </c>
      <c r="L19" s="170">
        <v>1.43</v>
      </c>
      <c r="M19" s="172">
        <f t="shared" si="2"/>
        <v>1.43</v>
      </c>
      <c r="N19" s="172">
        <f t="shared" si="3"/>
        <v>0</v>
      </c>
      <c r="O19" s="172" t="s">
        <v>7074</v>
      </c>
      <c r="P19" s="170">
        <v>140.27000000000001</v>
      </c>
    </row>
    <row r="20" spans="1:16" ht="22.5" customHeight="1">
      <c r="A20" s="337">
        <v>45536</v>
      </c>
      <c r="B20" s="338">
        <f t="shared" si="0"/>
        <v>2024</v>
      </c>
      <c r="C20" s="338">
        <f t="shared" si="1"/>
        <v>9</v>
      </c>
      <c r="D20" s="339">
        <v>0.32848379629629632</v>
      </c>
      <c r="E20" s="340" t="s">
        <v>398</v>
      </c>
      <c r="F20" s="341"/>
      <c r="G20" s="341" t="s">
        <v>7069</v>
      </c>
      <c r="H20" s="340" t="s">
        <v>7047</v>
      </c>
      <c r="I20" s="340"/>
      <c r="J20" s="170">
        <v>-1.43</v>
      </c>
      <c r="K20" s="170">
        <v>0</v>
      </c>
      <c r="L20" s="170">
        <v>-1.43</v>
      </c>
      <c r="M20" s="172">
        <f t="shared" si="2"/>
        <v>0</v>
      </c>
      <c r="N20" s="172">
        <f t="shared" si="3"/>
        <v>1.43</v>
      </c>
      <c r="O20" s="172" t="s">
        <v>7075</v>
      </c>
      <c r="P20" s="170">
        <v>138.84</v>
      </c>
    </row>
    <row r="21" spans="1:16" ht="22.5" customHeight="1">
      <c r="A21" s="337">
        <v>45540</v>
      </c>
      <c r="B21" s="338">
        <f t="shared" si="0"/>
        <v>2024</v>
      </c>
      <c r="C21" s="338">
        <f t="shared" si="1"/>
        <v>9</v>
      </c>
      <c r="D21" s="339">
        <v>0.17880787037037038</v>
      </c>
      <c r="E21" s="340" t="s">
        <v>398</v>
      </c>
      <c r="F21" s="341" t="s">
        <v>367</v>
      </c>
      <c r="G21" s="341" t="s">
        <v>7076</v>
      </c>
      <c r="H21" s="340" t="s">
        <v>7047</v>
      </c>
      <c r="I21" s="340"/>
      <c r="J21" s="170">
        <v>-11.66</v>
      </c>
      <c r="K21" s="170">
        <v>0</v>
      </c>
      <c r="L21" s="170">
        <v>-11.66</v>
      </c>
      <c r="M21" s="172">
        <f t="shared" si="2"/>
        <v>0</v>
      </c>
      <c r="N21" s="172">
        <f t="shared" si="3"/>
        <v>11.66</v>
      </c>
      <c r="O21" s="172" t="s">
        <v>7077</v>
      </c>
      <c r="P21" s="170">
        <v>127.18</v>
      </c>
    </row>
    <row r="22" spans="1:16" ht="22.5" customHeight="1">
      <c r="A22" s="337">
        <v>45540</v>
      </c>
      <c r="B22" s="338">
        <f t="shared" si="0"/>
        <v>2024</v>
      </c>
      <c r="C22" s="338">
        <f t="shared" si="1"/>
        <v>9</v>
      </c>
      <c r="D22" s="339">
        <v>0.74657407407407406</v>
      </c>
      <c r="E22" s="340" t="s">
        <v>398</v>
      </c>
      <c r="F22" s="341" t="s">
        <v>7078</v>
      </c>
      <c r="G22" s="341" t="s">
        <v>7054</v>
      </c>
      <c r="H22" s="340" t="s">
        <v>7047</v>
      </c>
      <c r="I22" s="340"/>
      <c r="J22" s="170">
        <v>1.0900000000000001</v>
      </c>
      <c r="K22" s="170">
        <v>-0.54</v>
      </c>
      <c r="L22" s="170">
        <v>0.55000000000000004</v>
      </c>
      <c r="M22" s="172">
        <f t="shared" si="2"/>
        <v>0.55000000000000004</v>
      </c>
      <c r="N22" s="172">
        <f t="shared" si="3"/>
        <v>0</v>
      </c>
      <c r="O22" s="172" t="s">
        <v>7079</v>
      </c>
      <c r="P22" s="170">
        <v>127.73</v>
      </c>
    </row>
    <row r="23" spans="1:16" ht="22.5" customHeight="1">
      <c r="A23" s="337">
        <v>45540</v>
      </c>
      <c r="B23" s="338">
        <f t="shared" si="0"/>
        <v>2024</v>
      </c>
      <c r="C23" s="338">
        <f t="shared" si="1"/>
        <v>9</v>
      </c>
      <c r="D23" s="339">
        <v>0.74657407407407406</v>
      </c>
      <c r="E23" s="340" t="s">
        <v>398</v>
      </c>
      <c r="F23" s="341"/>
      <c r="G23" s="341" t="s">
        <v>7069</v>
      </c>
      <c r="H23" s="340" t="s">
        <v>7047</v>
      </c>
      <c r="I23" s="340"/>
      <c r="J23" s="170">
        <v>-0.55000000000000004</v>
      </c>
      <c r="K23" s="170">
        <v>0</v>
      </c>
      <c r="L23" s="170">
        <v>-0.55000000000000004</v>
      </c>
      <c r="M23" s="172">
        <f t="shared" si="2"/>
        <v>0</v>
      </c>
      <c r="N23" s="172">
        <f t="shared" si="3"/>
        <v>0.55000000000000004</v>
      </c>
      <c r="O23" s="172" t="s">
        <v>7080</v>
      </c>
      <c r="P23" s="170">
        <v>127.18</v>
      </c>
    </row>
    <row r="24" spans="1:16" ht="22.5" customHeight="1">
      <c r="A24" s="337">
        <v>45541</v>
      </c>
      <c r="B24" s="338">
        <f t="shared" si="0"/>
        <v>2024</v>
      </c>
      <c r="C24" s="338">
        <f t="shared" si="1"/>
        <v>9</v>
      </c>
      <c r="D24" s="339">
        <v>0.36075231481481479</v>
      </c>
      <c r="E24" s="340" t="s">
        <v>398</v>
      </c>
      <c r="F24" s="341" t="s">
        <v>306</v>
      </c>
      <c r="G24" s="341" t="s">
        <v>7054</v>
      </c>
      <c r="H24" s="340" t="s">
        <v>7047</v>
      </c>
      <c r="I24" s="340"/>
      <c r="J24" s="170">
        <v>1.0900000000000001</v>
      </c>
      <c r="K24" s="170">
        <v>-0.54</v>
      </c>
      <c r="L24" s="170">
        <v>0.55000000000000004</v>
      </c>
      <c r="M24" s="172">
        <f t="shared" si="2"/>
        <v>0.55000000000000004</v>
      </c>
      <c r="N24" s="172">
        <f t="shared" si="3"/>
        <v>0</v>
      </c>
      <c r="O24" s="172" t="s">
        <v>7081</v>
      </c>
      <c r="P24" s="170">
        <v>127.73</v>
      </c>
    </row>
    <row r="25" spans="1:16" ht="22.5" customHeight="1">
      <c r="A25" s="337">
        <v>45546</v>
      </c>
      <c r="B25" s="338">
        <f t="shared" si="0"/>
        <v>2024</v>
      </c>
      <c r="C25" s="338">
        <f t="shared" si="1"/>
        <v>9</v>
      </c>
      <c r="D25" s="339">
        <v>0.26827546296296295</v>
      </c>
      <c r="E25" s="340" t="s">
        <v>398</v>
      </c>
      <c r="F25" s="341" t="s">
        <v>656</v>
      </c>
      <c r="G25" s="341" t="s">
        <v>7046</v>
      </c>
      <c r="H25" s="340" t="s">
        <v>7047</v>
      </c>
      <c r="I25" s="340"/>
      <c r="J25" s="170">
        <v>2.99</v>
      </c>
      <c r="K25" s="170">
        <v>-0.59</v>
      </c>
      <c r="L25" s="170">
        <v>2.4</v>
      </c>
      <c r="M25" s="172">
        <f t="shared" si="2"/>
        <v>2.4</v>
      </c>
      <c r="N25" s="172">
        <f t="shared" si="3"/>
        <v>0</v>
      </c>
      <c r="O25" s="172" t="s">
        <v>7082</v>
      </c>
      <c r="P25" s="170">
        <v>30.13</v>
      </c>
    </row>
    <row r="26" spans="1:16" ht="22.5" customHeight="1">
      <c r="A26" s="337">
        <v>45546</v>
      </c>
      <c r="B26" s="338">
        <f t="shared" si="0"/>
        <v>2024</v>
      </c>
      <c r="C26" s="338">
        <f t="shared" si="1"/>
        <v>9</v>
      </c>
      <c r="D26" s="339">
        <v>0.50965277777777773</v>
      </c>
      <c r="E26" s="340" t="s">
        <v>398</v>
      </c>
      <c r="F26" s="341" t="s">
        <v>326</v>
      </c>
      <c r="G26" s="341" t="s">
        <v>7046</v>
      </c>
      <c r="H26" s="340" t="s">
        <v>7047</v>
      </c>
      <c r="I26" s="340"/>
      <c r="J26" s="170">
        <v>1.99</v>
      </c>
      <c r="K26" s="170">
        <v>-0.56000000000000005</v>
      </c>
      <c r="L26" s="170">
        <v>1.43</v>
      </c>
      <c r="M26" s="172">
        <f t="shared" si="2"/>
        <v>1.43</v>
      </c>
      <c r="N26" s="172">
        <f t="shared" si="3"/>
        <v>0</v>
      </c>
      <c r="O26" s="172" t="s">
        <v>7083</v>
      </c>
      <c r="P26" s="170">
        <v>31.56</v>
      </c>
    </row>
    <row r="27" spans="1:16" ht="22.5" customHeight="1">
      <c r="A27" s="337">
        <v>45546</v>
      </c>
      <c r="B27" s="338">
        <f t="shared" si="0"/>
        <v>2024</v>
      </c>
      <c r="C27" s="338">
        <f t="shared" si="1"/>
        <v>9</v>
      </c>
      <c r="D27" s="339">
        <v>0.52591435185185187</v>
      </c>
      <c r="E27" s="340" t="s">
        <v>398</v>
      </c>
      <c r="F27" s="341" t="s">
        <v>326</v>
      </c>
      <c r="G27" s="341" t="s">
        <v>7054</v>
      </c>
      <c r="H27" s="340" t="s">
        <v>7047</v>
      </c>
      <c r="I27" s="340"/>
      <c r="J27" s="170">
        <v>1.0900000000000001</v>
      </c>
      <c r="K27" s="170">
        <v>-0.53</v>
      </c>
      <c r="L27" s="170">
        <v>0.56000000000000005</v>
      </c>
      <c r="M27" s="172">
        <f t="shared" si="2"/>
        <v>0.56000000000000005</v>
      </c>
      <c r="N27" s="172">
        <f t="shared" si="3"/>
        <v>0</v>
      </c>
      <c r="O27" s="172" t="s">
        <v>7084</v>
      </c>
      <c r="P27" s="170">
        <v>32.119999999999997</v>
      </c>
    </row>
    <row r="28" spans="1:16" ht="22.5" customHeight="1">
      <c r="A28" s="337">
        <v>45547</v>
      </c>
      <c r="B28" s="338">
        <f t="shared" si="0"/>
        <v>2024</v>
      </c>
      <c r="C28" s="338">
        <f t="shared" si="1"/>
        <v>9</v>
      </c>
      <c r="D28" s="339">
        <v>0.35630787037037037</v>
      </c>
      <c r="E28" s="340" t="s">
        <v>398</v>
      </c>
      <c r="F28" s="341" t="s">
        <v>7085</v>
      </c>
      <c r="G28" s="341" t="s">
        <v>7054</v>
      </c>
      <c r="H28" s="340" t="s">
        <v>7047</v>
      </c>
      <c r="I28" s="340"/>
      <c r="J28" s="170">
        <v>1.99</v>
      </c>
      <c r="K28" s="170">
        <v>-0.59</v>
      </c>
      <c r="L28" s="170">
        <v>1.4</v>
      </c>
      <c r="M28" s="172">
        <f t="shared" si="2"/>
        <v>1.4</v>
      </c>
      <c r="N28" s="172">
        <f t="shared" si="3"/>
        <v>0</v>
      </c>
      <c r="O28" s="172" t="s">
        <v>7086</v>
      </c>
      <c r="P28" s="170">
        <v>33.520000000000003</v>
      </c>
    </row>
    <row r="29" spans="1:16" ht="22.5" customHeight="1">
      <c r="A29" s="337">
        <v>45547</v>
      </c>
      <c r="B29" s="338">
        <f t="shared" si="0"/>
        <v>2024</v>
      </c>
      <c r="C29" s="338">
        <f t="shared" si="1"/>
        <v>9</v>
      </c>
      <c r="D29" s="339">
        <v>0.35812500000000003</v>
      </c>
      <c r="E29" s="340" t="s">
        <v>398</v>
      </c>
      <c r="F29" s="341" t="s">
        <v>7085</v>
      </c>
      <c r="G29" s="341" t="s">
        <v>7054</v>
      </c>
      <c r="H29" s="340" t="s">
        <v>7047</v>
      </c>
      <c r="I29" s="340"/>
      <c r="J29" s="170">
        <v>1.0900000000000001</v>
      </c>
      <c r="K29" s="170">
        <v>-0.54</v>
      </c>
      <c r="L29" s="170">
        <v>0.55000000000000004</v>
      </c>
      <c r="M29" s="172">
        <f t="shared" si="2"/>
        <v>0.55000000000000004</v>
      </c>
      <c r="N29" s="172">
        <f t="shared" si="3"/>
        <v>0</v>
      </c>
      <c r="O29" s="172" t="s">
        <v>7087</v>
      </c>
      <c r="P29" s="170">
        <v>34.07</v>
      </c>
    </row>
    <row r="30" spans="1:16" ht="22.5" customHeight="1">
      <c r="A30" s="337">
        <v>45553</v>
      </c>
      <c r="B30" s="338">
        <f t="shared" si="0"/>
        <v>2024</v>
      </c>
      <c r="C30" s="338">
        <f t="shared" si="1"/>
        <v>9</v>
      </c>
      <c r="D30" s="339">
        <v>0.30156250000000001</v>
      </c>
      <c r="E30" s="340" t="s">
        <v>398</v>
      </c>
      <c r="F30" s="341" t="s">
        <v>7088</v>
      </c>
      <c r="G30" s="341" t="s">
        <v>7046</v>
      </c>
      <c r="H30" s="340" t="s">
        <v>7047</v>
      </c>
      <c r="I30" s="340"/>
      <c r="J30" s="170">
        <v>2.99</v>
      </c>
      <c r="K30" s="170">
        <v>-0.64</v>
      </c>
      <c r="L30" s="170">
        <v>2.35</v>
      </c>
      <c r="M30" s="172">
        <f t="shared" si="2"/>
        <v>2.35</v>
      </c>
      <c r="N30" s="172">
        <f t="shared" si="3"/>
        <v>0</v>
      </c>
      <c r="O30" s="172" t="s">
        <v>7089</v>
      </c>
      <c r="P30" s="170">
        <v>36.42</v>
      </c>
    </row>
    <row r="31" spans="1:16" ht="22.5" customHeight="1">
      <c r="A31" s="337">
        <v>45553</v>
      </c>
      <c r="B31" s="338">
        <f t="shared" si="0"/>
        <v>2024</v>
      </c>
      <c r="C31" s="338">
        <f t="shared" si="1"/>
        <v>9</v>
      </c>
      <c r="D31" s="339">
        <v>0.34869212962962964</v>
      </c>
      <c r="E31" s="340" t="s">
        <v>398</v>
      </c>
      <c r="F31" s="341" t="s">
        <v>9</v>
      </c>
      <c r="G31" s="341" t="s">
        <v>7090</v>
      </c>
      <c r="H31" s="340" t="s">
        <v>158</v>
      </c>
      <c r="I31" s="340"/>
      <c r="J31" s="170">
        <v>-2.35</v>
      </c>
      <c r="K31" s="170">
        <v>0</v>
      </c>
      <c r="L31" s="170">
        <v>-2.35</v>
      </c>
      <c r="M31" s="172">
        <f t="shared" si="2"/>
        <v>0</v>
      </c>
      <c r="N31" s="172">
        <f t="shared" si="3"/>
        <v>2.35</v>
      </c>
      <c r="O31" s="172" t="s">
        <v>7091</v>
      </c>
      <c r="P31" s="170">
        <v>34.07</v>
      </c>
    </row>
    <row r="32" spans="1:16" ht="22.5" customHeight="1">
      <c r="A32" s="337">
        <v>45553</v>
      </c>
      <c r="B32" s="338">
        <f t="shared" si="0"/>
        <v>2024</v>
      </c>
      <c r="C32" s="338">
        <f t="shared" si="1"/>
        <v>9</v>
      </c>
      <c r="D32" s="339">
        <v>0.72562499999999996</v>
      </c>
      <c r="E32" s="340" t="s">
        <v>398</v>
      </c>
      <c r="F32" s="341" t="s">
        <v>9</v>
      </c>
      <c r="G32" s="341" t="s">
        <v>7092</v>
      </c>
      <c r="H32" s="340" t="s">
        <v>7093</v>
      </c>
      <c r="I32" s="340"/>
      <c r="J32" s="170">
        <v>2.35</v>
      </c>
      <c r="K32" s="170">
        <v>0</v>
      </c>
      <c r="L32" s="170">
        <v>2.35</v>
      </c>
      <c r="M32" s="172">
        <f t="shared" si="2"/>
        <v>2.35</v>
      </c>
      <c r="N32" s="172">
        <f t="shared" si="3"/>
        <v>0</v>
      </c>
      <c r="O32" s="172" t="s">
        <v>7091</v>
      </c>
      <c r="P32" s="170">
        <v>36.42</v>
      </c>
    </row>
    <row r="33" spans="1:16" ht="22.5" customHeight="1">
      <c r="A33" s="337">
        <v>45553</v>
      </c>
      <c r="B33" s="338">
        <f t="shared" si="0"/>
        <v>2024</v>
      </c>
      <c r="C33" s="338">
        <f t="shared" si="1"/>
        <v>9</v>
      </c>
      <c r="D33" s="339">
        <v>0.92929398148148146</v>
      </c>
      <c r="E33" s="340" t="s">
        <v>398</v>
      </c>
      <c r="F33" s="341"/>
      <c r="G33" s="341" t="s">
        <v>7094</v>
      </c>
      <c r="H33" s="340" t="s">
        <v>7047</v>
      </c>
      <c r="I33" s="340"/>
      <c r="J33" s="170">
        <v>0.46</v>
      </c>
      <c r="K33" s="170">
        <v>0</v>
      </c>
      <c r="L33" s="170">
        <v>0.46</v>
      </c>
      <c r="M33" s="172">
        <f t="shared" si="2"/>
        <v>0.46</v>
      </c>
      <c r="N33" s="172">
        <f t="shared" si="3"/>
        <v>0</v>
      </c>
      <c r="O33" s="172" t="s">
        <v>7095</v>
      </c>
      <c r="P33" s="170">
        <v>36.880000000000003</v>
      </c>
    </row>
    <row r="34" spans="1:16" ht="22.5" customHeight="1">
      <c r="A34" s="337">
        <v>45554</v>
      </c>
      <c r="B34" s="338">
        <f t="shared" si="0"/>
        <v>2024</v>
      </c>
      <c r="C34" s="338">
        <f t="shared" si="1"/>
        <v>9</v>
      </c>
      <c r="D34" s="339">
        <v>0.24344907407407407</v>
      </c>
      <c r="E34" s="340" t="s">
        <v>398</v>
      </c>
      <c r="F34" s="341" t="s">
        <v>7096</v>
      </c>
      <c r="G34" s="341" t="s">
        <v>7054</v>
      </c>
      <c r="H34" s="340" t="s">
        <v>7047</v>
      </c>
      <c r="I34" s="340"/>
      <c r="J34" s="170">
        <v>1.0900000000000001</v>
      </c>
      <c r="K34" s="170">
        <v>-0.53</v>
      </c>
      <c r="L34" s="170">
        <v>0.56000000000000005</v>
      </c>
      <c r="M34" s="172">
        <f t="shared" si="2"/>
        <v>0.56000000000000005</v>
      </c>
      <c r="N34" s="172">
        <f t="shared" si="3"/>
        <v>0</v>
      </c>
      <c r="O34" s="172" t="s">
        <v>7097</v>
      </c>
      <c r="P34" s="170">
        <v>37.44</v>
      </c>
    </row>
    <row r="35" spans="1:16" ht="22.5" customHeight="1">
      <c r="A35" s="337">
        <v>45555</v>
      </c>
      <c r="B35" s="338">
        <f t="shared" si="0"/>
        <v>2024</v>
      </c>
      <c r="C35" s="338">
        <f t="shared" si="1"/>
        <v>9</v>
      </c>
      <c r="D35" s="339">
        <v>0.48275462962962962</v>
      </c>
      <c r="E35" s="340" t="s">
        <v>398</v>
      </c>
      <c r="F35" s="341" t="s">
        <v>7098</v>
      </c>
      <c r="G35" s="341" t="s">
        <v>7046</v>
      </c>
      <c r="H35" s="340" t="s">
        <v>7047</v>
      </c>
      <c r="I35" s="340"/>
      <c r="J35" s="170">
        <v>1.0900000000000001</v>
      </c>
      <c r="K35" s="170">
        <v>-0.54</v>
      </c>
      <c r="L35" s="170">
        <v>0.55000000000000004</v>
      </c>
      <c r="M35" s="172">
        <f t="shared" si="2"/>
        <v>0.55000000000000004</v>
      </c>
      <c r="N35" s="172">
        <f t="shared" si="3"/>
        <v>0</v>
      </c>
      <c r="O35" s="172" t="s">
        <v>7099</v>
      </c>
      <c r="P35" s="170">
        <v>37.99</v>
      </c>
    </row>
    <row r="36" spans="1:16" ht="22.5" customHeight="1">
      <c r="A36" s="337">
        <v>45555</v>
      </c>
      <c r="B36" s="338">
        <f t="shared" si="0"/>
        <v>2024</v>
      </c>
      <c r="C36" s="338">
        <f t="shared" si="1"/>
        <v>9</v>
      </c>
      <c r="D36" s="339">
        <v>0.77817129629629633</v>
      </c>
      <c r="E36" s="340" t="s">
        <v>398</v>
      </c>
      <c r="F36" s="341" t="s">
        <v>7100</v>
      </c>
      <c r="G36" s="341" t="s">
        <v>7054</v>
      </c>
      <c r="H36" s="340" t="s">
        <v>7047</v>
      </c>
      <c r="I36" s="340"/>
      <c r="J36" s="170">
        <v>32.94</v>
      </c>
      <c r="K36" s="170">
        <v>-2.13</v>
      </c>
      <c r="L36" s="170">
        <v>30.81</v>
      </c>
      <c r="M36" s="172">
        <f t="shared" si="2"/>
        <v>30.81</v>
      </c>
      <c r="N36" s="172">
        <f t="shared" si="3"/>
        <v>0</v>
      </c>
      <c r="O36" s="172" t="s">
        <v>7101</v>
      </c>
      <c r="P36" s="170">
        <v>68.8</v>
      </c>
    </row>
    <row r="37" spans="1:16" ht="22.5" customHeight="1">
      <c r="A37" s="337">
        <v>45556</v>
      </c>
      <c r="B37" s="338">
        <f t="shared" si="0"/>
        <v>2024</v>
      </c>
      <c r="C37" s="338">
        <f t="shared" si="1"/>
        <v>9</v>
      </c>
      <c r="D37" s="339">
        <v>7.5833333333333336E-2</v>
      </c>
      <c r="E37" s="340" t="s">
        <v>398</v>
      </c>
      <c r="F37" s="341"/>
      <c r="G37" s="341" t="s">
        <v>7094</v>
      </c>
      <c r="H37" s="340" t="s">
        <v>7047</v>
      </c>
      <c r="I37" s="340"/>
      <c r="J37" s="170">
        <v>1.4</v>
      </c>
      <c r="K37" s="170">
        <v>0</v>
      </c>
      <c r="L37" s="170">
        <v>1.4</v>
      </c>
      <c r="M37" s="172">
        <f t="shared" si="2"/>
        <v>1.4</v>
      </c>
      <c r="N37" s="172">
        <f t="shared" si="3"/>
        <v>0</v>
      </c>
      <c r="O37" s="172" t="s">
        <v>7102</v>
      </c>
      <c r="P37" s="170">
        <v>70.2</v>
      </c>
    </row>
    <row r="38" spans="1:16" ht="22.5" customHeight="1">
      <c r="A38" s="337">
        <v>45556</v>
      </c>
      <c r="B38" s="338">
        <f t="shared" si="0"/>
        <v>2024</v>
      </c>
      <c r="C38" s="338">
        <f t="shared" si="1"/>
        <v>9</v>
      </c>
      <c r="D38" s="339">
        <v>0.40938657407407408</v>
      </c>
      <c r="E38" s="340" t="s">
        <v>398</v>
      </c>
      <c r="F38" s="341" t="s">
        <v>7103</v>
      </c>
      <c r="G38" s="341" t="s">
        <v>7054</v>
      </c>
      <c r="H38" s="340" t="s">
        <v>7047</v>
      </c>
      <c r="I38" s="340"/>
      <c r="J38" s="170">
        <v>1.0900000000000001</v>
      </c>
      <c r="K38" s="170">
        <v>-0.54</v>
      </c>
      <c r="L38" s="170">
        <v>0.55000000000000004</v>
      </c>
      <c r="M38" s="172">
        <f t="shared" si="2"/>
        <v>0.55000000000000004</v>
      </c>
      <c r="N38" s="172">
        <f t="shared" si="3"/>
        <v>0</v>
      </c>
      <c r="O38" s="172" t="s">
        <v>7104</v>
      </c>
      <c r="P38" s="170">
        <v>70.75</v>
      </c>
    </row>
    <row r="39" spans="1:16" ht="22.5" customHeight="1">
      <c r="A39" s="337">
        <v>45556</v>
      </c>
      <c r="B39" s="338">
        <f t="shared" si="0"/>
        <v>2024</v>
      </c>
      <c r="C39" s="338">
        <f t="shared" si="1"/>
        <v>9</v>
      </c>
      <c r="D39" s="339">
        <v>0.99209490740740736</v>
      </c>
      <c r="E39" s="340" t="s">
        <v>398</v>
      </c>
      <c r="F39" s="341" t="s">
        <v>648</v>
      </c>
      <c r="G39" s="341" t="s">
        <v>7054</v>
      </c>
      <c r="H39" s="340" t="s">
        <v>7047</v>
      </c>
      <c r="I39" s="340"/>
      <c r="J39" s="170">
        <v>32.94</v>
      </c>
      <c r="K39" s="170">
        <v>-2.13</v>
      </c>
      <c r="L39" s="170">
        <v>30.81</v>
      </c>
      <c r="M39" s="172">
        <f t="shared" si="2"/>
        <v>30.81</v>
      </c>
      <c r="N39" s="172">
        <f t="shared" si="3"/>
        <v>0</v>
      </c>
      <c r="O39" s="172" t="s">
        <v>7105</v>
      </c>
      <c r="P39" s="170">
        <v>101.56</v>
      </c>
    </row>
    <row r="40" spans="1:16" ht="22.5" customHeight="1">
      <c r="A40" s="337">
        <v>45557</v>
      </c>
      <c r="B40" s="338">
        <f t="shared" si="0"/>
        <v>2024</v>
      </c>
      <c r="C40" s="338">
        <f t="shared" si="1"/>
        <v>9</v>
      </c>
      <c r="D40" s="339">
        <v>0.12966435185185185</v>
      </c>
      <c r="E40" s="340" t="s">
        <v>398</v>
      </c>
      <c r="F40" s="341"/>
      <c r="G40" s="341" t="s">
        <v>7094</v>
      </c>
      <c r="H40" s="340" t="s">
        <v>7047</v>
      </c>
      <c r="I40" s="340"/>
      <c r="J40" s="170">
        <v>1.43</v>
      </c>
      <c r="K40" s="170">
        <v>0</v>
      </c>
      <c r="L40" s="170">
        <v>1.43</v>
      </c>
      <c r="M40" s="172">
        <f t="shared" si="2"/>
        <v>1.43</v>
      </c>
      <c r="N40" s="172">
        <f t="shared" si="3"/>
        <v>0</v>
      </c>
      <c r="O40" s="172" t="s">
        <v>7106</v>
      </c>
      <c r="P40" s="170">
        <v>102.99</v>
      </c>
    </row>
    <row r="41" spans="1:16" ht="22.5" customHeight="1">
      <c r="A41" s="337">
        <v>45557</v>
      </c>
      <c r="B41" s="338">
        <f t="shared" si="0"/>
        <v>2024</v>
      </c>
      <c r="C41" s="338">
        <f t="shared" si="1"/>
        <v>9</v>
      </c>
      <c r="D41" s="339">
        <v>0.26936342592592594</v>
      </c>
      <c r="E41" s="340" t="s">
        <v>398</v>
      </c>
      <c r="F41" s="341" t="s">
        <v>7107</v>
      </c>
      <c r="G41" s="341" t="s">
        <v>7054</v>
      </c>
      <c r="H41" s="340" t="s">
        <v>7047</v>
      </c>
      <c r="I41" s="340"/>
      <c r="J41" s="170">
        <v>2.99</v>
      </c>
      <c r="K41" s="170">
        <v>-0.64</v>
      </c>
      <c r="L41" s="170">
        <v>2.35</v>
      </c>
      <c r="M41" s="172">
        <f t="shared" si="2"/>
        <v>2.35</v>
      </c>
      <c r="N41" s="172">
        <f t="shared" si="3"/>
        <v>0</v>
      </c>
      <c r="O41" s="172" t="s">
        <v>7108</v>
      </c>
      <c r="P41" s="170">
        <v>105.34</v>
      </c>
    </row>
    <row r="42" spans="1:16" ht="22.5" customHeight="1">
      <c r="A42" s="337">
        <v>45557</v>
      </c>
      <c r="B42" s="338">
        <f t="shared" si="0"/>
        <v>2024</v>
      </c>
      <c r="C42" s="338">
        <f t="shared" si="1"/>
        <v>9</v>
      </c>
      <c r="D42" s="339">
        <v>0.38378472222222221</v>
      </c>
      <c r="E42" s="340" t="s">
        <v>398</v>
      </c>
      <c r="F42" s="341" t="s">
        <v>306</v>
      </c>
      <c r="G42" s="341" t="s">
        <v>7046</v>
      </c>
      <c r="H42" s="340" t="s">
        <v>7047</v>
      </c>
      <c r="I42" s="340"/>
      <c r="J42" s="170">
        <v>1.0900000000000001</v>
      </c>
      <c r="K42" s="170">
        <v>-0.54</v>
      </c>
      <c r="L42" s="170">
        <v>0.55000000000000004</v>
      </c>
      <c r="M42" s="172">
        <f t="shared" si="2"/>
        <v>0.55000000000000004</v>
      </c>
      <c r="N42" s="172">
        <f t="shared" si="3"/>
        <v>0</v>
      </c>
      <c r="O42" s="172" t="s">
        <v>7109</v>
      </c>
      <c r="P42" s="170">
        <v>105.89</v>
      </c>
    </row>
    <row r="43" spans="1:16" ht="22.5" customHeight="1">
      <c r="A43" s="337">
        <v>45560</v>
      </c>
      <c r="B43" s="338">
        <f t="shared" si="0"/>
        <v>2024</v>
      </c>
      <c r="C43" s="338">
        <f t="shared" si="1"/>
        <v>9</v>
      </c>
      <c r="D43" s="339">
        <v>0.82415509259259256</v>
      </c>
      <c r="E43" s="340" t="s">
        <v>398</v>
      </c>
      <c r="F43" s="341"/>
      <c r="G43" s="341" t="s">
        <v>7094</v>
      </c>
      <c r="H43" s="340" t="s">
        <v>7047</v>
      </c>
      <c r="I43" s="340"/>
      <c r="J43" s="170">
        <v>0.55000000000000004</v>
      </c>
      <c r="K43" s="170">
        <v>0</v>
      </c>
      <c r="L43" s="170">
        <v>0.55000000000000004</v>
      </c>
      <c r="M43" s="172">
        <f t="shared" si="2"/>
        <v>0.55000000000000004</v>
      </c>
      <c r="N43" s="172">
        <f t="shared" si="3"/>
        <v>0</v>
      </c>
      <c r="O43" s="172" t="s">
        <v>7110</v>
      </c>
      <c r="P43" s="170">
        <v>106.44</v>
      </c>
    </row>
    <row r="44" spans="1:16" ht="22.5" customHeight="1">
      <c r="A44" s="337">
        <v>45561</v>
      </c>
      <c r="B44" s="338">
        <f t="shared" si="0"/>
        <v>2024</v>
      </c>
      <c r="C44" s="338">
        <f t="shared" si="1"/>
        <v>9</v>
      </c>
      <c r="D44" s="339">
        <v>0.46592592592592591</v>
      </c>
      <c r="E44" s="340" t="s">
        <v>398</v>
      </c>
      <c r="F44" s="341" t="s">
        <v>7111</v>
      </c>
      <c r="G44" s="341" t="s">
        <v>7046</v>
      </c>
      <c r="H44" s="340" t="s">
        <v>7047</v>
      </c>
      <c r="I44" s="340"/>
      <c r="J44" s="170">
        <v>5.99</v>
      </c>
      <c r="K44" s="170">
        <v>-0.7</v>
      </c>
      <c r="L44" s="170">
        <v>5.29</v>
      </c>
      <c r="M44" s="172">
        <f t="shared" si="2"/>
        <v>5.29</v>
      </c>
      <c r="N44" s="172">
        <f t="shared" si="3"/>
        <v>0</v>
      </c>
      <c r="O44" s="172" t="s">
        <v>7112</v>
      </c>
      <c r="P44" s="170">
        <v>111.73</v>
      </c>
    </row>
    <row r="45" spans="1:16" ht="22.5" customHeight="1">
      <c r="A45" s="337">
        <v>45566</v>
      </c>
      <c r="B45" s="338">
        <f t="shared" si="0"/>
        <v>2024</v>
      </c>
      <c r="C45" s="338">
        <f t="shared" si="1"/>
        <v>10</v>
      </c>
      <c r="D45" s="339">
        <v>0.34789351851851852</v>
      </c>
      <c r="E45" s="340" t="s">
        <v>398</v>
      </c>
      <c r="F45" s="341" t="s">
        <v>393</v>
      </c>
      <c r="G45" s="341" t="s">
        <v>7054</v>
      </c>
      <c r="H45" s="340" t="s">
        <v>7047</v>
      </c>
      <c r="I45" s="340"/>
      <c r="J45" s="170">
        <v>2.99</v>
      </c>
      <c r="K45" s="170">
        <v>-0.64</v>
      </c>
      <c r="L45" s="170">
        <v>2.35</v>
      </c>
      <c r="M45" s="172">
        <f t="shared" si="2"/>
        <v>2.35</v>
      </c>
      <c r="N45" s="172">
        <f t="shared" si="3"/>
        <v>0</v>
      </c>
      <c r="O45" s="172" t="s">
        <v>7113</v>
      </c>
      <c r="P45" s="170">
        <v>114.08</v>
      </c>
    </row>
    <row r="46" spans="1:16" ht="22.5" customHeight="1">
      <c r="A46" s="337">
        <v>45568</v>
      </c>
      <c r="B46" s="338">
        <f t="shared" si="0"/>
        <v>2024</v>
      </c>
      <c r="C46" s="338">
        <f t="shared" si="1"/>
        <v>10</v>
      </c>
      <c r="D46" s="339">
        <v>0.21652777777777779</v>
      </c>
      <c r="E46" s="340" t="s">
        <v>398</v>
      </c>
      <c r="F46" s="341" t="s">
        <v>7114</v>
      </c>
      <c r="G46" s="341" t="s">
        <v>7046</v>
      </c>
      <c r="H46" s="340" t="s">
        <v>7047</v>
      </c>
      <c r="I46" s="340"/>
      <c r="J46" s="170">
        <v>36.89</v>
      </c>
      <c r="K46" s="170">
        <v>-2.33</v>
      </c>
      <c r="L46" s="170">
        <v>34.56</v>
      </c>
      <c r="M46" s="172">
        <f t="shared" si="2"/>
        <v>34.56</v>
      </c>
      <c r="N46" s="172">
        <f t="shared" si="3"/>
        <v>0</v>
      </c>
      <c r="O46" s="172" t="s">
        <v>7115</v>
      </c>
      <c r="P46" s="170">
        <v>148.63999999999999</v>
      </c>
    </row>
    <row r="47" spans="1:16" ht="22.5" customHeight="1">
      <c r="A47" s="337">
        <v>45570</v>
      </c>
      <c r="B47" s="338">
        <f t="shared" si="0"/>
        <v>2024</v>
      </c>
      <c r="C47" s="338">
        <f t="shared" si="1"/>
        <v>10</v>
      </c>
      <c r="D47" s="339">
        <v>0.27487268518518521</v>
      </c>
      <c r="E47" s="340" t="s">
        <v>398</v>
      </c>
      <c r="F47" s="341" t="s">
        <v>7114</v>
      </c>
      <c r="G47" s="341" t="s">
        <v>7116</v>
      </c>
      <c r="H47" s="340" t="s">
        <v>7047</v>
      </c>
      <c r="I47" s="340"/>
      <c r="J47" s="170">
        <v>-34.43</v>
      </c>
      <c r="K47" s="170">
        <v>1.72</v>
      </c>
      <c r="L47" s="170">
        <v>-32.71</v>
      </c>
      <c r="M47" s="172">
        <f t="shared" si="2"/>
        <v>0</v>
      </c>
      <c r="N47" s="172">
        <f t="shared" si="3"/>
        <v>32.71</v>
      </c>
      <c r="O47" s="172" t="s">
        <v>7117</v>
      </c>
      <c r="P47" s="170">
        <v>115.93</v>
      </c>
    </row>
    <row r="48" spans="1:16" ht="22.5" customHeight="1">
      <c r="A48" s="337">
        <v>45570</v>
      </c>
      <c r="B48" s="338">
        <f t="shared" si="0"/>
        <v>2024</v>
      </c>
      <c r="C48" s="338">
        <f t="shared" si="1"/>
        <v>10</v>
      </c>
      <c r="D48" s="339">
        <v>0.94641203703703702</v>
      </c>
      <c r="E48" s="340" t="s">
        <v>398</v>
      </c>
      <c r="F48" s="341" t="s">
        <v>7118</v>
      </c>
      <c r="G48" s="341" t="s">
        <v>7046</v>
      </c>
      <c r="H48" s="340" t="s">
        <v>7047</v>
      </c>
      <c r="I48" s="340"/>
      <c r="J48" s="170">
        <v>32.94</v>
      </c>
      <c r="K48" s="170">
        <v>-2.13</v>
      </c>
      <c r="L48" s="170">
        <v>30.81</v>
      </c>
      <c r="M48" s="172">
        <f t="shared" si="2"/>
        <v>30.81</v>
      </c>
      <c r="N48" s="172">
        <f t="shared" si="3"/>
        <v>0</v>
      </c>
      <c r="O48" s="172" t="s">
        <v>7119</v>
      </c>
      <c r="P48" s="170">
        <v>146.74</v>
      </c>
    </row>
    <row r="49" spans="1:16" ht="22.5" customHeight="1">
      <c r="A49" s="337">
        <v>45571</v>
      </c>
      <c r="B49" s="338">
        <f t="shared" si="0"/>
        <v>2024</v>
      </c>
      <c r="C49" s="338">
        <f t="shared" si="1"/>
        <v>10</v>
      </c>
      <c r="D49" s="339">
        <v>0.10398148148148148</v>
      </c>
      <c r="E49" s="340" t="s">
        <v>398</v>
      </c>
      <c r="F49" s="341" t="s">
        <v>7120</v>
      </c>
      <c r="G49" s="341" t="s">
        <v>7046</v>
      </c>
      <c r="H49" s="340" t="s">
        <v>7047</v>
      </c>
      <c r="I49" s="340"/>
      <c r="J49" s="170">
        <v>7.99</v>
      </c>
      <c r="K49" s="170">
        <v>-0.89</v>
      </c>
      <c r="L49" s="170">
        <v>7.1</v>
      </c>
      <c r="M49" s="172">
        <f t="shared" si="2"/>
        <v>7.1</v>
      </c>
      <c r="N49" s="172">
        <f t="shared" si="3"/>
        <v>0</v>
      </c>
      <c r="O49" s="172" t="s">
        <v>7121</v>
      </c>
      <c r="P49" s="170">
        <v>153.84</v>
      </c>
    </row>
    <row r="50" spans="1:16" ht="22.5" customHeight="1">
      <c r="A50" s="337">
        <v>45577</v>
      </c>
      <c r="B50" s="338">
        <f t="shared" si="0"/>
        <v>2024</v>
      </c>
      <c r="C50" s="338">
        <f t="shared" si="1"/>
        <v>10</v>
      </c>
      <c r="D50" s="339">
        <v>2.4548611111111111E-2</v>
      </c>
      <c r="E50" s="340" t="s">
        <v>398</v>
      </c>
      <c r="F50" s="341" t="s">
        <v>341</v>
      </c>
      <c r="G50" s="341" t="s">
        <v>7046</v>
      </c>
      <c r="H50" s="340" t="s">
        <v>7047</v>
      </c>
      <c r="I50" s="340"/>
      <c r="J50" s="170">
        <v>1.1000000000000001</v>
      </c>
      <c r="K50" s="170">
        <v>-0.54</v>
      </c>
      <c r="L50" s="170">
        <v>0.56000000000000005</v>
      </c>
      <c r="M50" s="172">
        <f t="shared" si="2"/>
        <v>0.56000000000000005</v>
      </c>
      <c r="N50" s="172">
        <f t="shared" si="3"/>
        <v>0</v>
      </c>
      <c r="O50" s="172" t="s">
        <v>7122</v>
      </c>
      <c r="P50" s="170">
        <v>154.4</v>
      </c>
    </row>
    <row r="51" spans="1:16" ht="22.5" customHeight="1">
      <c r="A51" s="337">
        <v>45577</v>
      </c>
      <c r="B51" s="338">
        <f t="shared" si="0"/>
        <v>2024</v>
      </c>
      <c r="C51" s="338">
        <f t="shared" si="1"/>
        <v>10</v>
      </c>
      <c r="D51" s="339">
        <v>0.28704861111111113</v>
      </c>
      <c r="E51" s="340" t="s">
        <v>398</v>
      </c>
      <c r="F51" s="341" t="s">
        <v>7123</v>
      </c>
      <c r="G51" s="341" t="s">
        <v>7046</v>
      </c>
      <c r="H51" s="340" t="s">
        <v>7047</v>
      </c>
      <c r="I51" s="340"/>
      <c r="J51" s="170">
        <v>32.94</v>
      </c>
      <c r="K51" s="170">
        <v>-2.13</v>
      </c>
      <c r="L51" s="170">
        <v>30.81</v>
      </c>
      <c r="M51" s="172">
        <f t="shared" si="2"/>
        <v>30.81</v>
      </c>
      <c r="N51" s="172">
        <f t="shared" si="3"/>
        <v>0</v>
      </c>
      <c r="O51" s="172" t="s">
        <v>7124</v>
      </c>
      <c r="P51" s="170">
        <v>185.21</v>
      </c>
    </row>
    <row r="52" spans="1:16" ht="22.5" customHeight="1">
      <c r="A52" s="337">
        <v>45579</v>
      </c>
      <c r="B52" s="338">
        <f t="shared" si="0"/>
        <v>2024</v>
      </c>
      <c r="C52" s="338">
        <f t="shared" si="1"/>
        <v>10</v>
      </c>
      <c r="D52" s="339">
        <v>0.48936342592592591</v>
      </c>
      <c r="E52" s="340" t="s">
        <v>398</v>
      </c>
      <c r="F52" s="341" t="s">
        <v>7098</v>
      </c>
      <c r="G52" s="341" t="s">
        <v>7046</v>
      </c>
      <c r="H52" s="340" t="s">
        <v>7047</v>
      </c>
      <c r="I52" s="340"/>
      <c r="J52" s="170">
        <v>1.0900000000000001</v>
      </c>
      <c r="K52" s="170">
        <v>-0.54</v>
      </c>
      <c r="L52" s="170">
        <v>0.55000000000000004</v>
      </c>
      <c r="M52" s="172">
        <f t="shared" si="2"/>
        <v>0.55000000000000004</v>
      </c>
      <c r="N52" s="172">
        <f t="shared" si="3"/>
        <v>0</v>
      </c>
      <c r="O52" s="172" t="s">
        <v>7125</v>
      </c>
      <c r="P52" s="170">
        <v>185.76</v>
      </c>
    </row>
    <row r="53" spans="1:16" ht="22.5" customHeight="1">
      <c r="A53" s="337">
        <v>45585</v>
      </c>
      <c r="B53" s="338">
        <f t="shared" si="0"/>
        <v>2024</v>
      </c>
      <c r="C53" s="338">
        <f t="shared" si="1"/>
        <v>10</v>
      </c>
      <c r="D53" s="339">
        <v>0.19081018518518519</v>
      </c>
      <c r="E53" s="340" t="s">
        <v>398</v>
      </c>
      <c r="F53" s="341" t="s">
        <v>7098</v>
      </c>
      <c r="G53" s="341" t="s">
        <v>7046</v>
      </c>
      <c r="H53" s="340" t="s">
        <v>7047</v>
      </c>
      <c r="I53" s="340"/>
      <c r="J53" s="170">
        <v>1.0900000000000001</v>
      </c>
      <c r="K53" s="170">
        <v>-0.54</v>
      </c>
      <c r="L53" s="170">
        <v>0.55000000000000004</v>
      </c>
      <c r="M53" s="172">
        <f t="shared" si="2"/>
        <v>0.55000000000000004</v>
      </c>
      <c r="N53" s="172">
        <f t="shared" si="3"/>
        <v>0</v>
      </c>
      <c r="O53" s="172" t="s">
        <v>7126</v>
      </c>
      <c r="P53" s="170">
        <v>186.31</v>
      </c>
    </row>
    <row r="54" spans="1:16" ht="22.5" customHeight="1">
      <c r="A54" s="337">
        <v>45586</v>
      </c>
      <c r="B54" s="338">
        <f t="shared" si="0"/>
        <v>2024</v>
      </c>
      <c r="C54" s="338">
        <f t="shared" si="1"/>
        <v>10</v>
      </c>
      <c r="D54" s="339">
        <v>0.31753472222222223</v>
      </c>
      <c r="E54" s="340" t="s">
        <v>398</v>
      </c>
      <c r="F54" s="341" t="s">
        <v>9</v>
      </c>
      <c r="G54" s="341" t="s">
        <v>7090</v>
      </c>
      <c r="H54" s="340" t="s">
        <v>158</v>
      </c>
      <c r="I54" s="340"/>
      <c r="J54" s="170">
        <v>-30.81</v>
      </c>
      <c r="K54" s="170">
        <v>0</v>
      </c>
      <c r="L54" s="170">
        <v>-30.81</v>
      </c>
      <c r="M54" s="172">
        <f t="shared" si="2"/>
        <v>0</v>
      </c>
      <c r="N54" s="172">
        <f t="shared" si="3"/>
        <v>30.81</v>
      </c>
      <c r="O54" s="172" t="s">
        <v>7127</v>
      </c>
      <c r="P54" s="170">
        <v>155.5</v>
      </c>
    </row>
    <row r="55" spans="1:16" ht="22.5" customHeight="1">
      <c r="A55" s="337">
        <v>45587</v>
      </c>
      <c r="B55" s="338">
        <f t="shared" si="0"/>
        <v>2024</v>
      </c>
      <c r="C55" s="338">
        <f t="shared" si="1"/>
        <v>10</v>
      </c>
      <c r="D55" s="339">
        <v>0.17611111111111111</v>
      </c>
      <c r="E55" s="340" t="s">
        <v>398</v>
      </c>
      <c r="F55" s="341" t="s">
        <v>306</v>
      </c>
      <c r="G55" s="341" t="s">
        <v>7046</v>
      </c>
      <c r="H55" s="340" t="s">
        <v>7047</v>
      </c>
      <c r="I55" s="340"/>
      <c r="J55" s="170">
        <v>1.0900000000000001</v>
      </c>
      <c r="K55" s="170">
        <v>-0.54</v>
      </c>
      <c r="L55" s="170">
        <v>0.55000000000000004</v>
      </c>
      <c r="M55" s="172">
        <f t="shared" si="2"/>
        <v>0.55000000000000004</v>
      </c>
      <c r="N55" s="172">
        <f t="shared" si="3"/>
        <v>0</v>
      </c>
      <c r="O55" s="172" t="s">
        <v>7128</v>
      </c>
      <c r="P55" s="170">
        <v>156.05000000000001</v>
      </c>
    </row>
    <row r="56" spans="1:16" ht="22.5" customHeight="1">
      <c r="A56" s="337">
        <v>45588</v>
      </c>
      <c r="B56" s="338">
        <f t="shared" si="0"/>
        <v>2024</v>
      </c>
      <c r="C56" s="338">
        <f t="shared" si="1"/>
        <v>10</v>
      </c>
      <c r="D56" s="339">
        <v>0.81520833333333331</v>
      </c>
      <c r="E56" s="340" t="s">
        <v>398</v>
      </c>
      <c r="F56" s="341" t="s">
        <v>7129</v>
      </c>
      <c r="G56" s="341" t="s">
        <v>7046</v>
      </c>
      <c r="H56" s="340" t="s">
        <v>7047</v>
      </c>
      <c r="I56" s="340"/>
      <c r="J56" s="170">
        <v>2.99</v>
      </c>
      <c r="K56" s="170">
        <v>-0.64</v>
      </c>
      <c r="L56" s="170">
        <v>2.35</v>
      </c>
      <c r="M56" s="172">
        <f t="shared" si="2"/>
        <v>2.35</v>
      </c>
      <c r="N56" s="172">
        <f t="shared" si="3"/>
        <v>0</v>
      </c>
      <c r="O56" s="172" t="s">
        <v>7130</v>
      </c>
      <c r="P56" s="170">
        <v>158.4</v>
      </c>
    </row>
    <row r="57" spans="1:16" ht="22.5" customHeight="1">
      <c r="A57" s="337">
        <v>45588</v>
      </c>
      <c r="B57" s="338">
        <f t="shared" si="0"/>
        <v>2024</v>
      </c>
      <c r="C57" s="338">
        <f t="shared" si="1"/>
        <v>10</v>
      </c>
      <c r="D57" s="339">
        <v>0.84162037037037041</v>
      </c>
      <c r="E57" s="340" t="s">
        <v>398</v>
      </c>
      <c r="F57" s="341" t="s">
        <v>7131</v>
      </c>
      <c r="G57" s="341" t="s">
        <v>7132</v>
      </c>
      <c r="H57" s="340" t="s">
        <v>7047</v>
      </c>
      <c r="I57" s="340"/>
      <c r="J57" s="170">
        <v>-2.5</v>
      </c>
      <c r="K57" s="170">
        <v>0</v>
      </c>
      <c r="L57" s="170">
        <v>-2.5</v>
      </c>
      <c r="M57" s="172">
        <f t="shared" si="2"/>
        <v>0</v>
      </c>
      <c r="N57" s="172">
        <f t="shared" si="3"/>
        <v>2.5</v>
      </c>
      <c r="O57" s="172" t="s">
        <v>7133</v>
      </c>
      <c r="P57" s="170">
        <v>155.9</v>
      </c>
    </row>
    <row r="58" spans="1:16" ht="22.5" customHeight="1">
      <c r="A58" s="337">
        <v>45590</v>
      </c>
      <c r="B58" s="338">
        <f t="shared" si="0"/>
        <v>2024</v>
      </c>
      <c r="C58" s="338">
        <f t="shared" si="1"/>
        <v>10</v>
      </c>
      <c r="D58" s="339">
        <v>0.72240740740740739</v>
      </c>
      <c r="E58" s="340" t="s">
        <v>398</v>
      </c>
      <c r="F58" s="341" t="s">
        <v>7134</v>
      </c>
      <c r="G58" s="341" t="s">
        <v>7046</v>
      </c>
      <c r="H58" s="340" t="s">
        <v>7047</v>
      </c>
      <c r="I58" s="340"/>
      <c r="J58" s="170">
        <v>18.09</v>
      </c>
      <c r="K58" s="170">
        <v>-1.39</v>
      </c>
      <c r="L58" s="170">
        <v>16.7</v>
      </c>
      <c r="M58" s="172">
        <f t="shared" si="2"/>
        <v>16.7</v>
      </c>
      <c r="N58" s="172">
        <f t="shared" si="3"/>
        <v>0</v>
      </c>
      <c r="O58" s="172" t="s">
        <v>7135</v>
      </c>
      <c r="P58" s="170">
        <v>172.6</v>
      </c>
    </row>
    <row r="59" spans="1:16" ht="22.5" customHeight="1">
      <c r="A59" s="337">
        <v>45590</v>
      </c>
      <c r="B59" s="338">
        <f t="shared" si="0"/>
        <v>2024</v>
      </c>
      <c r="C59" s="338">
        <f t="shared" si="1"/>
        <v>10</v>
      </c>
      <c r="D59" s="339">
        <v>0.83406250000000004</v>
      </c>
      <c r="E59" s="340" t="s">
        <v>398</v>
      </c>
      <c r="F59" s="341" t="s">
        <v>7136</v>
      </c>
      <c r="G59" s="341" t="s">
        <v>7046</v>
      </c>
      <c r="H59" s="340" t="s">
        <v>7047</v>
      </c>
      <c r="I59" s="340"/>
      <c r="J59" s="170">
        <v>192.01</v>
      </c>
      <c r="K59" s="170">
        <v>-10.07</v>
      </c>
      <c r="L59" s="170">
        <v>181.94</v>
      </c>
      <c r="M59" s="172">
        <f t="shared" si="2"/>
        <v>181.94</v>
      </c>
      <c r="N59" s="172">
        <f t="shared" si="3"/>
        <v>0</v>
      </c>
      <c r="O59" s="172" t="s">
        <v>7137</v>
      </c>
      <c r="P59" s="170">
        <v>354.54</v>
      </c>
    </row>
    <row r="60" spans="1:16" ht="22.5" customHeight="1">
      <c r="A60" s="337">
        <v>45591</v>
      </c>
      <c r="B60" s="338">
        <f t="shared" si="0"/>
        <v>2024</v>
      </c>
      <c r="C60" s="338">
        <f t="shared" si="1"/>
        <v>10</v>
      </c>
      <c r="D60" s="339">
        <v>0.95502314814814815</v>
      </c>
      <c r="E60" s="340" t="s">
        <v>398</v>
      </c>
      <c r="F60" s="341" t="s">
        <v>7138</v>
      </c>
      <c r="G60" s="341" t="s">
        <v>7046</v>
      </c>
      <c r="H60" s="340" t="s">
        <v>7047</v>
      </c>
      <c r="I60" s="340"/>
      <c r="J60" s="170">
        <v>4.3899999999999997</v>
      </c>
      <c r="K60" s="170">
        <v>-0.71</v>
      </c>
      <c r="L60" s="170">
        <v>3.68</v>
      </c>
      <c r="M60" s="172">
        <f t="shared" si="2"/>
        <v>3.68</v>
      </c>
      <c r="N60" s="172">
        <f t="shared" si="3"/>
        <v>0</v>
      </c>
      <c r="O60" s="172" t="s">
        <v>7139</v>
      </c>
      <c r="P60" s="170">
        <v>358.22</v>
      </c>
    </row>
    <row r="61" spans="1:16" ht="22.5" customHeight="1">
      <c r="A61" s="337">
        <v>45592</v>
      </c>
      <c r="B61" s="338">
        <f t="shared" si="0"/>
        <v>2024</v>
      </c>
      <c r="C61" s="338">
        <f t="shared" si="1"/>
        <v>10</v>
      </c>
      <c r="D61" s="339">
        <v>0.26858796296296295</v>
      </c>
      <c r="E61" s="340" t="s">
        <v>398</v>
      </c>
      <c r="F61" s="341" t="s">
        <v>694</v>
      </c>
      <c r="G61" s="341" t="s">
        <v>7046</v>
      </c>
      <c r="H61" s="340" t="s">
        <v>7047</v>
      </c>
      <c r="I61" s="340"/>
      <c r="J61" s="170">
        <v>28.75</v>
      </c>
      <c r="K61" s="170">
        <v>-1.92</v>
      </c>
      <c r="L61" s="170">
        <v>26.83</v>
      </c>
      <c r="M61" s="172">
        <f t="shared" si="2"/>
        <v>26.83</v>
      </c>
      <c r="N61" s="172">
        <f t="shared" si="3"/>
        <v>0</v>
      </c>
      <c r="O61" s="172" t="s">
        <v>7140</v>
      </c>
      <c r="P61" s="170">
        <v>385.05</v>
      </c>
    </row>
    <row r="62" spans="1:16" ht="22.5" customHeight="1">
      <c r="A62" s="337">
        <v>45592</v>
      </c>
      <c r="B62" s="338">
        <f t="shared" si="0"/>
        <v>2024</v>
      </c>
      <c r="C62" s="338">
        <f t="shared" si="1"/>
        <v>10</v>
      </c>
      <c r="D62" s="339">
        <v>0.49040509259259257</v>
      </c>
      <c r="E62" s="340" t="s">
        <v>398</v>
      </c>
      <c r="F62" s="341" t="s">
        <v>7141</v>
      </c>
      <c r="G62" s="341" t="s">
        <v>7046</v>
      </c>
      <c r="H62" s="340" t="s">
        <v>7047</v>
      </c>
      <c r="I62" s="340"/>
      <c r="J62" s="170">
        <v>36.24</v>
      </c>
      <c r="K62" s="170">
        <v>-2.2999999999999998</v>
      </c>
      <c r="L62" s="170">
        <v>33.94</v>
      </c>
      <c r="M62" s="172">
        <f t="shared" si="2"/>
        <v>33.94</v>
      </c>
      <c r="N62" s="172">
        <f t="shared" si="3"/>
        <v>0</v>
      </c>
      <c r="O62" s="172" t="s">
        <v>7142</v>
      </c>
      <c r="P62" s="170">
        <v>418.99</v>
      </c>
    </row>
    <row r="63" spans="1:16" ht="22.5" customHeight="1">
      <c r="A63" s="337">
        <v>45592</v>
      </c>
      <c r="B63" s="338">
        <f t="shared" si="0"/>
        <v>2024</v>
      </c>
      <c r="C63" s="338">
        <f t="shared" si="1"/>
        <v>10</v>
      </c>
      <c r="D63" s="339">
        <v>0.84156249999999999</v>
      </c>
      <c r="E63" s="340" t="s">
        <v>398</v>
      </c>
      <c r="F63" s="341" t="s">
        <v>7123</v>
      </c>
      <c r="G63" s="341" t="s">
        <v>7116</v>
      </c>
      <c r="H63" s="340" t="s">
        <v>7047</v>
      </c>
      <c r="I63" s="340"/>
      <c r="J63" s="170">
        <v>-30.2</v>
      </c>
      <c r="K63" s="170">
        <v>1.5</v>
      </c>
      <c r="L63" s="170">
        <v>-28.7</v>
      </c>
      <c r="M63" s="172">
        <f t="shared" si="2"/>
        <v>0</v>
      </c>
      <c r="N63" s="172">
        <f t="shared" si="3"/>
        <v>28.7</v>
      </c>
      <c r="O63" s="172" t="s">
        <v>7143</v>
      </c>
      <c r="P63" s="170">
        <v>390.29</v>
      </c>
    </row>
    <row r="64" spans="1:16" ht="22.5" customHeight="1">
      <c r="A64" s="337">
        <v>45592</v>
      </c>
      <c r="B64" s="338">
        <f t="shared" si="0"/>
        <v>2024</v>
      </c>
      <c r="C64" s="338">
        <f t="shared" si="1"/>
        <v>10</v>
      </c>
      <c r="D64" s="339">
        <v>0.84156249999999999</v>
      </c>
      <c r="E64" s="340" t="s">
        <v>398</v>
      </c>
      <c r="F64" s="341" t="s">
        <v>9</v>
      </c>
      <c r="G64" s="341" t="s">
        <v>7092</v>
      </c>
      <c r="H64" s="340" t="s">
        <v>7093</v>
      </c>
      <c r="I64" s="340"/>
      <c r="J64" s="170">
        <v>30.81</v>
      </c>
      <c r="K64" s="170">
        <v>0</v>
      </c>
      <c r="L64" s="170">
        <v>30.81</v>
      </c>
      <c r="M64" s="172">
        <f t="shared" si="2"/>
        <v>30.81</v>
      </c>
      <c r="N64" s="172">
        <f t="shared" si="3"/>
        <v>0</v>
      </c>
      <c r="O64" s="172" t="s">
        <v>7127</v>
      </c>
      <c r="P64" s="170">
        <v>421.1</v>
      </c>
    </row>
    <row r="65" spans="1:16" ht="22.5" customHeight="1">
      <c r="A65" s="337">
        <v>45593</v>
      </c>
      <c r="B65" s="338">
        <f t="shared" si="0"/>
        <v>2024</v>
      </c>
      <c r="C65" s="338">
        <f t="shared" si="1"/>
        <v>10</v>
      </c>
      <c r="D65" s="339">
        <v>4.3321759259259261E-2</v>
      </c>
      <c r="E65" s="340" t="s">
        <v>398</v>
      </c>
      <c r="F65" s="341" t="s">
        <v>7141</v>
      </c>
      <c r="G65" s="341" t="s">
        <v>7116</v>
      </c>
      <c r="H65" s="340" t="s">
        <v>7047</v>
      </c>
      <c r="I65" s="340"/>
      <c r="J65" s="170">
        <v>-36.24</v>
      </c>
      <c r="K65" s="170">
        <v>1.81</v>
      </c>
      <c r="L65" s="170">
        <v>-34.43</v>
      </c>
      <c r="M65" s="172">
        <f t="shared" si="2"/>
        <v>0</v>
      </c>
      <c r="N65" s="172">
        <f t="shared" si="3"/>
        <v>34.43</v>
      </c>
      <c r="O65" s="172" t="s">
        <v>7144</v>
      </c>
      <c r="P65" s="170">
        <v>386.67</v>
      </c>
    </row>
    <row r="66" spans="1:16" ht="22.5" customHeight="1">
      <c r="A66" s="337">
        <v>45594</v>
      </c>
      <c r="B66" s="338">
        <f t="shared" si="0"/>
        <v>2024</v>
      </c>
      <c r="C66" s="338">
        <f t="shared" si="1"/>
        <v>10</v>
      </c>
      <c r="D66" s="339">
        <v>0.3115046296296296</v>
      </c>
      <c r="E66" s="340" t="s">
        <v>398</v>
      </c>
      <c r="F66" s="341" t="s">
        <v>7145</v>
      </c>
      <c r="G66" s="341" t="s">
        <v>7054</v>
      </c>
      <c r="H66" s="340" t="s">
        <v>7047</v>
      </c>
      <c r="I66" s="340"/>
      <c r="J66" s="170">
        <v>4.3899999999999997</v>
      </c>
      <c r="K66" s="170">
        <v>-0.71</v>
      </c>
      <c r="L66" s="170">
        <v>3.68</v>
      </c>
      <c r="M66" s="172">
        <f t="shared" si="2"/>
        <v>3.68</v>
      </c>
      <c r="N66" s="172">
        <f t="shared" si="3"/>
        <v>0</v>
      </c>
      <c r="O66" s="172" t="s">
        <v>7146</v>
      </c>
      <c r="P66" s="170">
        <v>390.35</v>
      </c>
    </row>
    <row r="67" spans="1:16" ht="22.5" customHeight="1">
      <c r="A67" s="337">
        <v>45594</v>
      </c>
      <c r="B67" s="338">
        <f t="shared" si="0"/>
        <v>2024</v>
      </c>
      <c r="C67" s="338">
        <f t="shared" si="1"/>
        <v>10</v>
      </c>
      <c r="D67" s="339">
        <v>0.75965277777777773</v>
      </c>
      <c r="E67" s="340" t="s">
        <v>398</v>
      </c>
      <c r="F67" s="341" t="s">
        <v>7145</v>
      </c>
      <c r="G67" s="341" t="s">
        <v>7054</v>
      </c>
      <c r="H67" s="340" t="s">
        <v>7047</v>
      </c>
      <c r="I67" s="340"/>
      <c r="J67" s="170">
        <v>13.7</v>
      </c>
      <c r="K67" s="170">
        <v>-1.17</v>
      </c>
      <c r="L67" s="170">
        <v>12.53</v>
      </c>
      <c r="M67" s="172">
        <f t="shared" si="2"/>
        <v>12.53</v>
      </c>
      <c r="N67" s="172">
        <f t="shared" si="3"/>
        <v>0</v>
      </c>
      <c r="O67" s="172" t="s">
        <v>7147</v>
      </c>
      <c r="P67" s="170">
        <v>402.88</v>
      </c>
    </row>
    <row r="68" spans="1:16" ht="22.5" customHeight="1">
      <c r="A68" s="337">
        <v>45595</v>
      </c>
      <c r="B68" s="338">
        <f t="shared" si="0"/>
        <v>2024</v>
      </c>
      <c r="C68" s="338">
        <f t="shared" si="1"/>
        <v>10</v>
      </c>
      <c r="D68" s="339">
        <v>0.36459490740740741</v>
      </c>
      <c r="E68" s="340" t="s">
        <v>398</v>
      </c>
      <c r="F68" s="341" t="s">
        <v>7148</v>
      </c>
      <c r="G68" s="341" t="s">
        <v>7054</v>
      </c>
      <c r="H68" s="340" t="s">
        <v>7047</v>
      </c>
      <c r="I68" s="340"/>
      <c r="J68" s="170">
        <v>3.29</v>
      </c>
      <c r="K68" s="170">
        <v>-0.65</v>
      </c>
      <c r="L68" s="170">
        <v>2.64</v>
      </c>
      <c r="M68" s="172">
        <f t="shared" si="2"/>
        <v>2.64</v>
      </c>
      <c r="N68" s="172">
        <f t="shared" si="3"/>
        <v>0</v>
      </c>
      <c r="O68" s="172" t="s">
        <v>7149</v>
      </c>
      <c r="P68" s="170">
        <v>405.52</v>
      </c>
    </row>
    <row r="69" spans="1:16" ht="22.5" customHeight="1">
      <c r="A69" s="337">
        <v>45596</v>
      </c>
      <c r="B69" s="338">
        <f t="shared" si="0"/>
        <v>2024</v>
      </c>
      <c r="C69" s="338">
        <f t="shared" si="1"/>
        <v>10</v>
      </c>
      <c r="D69" s="339">
        <v>0.28150462962962963</v>
      </c>
      <c r="E69" s="340" t="s">
        <v>398</v>
      </c>
      <c r="F69" s="341" t="s">
        <v>7150</v>
      </c>
      <c r="G69" s="341" t="s">
        <v>7054</v>
      </c>
      <c r="H69" s="340" t="s">
        <v>7047</v>
      </c>
      <c r="I69" s="340"/>
      <c r="J69" s="170">
        <v>12.04</v>
      </c>
      <c r="K69" s="170">
        <v>-1.0900000000000001</v>
      </c>
      <c r="L69" s="170">
        <v>10.95</v>
      </c>
      <c r="M69" s="172">
        <f t="shared" si="2"/>
        <v>10.95</v>
      </c>
      <c r="N69" s="172">
        <f t="shared" si="3"/>
        <v>0</v>
      </c>
      <c r="O69" s="172" t="s">
        <v>7151</v>
      </c>
      <c r="P69" s="170">
        <v>416.47</v>
      </c>
    </row>
    <row r="70" spans="1:16" ht="22.5" customHeight="1">
      <c r="A70" s="337">
        <v>45596</v>
      </c>
      <c r="B70" s="338">
        <f t="shared" si="0"/>
        <v>2024</v>
      </c>
      <c r="C70" s="338">
        <f t="shared" si="1"/>
        <v>10</v>
      </c>
      <c r="D70" s="339">
        <v>0.33509259259259261</v>
      </c>
      <c r="E70" s="340" t="s">
        <v>398</v>
      </c>
      <c r="F70" s="341" t="s">
        <v>393</v>
      </c>
      <c r="G70" s="341" t="s">
        <v>7054</v>
      </c>
      <c r="H70" s="340" t="s">
        <v>7047</v>
      </c>
      <c r="I70" s="340"/>
      <c r="J70" s="170">
        <v>2.99</v>
      </c>
      <c r="K70" s="170">
        <v>-0.64</v>
      </c>
      <c r="L70" s="170">
        <v>2.35</v>
      </c>
      <c r="M70" s="172">
        <f t="shared" si="2"/>
        <v>2.35</v>
      </c>
      <c r="N70" s="172">
        <f t="shared" si="3"/>
        <v>0</v>
      </c>
      <c r="O70" s="172" t="s">
        <v>7152</v>
      </c>
      <c r="P70" s="170">
        <v>418.82</v>
      </c>
    </row>
    <row r="71" spans="1:16" ht="22.5" customHeight="1">
      <c r="A71" s="337">
        <v>45596</v>
      </c>
      <c r="B71" s="338">
        <f t="shared" si="0"/>
        <v>2024</v>
      </c>
      <c r="C71" s="338">
        <f t="shared" si="1"/>
        <v>10</v>
      </c>
      <c r="D71" s="339">
        <v>0.38011574074074073</v>
      </c>
      <c r="E71" s="340" t="s">
        <v>398</v>
      </c>
      <c r="F71" s="341" t="s">
        <v>708</v>
      </c>
      <c r="G71" s="341" t="s">
        <v>7046</v>
      </c>
      <c r="H71" s="340" t="s">
        <v>7047</v>
      </c>
      <c r="I71" s="340"/>
      <c r="J71" s="170">
        <v>4.3899999999999997</v>
      </c>
      <c r="K71" s="170">
        <v>-0.71</v>
      </c>
      <c r="L71" s="170">
        <v>3.68</v>
      </c>
      <c r="M71" s="172">
        <f t="shared" si="2"/>
        <v>3.68</v>
      </c>
      <c r="N71" s="172">
        <f t="shared" si="3"/>
        <v>0</v>
      </c>
      <c r="O71" s="172" t="s">
        <v>7153</v>
      </c>
      <c r="P71" s="170">
        <v>422.5</v>
      </c>
    </row>
    <row r="72" spans="1:16" ht="22.5" customHeight="1">
      <c r="A72" s="337">
        <v>45599</v>
      </c>
      <c r="B72" s="338">
        <f t="shared" si="0"/>
        <v>2024</v>
      </c>
      <c r="C72" s="338">
        <f t="shared" si="1"/>
        <v>11</v>
      </c>
      <c r="D72" s="339">
        <v>8.6134259259259258E-2</v>
      </c>
      <c r="E72" s="340" t="s">
        <v>256</v>
      </c>
      <c r="F72" s="341" t="s">
        <v>7114</v>
      </c>
      <c r="G72" s="341" t="s">
        <v>7046</v>
      </c>
      <c r="H72" s="340" t="s">
        <v>7047</v>
      </c>
      <c r="I72" s="340"/>
      <c r="J72" s="170">
        <v>36.89</v>
      </c>
      <c r="K72" s="170">
        <v>-2.33</v>
      </c>
      <c r="L72" s="170">
        <v>34.56</v>
      </c>
      <c r="M72" s="172">
        <f t="shared" si="2"/>
        <v>34.56</v>
      </c>
      <c r="N72" s="172">
        <f t="shared" si="3"/>
        <v>0</v>
      </c>
      <c r="O72" s="172" t="s">
        <v>7154</v>
      </c>
      <c r="P72" s="170">
        <v>457.06</v>
      </c>
    </row>
    <row r="73" spans="1:16" ht="22.5" customHeight="1">
      <c r="A73" s="337">
        <v>45599</v>
      </c>
      <c r="B73" s="338">
        <f t="shared" si="0"/>
        <v>2024</v>
      </c>
      <c r="C73" s="338">
        <f t="shared" si="1"/>
        <v>11</v>
      </c>
      <c r="D73" s="339">
        <v>0.14770833333333333</v>
      </c>
      <c r="E73" s="340" t="s">
        <v>256</v>
      </c>
      <c r="F73" s="341" t="s">
        <v>7114</v>
      </c>
      <c r="G73" s="341" t="s">
        <v>7116</v>
      </c>
      <c r="H73" s="340" t="s">
        <v>7047</v>
      </c>
      <c r="I73" s="340"/>
      <c r="J73" s="170">
        <v>-36.89</v>
      </c>
      <c r="K73" s="170">
        <v>1.84</v>
      </c>
      <c r="L73" s="170">
        <v>-35.049999999999997</v>
      </c>
      <c r="M73" s="172">
        <f t="shared" si="2"/>
        <v>0</v>
      </c>
      <c r="N73" s="172">
        <f t="shared" si="3"/>
        <v>35.049999999999997</v>
      </c>
      <c r="O73" s="172" t="s">
        <v>7155</v>
      </c>
      <c r="P73" s="170">
        <v>422.01</v>
      </c>
    </row>
    <row r="74" spans="1:16" ht="22.5" customHeight="1">
      <c r="A74" s="337">
        <v>45599</v>
      </c>
      <c r="B74" s="338">
        <f t="shared" si="0"/>
        <v>2024</v>
      </c>
      <c r="C74" s="338">
        <f t="shared" si="1"/>
        <v>11</v>
      </c>
      <c r="D74" s="339">
        <v>0.32116898148148149</v>
      </c>
      <c r="E74" s="340" t="s">
        <v>256</v>
      </c>
      <c r="F74" s="341"/>
      <c r="G74" s="341" t="s">
        <v>7156</v>
      </c>
      <c r="H74" s="340" t="s">
        <v>7047</v>
      </c>
      <c r="I74" s="340"/>
      <c r="J74" s="170">
        <v>-300</v>
      </c>
      <c r="K74" s="170">
        <v>0</v>
      </c>
      <c r="L74" s="170">
        <v>-300</v>
      </c>
      <c r="M74" s="172">
        <f t="shared" si="2"/>
        <v>0</v>
      </c>
      <c r="N74" s="172">
        <f t="shared" si="3"/>
        <v>300</v>
      </c>
      <c r="O74" s="172" t="s">
        <v>7157</v>
      </c>
      <c r="P74" s="170">
        <v>122.01</v>
      </c>
    </row>
    <row r="75" spans="1:16" ht="22.5" customHeight="1">
      <c r="A75" s="337">
        <v>45599</v>
      </c>
      <c r="B75" s="338">
        <f t="shared" si="0"/>
        <v>2024</v>
      </c>
      <c r="C75" s="338">
        <f t="shared" si="1"/>
        <v>11</v>
      </c>
      <c r="D75" s="339">
        <v>0.81674768518518515</v>
      </c>
      <c r="E75" s="340" t="s">
        <v>256</v>
      </c>
      <c r="F75" s="341" t="s">
        <v>7158</v>
      </c>
      <c r="G75" s="341" t="s">
        <v>7054</v>
      </c>
      <c r="H75" s="340" t="s">
        <v>7047</v>
      </c>
      <c r="I75" s="340"/>
      <c r="J75" s="170">
        <v>12.04</v>
      </c>
      <c r="K75" s="170">
        <v>-1.0900000000000001</v>
      </c>
      <c r="L75" s="170">
        <v>10.95</v>
      </c>
      <c r="M75" s="172">
        <f t="shared" si="2"/>
        <v>10.95</v>
      </c>
      <c r="N75" s="172">
        <f t="shared" si="3"/>
        <v>0</v>
      </c>
      <c r="O75" s="172" t="s">
        <v>7159</v>
      </c>
      <c r="P75" s="170">
        <v>132.96</v>
      </c>
    </row>
    <row r="76" spans="1:16" ht="22.5" customHeight="1">
      <c r="A76" s="337">
        <v>45601</v>
      </c>
      <c r="B76" s="338">
        <f t="shared" si="0"/>
        <v>2024</v>
      </c>
      <c r="C76" s="338">
        <f t="shared" si="1"/>
        <v>11</v>
      </c>
      <c r="D76" s="339">
        <v>0.84208333333333329</v>
      </c>
      <c r="E76" s="340" t="s">
        <v>256</v>
      </c>
      <c r="F76" s="341" t="s">
        <v>272</v>
      </c>
      <c r="G76" s="341" t="s">
        <v>7046</v>
      </c>
      <c r="H76" s="340" t="s">
        <v>7047</v>
      </c>
      <c r="I76" s="340"/>
      <c r="J76" s="170">
        <v>4.99</v>
      </c>
      <c r="K76" s="170">
        <v>-0.66</v>
      </c>
      <c r="L76" s="170">
        <v>4.33</v>
      </c>
      <c r="M76" s="172">
        <f t="shared" si="2"/>
        <v>4.33</v>
      </c>
      <c r="N76" s="172">
        <f t="shared" si="3"/>
        <v>0</v>
      </c>
      <c r="O76" s="172" t="s">
        <v>7160</v>
      </c>
      <c r="P76" s="170">
        <v>137.29</v>
      </c>
    </row>
    <row r="77" spans="1:16" ht="22.5" customHeight="1">
      <c r="A77" s="337">
        <v>45602</v>
      </c>
      <c r="B77" s="338">
        <f t="shared" si="0"/>
        <v>2024</v>
      </c>
      <c r="C77" s="338">
        <f t="shared" si="1"/>
        <v>11</v>
      </c>
      <c r="D77" s="339">
        <v>5.303240740740741E-2</v>
      </c>
      <c r="E77" s="340" t="s">
        <v>256</v>
      </c>
      <c r="F77" s="341" t="s">
        <v>7161</v>
      </c>
      <c r="G77" s="341" t="s">
        <v>7046</v>
      </c>
      <c r="H77" s="340" t="s">
        <v>7047</v>
      </c>
      <c r="I77" s="340"/>
      <c r="J77" s="170">
        <v>3.29</v>
      </c>
      <c r="K77" s="170">
        <v>-0.65</v>
      </c>
      <c r="L77" s="170">
        <v>2.64</v>
      </c>
      <c r="M77" s="172">
        <f t="shared" si="2"/>
        <v>2.64</v>
      </c>
      <c r="N77" s="172">
        <f t="shared" si="3"/>
        <v>0</v>
      </c>
      <c r="O77" s="172" t="s">
        <v>7162</v>
      </c>
      <c r="P77" s="170">
        <v>139.93</v>
      </c>
    </row>
    <row r="78" spans="1:16" ht="22.5" customHeight="1">
      <c r="A78" s="337">
        <v>45602</v>
      </c>
      <c r="B78" s="338">
        <f t="shared" si="0"/>
        <v>2024</v>
      </c>
      <c r="C78" s="338">
        <f t="shared" si="1"/>
        <v>11</v>
      </c>
      <c r="D78" s="339">
        <v>0.80594907407407412</v>
      </c>
      <c r="E78" s="340" t="s">
        <v>256</v>
      </c>
      <c r="F78" s="341" t="s">
        <v>278</v>
      </c>
      <c r="G78" s="341" t="s">
        <v>7046</v>
      </c>
      <c r="H78" s="340" t="s">
        <v>7047</v>
      </c>
      <c r="I78" s="340"/>
      <c r="J78" s="170">
        <v>2.99</v>
      </c>
      <c r="K78" s="170">
        <v>-0.64</v>
      </c>
      <c r="L78" s="170">
        <v>2.35</v>
      </c>
      <c r="M78" s="172">
        <f t="shared" si="2"/>
        <v>2.35</v>
      </c>
      <c r="N78" s="172">
        <f t="shared" si="3"/>
        <v>0</v>
      </c>
      <c r="O78" s="172" t="s">
        <v>7163</v>
      </c>
      <c r="P78" s="170">
        <v>142.28</v>
      </c>
    </row>
    <row r="79" spans="1:16" ht="22.5" customHeight="1">
      <c r="A79" s="337">
        <v>45604</v>
      </c>
      <c r="B79" s="338">
        <f t="shared" si="0"/>
        <v>2024</v>
      </c>
      <c r="C79" s="338">
        <f t="shared" si="1"/>
        <v>11</v>
      </c>
      <c r="D79" s="339">
        <v>0.9367361111111111</v>
      </c>
      <c r="E79" s="340" t="s">
        <v>256</v>
      </c>
      <c r="F79" s="341" t="s">
        <v>7164</v>
      </c>
      <c r="G79" s="341" t="s">
        <v>7054</v>
      </c>
      <c r="H79" s="340" t="s">
        <v>7047</v>
      </c>
      <c r="I79" s="340"/>
      <c r="J79" s="170">
        <v>1.99</v>
      </c>
      <c r="K79" s="170">
        <v>-0.59</v>
      </c>
      <c r="L79" s="170">
        <v>1.4</v>
      </c>
      <c r="M79" s="172">
        <f t="shared" si="2"/>
        <v>1.4</v>
      </c>
      <c r="N79" s="172">
        <f t="shared" si="3"/>
        <v>0</v>
      </c>
      <c r="O79" s="172" t="s">
        <v>7165</v>
      </c>
      <c r="P79" s="170">
        <v>143.68</v>
      </c>
    </row>
    <row r="80" spans="1:16" ht="22.5" customHeight="1">
      <c r="A80" s="337">
        <v>45605</v>
      </c>
      <c r="B80" s="338">
        <f t="shared" si="0"/>
        <v>2024</v>
      </c>
      <c r="C80" s="338">
        <f t="shared" si="1"/>
        <v>11</v>
      </c>
      <c r="D80" s="339">
        <v>0.94327546296296294</v>
      </c>
      <c r="E80" s="340" t="s">
        <v>256</v>
      </c>
      <c r="F80" s="341" t="s">
        <v>341</v>
      </c>
      <c r="G80" s="341" t="s">
        <v>7046</v>
      </c>
      <c r="H80" s="340" t="s">
        <v>7047</v>
      </c>
      <c r="I80" s="340"/>
      <c r="J80" s="170">
        <v>1.08</v>
      </c>
      <c r="K80" s="170">
        <v>-0.54</v>
      </c>
      <c r="L80" s="170">
        <v>0.54</v>
      </c>
      <c r="M80" s="172">
        <f t="shared" si="2"/>
        <v>0.54</v>
      </c>
      <c r="N80" s="172">
        <f t="shared" si="3"/>
        <v>0</v>
      </c>
      <c r="O80" s="172" t="s">
        <v>7166</v>
      </c>
      <c r="P80" s="170">
        <v>144.22</v>
      </c>
    </row>
    <row r="81" spans="1:16" ht="22.5" customHeight="1">
      <c r="A81" s="337">
        <v>45609</v>
      </c>
      <c r="B81" s="338">
        <f t="shared" si="0"/>
        <v>2024</v>
      </c>
      <c r="C81" s="338">
        <f t="shared" si="1"/>
        <v>11</v>
      </c>
      <c r="D81" s="339">
        <v>0.77032407407407411</v>
      </c>
      <c r="E81" s="340" t="s">
        <v>256</v>
      </c>
      <c r="F81" s="341" t="s">
        <v>7167</v>
      </c>
      <c r="G81" s="341" t="s">
        <v>7046</v>
      </c>
      <c r="H81" s="340" t="s">
        <v>7047</v>
      </c>
      <c r="I81" s="340"/>
      <c r="J81" s="170">
        <v>2.99</v>
      </c>
      <c r="K81" s="170">
        <v>-0.64</v>
      </c>
      <c r="L81" s="170">
        <v>2.35</v>
      </c>
      <c r="M81" s="172">
        <f t="shared" si="2"/>
        <v>2.35</v>
      </c>
      <c r="N81" s="172">
        <f t="shared" si="3"/>
        <v>0</v>
      </c>
      <c r="O81" s="172" t="s">
        <v>7168</v>
      </c>
      <c r="P81" s="170">
        <v>146.57</v>
      </c>
    </row>
    <row r="82" spans="1:16" ht="22.5" customHeight="1">
      <c r="A82" s="337">
        <v>45609</v>
      </c>
      <c r="B82" s="338">
        <f t="shared" si="0"/>
        <v>2024</v>
      </c>
      <c r="C82" s="338">
        <f t="shared" si="1"/>
        <v>11</v>
      </c>
      <c r="D82" s="339">
        <v>0.91214120370370366</v>
      </c>
      <c r="E82" s="340" t="s">
        <v>256</v>
      </c>
      <c r="F82" s="341" t="s">
        <v>7169</v>
      </c>
      <c r="G82" s="341" t="s">
        <v>7054</v>
      </c>
      <c r="H82" s="340" t="s">
        <v>7047</v>
      </c>
      <c r="I82" s="340"/>
      <c r="J82" s="170">
        <v>2.99</v>
      </c>
      <c r="K82" s="170">
        <v>-0.64</v>
      </c>
      <c r="L82" s="170">
        <v>2.35</v>
      </c>
      <c r="M82" s="172">
        <f t="shared" si="2"/>
        <v>2.35</v>
      </c>
      <c r="N82" s="172">
        <f t="shared" si="3"/>
        <v>0</v>
      </c>
      <c r="O82" s="172" t="s">
        <v>7170</v>
      </c>
      <c r="P82" s="170">
        <v>148.91999999999999</v>
      </c>
    </row>
    <row r="83" spans="1:16" ht="22.5" customHeight="1">
      <c r="A83" s="337">
        <v>45611</v>
      </c>
      <c r="B83" s="338">
        <f t="shared" si="0"/>
        <v>2024</v>
      </c>
      <c r="C83" s="338">
        <f t="shared" si="1"/>
        <v>11</v>
      </c>
      <c r="D83" s="339">
        <v>2.9988425925925925E-2</v>
      </c>
      <c r="E83" s="340" t="s">
        <v>256</v>
      </c>
      <c r="F83" s="341" t="s">
        <v>733</v>
      </c>
      <c r="G83" s="341" t="s">
        <v>7046</v>
      </c>
      <c r="H83" s="340" t="s">
        <v>7047</v>
      </c>
      <c r="I83" s="340"/>
      <c r="J83" s="170">
        <v>17.989999999999998</v>
      </c>
      <c r="K83" s="170">
        <v>-1.39</v>
      </c>
      <c r="L83" s="170">
        <v>16.600000000000001</v>
      </c>
      <c r="M83" s="172">
        <f t="shared" si="2"/>
        <v>16.600000000000001</v>
      </c>
      <c r="N83" s="172">
        <f t="shared" si="3"/>
        <v>0</v>
      </c>
      <c r="O83" s="172" t="s">
        <v>7171</v>
      </c>
      <c r="P83" s="170">
        <v>165.52</v>
      </c>
    </row>
    <row r="84" spans="1:16" ht="22.5" customHeight="1">
      <c r="A84" s="337">
        <v>45612</v>
      </c>
      <c r="B84" s="338">
        <f t="shared" si="0"/>
        <v>2024</v>
      </c>
      <c r="C84" s="338">
        <f t="shared" si="1"/>
        <v>11</v>
      </c>
      <c r="D84" s="339">
        <v>0.11234953703703704</v>
      </c>
      <c r="E84" s="340" t="s">
        <v>256</v>
      </c>
      <c r="F84" s="341" t="s">
        <v>7172</v>
      </c>
      <c r="G84" s="341" t="s">
        <v>7054</v>
      </c>
      <c r="H84" s="340" t="s">
        <v>7047</v>
      </c>
      <c r="I84" s="340"/>
      <c r="J84" s="170">
        <v>3.99</v>
      </c>
      <c r="K84" s="170">
        <v>-0.69</v>
      </c>
      <c r="L84" s="170">
        <v>3.3</v>
      </c>
      <c r="M84" s="172">
        <f t="shared" si="2"/>
        <v>3.3</v>
      </c>
      <c r="N84" s="172">
        <f t="shared" si="3"/>
        <v>0</v>
      </c>
      <c r="O84" s="172" t="s">
        <v>7173</v>
      </c>
      <c r="P84" s="170">
        <v>168.82</v>
      </c>
    </row>
    <row r="85" spans="1:16" ht="22.5" customHeight="1">
      <c r="A85" s="337">
        <v>45612</v>
      </c>
      <c r="B85" s="338">
        <f t="shared" si="0"/>
        <v>2024</v>
      </c>
      <c r="C85" s="338">
        <f t="shared" si="1"/>
        <v>11</v>
      </c>
      <c r="D85" s="339">
        <v>0.80444444444444441</v>
      </c>
      <c r="E85" s="340" t="s">
        <v>256</v>
      </c>
      <c r="F85" s="341" t="s">
        <v>306</v>
      </c>
      <c r="G85" s="341" t="s">
        <v>7046</v>
      </c>
      <c r="H85" s="340" t="s">
        <v>7047</v>
      </c>
      <c r="I85" s="340"/>
      <c r="J85" s="170">
        <v>1.0900000000000001</v>
      </c>
      <c r="K85" s="170">
        <v>-0.54</v>
      </c>
      <c r="L85" s="170">
        <v>0.55000000000000004</v>
      </c>
      <c r="M85" s="172">
        <f t="shared" si="2"/>
        <v>0.55000000000000004</v>
      </c>
      <c r="N85" s="172">
        <f t="shared" si="3"/>
        <v>0</v>
      </c>
      <c r="O85" s="172" t="s">
        <v>7174</v>
      </c>
      <c r="P85" s="170">
        <v>169.37</v>
      </c>
    </row>
    <row r="86" spans="1:16" ht="22.5" customHeight="1">
      <c r="A86" s="337">
        <v>45616</v>
      </c>
      <c r="B86" s="338">
        <f t="shared" si="0"/>
        <v>2024</v>
      </c>
      <c r="C86" s="338">
        <f t="shared" si="1"/>
        <v>11</v>
      </c>
      <c r="D86" s="339">
        <v>3.695601851851852E-2</v>
      </c>
      <c r="E86" s="340" t="s">
        <v>256</v>
      </c>
      <c r="F86" s="341" t="s">
        <v>7175</v>
      </c>
      <c r="G86" s="341" t="s">
        <v>7046</v>
      </c>
      <c r="H86" s="340" t="s">
        <v>7047</v>
      </c>
      <c r="I86" s="340"/>
      <c r="J86" s="170">
        <v>29.99</v>
      </c>
      <c r="K86" s="170">
        <v>-1.99</v>
      </c>
      <c r="L86" s="170">
        <v>28</v>
      </c>
      <c r="M86" s="172">
        <f t="shared" si="2"/>
        <v>28</v>
      </c>
      <c r="N86" s="172">
        <f t="shared" si="3"/>
        <v>0</v>
      </c>
      <c r="O86" s="172" t="s">
        <v>7176</v>
      </c>
      <c r="P86" s="170">
        <v>197.37</v>
      </c>
    </row>
    <row r="87" spans="1:16" ht="22.5" customHeight="1">
      <c r="A87" s="337">
        <v>45617</v>
      </c>
      <c r="B87" s="338">
        <f t="shared" si="0"/>
        <v>2024</v>
      </c>
      <c r="C87" s="338">
        <f t="shared" si="1"/>
        <v>11</v>
      </c>
      <c r="D87" s="339">
        <v>0.25476851851851851</v>
      </c>
      <c r="E87" s="340" t="s">
        <v>256</v>
      </c>
      <c r="F87" s="341" t="s">
        <v>288</v>
      </c>
      <c r="G87" s="341" t="s">
        <v>7054</v>
      </c>
      <c r="H87" s="340" t="s">
        <v>7047</v>
      </c>
      <c r="I87" s="340"/>
      <c r="J87" s="170">
        <v>1.0900000000000001</v>
      </c>
      <c r="K87" s="170">
        <v>-0.53</v>
      </c>
      <c r="L87" s="170">
        <v>0.56000000000000005</v>
      </c>
      <c r="M87" s="172">
        <f t="shared" si="2"/>
        <v>0.56000000000000005</v>
      </c>
      <c r="N87" s="172">
        <f t="shared" si="3"/>
        <v>0</v>
      </c>
      <c r="O87" s="172" t="s">
        <v>7177</v>
      </c>
      <c r="P87" s="170">
        <v>197.93</v>
      </c>
    </row>
    <row r="88" spans="1:16" ht="22.5" customHeight="1">
      <c r="A88" s="337">
        <v>45617</v>
      </c>
      <c r="B88" s="338">
        <f t="shared" si="0"/>
        <v>2024</v>
      </c>
      <c r="C88" s="338">
        <f t="shared" si="1"/>
        <v>11</v>
      </c>
      <c r="D88" s="339">
        <v>0.26114583333333335</v>
      </c>
      <c r="E88" s="340" t="s">
        <v>256</v>
      </c>
      <c r="F88" s="341" t="s">
        <v>7178</v>
      </c>
      <c r="G88" s="341" t="s">
        <v>7054</v>
      </c>
      <c r="H88" s="340" t="s">
        <v>7047</v>
      </c>
      <c r="I88" s="340"/>
      <c r="J88" s="170">
        <v>12.59</v>
      </c>
      <c r="K88" s="170">
        <v>-1.1200000000000001</v>
      </c>
      <c r="L88" s="170">
        <v>11.47</v>
      </c>
      <c r="M88" s="172">
        <f t="shared" si="2"/>
        <v>11.47</v>
      </c>
      <c r="N88" s="172">
        <f t="shared" si="3"/>
        <v>0</v>
      </c>
      <c r="O88" s="172" t="s">
        <v>7179</v>
      </c>
      <c r="P88" s="170">
        <v>209.4</v>
      </c>
    </row>
    <row r="89" spans="1:16" ht="22.5" customHeight="1">
      <c r="A89" s="337">
        <v>45617</v>
      </c>
      <c r="B89" s="338">
        <f t="shared" si="0"/>
        <v>2024</v>
      </c>
      <c r="C89" s="338">
        <f t="shared" si="1"/>
        <v>11</v>
      </c>
      <c r="D89" s="339">
        <v>0.75489583333333332</v>
      </c>
      <c r="E89" s="340" t="s">
        <v>256</v>
      </c>
      <c r="F89" s="341" t="s">
        <v>7180</v>
      </c>
      <c r="G89" s="341" t="s">
        <v>7046</v>
      </c>
      <c r="H89" s="340" t="s">
        <v>7047</v>
      </c>
      <c r="I89" s="340"/>
      <c r="J89" s="170">
        <v>16.190000000000001</v>
      </c>
      <c r="K89" s="170">
        <v>-1.3</v>
      </c>
      <c r="L89" s="170">
        <v>14.89</v>
      </c>
      <c r="M89" s="172">
        <f t="shared" si="2"/>
        <v>14.89</v>
      </c>
      <c r="N89" s="172">
        <f t="shared" si="3"/>
        <v>0</v>
      </c>
      <c r="O89" s="172" t="s">
        <v>7181</v>
      </c>
      <c r="P89" s="170">
        <v>224.29</v>
      </c>
    </row>
    <row r="90" spans="1:16" ht="22.5" customHeight="1">
      <c r="A90" s="337">
        <v>45618</v>
      </c>
      <c r="B90" s="338">
        <f t="shared" si="0"/>
        <v>2024</v>
      </c>
      <c r="C90" s="338">
        <f t="shared" si="1"/>
        <v>11</v>
      </c>
      <c r="D90" s="339">
        <v>1.8287037037037036E-2</v>
      </c>
      <c r="E90" s="340" t="s">
        <v>256</v>
      </c>
      <c r="F90" s="341" t="s">
        <v>7182</v>
      </c>
      <c r="G90" s="341" t="s">
        <v>7046</v>
      </c>
      <c r="H90" s="340" t="s">
        <v>7047</v>
      </c>
      <c r="I90" s="340"/>
      <c r="J90" s="170">
        <v>2.99</v>
      </c>
      <c r="K90" s="170">
        <v>-0.64</v>
      </c>
      <c r="L90" s="170">
        <v>2.35</v>
      </c>
      <c r="M90" s="172">
        <f t="shared" si="2"/>
        <v>2.35</v>
      </c>
      <c r="N90" s="172">
        <f t="shared" si="3"/>
        <v>0</v>
      </c>
      <c r="O90" s="172" t="s">
        <v>7183</v>
      </c>
      <c r="P90" s="170">
        <v>226.64</v>
      </c>
    </row>
    <row r="91" spans="1:16" ht="22.5" customHeight="1">
      <c r="A91" s="337">
        <v>45618</v>
      </c>
      <c r="B91" s="338">
        <f t="shared" si="0"/>
        <v>2024</v>
      </c>
      <c r="C91" s="338">
        <f t="shared" si="1"/>
        <v>11</v>
      </c>
      <c r="D91" s="339">
        <v>5.1701388888888887E-2</v>
      </c>
      <c r="E91" s="340" t="s">
        <v>256</v>
      </c>
      <c r="F91" s="341" t="s">
        <v>300</v>
      </c>
      <c r="G91" s="341" t="s">
        <v>7054</v>
      </c>
      <c r="H91" s="340" t="s">
        <v>7047</v>
      </c>
      <c r="I91" s="340"/>
      <c r="J91" s="170">
        <v>1.0900000000000001</v>
      </c>
      <c r="K91" s="170">
        <v>-0.54</v>
      </c>
      <c r="L91" s="170">
        <v>0.55000000000000004</v>
      </c>
      <c r="M91" s="172">
        <f t="shared" si="2"/>
        <v>0.55000000000000004</v>
      </c>
      <c r="N91" s="172">
        <f t="shared" si="3"/>
        <v>0</v>
      </c>
      <c r="O91" s="172" t="s">
        <v>7184</v>
      </c>
      <c r="P91" s="170">
        <v>227.19</v>
      </c>
    </row>
    <row r="92" spans="1:16" ht="22.5" customHeight="1">
      <c r="A92" s="337">
        <v>45618</v>
      </c>
      <c r="B92" s="338">
        <f t="shared" si="0"/>
        <v>2024</v>
      </c>
      <c r="C92" s="338">
        <f t="shared" si="1"/>
        <v>11</v>
      </c>
      <c r="D92" s="339">
        <v>0.25660879629629629</v>
      </c>
      <c r="E92" s="340" t="s">
        <v>256</v>
      </c>
      <c r="F92" s="341" t="s">
        <v>7185</v>
      </c>
      <c r="G92" s="341" t="s">
        <v>7054</v>
      </c>
      <c r="H92" s="340" t="s">
        <v>7047</v>
      </c>
      <c r="I92" s="340"/>
      <c r="J92" s="170">
        <v>12.59</v>
      </c>
      <c r="K92" s="170">
        <v>-1.1200000000000001</v>
      </c>
      <c r="L92" s="170">
        <v>11.47</v>
      </c>
      <c r="M92" s="172">
        <f t="shared" si="2"/>
        <v>11.47</v>
      </c>
      <c r="N92" s="172">
        <f t="shared" si="3"/>
        <v>0</v>
      </c>
      <c r="O92" s="172" t="s">
        <v>7186</v>
      </c>
      <c r="P92" s="170">
        <v>238.66</v>
      </c>
    </row>
    <row r="93" spans="1:16" ht="22.5" customHeight="1">
      <c r="A93" s="337">
        <v>45618</v>
      </c>
      <c r="B93" s="338">
        <f t="shared" si="0"/>
        <v>2024</v>
      </c>
      <c r="C93" s="338">
        <f t="shared" si="1"/>
        <v>11</v>
      </c>
      <c r="D93" s="339">
        <v>0.27785879629629628</v>
      </c>
      <c r="E93" s="340" t="s">
        <v>256</v>
      </c>
      <c r="F93" s="341" t="s">
        <v>7187</v>
      </c>
      <c r="G93" s="341" t="s">
        <v>7054</v>
      </c>
      <c r="H93" s="340" t="s">
        <v>7047</v>
      </c>
      <c r="I93" s="340"/>
      <c r="J93" s="170">
        <v>12.59</v>
      </c>
      <c r="K93" s="170">
        <v>-1.1200000000000001</v>
      </c>
      <c r="L93" s="170">
        <v>11.47</v>
      </c>
      <c r="M93" s="172">
        <f t="shared" si="2"/>
        <v>11.47</v>
      </c>
      <c r="N93" s="172">
        <f t="shared" si="3"/>
        <v>0</v>
      </c>
      <c r="O93" s="172" t="s">
        <v>7188</v>
      </c>
      <c r="P93" s="170">
        <v>250.13</v>
      </c>
    </row>
    <row r="94" spans="1:16" ht="22.5" customHeight="1">
      <c r="A94" s="337">
        <v>45618</v>
      </c>
      <c r="B94" s="338">
        <f t="shared" si="0"/>
        <v>2024</v>
      </c>
      <c r="C94" s="338">
        <f t="shared" si="1"/>
        <v>11</v>
      </c>
      <c r="D94" s="339">
        <v>0.29998842592592595</v>
      </c>
      <c r="E94" s="340" t="s">
        <v>256</v>
      </c>
      <c r="F94" s="341" t="s">
        <v>7189</v>
      </c>
      <c r="G94" s="341" t="s">
        <v>7054</v>
      </c>
      <c r="H94" s="340" t="s">
        <v>7047</v>
      </c>
      <c r="I94" s="340"/>
      <c r="J94" s="170">
        <v>12.59</v>
      </c>
      <c r="K94" s="170">
        <v>-1.1200000000000001</v>
      </c>
      <c r="L94" s="170">
        <v>11.47</v>
      </c>
      <c r="M94" s="172">
        <f t="shared" si="2"/>
        <v>11.47</v>
      </c>
      <c r="N94" s="172">
        <f t="shared" si="3"/>
        <v>0</v>
      </c>
      <c r="O94" s="172" t="s">
        <v>7190</v>
      </c>
      <c r="P94" s="170">
        <v>261.60000000000002</v>
      </c>
    </row>
    <row r="95" spans="1:16" ht="22.5" customHeight="1">
      <c r="A95" s="337">
        <v>45618</v>
      </c>
      <c r="B95" s="338">
        <f t="shared" si="0"/>
        <v>2024</v>
      </c>
      <c r="C95" s="338">
        <f t="shared" si="1"/>
        <v>11</v>
      </c>
      <c r="D95" s="339">
        <v>0.59437499999999999</v>
      </c>
      <c r="E95" s="340" t="s">
        <v>256</v>
      </c>
      <c r="F95" s="341" t="s">
        <v>7191</v>
      </c>
      <c r="G95" s="341" t="s">
        <v>7046</v>
      </c>
      <c r="H95" s="340" t="s">
        <v>7047</v>
      </c>
      <c r="I95" s="340"/>
      <c r="J95" s="170">
        <v>14.39</v>
      </c>
      <c r="K95" s="170">
        <v>-1.21</v>
      </c>
      <c r="L95" s="170">
        <v>13.18</v>
      </c>
      <c r="M95" s="172">
        <f t="shared" si="2"/>
        <v>13.18</v>
      </c>
      <c r="N95" s="172">
        <f t="shared" si="3"/>
        <v>0</v>
      </c>
      <c r="O95" s="172" t="s">
        <v>7192</v>
      </c>
      <c r="P95" s="170">
        <v>274.77999999999997</v>
      </c>
    </row>
    <row r="96" spans="1:16" ht="22.5" customHeight="1">
      <c r="A96" s="337">
        <v>45619</v>
      </c>
      <c r="B96" s="338">
        <f t="shared" si="0"/>
        <v>2024</v>
      </c>
      <c r="C96" s="338">
        <f t="shared" si="1"/>
        <v>11</v>
      </c>
      <c r="D96" s="339">
        <v>0.21306712962962962</v>
      </c>
      <c r="E96" s="340" t="s">
        <v>256</v>
      </c>
      <c r="F96" s="341" t="s">
        <v>7193</v>
      </c>
      <c r="G96" s="341" t="s">
        <v>7054</v>
      </c>
      <c r="H96" s="340" t="s">
        <v>7047</v>
      </c>
      <c r="I96" s="340"/>
      <c r="J96" s="170">
        <v>12.59</v>
      </c>
      <c r="K96" s="170">
        <v>-1.1200000000000001</v>
      </c>
      <c r="L96" s="170">
        <v>11.47</v>
      </c>
      <c r="M96" s="172">
        <f t="shared" si="2"/>
        <v>11.47</v>
      </c>
      <c r="N96" s="172">
        <f t="shared" si="3"/>
        <v>0</v>
      </c>
      <c r="O96" s="172" t="s">
        <v>7194</v>
      </c>
      <c r="P96" s="170">
        <v>286.25</v>
      </c>
    </row>
    <row r="97" spans="1:16" ht="22.5" customHeight="1">
      <c r="A97" s="337">
        <v>45619</v>
      </c>
      <c r="B97" s="338">
        <f t="shared" si="0"/>
        <v>2024</v>
      </c>
      <c r="C97" s="338">
        <f t="shared" si="1"/>
        <v>11</v>
      </c>
      <c r="D97" s="339">
        <v>0.35981481481481481</v>
      </c>
      <c r="E97" s="340" t="s">
        <v>256</v>
      </c>
      <c r="F97" s="341" t="s">
        <v>7195</v>
      </c>
      <c r="G97" s="341" t="s">
        <v>7046</v>
      </c>
      <c r="H97" s="340" t="s">
        <v>7047</v>
      </c>
      <c r="I97" s="340"/>
      <c r="J97" s="170">
        <v>12.59</v>
      </c>
      <c r="K97" s="170">
        <v>-1.1200000000000001</v>
      </c>
      <c r="L97" s="170">
        <v>11.47</v>
      </c>
      <c r="M97" s="172">
        <f t="shared" si="2"/>
        <v>11.47</v>
      </c>
      <c r="N97" s="172">
        <f t="shared" si="3"/>
        <v>0</v>
      </c>
      <c r="O97" s="172" t="s">
        <v>7196</v>
      </c>
      <c r="P97" s="170">
        <v>297.72000000000003</v>
      </c>
    </row>
    <row r="98" spans="1:16" ht="22.5" customHeight="1">
      <c r="A98" s="337">
        <v>45619</v>
      </c>
      <c r="B98" s="338">
        <f t="shared" si="0"/>
        <v>2024</v>
      </c>
      <c r="C98" s="338">
        <f t="shared" si="1"/>
        <v>11</v>
      </c>
      <c r="D98" s="339">
        <v>0.71607638888888892</v>
      </c>
      <c r="E98" s="340" t="s">
        <v>256</v>
      </c>
      <c r="F98" s="341" t="s">
        <v>722</v>
      </c>
      <c r="G98" s="341" t="s">
        <v>7046</v>
      </c>
      <c r="H98" s="340" t="s">
        <v>7047</v>
      </c>
      <c r="I98" s="340"/>
      <c r="J98" s="170">
        <v>12.59</v>
      </c>
      <c r="K98" s="170">
        <v>-0.93</v>
      </c>
      <c r="L98" s="170">
        <v>11.66</v>
      </c>
      <c r="M98" s="172">
        <f t="shared" si="2"/>
        <v>11.66</v>
      </c>
      <c r="N98" s="172">
        <f t="shared" si="3"/>
        <v>0</v>
      </c>
      <c r="O98" s="172" t="s">
        <v>7197</v>
      </c>
      <c r="P98" s="170">
        <v>309.38</v>
      </c>
    </row>
    <row r="99" spans="1:16" ht="22.5" customHeight="1">
      <c r="A99" s="337">
        <v>45620</v>
      </c>
      <c r="B99" s="338">
        <f t="shared" si="0"/>
        <v>2024</v>
      </c>
      <c r="C99" s="338">
        <f t="shared" si="1"/>
        <v>11</v>
      </c>
      <c r="D99" s="339">
        <v>0.21496527777777777</v>
      </c>
      <c r="E99" s="340" t="s">
        <v>256</v>
      </c>
      <c r="F99" s="341" t="s">
        <v>7198</v>
      </c>
      <c r="G99" s="341" t="s">
        <v>7054</v>
      </c>
      <c r="H99" s="340" t="s">
        <v>7047</v>
      </c>
      <c r="I99" s="340"/>
      <c r="J99" s="170">
        <v>12.59</v>
      </c>
      <c r="K99" s="170">
        <v>-0.93</v>
      </c>
      <c r="L99" s="170">
        <v>11.66</v>
      </c>
      <c r="M99" s="172">
        <f t="shared" si="2"/>
        <v>11.66</v>
      </c>
      <c r="N99" s="172">
        <f t="shared" si="3"/>
        <v>0</v>
      </c>
      <c r="O99" s="172" t="s">
        <v>7199</v>
      </c>
      <c r="P99" s="170">
        <v>321.04000000000002</v>
      </c>
    </row>
    <row r="100" spans="1:16" ht="22.5" customHeight="1">
      <c r="A100" s="337">
        <v>45620</v>
      </c>
      <c r="B100" s="338">
        <f t="shared" si="0"/>
        <v>2024</v>
      </c>
      <c r="C100" s="338">
        <f t="shared" si="1"/>
        <v>11</v>
      </c>
      <c r="D100" s="339">
        <v>0.83777777777777773</v>
      </c>
      <c r="E100" s="340" t="s">
        <v>256</v>
      </c>
      <c r="F100" s="341" t="s">
        <v>7200</v>
      </c>
      <c r="G100" s="341" t="s">
        <v>7046</v>
      </c>
      <c r="H100" s="340" t="s">
        <v>7047</v>
      </c>
      <c r="I100" s="340"/>
      <c r="J100" s="170">
        <v>12.59</v>
      </c>
      <c r="K100" s="170">
        <v>-1.1200000000000001</v>
      </c>
      <c r="L100" s="170">
        <v>11.47</v>
      </c>
      <c r="M100" s="172">
        <f t="shared" si="2"/>
        <v>11.47</v>
      </c>
      <c r="N100" s="172">
        <f t="shared" si="3"/>
        <v>0</v>
      </c>
      <c r="O100" s="172" t="s">
        <v>7201</v>
      </c>
      <c r="P100" s="170">
        <v>332.51</v>
      </c>
    </row>
    <row r="101" spans="1:16" ht="22.5" customHeight="1">
      <c r="A101" s="337">
        <v>45621</v>
      </c>
      <c r="B101" s="338">
        <f t="shared" si="0"/>
        <v>2024</v>
      </c>
      <c r="C101" s="338">
        <f t="shared" si="1"/>
        <v>11</v>
      </c>
      <c r="D101" s="339">
        <v>0.74739583333333337</v>
      </c>
      <c r="E101" s="340" t="s">
        <v>256</v>
      </c>
      <c r="F101" s="341" t="s">
        <v>757</v>
      </c>
      <c r="G101" s="341" t="s">
        <v>7046</v>
      </c>
      <c r="H101" s="340" t="s">
        <v>7047</v>
      </c>
      <c r="I101" s="340"/>
      <c r="J101" s="170">
        <v>12.6</v>
      </c>
      <c r="K101" s="170">
        <v>-0.93</v>
      </c>
      <c r="L101" s="170">
        <v>11.67</v>
      </c>
      <c r="M101" s="172">
        <f t="shared" si="2"/>
        <v>11.67</v>
      </c>
      <c r="N101" s="172">
        <f t="shared" si="3"/>
        <v>0</v>
      </c>
      <c r="O101" s="172" t="s">
        <v>7202</v>
      </c>
      <c r="P101" s="170">
        <v>344.18</v>
      </c>
    </row>
    <row r="102" spans="1:16" ht="22.5" customHeight="1">
      <c r="A102" s="337">
        <v>45621</v>
      </c>
      <c r="B102" s="338">
        <f t="shared" si="0"/>
        <v>2024</v>
      </c>
      <c r="C102" s="338">
        <f t="shared" si="1"/>
        <v>11</v>
      </c>
      <c r="D102" s="339">
        <v>0.77622685185185181</v>
      </c>
      <c r="E102" s="340" t="s">
        <v>256</v>
      </c>
      <c r="F102" s="341" t="s">
        <v>750</v>
      </c>
      <c r="G102" s="341" t="s">
        <v>7046</v>
      </c>
      <c r="H102" s="340" t="s">
        <v>7047</v>
      </c>
      <c r="I102" s="340"/>
      <c r="J102" s="170">
        <v>12.59</v>
      </c>
      <c r="K102" s="170">
        <v>-0.93</v>
      </c>
      <c r="L102" s="170">
        <v>11.66</v>
      </c>
      <c r="M102" s="172">
        <f t="shared" si="2"/>
        <v>11.66</v>
      </c>
      <c r="N102" s="172">
        <f t="shared" si="3"/>
        <v>0</v>
      </c>
      <c r="O102" s="172" t="s">
        <v>7203</v>
      </c>
      <c r="P102" s="170">
        <v>355.84</v>
      </c>
    </row>
    <row r="103" spans="1:16" ht="22.5" customHeight="1">
      <c r="A103" s="337">
        <v>45622</v>
      </c>
      <c r="B103" s="338">
        <f t="shared" si="0"/>
        <v>2024</v>
      </c>
      <c r="C103" s="338">
        <f t="shared" si="1"/>
        <v>11</v>
      </c>
      <c r="D103" s="339">
        <v>0.17337962962962963</v>
      </c>
      <c r="E103" s="340" t="s">
        <v>256</v>
      </c>
      <c r="F103" s="341" t="s">
        <v>7204</v>
      </c>
      <c r="G103" s="341" t="s">
        <v>7046</v>
      </c>
      <c r="H103" s="340" t="s">
        <v>7047</v>
      </c>
      <c r="I103" s="340"/>
      <c r="J103" s="170">
        <v>2.99</v>
      </c>
      <c r="K103" s="170">
        <v>-0.64</v>
      </c>
      <c r="L103" s="170">
        <v>2.35</v>
      </c>
      <c r="M103" s="172">
        <f t="shared" si="2"/>
        <v>2.35</v>
      </c>
      <c r="N103" s="172">
        <f t="shared" si="3"/>
        <v>0</v>
      </c>
      <c r="O103" s="172" t="s">
        <v>7205</v>
      </c>
      <c r="P103" s="170">
        <v>358.19</v>
      </c>
    </row>
    <row r="104" spans="1:16" ht="22.5" customHeight="1">
      <c r="A104" s="337">
        <v>45622</v>
      </c>
      <c r="B104" s="338">
        <f t="shared" si="0"/>
        <v>2024</v>
      </c>
      <c r="C104" s="338">
        <f t="shared" si="1"/>
        <v>11</v>
      </c>
      <c r="D104" s="339">
        <v>0.19168981481481481</v>
      </c>
      <c r="E104" s="340" t="s">
        <v>256</v>
      </c>
      <c r="F104" s="341" t="s">
        <v>763</v>
      </c>
      <c r="G104" s="341" t="s">
        <v>7046</v>
      </c>
      <c r="H104" s="340" t="s">
        <v>7047</v>
      </c>
      <c r="I104" s="340"/>
      <c r="J104" s="170">
        <v>12.59</v>
      </c>
      <c r="K104" s="170">
        <v>-1.1200000000000001</v>
      </c>
      <c r="L104" s="170">
        <v>11.47</v>
      </c>
      <c r="M104" s="172">
        <f t="shared" si="2"/>
        <v>11.47</v>
      </c>
      <c r="N104" s="172">
        <f t="shared" si="3"/>
        <v>0</v>
      </c>
      <c r="O104" s="172" t="s">
        <v>7206</v>
      </c>
      <c r="P104" s="170">
        <v>369.66</v>
      </c>
    </row>
    <row r="105" spans="1:16" ht="22.5" customHeight="1">
      <c r="A105" s="337">
        <v>45622</v>
      </c>
      <c r="B105" s="338">
        <f t="shared" si="0"/>
        <v>2024</v>
      </c>
      <c r="C105" s="338">
        <f t="shared" si="1"/>
        <v>11</v>
      </c>
      <c r="D105" s="339">
        <v>0.26086805555555553</v>
      </c>
      <c r="E105" s="340" t="s">
        <v>256</v>
      </c>
      <c r="F105" s="341" t="s">
        <v>7207</v>
      </c>
      <c r="G105" s="341" t="s">
        <v>7054</v>
      </c>
      <c r="H105" s="340" t="s">
        <v>7047</v>
      </c>
      <c r="I105" s="340"/>
      <c r="J105" s="170">
        <v>12.6</v>
      </c>
      <c r="K105" s="170">
        <v>-0.93</v>
      </c>
      <c r="L105" s="170">
        <v>11.67</v>
      </c>
      <c r="M105" s="172">
        <f t="shared" si="2"/>
        <v>11.67</v>
      </c>
      <c r="N105" s="172">
        <f t="shared" si="3"/>
        <v>0</v>
      </c>
      <c r="O105" s="172" t="s">
        <v>7208</v>
      </c>
      <c r="P105" s="170">
        <v>381.33</v>
      </c>
    </row>
    <row r="106" spans="1:16" ht="22.5" customHeight="1">
      <c r="A106" s="337">
        <v>45622</v>
      </c>
      <c r="B106" s="338">
        <f t="shared" si="0"/>
        <v>2024</v>
      </c>
      <c r="C106" s="338">
        <f t="shared" si="1"/>
        <v>11</v>
      </c>
      <c r="D106" s="339">
        <v>0.85629629629629633</v>
      </c>
      <c r="E106" s="340" t="s">
        <v>256</v>
      </c>
      <c r="F106" s="341" t="s">
        <v>765</v>
      </c>
      <c r="G106" s="341" t="s">
        <v>7046</v>
      </c>
      <c r="H106" s="340" t="s">
        <v>7047</v>
      </c>
      <c r="I106" s="340"/>
      <c r="J106" s="170">
        <v>12.59</v>
      </c>
      <c r="K106" s="170">
        <v>-1.1200000000000001</v>
      </c>
      <c r="L106" s="170">
        <v>11.47</v>
      </c>
      <c r="M106" s="172">
        <f t="shared" si="2"/>
        <v>11.47</v>
      </c>
      <c r="N106" s="172">
        <f t="shared" si="3"/>
        <v>0</v>
      </c>
      <c r="O106" s="172" t="s">
        <v>7209</v>
      </c>
      <c r="P106" s="170">
        <v>392.8</v>
      </c>
    </row>
    <row r="107" spans="1:16" ht="22.5" customHeight="1">
      <c r="A107" s="337">
        <v>45622</v>
      </c>
      <c r="B107" s="338">
        <f t="shared" si="0"/>
        <v>2024</v>
      </c>
      <c r="C107" s="338">
        <f t="shared" si="1"/>
        <v>11</v>
      </c>
      <c r="D107" s="339">
        <v>0.95489583333333339</v>
      </c>
      <c r="E107" s="340" t="s">
        <v>256</v>
      </c>
      <c r="F107" s="341" t="s">
        <v>7180</v>
      </c>
      <c r="G107" s="341" t="s">
        <v>7046</v>
      </c>
      <c r="H107" s="340" t="s">
        <v>7047</v>
      </c>
      <c r="I107" s="340"/>
      <c r="J107" s="170">
        <v>12.59</v>
      </c>
      <c r="K107" s="170">
        <v>-1.1200000000000001</v>
      </c>
      <c r="L107" s="170">
        <v>11.47</v>
      </c>
      <c r="M107" s="172">
        <f t="shared" si="2"/>
        <v>11.47</v>
      </c>
      <c r="N107" s="172">
        <f t="shared" si="3"/>
        <v>0</v>
      </c>
      <c r="O107" s="172" t="s">
        <v>7210</v>
      </c>
      <c r="P107" s="170">
        <v>404.27</v>
      </c>
    </row>
    <row r="108" spans="1:16" ht="22.5" customHeight="1">
      <c r="A108" s="337">
        <v>45623</v>
      </c>
      <c r="B108" s="338">
        <f t="shared" si="0"/>
        <v>2024</v>
      </c>
      <c r="C108" s="338">
        <f t="shared" si="1"/>
        <v>11</v>
      </c>
      <c r="D108" s="339">
        <v>0.19074074074074074</v>
      </c>
      <c r="E108" s="340" t="s">
        <v>256</v>
      </c>
      <c r="F108" s="341" t="s">
        <v>7211</v>
      </c>
      <c r="G108" s="341" t="s">
        <v>7046</v>
      </c>
      <c r="H108" s="340" t="s">
        <v>7047</v>
      </c>
      <c r="I108" s="340"/>
      <c r="J108" s="170">
        <v>12.59</v>
      </c>
      <c r="K108" s="170">
        <v>-1.1200000000000001</v>
      </c>
      <c r="L108" s="170">
        <v>11.47</v>
      </c>
      <c r="M108" s="172">
        <f t="shared" si="2"/>
        <v>11.47</v>
      </c>
      <c r="N108" s="172">
        <f t="shared" si="3"/>
        <v>0</v>
      </c>
      <c r="O108" s="172" t="s">
        <v>7212</v>
      </c>
      <c r="P108" s="170">
        <v>415.74</v>
      </c>
    </row>
    <row r="109" spans="1:16" ht="22.5" customHeight="1">
      <c r="A109" s="337">
        <v>45623</v>
      </c>
      <c r="B109" s="338">
        <f t="shared" si="0"/>
        <v>2024</v>
      </c>
      <c r="C109" s="338">
        <f t="shared" si="1"/>
        <v>11</v>
      </c>
      <c r="D109" s="339">
        <v>0.25906249999999997</v>
      </c>
      <c r="E109" s="340" t="s">
        <v>256</v>
      </c>
      <c r="F109" s="341" t="s">
        <v>753</v>
      </c>
      <c r="G109" s="341" t="s">
        <v>7046</v>
      </c>
      <c r="H109" s="340" t="s">
        <v>7047</v>
      </c>
      <c r="I109" s="340"/>
      <c r="J109" s="170">
        <v>12.59</v>
      </c>
      <c r="K109" s="170">
        <v>-1.1200000000000001</v>
      </c>
      <c r="L109" s="170">
        <v>11.47</v>
      </c>
      <c r="M109" s="172">
        <f t="shared" si="2"/>
        <v>11.47</v>
      </c>
      <c r="N109" s="172">
        <f t="shared" si="3"/>
        <v>0</v>
      </c>
      <c r="O109" s="172" t="s">
        <v>7213</v>
      </c>
      <c r="P109" s="170">
        <v>427.21</v>
      </c>
    </row>
    <row r="110" spans="1:16" ht="22.5" customHeight="1">
      <c r="A110" s="337">
        <v>45623</v>
      </c>
      <c r="B110" s="338">
        <f t="shared" si="0"/>
        <v>2024</v>
      </c>
      <c r="C110" s="338">
        <f t="shared" si="1"/>
        <v>11</v>
      </c>
      <c r="D110" s="339">
        <v>0.30086805555555557</v>
      </c>
      <c r="E110" s="340" t="s">
        <v>256</v>
      </c>
      <c r="F110" s="341" t="s">
        <v>7214</v>
      </c>
      <c r="G110" s="341" t="s">
        <v>7054</v>
      </c>
      <c r="H110" s="340" t="s">
        <v>7047</v>
      </c>
      <c r="I110" s="340"/>
      <c r="J110" s="170">
        <v>12.59</v>
      </c>
      <c r="K110" s="170">
        <v>-1.1200000000000001</v>
      </c>
      <c r="L110" s="170">
        <v>11.47</v>
      </c>
      <c r="M110" s="172">
        <f t="shared" si="2"/>
        <v>11.47</v>
      </c>
      <c r="N110" s="172">
        <f t="shared" si="3"/>
        <v>0</v>
      </c>
      <c r="O110" s="172" t="s">
        <v>7215</v>
      </c>
      <c r="P110" s="170">
        <v>438.68</v>
      </c>
    </row>
    <row r="111" spans="1:16" ht="22.5" customHeight="1">
      <c r="A111" s="337">
        <v>45623</v>
      </c>
      <c r="B111" s="338">
        <f t="shared" si="0"/>
        <v>2024</v>
      </c>
      <c r="C111" s="338">
        <f t="shared" si="1"/>
        <v>11</v>
      </c>
      <c r="D111" s="339">
        <v>0.36498842592592595</v>
      </c>
      <c r="E111" s="340" t="s">
        <v>256</v>
      </c>
      <c r="F111" s="341" t="s">
        <v>7216</v>
      </c>
      <c r="G111" s="341" t="s">
        <v>7054</v>
      </c>
      <c r="H111" s="340" t="s">
        <v>7047</v>
      </c>
      <c r="I111" s="340"/>
      <c r="J111" s="170">
        <v>12.59</v>
      </c>
      <c r="K111" s="170">
        <v>-0.93</v>
      </c>
      <c r="L111" s="170">
        <v>11.66</v>
      </c>
      <c r="M111" s="172">
        <f t="shared" si="2"/>
        <v>11.66</v>
      </c>
      <c r="N111" s="172">
        <f t="shared" si="3"/>
        <v>0</v>
      </c>
      <c r="O111" s="172" t="s">
        <v>7217</v>
      </c>
      <c r="P111" s="170">
        <v>450.34</v>
      </c>
    </row>
    <row r="112" spans="1:16" ht="22.5" customHeight="1">
      <c r="A112" s="337">
        <v>45624</v>
      </c>
      <c r="B112" s="338">
        <f t="shared" si="0"/>
        <v>2024</v>
      </c>
      <c r="C112" s="338">
        <f t="shared" si="1"/>
        <v>11</v>
      </c>
      <c r="D112" s="339">
        <v>0.70917824074074076</v>
      </c>
      <c r="E112" s="340" t="s">
        <v>256</v>
      </c>
      <c r="F112" s="341" t="s">
        <v>7180</v>
      </c>
      <c r="G112" s="341" t="s">
        <v>7046</v>
      </c>
      <c r="H112" s="340" t="s">
        <v>7047</v>
      </c>
      <c r="I112" s="340"/>
      <c r="J112" s="170">
        <v>5.99</v>
      </c>
      <c r="K112" s="170">
        <v>-0.79</v>
      </c>
      <c r="L112" s="170">
        <v>5.2</v>
      </c>
      <c r="M112" s="172">
        <f t="shared" si="2"/>
        <v>5.2</v>
      </c>
      <c r="N112" s="172">
        <f t="shared" si="3"/>
        <v>0</v>
      </c>
      <c r="O112" s="172" t="s">
        <v>7218</v>
      </c>
      <c r="P112" s="170">
        <v>455.54</v>
      </c>
    </row>
    <row r="113" spans="1:16" ht="22.5" customHeight="1">
      <c r="A113" s="337">
        <v>45624</v>
      </c>
      <c r="B113" s="338">
        <f t="shared" si="0"/>
        <v>2024</v>
      </c>
      <c r="C113" s="338">
        <f t="shared" si="1"/>
        <v>11</v>
      </c>
      <c r="D113" s="339">
        <v>0.79216435185185186</v>
      </c>
      <c r="E113" s="340" t="s">
        <v>256</v>
      </c>
      <c r="F113" s="341" t="s">
        <v>319</v>
      </c>
      <c r="G113" s="341" t="s">
        <v>7132</v>
      </c>
      <c r="H113" s="340" t="s">
        <v>7047</v>
      </c>
      <c r="I113" s="340"/>
      <c r="J113" s="170">
        <v>-2.5</v>
      </c>
      <c r="K113" s="170">
        <v>0</v>
      </c>
      <c r="L113" s="170">
        <v>-2.5</v>
      </c>
      <c r="M113" s="172">
        <f t="shared" si="2"/>
        <v>0</v>
      </c>
      <c r="N113" s="172">
        <f t="shared" si="3"/>
        <v>2.5</v>
      </c>
      <c r="O113" s="172" t="s">
        <v>7219</v>
      </c>
      <c r="P113" s="170">
        <v>453.04</v>
      </c>
    </row>
    <row r="114" spans="1:16" ht="22.5" customHeight="1">
      <c r="A114" s="337">
        <v>45625</v>
      </c>
      <c r="B114" s="338">
        <f t="shared" si="0"/>
        <v>2024</v>
      </c>
      <c r="C114" s="338">
        <f t="shared" si="1"/>
        <v>11</v>
      </c>
      <c r="D114" s="339">
        <v>0.20756944444444445</v>
      </c>
      <c r="E114" s="340" t="s">
        <v>256</v>
      </c>
      <c r="F114" s="341" t="s">
        <v>7220</v>
      </c>
      <c r="G114" s="341" t="s">
        <v>7054</v>
      </c>
      <c r="H114" s="340" t="s">
        <v>7047</v>
      </c>
      <c r="I114" s="340"/>
      <c r="J114" s="170">
        <v>12.59</v>
      </c>
      <c r="K114" s="170">
        <v>-1.1200000000000001</v>
      </c>
      <c r="L114" s="170">
        <v>11.47</v>
      </c>
      <c r="M114" s="172">
        <f t="shared" si="2"/>
        <v>11.47</v>
      </c>
      <c r="N114" s="172">
        <f t="shared" si="3"/>
        <v>0</v>
      </c>
      <c r="O114" s="172" t="s">
        <v>7221</v>
      </c>
      <c r="P114" s="170">
        <v>464.51</v>
      </c>
    </row>
    <row r="115" spans="1:16" ht="22.5" customHeight="1">
      <c r="A115" s="337">
        <v>45625</v>
      </c>
      <c r="B115" s="338">
        <f t="shared" si="0"/>
        <v>2024</v>
      </c>
      <c r="C115" s="338">
        <f t="shared" si="1"/>
        <v>11</v>
      </c>
      <c r="D115" s="339">
        <v>0.97059027777777773</v>
      </c>
      <c r="E115" s="340" t="s">
        <v>256</v>
      </c>
      <c r="F115" s="341" t="s">
        <v>775</v>
      </c>
      <c r="G115" s="341" t="s">
        <v>7046</v>
      </c>
      <c r="H115" s="340" t="s">
        <v>7047</v>
      </c>
      <c r="I115" s="340"/>
      <c r="J115" s="170">
        <v>12.59</v>
      </c>
      <c r="K115" s="170">
        <v>-0.93</v>
      </c>
      <c r="L115" s="170">
        <v>11.66</v>
      </c>
      <c r="M115" s="172">
        <f t="shared" si="2"/>
        <v>11.66</v>
      </c>
      <c r="N115" s="172">
        <f t="shared" si="3"/>
        <v>0</v>
      </c>
      <c r="O115" s="172" t="s">
        <v>7222</v>
      </c>
      <c r="P115" s="170">
        <v>476.17</v>
      </c>
    </row>
    <row r="116" spans="1:16" ht="22.5" customHeight="1">
      <c r="A116" s="337">
        <v>45626</v>
      </c>
      <c r="B116" s="338">
        <f t="shared" si="0"/>
        <v>2024</v>
      </c>
      <c r="C116" s="338">
        <f t="shared" si="1"/>
        <v>11</v>
      </c>
      <c r="D116" s="339">
        <v>0.12748842592592594</v>
      </c>
      <c r="E116" s="340" t="s">
        <v>256</v>
      </c>
      <c r="F116" s="341" t="s">
        <v>7223</v>
      </c>
      <c r="G116" s="341" t="s">
        <v>7046</v>
      </c>
      <c r="H116" s="340" t="s">
        <v>7047</v>
      </c>
      <c r="I116" s="340"/>
      <c r="J116" s="170">
        <v>59.99</v>
      </c>
      <c r="K116" s="170">
        <v>-3.48</v>
      </c>
      <c r="L116" s="170">
        <v>56.51</v>
      </c>
      <c r="M116" s="172">
        <f t="shared" si="2"/>
        <v>56.51</v>
      </c>
      <c r="N116" s="172">
        <f t="shared" si="3"/>
        <v>0</v>
      </c>
      <c r="O116" s="172" t="s">
        <v>7224</v>
      </c>
      <c r="P116" s="170">
        <v>532.67999999999995</v>
      </c>
    </row>
    <row r="117" spans="1:16" ht="22.5" customHeight="1">
      <c r="A117" s="337">
        <v>45626</v>
      </c>
      <c r="B117" s="338">
        <f t="shared" si="0"/>
        <v>2024</v>
      </c>
      <c r="C117" s="338">
        <f t="shared" si="1"/>
        <v>11</v>
      </c>
      <c r="D117" s="339">
        <v>0.17707175925925925</v>
      </c>
      <c r="E117" s="340" t="s">
        <v>256</v>
      </c>
      <c r="F117" s="341" t="s">
        <v>7225</v>
      </c>
      <c r="G117" s="341" t="s">
        <v>7054</v>
      </c>
      <c r="H117" s="340" t="s">
        <v>7047</v>
      </c>
      <c r="I117" s="340"/>
      <c r="J117" s="170">
        <v>77.989999999999995</v>
      </c>
      <c r="K117" s="170">
        <v>-3.21</v>
      </c>
      <c r="L117" s="170">
        <v>74.78</v>
      </c>
      <c r="M117" s="172">
        <f t="shared" si="2"/>
        <v>74.78</v>
      </c>
      <c r="N117" s="172">
        <f t="shared" si="3"/>
        <v>0</v>
      </c>
      <c r="O117" s="172" t="s">
        <v>7226</v>
      </c>
      <c r="P117" s="170">
        <v>607.46</v>
      </c>
    </row>
    <row r="118" spans="1:16" ht="22.5" customHeight="1">
      <c r="A118" s="337">
        <v>45626</v>
      </c>
      <c r="B118" s="338">
        <f t="shared" si="0"/>
        <v>2024</v>
      </c>
      <c r="C118" s="338">
        <f t="shared" si="1"/>
        <v>11</v>
      </c>
      <c r="D118" s="339">
        <v>0.18895833333333334</v>
      </c>
      <c r="E118" s="340" t="s">
        <v>256</v>
      </c>
      <c r="F118" s="341" t="s">
        <v>7227</v>
      </c>
      <c r="G118" s="341" t="s">
        <v>7054</v>
      </c>
      <c r="H118" s="340" t="s">
        <v>7047</v>
      </c>
      <c r="I118" s="340"/>
      <c r="J118" s="170">
        <v>12.59</v>
      </c>
      <c r="K118" s="170">
        <v>-0.93</v>
      </c>
      <c r="L118" s="170">
        <v>11.66</v>
      </c>
      <c r="M118" s="172">
        <f t="shared" si="2"/>
        <v>11.66</v>
      </c>
      <c r="N118" s="172">
        <f t="shared" si="3"/>
        <v>0</v>
      </c>
      <c r="O118" s="172" t="s">
        <v>7228</v>
      </c>
      <c r="P118" s="170">
        <v>619.12</v>
      </c>
    </row>
    <row r="119" spans="1:16" ht="22.5" customHeight="1">
      <c r="A119" s="337">
        <v>45626</v>
      </c>
      <c r="B119" s="338">
        <f t="shared" si="0"/>
        <v>2024</v>
      </c>
      <c r="C119" s="338">
        <f t="shared" si="1"/>
        <v>11</v>
      </c>
      <c r="D119" s="339">
        <v>0.26222222222222225</v>
      </c>
      <c r="E119" s="340" t="s">
        <v>256</v>
      </c>
      <c r="F119" s="341" t="s">
        <v>332</v>
      </c>
      <c r="G119" s="341" t="s">
        <v>7046</v>
      </c>
      <c r="H119" s="340" t="s">
        <v>7047</v>
      </c>
      <c r="I119" s="340"/>
      <c r="J119" s="170">
        <v>1.0900000000000001</v>
      </c>
      <c r="K119" s="170">
        <v>-0.54</v>
      </c>
      <c r="L119" s="170">
        <v>0.55000000000000004</v>
      </c>
      <c r="M119" s="172">
        <f t="shared" si="2"/>
        <v>0.55000000000000004</v>
      </c>
      <c r="N119" s="172">
        <f t="shared" si="3"/>
        <v>0</v>
      </c>
      <c r="O119" s="172" t="s">
        <v>7229</v>
      </c>
      <c r="P119" s="170">
        <v>619.66999999999996</v>
      </c>
    </row>
    <row r="120" spans="1:16" ht="22.5" customHeight="1">
      <c r="A120" s="342">
        <v>45334</v>
      </c>
      <c r="B120" s="338">
        <f t="shared" si="0"/>
        <v>2024</v>
      </c>
      <c r="C120" s="160">
        <v>12</v>
      </c>
      <c r="D120" s="343">
        <v>3.1354166666666669E-2</v>
      </c>
      <c r="E120" s="160" t="s">
        <v>256</v>
      </c>
      <c r="F120" s="344" t="s">
        <v>7230</v>
      </c>
      <c r="G120" s="344" t="s">
        <v>7054</v>
      </c>
      <c r="H120" s="160" t="s">
        <v>7047</v>
      </c>
      <c r="I120" s="160" t="s">
        <v>45</v>
      </c>
      <c r="J120" s="162">
        <v>12.59</v>
      </c>
      <c r="K120" s="162">
        <v>-0.93</v>
      </c>
      <c r="L120" s="162">
        <v>11.66</v>
      </c>
      <c r="M120" s="172">
        <f t="shared" si="2"/>
        <v>11.66</v>
      </c>
      <c r="N120" s="172">
        <f t="shared" si="3"/>
        <v>0</v>
      </c>
      <c r="O120" s="162" t="s">
        <v>7231</v>
      </c>
      <c r="P120" s="162">
        <v>631.33000000000004</v>
      </c>
    </row>
    <row r="121" spans="1:16" ht="22.5" customHeight="1">
      <c r="A121" s="342">
        <v>45334</v>
      </c>
      <c r="B121" s="338">
        <f t="shared" si="0"/>
        <v>2024</v>
      </c>
      <c r="C121" s="160">
        <v>12</v>
      </c>
      <c r="D121" s="343">
        <v>0.84699074074074077</v>
      </c>
      <c r="E121" s="160" t="s">
        <v>256</v>
      </c>
      <c r="F121" s="344" t="s">
        <v>7164</v>
      </c>
      <c r="G121" s="344" t="s">
        <v>7054</v>
      </c>
      <c r="H121" s="160" t="s">
        <v>7047</v>
      </c>
      <c r="I121" s="160" t="s">
        <v>45</v>
      </c>
      <c r="J121" s="162">
        <v>1.99</v>
      </c>
      <c r="K121" s="162">
        <v>-0.59</v>
      </c>
      <c r="L121" s="162">
        <v>1.4</v>
      </c>
      <c r="M121" s="172">
        <f t="shared" si="2"/>
        <v>1.4</v>
      </c>
      <c r="N121" s="172">
        <f t="shared" si="3"/>
        <v>0</v>
      </c>
      <c r="O121" s="162" t="s">
        <v>7232</v>
      </c>
      <c r="P121" s="162">
        <v>632.73</v>
      </c>
    </row>
    <row r="122" spans="1:16" ht="22.5" customHeight="1">
      <c r="A122" s="342">
        <v>45363</v>
      </c>
      <c r="B122" s="338">
        <f t="shared" si="0"/>
        <v>2024</v>
      </c>
      <c r="C122" s="160">
        <v>12</v>
      </c>
      <c r="D122" s="343">
        <v>0.12131944444444444</v>
      </c>
      <c r="E122" s="160" t="s">
        <v>256</v>
      </c>
      <c r="F122" s="344" t="s">
        <v>7233</v>
      </c>
      <c r="G122" s="344" t="s">
        <v>7046</v>
      </c>
      <c r="H122" s="160" t="s">
        <v>7047</v>
      </c>
      <c r="I122" s="160" t="s">
        <v>45</v>
      </c>
      <c r="J122" s="162">
        <v>16.79</v>
      </c>
      <c r="K122" s="162">
        <v>-1.33</v>
      </c>
      <c r="L122" s="162">
        <v>15.46</v>
      </c>
      <c r="M122" s="172">
        <f t="shared" si="2"/>
        <v>15.46</v>
      </c>
      <c r="N122" s="172">
        <f t="shared" si="3"/>
        <v>0</v>
      </c>
      <c r="O122" s="162" t="s">
        <v>7234</v>
      </c>
      <c r="P122" s="162">
        <v>648.19000000000005</v>
      </c>
    </row>
    <row r="123" spans="1:16" ht="22.5" customHeight="1">
      <c r="A123" s="342">
        <v>45363</v>
      </c>
      <c r="B123" s="338">
        <f t="shared" si="0"/>
        <v>2024</v>
      </c>
      <c r="C123" s="160">
        <v>12</v>
      </c>
      <c r="D123" s="343">
        <v>0.17159722222222223</v>
      </c>
      <c r="E123" s="160" t="s">
        <v>256</v>
      </c>
      <c r="F123" s="344" t="s">
        <v>7235</v>
      </c>
      <c r="G123" s="344" t="s">
        <v>7054</v>
      </c>
      <c r="H123" s="160" t="s">
        <v>7047</v>
      </c>
      <c r="I123" s="160" t="s">
        <v>45</v>
      </c>
      <c r="J123" s="162">
        <v>12.59</v>
      </c>
      <c r="K123" s="162">
        <v>-1.1200000000000001</v>
      </c>
      <c r="L123" s="162">
        <v>11.47</v>
      </c>
      <c r="M123" s="172">
        <f t="shared" si="2"/>
        <v>11.47</v>
      </c>
      <c r="N123" s="172">
        <f t="shared" si="3"/>
        <v>0</v>
      </c>
      <c r="O123" s="162" t="s">
        <v>7236</v>
      </c>
      <c r="P123" s="162">
        <v>659.66</v>
      </c>
    </row>
    <row r="124" spans="1:16" ht="22.5" customHeight="1">
      <c r="A124" s="342">
        <v>45363</v>
      </c>
      <c r="B124" s="338">
        <f t="shared" si="0"/>
        <v>2024</v>
      </c>
      <c r="C124" s="160">
        <v>12</v>
      </c>
      <c r="D124" s="343">
        <v>0.25140046296296298</v>
      </c>
      <c r="E124" s="160" t="s">
        <v>256</v>
      </c>
      <c r="F124" s="344" t="s">
        <v>848</v>
      </c>
      <c r="G124" s="344" t="s">
        <v>7046</v>
      </c>
      <c r="H124" s="160" t="s">
        <v>7047</v>
      </c>
      <c r="I124" s="160" t="s">
        <v>45</v>
      </c>
      <c r="J124" s="162">
        <v>16.79</v>
      </c>
      <c r="K124" s="162">
        <v>-1.08</v>
      </c>
      <c r="L124" s="162">
        <v>15.71</v>
      </c>
      <c r="M124" s="172">
        <f t="shared" si="2"/>
        <v>15.71</v>
      </c>
      <c r="N124" s="172">
        <f t="shared" si="3"/>
        <v>0</v>
      </c>
      <c r="O124" s="162" t="s">
        <v>7237</v>
      </c>
      <c r="P124" s="162">
        <v>675.37</v>
      </c>
    </row>
    <row r="125" spans="1:16" ht="22.5" customHeight="1">
      <c r="A125" s="342">
        <v>45363</v>
      </c>
      <c r="B125" s="338">
        <f t="shared" si="0"/>
        <v>2024</v>
      </c>
      <c r="C125" s="160">
        <v>12</v>
      </c>
      <c r="D125" s="343">
        <v>0.25355324074074076</v>
      </c>
      <c r="E125" s="160" t="s">
        <v>256</v>
      </c>
      <c r="F125" s="344" t="s">
        <v>7238</v>
      </c>
      <c r="G125" s="344" t="s">
        <v>7046</v>
      </c>
      <c r="H125" s="160" t="s">
        <v>7047</v>
      </c>
      <c r="I125" s="160" t="s">
        <v>45</v>
      </c>
      <c r="J125" s="162">
        <v>20.99</v>
      </c>
      <c r="K125" s="162">
        <v>-1.22</v>
      </c>
      <c r="L125" s="162">
        <v>19.77</v>
      </c>
      <c r="M125" s="172">
        <f t="shared" si="2"/>
        <v>19.77</v>
      </c>
      <c r="N125" s="172">
        <f t="shared" si="3"/>
        <v>0</v>
      </c>
      <c r="O125" s="162" t="s">
        <v>7239</v>
      </c>
      <c r="P125" s="162">
        <v>695.14</v>
      </c>
    </row>
    <row r="126" spans="1:16" ht="22.5" customHeight="1">
      <c r="A126" s="342">
        <v>45394</v>
      </c>
      <c r="B126" s="338">
        <f t="shared" si="0"/>
        <v>2024</v>
      </c>
      <c r="C126" s="160">
        <v>12</v>
      </c>
      <c r="D126" s="343">
        <v>0.25914351851851852</v>
      </c>
      <c r="E126" s="160" t="s">
        <v>256</v>
      </c>
      <c r="F126" s="344" t="s">
        <v>791</v>
      </c>
      <c r="G126" s="344" t="s">
        <v>7046</v>
      </c>
      <c r="H126" s="160" t="s">
        <v>7047</v>
      </c>
      <c r="I126" s="160" t="s">
        <v>45</v>
      </c>
      <c r="J126" s="162">
        <v>16.8</v>
      </c>
      <c r="K126" s="162">
        <v>-1.33</v>
      </c>
      <c r="L126" s="162">
        <v>15.47</v>
      </c>
      <c r="M126" s="172">
        <f t="shared" si="2"/>
        <v>15.47</v>
      </c>
      <c r="N126" s="172">
        <f t="shared" si="3"/>
        <v>0</v>
      </c>
      <c r="O126" s="162" t="s">
        <v>7240</v>
      </c>
      <c r="P126" s="162">
        <v>710.61</v>
      </c>
    </row>
    <row r="127" spans="1:16" ht="22.5" customHeight="1">
      <c r="A127" s="342">
        <v>45394</v>
      </c>
      <c r="B127" s="338">
        <f t="shared" si="0"/>
        <v>2024</v>
      </c>
      <c r="C127" s="160">
        <v>12</v>
      </c>
      <c r="D127" s="343">
        <v>0.93106481481481485</v>
      </c>
      <c r="E127" s="160" t="s">
        <v>256</v>
      </c>
      <c r="F127" s="344" t="s">
        <v>268</v>
      </c>
      <c r="G127" s="344" t="s">
        <v>7046</v>
      </c>
      <c r="H127" s="160" t="s">
        <v>7047</v>
      </c>
      <c r="I127" s="160" t="s">
        <v>45</v>
      </c>
      <c r="J127" s="162">
        <v>11.99</v>
      </c>
      <c r="K127" s="162">
        <v>-0.91</v>
      </c>
      <c r="L127" s="162">
        <v>11.08</v>
      </c>
      <c r="M127" s="172">
        <f t="shared" si="2"/>
        <v>11.08</v>
      </c>
      <c r="N127" s="172">
        <f t="shared" si="3"/>
        <v>0</v>
      </c>
      <c r="O127" s="162" t="s">
        <v>7241</v>
      </c>
      <c r="P127" s="162">
        <v>721.69</v>
      </c>
    </row>
    <row r="128" spans="1:16" ht="22.5" customHeight="1">
      <c r="A128" s="342">
        <v>45394</v>
      </c>
      <c r="B128" s="338">
        <f t="shared" si="0"/>
        <v>2024</v>
      </c>
      <c r="C128" s="160">
        <v>12</v>
      </c>
      <c r="D128" s="343">
        <v>0.98645833333333333</v>
      </c>
      <c r="E128" s="160" t="s">
        <v>256</v>
      </c>
      <c r="F128" s="344" t="s">
        <v>781</v>
      </c>
      <c r="G128" s="344" t="s">
        <v>7046</v>
      </c>
      <c r="H128" s="160" t="s">
        <v>7047</v>
      </c>
      <c r="I128" s="160" t="s">
        <v>45</v>
      </c>
      <c r="J128" s="162">
        <v>23.99</v>
      </c>
      <c r="K128" s="162">
        <v>-1.33</v>
      </c>
      <c r="L128" s="162">
        <v>22.66</v>
      </c>
      <c r="M128" s="172">
        <f t="shared" si="2"/>
        <v>22.66</v>
      </c>
      <c r="N128" s="172">
        <f t="shared" si="3"/>
        <v>0</v>
      </c>
      <c r="O128" s="162" t="s">
        <v>7242</v>
      </c>
      <c r="P128" s="162">
        <v>744.35</v>
      </c>
    </row>
    <row r="129" spans="1:16" ht="22.5" customHeight="1">
      <c r="A129" s="342">
        <v>45424</v>
      </c>
      <c r="B129" s="338">
        <f t="shared" si="0"/>
        <v>2024</v>
      </c>
      <c r="C129" s="160">
        <v>12</v>
      </c>
      <c r="D129" s="343">
        <v>0.18258101851851852</v>
      </c>
      <c r="E129" s="160" t="s">
        <v>256</v>
      </c>
      <c r="F129" s="344" t="s">
        <v>300</v>
      </c>
      <c r="G129" s="344" t="s">
        <v>7054</v>
      </c>
      <c r="H129" s="160" t="s">
        <v>7047</v>
      </c>
      <c r="I129" s="160" t="s">
        <v>45</v>
      </c>
      <c r="J129" s="162">
        <v>1.0900000000000001</v>
      </c>
      <c r="K129" s="162">
        <v>-0.54</v>
      </c>
      <c r="L129" s="162">
        <v>0.55000000000000004</v>
      </c>
      <c r="M129" s="172">
        <f t="shared" si="2"/>
        <v>0.55000000000000004</v>
      </c>
      <c r="N129" s="172">
        <f t="shared" si="3"/>
        <v>0</v>
      </c>
      <c r="O129" s="162" t="s">
        <v>7243</v>
      </c>
      <c r="P129" s="162">
        <v>744.9</v>
      </c>
    </row>
    <row r="130" spans="1:16" ht="22.5" customHeight="1">
      <c r="A130" s="342">
        <v>45424</v>
      </c>
      <c r="B130" s="338">
        <f t="shared" si="0"/>
        <v>2024</v>
      </c>
      <c r="C130" s="160">
        <v>12</v>
      </c>
      <c r="D130" s="343">
        <v>0.19854166666666667</v>
      </c>
      <c r="E130" s="160" t="s">
        <v>256</v>
      </c>
      <c r="F130" s="344" t="s">
        <v>7244</v>
      </c>
      <c r="G130" s="344" t="s">
        <v>7046</v>
      </c>
      <c r="H130" s="160" t="s">
        <v>7047</v>
      </c>
      <c r="I130" s="160" t="s">
        <v>45</v>
      </c>
      <c r="J130" s="162">
        <v>23.99</v>
      </c>
      <c r="K130" s="162">
        <v>-1.69</v>
      </c>
      <c r="L130" s="162">
        <v>22.3</v>
      </c>
      <c r="M130" s="172">
        <f t="shared" si="2"/>
        <v>22.3</v>
      </c>
      <c r="N130" s="172">
        <f t="shared" si="3"/>
        <v>0</v>
      </c>
      <c r="O130" s="162" t="s">
        <v>7245</v>
      </c>
      <c r="P130" s="162">
        <v>767.2</v>
      </c>
    </row>
    <row r="131" spans="1:16" ht="22.5" customHeight="1">
      <c r="A131" s="342">
        <v>45424</v>
      </c>
      <c r="B131" s="338">
        <f t="shared" si="0"/>
        <v>2024</v>
      </c>
      <c r="C131" s="160">
        <v>12</v>
      </c>
      <c r="D131" s="343">
        <v>0.71692129629629631</v>
      </c>
      <c r="E131" s="160" t="s">
        <v>256</v>
      </c>
      <c r="F131" s="344" t="s">
        <v>7246</v>
      </c>
      <c r="G131" s="344" t="s">
        <v>7046</v>
      </c>
      <c r="H131" s="160" t="s">
        <v>7047</v>
      </c>
      <c r="I131" s="160" t="s">
        <v>45</v>
      </c>
      <c r="J131" s="162">
        <v>8.99</v>
      </c>
      <c r="K131" s="162">
        <v>-0.94</v>
      </c>
      <c r="L131" s="162">
        <v>8.0500000000000007</v>
      </c>
      <c r="M131" s="172">
        <f t="shared" si="2"/>
        <v>8.0500000000000007</v>
      </c>
      <c r="N131" s="172">
        <f t="shared" si="3"/>
        <v>0</v>
      </c>
      <c r="O131" s="162" t="s">
        <v>7247</v>
      </c>
      <c r="P131" s="162">
        <v>775.25</v>
      </c>
    </row>
    <row r="132" spans="1:16" ht="22.5" customHeight="1">
      <c r="A132" s="342">
        <v>45424</v>
      </c>
      <c r="B132" s="338">
        <f t="shared" si="0"/>
        <v>2024</v>
      </c>
      <c r="C132" s="160">
        <v>12</v>
      </c>
      <c r="D132" s="343">
        <v>0.90524305555555551</v>
      </c>
      <c r="E132" s="160" t="s">
        <v>256</v>
      </c>
      <c r="F132" s="344"/>
      <c r="G132" s="344" t="s">
        <v>7156</v>
      </c>
      <c r="H132" s="160" t="s">
        <v>7047</v>
      </c>
      <c r="I132" s="160" t="s">
        <v>45</v>
      </c>
      <c r="J132" s="162">
        <v>-500</v>
      </c>
      <c r="K132" s="162">
        <v>0</v>
      </c>
      <c r="L132" s="162">
        <v>-500</v>
      </c>
      <c r="M132" s="172">
        <f t="shared" si="2"/>
        <v>0</v>
      </c>
      <c r="N132" s="172">
        <f t="shared" si="3"/>
        <v>500</v>
      </c>
      <c r="O132" s="162" t="s">
        <v>7248</v>
      </c>
      <c r="P132" s="162">
        <v>275.25</v>
      </c>
    </row>
    <row r="133" spans="1:16" ht="22.5" customHeight="1">
      <c r="A133" s="342">
        <v>45455</v>
      </c>
      <c r="B133" s="338">
        <f t="shared" si="0"/>
        <v>2024</v>
      </c>
      <c r="C133" s="160">
        <v>12</v>
      </c>
      <c r="D133" s="343">
        <v>0.15081018518518519</v>
      </c>
      <c r="E133" s="160" t="s">
        <v>256</v>
      </c>
      <c r="F133" s="344" t="s">
        <v>278</v>
      </c>
      <c r="G133" s="344" t="s">
        <v>7046</v>
      </c>
      <c r="H133" s="160" t="s">
        <v>7047</v>
      </c>
      <c r="I133" s="160" t="s">
        <v>45</v>
      </c>
      <c r="J133" s="162">
        <v>2.99</v>
      </c>
      <c r="K133" s="162">
        <v>-0.64</v>
      </c>
      <c r="L133" s="162">
        <v>2.35</v>
      </c>
      <c r="M133" s="172">
        <f t="shared" si="2"/>
        <v>2.35</v>
      </c>
      <c r="N133" s="172">
        <f t="shared" si="3"/>
        <v>0</v>
      </c>
      <c r="O133" s="162" t="s">
        <v>7249</v>
      </c>
      <c r="P133" s="162">
        <v>277.60000000000002</v>
      </c>
    </row>
    <row r="134" spans="1:16" ht="22.5" customHeight="1">
      <c r="A134" s="342">
        <v>45455</v>
      </c>
      <c r="B134" s="338">
        <f t="shared" si="0"/>
        <v>2024</v>
      </c>
      <c r="C134" s="160">
        <v>12</v>
      </c>
      <c r="D134" s="343">
        <v>0.41850694444444442</v>
      </c>
      <c r="E134" s="160" t="s">
        <v>256</v>
      </c>
      <c r="F134" s="344" t="s">
        <v>7246</v>
      </c>
      <c r="G134" s="344" t="s">
        <v>7046</v>
      </c>
      <c r="H134" s="160" t="s">
        <v>7047</v>
      </c>
      <c r="I134" s="160" t="s">
        <v>45</v>
      </c>
      <c r="J134" s="162">
        <v>23.99</v>
      </c>
      <c r="K134" s="162">
        <v>-1.69</v>
      </c>
      <c r="L134" s="162">
        <v>22.3</v>
      </c>
      <c r="M134" s="172">
        <f t="shared" si="2"/>
        <v>22.3</v>
      </c>
      <c r="N134" s="172">
        <f t="shared" si="3"/>
        <v>0</v>
      </c>
      <c r="O134" s="162" t="s">
        <v>7250</v>
      </c>
      <c r="P134" s="162">
        <v>299.89999999999998</v>
      </c>
    </row>
    <row r="135" spans="1:16" ht="22.5" customHeight="1">
      <c r="A135" s="342">
        <v>45455</v>
      </c>
      <c r="B135" s="338">
        <f t="shared" si="0"/>
        <v>2024</v>
      </c>
      <c r="C135" s="160">
        <v>12</v>
      </c>
      <c r="D135" s="343">
        <v>0.78443287037037035</v>
      </c>
      <c r="E135" s="160" t="s">
        <v>256</v>
      </c>
      <c r="F135" s="344" t="s">
        <v>276</v>
      </c>
      <c r="G135" s="344" t="s">
        <v>7046</v>
      </c>
      <c r="H135" s="160" t="s">
        <v>7047</v>
      </c>
      <c r="I135" s="160" t="s">
        <v>45</v>
      </c>
      <c r="J135" s="162">
        <v>4.99</v>
      </c>
      <c r="K135" s="162">
        <v>-0.74</v>
      </c>
      <c r="L135" s="162">
        <v>4.25</v>
      </c>
      <c r="M135" s="172">
        <f t="shared" si="2"/>
        <v>4.25</v>
      </c>
      <c r="N135" s="172">
        <f t="shared" si="3"/>
        <v>0</v>
      </c>
      <c r="O135" s="162" t="s">
        <v>7251</v>
      </c>
      <c r="P135" s="162">
        <v>304.14999999999998</v>
      </c>
    </row>
    <row r="136" spans="1:16" ht="22.5" customHeight="1">
      <c r="A136" s="342">
        <v>45485</v>
      </c>
      <c r="B136" s="338">
        <f t="shared" si="0"/>
        <v>2024</v>
      </c>
      <c r="C136" s="160">
        <v>12</v>
      </c>
      <c r="D136" s="343">
        <v>0.39127314814814818</v>
      </c>
      <c r="E136" s="160" t="s">
        <v>256</v>
      </c>
      <c r="F136" s="344" t="s">
        <v>7252</v>
      </c>
      <c r="G136" s="344" t="s">
        <v>7054</v>
      </c>
      <c r="H136" s="160" t="s">
        <v>7047</v>
      </c>
      <c r="I136" s="160" t="s">
        <v>45</v>
      </c>
      <c r="J136" s="162">
        <v>16.79</v>
      </c>
      <c r="K136" s="162">
        <v>-1.33</v>
      </c>
      <c r="L136" s="162">
        <v>15.46</v>
      </c>
      <c r="M136" s="172">
        <f t="shared" si="2"/>
        <v>15.46</v>
      </c>
      <c r="N136" s="172">
        <f t="shared" si="3"/>
        <v>0</v>
      </c>
      <c r="O136" s="162" t="s">
        <v>7253</v>
      </c>
      <c r="P136" s="162">
        <v>319.61</v>
      </c>
    </row>
    <row r="137" spans="1:16" ht="22.5" customHeight="1">
      <c r="A137" s="342">
        <v>45516</v>
      </c>
      <c r="B137" s="338">
        <f t="shared" si="0"/>
        <v>2024</v>
      </c>
      <c r="C137" s="160">
        <v>12</v>
      </c>
      <c r="D137" s="343">
        <v>0.90391203703703704</v>
      </c>
      <c r="E137" s="160" t="s">
        <v>256</v>
      </c>
      <c r="F137" s="344" t="s">
        <v>278</v>
      </c>
      <c r="G137" s="344" t="s">
        <v>7116</v>
      </c>
      <c r="H137" s="160" t="s">
        <v>7047</v>
      </c>
      <c r="I137" s="160" t="s">
        <v>45</v>
      </c>
      <c r="J137" s="162">
        <v>-2.4900000000000002</v>
      </c>
      <c r="K137" s="162">
        <v>0.14000000000000001</v>
      </c>
      <c r="L137" s="162">
        <v>-2.35</v>
      </c>
      <c r="M137" s="172">
        <f t="shared" si="2"/>
        <v>0</v>
      </c>
      <c r="N137" s="172">
        <f t="shared" si="3"/>
        <v>2.35</v>
      </c>
      <c r="O137" s="162" t="s">
        <v>7254</v>
      </c>
      <c r="P137" s="162">
        <v>317.26</v>
      </c>
    </row>
    <row r="138" spans="1:16" ht="22.5" customHeight="1">
      <c r="A138" s="342">
        <v>45516</v>
      </c>
      <c r="B138" s="338">
        <f t="shared" si="0"/>
        <v>2024</v>
      </c>
      <c r="C138" s="160">
        <v>12</v>
      </c>
      <c r="D138" s="343">
        <v>0.90754629629629635</v>
      </c>
      <c r="E138" s="160" t="s">
        <v>256</v>
      </c>
      <c r="F138" s="344" t="s">
        <v>276</v>
      </c>
      <c r="G138" s="344" t="s">
        <v>7116</v>
      </c>
      <c r="H138" s="160" t="s">
        <v>7047</v>
      </c>
      <c r="I138" s="160" t="s">
        <v>45</v>
      </c>
      <c r="J138" s="162">
        <v>-4.49</v>
      </c>
      <c r="K138" s="162">
        <v>0.24</v>
      </c>
      <c r="L138" s="162">
        <v>-4.25</v>
      </c>
      <c r="M138" s="172">
        <f t="shared" si="2"/>
        <v>0</v>
      </c>
      <c r="N138" s="172">
        <f t="shared" si="3"/>
        <v>4.25</v>
      </c>
      <c r="O138" s="162" t="s">
        <v>7255</v>
      </c>
      <c r="P138" s="162">
        <v>313.01</v>
      </c>
    </row>
    <row r="139" spans="1:16" ht="22.5" customHeight="1">
      <c r="A139" s="342">
        <v>45547</v>
      </c>
      <c r="B139" s="338">
        <f t="shared" si="0"/>
        <v>2024</v>
      </c>
      <c r="C139" s="160">
        <v>12</v>
      </c>
      <c r="D139" s="343">
        <v>9.7418981481481481E-2</v>
      </c>
      <c r="E139" s="160" t="s">
        <v>256</v>
      </c>
      <c r="F139" s="344" t="s">
        <v>7256</v>
      </c>
      <c r="G139" s="344" t="s">
        <v>7054</v>
      </c>
      <c r="H139" s="160" t="s">
        <v>7047</v>
      </c>
      <c r="I139" s="160" t="s">
        <v>45</v>
      </c>
      <c r="J139" s="162">
        <v>23.99</v>
      </c>
      <c r="K139" s="162">
        <v>-1.69</v>
      </c>
      <c r="L139" s="162">
        <v>22.3</v>
      </c>
      <c r="M139" s="172">
        <f t="shared" si="2"/>
        <v>22.3</v>
      </c>
      <c r="N139" s="172">
        <f t="shared" si="3"/>
        <v>0</v>
      </c>
      <c r="O139" s="162" t="s">
        <v>7257</v>
      </c>
      <c r="P139" s="162">
        <v>335.31</v>
      </c>
    </row>
    <row r="140" spans="1:16" ht="22.5" customHeight="1">
      <c r="A140" s="342">
        <v>45547</v>
      </c>
      <c r="B140" s="338">
        <f t="shared" si="0"/>
        <v>2024</v>
      </c>
      <c r="C140" s="160">
        <v>12</v>
      </c>
      <c r="D140" s="343">
        <v>0.12025462962962963</v>
      </c>
      <c r="E140" s="160" t="s">
        <v>256</v>
      </c>
      <c r="F140" s="344" t="s">
        <v>843</v>
      </c>
      <c r="G140" s="344" t="s">
        <v>7046</v>
      </c>
      <c r="H140" s="160" t="s">
        <v>7047</v>
      </c>
      <c r="I140" s="160" t="s">
        <v>45</v>
      </c>
      <c r="J140" s="162">
        <v>23.99</v>
      </c>
      <c r="K140" s="162">
        <v>-1.33</v>
      </c>
      <c r="L140" s="162">
        <v>22.66</v>
      </c>
      <c r="M140" s="172">
        <f t="shared" si="2"/>
        <v>22.66</v>
      </c>
      <c r="N140" s="172">
        <f t="shared" si="3"/>
        <v>0</v>
      </c>
      <c r="O140" s="162" t="s">
        <v>7258</v>
      </c>
      <c r="P140" s="162">
        <v>357.97</v>
      </c>
    </row>
    <row r="141" spans="1:16" ht="22.5" customHeight="1">
      <c r="A141" s="342">
        <v>45547</v>
      </c>
      <c r="B141" s="338">
        <f t="shared" si="0"/>
        <v>2024</v>
      </c>
      <c r="C141" s="160">
        <v>12</v>
      </c>
      <c r="D141" s="343">
        <v>0.25594907407407408</v>
      </c>
      <c r="E141" s="160" t="s">
        <v>256</v>
      </c>
      <c r="F141" s="344" t="s">
        <v>800</v>
      </c>
      <c r="G141" s="344" t="s">
        <v>7046</v>
      </c>
      <c r="H141" s="160" t="s">
        <v>7047</v>
      </c>
      <c r="I141" s="160" t="s">
        <v>45</v>
      </c>
      <c r="J141" s="162">
        <v>11.99</v>
      </c>
      <c r="K141" s="162">
        <v>-1.0900000000000001</v>
      </c>
      <c r="L141" s="162">
        <v>10.9</v>
      </c>
      <c r="M141" s="172">
        <f t="shared" si="2"/>
        <v>10.9</v>
      </c>
      <c r="N141" s="172">
        <f t="shared" si="3"/>
        <v>0</v>
      </c>
      <c r="O141" s="162" t="s">
        <v>7259</v>
      </c>
      <c r="P141" s="162">
        <v>368.87</v>
      </c>
    </row>
    <row r="142" spans="1:16" ht="22.5" customHeight="1">
      <c r="A142" s="342">
        <v>45547</v>
      </c>
      <c r="B142" s="338">
        <f t="shared" si="0"/>
        <v>2024</v>
      </c>
      <c r="C142" s="160">
        <v>12</v>
      </c>
      <c r="D142" s="343">
        <v>0.76465277777777774</v>
      </c>
      <c r="E142" s="160" t="s">
        <v>256</v>
      </c>
      <c r="F142" s="344" t="s">
        <v>7260</v>
      </c>
      <c r="G142" s="344" t="s">
        <v>7046</v>
      </c>
      <c r="H142" s="160" t="s">
        <v>7047</v>
      </c>
      <c r="I142" s="160" t="s">
        <v>45</v>
      </c>
      <c r="J142" s="162">
        <v>35.99</v>
      </c>
      <c r="K142" s="162">
        <v>-2.29</v>
      </c>
      <c r="L142" s="162">
        <v>33.700000000000003</v>
      </c>
      <c r="M142" s="172">
        <f t="shared" si="2"/>
        <v>33.700000000000003</v>
      </c>
      <c r="N142" s="172">
        <f t="shared" si="3"/>
        <v>0</v>
      </c>
      <c r="O142" s="162" t="s">
        <v>7261</v>
      </c>
      <c r="P142" s="162">
        <v>402.57</v>
      </c>
    </row>
    <row r="143" spans="1:16" ht="22.5" customHeight="1">
      <c r="A143" s="342">
        <v>45577</v>
      </c>
      <c r="B143" s="338">
        <f t="shared" si="0"/>
        <v>2024</v>
      </c>
      <c r="C143" s="160">
        <v>12</v>
      </c>
      <c r="D143" s="343">
        <v>9.9398148148148152E-2</v>
      </c>
      <c r="E143" s="160" t="s">
        <v>256</v>
      </c>
      <c r="F143" s="344" t="s">
        <v>272</v>
      </c>
      <c r="G143" s="344" t="s">
        <v>7046</v>
      </c>
      <c r="H143" s="160" t="s">
        <v>7047</v>
      </c>
      <c r="I143" s="160" t="s">
        <v>45</v>
      </c>
      <c r="J143" s="162">
        <v>4.99</v>
      </c>
      <c r="K143" s="162">
        <v>-0.66</v>
      </c>
      <c r="L143" s="162">
        <v>4.33</v>
      </c>
      <c r="M143" s="172">
        <f t="shared" si="2"/>
        <v>4.33</v>
      </c>
      <c r="N143" s="172">
        <f t="shared" si="3"/>
        <v>0</v>
      </c>
      <c r="O143" s="162" t="s">
        <v>7262</v>
      </c>
      <c r="P143" s="162">
        <v>406.9</v>
      </c>
    </row>
    <row r="144" spans="1:16" ht="22.5" customHeight="1">
      <c r="A144" s="342">
        <v>45577</v>
      </c>
      <c r="B144" s="338">
        <f t="shared" si="0"/>
        <v>2024</v>
      </c>
      <c r="C144" s="160">
        <v>12</v>
      </c>
      <c r="D144" s="343">
        <v>0.16695601851851852</v>
      </c>
      <c r="E144" s="160" t="s">
        <v>256</v>
      </c>
      <c r="F144" s="344" t="s">
        <v>272</v>
      </c>
      <c r="G144" s="344" t="s">
        <v>7116</v>
      </c>
      <c r="H144" s="160" t="s">
        <v>7047</v>
      </c>
      <c r="I144" s="160" t="s">
        <v>45</v>
      </c>
      <c r="J144" s="162">
        <v>-4.99</v>
      </c>
      <c r="K144" s="162">
        <v>0.17</v>
      </c>
      <c r="L144" s="162">
        <v>-4.82</v>
      </c>
      <c r="M144" s="172">
        <f t="shared" si="2"/>
        <v>0</v>
      </c>
      <c r="N144" s="172">
        <f t="shared" si="3"/>
        <v>4.82</v>
      </c>
      <c r="O144" s="162" t="s">
        <v>7263</v>
      </c>
      <c r="P144" s="162">
        <v>402.08</v>
      </c>
    </row>
    <row r="145" spans="1:16" ht="22.5" customHeight="1">
      <c r="A145" s="342">
        <v>45577</v>
      </c>
      <c r="B145" s="338">
        <f t="shared" si="0"/>
        <v>2024</v>
      </c>
      <c r="C145" s="160">
        <v>12</v>
      </c>
      <c r="D145" s="343">
        <v>0.78282407407407406</v>
      </c>
      <c r="E145" s="160" t="s">
        <v>256</v>
      </c>
      <c r="F145" s="344" t="s">
        <v>9</v>
      </c>
      <c r="G145" s="344" t="s">
        <v>7090</v>
      </c>
      <c r="H145" s="160" t="s">
        <v>158</v>
      </c>
      <c r="I145" s="160" t="s">
        <v>45</v>
      </c>
      <c r="J145" s="162">
        <v>-74.78</v>
      </c>
      <c r="K145" s="162">
        <v>0</v>
      </c>
      <c r="L145" s="162">
        <v>-74.78</v>
      </c>
      <c r="M145" s="172">
        <f t="shared" si="2"/>
        <v>0</v>
      </c>
      <c r="N145" s="172">
        <f t="shared" si="3"/>
        <v>74.78</v>
      </c>
      <c r="O145" s="162" t="s">
        <v>7264</v>
      </c>
      <c r="P145" s="162">
        <v>327.3</v>
      </c>
    </row>
    <row r="146" spans="1:16" ht="22.5" customHeight="1">
      <c r="A146" s="342">
        <v>45577</v>
      </c>
      <c r="B146" s="338">
        <f t="shared" si="0"/>
        <v>2024</v>
      </c>
      <c r="C146" s="160">
        <v>12</v>
      </c>
      <c r="D146" s="343">
        <v>0.84556712962962965</v>
      </c>
      <c r="E146" s="160" t="s">
        <v>256</v>
      </c>
      <c r="F146" s="344" t="s">
        <v>7238</v>
      </c>
      <c r="G146" s="344" t="s">
        <v>7116</v>
      </c>
      <c r="H146" s="160" t="s">
        <v>7047</v>
      </c>
      <c r="I146" s="160" t="s">
        <v>45</v>
      </c>
      <c r="J146" s="162">
        <v>-20.49</v>
      </c>
      <c r="K146" s="162">
        <v>0.72</v>
      </c>
      <c r="L146" s="162">
        <v>-19.77</v>
      </c>
      <c r="M146" s="172">
        <f t="shared" si="2"/>
        <v>0</v>
      </c>
      <c r="N146" s="172">
        <f t="shared" si="3"/>
        <v>19.77</v>
      </c>
      <c r="O146" s="162" t="s">
        <v>7265</v>
      </c>
      <c r="P146" s="162">
        <v>307.52999999999997</v>
      </c>
    </row>
    <row r="147" spans="1:16" ht="22.5" customHeight="1">
      <c r="A147" s="342">
        <v>45608</v>
      </c>
      <c r="B147" s="338">
        <f t="shared" si="0"/>
        <v>2024</v>
      </c>
      <c r="C147" s="160">
        <v>12</v>
      </c>
      <c r="D147" s="343">
        <v>0.83974537037037034</v>
      </c>
      <c r="E147" s="160" t="s">
        <v>256</v>
      </c>
      <c r="F147" s="344" t="s">
        <v>7266</v>
      </c>
      <c r="G147" s="344" t="s">
        <v>7046</v>
      </c>
      <c r="H147" s="160" t="s">
        <v>7047</v>
      </c>
      <c r="I147" s="160" t="s">
        <v>45</v>
      </c>
      <c r="J147" s="162">
        <v>31.99</v>
      </c>
      <c r="K147" s="162">
        <v>-2.09</v>
      </c>
      <c r="L147" s="162">
        <v>29.9</v>
      </c>
      <c r="M147" s="172">
        <f t="shared" si="2"/>
        <v>29.9</v>
      </c>
      <c r="N147" s="172">
        <f t="shared" si="3"/>
        <v>0</v>
      </c>
      <c r="O147" s="162" t="s">
        <v>7267</v>
      </c>
      <c r="P147" s="162">
        <v>337.43</v>
      </c>
    </row>
    <row r="148" spans="1:16" ht="22.5" customHeight="1">
      <c r="A148" s="160" t="s">
        <v>7268</v>
      </c>
      <c r="B148" s="338">
        <v>2024</v>
      </c>
      <c r="C148" s="160">
        <v>12</v>
      </c>
      <c r="D148" s="343">
        <v>0.96474537037037034</v>
      </c>
      <c r="E148" s="160" t="s">
        <v>256</v>
      </c>
      <c r="F148" s="344" t="s">
        <v>9</v>
      </c>
      <c r="G148" s="344" t="s">
        <v>7092</v>
      </c>
      <c r="H148" s="160" t="s">
        <v>7093</v>
      </c>
      <c r="I148" s="160" t="s">
        <v>45</v>
      </c>
      <c r="J148" s="162">
        <v>74.78</v>
      </c>
      <c r="K148" s="162">
        <v>0</v>
      </c>
      <c r="L148" s="162">
        <v>74.78</v>
      </c>
      <c r="M148" s="172">
        <f t="shared" si="2"/>
        <v>74.78</v>
      </c>
      <c r="N148" s="172">
        <f t="shared" si="3"/>
        <v>0</v>
      </c>
      <c r="O148" s="162" t="s">
        <v>7264</v>
      </c>
      <c r="P148" s="162">
        <v>412.21</v>
      </c>
    </row>
    <row r="149" spans="1:16" ht="22.5" customHeight="1">
      <c r="A149" s="160" t="s">
        <v>7269</v>
      </c>
      <c r="B149" s="338">
        <v>2024</v>
      </c>
      <c r="C149" s="160">
        <v>12</v>
      </c>
      <c r="D149" s="343">
        <v>0.29697916666666668</v>
      </c>
      <c r="E149" s="160" t="s">
        <v>256</v>
      </c>
      <c r="F149" s="344" t="s">
        <v>499</v>
      </c>
      <c r="G149" s="344" t="s">
        <v>7046</v>
      </c>
      <c r="H149" s="160" t="s">
        <v>7047</v>
      </c>
      <c r="I149" s="160" t="s">
        <v>45</v>
      </c>
      <c r="J149" s="162">
        <v>3.99</v>
      </c>
      <c r="K149" s="162">
        <v>-0.69</v>
      </c>
      <c r="L149" s="162">
        <v>3.3</v>
      </c>
      <c r="M149" s="172">
        <f t="shared" si="2"/>
        <v>3.3</v>
      </c>
      <c r="N149" s="172">
        <f t="shared" si="3"/>
        <v>0</v>
      </c>
      <c r="O149" s="162" t="s">
        <v>7270</v>
      </c>
      <c r="P149" s="162">
        <v>415.51</v>
      </c>
    </row>
    <row r="150" spans="1:16" ht="22.5" customHeight="1">
      <c r="A150" s="160" t="s">
        <v>7269</v>
      </c>
      <c r="B150" s="338">
        <v>2024</v>
      </c>
      <c r="C150" s="160">
        <v>12</v>
      </c>
      <c r="D150" s="343">
        <v>0.75556712962962957</v>
      </c>
      <c r="E150" s="160" t="s">
        <v>256</v>
      </c>
      <c r="F150" s="344" t="s">
        <v>332</v>
      </c>
      <c r="G150" s="344" t="s">
        <v>7046</v>
      </c>
      <c r="H150" s="160" t="s">
        <v>7047</v>
      </c>
      <c r="I150" s="160" t="s">
        <v>45</v>
      </c>
      <c r="J150" s="162">
        <v>1.0900000000000001</v>
      </c>
      <c r="K150" s="162">
        <v>-0.54</v>
      </c>
      <c r="L150" s="162">
        <v>0.55000000000000004</v>
      </c>
      <c r="M150" s="172">
        <f t="shared" si="2"/>
        <v>0.55000000000000004</v>
      </c>
      <c r="N150" s="172">
        <f t="shared" si="3"/>
        <v>0</v>
      </c>
      <c r="O150" s="162" t="s">
        <v>7271</v>
      </c>
      <c r="P150" s="162">
        <v>416.06</v>
      </c>
    </row>
    <row r="151" spans="1:16" ht="22.5" customHeight="1">
      <c r="A151" s="160" t="s">
        <v>7272</v>
      </c>
      <c r="B151" s="338">
        <v>2024</v>
      </c>
      <c r="C151" s="160">
        <v>12</v>
      </c>
      <c r="D151" s="343">
        <v>9.8796296296296299E-2</v>
      </c>
      <c r="E151" s="160" t="s">
        <v>256</v>
      </c>
      <c r="F151" s="344" t="s">
        <v>306</v>
      </c>
      <c r="G151" s="344" t="s">
        <v>7046</v>
      </c>
      <c r="H151" s="160" t="s">
        <v>7047</v>
      </c>
      <c r="I151" s="160" t="s">
        <v>45</v>
      </c>
      <c r="J151" s="162">
        <v>1.0900000000000001</v>
      </c>
      <c r="K151" s="162">
        <v>-0.54</v>
      </c>
      <c r="L151" s="162">
        <v>0.55000000000000004</v>
      </c>
      <c r="M151" s="172">
        <f t="shared" si="2"/>
        <v>0.55000000000000004</v>
      </c>
      <c r="N151" s="172">
        <f t="shared" si="3"/>
        <v>0</v>
      </c>
      <c r="O151" s="162" t="s">
        <v>7273</v>
      </c>
      <c r="P151" s="162">
        <v>416.61</v>
      </c>
    </row>
    <row r="152" spans="1:16" ht="22.5" customHeight="1">
      <c r="A152" s="160" t="s">
        <v>7272</v>
      </c>
      <c r="B152" s="338">
        <v>2024</v>
      </c>
      <c r="C152" s="160">
        <v>12</v>
      </c>
      <c r="D152" s="343">
        <v>0.23188657407407406</v>
      </c>
      <c r="E152" s="160" t="s">
        <v>256</v>
      </c>
      <c r="F152" s="344" t="s">
        <v>7274</v>
      </c>
      <c r="G152" s="344" t="s">
        <v>7054</v>
      </c>
      <c r="H152" s="160" t="s">
        <v>7047</v>
      </c>
      <c r="I152" s="160" t="s">
        <v>45</v>
      </c>
      <c r="J152" s="162">
        <v>8.39</v>
      </c>
      <c r="K152" s="162">
        <v>-0.91</v>
      </c>
      <c r="L152" s="162">
        <v>7.48</v>
      </c>
      <c r="M152" s="172">
        <f t="shared" si="2"/>
        <v>7.48</v>
      </c>
      <c r="N152" s="172">
        <f t="shared" si="3"/>
        <v>0</v>
      </c>
      <c r="O152" s="162" t="s">
        <v>7275</v>
      </c>
      <c r="P152" s="162">
        <v>424.09</v>
      </c>
    </row>
    <row r="153" spans="1:16" ht="22.5" customHeight="1">
      <c r="A153" s="160" t="s">
        <v>7272</v>
      </c>
      <c r="B153" s="338">
        <v>2024</v>
      </c>
      <c r="C153" s="160">
        <v>12</v>
      </c>
      <c r="D153" s="343">
        <v>0.25011574074074072</v>
      </c>
      <c r="E153" s="160" t="s">
        <v>256</v>
      </c>
      <c r="F153" s="344" t="s">
        <v>7276</v>
      </c>
      <c r="G153" s="344" t="s">
        <v>7054</v>
      </c>
      <c r="H153" s="160" t="s">
        <v>7047</v>
      </c>
      <c r="I153" s="160" t="s">
        <v>45</v>
      </c>
      <c r="J153" s="162">
        <v>10.49</v>
      </c>
      <c r="K153" s="162">
        <v>-1.01</v>
      </c>
      <c r="L153" s="162">
        <v>9.48</v>
      </c>
      <c r="M153" s="172">
        <f t="shared" si="2"/>
        <v>9.48</v>
      </c>
      <c r="N153" s="172">
        <f t="shared" si="3"/>
        <v>0</v>
      </c>
      <c r="O153" s="162" t="s">
        <v>7277</v>
      </c>
      <c r="P153" s="162">
        <v>433.57</v>
      </c>
    </row>
    <row r="154" spans="1:16" ht="22.5" customHeight="1">
      <c r="A154" s="160" t="s">
        <v>7272</v>
      </c>
      <c r="B154" s="338">
        <v>2024</v>
      </c>
      <c r="C154" s="160">
        <v>12</v>
      </c>
      <c r="D154" s="343">
        <v>0.27336805555555554</v>
      </c>
      <c r="E154" s="160" t="s">
        <v>256</v>
      </c>
      <c r="F154" s="344" t="s">
        <v>643</v>
      </c>
      <c r="G154" s="344" t="s">
        <v>7046</v>
      </c>
      <c r="H154" s="160" t="s">
        <v>7047</v>
      </c>
      <c r="I154" s="160" t="s">
        <v>45</v>
      </c>
      <c r="J154" s="162">
        <v>8.39</v>
      </c>
      <c r="K154" s="162">
        <v>-0.78</v>
      </c>
      <c r="L154" s="162">
        <v>7.61</v>
      </c>
      <c r="M154" s="172">
        <f t="shared" si="2"/>
        <v>7.61</v>
      </c>
      <c r="N154" s="172">
        <f t="shared" si="3"/>
        <v>0</v>
      </c>
      <c r="O154" s="162" t="s">
        <v>7278</v>
      </c>
      <c r="P154" s="162">
        <v>441.18</v>
      </c>
    </row>
    <row r="155" spans="1:16" ht="22.5" customHeight="1">
      <c r="A155" s="160" t="s">
        <v>7272</v>
      </c>
      <c r="B155" s="338">
        <v>2024</v>
      </c>
      <c r="C155" s="160">
        <v>12</v>
      </c>
      <c r="D155" s="343">
        <v>0.28108796296296296</v>
      </c>
      <c r="E155" s="160" t="s">
        <v>256</v>
      </c>
      <c r="F155" s="344" t="s">
        <v>7279</v>
      </c>
      <c r="G155" s="344" t="s">
        <v>7054</v>
      </c>
      <c r="H155" s="160" t="s">
        <v>7047</v>
      </c>
      <c r="I155" s="160" t="s">
        <v>45</v>
      </c>
      <c r="J155" s="162">
        <v>3.99</v>
      </c>
      <c r="K155" s="162">
        <v>-0.69</v>
      </c>
      <c r="L155" s="162">
        <v>3.3</v>
      </c>
      <c r="M155" s="172">
        <f t="shared" si="2"/>
        <v>3.3</v>
      </c>
      <c r="N155" s="172">
        <f t="shared" si="3"/>
        <v>0</v>
      </c>
      <c r="O155" s="162" t="s">
        <v>7280</v>
      </c>
      <c r="P155" s="162">
        <v>444.48</v>
      </c>
    </row>
    <row r="156" spans="1:16" ht="22.5" customHeight="1">
      <c r="A156" s="160" t="s">
        <v>7272</v>
      </c>
      <c r="B156" s="338">
        <v>2024</v>
      </c>
      <c r="C156" s="160">
        <v>12</v>
      </c>
      <c r="D156" s="343">
        <v>0.29834490740740743</v>
      </c>
      <c r="E156" s="160" t="s">
        <v>256</v>
      </c>
      <c r="F156" s="344" t="s">
        <v>9</v>
      </c>
      <c r="G156" s="344" t="s">
        <v>7090</v>
      </c>
      <c r="H156" s="160" t="s">
        <v>158</v>
      </c>
      <c r="I156" s="160" t="s">
        <v>45</v>
      </c>
      <c r="J156" s="162">
        <v>-3.3</v>
      </c>
      <c r="K156" s="162">
        <v>0</v>
      </c>
      <c r="L156" s="162">
        <v>-3.3</v>
      </c>
      <c r="M156" s="172">
        <f t="shared" si="2"/>
        <v>0</v>
      </c>
      <c r="N156" s="172">
        <f t="shared" si="3"/>
        <v>3.3</v>
      </c>
      <c r="O156" s="162" t="s">
        <v>7281</v>
      </c>
      <c r="P156" s="162">
        <v>441.18</v>
      </c>
    </row>
    <row r="157" spans="1:16" ht="22.5" customHeight="1">
      <c r="A157" s="160" t="s">
        <v>7282</v>
      </c>
      <c r="B157" s="338">
        <v>2024</v>
      </c>
      <c r="C157" s="160">
        <v>12</v>
      </c>
      <c r="D157" s="343">
        <v>9.9513888888888888E-2</v>
      </c>
      <c r="E157" s="160" t="s">
        <v>256</v>
      </c>
      <c r="F157" s="344" t="s">
        <v>7279</v>
      </c>
      <c r="G157" s="344" t="s">
        <v>7116</v>
      </c>
      <c r="H157" s="160" t="s">
        <v>7047</v>
      </c>
      <c r="I157" s="160" t="s">
        <v>45</v>
      </c>
      <c r="J157" s="162">
        <v>-3.99</v>
      </c>
      <c r="K157" s="162">
        <v>0.2</v>
      </c>
      <c r="L157" s="162">
        <v>-3.79</v>
      </c>
      <c r="M157" s="172">
        <f t="shared" si="2"/>
        <v>0</v>
      </c>
      <c r="N157" s="172">
        <f t="shared" si="3"/>
        <v>3.79</v>
      </c>
      <c r="O157" s="162" t="s">
        <v>7283</v>
      </c>
      <c r="P157" s="162">
        <v>437.39</v>
      </c>
    </row>
    <row r="158" spans="1:16" ht="22.5" customHeight="1">
      <c r="A158" s="160" t="s">
        <v>7282</v>
      </c>
      <c r="B158" s="338">
        <v>2024</v>
      </c>
      <c r="C158" s="160">
        <v>12</v>
      </c>
      <c r="D158" s="343">
        <v>9.9513888888888888E-2</v>
      </c>
      <c r="E158" s="160" t="s">
        <v>256</v>
      </c>
      <c r="F158" s="344" t="s">
        <v>9</v>
      </c>
      <c r="G158" s="344" t="s">
        <v>7092</v>
      </c>
      <c r="H158" s="160" t="s">
        <v>7093</v>
      </c>
      <c r="I158" s="160" t="s">
        <v>45</v>
      </c>
      <c r="J158" s="162">
        <v>3.3</v>
      </c>
      <c r="K158" s="162">
        <v>0</v>
      </c>
      <c r="L158" s="162">
        <v>3.3</v>
      </c>
      <c r="M158" s="172">
        <f t="shared" si="2"/>
        <v>3.3</v>
      </c>
      <c r="N158" s="172">
        <f t="shared" si="3"/>
        <v>0</v>
      </c>
      <c r="O158" s="162" t="s">
        <v>7281</v>
      </c>
      <c r="P158" s="162">
        <v>440.69</v>
      </c>
    </row>
    <row r="159" spans="1:16" ht="22.5" customHeight="1">
      <c r="A159" s="160" t="s">
        <v>7282</v>
      </c>
      <c r="B159" s="338">
        <v>2024</v>
      </c>
      <c r="C159" s="160">
        <v>12</v>
      </c>
      <c r="D159" s="343">
        <v>0.2295949074074074</v>
      </c>
      <c r="E159" s="160" t="s">
        <v>256</v>
      </c>
      <c r="F159" s="344" t="s">
        <v>7284</v>
      </c>
      <c r="G159" s="344" t="s">
        <v>7054</v>
      </c>
      <c r="H159" s="160" t="s">
        <v>7047</v>
      </c>
      <c r="I159" s="160" t="s">
        <v>45</v>
      </c>
      <c r="J159" s="162">
        <v>8.39</v>
      </c>
      <c r="K159" s="162">
        <v>-0.91</v>
      </c>
      <c r="L159" s="162">
        <v>7.48</v>
      </c>
      <c r="M159" s="172">
        <f t="shared" si="2"/>
        <v>7.48</v>
      </c>
      <c r="N159" s="172">
        <f t="shared" si="3"/>
        <v>0</v>
      </c>
      <c r="O159" s="162" t="s">
        <v>7285</v>
      </c>
      <c r="P159" s="162">
        <v>448.17</v>
      </c>
    </row>
    <row r="160" spans="1:16" ht="22.5" customHeight="1">
      <c r="A160" s="160" t="s">
        <v>7282</v>
      </c>
      <c r="B160" s="338">
        <v>2024</v>
      </c>
      <c r="C160" s="160">
        <v>12</v>
      </c>
      <c r="D160" s="343">
        <v>0.23951388888888889</v>
      </c>
      <c r="E160" s="160" t="s">
        <v>256</v>
      </c>
      <c r="F160" s="344" t="s">
        <v>6620</v>
      </c>
      <c r="G160" s="344" t="s">
        <v>7054</v>
      </c>
      <c r="H160" s="160" t="s">
        <v>7047</v>
      </c>
      <c r="I160" s="160" t="s">
        <v>45</v>
      </c>
      <c r="J160" s="162">
        <v>8.39</v>
      </c>
      <c r="K160" s="162">
        <v>-0.91</v>
      </c>
      <c r="L160" s="162">
        <v>7.48</v>
      </c>
      <c r="M160" s="172">
        <f t="shared" si="2"/>
        <v>7.48</v>
      </c>
      <c r="N160" s="172">
        <f t="shared" si="3"/>
        <v>0</v>
      </c>
      <c r="O160" s="162" t="s">
        <v>7286</v>
      </c>
      <c r="P160" s="162">
        <v>455.65</v>
      </c>
    </row>
    <row r="161" spans="1:16" ht="22.5" customHeight="1">
      <c r="A161" s="160" t="s">
        <v>7287</v>
      </c>
      <c r="B161" s="338">
        <v>2024</v>
      </c>
      <c r="C161" s="160">
        <v>12</v>
      </c>
      <c r="D161" s="343">
        <v>0.83016203703703706</v>
      </c>
      <c r="E161" s="160" t="s">
        <v>256</v>
      </c>
      <c r="F161" s="344" t="s">
        <v>7288</v>
      </c>
      <c r="G161" s="344" t="s">
        <v>7054</v>
      </c>
      <c r="H161" s="160" t="s">
        <v>7047</v>
      </c>
      <c r="I161" s="160" t="s">
        <v>45</v>
      </c>
      <c r="J161" s="162">
        <v>11.99</v>
      </c>
      <c r="K161" s="162">
        <v>-1.0900000000000001</v>
      </c>
      <c r="L161" s="162">
        <v>10.9</v>
      </c>
      <c r="M161" s="172">
        <f t="shared" si="2"/>
        <v>10.9</v>
      </c>
      <c r="N161" s="172">
        <f t="shared" si="3"/>
        <v>0</v>
      </c>
      <c r="O161" s="162" t="s">
        <v>7289</v>
      </c>
      <c r="P161" s="162">
        <v>466.55</v>
      </c>
    </row>
    <row r="162" spans="1:16" ht="22.5" customHeight="1">
      <c r="A162" s="160" t="s">
        <v>7290</v>
      </c>
      <c r="B162" s="338">
        <v>2024</v>
      </c>
      <c r="C162" s="160">
        <v>12</v>
      </c>
      <c r="D162" s="343">
        <v>0.80424768518518519</v>
      </c>
      <c r="E162" s="160" t="s">
        <v>256</v>
      </c>
      <c r="F162" s="344" t="s">
        <v>317</v>
      </c>
      <c r="G162" s="344" t="s">
        <v>7046</v>
      </c>
      <c r="H162" s="160" t="s">
        <v>7047</v>
      </c>
      <c r="I162" s="160" t="s">
        <v>45</v>
      </c>
      <c r="J162" s="162">
        <v>4.99</v>
      </c>
      <c r="K162" s="162">
        <v>-0.74</v>
      </c>
      <c r="L162" s="162">
        <v>4.25</v>
      </c>
      <c r="M162" s="172">
        <f t="shared" si="2"/>
        <v>4.25</v>
      </c>
      <c r="N162" s="172">
        <f t="shared" si="3"/>
        <v>0</v>
      </c>
      <c r="O162" s="162" t="s">
        <v>7291</v>
      </c>
      <c r="P162" s="162">
        <v>470.8</v>
      </c>
    </row>
    <row r="163" spans="1:16" ht="22.5" customHeight="1">
      <c r="A163" s="160" t="s">
        <v>7292</v>
      </c>
      <c r="B163" s="338">
        <v>2024</v>
      </c>
      <c r="C163" s="160">
        <v>12</v>
      </c>
      <c r="D163" s="343">
        <v>4.340277777777778E-3</v>
      </c>
      <c r="E163" s="160" t="s">
        <v>256</v>
      </c>
      <c r="F163" s="344" t="s">
        <v>317</v>
      </c>
      <c r="G163" s="344" t="s">
        <v>7046</v>
      </c>
      <c r="H163" s="160" t="s">
        <v>7047</v>
      </c>
      <c r="I163" s="160" t="s">
        <v>45</v>
      </c>
      <c r="J163" s="162">
        <v>4.99</v>
      </c>
      <c r="K163" s="162">
        <v>-0.74</v>
      </c>
      <c r="L163" s="162">
        <v>4.25</v>
      </c>
      <c r="M163" s="172">
        <f t="shared" si="2"/>
        <v>4.25</v>
      </c>
      <c r="N163" s="172">
        <f t="shared" si="3"/>
        <v>0</v>
      </c>
      <c r="O163" s="162" t="s">
        <v>7293</v>
      </c>
      <c r="P163" s="162">
        <v>475.05</v>
      </c>
    </row>
    <row r="164" spans="1:16" ht="22.5" customHeight="1">
      <c r="A164" s="160" t="s">
        <v>7292</v>
      </c>
      <c r="B164" s="338">
        <v>2024</v>
      </c>
      <c r="C164" s="160">
        <v>12</v>
      </c>
      <c r="D164" s="343">
        <v>4.8611111111111112E-3</v>
      </c>
      <c r="E164" s="160" t="s">
        <v>256</v>
      </c>
      <c r="F164" s="344" t="s">
        <v>317</v>
      </c>
      <c r="G164" s="344" t="s">
        <v>7054</v>
      </c>
      <c r="H164" s="160" t="s">
        <v>7047</v>
      </c>
      <c r="I164" s="160" t="s">
        <v>45</v>
      </c>
      <c r="J164" s="162">
        <v>4.99</v>
      </c>
      <c r="K164" s="162">
        <v>-0.74</v>
      </c>
      <c r="L164" s="162">
        <v>4.25</v>
      </c>
      <c r="M164" s="172">
        <f t="shared" si="2"/>
        <v>4.25</v>
      </c>
      <c r="N164" s="172">
        <f t="shared" si="3"/>
        <v>0</v>
      </c>
      <c r="O164" s="162" t="s">
        <v>7294</v>
      </c>
      <c r="P164" s="162">
        <v>479.3</v>
      </c>
    </row>
    <row r="165" spans="1:16" ht="22.5" customHeight="1">
      <c r="A165" s="160" t="s">
        <v>7292</v>
      </c>
      <c r="B165" s="338">
        <v>2024</v>
      </c>
      <c r="C165" s="160">
        <v>12</v>
      </c>
      <c r="D165" s="343">
        <v>0.12366898148148148</v>
      </c>
      <c r="E165" s="160" t="s">
        <v>256</v>
      </c>
      <c r="F165" s="344" t="s">
        <v>7295</v>
      </c>
      <c r="G165" s="344" t="s">
        <v>7046</v>
      </c>
      <c r="H165" s="160" t="s">
        <v>7047</v>
      </c>
      <c r="I165" s="160" t="s">
        <v>45</v>
      </c>
      <c r="J165" s="162">
        <v>8.39</v>
      </c>
      <c r="K165" s="162">
        <v>-0.91</v>
      </c>
      <c r="L165" s="162">
        <v>7.48</v>
      </c>
      <c r="M165" s="172">
        <f t="shared" si="2"/>
        <v>7.48</v>
      </c>
      <c r="N165" s="172">
        <f t="shared" si="3"/>
        <v>0</v>
      </c>
      <c r="O165" s="162" t="s">
        <v>7296</v>
      </c>
      <c r="P165" s="162">
        <v>486.78</v>
      </c>
    </row>
    <row r="166" spans="1:16" ht="22.5" customHeight="1">
      <c r="A166" s="160" t="s">
        <v>7292</v>
      </c>
      <c r="B166" s="338">
        <v>2024</v>
      </c>
      <c r="C166" s="160">
        <v>12</v>
      </c>
      <c r="D166" s="343">
        <v>0.125</v>
      </c>
      <c r="E166" s="160" t="s">
        <v>256</v>
      </c>
      <c r="F166" s="344" t="s">
        <v>7266</v>
      </c>
      <c r="G166" s="344" t="s">
        <v>7046</v>
      </c>
      <c r="H166" s="160" t="s">
        <v>7047</v>
      </c>
      <c r="I166" s="160" t="s">
        <v>45</v>
      </c>
      <c r="J166" s="162">
        <v>4.16</v>
      </c>
      <c r="K166" s="162">
        <v>-0.7</v>
      </c>
      <c r="L166" s="162">
        <v>3.46</v>
      </c>
      <c r="M166" s="172">
        <f t="shared" si="2"/>
        <v>3.46</v>
      </c>
      <c r="N166" s="172">
        <f t="shared" si="3"/>
        <v>0</v>
      </c>
      <c r="O166" s="162" t="s">
        <v>7297</v>
      </c>
      <c r="P166" s="162">
        <v>490.24</v>
      </c>
    </row>
    <row r="167" spans="1:16" ht="22.5" customHeight="1">
      <c r="A167" s="160" t="s">
        <v>7292</v>
      </c>
      <c r="B167" s="338">
        <v>2024</v>
      </c>
      <c r="C167" s="160">
        <v>12</v>
      </c>
      <c r="D167" s="343">
        <v>0.82571759259259259</v>
      </c>
      <c r="E167" s="160" t="s">
        <v>256</v>
      </c>
      <c r="F167" s="344" t="s">
        <v>7298</v>
      </c>
      <c r="G167" s="344" t="s">
        <v>7054</v>
      </c>
      <c r="H167" s="160" t="s">
        <v>7047</v>
      </c>
      <c r="I167" s="160" t="s">
        <v>45</v>
      </c>
      <c r="J167" s="162">
        <v>8.39</v>
      </c>
      <c r="K167" s="162">
        <v>-0.91</v>
      </c>
      <c r="L167" s="162">
        <v>7.48</v>
      </c>
      <c r="M167" s="172">
        <f t="shared" si="2"/>
        <v>7.48</v>
      </c>
      <c r="N167" s="172">
        <f t="shared" si="3"/>
        <v>0</v>
      </c>
      <c r="O167" s="162" t="s">
        <v>7299</v>
      </c>
      <c r="P167" s="162">
        <v>497.72</v>
      </c>
    </row>
    <row r="168" spans="1:16" ht="22.5" customHeight="1">
      <c r="A168" s="160" t="s">
        <v>7300</v>
      </c>
      <c r="B168" s="338">
        <v>2024</v>
      </c>
      <c r="C168" s="160">
        <v>12</v>
      </c>
      <c r="D168" s="343">
        <v>0.71582175925925928</v>
      </c>
      <c r="E168" s="160" t="s">
        <v>256</v>
      </c>
      <c r="F168" s="344" t="s">
        <v>7301</v>
      </c>
      <c r="G168" s="344" t="s">
        <v>7054</v>
      </c>
      <c r="H168" s="160" t="s">
        <v>7047</v>
      </c>
      <c r="I168" s="160" t="s">
        <v>45</v>
      </c>
      <c r="J168" s="162">
        <v>8.4</v>
      </c>
      <c r="K168" s="162">
        <v>-0.91</v>
      </c>
      <c r="L168" s="162">
        <v>7.49</v>
      </c>
      <c r="M168" s="172">
        <f t="shared" si="2"/>
        <v>7.49</v>
      </c>
      <c r="N168" s="172">
        <f t="shared" si="3"/>
        <v>0</v>
      </c>
      <c r="O168" s="162" t="s">
        <v>7302</v>
      </c>
      <c r="P168" s="162">
        <v>505.21</v>
      </c>
    </row>
    <row r="169" spans="1:16" ht="22.5" customHeight="1">
      <c r="A169" s="160" t="s">
        <v>7303</v>
      </c>
      <c r="B169" s="338">
        <v>2024</v>
      </c>
      <c r="C169" s="160">
        <v>12</v>
      </c>
      <c r="D169" s="343">
        <v>0.58912037037037035</v>
      </c>
      <c r="E169" s="160" t="s">
        <v>256</v>
      </c>
      <c r="F169" s="344" t="s">
        <v>7304</v>
      </c>
      <c r="G169" s="344" t="s">
        <v>7054</v>
      </c>
      <c r="H169" s="160" t="s">
        <v>7047</v>
      </c>
      <c r="I169" s="160" t="s">
        <v>45</v>
      </c>
      <c r="J169" s="162">
        <v>14.99</v>
      </c>
      <c r="K169" s="162">
        <v>-1.24</v>
      </c>
      <c r="L169" s="162">
        <v>13.75</v>
      </c>
      <c r="M169" s="172">
        <f t="shared" si="2"/>
        <v>13.75</v>
      </c>
      <c r="N169" s="172">
        <f t="shared" si="3"/>
        <v>0</v>
      </c>
      <c r="O169" s="162" t="s">
        <v>7305</v>
      </c>
      <c r="P169" s="162">
        <v>518.96</v>
      </c>
    </row>
    <row r="170" spans="1:16" ht="22.5" customHeight="1">
      <c r="A170" s="160" t="s">
        <v>7306</v>
      </c>
      <c r="B170" s="338">
        <v>2024</v>
      </c>
      <c r="C170" s="160">
        <v>12</v>
      </c>
      <c r="D170" s="343">
        <v>0.45898148148148149</v>
      </c>
      <c r="E170" s="160" t="s">
        <v>256</v>
      </c>
      <c r="F170" s="344" t="s">
        <v>9</v>
      </c>
      <c r="G170" s="344" t="s">
        <v>7090</v>
      </c>
      <c r="H170" s="160" t="s">
        <v>158</v>
      </c>
      <c r="I170" s="160" t="s">
        <v>45</v>
      </c>
      <c r="J170" s="162">
        <v>-15.46</v>
      </c>
      <c r="K170" s="162">
        <v>0</v>
      </c>
      <c r="L170" s="162">
        <v>-15.46</v>
      </c>
      <c r="M170" s="172">
        <f t="shared" si="2"/>
        <v>0</v>
      </c>
      <c r="N170" s="172">
        <f t="shared" si="3"/>
        <v>15.46</v>
      </c>
      <c r="O170" s="162" t="s">
        <v>7307</v>
      </c>
      <c r="P170" s="162">
        <v>503.5</v>
      </c>
    </row>
    <row r="171" spans="1:16" ht="22.5" customHeight="1">
      <c r="A171" s="160" t="s">
        <v>7306</v>
      </c>
      <c r="B171" s="338">
        <v>2024</v>
      </c>
      <c r="C171" s="160">
        <v>12</v>
      </c>
      <c r="D171" s="343">
        <v>0.77061342592592597</v>
      </c>
      <c r="E171" s="160" t="s">
        <v>256</v>
      </c>
      <c r="F171" s="344" t="s">
        <v>7252</v>
      </c>
      <c r="G171" s="344" t="s">
        <v>7116</v>
      </c>
      <c r="H171" s="160" t="s">
        <v>7047</v>
      </c>
      <c r="I171" s="160" t="s">
        <v>45</v>
      </c>
      <c r="J171" s="162">
        <v>-16.79</v>
      </c>
      <c r="K171" s="162">
        <v>0.84</v>
      </c>
      <c r="L171" s="162">
        <v>-15.95</v>
      </c>
      <c r="M171" s="172">
        <f t="shared" si="2"/>
        <v>0</v>
      </c>
      <c r="N171" s="172">
        <f t="shared" si="3"/>
        <v>15.95</v>
      </c>
      <c r="O171" s="162" t="s">
        <v>7308</v>
      </c>
      <c r="P171" s="162">
        <v>487.55</v>
      </c>
    </row>
    <row r="172" spans="1:16" ht="22.5" customHeight="1">
      <c r="A172" s="160" t="s">
        <v>7306</v>
      </c>
      <c r="B172" s="338">
        <v>2024</v>
      </c>
      <c r="C172" s="160">
        <v>12</v>
      </c>
      <c r="D172" s="343">
        <v>0.77061342592592597</v>
      </c>
      <c r="E172" s="160" t="s">
        <v>256</v>
      </c>
      <c r="F172" s="344" t="s">
        <v>9</v>
      </c>
      <c r="G172" s="344" t="s">
        <v>7092</v>
      </c>
      <c r="H172" s="160" t="s">
        <v>7093</v>
      </c>
      <c r="I172" s="160" t="s">
        <v>45</v>
      </c>
      <c r="J172" s="162">
        <v>15.46</v>
      </c>
      <c r="K172" s="162">
        <v>0</v>
      </c>
      <c r="L172" s="162">
        <v>15.46</v>
      </c>
      <c r="M172" s="172">
        <f t="shared" si="2"/>
        <v>15.46</v>
      </c>
      <c r="N172" s="172">
        <f t="shared" si="3"/>
        <v>0</v>
      </c>
      <c r="O172" s="162" t="s">
        <v>7307</v>
      </c>
      <c r="P172" s="162">
        <v>503.01</v>
      </c>
    </row>
    <row r="173" spans="1:16" ht="22.5" customHeight="1">
      <c r="A173" s="160" t="s">
        <v>7306</v>
      </c>
      <c r="B173" s="338">
        <v>2024</v>
      </c>
      <c r="C173" s="160">
        <v>12</v>
      </c>
      <c r="D173" s="343">
        <v>0.80120370370370375</v>
      </c>
      <c r="E173" s="160" t="s">
        <v>256</v>
      </c>
      <c r="F173" s="344" t="s">
        <v>7309</v>
      </c>
      <c r="G173" s="344" t="s">
        <v>7054</v>
      </c>
      <c r="H173" s="160" t="s">
        <v>7047</v>
      </c>
      <c r="I173" s="160" t="s">
        <v>45</v>
      </c>
      <c r="J173" s="162">
        <v>11.99</v>
      </c>
      <c r="K173" s="162">
        <v>-0.91</v>
      </c>
      <c r="L173" s="162">
        <v>11.08</v>
      </c>
      <c r="M173" s="172">
        <f t="shared" si="2"/>
        <v>11.08</v>
      </c>
      <c r="N173" s="172">
        <f t="shared" si="3"/>
        <v>0</v>
      </c>
      <c r="O173" s="162" t="s">
        <v>7310</v>
      </c>
      <c r="P173" s="162">
        <v>514.09</v>
      </c>
    </row>
    <row r="174" spans="1:16" ht="22.5" customHeight="1">
      <c r="A174" s="160" t="s">
        <v>7311</v>
      </c>
      <c r="B174" s="338">
        <v>2024</v>
      </c>
      <c r="C174" s="160">
        <v>12</v>
      </c>
      <c r="D174" s="343">
        <v>7.3738425925925929E-2</v>
      </c>
      <c r="E174" s="160" t="s">
        <v>256</v>
      </c>
      <c r="F174" s="344" t="s">
        <v>7312</v>
      </c>
      <c r="G174" s="344" t="s">
        <v>7054</v>
      </c>
      <c r="H174" s="160" t="s">
        <v>7047</v>
      </c>
      <c r="I174" s="160" t="s">
        <v>45</v>
      </c>
      <c r="J174" s="162">
        <v>8.39</v>
      </c>
      <c r="K174" s="162">
        <v>-0.91</v>
      </c>
      <c r="L174" s="162">
        <v>7.48</v>
      </c>
      <c r="M174" s="172">
        <f t="shared" si="2"/>
        <v>7.48</v>
      </c>
      <c r="N174" s="172">
        <f t="shared" si="3"/>
        <v>0</v>
      </c>
      <c r="O174" s="162" t="s">
        <v>7313</v>
      </c>
      <c r="P174" s="162">
        <v>521.57000000000005</v>
      </c>
    </row>
    <row r="175" spans="1:16" ht="22.5" customHeight="1">
      <c r="A175" s="160" t="s">
        <v>7311</v>
      </c>
      <c r="B175" s="338">
        <v>2024</v>
      </c>
      <c r="C175" s="160">
        <v>12</v>
      </c>
      <c r="D175" s="343">
        <v>0.18932870370370369</v>
      </c>
      <c r="E175" s="160" t="s">
        <v>256</v>
      </c>
      <c r="F175" s="344" t="s">
        <v>778</v>
      </c>
      <c r="G175" s="344" t="s">
        <v>7054</v>
      </c>
      <c r="H175" s="160" t="s">
        <v>7047</v>
      </c>
      <c r="I175" s="160" t="s">
        <v>45</v>
      </c>
      <c r="J175" s="162">
        <v>14.69</v>
      </c>
      <c r="K175" s="162">
        <v>-1.22</v>
      </c>
      <c r="L175" s="162">
        <v>13.47</v>
      </c>
      <c r="M175" s="172">
        <f t="shared" si="2"/>
        <v>13.47</v>
      </c>
      <c r="N175" s="172">
        <f t="shared" si="3"/>
        <v>0</v>
      </c>
      <c r="O175" s="162" t="s">
        <v>7314</v>
      </c>
      <c r="P175" s="162">
        <v>535.04</v>
      </c>
    </row>
    <row r="176" spans="1:16" ht="22.5" customHeight="1">
      <c r="A176" s="160" t="s">
        <v>7311</v>
      </c>
      <c r="B176" s="338">
        <v>2024</v>
      </c>
      <c r="C176" s="160">
        <v>12</v>
      </c>
      <c r="D176" s="343">
        <v>0.31678240740740743</v>
      </c>
      <c r="E176" s="160" t="s">
        <v>256</v>
      </c>
      <c r="F176" s="344" t="s">
        <v>7164</v>
      </c>
      <c r="G176" s="344" t="s">
        <v>7054</v>
      </c>
      <c r="H176" s="160" t="s">
        <v>7047</v>
      </c>
      <c r="I176" s="160" t="s">
        <v>45</v>
      </c>
      <c r="J176" s="162">
        <v>1.99</v>
      </c>
      <c r="K176" s="162">
        <v>-0.59</v>
      </c>
      <c r="L176" s="162">
        <v>1.4</v>
      </c>
      <c r="M176" s="172">
        <f t="shared" si="2"/>
        <v>1.4</v>
      </c>
      <c r="N176" s="172">
        <f t="shared" si="3"/>
        <v>0</v>
      </c>
      <c r="O176" s="162" t="s">
        <v>7315</v>
      </c>
      <c r="P176" s="162">
        <v>536.44000000000005</v>
      </c>
    </row>
    <row r="177" spans="1:16" ht="22.5" customHeight="1">
      <c r="A177" s="160" t="s">
        <v>7311</v>
      </c>
      <c r="B177" s="338">
        <v>2024</v>
      </c>
      <c r="C177" s="160">
        <v>12</v>
      </c>
      <c r="D177" s="343">
        <v>0.36504629629629631</v>
      </c>
      <c r="E177" s="160" t="s">
        <v>256</v>
      </c>
      <c r="F177" s="344" t="s">
        <v>7316</v>
      </c>
      <c r="G177" s="344" t="s">
        <v>7054</v>
      </c>
      <c r="H177" s="160" t="s">
        <v>7047</v>
      </c>
      <c r="I177" s="160" t="s">
        <v>45</v>
      </c>
      <c r="J177" s="162">
        <v>20.25</v>
      </c>
      <c r="K177" s="162">
        <v>-1.5</v>
      </c>
      <c r="L177" s="162">
        <v>18.75</v>
      </c>
      <c r="M177" s="172">
        <f t="shared" si="2"/>
        <v>18.75</v>
      </c>
      <c r="N177" s="172">
        <f t="shared" si="3"/>
        <v>0</v>
      </c>
      <c r="O177" s="162" t="s">
        <v>7317</v>
      </c>
      <c r="P177" s="162">
        <v>555.19000000000005</v>
      </c>
    </row>
    <row r="178" spans="1:16" ht="22.5" customHeight="1">
      <c r="A178" s="160" t="s">
        <v>7311</v>
      </c>
      <c r="B178" s="338">
        <v>2024</v>
      </c>
      <c r="C178" s="160">
        <v>12</v>
      </c>
      <c r="D178" s="343">
        <v>0.36843749999999997</v>
      </c>
      <c r="E178" s="160" t="s">
        <v>256</v>
      </c>
      <c r="F178" s="344" t="s">
        <v>341</v>
      </c>
      <c r="G178" s="344" t="s">
        <v>7046</v>
      </c>
      <c r="H178" s="160" t="s">
        <v>7047</v>
      </c>
      <c r="I178" s="160" t="s">
        <v>45</v>
      </c>
      <c r="J178" s="162">
        <v>1.06</v>
      </c>
      <c r="K178" s="162">
        <v>-0.54</v>
      </c>
      <c r="L178" s="162">
        <v>0.52</v>
      </c>
      <c r="M178" s="172">
        <f t="shared" si="2"/>
        <v>0.52</v>
      </c>
      <c r="N178" s="172">
        <f t="shared" si="3"/>
        <v>0</v>
      </c>
      <c r="O178" s="162" t="s">
        <v>7318</v>
      </c>
      <c r="P178" s="162">
        <v>555.71</v>
      </c>
    </row>
    <row r="179" spans="1:16" ht="22.5" customHeight="1">
      <c r="A179" s="160" t="s">
        <v>7311</v>
      </c>
      <c r="B179" s="338">
        <v>2024</v>
      </c>
      <c r="C179" s="160">
        <v>12</v>
      </c>
      <c r="D179" s="343">
        <v>0.77541666666666664</v>
      </c>
      <c r="E179" s="160" t="s">
        <v>256</v>
      </c>
      <c r="F179" s="344" t="s">
        <v>7185</v>
      </c>
      <c r="G179" s="344" t="s">
        <v>7054</v>
      </c>
      <c r="H179" s="160" t="s">
        <v>7047</v>
      </c>
      <c r="I179" s="160" t="s">
        <v>45</v>
      </c>
      <c r="J179" s="162">
        <v>20.25</v>
      </c>
      <c r="K179" s="162">
        <v>-1.5</v>
      </c>
      <c r="L179" s="162">
        <v>18.75</v>
      </c>
      <c r="M179" s="172">
        <f t="shared" si="2"/>
        <v>18.75</v>
      </c>
      <c r="N179" s="172">
        <f t="shared" si="3"/>
        <v>0</v>
      </c>
      <c r="O179" s="162" t="s">
        <v>7319</v>
      </c>
      <c r="P179" s="162">
        <v>574.46</v>
      </c>
    </row>
    <row r="180" spans="1:16" ht="22.5" customHeight="1">
      <c r="A180" s="160" t="s">
        <v>7320</v>
      </c>
      <c r="B180" s="338">
        <v>2024</v>
      </c>
      <c r="C180" s="160">
        <v>12</v>
      </c>
      <c r="D180" s="343">
        <v>0.22324074074074074</v>
      </c>
      <c r="E180" s="160" t="s">
        <v>256</v>
      </c>
      <c r="F180" s="344" t="s">
        <v>656</v>
      </c>
      <c r="G180" s="344" t="s">
        <v>7046</v>
      </c>
      <c r="H180" s="160" t="s">
        <v>7047</v>
      </c>
      <c r="I180" s="160" t="s">
        <v>45</v>
      </c>
      <c r="J180" s="162">
        <v>20.25</v>
      </c>
      <c r="K180" s="162">
        <v>-1.2</v>
      </c>
      <c r="L180" s="162">
        <v>19.05</v>
      </c>
      <c r="M180" s="172">
        <f t="shared" si="2"/>
        <v>19.05</v>
      </c>
      <c r="N180" s="172">
        <f t="shared" si="3"/>
        <v>0</v>
      </c>
      <c r="O180" s="162" t="s">
        <v>7321</v>
      </c>
      <c r="P180" s="162">
        <v>593.51</v>
      </c>
    </row>
    <row r="181" spans="1:16" ht="22.5" customHeight="1">
      <c r="A181" s="160" t="s">
        <v>7320</v>
      </c>
      <c r="B181" s="338">
        <v>2024</v>
      </c>
      <c r="C181" s="160">
        <v>12</v>
      </c>
      <c r="D181" s="343">
        <v>0.301875</v>
      </c>
      <c r="E181" s="160" t="s">
        <v>256</v>
      </c>
      <c r="F181" s="344" t="s">
        <v>7322</v>
      </c>
      <c r="G181" s="344" t="s">
        <v>7054</v>
      </c>
      <c r="H181" s="160" t="s">
        <v>7047</v>
      </c>
      <c r="I181" s="160" t="s">
        <v>45</v>
      </c>
      <c r="J181" s="162">
        <v>20.25</v>
      </c>
      <c r="K181" s="162">
        <v>-1.2</v>
      </c>
      <c r="L181" s="162">
        <v>19.05</v>
      </c>
      <c r="M181" s="172">
        <f t="shared" si="2"/>
        <v>19.05</v>
      </c>
      <c r="N181" s="172">
        <f t="shared" si="3"/>
        <v>0</v>
      </c>
      <c r="O181" s="162" t="s">
        <v>7323</v>
      </c>
      <c r="P181" s="162">
        <v>612.55999999999995</v>
      </c>
    </row>
    <row r="182" spans="1:16" ht="22.5" customHeight="1">
      <c r="A182" s="160" t="s">
        <v>7320</v>
      </c>
      <c r="B182" s="338">
        <v>2024</v>
      </c>
      <c r="C182" s="160">
        <v>12</v>
      </c>
      <c r="D182" s="343">
        <v>0.34083333333333332</v>
      </c>
      <c r="E182" s="160" t="s">
        <v>256</v>
      </c>
      <c r="F182" s="344" t="s">
        <v>7324</v>
      </c>
      <c r="G182" s="344" t="s">
        <v>7054</v>
      </c>
      <c r="H182" s="160" t="s">
        <v>7047</v>
      </c>
      <c r="I182" s="160" t="s">
        <v>45</v>
      </c>
      <c r="J182" s="162">
        <v>14.69</v>
      </c>
      <c r="K182" s="162">
        <v>-1.22</v>
      </c>
      <c r="L182" s="162">
        <v>13.47</v>
      </c>
      <c r="M182" s="172">
        <f t="shared" si="2"/>
        <v>13.47</v>
      </c>
      <c r="N182" s="172">
        <f t="shared" si="3"/>
        <v>0</v>
      </c>
      <c r="O182" s="162" t="s">
        <v>7325</v>
      </c>
      <c r="P182" s="162">
        <v>626.03</v>
      </c>
    </row>
    <row r="183" spans="1:16" ht="22.5" customHeight="1">
      <c r="A183" s="160" t="s">
        <v>7320</v>
      </c>
      <c r="B183" s="338">
        <v>2024</v>
      </c>
      <c r="C183" s="160">
        <v>12</v>
      </c>
      <c r="D183" s="343">
        <v>0.6157407407407407</v>
      </c>
      <c r="E183" s="160" t="s">
        <v>256</v>
      </c>
      <c r="F183" s="344" t="s">
        <v>7326</v>
      </c>
      <c r="G183" s="344" t="s">
        <v>7054</v>
      </c>
      <c r="H183" s="160" t="s">
        <v>7047</v>
      </c>
      <c r="I183" s="160" t="s">
        <v>45</v>
      </c>
      <c r="J183" s="162">
        <v>20.25</v>
      </c>
      <c r="K183" s="162">
        <v>-1.5</v>
      </c>
      <c r="L183" s="162">
        <v>18.75</v>
      </c>
      <c r="M183" s="172">
        <f t="shared" si="2"/>
        <v>18.75</v>
      </c>
      <c r="N183" s="172">
        <f t="shared" si="3"/>
        <v>0</v>
      </c>
      <c r="O183" s="162" t="s">
        <v>7327</v>
      </c>
      <c r="P183" s="162">
        <v>644.78</v>
      </c>
    </row>
    <row r="184" spans="1:16" ht="22.5" customHeight="1">
      <c r="A184" s="160" t="s">
        <v>7328</v>
      </c>
      <c r="B184" s="338">
        <v>2024</v>
      </c>
      <c r="C184" s="160">
        <v>12</v>
      </c>
      <c r="D184" s="343">
        <v>0.24413194444444444</v>
      </c>
      <c r="E184" s="160" t="s">
        <v>256</v>
      </c>
      <c r="F184" s="344" t="s">
        <v>7329</v>
      </c>
      <c r="G184" s="344" t="s">
        <v>7046</v>
      </c>
      <c r="H184" s="160" t="s">
        <v>7047</v>
      </c>
      <c r="I184" s="160" t="s">
        <v>45</v>
      </c>
      <c r="J184" s="162">
        <v>20.25</v>
      </c>
      <c r="K184" s="162">
        <v>-1.5</v>
      </c>
      <c r="L184" s="162">
        <v>18.75</v>
      </c>
      <c r="M184" s="172">
        <f t="shared" si="2"/>
        <v>18.75</v>
      </c>
      <c r="N184" s="172">
        <f t="shared" si="3"/>
        <v>0</v>
      </c>
      <c r="O184" s="162" t="s">
        <v>7330</v>
      </c>
      <c r="P184" s="162">
        <v>663.53</v>
      </c>
    </row>
    <row r="185" spans="1:16" ht="22.5" customHeight="1">
      <c r="A185" s="160" t="s">
        <v>7328</v>
      </c>
      <c r="B185" s="338">
        <v>2024</v>
      </c>
      <c r="C185" s="160">
        <v>12</v>
      </c>
      <c r="D185" s="343">
        <v>0.29721064814814813</v>
      </c>
      <c r="E185" s="160" t="s">
        <v>256</v>
      </c>
      <c r="F185" s="344" t="s">
        <v>7331</v>
      </c>
      <c r="G185" s="344" t="s">
        <v>7054</v>
      </c>
      <c r="H185" s="160" t="s">
        <v>7047</v>
      </c>
      <c r="I185" s="160" t="s">
        <v>45</v>
      </c>
      <c r="J185" s="162">
        <v>20.25</v>
      </c>
      <c r="K185" s="162">
        <v>-1.5</v>
      </c>
      <c r="L185" s="162">
        <v>18.75</v>
      </c>
      <c r="M185" s="172">
        <f t="shared" si="2"/>
        <v>18.75</v>
      </c>
      <c r="N185" s="172">
        <f t="shared" si="3"/>
        <v>0</v>
      </c>
      <c r="O185" s="162" t="s">
        <v>7332</v>
      </c>
      <c r="P185" s="162">
        <v>682.28</v>
      </c>
    </row>
    <row r="186" spans="1:16" ht="22.5" customHeight="1">
      <c r="A186" s="160" t="s">
        <v>7328</v>
      </c>
      <c r="B186" s="338">
        <v>2024</v>
      </c>
      <c r="C186" s="160">
        <v>12</v>
      </c>
      <c r="D186" s="343">
        <v>0.31270833333333331</v>
      </c>
      <c r="E186" s="160" t="s">
        <v>256</v>
      </c>
      <c r="F186" s="344" t="s">
        <v>322</v>
      </c>
      <c r="G186" s="344" t="s">
        <v>7054</v>
      </c>
      <c r="H186" s="160" t="s">
        <v>7047</v>
      </c>
      <c r="I186" s="160" t="s">
        <v>45</v>
      </c>
      <c r="J186" s="162">
        <v>20.25</v>
      </c>
      <c r="K186" s="162">
        <v>-1.5</v>
      </c>
      <c r="L186" s="162">
        <v>18.75</v>
      </c>
      <c r="M186" s="172">
        <f t="shared" si="2"/>
        <v>18.75</v>
      </c>
      <c r="N186" s="172">
        <f t="shared" si="3"/>
        <v>0</v>
      </c>
      <c r="O186" s="162" t="s">
        <v>7333</v>
      </c>
      <c r="P186" s="162">
        <v>701.03</v>
      </c>
    </row>
    <row r="187" spans="1:16" ht="22.5" customHeight="1">
      <c r="A187" s="160" t="s">
        <v>7328</v>
      </c>
      <c r="B187" s="338">
        <v>2024</v>
      </c>
      <c r="C187" s="160">
        <v>12</v>
      </c>
      <c r="D187" s="343">
        <v>0.31278935185185186</v>
      </c>
      <c r="E187" s="160" t="s">
        <v>256</v>
      </c>
      <c r="F187" s="344" t="s">
        <v>322</v>
      </c>
      <c r="G187" s="344" t="s">
        <v>7054</v>
      </c>
      <c r="H187" s="160" t="s">
        <v>7047</v>
      </c>
      <c r="I187" s="160" t="s">
        <v>45</v>
      </c>
      <c r="J187" s="162">
        <v>11.99</v>
      </c>
      <c r="K187" s="162">
        <v>-1.0900000000000001</v>
      </c>
      <c r="L187" s="162">
        <v>10.9</v>
      </c>
      <c r="M187" s="172">
        <f t="shared" si="2"/>
        <v>10.9</v>
      </c>
      <c r="N187" s="172">
        <f t="shared" si="3"/>
        <v>0</v>
      </c>
      <c r="O187" s="162" t="s">
        <v>7334</v>
      </c>
      <c r="P187" s="162">
        <v>711.93</v>
      </c>
    </row>
    <row r="188" spans="1:16" ht="22.5" customHeight="1">
      <c r="A188" s="160" t="s">
        <v>7328</v>
      </c>
      <c r="B188" s="338">
        <v>2024</v>
      </c>
      <c r="C188" s="160">
        <v>12</v>
      </c>
      <c r="D188" s="343">
        <v>0.33157407407407408</v>
      </c>
      <c r="E188" s="160" t="s">
        <v>256</v>
      </c>
      <c r="F188" s="344" t="s">
        <v>319</v>
      </c>
      <c r="G188" s="344" t="s">
        <v>7132</v>
      </c>
      <c r="H188" s="160" t="s">
        <v>7047</v>
      </c>
      <c r="I188" s="160" t="s">
        <v>45</v>
      </c>
      <c r="J188" s="162">
        <v>-2.5</v>
      </c>
      <c r="K188" s="162">
        <v>0</v>
      </c>
      <c r="L188" s="162">
        <v>-2.5</v>
      </c>
      <c r="M188" s="172">
        <f t="shared" si="2"/>
        <v>0</v>
      </c>
      <c r="N188" s="172">
        <f t="shared" si="3"/>
        <v>2.5</v>
      </c>
      <c r="O188" s="162" t="s">
        <v>7335</v>
      </c>
      <c r="P188" s="162">
        <v>709.43</v>
      </c>
    </row>
    <row r="189" spans="1:16" ht="22.5" customHeight="1">
      <c r="A189" s="160" t="s">
        <v>7336</v>
      </c>
      <c r="B189" s="338">
        <v>2024</v>
      </c>
      <c r="C189" s="160">
        <v>12</v>
      </c>
      <c r="D189" s="343">
        <v>0.17</v>
      </c>
      <c r="E189" s="160" t="s">
        <v>256</v>
      </c>
      <c r="F189" s="344" t="s">
        <v>787</v>
      </c>
      <c r="G189" s="344" t="s">
        <v>7054</v>
      </c>
      <c r="H189" s="160" t="s">
        <v>7047</v>
      </c>
      <c r="I189" s="160" t="s">
        <v>45</v>
      </c>
      <c r="J189" s="162">
        <v>20.25</v>
      </c>
      <c r="K189" s="162">
        <v>-1.2</v>
      </c>
      <c r="L189" s="162">
        <v>19.05</v>
      </c>
      <c r="M189" s="172">
        <f t="shared" si="2"/>
        <v>19.05</v>
      </c>
      <c r="N189" s="172">
        <f t="shared" si="3"/>
        <v>0</v>
      </c>
      <c r="O189" s="162" t="s">
        <v>7337</v>
      </c>
      <c r="P189" s="162">
        <v>728.48</v>
      </c>
    </row>
    <row r="190" spans="1:16" ht="22.5" customHeight="1">
      <c r="A190" s="160" t="s">
        <v>7336</v>
      </c>
      <c r="B190" s="338">
        <v>2024</v>
      </c>
      <c r="C190" s="160">
        <v>12</v>
      </c>
      <c r="D190" s="343">
        <v>0.28490740740740739</v>
      </c>
      <c r="E190" s="160" t="s">
        <v>256</v>
      </c>
      <c r="F190" s="344" t="s">
        <v>7338</v>
      </c>
      <c r="G190" s="344" t="s">
        <v>7054</v>
      </c>
      <c r="H190" s="160" t="s">
        <v>7047</v>
      </c>
      <c r="I190" s="160" t="s">
        <v>45</v>
      </c>
      <c r="J190" s="162">
        <v>20.25</v>
      </c>
      <c r="K190" s="162">
        <v>-1.2</v>
      </c>
      <c r="L190" s="162">
        <v>19.05</v>
      </c>
      <c r="M190" s="172">
        <f t="shared" si="2"/>
        <v>19.05</v>
      </c>
      <c r="N190" s="172">
        <f t="shared" si="3"/>
        <v>0</v>
      </c>
      <c r="O190" s="162" t="s">
        <v>7339</v>
      </c>
      <c r="P190" s="162">
        <v>747.53</v>
      </c>
    </row>
    <row r="191" spans="1:16" ht="22.5" customHeight="1">
      <c r="A191" s="160" t="s">
        <v>7336</v>
      </c>
      <c r="B191" s="338">
        <v>2024</v>
      </c>
      <c r="C191" s="160">
        <v>12</v>
      </c>
      <c r="D191" s="343">
        <v>0.66263888888888889</v>
      </c>
      <c r="E191" s="160" t="s">
        <v>256</v>
      </c>
      <c r="F191" s="344" t="s">
        <v>7340</v>
      </c>
      <c r="G191" s="344" t="s">
        <v>7054</v>
      </c>
      <c r="H191" s="160" t="s">
        <v>7047</v>
      </c>
      <c r="I191" s="160" t="s">
        <v>45</v>
      </c>
      <c r="J191" s="162">
        <v>25.19</v>
      </c>
      <c r="K191" s="162">
        <v>-1.75</v>
      </c>
      <c r="L191" s="162">
        <v>23.44</v>
      </c>
      <c r="M191" s="172">
        <f t="shared" si="2"/>
        <v>23.44</v>
      </c>
      <c r="N191" s="172">
        <f t="shared" si="3"/>
        <v>0</v>
      </c>
      <c r="O191" s="162" t="s">
        <v>7341</v>
      </c>
      <c r="P191" s="162">
        <v>770.97</v>
      </c>
    </row>
    <row r="192" spans="1:16" ht="22.5" customHeight="1">
      <c r="A192" s="160" t="s">
        <v>7342</v>
      </c>
      <c r="B192" s="338">
        <v>2024</v>
      </c>
      <c r="C192" s="160">
        <v>12</v>
      </c>
      <c r="D192" s="343">
        <v>0.12753472222222223</v>
      </c>
      <c r="E192" s="160" t="s">
        <v>256</v>
      </c>
      <c r="F192" s="344" t="s">
        <v>7343</v>
      </c>
      <c r="G192" s="344" t="s">
        <v>7046</v>
      </c>
      <c r="H192" s="160" t="s">
        <v>7047</v>
      </c>
      <c r="I192" s="160" t="s">
        <v>45</v>
      </c>
      <c r="J192" s="162">
        <v>25.19</v>
      </c>
      <c r="K192" s="162">
        <v>-1.75</v>
      </c>
      <c r="L192" s="162">
        <v>23.44</v>
      </c>
      <c r="M192" s="172">
        <f t="shared" si="2"/>
        <v>23.44</v>
      </c>
      <c r="N192" s="172">
        <f t="shared" si="3"/>
        <v>0</v>
      </c>
      <c r="O192" s="162" t="s">
        <v>7344</v>
      </c>
      <c r="P192" s="162">
        <v>794.41</v>
      </c>
    </row>
    <row r="193" spans="1:16" ht="22.5" customHeight="1">
      <c r="A193" s="160" t="s">
        <v>7342</v>
      </c>
      <c r="B193" s="338">
        <v>2024</v>
      </c>
      <c r="C193" s="160">
        <v>12</v>
      </c>
      <c r="D193" s="343">
        <v>0.13260416666666666</v>
      </c>
      <c r="E193" s="160" t="s">
        <v>256</v>
      </c>
      <c r="F193" s="344" t="s">
        <v>332</v>
      </c>
      <c r="G193" s="344" t="s">
        <v>7046</v>
      </c>
      <c r="H193" s="160" t="s">
        <v>7047</v>
      </c>
      <c r="I193" s="160" t="s">
        <v>45</v>
      </c>
      <c r="J193" s="162">
        <v>1.0900000000000001</v>
      </c>
      <c r="K193" s="162">
        <v>-0.54</v>
      </c>
      <c r="L193" s="162">
        <v>0.55000000000000004</v>
      </c>
      <c r="M193" s="172">
        <f t="shared" si="2"/>
        <v>0.55000000000000004</v>
      </c>
      <c r="N193" s="172">
        <f t="shared" si="3"/>
        <v>0</v>
      </c>
      <c r="O193" s="162" t="s">
        <v>7345</v>
      </c>
      <c r="P193" s="162">
        <v>794.96</v>
      </c>
    </row>
    <row r="194" spans="1:16" ht="22.5" customHeight="1">
      <c r="A194" s="160" t="s">
        <v>7346</v>
      </c>
      <c r="B194" s="338">
        <v>2024</v>
      </c>
      <c r="C194" s="160">
        <v>12</v>
      </c>
      <c r="D194" s="343">
        <v>0.15119212962962963</v>
      </c>
      <c r="E194" s="160" t="s">
        <v>256</v>
      </c>
      <c r="F194" s="344" t="s">
        <v>268</v>
      </c>
      <c r="G194" s="344" t="s">
        <v>7054</v>
      </c>
      <c r="H194" s="160" t="s">
        <v>7047</v>
      </c>
      <c r="I194" s="160" t="s">
        <v>45</v>
      </c>
      <c r="J194" s="162">
        <v>11.99</v>
      </c>
      <c r="K194" s="162">
        <v>-0.91</v>
      </c>
      <c r="L194" s="162">
        <v>11.08</v>
      </c>
      <c r="M194" s="172">
        <f t="shared" si="2"/>
        <v>11.08</v>
      </c>
      <c r="N194" s="172">
        <f t="shared" si="3"/>
        <v>0</v>
      </c>
      <c r="O194" s="162" t="s">
        <v>7347</v>
      </c>
      <c r="P194" s="162">
        <v>806.04</v>
      </c>
    </row>
    <row r="195" spans="1:16" ht="12.75">
      <c r="A195" s="12"/>
      <c r="B195" s="12"/>
      <c r="C195" s="12"/>
      <c r="D195" s="12"/>
      <c r="E195" s="12"/>
      <c r="F195" s="70"/>
      <c r="G195" s="70"/>
      <c r="H195" s="12"/>
      <c r="I195" s="12"/>
    </row>
    <row r="196" spans="1:16" ht="12.75">
      <c r="A196" s="12"/>
      <c r="B196" s="12"/>
      <c r="C196" s="12"/>
      <c r="D196" s="12"/>
      <c r="E196" s="12"/>
      <c r="F196" s="70"/>
      <c r="G196" s="70"/>
      <c r="H196" s="12"/>
      <c r="I196" s="12"/>
    </row>
    <row r="197" spans="1:16" ht="12.75">
      <c r="A197" s="12"/>
      <c r="B197" s="12"/>
      <c r="C197" s="12"/>
      <c r="D197" s="12"/>
      <c r="E197" s="12"/>
      <c r="F197" s="70"/>
      <c r="G197" s="70"/>
      <c r="H197" s="12"/>
      <c r="I197" s="12"/>
    </row>
    <row r="198" spans="1:16" ht="12.75">
      <c r="A198" s="12"/>
      <c r="B198" s="12"/>
      <c r="C198" s="12"/>
      <c r="D198" s="12"/>
      <c r="E198" s="12"/>
      <c r="F198" s="70"/>
      <c r="G198" s="70"/>
      <c r="H198" s="12"/>
      <c r="I198" s="12"/>
    </row>
    <row r="199" spans="1:16" ht="12.75">
      <c r="A199" s="12"/>
      <c r="B199" s="12"/>
      <c r="C199" s="12"/>
      <c r="D199" s="12"/>
      <c r="E199" s="12"/>
      <c r="F199" s="70"/>
      <c r="G199" s="70"/>
      <c r="H199" s="12"/>
      <c r="I199" s="12"/>
    </row>
    <row r="200" spans="1:16" ht="12.75">
      <c r="A200" s="12"/>
      <c r="B200" s="12"/>
      <c r="C200" s="12"/>
      <c r="D200" s="12"/>
      <c r="E200" s="12"/>
      <c r="F200" s="70"/>
      <c r="G200" s="70"/>
      <c r="H200" s="12"/>
      <c r="I200" s="12"/>
    </row>
    <row r="201" spans="1:16" ht="12.75">
      <c r="A201" s="12"/>
      <c r="B201" s="12"/>
      <c r="C201" s="12"/>
      <c r="D201" s="12"/>
      <c r="E201" s="12"/>
      <c r="F201" s="70"/>
      <c r="G201" s="70"/>
      <c r="H201" s="12"/>
      <c r="I201" s="12"/>
    </row>
    <row r="202" spans="1:16" ht="12.75">
      <c r="A202" s="12"/>
      <c r="B202" s="12"/>
      <c r="C202" s="12"/>
      <c r="D202" s="12"/>
      <c r="E202" s="12"/>
      <c r="F202" s="70"/>
      <c r="G202" s="70"/>
      <c r="H202" s="12"/>
      <c r="I202" s="12"/>
    </row>
    <row r="203" spans="1:16" ht="12.75">
      <c r="A203" s="12"/>
      <c r="B203" s="12"/>
      <c r="C203" s="12"/>
      <c r="D203" s="12"/>
      <c r="E203" s="12"/>
      <c r="F203" s="70"/>
      <c r="G203" s="70"/>
      <c r="H203" s="12"/>
      <c r="I203" s="12"/>
    </row>
    <row r="204" spans="1:16" ht="12.75">
      <c r="A204" s="12"/>
      <c r="B204" s="12"/>
      <c r="C204" s="12"/>
      <c r="D204" s="12"/>
      <c r="E204" s="12"/>
      <c r="F204" s="70"/>
      <c r="G204" s="70"/>
      <c r="H204" s="12"/>
      <c r="I204" s="12"/>
    </row>
    <row r="205" spans="1:16" ht="12.75">
      <c r="A205" s="12"/>
      <c r="B205" s="12"/>
      <c r="C205" s="12"/>
      <c r="D205" s="12"/>
      <c r="E205" s="12"/>
      <c r="F205" s="70"/>
      <c r="G205" s="70"/>
      <c r="H205" s="12"/>
      <c r="I205" s="12"/>
    </row>
    <row r="206" spans="1:16" ht="12.75">
      <c r="A206" s="12"/>
      <c r="B206" s="12"/>
      <c r="C206" s="12"/>
      <c r="D206" s="12"/>
      <c r="E206" s="12"/>
      <c r="F206" s="70"/>
      <c r="G206" s="70"/>
      <c r="H206" s="12"/>
      <c r="I206" s="12"/>
    </row>
    <row r="207" spans="1:16" ht="12.75">
      <c r="A207" s="12"/>
      <c r="B207" s="12"/>
      <c r="C207" s="12"/>
      <c r="D207" s="12"/>
      <c r="E207" s="12"/>
      <c r="F207" s="70"/>
      <c r="G207" s="70"/>
      <c r="H207" s="12"/>
      <c r="I207" s="12"/>
    </row>
    <row r="208" spans="1:16" ht="12.75">
      <c r="A208" s="12"/>
      <c r="B208" s="12"/>
      <c r="C208" s="12"/>
      <c r="D208" s="12"/>
      <c r="E208" s="12"/>
      <c r="F208" s="70"/>
      <c r="G208" s="70"/>
      <c r="H208" s="12"/>
      <c r="I208" s="12"/>
    </row>
    <row r="209" spans="1:9" ht="12.75">
      <c r="A209" s="12"/>
      <c r="B209" s="12"/>
      <c r="C209" s="12"/>
      <c r="D209" s="12"/>
      <c r="E209" s="12"/>
      <c r="F209" s="70"/>
      <c r="G209" s="70"/>
      <c r="H209" s="12"/>
      <c r="I209" s="12"/>
    </row>
    <row r="210" spans="1:9" ht="12.75">
      <c r="A210" s="12"/>
      <c r="B210" s="12"/>
      <c r="C210" s="12"/>
      <c r="D210" s="12"/>
      <c r="E210" s="12"/>
      <c r="F210" s="70"/>
      <c r="G210" s="70"/>
      <c r="H210" s="12"/>
      <c r="I210" s="12"/>
    </row>
    <row r="211" spans="1:9" ht="12.75">
      <c r="A211" s="12"/>
      <c r="B211" s="12"/>
      <c r="C211" s="12"/>
      <c r="D211" s="12"/>
      <c r="E211" s="12"/>
      <c r="F211" s="70"/>
      <c r="G211" s="70"/>
      <c r="H211" s="12"/>
      <c r="I211" s="12"/>
    </row>
    <row r="212" spans="1:9" ht="12.75">
      <c r="A212" s="12"/>
      <c r="B212" s="12"/>
      <c r="C212" s="12"/>
      <c r="D212" s="12"/>
      <c r="E212" s="12"/>
      <c r="F212" s="70"/>
      <c r="G212" s="70"/>
      <c r="H212" s="12"/>
      <c r="I212" s="12"/>
    </row>
    <row r="213" spans="1:9" ht="12.75">
      <c r="A213" s="12"/>
      <c r="B213" s="12"/>
      <c r="C213" s="12"/>
      <c r="D213" s="12"/>
      <c r="E213" s="12"/>
      <c r="F213" s="70"/>
      <c r="G213" s="70"/>
      <c r="H213" s="12"/>
      <c r="I213" s="12"/>
    </row>
    <row r="214" spans="1:9" ht="12.75">
      <c r="A214" s="12"/>
      <c r="B214" s="12"/>
      <c r="C214" s="12"/>
      <c r="D214" s="12"/>
      <c r="E214" s="12"/>
      <c r="F214" s="70"/>
      <c r="G214" s="70"/>
      <c r="H214" s="12"/>
      <c r="I214" s="12"/>
    </row>
    <row r="215" spans="1:9" ht="12.75">
      <c r="A215" s="12"/>
      <c r="B215" s="12"/>
      <c r="C215" s="12"/>
      <c r="D215" s="12"/>
      <c r="E215" s="12"/>
      <c r="F215" s="70"/>
      <c r="G215" s="70"/>
      <c r="H215" s="12"/>
      <c r="I215" s="12"/>
    </row>
    <row r="216" spans="1:9" ht="12.75">
      <c r="A216" s="12"/>
      <c r="B216" s="12"/>
      <c r="C216" s="12"/>
      <c r="D216" s="12"/>
      <c r="E216" s="12"/>
      <c r="F216" s="70"/>
      <c r="G216" s="70"/>
      <c r="H216" s="12"/>
      <c r="I216" s="12"/>
    </row>
    <row r="217" spans="1:9" ht="12.75">
      <c r="A217" s="12"/>
      <c r="B217" s="12"/>
      <c r="C217" s="12"/>
      <c r="D217" s="12"/>
      <c r="E217" s="12"/>
      <c r="F217" s="70"/>
      <c r="G217" s="70"/>
      <c r="H217" s="12"/>
      <c r="I217" s="12"/>
    </row>
    <row r="218" spans="1:9" ht="12.75">
      <c r="A218" s="12"/>
      <c r="B218" s="12"/>
      <c r="C218" s="12"/>
      <c r="D218" s="12"/>
      <c r="E218" s="12"/>
      <c r="F218" s="70"/>
      <c r="G218" s="70"/>
      <c r="H218" s="12"/>
      <c r="I218" s="12"/>
    </row>
    <row r="219" spans="1:9" ht="12.75">
      <c r="A219" s="12"/>
      <c r="B219" s="12"/>
      <c r="C219" s="12"/>
      <c r="D219" s="12"/>
      <c r="E219" s="12"/>
      <c r="F219" s="70"/>
      <c r="G219" s="70"/>
      <c r="H219" s="12"/>
      <c r="I219" s="12"/>
    </row>
    <row r="220" spans="1:9" ht="12.75">
      <c r="A220" s="12"/>
      <c r="B220" s="12"/>
      <c r="C220" s="12"/>
      <c r="D220" s="12"/>
      <c r="E220" s="12"/>
      <c r="F220" s="70"/>
      <c r="G220" s="70"/>
      <c r="H220" s="12"/>
      <c r="I220" s="12"/>
    </row>
    <row r="221" spans="1:9" ht="12.75">
      <c r="A221" s="12"/>
      <c r="B221" s="12"/>
      <c r="C221" s="12"/>
      <c r="D221" s="12"/>
      <c r="E221" s="12"/>
      <c r="F221" s="70"/>
      <c r="G221" s="70"/>
      <c r="H221" s="12"/>
      <c r="I221" s="12"/>
    </row>
    <row r="222" spans="1:9" ht="12.75">
      <c r="A222" s="12"/>
      <c r="B222" s="12"/>
      <c r="C222" s="12"/>
      <c r="D222" s="12"/>
      <c r="E222" s="12"/>
      <c r="F222" s="70"/>
      <c r="G222" s="70"/>
      <c r="H222" s="12"/>
      <c r="I222" s="12"/>
    </row>
    <row r="223" spans="1:9" ht="12.75">
      <c r="A223" s="12"/>
      <c r="B223" s="12"/>
      <c r="C223" s="12"/>
      <c r="D223" s="12"/>
      <c r="E223" s="12"/>
      <c r="F223" s="70"/>
      <c r="G223" s="70"/>
      <c r="H223" s="12"/>
      <c r="I223" s="12"/>
    </row>
    <row r="224" spans="1:9" ht="12.75">
      <c r="A224" s="12"/>
      <c r="B224" s="12"/>
      <c r="C224" s="12"/>
      <c r="D224" s="12"/>
      <c r="E224" s="12"/>
      <c r="F224" s="70"/>
      <c r="G224" s="70"/>
      <c r="H224" s="12"/>
      <c r="I224" s="12"/>
    </row>
    <row r="225" spans="1:9" ht="12.75">
      <c r="A225" s="12"/>
      <c r="B225" s="12"/>
      <c r="C225" s="12"/>
      <c r="D225" s="12"/>
      <c r="E225" s="12"/>
      <c r="F225" s="70"/>
      <c r="G225" s="70"/>
      <c r="H225" s="12"/>
      <c r="I225" s="12"/>
    </row>
    <row r="226" spans="1:9" ht="12.75">
      <c r="A226" s="12"/>
      <c r="B226" s="12"/>
      <c r="C226" s="12"/>
      <c r="D226" s="12"/>
      <c r="E226" s="12"/>
      <c r="F226" s="70"/>
      <c r="G226" s="70"/>
      <c r="H226" s="12"/>
      <c r="I226" s="12"/>
    </row>
    <row r="227" spans="1:9" ht="12.75">
      <c r="A227" s="12"/>
      <c r="B227" s="12"/>
      <c r="C227" s="12"/>
      <c r="D227" s="12"/>
      <c r="E227" s="12"/>
      <c r="F227" s="70"/>
      <c r="G227" s="70"/>
      <c r="H227" s="12"/>
      <c r="I227" s="12"/>
    </row>
    <row r="228" spans="1:9" ht="12.75">
      <c r="A228" s="12"/>
      <c r="B228" s="12"/>
      <c r="C228" s="12"/>
      <c r="D228" s="12"/>
      <c r="E228" s="12"/>
      <c r="F228" s="70"/>
      <c r="G228" s="70"/>
      <c r="H228" s="12"/>
      <c r="I228" s="12"/>
    </row>
    <row r="229" spans="1:9" ht="12.75">
      <c r="A229" s="12"/>
      <c r="B229" s="12"/>
      <c r="C229" s="12"/>
      <c r="D229" s="12"/>
      <c r="E229" s="12"/>
      <c r="F229" s="70"/>
      <c r="G229" s="70"/>
      <c r="H229" s="12"/>
      <c r="I229" s="12"/>
    </row>
    <row r="230" spans="1:9" ht="12.75">
      <c r="A230" s="12"/>
      <c r="B230" s="12"/>
      <c r="C230" s="12"/>
      <c r="D230" s="12"/>
      <c r="E230" s="12"/>
      <c r="F230" s="70"/>
      <c r="G230" s="70"/>
      <c r="H230" s="12"/>
      <c r="I230" s="12"/>
    </row>
    <row r="231" spans="1:9" ht="12.75">
      <c r="A231" s="12"/>
      <c r="B231" s="12"/>
      <c r="C231" s="12"/>
      <c r="D231" s="12"/>
      <c r="E231" s="12"/>
      <c r="F231" s="70"/>
      <c r="G231" s="70"/>
      <c r="H231" s="12"/>
      <c r="I231" s="12"/>
    </row>
    <row r="232" spans="1:9" ht="12.75">
      <c r="A232" s="12"/>
      <c r="B232" s="12"/>
      <c r="C232" s="12"/>
      <c r="D232" s="12"/>
      <c r="E232" s="12"/>
      <c r="F232" s="70"/>
      <c r="G232" s="70"/>
      <c r="H232" s="12"/>
      <c r="I232" s="12"/>
    </row>
    <row r="233" spans="1:9" ht="12.75">
      <c r="A233" s="12"/>
      <c r="B233" s="12"/>
      <c r="C233" s="12"/>
      <c r="D233" s="12"/>
      <c r="E233" s="12"/>
      <c r="F233" s="70"/>
      <c r="G233" s="70"/>
      <c r="H233" s="12"/>
      <c r="I233" s="12"/>
    </row>
    <row r="234" spans="1:9" ht="12.75">
      <c r="A234" s="12"/>
      <c r="B234" s="12"/>
      <c r="C234" s="12"/>
      <c r="D234" s="12"/>
      <c r="E234" s="12"/>
      <c r="F234" s="70"/>
      <c r="G234" s="70"/>
      <c r="H234" s="12"/>
      <c r="I234" s="12"/>
    </row>
    <row r="235" spans="1:9" ht="12.75">
      <c r="A235" s="12"/>
      <c r="B235" s="12"/>
      <c r="C235" s="12"/>
      <c r="D235" s="12"/>
      <c r="E235" s="12"/>
      <c r="F235" s="70"/>
      <c r="G235" s="70"/>
      <c r="H235" s="12"/>
      <c r="I235" s="12"/>
    </row>
    <row r="236" spans="1:9" ht="12.75">
      <c r="A236" s="12"/>
      <c r="B236" s="12"/>
      <c r="C236" s="12"/>
      <c r="D236" s="12"/>
      <c r="E236" s="12"/>
      <c r="F236" s="70"/>
      <c r="G236" s="70"/>
      <c r="H236" s="12"/>
      <c r="I236" s="12"/>
    </row>
    <row r="237" spans="1:9" ht="12.75">
      <c r="A237" s="12"/>
      <c r="B237" s="12"/>
      <c r="C237" s="12"/>
      <c r="D237" s="12"/>
      <c r="E237" s="12"/>
      <c r="F237" s="70"/>
      <c r="G237" s="70"/>
      <c r="H237" s="12"/>
      <c r="I237" s="12"/>
    </row>
    <row r="238" spans="1:9" ht="12.75">
      <c r="A238" s="12"/>
      <c r="B238" s="12"/>
      <c r="C238" s="12"/>
      <c r="D238" s="12"/>
      <c r="E238" s="12"/>
      <c r="F238" s="70"/>
      <c r="G238" s="70"/>
      <c r="H238" s="12"/>
      <c r="I238" s="12"/>
    </row>
    <row r="239" spans="1:9" ht="12.75">
      <c r="A239" s="12"/>
      <c r="B239" s="12"/>
      <c r="C239" s="12"/>
      <c r="D239" s="12"/>
      <c r="E239" s="12"/>
      <c r="F239" s="70"/>
      <c r="G239" s="70"/>
      <c r="H239" s="12"/>
      <c r="I239" s="12"/>
    </row>
    <row r="240" spans="1:9" ht="12.75">
      <c r="A240" s="12"/>
      <c r="B240" s="12"/>
      <c r="C240" s="12"/>
      <c r="D240" s="12"/>
      <c r="E240" s="12"/>
      <c r="F240" s="70"/>
      <c r="G240" s="70"/>
      <c r="H240" s="12"/>
      <c r="I240" s="12"/>
    </row>
    <row r="241" spans="1:9" ht="12.75">
      <c r="A241" s="12"/>
      <c r="B241" s="12"/>
      <c r="C241" s="12"/>
      <c r="D241" s="12"/>
      <c r="E241" s="12"/>
      <c r="F241" s="70"/>
      <c r="G241" s="70"/>
      <c r="H241" s="12"/>
      <c r="I241" s="12"/>
    </row>
    <row r="242" spans="1:9" ht="12.75">
      <c r="A242" s="12"/>
      <c r="B242" s="12"/>
      <c r="C242" s="12"/>
      <c r="D242" s="12"/>
      <c r="E242" s="12"/>
      <c r="F242" s="70"/>
      <c r="G242" s="70"/>
      <c r="H242" s="12"/>
      <c r="I242" s="12"/>
    </row>
    <row r="243" spans="1:9" ht="12.75">
      <c r="A243" s="12"/>
      <c r="B243" s="12"/>
      <c r="C243" s="12"/>
      <c r="D243" s="12"/>
      <c r="E243" s="12"/>
      <c r="F243" s="70"/>
      <c r="G243" s="70"/>
      <c r="H243" s="12"/>
      <c r="I243" s="12"/>
    </row>
    <row r="244" spans="1:9" ht="12.75">
      <c r="A244" s="12"/>
      <c r="B244" s="12"/>
      <c r="C244" s="12"/>
      <c r="D244" s="12"/>
      <c r="E244" s="12"/>
      <c r="F244" s="70"/>
      <c r="G244" s="70"/>
      <c r="H244" s="12"/>
      <c r="I244" s="12"/>
    </row>
    <row r="245" spans="1:9" ht="12.75">
      <c r="A245" s="12"/>
      <c r="B245" s="12"/>
      <c r="C245" s="12"/>
      <c r="D245" s="12"/>
      <c r="E245" s="12"/>
      <c r="F245" s="70"/>
      <c r="G245" s="70"/>
      <c r="H245" s="12"/>
      <c r="I245" s="12"/>
    </row>
    <row r="246" spans="1:9" ht="12.75">
      <c r="A246" s="12"/>
      <c r="B246" s="12"/>
      <c r="C246" s="12"/>
      <c r="D246" s="12"/>
      <c r="E246" s="12"/>
      <c r="F246" s="70"/>
      <c r="G246" s="70"/>
      <c r="H246" s="12"/>
      <c r="I246" s="12"/>
    </row>
    <row r="247" spans="1:9" ht="12.75">
      <c r="A247" s="12"/>
      <c r="B247" s="12"/>
      <c r="C247" s="12"/>
      <c r="D247" s="12"/>
      <c r="E247" s="12"/>
      <c r="F247" s="70"/>
      <c r="G247" s="70"/>
      <c r="H247" s="12"/>
      <c r="I247" s="12"/>
    </row>
    <row r="248" spans="1:9" ht="12.75">
      <c r="A248" s="12"/>
      <c r="B248" s="12"/>
      <c r="C248" s="12"/>
      <c r="D248" s="12"/>
      <c r="E248" s="12"/>
      <c r="F248" s="70"/>
      <c r="G248" s="70"/>
      <c r="H248" s="12"/>
      <c r="I248" s="12"/>
    </row>
    <row r="249" spans="1:9" ht="12.75">
      <c r="A249" s="12"/>
      <c r="B249" s="12"/>
      <c r="C249" s="12"/>
      <c r="D249" s="12"/>
      <c r="E249" s="12"/>
      <c r="F249" s="70"/>
      <c r="G249" s="70"/>
      <c r="H249" s="12"/>
      <c r="I249" s="12"/>
    </row>
    <row r="250" spans="1:9" ht="12.75">
      <c r="A250" s="12"/>
      <c r="B250" s="12"/>
      <c r="C250" s="12"/>
      <c r="D250" s="12"/>
      <c r="E250" s="12"/>
      <c r="F250" s="70"/>
      <c r="G250" s="70"/>
      <c r="H250" s="12"/>
      <c r="I250" s="12"/>
    </row>
    <row r="251" spans="1:9" ht="12.75">
      <c r="A251" s="12"/>
      <c r="B251" s="12"/>
      <c r="C251" s="12"/>
      <c r="D251" s="12"/>
      <c r="E251" s="12"/>
      <c r="F251" s="70"/>
      <c r="G251" s="70"/>
      <c r="H251" s="12"/>
      <c r="I251" s="12"/>
    </row>
    <row r="252" spans="1:9" ht="12.75">
      <c r="A252" s="12"/>
      <c r="B252" s="12"/>
      <c r="C252" s="12"/>
      <c r="D252" s="12"/>
      <c r="E252" s="12"/>
      <c r="F252" s="70"/>
      <c r="G252" s="70"/>
      <c r="H252" s="12"/>
      <c r="I252" s="12"/>
    </row>
    <row r="253" spans="1:9" ht="12.75">
      <c r="A253" s="12"/>
      <c r="B253" s="12"/>
      <c r="C253" s="12"/>
      <c r="D253" s="12"/>
      <c r="E253" s="12"/>
      <c r="F253" s="70"/>
      <c r="G253" s="70"/>
      <c r="H253" s="12"/>
      <c r="I253" s="12"/>
    </row>
    <row r="254" spans="1:9" ht="12.75">
      <c r="A254" s="12"/>
      <c r="B254" s="12"/>
      <c r="C254" s="12"/>
      <c r="D254" s="12"/>
      <c r="E254" s="12"/>
      <c r="F254" s="70"/>
      <c r="G254" s="70"/>
      <c r="H254" s="12"/>
      <c r="I254" s="12"/>
    </row>
    <row r="255" spans="1:9" ht="12.75">
      <c r="A255" s="12"/>
      <c r="B255" s="12"/>
      <c r="C255" s="12"/>
      <c r="D255" s="12"/>
      <c r="E255" s="12"/>
      <c r="F255" s="70"/>
      <c r="G255" s="70"/>
      <c r="H255" s="12"/>
      <c r="I255" s="12"/>
    </row>
    <row r="256" spans="1:9" ht="12.75">
      <c r="A256" s="12"/>
      <c r="B256" s="12"/>
      <c r="C256" s="12"/>
      <c r="D256" s="12"/>
      <c r="E256" s="12"/>
      <c r="F256" s="70"/>
      <c r="G256" s="70"/>
      <c r="H256" s="12"/>
      <c r="I256" s="12"/>
    </row>
    <row r="257" spans="1:9" ht="12.75">
      <c r="A257" s="12"/>
      <c r="B257" s="12"/>
      <c r="C257" s="12"/>
      <c r="D257" s="12"/>
      <c r="E257" s="12"/>
      <c r="F257" s="70"/>
      <c r="G257" s="70"/>
      <c r="H257" s="12"/>
      <c r="I257" s="12"/>
    </row>
    <row r="258" spans="1:9" ht="12.75">
      <c r="A258" s="12"/>
      <c r="B258" s="12"/>
      <c r="C258" s="12"/>
      <c r="D258" s="12"/>
      <c r="E258" s="12"/>
      <c r="F258" s="70"/>
      <c r="G258" s="70"/>
      <c r="H258" s="12"/>
      <c r="I258" s="12"/>
    </row>
    <row r="259" spans="1:9" ht="12.75">
      <c r="A259" s="12"/>
      <c r="B259" s="12"/>
      <c r="C259" s="12"/>
      <c r="D259" s="12"/>
      <c r="E259" s="12"/>
      <c r="F259" s="70"/>
      <c r="G259" s="70"/>
      <c r="H259" s="12"/>
      <c r="I259" s="12"/>
    </row>
    <row r="260" spans="1:9" ht="12.75">
      <c r="A260" s="12"/>
      <c r="B260" s="12"/>
      <c r="C260" s="12"/>
      <c r="D260" s="12"/>
      <c r="E260" s="12"/>
      <c r="F260" s="70"/>
      <c r="G260" s="70"/>
      <c r="H260" s="12"/>
      <c r="I260" s="12"/>
    </row>
    <row r="261" spans="1:9" ht="12.75">
      <c r="A261" s="12"/>
      <c r="B261" s="12"/>
      <c r="C261" s="12"/>
      <c r="D261" s="12"/>
      <c r="E261" s="12"/>
      <c r="F261" s="70"/>
      <c r="G261" s="70"/>
      <c r="H261" s="12"/>
      <c r="I261" s="12"/>
    </row>
    <row r="262" spans="1:9" ht="12.75">
      <c r="A262" s="12"/>
      <c r="B262" s="12"/>
      <c r="C262" s="12"/>
      <c r="D262" s="12"/>
      <c r="E262" s="12"/>
      <c r="F262" s="70"/>
      <c r="G262" s="70"/>
      <c r="H262" s="12"/>
      <c r="I262" s="12"/>
    </row>
    <row r="263" spans="1:9" ht="12.75">
      <c r="A263" s="12"/>
      <c r="B263" s="12"/>
      <c r="C263" s="12"/>
      <c r="D263" s="12"/>
      <c r="E263" s="12"/>
      <c r="F263" s="70"/>
      <c r="G263" s="70"/>
      <c r="H263" s="12"/>
      <c r="I263" s="12"/>
    </row>
    <row r="264" spans="1:9" ht="12.75">
      <c r="A264" s="12"/>
      <c r="B264" s="12"/>
      <c r="C264" s="12"/>
      <c r="D264" s="12"/>
      <c r="E264" s="12"/>
      <c r="F264" s="70"/>
      <c r="G264" s="70"/>
      <c r="H264" s="12"/>
      <c r="I264" s="12"/>
    </row>
    <row r="265" spans="1:9" ht="12.75">
      <c r="A265" s="12"/>
      <c r="B265" s="12"/>
      <c r="C265" s="12"/>
      <c r="D265" s="12"/>
      <c r="E265" s="12"/>
      <c r="F265" s="70"/>
      <c r="G265" s="70"/>
      <c r="H265" s="12"/>
      <c r="I265" s="12"/>
    </row>
    <row r="266" spans="1:9" ht="12.75">
      <c r="A266" s="12"/>
      <c r="B266" s="12"/>
      <c r="C266" s="12"/>
      <c r="D266" s="12"/>
      <c r="E266" s="12"/>
      <c r="F266" s="70"/>
      <c r="G266" s="70"/>
      <c r="H266" s="12"/>
      <c r="I266" s="12"/>
    </row>
    <row r="267" spans="1:9" ht="12.75">
      <c r="A267" s="12"/>
      <c r="B267" s="12"/>
      <c r="C267" s="12"/>
      <c r="D267" s="12"/>
      <c r="E267" s="12"/>
      <c r="F267" s="70"/>
      <c r="G267" s="70"/>
      <c r="H267" s="12"/>
      <c r="I267" s="12"/>
    </row>
    <row r="268" spans="1:9" ht="12.75">
      <c r="A268" s="12"/>
      <c r="B268" s="12"/>
      <c r="C268" s="12"/>
      <c r="D268" s="12"/>
      <c r="E268" s="12"/>
      <c r="F268" s="70"/>
      <c r="G268" s="70"/>
      <c r="H268" s="12"/>
      <c r="I268" s="12"/>
    </row>
    <row r="269" spans="1:9" ht="12.75">
      <c r="A269" s="12"/>
      <c r="B269" s="12"/>
      <c r="C269" s="12"/>
      <c r="D269" s="12"/>
      <c r="E269" s="12"/>
      <c r="F269" s="70"/>
      <c r="G269" s="70"/>
      <c r="H269" s="12"/>
      <c r="I269" s="12"/>
    </row>
    <row r="270" spans="1:9" ht="12.75">
      <c r="A270" s="12"/>
      <c r="B270" s="12"/>
      <c r="C270" s="12"/>
      <c r="D270" s="12"/>
      <c r="E270" s="12"/>
      <c r="F270" s="70"/>
      <c r="G270" s="70"/>
      <c r="H270" s="12"/>
      <c r="I270" s="12"/>
    </row>
    <row r="271" spans="1:9" ht="12.75">
      <c r="A271" s="12"/>
      <c r="B271" s="12"/>
      <c r="C271" s="12"/>
      <c r="D271" s="12"/>
      <c r="E271" s="12"/>
      <c r="F271" s="70"/>
      <c r="G271" s="70"/>
      <c r="H271" s="12"/>
      <c r="I271" s="12"/>
    </row>
    <row r="272" spans="1:9" ht="12.75">
      <c r="A272" s="12"/>
      <c r="B272" s="12"/>
      <c r="C272" s="12"/>
      <c r="D272" s="12"/>
      <c r="E272" s="12"/>
      <c r="F272" s="70"/>
      <c r="G272" s="70"/>
      <c r="H272" s="12"/>
      <c r="I272" s="12"/>
    </row>
    <row r="273" spans="1:9" ht="12.75">
      <c r="A273" s="12"/>
      <c r="B273" s="12"/>
      <c r="C273" s="12"/>
      <c r="D273" s="12"/>
      <c r="E273" s="12"/>
      <c r="F273" s="70"/>
      <c r="G273" s="70"/>
      <c r="H273" s="12"/>
      <c r="I273" s="12"/>
    </row>
    <row r="274" spans="1:9" ht="12.75">
      <c r="A274" s="12"/>
      <c r="B274" s="12"/>
      <c r="C274" s="12"/>
      <c r="D274" s="12"/>
      <c r="E274" s="12"/>
      <c r="F274" s="70"/>
      <c r="G274" s="70"/>
      <c r="H274" s="12"/>
      <c r="I274" s="12"/>
    </row>
    <row r="275" spans="1:9" ht="12.75">
      <c r="A275" s="12"/>
      <c r="B275" s="12"/>
      <c r="C275" s="12"/>
      <c r="D275" s="12"/>
      <c r="E275" s="12"/>
      <c r="F275" s="70"/>
      <c r="G275" s="70"/>
      <c r="H275" s="12"/>
      <c r="I275" s="12"/>
    </row>
    <row r="276" spans="1:9" ht="12.75">
      <c r="A276" s="12"/>
      <c r="B276" s="12"/>
      <c r="C276" s="12"/>
      <c r="D276" s="12"/>
      <c r="E276" s="12"/>
      <c r="F276" s="70"/>
      <c r="G276" s="70"/>
      <c r="H276" s="12"/>
      <c r="I276" s="12"/>
    </row>
    <row r="277" spans="1:9" ht="12.75">
      <c r="A277" s="12"/>
      <c r="B277" s="12"/>
      <c r="C277" s="12"/>
      <c r="D277" s="12"/>
      <c r="E277" s="12"/>
      <c r="F277" s="70"/>
      <c r="G277" s="70"/>
      <c r="H277" s="12"/>
      <c r="I277" s="12"/>
    </row>
    <row r="278" spans="1:9" ht="12.75">
      <c r="A278" s="12"/>
      <c r="B278" s="12"/>
      <c r="C278" s="12"/>
      <c r="D278" s="12"/>
      <c r="E278" s="12"/>
      <c r="F278" s="70"/>
      <c r="G278" s="70"/>
      <c r="H278" s="12"/>
      <c r="I278" s="12"/>
    </row>
    <row r="279" spans="1:9" ht="12.75">
      <c r="A279" s="12"/>
      <c r="B279" s="12"/>
      <c r="C279" s="12"/>
      <c r="D279" s="12"/>
      <c r="E279" s="12"/>
      <c r="F279" s="70"/>
      <c r="G279" s="70"/>
      <c r="H279" s="12"/>
      <c r="I279" s="12"/>
    </row>
    <row r="280" spans="1:9" ht="12.75">
      <c r="A280" s="12"/>
      <c r="B280" s="12"/>
      <c r="C280" s="12"/>
      <c r="D280" s="12"/>
      <c r="E280" s="12"/>
      <c r="F280" s="70"/>
      <c r="G280" s="70"/>
      <c r="H280" s="12"/>
      <c r="I280" s="12"/>
    </row>
    <row r="281" spans="1:9" ht="12.75">
      <c r="A281" s="12"/>
      <c r="B281" s="12"/>
      <c r="C281" s="12"/>
      <c r="D281" s="12"/>
      <c r="E281" s="12"/>
      <c r="F281" s="70"/>
      <c r="G281" s="70"/>
      <c r="H281" s="12"/>
      <c r="I281" s="12"/>
    </row>
    <row r="282" spans="1:9" ht="12.75">
      <c r="A282" s="12"/>
      <c r="B282" s="12"/>
      <c r="C282" s="12"/>
      <c r="D282" s="12"/>
      <c r="E282" s="12"/>
      <c r="F282" s="70"/>
      <c r="G282" s="70"/>
      <c r="H282" s="12"/>
      <c r="I282" s="12"/>
    </row>
    <row r="283" spans="1:9" ht="12.75">
      <c r="A283" s="12"/>
      <c r="B283" s="12"/>
      <c r="C283" s="12"/>
      <c r="D283" s="12"/>
      <c r="E283" s="12"/>
      <c r="F283" s="70"/>
      <c r="G283" s="70"/>
      <c r="H283" s="12"/>
      <c r="I283" s="12"/>
    </row>
    <row r="284" spans="1:9" ht="12.75">
      <c r="A284" s="12"/>
      <c r="B284" s="12"/>
      <c r="C284" s="12"/>
      <c r="D284" s="12"/>
      <c r="E284" s="12"/>
      <c r="F284" s="70"/>
      <c r="G284" s="70"/>
      <c r="H284" s="12"/>
      <c r="I284" s="12"/>
    </row>
    <row r="285" spans="1:9" ht="12.75">
      <c r="A285" s="12"/>
      <c r="B285" s="12"/>
      <c r="C285" s="12"/>
      <c r="D285" s="12"/>
      <c r="E285" s="12"/>
      <c r="F285" s="70"/>
      <c r="G285" s="70"/>
      <c r="H285" s="12"/>
      <c r="I285" s="12"/>
    </row>
    <row r="286" spans="1:9" ht="12.75">
      <c r="A286" s="12"/>
      <c r="B286" s="12"/>
      <c r="C286" s="12"/>
      <c r="D286" s="12"/>
      <c r="E286" s="12"/>
      <c r="F286" s="70"/>
      <c r="G286" s="70"/>
      <c r="H286" s="12"/>
      <c r="I286" s="12"/>
    </row>
    <row r="287" spans="1:9" ht="12.75">
      <c r="A287" s="12"/>
      <c r="B287" s="12"/>
      <c r="C287" s="12"/>
      <c r="D287" s="12"/>
      <c r="E287" s="12"/>
      <c r="F287" s="70"/>
      <c r="G287" s="70"/>
      <c r="H287" s="12"/>
      <c r="I287" s="12"/>
    </row>
    <row r="288" spans="1:9" ht="12.75">
      <c r="A288" s="12"/>
      <c r="B288" s="12"/>
      <c r="C288" s="12"/>
      <c r="D288" s="12"/>
      <c r="E288" s="12"/>
      <c r="F288" s="70"/>
      <c r="G288" s="70"/>
      <c r="H288" s="12"/>
      <c r="I288" s="12"/>
    </row>
    <row r="289" spans="1:9" ht="12.75">
      <c r="A289" s="12"/>
      <c r="B289" s="12"/>
      <c r="C289" s="12"/>
      <c r="D289" s="12"/>
      <c r="E289" s="12"/>
      <c r="F289" s="70"/>
      <c r="G289" s="70"/>
      <c r="H289" s="12"/>
      <c r="I289" s="12"/>
    </row>
    <row r="290" spans="1:9" ht="12.75">
      <c r="A290" s="12"/>
      <c r="B290" s="12"/>
      <c r="C290" s="12"/>
      <c r="D290" s="12"/>
      <c r="E290" s="12"/>
      <c r="F290" s="70"/>
      <c r="G290" s="70"/>
      <c r="H290" s="12"/>
      <c r="I290" s="12"/>
    </row>
    <row r="291" spans="1:9" ht="12.75">
      <c r="A291" s="12"/>
      <c r="B291" s="12"/>
      <c r="C291" s="12"/>
      <c r="D291" s="12"/>
      <c r="E291" s="12"/>
      <c r="F291" s="70"/>
      <c r="G291" s="70"/>
      <c r="H291" s="12"/>
      <c r="I291" s="12"/>
    </row>
    <row r="292" spans="1:9" ht="12.75">
      <c r="A292" s="12"/>
      <c r="B292" s="12"/>
      <c r="C292" s="12"/>
      <c r="D292" s="12"/>
      <c r="E292" s="12"/>
      <c r="F292" s="70"/>
      <c r="G292" s="70"/>
      <c r="H292" s="12"/>
      <c r="I292" s="12"/>
    </row>
    <row r="293" spans="1:9" ht="12.75">
      <c r="A293" s="12"/>
      <c r="B293" s="12"/>
      <c r="C293" s="12"/>
      <c r="D293" s="12"/>
      <c r="E293" s="12"/>
      <c r="F293" s="70"/>
      <c r="G293" s="70"/>
      <c r="H293" s="12"/>
      <c r="I293" s="12"/>
    </row>
    <row r="294" spans="1:9" ht="12.75">
      <c r="A294" s="12"/>
      <c r="B294" s="12"/>
      <c r="C294" s="12"/>
      <c r="D294" s="12"/>
      <c r="E294" s="12"/>
      <c r="F294" s="70"/>
      <c r="G294" s="70"/>
      <c r="H294" s="12"/>
      <c r="I294" s="12"/>
    </row>
    <row r="295" spans="1:9" ht="12.75">
      <c r="A295" s="12"/>
      <c r="B295" s="12"/>
      <c r="C295" s="12"/>
      <c r="D295" s="12"/>
      <c r="E295" s="12"/>
      <c r="F295" s="70"/>
      <c r="G295" s="70"/>
      <c r="H295" s="12"/>
      <c r="I295" s="12"/>
    </row>
    <row r="296" spans="1:9" ht="12.75">
      <c r="A296" s="12"/>
      <c r="B296" s="12"/>
      <c r="C296" s="12"/>
      <c r="D296" s="12"/>
      <c r="E296" s="12"/>
      <c r="F296" s="70"/>
      <c r="G296" s="70"/>
      <c r="H296" s="12"/>
      <c r="I296" s="12"/>
    </row>
    <row r="297" spans="1:9" ht="12.75">
      <c r="A297" s="12"/>
      <c r="B297" s="12"/>
      <c r="C297" s="12"/>
      <c r="D297" s="12"/>
      <c r="E297" s="12"/>
      <c r="F297" s="70"/>
      <c r="G297" s="70"/>
      <c r="H297" s="12"/>
      <c r="I297" s="12"/>
    </row>
    <row r="298" spans="1:9" ht="12.75">
      <c r="A298" s="12"/>
      <c r="B298" s="12"/>
      <c r="C298" s="12"/>
      <c r="D298" s="12"/>
      <c r="E298" s="12"/>
      <c r="F298" s="70"/>
      <c r="G298" s="70"/>
      <c r="H298" s="12"/>
      <c r="I298" s="12"/>
    </row>
    <row r="299" spans="1:9" ht="12.75">
      <c r="A299" s="12"/>
      <c r="B299" s="12"/>
      <c r="C299" s="12"/>
      <c r="D299" s="12"/>
      <c r="E299" s="12"/>
      <c r="F299" s="70"/>
      <c r="G299" s="70"/>
      <c r="H299" s="12"/>
      <c r="I299" s="12"/>
    </row>
    <row r="300" spans="1:9" ht="12.75">
      <c r="A300" s="12"/>
      <c r="B300" s="12"/>
      <c r="C300" s="12"/>
      <c r="D300" s="12"/>
      <c r="E300" s="12"/>
      <c r="F300" s="70"/>
      <c r="G300" s="70"/>
      <c r="H300" s="12"/>
      <c r="I300" s="12"/>
    </row>
    <row r="301" spans="1:9" ht="12.75">
      <c r="A301" s="12"/>
      <c r="B301" s="12"/>
      <c r="C301" s="12"/>
      <c r="D301" s="12"/>
      <c r="E301" s="12"/>
      <c r="F301" s="70"/>
      <c r="G301" s="70"/>
      <c r="H301" s="12"/>
      <c r="I301" s="12"/>
    </row>
    <row r="302" spans="1:9" ht="12.75">
      <c r="A302" s="12"/>
      <c r="B302" s="12"/>
      <c r="C302" s="12"/>
      <c r="D302" s="12"/>
      <c r="E302" s="12"/>
      <c r="F302" s="70"/>
      <c r="G302" s="70"/>
      <c r="H302" s="12"/>
      <c r="I302" s="12"/>
    </row>
    <row r="303" spans="1:9" ht="12.75">
      <c r="A303" s="12"/>
      <c r="B303" s="12"/>
      <c r="C303" s="12"/>
      <c r="D303" s="12"/>
      <c r="E303" s="12"/>
      <c r="F303" s="70"/>
      <c r="G303" s="70"/>
      <c r="H303" s="12"/>
      <c r="I303" s="12"/>
    </row>
    <row r="304" spans="1:9" ht="12.75">
      <c r="A304" s="12"/>
      <c r="B304" s="12"/>
      <c r="C304" s="12"/>
      <c r="D304" s="12"/>
      <c r="E304" s="12"/>
      <c r="F304" s="70"/>
      <c r="G304" s="70"/>
      <c r="H304" s="12"/>
      <c r="I304" s="12"/>
    </row>
    <row r="305" spans="1:9" ht="12.75">
      <c r="A305" s="12"/>
      <c r="B305" s="12"/>
      <c r="C305" s="12"/>
      <c r="D305" s="12"/>
      <c r="E305" s="12"/>
      <c r="F305" s="70"/>
      <c r="G305" s="70"/>
      <c r="H305" s="12"/>
      <c r="I305" s="12"/>
    </row>
    <row r="306" spans="1:9" ht="12.75">
      <c r="A306" s="12"/>
      <c r="B306" s="12"/>
      <c r="C306" s="12"/>
      <c r="D306" s="12"/>
      <c r="E306" s="12"/>
      <c r="F306" s="70"/>
      <c r="G306" s="70"/>
      <c r="H306" s="12"/>
      <c r="I306" s="12"/>
    </row>
    <row r="307" spans="1:9" ht="12.75">
      <c r="A307" s="12"/>
      <c r="B307" s="12"/>
      <c r="C307" s="12"/>
      <c r="D307" s="12"/>
      <c r="E307" s="12"/>
      <c r="F307" s="70"/>
      <c r="G307" s="70"/>
      <c r="H307" s="12"/>
      <c r="I307" s="12"/>
    </row>
    <row r="308" spans="1:9" ht="12.75">
      <c r="A308" s="12"/>
      <c r="B308" s="12"/>
      <c r="C308" s="12"/>
      <c r="D308" s="12"/>
      <c r="E308" s="12"/>
      <c r="F308" s="70"/>
      <c r="G308" s="70"/>
      <c r="H308" s="12"/>
      <c r="I308" s="12"/>
    </row>
    <row r="309" spans="1:9" ht="12.75">
      <c r="A309" s="12"/>
      <c r="B309" s="12"/>
      <c r="C309" s="12"/>
      <c r="D309" s="12"/>
      <c r="E309" s="12"/>
      <c r="F309" s="70"/>
      <c r="G309" s="70"/>
      <c r="H309" s="12"/>
      <c r="I309" s="12"/>
    </row>
    <row r="310" spans="1:9" ht="12.75">
      <c r="A310" s="12"/>
      <c r="B310" s="12"/>
      <c r="C310" s="12"/>
      <c r="D310" s="12"/>
      <c r="E310" s="12"/>
      <c r="F310" s="70"/>
      <c r="G310" s="70"/>
      <c r="H310" s="12"/>
      <c r="I310" s="12"/>
    </row>
    <row r="311" spans="1:9" ht="12.75">
      <c r="A311" s="12"/>
      <c r="B311" s="12"/>
      <c r="C311" s="12"/>
      <c r="D311" s="12"/>
      <c r="E311" s="12"/>
      <c r="F311" s="70"/>
      <c r="G311" s="70"/>
      <c r="H311" s="12"/>
      <c r="I311" s="12"/>
    </row>
    <row r="312" spans="1:9" ht="12.75">
      <c r="A312" s="12"/>
      <c r="B312" s="12"/>
      <c r="C312" s="12"/>
      <c r="D312" s="12"/>
      <c r="E312" s="12"/>
      <c r="F312" s="70"/>
      <c r="G312" s="70"/>
      <c r="H312" s="12"/>
      <c r="I312" s="12"/>
    </row>
    <row r="313" spans="1:9" ht="12.75">
      <c r="A313" s="12"/>
      <c r="B313" s="12"/>
      <c r="C313" s="12"/>
      <c r="D313" s="12"/>
      <c r="E313" s="12"/>
      <c r="F313" s="70"/>
      <c r="G313" s="70"/>
      <c r="H313" s="12"/>
      <c r="I313" s="12"/>
    </row>
    <row r="314" spans="1:9" ht="12.75">
      <c r="A314" s="12"/>
      <c r="B314" s="12"/>
      <c r="C314" s="12"/>
      <c r="D314" s="12"/>
      <c r="E314" s="12"/>
      <c r="F314" s="70"/>
      <c r="G314" s="70"/>
      <c r="H314" s="12"/>
      <c r="I314" s="12"/>
    </row>
    <row r="315" spans="1:9" ht="12.75">
      <c r="A315" s="12"/>
      <c r="B315" s="12"/>
      <c r="C315" s="12"/>
      <c r="D315" s="12"/>
      <c r="E315" s="12"/>
      <c r="F315" s="70"/>
      <c r="G315" s="70"/>
      <c r="H315" s="12"/>
      <c r="I315" s="12"/>
    </row>
    <row r="316" spans="1:9" ht="12.75">
      <c r="A316" s="12"/>
      <c r="B316" s="12"/>
      <c r="C316" s="12"/>
      <c r="D316" s="12"/>
      <c r="E316" s="12"/>
      <c r="F316" s="70"/>
      <c r="G316" s="70"/>
      <c r="H316" s="12"/>
      <c r="I316" s="12"/>
    </row>
    <row r="317" spans="1:9" ht="12.75">
      <c r="A317" s="12"/>
      <c r="B317" s="12"/>
      <c r="C317" s="12"/>
      <c r="D317" s="12"/>
      <c r="E317" s="12"/>
      <c r="F317" s="70"/>
      <c r="G317" s="70"/>
      <c r="H317" s="12"/>
      <c r="I317" s="12"/>
    </row>
    <row r="318" spans="1:9" ht="12.75">
      <c r="A318" s="12"/>
      <c r="B318" s="12"/>
      <c r="C318" s="12"/>
      <c r="D318" s="12"/>
      <c r="E318" s="12"/>
      <c r="F318" s="70"/>
      <c r="G318" s="70"/>
      <c r="H318" s="12"/>
      <c r="I318" s="12"/>
    </row>
    <row r="319" spans="1:9" ht="12.75">
      <c r="A319" s="12"/>
      <c r="B319" s="12"/>
      <c r="C319" s="12"/>
      <c r="D319" s="12"/>
      <c r="E319" s="12"/>
      <c r="F319" s="70"/>
      <c r="G319" s="70"/>
      <c r="H319" s="12"/>
      <c r="I319" s="12"/>
    </row>
    <row r="320" spans="1:9" ht="12.75">
      <c r="A320" s="12"/>
      <c r="B320" s="12"/>
      <c r="C320" s="12"/>
      <c r="D320" s="12"/>
      <c r="E320" s="12"/>
      <c r="F320" s="70"/>
      <c r="G320" s="70"/>
      <c r="H320" s="12"/>
      <c r="I320" s="12"/>
    </row>
    <row r="321" spans="1:9" ht="12.75">
      <c r="A321" s="12"/>
      <c r="B321" s="12"/>
      <c r="C321" s="12"/>
      <c r="D321" s="12"/>
      <c r="E321" s="12"/>
      <c r="F321" s="70"/>
      <c r="G321" s="70"/>
      <c r="H321" s="12"/>
      <c r="I321" s="12"/>
    </row>
    <row r="322" spans="1:9" ht="12.75">
      <c r="A322" s="12"/>
      <c r="B322" s="12"/>
      <c r="C322" s="12"/>
      <c r="D322" s="12"/>
      <c r="E322" s="12"/>
      <c r="F322" s="70"/>
      <c r="G322" s="70"/>
      <c r="H322" s="12"/>
      <c r="I322" s="12"/>
    </row>
    <row r="323" spans="1:9" ht="12.75">
      <c r="A323" s="12"/>
      <c r="B323" s="12"/>
      <c r="C323" s="12"/>
      <c r="D323" s="12"/>
      <c r="E323" s="12"/>
      <c r="F323" s="70"/>
      <c r="G323" s="70"/>
      <c r="H323" s="12"/>
      <c r="I323" s="12"/>
    </row>
    <row r="324" spans="1:9" ht="12.75">
      <c r="A324" s="12"/>
      <c r="B324" s="12"/>
      <c r="C324" s="12"/>
      <c r="D324" s="12"/>
      <c r="E324" s="12"/>
      <c r="F324" s="70"/>
      <c r="G324" s="70"/>
      <c r="H324" s="12"/>
      <c r="I324" s="12"/>
    </row>
    <row r="325" spans="1:9" ht="12.75">
      <c r="A325" s="12"/>
      <c r="B325" s="12"/>
      <c r="C325" s="12"/>
      <c r="D325" s="12"/>
      <c r="E325" s="12"/>
      <c r="F325" s="70"/>
      <c r="G325" s="70"/>
      <c r="H325" s="12"/>
      <c r="I325" s="12"/>
    </row>
    <row r="326" spans="1:9" ht="12.75">
      <c r="A326" s="12"/>
      <c r="B326" s="12"/>
      <c r="C326" s="12"/>
      <c r="D326" s="12"/>
      <c r="E326" s="12"/>
      <c r="F326" s="70"/>
      <c r="G326" s="70"/>
      <c r="H326" s="12"/>
      <c r="I326" s="12"/>
    </row>
    <row r="327" spans="1:9" ht="12.75">
      <c r="A327" s="12"/>
      <c r="B327" s="12"/>
      <c r="C327" s="12"/>
      <c r="D327" s="12"/>
      <c r="E327" s="12"/>
      <c r="F327" s="70"/>
      <c r="G327" s="70"/>
      <c r="H327" s="12"/>
      <c r="I327" s="12"/>
    </row>
    <row r="328" spans="1:9" ht="12.75">
      <c r="A328" s="12"/>
      <c r="B328" s="12"/>
      <c r="C328" s="12"/>
      <c r="D328" s="12"/>
      <c r="E328" s="12"/>
      <c r="F328" s="70"/>
      <c r="G328" s="70"/>
      <c r="H328" s="12"/>
      <c r="I328" s="12"/>
    </row>
    <row r="329" spans="1:9" ht="12.75">
      <c r="A329" s="12"/>
      <c r="B329" s="12"/>
      <c r="C329" s="12"/>
      <c r="D329" s="12"/>
      <c r="E329" s="12"/>
      <c r="F329" s="70"/>
      <c r="G329" s="70"/>
      <c r="H329" s="12"/>
      <c r="I329" s="12"/>
    </row>
    <row r="330" spans="1:9" ht="12.75">
      <c r="A330" s="12"/>
      <c r="B330" s="12"/>
      <c r="C330" s="12"/>
      <c r="D330" s="12"/>
      <c r="E330" s="12"/>
      <c r="F330" s="70"/>
      <c r="G330" s="70"/>
      <c r="H330" s="12"/>
      <c r="I330" s="12"/>
    </row>
    <row r="331" spans="1:9" ht="12.75">
      <c r="A331" s="12"/>
      <c r="B331" s="12"/>
      <c r="C331" s="12"/>
      <c r="D331" s="12"/>
      <c r="E331" s="12"/>
      <c r="F331" s="70"/>
      <c r="G331" s="70"/>
      <c r="H331" s="12"/>
      <c r="I331" s="12"/>
    </row>
    <row r="332" spans="1:9" ht="12.75">
      <c r="A332" s="12"/>
      <c r="B332" s="12"/>
      <c r="C332" s="12"/>
      <c r="D332" s="12"/>
      <c r="E332" s="12"/>
      <c r="F332" s="70"/>
      <c r="G332" s="70"/>
      <c r="H332" s="12"/>
      <c r="I332" s="12"/>
    </row>
    <row r="333" spans="1:9" ht="12.75">
      <c r="A333" s="12"/>
      <c r="B333" s="12"/>
      <c r="C333" s="12"/>
      <c r="D333" s="12"/>
      <c r="E333" s="12"/>
      <c r="F333" s="70"/>
      <c r="G333" s="70"/>
      <c r="H333" s="12"/>
      <c r="I333" s="12"/>
    </row>
    <row r="334" spans="1:9" ht="12.75">
      <c r="A334" s="12"/>
      <c r="B334" s="12"/>
      <c r="C334" s="12"/>
      <c r="D334" s="12"/>
      <c r="E334" s="12"/>
      <c r="F334" s="70"/>
      <c r="G334" s="70"/>
      <c r="H334" s="12"/>
      <c r="I334" s="12"/>
    </row>
    <row r="335" spans="1:9" ht="12.75">
      <c r="A335" s="12"/>
      <c r="B335" s="12"/>
      <c r="C335" s="12"/>
      <c r="D335" s="12"/>
      <c r="E335" s="12"/>
      <c r="F335" s="70"/>
      <c r="G335" s="70"/>
      <c r="H335" s="12"/>
      <c r="I335" s="12"/>
    </row>
    <row r="336" spans="1:9" ht="12.75">
      <c r="A336" s="12"/>
      <c r="B336" s="12"/>
      <c r="C336" s="12"/>
      <c r="D336" s="12"/>
      <c r="E336" s="12"/>
      <c r="F336" s="70"/>
      <c r="G336" s="70"/>
      <c r="H336" s="12"/>
      <c r="I336" s="12"/>
    </row>
    <row r="337" spans="1:9" ht="12.75">
      <c r="A337" s="12"/>
      <c r="B337" s="12"/>
      <c r="C337" s="12"/>
      <c r="D337" s="12"/>
      <c r="E337" s="12"/>
      <c r="F337" s="70"/>
      <c r="G337" s="70"/>
      <c r="H337" s="12"/>
      <c r="I337" s="12"/>
    </row>
    <row r="338" spans="1:9" ht="12.75">
      <c r="A338" s="12"/>
      <c r="B338" s="12"/>
      <c r="C338" s="12"/>
      <c r="D338" s="12"/>
      <c r="E338" s="12"/>
      <c r="F338" s="70"/>
      <c r="G338" s="70"/>
      <c r="H338" s="12"/>
      <c r="I338" s="12"/>
    </row>
    <row r="339" spans="1:9" ht="12.75">
      <c r="A339" s="12"/>
      <c r="B339" s="12"/>
      <c r="C339" s="12"/>
      <c r="D339" s="12"/>
      <c r="E339" s="12"/>
      <c r="F339" s="70"/>
      <c r="G339" s="70"/>
      <c r="H339" s="12"/>
      <c r="I339" s="12"/>
    </row>
    <row r="340" spans="1:9" ht="12.75">
      <c r="A340" s="12"/>
      <c r="B340" s="12"/>
      <c r="C340" s="12"/>
      <c r="D340" s="12"/>
      <c r="E340" s="12"/>
      <c r="F340" s="70"/>
      <c r="G340" s="70"/>
      <c r="H340" s="12"/>
      <c r="I340" s="12"/>
    </row>
    <row r="341" spans="1:9" ht="12.75">
      <c r="A341" s="12"/>
      <c r="B341" s="12"/>
      <c r="C341" s="12"/>
      <c r="D341" s="12"/>
      <c r="E341" s="12"/>
      <c r="F341" s="70"/>
      <c r="G341" s="70"/>
      <c r="H341" s="12"/>
      <c r="I341" s="12"/>
    </row>
    <row r="342" spans="1:9" ht="12.75">
      <c r="A342" s="12"/>
      <c r="B342" s="12"/>
      <c r="C342" s="12"/>
      <c r="D342" s="12"/>
      <c r="E342" s="12"/>
      <c r="F342" s="70"/>
      <c r="G342" s="70"/>
      <c r="H342" s="12"/>
      <c r="I342" s="12"/>
    </row>
    <row r="343" spans="1:9" ht="12.75">
      <c r="A343" s="12"/>
      <c r="B343" s="12"/>
      <c r="C343" s="12"/>
      <c r="D343" s="12"/>
      <c r="E343" s="12"/>
      <c r="F343" s="70"/>
      <c r="G343" s="70"/>
      <c r="H343" s="12"/>
      <c r="I343" s="12"/>
    </row>
    <row r="344" spans="1:9" ht="12.75">
      <c r="A344" s="12"/>
      <c r="B344" s="12"/>
      <c r="C344" s="12"/>
      <c r="D344" s="12"/>
      <c r="E344" s="12"/>
      <c r="F344" s="70"/>
      <c r="G344" s="70"/>
      <c r="H344" s="12"/>
      <c r="I344" s="12"/>
    </row>
    <row r="345" spans="1:9" ht="12.75">
      <c r="A345" s="12"/>
      <c r="B345" s="12"/>
      <c r="C345" s="12"/>
      <c r="D345" s="12"/>
      <c r="E345" s="12"/>
      <c r="F345" s="70"/>
      <c r="G345" s="70"/>
      <c r="H345" s="12"/>
      <c r="I345" s="12"/>
    </row>
    <row r="346" spans="1:9" ht="12.75">
      <c r="A346" s="12"/>
      <c r="B346" s="12"/>
      <c r="C346" s="12"/>
      <c r="D346" s="12"/>
      <c r="E346" s="12"/>
      <c r="F346" s="70"/>
      <c r="G346" s="70"/>
      <c r="H346" s="12"/>
      <c r="I346" s="12"/>
    </row>
    <row r="347" spans="1:9" ht="12.75">
      <c r="A347" s="12"/>
      <c r="B347" s="12"/>
      <c r="C347" s="12"/>
      <c r="D347" s="12"/>
      <c r="E347" s="12"/>
      <c r="F347" s="70"/>
      <c r="G347" s="70"/>
      <c r="H347" s="12"/>
      <c r="I347" s="12"/>
    </row>
    <row r="348" spans="1:9" ht="12.75">
      <c r="A348" s="12"/>
      <c r="B348" s="12"/>
      <c r="C348" s="12"/>
      <c r="D348" s="12"/>
      <c r="E348" s="12"/>
      <c r="F348" s="70"/>
      <c r="G348" s="70"/>
      <c r="H348" s="12"/>
      <c r="I348" s="12"/>
    </row>
    <row r="349" spans="1:9" ht="12.75">
      <c r="A349" s="12"/>
      <c r="B349" s="12"/>
      <c r="C349" s="12"/>
      <c r="D349" s="12"/>
      <c r="E349" s="12"/>
      <c r="F349" s="70"/>
      <c r="G349" s="70"/>
      <c r="H349" s="12"/>
      <c r="I349" s="12"/>
    </row>
    <row r="350" spans="1:9" ht="12.75">
      <c r="A350" s="12"/>
      <c r="B350" s="12"/>
      <c r="C350" s="12"/>
      <c r="D350" s="12"/>
      <c r="E350" s="12"/>
      <c r="F350" s="70"/>
      <c r="G350" s="70"/>
      <c r="H350" s="12"/>
      <c r="I350" s="12"/>
    </row>
    <row r="351" spans="1:9" ht="12.75">
      <c r="A351" s="12"/>
      <c r="B351" s="12"/>
      <c r="C351" s="12"/>
      <c r="D351" s="12"/>
      <c r="E351" s="12"/>
      <c r="F351" s="70"/>
      <c r="G351" s="70"/>
      <c r="H351" s="12"/>
      <c r="I351" s="12"/>
    </row>
    <row r="352" spans="1:9" ht="12.75">
      <c r="A352" s="12"/>
      <c r="B352" s="12"/>
      <c r="C352" s="12"/>
      <c r="D352" s="12"/>
      <c r="E352" s="12"/>
      <c r="F352" s="70"/>
      <c r="G352" s="70"/>
      <c r="H352" s="12"/>
      <c r="I352" s="12"/>
    </row>
    <row r="353" spans="1:9" ht="12.75">
      <c r="A353" s="12"/>
      <c r="B353" s="12"/>
      <c r="C353" s="12"/>
      <c r="D353" s="12"/>
      <c r="E353" s="12"/>
      <c r="F353" s="70"/>
      <c r="G353" s="70"/>
      <c r="H353" s="12"/>
      <c r="I353" s="12"/>
    </row>
    <row r="354" spans="1:9" ht="12.75">
      <c r="A354" s="12"/>
      <c r="B354" s="12"/>
      <c r="C354" s="12"/>
      <c r="D354" s="12"/>
      <c r="E354" s="12"/>
      <c r="F354" s="70"/>
      <c r="G354" s="70"/>
      <c r="H354" s="12"/>
      <c r="I354" s="12"/>
    </row>
    <row r="355" spans="1:9" ht="12.75">
      <c r="A355" s="12"/>
      <c r="B355" s="12"/>
      <c r="C355" s="12"/>
      <c r="D355" s="12"/>
      <c r="E355" s="12"/>
      <c r="F355" s="70"/>
      <c r="G355" s="70"/>
      <c r="H355" s="12"/>
      <c r="I355" s="12"/>
    </row>
    <row r="356" spans="1:9" ht="12.75">
      <c r="A356" s="12"/>
      <c r="B356" s="12"/>
      <c r="C356" s="12"/>
      <c r="D356" s="12"/>
      <c r="E356" s="12"/>
      <c r="F356" s="70"/>
      <c r="G356" s="70"/>
      <c r="H356" s="12"/>
      <c r="I356" s="12"/>
    </row>
    <row r="357" spans="1:9" ht="12.75">
      <c r="A357" s="12"/>
      <c r="B357" s="12"/>
      <c r="C357" s="12"/>
      <c r="D357" s="12"/>
      <c r="E357" s="12"/>
      <c r="F357" s="70"/>
      <c r="G357" s="70"/>
      <c r="H357" s="12"/>
      <c r="I357" s="12"/>
    </row>
    <row r="358" spans="1:9" ht="12.75">
      <c r="A358" s="12"/>
      <c r="B358" s="12"/>
      <c r="C358" s="12"/>
      <c r="D358" s="12"/>
      <c r="E358" s="12"/>
      <c r="F358" s="70"/>
      <c r="G358" s="70"/>
      <c r="H358" s="12"/>
      <c r="I358" s="12"/>
    </row>
    <row r="359" spans="1:9" ht="12.75">
      <c r="A359" s="12"/>
      <c r="B359" s="12"/>
      <c r="C359" s="12"/>
      <c r="D359" s="12"/>
      <c r="E359" s="12"/>
      <c r="F359" s="70"/>
      <c r="G359" s="70"/>
      <c r="H359" s="12"/>
      <c r="I359" s="12"/>
    </row>
    <row r="360" spans="1:9" ht="12.75">
      <c r="A360" s="12"/>
      <c r="B360" s="12"/>
      <c r="C360" s="12"/>
      <c r="D360" s="12"/>
      <c r="E360" s="12"/>
      <c r="F360" s="70"/>
      <c r="G360" s="70"/>
      <c r="H360" s="12"/>
      <c r="I360" s="12"/>
    </row>
    <row r="361" spans="1:9" ht="12.75">
      <c r="A361" s="12"/>
      <c r="B361" s="12"/>
      <c r="C361" s="12"/>
      <c r="D361" s="12"/>
      <c r="E361" s="12"/>
      <c r="F361" s="70"/>
      <c r="G361" s="70"/>
      <c r="H361" s="12"/>
      <c r="I361" s="12"/>
    </row>
    <row r="362" spans="1:9" ht="12.75">
      <c r="A362" s="12"/>
      <c r="B362" s="12"/>
      <c r="C362" s="12"/>
      <c r="D362" s="12"/>
      <c r="E362" s="12"/>
      <c r="F362" s="70"/>
      <c r="G362" s="70"/>
      <c r="H362" s="12"/>
      <c r="I362" s="12"/>
    </row>
    <row r="363" spans="1:9" ht="12.75">
      <c r="A363" s="12"/>
      <c r="B363" s="12"/>
      <c r="C363" s="12"/>
      <c r="D363" s="12"/>
      <c r="E363" s="12"/>
      <c r="F363" s="70"/>
      <c r="G363" s="70"/>
      <c r="H363" s="12"/>
      <c r="I363" s="12"/>
    </row>
    <row r="364" spans="1:9" ht="12.75">
      <c r="A364" s="12"/>
      <c r="B364" s="12"/>
      <c r="C364" s="12"/>
      <c r="D364" s="12"/>
      <c r="E364" s="12"/>
      <c r="F364" s="70"/>
      <c r="G364" s="70"/>
      <c r="H364" s="12"/>
      <c r="I364" s="12"/>
    </row>
    <row r="365" spans="1:9" ht="12.75">
      <c r="A365" s="12"/>
      <c r="B365" s="12"/>
      <c r="C365" s="12"/>
      <c r="D365" s="12"/>
      <c r="E365" s="12"/>
      <c r="F365" s="70"/>
      <c r="G365" s="70"/>
      <c r="H365" s="12"/>
      <c r="I365" s="12"/>
    </row>
    <row r="366" spans="1:9" ht="12.75">
      <c r="A366" s="12"/>
      <c r="B366" s="12"/>
      <c r="C366" s="12"/>
      <c r="D366" s="12"/>
      <c r="E366" s="12"/>
      <c r="F366" s="70"/>
      <c r="G366" s="70"/>
      <c r="H366" s="12"/>
      <c r="I366" s="12"/>
    </row>
    <row r="367" spans="1:9" ht="12.75">
      <c r="A367" s="12"/>
      <c r="B367" s="12"/>
      <c r="C367" s="12"/>
      <c r="D367" s="12"/>
      <c r="E367" s="12"/>
      <c r="F367" s="70"/>
      <c r="G367" s="70"/>
      <c r="H367" s="12"/>
      <c r="I367" s="12"/>
    </row>
    <row r="368" spans="1:9" ht="12.75">
      <c r="A368" s="12"/>
      <c r="B368" s="12"/>
      <c r="C368" s="12"/>
      <c r="D368" s="12"/>
      <c r="E368" s="12"/>
      <c r="F368" s="70"/>
      <c r="G368" s="70"/>
      <c r="H368" s="12"/>
      <c r="I368" s="12"/>
    </row>
    <row r="369" spans="1:9" ht="12.75">
      <c r="A369" s="12"/>
      <c r="B369" s="12"/>
      <c r="C369" s="12"/>
      <c r="D369" s="12"/>
      <c r="E369" s="12"/>
      <c r="F369" s="70"/>
      <c r="G369" s="70"/>
      <c r="H369" s="12"/>
      <c r="I369" s="12"/>
    </row>
    <row r="370" spans="1:9" ht="12.75">
      <c r="A370" s="12"/>
      <c r="B370" s="12"/>
      <c r="C370" s="12"/>
      <c r="D370" s="12"/>
      <c r="E370" s="12"/>
      <c r="F370" s="70"/>
      <c r="G370" s="70"/>
      <c r="H370" s="12"/>
      <c r="I370" s="12"/>
    </row>
    <row r="371" spans="1:9" ht="12.75">
      <c r="A371" s="12"/>
      <c r="B371" s="12"/>
      <c r="C371" s="12"/>
      <c r="D371" s="12"/>
      <c r="E371" s="12"/>
      <c r="F371" s="70"/>
      <c r="G371" s="70"/>
      <c r="H371" s="12"/>
      <c r="I371" s="12"/>
    </row>
    <row r="372" spans="1:9" ht="12.75">
      <c r="A372" s="12"/>
      <c r="B372" s="12"/>
      <c r="C372" s="12"/>
      <c r="D372" s="12"/>
      <c r="E372" s="12"/>
      <c r="F372" s="70"/>
      <c r="G372" s="70"/>
      <c r="H372" s="12"/>
      <c r="I372" s="12"/>
    </row>
    <row r="373" spans="1:9" ht="12.75">
      <c r="A373" s="12"/>
      <c r="B373" s="12"/>
      <c r="C373" s="12"/>
      <c r="D373" s="12"/>
      <c r="E373" s="12"/>
      <c r="F373" s="70"/>
      <c r="G373" s="70"/>
      <c r="H373" s="12"/>
      <c r="I373" s="12"/>
    </row>
    <row r="374" spans="1:9" ht="12.75">
      <c r="A374" s="12"/>
      <c r="B374" s="12"/>
      <c r="C374" s="12"/>
      <c r="D374" s="12"/>
      <c r="E374" s="12"/>
      <c r="F374" s="70"/>
      <c r="G374" s="70"/>
      <c r="H374" s="12"/>
      <c r="I374" s="12"/>
    </row>
    <row r="375" spans="1:9" ht="12.75">
      <c r="A375" s="12"/>
      <c r="B375" s="12"/>
      <c r="C375" s="12"/>
      <c r="D375" s="12"/>
      <c r="E375" s="12"/>
      <c r="F375" s="70"/>
      <c r="G375" s="70"/>
      <c r="H375" s="12"/>
      <c r="I375" s="12"/>
    </row>
    <row r="376" spans="1:9" ht="12.75">
      <c r="A376" s="12"/>
      <c r="B376" s="12"/>
      <c r="C376" s="12"/>
      <c r="D376" s="12"/>
      <c r="E376" s="12"/>
      <c r="F376" s="70"/>
      <c r="G376" s="70"/>
      <c r="H376" s="12"/>
      <c r="I376" s="12"/>
    </row>
    <row r="377" spans="1:9" ht="12.75">
      <c r="A377" s="12"/>
      <c r="B377" s="12"/>
      <c r="C377" s="12"/>
      <c r="D377" s="12"/>
      <c r="E377" s="12"/>
      <c r="F377" s="70"/>
      <c r="G377" s="70"/>
      <c r="H377" s="12"/>
      <c r="I377" s="12"/>
    </row>
    <row r="378" spans="1:9" ht="12.75">
      <c r="A378" s="12"/>
      <c r="B378" s="12"/>
      <c r="C378" s="12"/>
      <c r="D378" s="12"/>
      <c r="E378" s="12"/>
      <c r="F378" s="70"/>
      <c r="G378" s="70"/>
      <c r="H378" s="12"/>
      <c r="I378" s="12"/>
    </row>
    <row r="379" spans="1:9" ht="12.75">
      <c r="A379" s="12"/>
      <c r="B379" s="12"/>
      <c r="C379" s="12"/>
      <c r="D379" s="12"/>
      <c r="E379" s="12"/>
      <c r="F379" s="70"/>
      <c r="G379" s="70"/>
      <c r="H379" s="12"/>
      <c r="I379" s="12"/>
    </row>
    <row r="380" spans="1:9" ht="12.75">
      <c r="A380" s="12"/>
      <c r="B380" s="12"/>
      <c r="C380" s="12"/>
      <c r="D380" s="12"/>
      <c r="E380" s="12"/>
      <c r="F380" s="70"/>
      <c r="G380" s="70"/>
      <c r="H380" s="12"/>
      <c r="I380" s="12"/>
    </row>
    <row r="381" spans="1:9" ht="12.75">
      <c r="A381" s="12"/>
      <c r="B381" s="12"/>
      <c r="C381" s="12"/>
      <c r="D381" s="12"/>
      <c r="E381" s="12"/>
      <c r="F381" s="70"/>
      <c r="G381" s="70"/>
      <c r="H381" s="12"/>
      <c r="I381" s="12"/>
    </row>
    <row r="382" spans="1:9" ht="12.75">
      <c r="A382" s="12"/>
      <c r="B382" s="12"/>
      <c r="C382" s="12"/>
      <c r="D382" s="12"/>
      <c r="E382" s="12"/>
      <c r="F382" s="70"/>
      <c r="G382" s="70"/>
      <c r="H382" s="12"/>
      <c r="I382" s="12"/>
    </row>
    <row r="383" spans="1:9" ht="12.75">
      <c r="A383" s="12"/>
      <c r="B383" s="12"/>
      <c r="C383" s="12"/>
      <c r="D383" s="12"/>
      <c r="E383" s="12"/>
      <c r="F383" s="70"/>
      <c r="G383" s="70"/>
      <c r="H383" s="12"/>
      <c r="I383" s="12"/>
    </row>
    <row r="384" spans="1:9" ht="12.75">
      <c r="A384" s="12"/>
      <c r="B384" s="12"/>
      <c r="C384" s="12"/>
      <c r="D384" s="12"/>
      <c r="E384" s="12"/>
      <c r="F384" s="70"/>
      <c r="G384" s="70"/>
      <c r="H384" s="12"/>
      <c r="I384" s="12"/>
    </row>
    <row r="385" spans="1:9" ht="12.75">
      <c r="A385" s="12"/>
      <c r="B385" s="12"/>
      <c r="C385" s="12"/>
      <c r="D385" s="12"/>
      <c r="E385" s="12"/>
      <c r="F385" s="70"/>
      <c r="G385" s="70"/>
      <c r="H385" s="12"/>
      <c r="I385" s="12"/>
    </row>
    <row r="386" spans="1:9" ht="12.75">
      <c r="A386" s="12"/>
      <c r="B386" s="12"/>
      <c r="C386" s="12"/>
      <c r="D386" s="12"/>
      <c r="E386" s="12"/>
      <c r="F386" s="70"/>
      <c r="G386" s="70"/>
      <c r="H386" s="12"/>
      <c r="I386" s="12"/>
    </row>
    <row r="387" spans="1:9" ht="12.75">
      <c r="A387" s="12"/>
      <c r="B387" s="12"/>
      <c r="C387" s="12"/>
      <c r="D387" s="12"/>
      <c r="E387" s="12"/>
      <c r="F387" s="70"/>
      <c r="G387" s="70"/>
      <c r="H387" s="12"/>
      <c r="I387" s="12"/>
    </row>
    <row r="388" spans="1:9" ht="12.75">
      <c r="A388" s="12"/>
      <c r="B388" s="12"/>
      <c r="C388" s="12"/>
      <c r="D388" s="12"/>
      <c r="E388" s="12"/>
      <c r="F388" s="70"/>
      <c r="G388" s="70"/>
      <c r="H388" s="12"/>
      <c r="I388" s="12"/>
    </row>
    <row r="389" spans="1:9" ht="12.75">
      <c r="A389" s="12"/>
      <c r="B389" s="12"/>
      <c r="C389" s="12"/>
      <c r="D389" s="12"/>
      <c r="E389" s="12"/>
      <c r="F389" s="70"/>
      <c r="G389" s="70"/>
      <c r="H389" s="12"/>
      <c r="I389" s="12"/>
    </row>
    <row r="390" spans="1:9" ht="12.75">
      <c r="A390" s="12"/>
      <c r="B390" s="12"/>
      <c r="C390" s="12"/>
      <c r="D390" s="12"/>
      <c r="E390" s="12"/>
      <c r="F390" s="70"/>
      <c r="G390" s="70"/>
      <c r="H390" s="12"/>
      <c r="I390" s="12"/>
    </row>
    <row r="391" spans="1:9" ht="12.75">
      <c r="A391" s="12"/>
      <c r="B391" s="12"/>
      <c r="C391" s="12"/>
      <c r="D391" s="12"/>
      <c r="E391" s="12"/>
      <c r="F391" s="70"/>
      <c r="G391" s="70"/>
      <c r="H391" s="12"/>
      <c r="I391" s="12"/>
    </row>
    <row r="392" spans="1:9" ht="12.75">
      <c r="A392" s="12"/>
      <c r="B392" s="12"/>
      <c r="C392" s="12"/>
      <c r="D392" s="12"/>
      <c r="E392" s="12"/>
      <c r="F392" s="70"/>
      <c r="G392" s="70"/>
      <c r="H392" s="12"/>
      <c r="I392" s="12"/>
    </row>
    <row r="393" spans="1:9" ht="12.75">
      <c r="A393" s="12"/>
      <c r="B393" s="12"/>
      <c r="C393" s="12"/>
      <c r="D393" s="12"/>
      <c r="E393" s="12"/>
      <c r="F393" s="70"/>
      <c r="G393" s="70"/>
      <c r="H393" s="12"/>
      <c r="I393" s="12"/>
    </row>
    <row r="394" spans="1:9" ht="12.75">
      <c r="A394" s="12"/>
      <c r="B394" s="12"/>
      <c r="C394" s="12"/>
      <c r="D394" s="12"/>
      <c r="E394" s="12"/>
      <c r="F394" s="70"/>
      <c r="G394" s="70"/>
      <c r="H394" s="12"/>
      <c r="I394" s="12"/>
    </row>
    <row r="395" spans="1:9" ht="12.75">
      <c r="A395" s="12"/>
      <c r="B395" s="12"/>
      <c r="C395" s="12"/>
      <c r="D395" s="12"/>
      <c r="E395" s="12"/>
      <c r="F395" s="70"/>
      <c r="G395" s="70"/>
      <c r="H395" s="12"/>
      <c r="I395" s="12"/>
    </row>
    <row r="396" spans="1:9" ht="12.75">
      <c r="A396" s="12"/>
      <c r="B396" s="12"/>
      <c r="C396" s="12"/>
      <c r="D396" s="12"/>
      <c r="E396" s="12"/>
      <c r="F396" s="70"/>
      <c r="G396" s="70"/>
      <c r="H396" s="12"/>
      <c r="I396" s="12"/>
    </row>
    <row r="397" spans="1:9" ht="12.75">
      <c r="A397" s="12"/>
      <c r="B397" s="12"/>
      <c r="C397" s="12"/>
      <c r="D397" s="12"/>
      <c r="E397" s="12"/>
      <c r="F397" s="70"/>
      <c r="G397" s="70"/>
      <c r="H397" s="12"/>
      <c r="I397" s="12"/>
    </row>
    <row r="398" spans="1:9" ht="12.75">
      <c r="A398" s="12"/>
      <c r="B398" s="12"/>
      <c r="C398" s="12"/>
      <c r="D398" s="12"/>
      <c r="E398" s="12"/>
      <c r="F398" s="70"/>
      <c r="G398" s="70"/>
      <c r="H398" s="12"/>
      <c r="I398" s="12"/>
    </row>
    <row r="399" spans="1:9" ht="12.75">
      <c r="A399" s="12"/>
      <c r="B399" s="12"/>
      <c r="C399" s="12"/>
      <c r="D399" s="12"/>
      <c r="E399" s="12"/>
      <c r="F399" s="70"/>
      <c r="G399" s="70"/>
      <c r="H399" s="12"/>
      <c r="I399" s="12"/>
    </row>
    <row r="400" spans="1:9" ht="12.75">
      <c r="A400" s="12"/>
      <c r="B400" s="12"/>
      <c r="C400" s="12"/>
      <c r="D400" s="12"/>
      <c r="E400" s="12"/>
      <c r="F400" s="70"/>
      <c r="G400" s="70"/>
      <c r="H400" s="12"/>
      <c r="I400" s="12"/>
    </row>
    <row r="401" spans="1:9" ht="12.75">
      <c r="A401" s="12"/>
      <c r="B401" s="12"/>
      <c r="C401" s="12"/>
      <c r="D401" s="12"/>
      <c r="E401" s="12"/>
      <c r="F401" s="70"/>
      <c r="G401" s="70"/>
      <c r="H401" s="12"/>
      <c r="I401" s="12"/>
    </row>
    <row r="402" spans="1:9" ht="12.75">
      <c r="A402" s="12"/>
      <c r="B402" s="12"/>
      <c r="C402" s="12"/>
      <c r="D402" s="12"/>
      <c r="E402" s="12"/>
      <c r="F402" s="70"/>
      <c r="G402" s="70"/>
      <c r="H402" s="12"/>
      <c r="I402" s="12"/>
    </row>
    <row r="403" spans="1:9" ht="12.75">
      <c r="A403" s="12"/>
      <c r="B403" s="12"/>
      <c r="C403" s="12"/>
      <c r="D403" s="12"/>
      <c r="E403" s="12"/>
      <c r="F403" s="70"/>
      <c r="G403" s="70"/>
      <c r="H403" s="12"/>
      <c r="I403" s="12"/>
    </row>
    <row r="404" spans="1:9" ht="12.75">
      <c r="A404" s="12"/>
      <c r="B404" s="12"/>
      <c r="C404" s="12"/>
      <c r="D404" s="12"/>
      <c r="E404" s="12"/>
      <c r="F404" s="70"/>
      <c r="G404" s="70"/>
      <c r="H404" s="12"/>
      <c r="I404" s="12"/>
    </row>
    <row r="405" spans="1:9" ht="12.75">
      <c r="A405" s="12"/>
      <c r="B405" s="12"/>
      <c r="C405" s="12"/>
      <c r="D405" s="12"/>
      <c r="E405" s="12"/>
      <c r="F405" s="70"/>
      <c r="G405" s="70"/>
      <c r="H405" s="12"/>
      <c r="I405" s="12"/>
    </row>
    <row r="406" spans="1:9" ht="12.75">
      <c r="A406" s="12"/>
      <c r="B406" s="12"/>
      <c r="C406" s="12"/>
      <c r="D406" s="12"/>
      <c r="E406" s="12"/>
      <c r="F406" s="70"/>
      <c r="G406" s="70"/>
      <c r="H406" s="12"/>
      <c r="I406" s="12"/>
    </row>
    <row r="407" spans="1:9" ht="12.75">
      <c r="A407" s="12"/>
      <c r="B407" s="12"/>
      <c r="C407" s="12"/>
      <c r="D407" s="12"/>
      <c r="E407" s="12"/>
      <c r="F407" s="70"/>
      <c r="G407" s="70"/>
      <c r="H407" s="12"/>
      <c r="I407" s="12"/>
    </row>
    <row r="408" spans="1:9" ht="12.75">
      <c r="A408" s="12"/>
      <c r="B408" s="12"/>
      <c r="C408" s="12"/>
      <c r="D408" s="12"/>
      <c r="E408" s="12"/>
      <c r="F408" s="70"/>
      <c r="G408" s="70"/>
      <c r="H408" s="12"/>
      <c r="I408" s="12"/>
    </row>
    <row r="409" spans="1:9" ht="12.75">
      <c r="A409" s="12"/>
      <c r="B409" s="12"/>
      <c r="C409" s="12"/>
      <c r="D409" s="12"/>
      <c r="E409" s="12"/>
      <c r="F409" s="70"/>
      <c r="G409" s="70"/>
      <c r="H409" s="12"/>
      <c r="I409" s="12"/>
    </row>
    <row r="410" spans="1:9" ht="12.75">
      <c r="A410" s="12"/>
      <c r="B410" s="12"/>
      <c r="C410" s="12"/>
      <c r="D410" s="12"/>
      <c r="E410" s="12"/>
      <c r="F410" s="70"/>
      <c r="G410" s="70"/>
      <c r="H410" s="12"/>
      <c r="I410" s="12"/>
    </row>
    <row r="411" spans="1:9" ht="12.75">
      <c r="A411" s="12"/>
      <c r="B411" s="12"/>
      <c r="C411" s="12"/>
      <c r="D411" s="12"/>
      <c r="E411" s="12"/>
      <c r="F411" s="70"/>
      <c r="G411" s="70"/>
      <c r="H411" s="12"/>
      <c r="I411" s="12"/>
    </row>
    <row r="412" spans="1:9" ht="12.75">
      <c r="A412" s="12"/>
      <c r="B412" s="12"/>
      <c r="C412" s="12"/>
      <c r="D412" s="12"/>
      <c r="E412" s="12"/>
      <c r="F412" s="70"/>
      <c r="G412" s="70"/>
      <c r="H412" s="12"/>
      <c r="I412" s="12"/>
    </row>
    <row r="413" spans="1:9" ht="12.75">
      <c r="A413" s="12"/>
      <c r="B413" s="12"/>
      <c r="C413" s="12"/>
      <c r="D413" s="12"/>
      <c r="E413" s="12"/>
      <c r="F413" s="70"/>
      <c r="G413" s="70"/>
      <c r="H413" s="12"/>
      <c r="I413" s="12"/>
    </row>
    <row r="414" spans="1:9" ht="12.75">
      <c r="A414" s="12"/>
      <c r="B414" s="12"/>
      <c r="C414" s="12"/>
      <c r="D414" s="12"/>
      <c r="E414" s="12"/>
      <c r="F414" s="70"/>
      <c r="G414" s="70"/>
      <c r="H414" s="12"/>
      <c r="I414" s="12"/>
    </row>
    <row r="415" spans="1:9" ht="12.75">
      <c r="A415" s="12"/>
      <c r="B415" s="12"/>
      <c r="C415" s="12"/>
      <c r="D415" s="12"/>
      <c r="E415" s="12"/>
      <c r="F415" s="70"/>
      <c r="G415" s="70"/>
      <c r="H415" s="12"/>
      <c r="I415" s="12"/>
    </row>
    <row r="416" spans="1:9" ht="12.75">
      <c r="A416" s="12"/>
      <c r="B416" s="12"/>
      <c r="C416" s="12"/>
      <c r="D416" s="12"/>
      <c r="E416" s="12"/>
      <c r="F416" s="70"/>
      <c r="G416" s="70"/>
      <c r="H416" s="12"/>
      <c r="I416" s="12"/>
    </row>
    <row r="417" spans="1:9" ht="12.75">
      <c r="A417" s="12"/>
      <c r="B417" s="12"/>
      <c r="C417" s="12"/>
      <c r="D417" s="12"/>
      <c r="E417" s="12"/>
      <c r="F417" s="70"/>
      <c r="G417" s="70"/>
      <c r="H417" s="12"/>
      <c r="I417" s="12"/>
    </row>
    <row r="418" spans="1:9" ht="12.75">
      <c r="A418" s="12"/>
      <c r="B418" s="12"/>
      <c r="C418" s="12"/>
      <c r="D418" s="12"/>
      <c r="E418" s="12"/>
      <c r="F418" s="70"/>
      <c r="G418" s="70"/>
      <c r="H418" s="12"/>
      <c r="I418" s="12"/>
    </row>
    <row r="419" spans="1:9" ht="12.75">
      <c r="A419" s="12"/>
      <c r="B419" s="12"/>
      <c r="C419" s="12"/>
      <c r="D419" s="12"/>
      <c r="E419" s="12"/>
      <c r="F419" s="70"/>
      <c r="G419" s="70"/>
      <c r="H419" s="12"/>
      <c r="I419" s="12"/>
    </row>
    <row r="420" spans="1:9" ht="12.75">
      <c r="A420" s="12"/>
      <c r="B420" s="12"/>
      <c r="C420" s="12"/>
      <c r="D420" s="12"/>
      <c r="E420" s="12"/>
      <c r="F420" s="70"/>
      <c r="G420" s="70"/>
      <c r="H420" s="12"/>
      <c r="I420" s="12"/>
    </row>
    <row r="421" spans="1:9" ht="12.75">
      <c r="A421" s="12"/>
      <c r="B421" s="12"/>
      <c r="C421" s="12"/>
      <c r="D421" s="12"/>
      <c r="E421" s="12"/>
      <c r="F421" s="70"/>
      <c r="G421" s="70"/>
      <c r="H421" s="12"/>
      <c r="I421" s="12"/>
    </row>
    <row r="422" spans="1:9" ht="12.75">
      <c r="A422" s="12"/>
      <c r="B422" s="12"/>
      <c r="C422" s="12"/>
      <c r="D422" s="12"/>
      <c r="E422" s="12"/>
      <c r="F422" s="70"/>
      <c r="G422" s="70"/>
      <c r="H422" s="12"/>
      <c r="I422" s="12"/>
    </row>
    <row r="423" spans="1:9" ht="12.75">
      <c r="A423" s="12"/>
      <c r="B423" s="12"/>
      <c r="C423" s="12"/>
      <c r="D423" s="12"/>
      <c r="E423" s="12"/>
      <c r="F423" s="70"/>
      <c r="G423" s="70"/>
      <c r="H423" s="12"/>
      <c r="I423" s="12"/>
    </row>
    <row r="424" spans="1:9" ht="12.75">
      <c r="A424" s="12"/>
      <c r="B424" s="12"/>
      <c r="C424" s="12"/>
      <c r="D424" s="12"/>
      <c r="E424" s="12"/>
      <c r="F424" s="70"/>
      <c r="G424" s="70"/>
      <c r="H424" s="12"/>
      <c r="I424" s="12"/>
    </row>
    <row r="425" spans="1:9" ht="12.75">
      <c r="A425" s="12"/>
      <c r="B425" s="12"/>
      <c r="C425" s="12"/>
      <c r="D425" s="12"/>
      <c r="E425" s="12"/>
      <c r="F425" s="70"/>
      <c r="G425" s="70"/>
      <c r="H425" s="12"/>
      <c r="I425" s="12"/>
    </row>
    <row r="426" spans="1:9" ht="12.75">
      <c r="A426" s="12"/>
      <c r="B426" s="12"/>
      <c r="C426" s="12"/>
      <c r="D426" s="12"/>
      <c r="E426" s="12"/>
      <c r="F426" s="70"/>
      <c r="G426" s="70"/>
      <c r="H426" s="12"/>
      <c r="I426" s="12"/>
    </row>
    <row r="427" spans="1:9" ht="12.75">
      <c r="A427" s="12"/>
      <c r="B427" s="12"/>
      <c r="C427" s="12"/>
      <c r="D427" s="12"/>
      <c r="E427" s="12"/>
      <c r="F427" s="70"/>
      <c r="G427" s="70"/>
      <c r="H427" s="12"/>
      <c r="I427" s="12"/>
    </row>
    <row r="428" spans="1:9" ht="12.75">
      <c r="A428" s="12"/>
      <c r="B428" s="12"/>
      <c r="C428" s="12"/>
      <c r="D428" s="12"/>
      <c r="E428" s="12"/>
      <c r="F428" s="70"/>
      <c r="G428" s="70"/>
      <c r="H428" s="12"/>
      <c r="I428" s="12"/>
    </row>
    <row r="429" spans="1:9" ht="12.75">
      <c r="A429" s="12"/>
      <c r="B429" s="12"/>
      <c r="C429" s="12"/>
      <c r="D429" s="12"/>
      <c r="E429" s="12"/>
      <c r="F429" s="70"/>
      <c r="G429" s="70"/>
      <c r="H429" s="12"/>
      <c r="I429" s="12"/>
    </row>
    <row r="430" spans="1:9" ht="12.75">
      <c r="A430" s="12"/>
      <c r="B430" s="12"/>
      <c r="C430" s="12"/>
      <c r="D430" s="12"/>
      <c r="E430" s="12"/>
      <c r="F430" s="70"/>
      <c r="G430" s="70"/>
      <c r="H430" s="12"/>
      <c r="I430" s="12"/>
    </row>
    <row r="431" spans="1:9" ht="12.75">
      <c r="A431" s="12"/>
      <c r="B431" s="12"/>
      <c r="C431" s="12"/>
      <c r="D431" s="12"/>
      <c r="E431" s="12"/>
      <c r="F431" s="70"/>
      <c r="G431" s="70"/>
      <c r="H431" s="12"/>
      <c r="I431" s="12"/>
    </row>
    <row r="432" spans="1:9" ht="12.75">
      <c r="A432" s="12"/>
      <c r="B432" s="12"/>
      <c r="C432" s="12"/>
      <c r="D432" s="12"/>
      <c r="E432" s="12"/>
      <c r="F432" s="70"/>
      <c r="G432" s="70"/>
      <c r="H432" s="12"/>
      <c r="I432" s="12"/>
    </row>
    <row r="433" spans="1:9" ht="12.75">
      <c r="A433" s="12"/>
      <c r="B433" s="12"/>
      <c r="C433" s="12"/>
      <c r="D433" s="12"/>
      <c r="E433" s="12"/>
      <c r="F433" s="70"/>
      <c r="G433" s="70"/>
      <c r="H433" s="12"/>
      <c r="I433" s="12"/>
    </row>
    <row r="434" spans="1:9" ht="12.75">
      <c r="A434" s="12"/>
      <c r="B434" s="12"/>
      <c r="C434" s="12"/>
      <c r="D434" s="12"/>
      <c r="E434" s="12"/>
      <c r="F434" s="70"/>
      <c r="G434" s="70"/>
      <c r="H434" s="12"/>
      <c r="I434" s="12"/>
    </row>
    <row r="435" spans="1:9" ht="12.75">
      <c r="A435" s="12"/>
      <c r="B435" s="12"/>
      <c r="C435" s="12"/>
      <c r="D435" s="12"/>
      <c r="E435" s="12"/>
      <c r="F435" s="70"/>
      <c r="G435" s="70"/>
      <c r="H435" s="12"/>
      <c r="I435" s="12"/>
    </row>
    <row r="436" spans="1:9" ht="12.75">
      <c r="A436" s="12"/>
      <c r="B436" s="12"/>
      <c r="C436" s="12"/>
      <c r="D436" s="12"/>
      <c r="E436" s="12"/>
      <c r="F436" s="70"/>
      <c r="G436" s="70"/>
      <c r="H436" s="12"/>
      <c r="I436" s="12"/>
    </row>
    <row r="437" spans="1:9" ht="12.75">
      <c r="A437" s="12"/>
      <c r="B437" s="12"/>
      <c r="C437" s="12"/>
      <c r="D437" s="12"/>
      <c r="E437" s="12"/>
      <c r="F437" s="70"/>
      <c r="G437" s="70"/>
      <c r="H437" s="12"/>
      <c r="I437" s="12"/>
    </row>
    <row r="438" spans="1:9" ht="12.75">
      <c r="A438" s="12"/>
      <c r="B438" s="12"/>
      <c r="C438" s="12"/>
      <c r="D438" s="12"/>
      <c r="E438" s="12"/>
      <c r="F438" s="70"/>
      <c r="G438" s="70"/>
      <c r="H438" s="12"/>
      <c r="I438" s="12"/>
    </row>
    <row r="439" spans="1:9" ht="12.75">
      <c r="A439" s="12"/>
      <c r="B439" s="12"/>
      <c r="C439" s="12"/>
      <c r="D439" s="12"/>
      <c r="E439" s="12"/>
      <c r="F439" s="70"/>
      <c r="G439" s="70"/>
      <c r="H439" s="12"/>
      <c r="I439" s="12"/>
    </row>
    <row r="440" spans="1:9" ht="12.75">
      <c r="A440" s="12"/>
      <c r="B440" s="12"/>
      <c r="C440" s="12"/>
      <c r="D440" s="12"/>
      <c r="E440" s="12"/>
      <c r="F440" s="70"/>
      <c r="G440" s="70"/>
      <c r="H440" s="12"/>
      <c r="I440" s="12"/>
    </row>
    <row r="441" spans="1:9" ht="12.75">
      <c r="A441" s="12"/>
      <c r="B441" s="12"/>
      <c r="C441" s="12"/>
      <c r="D441" s="12"/>
      <c r="E441" s="12"/>
      <c r="F441" s="70"/>
      <c r="G441" s="70"/>
      <c r="H441" s="12"/>
      <c r="I441" s="12"/>
    </row>
    <row r="442" spans="1:9" ht="12.75">
      <c r="A442" s="12"/>
      <c r="B442" s="12"/>
      <c r="C442" s="12"/>
      <c r="D442" s="12"/>
      <c r="E442" s="12"/>
      <c r="F442" s="70"/>
      <c r="G442" s="70"/>
      <c r="H442" s="12"/>
      <c r="I442" s="12"/>
    </row>
    <row r="443" spans="1:9" ht="12.75">
      <c r="A443" s="12"/>
      <c r="B443" s="12"/>
      <c r="C443" s="12"/>
      <c r="D443" s="12"/>
      <c r="E443" s="12"/>
      <c r="F443" s="70"/>
      <c r="G443" s="70"/>
      <c r="H443" s="12"/>
      <c r="I443" s="12"/>
    </row>
    <row r="444" spans="1:9" ht="12.75">
      <c r="A444" s="12"/>
      <c r="B444" s="12"/>
      <c r="C444" s="12"/>
      <c r="D444" s="12"/>
      <c r="E444" s="12"/>
      <c r="F444" s="70"/>
      <c r="G444" s="70"/>
      <c r="H444" s="12"/>
      <c r="I444" s="12"/>
    </row>
    <row r="445" spans="1:9" ht="12.75">
      <c r="A445" s="12"/>
      <c r="B445" s="12"/>
      <c r="C445" s="12"/>
      <c r="D445" s="12"/>
      <c r="E445" s="12"/>
      <c r="F445" s="70"/>
      <c r="G445" s="70"/>
      <c r="H445" s="12"/>
      <c r="I445" s="12"/>
    </row>
    <row r="446" spans="1:9" ht="12.75">
      <c r="A446" s="12"/>
      <c r="B446" s="12"/>
      <c r="C446" s="12"/>
      <c r="D446" s="12"/>
      <c r="E446" s="12"/>
      <c r="F446" s="70"/>
      <c r="G446" s="70"/>
      <c r="H446" s="12"/>
      <c r="I446" s="12"/>
    </row>
    <row r="447" spans="1:9" ht="12.75">
      <c r="A447" s="12"/>
      <c r="B447" s="12"/>
      <c r="C447" s="12"/>
      <c r="D447" s="12"/>
      <c r="E447" s="12"/>
      <c r="F447" s="70"/>
      <c r="G447" s="70"/>
      <c r="H447" s="12"/>
      <c r="I447" s="12"/>
    </row>
    <row r="448" spans="1:9" ht="12.75">
      <c r="A448" s="12"/>
      <c r="B448" s="12"/>
      <c r="C448" s="12"/>
      <c r="D448" s="12"/>
      <c r="E448" s="12"/>
      <c r="F448" s="70"/>
      <c r="G448" s="70"/>
      <c r="H448" s="12"/>
      <c r="I448" s="12"/>
    </row>
    <row r="449" spans="1:9" ht="12.75">
      <c r="A449" s="12"/>
      <c r="B449" s="12"/>
      <c r="C449" s="12"/>
      <c r="D449" s="12"/>
      <c r="E449" s="12"/>
      <c r="F449" s="70"/>
      <c r="G449" s="70"/>
      <c r="H449" s="12"/>
      <c r="I449" s="12"/>
    </row>
    <row r="450" spans="1:9" ht="12.75">
      <c r="A450" s="12"/>
      <c r="B450" s="12"/>
      <c r="C450" s="12"/>
      <c r="D450" s="12"/>
      <c r="E450" s="12"/>
      <c r="F450" s="70"/>
      <c r="G450" s="70"/>
      <c r="H450" s="12"/>
      <c r="I450" s="12"/>
    </row>
    <row r="451" spans="1:9" ht="12.75">
      <c r="A451" s="12"/>
      <c r="B451" s="12"/>
      <c r="C451" s="12"/>
      <c r="D451" s="12"/>
      <c r="E451" s="12"/>
      <c r="F451" s="70"/>
      <c r="G451" s="70"/>
      <c r="H451" s="12"/>
      <c r="I451" s="12"/>
    </row>
    <row r="452" spans="1:9" ht="12.75">
      <c r="A452" s="12"/>
      <c r="B452" s="12"/>
      <c r="C452" s="12"/>
      <c r="D452" s="12"/>
      <c r="E452" s="12"/>
      <c r="F452" s="70"/>
      <c r="G452" s="70"/>
      <c r="H452" s="12"/>
      <c r="I452" s="12"/>
    </row>
    <row r="453" spans="1:9" ht="12.75">
      <c r="A453" s="12"/>
      <c r="B453" s="12"/>
      <c r="C453" s="12"/>
      <c r="D453" s="12"/>
      <c r="E453" s="12"/>
      <c r="F453" s="70"/>
      <c r="G453" s="70"/>
      <c r="H453" s="12"/>
      <c r="I453" s="12"/>
    </row>
    <row r="454" spans="1:9" ht="12.75">
      <c r="A454" s="12"/>
      <c r="B454" s="12"/>
      <c r="C454" s="12"/>
      <c r="D454" s="12"/>
      <c r="E454" s="12"/>
      <c r="F454" s="70"/>
      <c r="G454" s="70"/>
      <c r="H454" s="12"/>
      <c r="I454" s="12"/>
    </row>
    <row r="455" spans="1:9" ht="12.75">
      <c r="A455" s="12"/>
      <c r="B455" s="12"/>
      <c r="C455" s="12"/>
      <c r="D455" s="12"/>
      <c r="E455" s="12"/>
      <c r="F455" s="70"/>
      <c r="G455" s="70"/>
      <c r="H455" s="12"/>
      <c r="I455" s="12"/>
    </row>
    <row r="456" spans="1:9" ht="12.75">
      <c r="A456" s="12"/>
      <c r="B456" s="12"/>
      <c r="C456" s="12"/>
      <c r="D456" s="12"/>
      <c r="E456" s="12"/>
      <c r="F456" s="70"/>
      <c r="G456" s="70"/>
      <c r="H456" s="12"/>
      <c r="I456" s="12"/>
    </row>
    <row r="457" spans="1:9" ht="12.75">
      <c r="A457" s="12"/>
      <c r="B457" s="12"/>
      <c r="C457" s="12"/>
      <c r="D457" s="12"/>
      <c r="E457" s="12"/>
      <c r="F457" s="70"/>
      <c r="G457" s="70"/>
      <c r="H457" s="12"/>
      <c r="I457" s="12"/>
    </row>
    <row r="458" spans="1:9" ht="12.75">
      <c r="A458" s="12"/>
      <c r="B458" s="12"/>
      <c r="C458" s="12"/>
      <c r="D458" s="12"/>
      <c r="E458" s="12"/>
      <c r="F458" s="70"/>
      <c r="G458" s="70"/>
      <c r="H458" s="12"/>
      <c r="I458" s="12"/>
    </row>
    <row r="459" spans="1:9" ht="12.75">
      <c r="A459" s="12"/>
      <c r="B459" s="12"/>
      <c r="C459" s="12"/>
      <c r="D459" s="12"/>
      <c r="E459" s="12"/>
      <c r="F459" s="70"/>
      <c r="G459" s="70"/>
      <c r="H459" s="12"/>
      <c r="I459" s="12"/>
    </row>
    <row r="460" spans="1:9" ht="12.75">
      <c r="A460" s="12"/>
      <c r="B460" s="12"/>
      <c r="C460" s="12"/>
      <c r="D460" s="12"/>
      <c r="E460" s="12"/>
      <c r="F460" s="70"/>
      <c r="G460" s="70"/>
      <c r="H460" s="12"/>
      <c r="I460" s="12"/>
    </row>
    <row r="461" spans="1:9" ht="12.75">
      <c r="A461" s="12"/>
      <c r="B461" s="12"/>
      <c r="C461" s="12"/>
      <c r="D461" s="12"/>
      <c r="E461" s="12"/>
      <c r="F461" s="70"/>
      <c r="G461" s="70"/>
      <c r="H461" s="12"/>
      <c r="I461" s="12"/>
    </row>
    <row r="462" spans="1:9" ht="12.75">
      <c r="A462" s="12"/>
      <c r="B462" s="12"/>
      <c r="C462" s="12"/>
      <c r="D462" s="12"/>
      <c r="E462" s="12"/>
      <c r="F462" s="70"/>
      <c r="G462" s="70"/>
      <c r="H462" s="12"/>
      <c r="I462" s="12"/>
    </row>
    <row r="463" spans="1:9" ht="12.75">
      <c r="A463" s="12"/>
      <c r="B463" s="12"/>
      <c r="C463" s="12"/>
      <c r="D463" s="12"/>
      <c r="E463" s="12"/>
      <c r="F463" s="70"/>
      <c r="G463" s="70"/>
      <c r="H463" s="12"/>
      <c r="I463" s="12"/>
    </row>
    <row r="464" spans="1:9" ht="12.75">
      <c r="A464" s="12"/>
      <c r="B464" s="12"/>
      <c r="C464" s="12"/>
      <c r="D464" s="12"/>
      <c r="E464" s="12"/>
      <c r="F464" s="70"/>
      <c r="G464" s="70"/>
      <c r="H464" s="12"/>
      <c r="I464" s="12"/>
    </row>
    <row r="465" spans="1:9" ht="12.75">
      <c r="A465" s="12"/>
      <c r="B465" s="12"/>
      <c r="C465" s="12"/>
      <c r="D465" s="12"/>
      <c r="E465" s="12"/>
      <c r="F465" s="70"/>
      <c r="G465" s="70"/>
      <c r="H465" s="12"/>
      <c r="I465" s="12"/>
    </row>
    <row r="466" spans="1:9" ht="12.75">
      <c r="A466" s="12"/>
      <c r="B466" s="12"/>
      <c r="C466" s="12"/>
      <c r="D466" s="12"/>
      <c r="E466" s="12"/>
      <c r="F466" s="70"/>
      <c r="G466" s="70"/>
      <c r="H466" s="12"/>
      <c r="I466" s="12"/>
    </row>
    <row r="467" spans="1:9" ht="12.75">
      <c r="A467" s="12"/>
      <c r="B467" s="12"/>
      <c r="C467" s="12"/>
      <c r="D467" s="12"/>
      <c r="E467" s="12"/>
      <c r="F467" s="70"/>
      <c r="G467" s="70"/>
      <c r="H467" s="12"/>
      <c r="I467" s="12"/>
    </row>
    <row r="468" spans="1:9" ht="12.75">
      <c r="A468" s="12"/>
      <c r="B468" s="12"/>
      <c r="C468" s="12"/>
      <c r="D468" s="12"/>
      <c r="E468" s="12"/>
      <c r="F468" s="70"/>
      <c r="G468" s="70"/>
      <c r="H468" s="12"/>
      <c r="I468" s="12"/>
    </row>
    <row r="469" spans="1:9" ht="12.75">
      <c r="A469" s="12"/>
      <c r="B469" s="12"/>
      <c r="C469" s="12"/>
      <c r="D469" s="12"/>
      <c r="E469" s="12"/>
      <c r="F469" s="70"/>
      <c r="G469" s="70"/>
      <c r="H469" s="12"/>
      <c r="I469" s="12"/>
    </row>
    <row r="470" spans="1:9" ht="12.75">
      <c r="A470" s="12"/>
      <c r="B470" s="12"/>
      <c r="C470" s="12"/>
      <c r="D470" s="12"/>
      <c r="E470" s="12"/>
      <c r="F470" s="70"/>
      <c r="G470" s="70"/>
      <c r="H470" s="12"/>
      <c r="I470" s="12"/>
    </row>
    <row r="471" spans="1:9" ht="12.75">
      <c r="A471" s="12"/>
      <c r="B471" s="12"/>
      <c r="C471" s="12"/>
      <c r="D471" s="12"/>
      <c r="E471" s="12"/>
      <c r="F471" s="70"/>
      <c r="G471" s="70"/>
      <c r="H471" s="12"/>
      <c r="I471" s="12"/>
    </row>
    <row r="472" spans="1:9" ht="12.75">
      <c r="A472" s="12"/>
      <c r="B472" s="12"/>
      <c r="C472" s="12"/>
      <c r="D472" s="12"/>
      <c r="E472" s="12"/>
      <c r="F472" s="70"/>
      <c r="G472" s="70"/>
      <c r="H472" s="12"/>
      <c r="I472" s="12"/>
    </row>
    <row r="473" spans="1:9" ht="12.75">
      <c r="A473" s="12"/>
      <c r="B473" s="12"/>
      <c r="C473" s="12"/>
      <c r="D473" s="12"/>
      <c r="E473" s="12"/>
      <c r="F473" s="70"/>
      <c r="G473" s="70"/>
      <c r="H473" s="12"/>
      <c r="I473" s="12"/>
    </row>
    <row r="474" spans="1:9" ht="12.75">
      <c r="A474" s="12"/>
      <c r="B474" s="12"/>
      <c r="C474" s="12"/>
      <c r="D474" s="12"/>
      <c r="E474" s="12"/>
      <c r="F474" s="70"/>
      <c r="G474" s="70"/>
      <c r="H474" s="12"/>
      <c r="I474" s="12"/>
    </row>
    <row r="475" spans="1:9" ht="12.75">
      <c r="A475" s="12"/>
      <c r="B475" s="12"/>
      <c r="C475" s="12"/>
      <c r="D475" s="12"/>
      <c r="E475" s="12"/>
      <c r="F475" s="70"/>
      <c r="G475" s="70"/>
      <c r="H475" s="12"/>
      <c r="I475" s="12"/>
    </row>
    <row r="476" spans="1:9" ht="12.75">
      <c r="A476" s="12"/>
      <c r="B476" s="12"/>
      <c r="C476" s="12"/>
      <c r="D476" s="12"/>
      <c r="E476" s="12"/>
      <c r="F476" s="70"/>
      <c r="G476" s="70"/>
      <c r="H476" s="12"/>
      <c r="I476" s="12"/>
    </row>
    <row r="477" spans="1:9" ht="12.75">
      <c r="A477" s="12"/>
      <c r="B477" s="12"/>
      <c r="C477" s="12"/>
      <c r="D477" s="12"/>
      <c r="E477" s="12"/>
      <c r="F477" s="70"/>
      <c r="G477" s="70"/>
      <c r="H477" s="12"/>
      <c r="I477" s="12"/>
    </row>
    <row r="478" spans="1:9" ht="12.75">
      <c r="A478" s="12"/>
      <c r="B478" s="12"/>
      <c r="C478" s="12"/>
      <c r="D478" s="12"/>
      <c r="E478" s="12"/>
      <c r="F478" s="70"/>
      <c r="G478" s="70"/>
      <c r="H478" s="12"/>
      <c r="I478" s="12"/>
    </row>
    <row r="479" spans="1:9" ht="12.75">
      <c r="A479" s="12"/>
      <c r="B479" s="12"/>
      <c r="C479" s="12"/>
      <c r="D479" s="12"/>
      <c r="E479" s="12"/>
      <c r="F479" s="70"/>
      <c r="G479" s="70"/>
      <c r="H479" s="12"/>
      <c r="I479" s="12"/>
    </row>
    <row r="480" spans="1:9" ht="12.75">
      <c r="A480" s="12"/>
      <c r="B480" s="12"/>
      <c r="C480" s="12"/>
      <c r="D480" s="12"/>
      <c r="E480" s="12"/>
      <c r="F480" s="70"/>
      <c r="G480" s="70"/>
      <c r="H480" s="12"/>
      <c r="I480" s="12"/>
    </row>
    <row r="481" spans="1:9" ht="12.75">
      <c r="A481" s="12"/>
      <c r="B481" s="12"/>
      <c r="C481" s="12"/>
      <c r="D481" s="12"/>
      <c r="E481" s="12"/>
      <c r="F481" s="70"/>
      <c r="G481" s="70"/>
      <c r="H481" s="12"/>
      <c r="I481" s="12"/>
    </row>
    <row r="482" spans="1:9" ht="12.75">
      <c r="A482" s="12"/>
      <c r="B482" s="12"/>
      <c r="C482" s="12"/>
      <c r="D482" s="12"/>
      <c r="E482" s="12"/>
      <c r="F482" s="70"/>
      <c r="G482" s="70"/>
      <c r="H482" s="12"/>
      <c r="I482" s="12"/>
    </row>
    <row r="483" spans="1:9" ht="12.75">
      <c r="A483" s="12"/>
      <c r="B483" s="12"/>
      <c r="C483" s="12"/>
      <c r="D483" s="12"/>
      <c r="E483" s="12"/>
      <c r="F483" s="70"/>
      <c r="G483" s="70"/>
      <c r="H483" s="12"/>
      <c r="I483" s="12"/>
    </row>
    <row r="484" spans="1:9" ht="12.75">
      <c r="A484" s="12"/>
      <c r="B484" s="12"/>
      <c r="C484" s="12"/>
      <c r="D484" s="12"/>
      <c r="E484" s="12"/>
      <c r="F484" s="70"/>
      <c r="G484" s="70"/>
      <c r="H484" s="12"/>
      <c r="I484" s="12"/>
    </row>
    <row r="485" spans="1:9" ht="12.75">
      <c r="A485" s="12"/>
      <c r="B485" s="12"/>
      <c r="C485" s="12"/>
      <c r="D485" s="12"/>
      <c r="E485" s="12"/>
      <c r="F485" s="70"/>
      <c r="G485" s="70"/>
      <c r="H485" s="12"/>
      <c r="I485" s="12"/>
    </row>
    <row r="486" spans="1:9" ht="12.75">
      <c r="A486" s="12"/>
      <c r="B486" s="12"/>
      <c r="C486" s="12"/>
      <c r="D486" s="12"/>
      <c r="E486" s="12"/>
      <c r="F486" s="70"/>
      <c r="G486" s="70"/>
      <c r="H486" s="12"/>
      <c r="I486" s="12"/>
    </row>
    <row r="487" spans="1:9" ht="12.75">
      <c r="A487" s="12"/>
      <c r="B487" s="12"/>
      <c r="C487" s="12"/>
      <c r="D487" s="12"/>
      <c r="E487" s="12"/>
      <c r="F487" s="70"/>
      <c r="G487" s="70"/>
      <c r="H487" s="12"/>
      <c r="I487" s="12"/>
    </row>
    <row r="488" spans="1:9" ht="12.75">
      <c r="A488" s="12"/>
      <c r="B488" s="12"/>
      <c r="C488" s="12"/>
      <c r="D488" s="12"/>
      <c r="E488" s="12"/>
      <c r="F488" s="70"/>
      <c r="G488" s="70"/>
      <c r="H488" s="12"/>
      <c r="I488" s="12"/>
    </row>
    <row r="489" spans="1:9" ht="12.75">
      <c r="A489" s="12"/>
      <c r="B489" s="12"/>
      <c r="C489" s="12"/>
      <c r="D489" s="12"/>
      <c r="E489" s="12"/>
      <c r="F489" s="70"/>
      <c r="G489" s="70"/>
      <c r="H489" s="12"/>
      <c r="I489" s="12"/>
    </row>
    <row r="490" spans="1:9" ht="12.75">
      <c r="A490" s="12"/>
      <c r="B490" s="12"/>
      <c r="C490" s="12"/>
      <c r="D490" s="12"/>
      <c r="E490" s="12"/>
      <c r="F490" s="70"/>
      <c r="G490" s="70"/>
      <c r="H490" s="12"/>
      <c r="I490" s="12"/>
    </row>
    <row r="491" spans="1:9" ht="12.75">
      <c r="A491" s="12"/>
      <c r="B491" s="12"/>
      <c r="C491" s="12"/>
      <c r="D491" s="12"/>
      <c r="E491" s="12"/>
      <c r="F491" s="70"/>
      <c r="G491" s="70"/>
      <c r="H491" s="12"/>
      <c r="I491" s="12"/>
    </row>
    <row r="492" spans="1:9" ht="12.75">
      <c r="A492" s="12"/>
      <c r="B492" s="12"/>
      <c r="C492" s="12"/>
      <c r="D492" s="12"/>
      <c r="E492" s="12"/>
      <c r="F492" s="70"/>
      <c r="G492" s="70"/>
      <c r="H492" s="12"/>
      <c r="I492" s="12"/>
    </row>
    <row r="493" spans="1:9" ht="12.75">
      <c r="A493" s="12"/>
      <c r="B493" s="12"/>
      <c r="C493" s="12"/>
      <c r="D493" s="12"/>
      <c r="E493" s="12"/>
      <c r="F493" s="70"/>
      <c r="G493" s="70"/>
      <c r="H493" s="12"/>
      <c r="I493" s="12"/>
    </row>
    <row r="494" spans="1:9" ht="12.75">
      <c r="A494" s="12"/>
      <c r="B494" s="12"/>
      <c r="C494" s="12"/>
      <c r="D494" s="12"/>
      <c r="E494" s="12"/>
      <c r="F494" s="70"/>
      <c r="G494" s="70"/>
      <c r="H494" s="12"/>
      <c r="I494" s="12"/>
    </row>
    <row r="495" spans="1:9" ht="12.75">
      <c r="A495" s="12"/>
      <c r="B495" s="12"/>
      <c r="C495" s="12"/>
      <c r="D495" s="12"/>
      <c r="E495" s="12"/>
      <c r="F495" s="70"/>
      <c r="G495" s="70"/>
      <c r="H495" s="12"/>
      <c r="I495" s="12"/>
    </row>
    <row r="496" spans="1:9" ht="12.75">
      <c r="A496" s="12"/>
      <c r="B496" s="12"/>
      <c r="C496" s="12"/>
      <c r="D496" s="12"/>
      <c r="E496" s="12"/>
      <c r="F496" s="70"/>
      <c r="G496" s="70"/>
      <c r="H496" s="12"/>
      <c r="I496" s="12"/>
    </row>
    <row r="497" spans="1:9" ht="12.75">
      <c r="A497" s="12"/>
      <c r="B497" s="12"/>
      <c r="C497" s="12"/>
      <c r="D497" s="12"/>
      <c r="E497" s="12"/>
      <c r="F497" s="70"/>
      <c r="G497" s="70"/>
      <c r="H497" s="12"/>
      <c r="I497" s="12"/>
    </row>
    <row r="498" spans="1:9" ht="12.75">
      <c r="A498" s="12"/>
      <c r="B498" s="12"/>
      <c r="C498" s="12"/>
      <c r="D498" s="12"/>
      <c r="E498" s="12"/>
      <c r="F498" s="70"/>
      <c r="G498" s="70"/>
      <c r="H498" s="12"/>
      <c r="I498" s="12"/>
    </row>
    <row r="499" spans="1:9" ht="12.75">
      <c r="A499" s="12"/>
      <c r="B499" s="12"/>
      <c r="C499" s="12"/>
      <c r="D499" s="12"/>
      <c r="E499" s="12"/>
      <c r="F499" s="70"/>
      <c r="G499" s="70"/>
      <c r="H499" s="12"/>
      <c r="I499" s="12"/>
    </row>
    <row r="500" spans="1:9" ht="12.75">
      <c r="A500" s="12"/>
      <c r="B500" s="12"/>
      <c r="C500" s="12"/>
      <c r="D500" s="12"/>
      <c r="E500" s="12"/>
      <c r="F500" s="70"/>
      <c r="G500" s="70"/>
      <c r="H500" s="12"/>
      <c r="I500" s="12"/>
    </row>
    <row r="501" spans="1:9" ht="12.75">
      <c r="A501" s="12"/>
      <c r="B501" s="12"/>
      <c r="C501" s="12"/>
      <c r="D501" s="12"/>
      <c r="E501" s="12"/>
      <c r="F501" s="70"/>
      <c r="G501" s="70"/>
      <c r="H501" s="12"/>
      <c r="I501" s="12"/>
    </row>
    <row r="502" spans="1:9" ht="12.75">
      <c r="A502" s="12"/>
      <c r="B502" s="12"/>
      <c r="C502" s="12"/>
      <c r="D502" s="12"/>
      <c r="E502" s="12"/>
      <c r="F502" s="70"/>
      <c r="G502" s="70"/>
      <c r="H502" s="12"/>
      <c r="I502" s="12"/>
    </row>
    <row r="503" spans="1:9" ht="12.75">
      <c r="A503" s="12"/>
      <c r="B503" s="12"/>
      <c r="C503" s="12"/>
      <c r="D503" s="12"/>
      <c r="E503" s="12"/>
      <c r="F503" s="70"/>
      <c r="G503" s="70"/>
      <c r="H503" s="12"/>
      <c r="I503" s="12"/>
    </row>
    <row r="504" spans="1:9" ht="12.75">
      <c r="A504" s="12"/>
      <c r="B504" s="12"/>
      <c r="C504" s="12"/>
      <c r="D504" s="12"/>
      <c r="E504" s="12"/>
      <c r="F504" s="70"/>
      <c r="G504" s="70"/>
      <c r="H504" s="12"/>
      <c r="I504" s="12"/>
    </row>
    <row r="505" spans="1:9" ht="12.75">
      <c r="A505" s="12"/>
      <c r="B505" s="12"/>
      <c r="C505" s="12"/>
      <c r="D505" s="12"/>
      <c r="E505" s="12"/>
      <c r="F505" s="70"/>
      <c r="G505" s="70"/>
      <c r="H505" s="12"/>
      <c r="I505" s="12"/>
    </row>
    <row r="506" spans="1:9" ht="12.75">
      <c r="A506" s="12"/>
      <c r="B506" s="12"/>
      <c r="C506" s="12"/>
      <c r="D506" s="12"/>
      <c r="E506" s="12"/>
      <c r="F506" s="70"/>
      <c r="G506" s="70"/>
      <c r="H506" s="12"/>
      <c r="I506" s="12"/>
    </row>
    <row r="507" spans="1:9" ht="12.75">
      <c r="A507" s="12"/>
      <c r="B507" s="12"/>
      <c r="C507" s="12"/>
      <c r="D507" s="12"/>
      <c r="E507" s="12"/>
      <c r="F507" s="70"/>
      <c r="G507" s="70"/>
      <c r="H507" s="12"/>
      <c r="I507" s="12"/>
    </row>
    <row r="508" spans="1:9" ht="12.75">
      <c r="A508" s="12"/>
      <c r="B508" s="12"/>
      <c r="C508" s="12"/>
      <c r="D508" s="12"/>
      <c r="E508" s="12"/>
      <c r="F508" s="70"/>
      <c r="G508" s="70"/>
      <c r="H508" s="12"/>
      <c r="I508" s="12"/>
    </row>
    <row r="509" spans="1:9" ht="12.75">
      <c r="A509" s="12"/>
      <c r="B509" s="12"/>
      <c r="C509" s="12"/>
      <c r="D509" s="12"/>
      <c r="E509" s="12"/>
      <c r="F509" s="70"/>
      <c r="G509" s="70"/>
      <c r="H509" s="12"/>
      <c r="I509" s="12"/>
    </row>
    <row r="510" spans="1:9" ht="12.75">
      <c r="A510" s="12"/>
      <c r="B510" s="12"/>
      <c r="C510" s="12"/>
      <c r="D510" s="12"/>
      <c r="E510" s="12"/>
      <c r="F510" s="70"/>
      <c r="G510" s="70"/>
      <c r="H510" s="12"/>
      <c r="I510" s="12"/>
    </row>
    <row r="511" spans="1:9" ht="12.75">
      <c r="A511" s="12"/>
      <c r="B511" s="12"/>
      <c r="C511" s="12"/>
      <c r="D511" s="12"/>
      <c r="E511" s="12"/>
      <c r="F511" s="70"/>
      <c r="G511" s="70"/>
      <c r="H511" s="12"/>
      <c r="I511" s="12"/>
    </row>
    <row r="512" spans="1:9" ht="12.75">
      <c r="A512" s="12"/>
      <c r="B512" s="12"/>
      <c r="C512" s="12"/>
      <c r="D512" s="12"/>
      <c r="E512" s="12"/>
      <c r="F512" s="70"/>
      <c r="G512" s="70"/>
      <c r="H512" s="12"/>
      <c r="I512" s="12"/>
    </row>
    <row r="513" spans="1:9" ht="12.75">
      <c r="A513" s="12"/>
      <c r="B513" s="12"/>
      <c r="C513" s="12"/>
      <c r="D513" s="12"/>
      <c r="E513" s="12"/>
      <c r="F513" s="70"/>
      <c r="G513" s="70"/>
      <c r="H513" s="12"/>
      <c r="I513" s="12"/>
    </row>
    <row r="514" spans="1:9" ht="12.75">
      <c r="A514" s="12"/>
      <c r="B514" s="12"/>
      <c r="C514" s="12"/>
      <c r="D514" s="12"/>
      <c r="E514" s="12"/>
      <c r="F514" s="70"/>
      <c r="G514" s="70"/>
      <c r="H514" s="12"/>
      <c r="I514" s="12"/>
    </row>
    <row r="515" spans="1:9" ht="12.75">
      <c r="A515" s="12"/>
      <c r="B515" s="12"/>
      <c r="C515" s="12"/>
      <c r="D515" s="12"/>
      <c r="E515" s="12"/>
      <c r="F515" s="70"/>
      <c r="G515" s="70"/>
      <c r="H515" s="12"/>
      <c r="I515" s="12"/>
    </row>
    <row r="516" spans="1:9" ht="12.75">
      <c r="A516" s="12"/>
      <c r="B516" s="12"/>
      <c r="C516" s="12"/>
      <c r="D516" s="12"/>
      <c r="E516" s="12"/>
      <c r="F516" s="70"/>
      <c r="G516" s="70"/>
      <c r="H516" s="12"/>
      <c r="I516" s="12"/>
    </row>
    <row r="517" spans="1:9" ht="12.75">
      <c r="A517" s="12"/>
      <c r="B517" s="12"/>
      <c r="C517" s="12"/>
      <c r="D517" s="12"/>
      <c r="E517" s="12"/>
      <c r="F517" s="70"/>
      <c r="G517" s="70"/>
      <c r="H517" s="12"/>
      <c r="I517" s="12"/>
    </row>
    <row r="518" spans="1:9" ht="12.75">
      <c r="A518" s="12"/>
      <c r="B518" s="12"/>
      <c r="C518" s="12"/>
      <c r="D518" s="12"/>
      <c r="E518" s="12"/>
      <c r="F518" s="70"/>
      <c r="G518" s="70"/>
      <c r="H518" s="12"/>
      <c r="I518" s="12"/>
    </row>
    <row r="519" spans="1:9" ht="12.75">
      <c r="A519" s="12"/>
      <c r="B519" s="12"/>
      <c r="C519" s="12"/>
      <c r="D519" s="12"/>
      <c r="E519" s="12"/>
      <c r="F519" s="70"/>
      <c r="G519" s="70"/>
      <c r="H519" s="12"/>
      <c r="I519" s="12"/>
    </row>
    <row r="520" spans="1:9" ht="12.75">
      <c r="A520" s="12"/>
      <c r="B520" s="12"/>
      <c r="C520" s="12"/>
      <c r="D520" s="12"/>
      <c r="E520" s="12"/>
      <c r="F520" s="70"/>
      <c r="G520" s="70"/>
      <c r="H520" s="12"/>
      <c r="I520" s="12"/>
    </row>
    <row r="521" spans="1:9" ht="12.75">
      <c r="A521" s="12"/>
      <c r="B521" s="12"/>
      <c r="C521" s="12"/>
      <c r="D521" s="12"/>
      <c r="E521" s="12"/>
      <c r="F521" s="70"/>
      <c r="G521" s="70"/>
      <c r="H521" s="12"/>
      <c r="I521" s="12"/>
    </row>
    <row r="522" spans="1:9" ht="12.75">
      <c r="A522" s="12"/>
      <c r="B522" s="12"/>
      <c r="C522" s="12"/>
      <c r="D522" s="12"/>
      <c r="E522" s="12"/>
      <c r="F522" s="70"/>
      <c r="G522" s="70"/>
      <c r="H522" s="12"/>
      <c r="I522" s="12"/>
    </row>
    <row r="523" spans="1:9" ht="12.75">
      <c r="A523" s="12"/>
      <c r="B523" s="12"/>
      <c r="C523" s="12"/>
      <c r="D523" s="12"/>
      <c r="E523" s="12"/>
      <c r="F523" s="70"/>
      <c r="G523" s="70"/>
      <c r="H523" s="12"/>
      <c r="I523" s="12"/>
    </row>
    <row r="524" spans="1:9" ht="12.75">
      <c r="A524" s="12"/>
      <c r="B524" s="12"/>
      <c r="C524" s="12"/>
      <c r="D524" s="12"/>
      <c r="E524" s="12"/>
      <c r="F524" s="70"/>
      <c r="G524" s="70"/>
      <c r="H524" s="12"/>
      <c r="I524" s="12"/>
    </row>
    <row r="525" spans="1:9" ht="12.75">
      <c r="A525" s="12"/>
      <c r="B525" s="12"/>
      <c r="C525" s="12"/>
      <c r="D525" s="12"/>
      <c r="E525" s="12"/>
      <c r="F525" s="70"/>
      <c r="G525" s="70"/>
      <c r="H525" s="12"/>
      <c r="I525" s="12"/>
    </row>
    <row r="526" spans="1:9" ht="12.75">
      <c r="A526" s="12"/>
      <c r="B526" s="12"/>
      <c r="C526" s="12"/>
      <c r="D526" s="12"/>
      <c r="E526" s="12"/>
      <c r="F526" s="70"/>
      <c r="G526" s="70"/>
      <c r="H526" s="12"/>
      <c r="I526" s="12"/>
    </row>
    <row r="527" spans="1:9" ht="12.75">
      <c r="A527" s="12"/>
      <c r="B527" s="12"/>
      <c r="C527" s="12"/>
      <c r="D527" s="12"/>
      <c r="E527" s="12"/>
      <c r="F527" s="70"/>
      <c r="G527" s="70"/>
      <c r="H527" s="12"/>
      <c r="I527" s="12"/>
    </row>
    <row r="528" spans="1:9" ht="12.75">
      <c r="A528" s="12"/>
      <c r="B528" s="12"/>
      <c r="C528" s="12"/>
      <c r="D528" s="12"/>
      <c r="E528" s="12"/>
      <c r="F528" s="70"/>
      <c r="G528" s="70"/>
      <c r="H528" s="12"/>
      <c r="I528" s="12"/>
    </row>
    <row r="529" spans="1:9" ht="12.75">
      <c r="A529" s="12"/>
      <c r="B529" s="12"/>
      <c r="C529" s="12"/>
      <c r="D529" s="12"/>
      <c r="E529" s="12"/>
      <c r="F529" s="70"/>
      <c r="G529" s="70"/>
      <c r="H529" s="12"/>
      <c r="I529" s="12"/>
    </row>
    <row r="530" spans="1:9" ht="12.75">
      <c r="A530" s="12"/>
      <c r="B530" s="12"/>
      <c r="C530" s="12"/>
      <c r="D530" s="12"/>
      <c r="E530" s="12"/>
      <c r="F530" s="70"/>
      <c r="G530" s="70"/>
      <c r="H530" s="12"/>
      <c r="I530" s="12"/>
    </row>
    <row r="531" spans="1:9" ht="12.75">
      <c r="A531" s="12"/>
      <c r="B531" s="12"/>
      <c r="C531" s="12"/>
      <c r="D531" s="12"/>
      <c r="E531" s="12"/>
      <c r="F531" s="70"/>
      <c r="G531" s="70"/>
      <c r="H531" s="12"/>
      <c r="I531" s="12"/>
    </row>
    <row r="532" spans="1:9" ht="12.75">
      <c r="A532" s="12"/>
      <c r="B532" s="12"/>
      <c r="C532" s="12"/>
      <c r="D532" s="12"/>
      <c r="E532" s="12"/>
      <c r="F532" s="70"/>
      <c r="G532" s="70"/>
      <c r="H532" s="12"/>
      <c r="I532" s="12"/>
    </row>
    <row r="533" spans="1:9" ht="12.75">
      <c r="A533" s="12"/>
      <c r="B533" s="12"/>
      <c r="C533" s="12"/>
      <c r="D533" s="12"/>
      <c r="E533" s="12"/>
      <c r="F533" s="70"/>
      <c r="G533" s="70"/>
      <c r="H533" s="12"/>
      <c r="I533" s="12"/>
    </row>
    <row r="534" spans="1:9" ht="12.75">
      <c r="A534" s="12"/>
      <c r="B534" s="12"/>
      <c r="C534" s="12"/>
      <c r="D534" s="12"/>
      <c r="E534" s="12"/>
      <c r="F534" s="70"/>
      <c r="G534" s="70"/>
      <c r="H534" s="12"/>
      <c r="I534" s="12"/>
    </row>
    <row r="535" spans="1:9" ht="12.75">
      <c r="A535" s="12"/>
      <c r="B535" s="12"/>
      <c r="C535" s="12"/>
      <c r="D535" s="12"/>
      <c r="E535" s="12"/>
      <c r="F535" s="70"/>
      <c r="G535" s="70"/>
      <c r="H535" s="12"/>
      <c r="I535" s="12"/>
    </row>
    <row r="536" spans="1:9" ht="12.75">
      <c r="A536" s="12"/>
      <c r="B536" s="12"/>
      <c r="C536" s="12"/>
      <c r="D536" s="12"/>
      <c r="E536" s="12"/>
      <c r="F536" s="70"/>
      <c r="G536" s="70"/>
      <c r="H536" s="12"/>
      <c r="I536" s="12"/>
    </row>
    <row r="537" spans="1:9" ht="12.75">
      <c r="A537" s="12"/>
      <c r="B537" s="12"/>
      <c r="C537" s="12"/>
      <c r="D537" s="12"/>
      <c r="E537" s="12"/>
      <c r="F537" s="70"/>
      <c r="G537" s="70"/>
      <c r="H537" s="12"/>
      <c r="I537" s="12"/>
    </row>
    <row r="538" spans="1:9" ht="12.75">
      <c r="A538" s="12"/>
      <c r="B538" s="12"/>
      <c r="C538" s="12"/>
      <c r="D538" s="12"/>
      <c r="E538" s="12"/>
      <c r="F538" s="70"/>
      <c r="G538" s="70"/>
      <c r="H538" s="12"/>
      <c r="I538" s="12"/>
    </row>
    <row r="539" spans="1:9" ht="12.75">
      <c r="A539" s="12"/>
      <c r="B539" s="12"/>
      <c r="C539" s="12"/>
      <c r="D539" s="12"/>
      <c r="E539" s="12"/>
      <c r="F539" s="70"/>
      <c r="G539" s="70"/>
      <c r="H539" s="12"/>
      <c r="I539" s="12"/>
    </row>
    <row r="540" spans="1:9" ht="12.75">
      <c r="A540" s="12"/>
      <c r="B540" s="12"/>
      <c r="C540" s="12"/>
      <c r="D540" s="12"/>
      <c r="E540" s="12"/>
      <c r="F540" s="70"/>
      <c r="G540" s="70"/>
      <c r="H540" s="12"/>
      <c r="I540" s="12"/>
    </row>
    <row r="541" spans="1:9" ht="12.75">
      <c r="A541" s="12"/>
      <c r="B541" s="12"/>
      <c r="C541" s="12"/>
      <c r="D541" s="12"/>
      <c r="E541" s="12"/>
      <c r="F541" s="70"/>
      <c r="G541" s="70"/>
      <c r="H541" s="12"/>
      <c r="I541" s="12"/>
    </row>
    <row r="542" spans="1:9" ht="12.75">
      <c r="A542" s="12"/>
      <c r="B542" s="12"/>
      <c r="C542" s="12"/>
      <c r="D542" s="12"/>
      <c r="E542" s="12"/>
      <c r="F542" s="70"/>
      <c r="G542" s="70"/>
      <c r="H542" s="12"/>
      <c r="I542" s="12"/>
    </row>
    <row r="543" spans="1:9" ht="12.75">
      <c r="A543" s="12"/>
      <c r="B543" s="12"/>
      <c r="C543" s="12"/>
      <c r="D543" s="12"/>
      <c r="E543" s="12"/>
      <c r="F543" s="70"/>
      <c r="G543" s="70"/>
      <c r="H543" s="12"/>
      <c r="I543" s="12"/>
    </row>
    <row r="544" spans="1:9" ht="12.75">
      <c r="A544" s="12"/>
      <c r="B544" s="12"/>
      <c r="C544" s="12"/>
      <c r="D544" s="12"/>
      <c r="E544" s="12"/>
      <c r="F544" s="70"/>
      <c r="G544" s="70"/>
      <c r="H544" s="12"/>
      <c r="I544" s="12"/>
    </row>
    <row r="545" spans="1:9" ht="12.75">
      <c r="A545" s="12"/>
      <c r="B545" s="12"/>
      <c r="C545" s="12"/>
      <c r="D545" s="12"/>
      <c r="E545" s="12"/>
      <c r="F545" s="70"/>
      <c r="G545" s="70"/>
      <c r="H545" s="12"/>
      <c r="I545" s="12"/>
    </row>
    <row r="546" spans="1:9" ht="12.75">
      <c r="A546" s="12"/>
      <c r="B546" s="12"/>
      <c r="C546" s="12"/>
      <c r="D546" s="12"/>
      <c r="E546" s="12"/>
      <c r="F546" s="70"/>
      <c r="G546" s="70"/>
      <c r="H546" s="12"/>
      <c r="I546" s="12"/>
    </row>
    <row r="547" spans="1:9" ht="12.75">
      <c r="A547" s="12"/>
      <c r="B547" s="12"/>
      <c r="C547" s="12"/>
      <c r="D547" s="12"/>
      <c r="E547" s="12"/>
      <c r="F547" s="70"/>
      <c r="G547" s="70"/>
      <c r="H547" s="12"/>
      <c r="I547" s="12"/>
    </row>
    <row r="548" spans="1:9" ht="12.75">
      <c r="A548" s="12"/>
      <c r="B548" s="12"/>
      <c r="C548" s="12"/>
      <c r="D548" s="12"/>
      <c r="E548" s="12"/>
      <c r="F548" s="70"/>
      <c r="G548" s="70"/>
      <c r="H548" s="12"/>
      <c r="I548" s="12"/>
    </row>
    <row r="549" spans="1:9" ht="12.75">
      <c r="A549" s="12"/>
      <c r="B549" s="12"/>
      <c r="C549" s="12"/>
      <c r="D549" s="12"/>
      <c r="E549" s="12"/>
      <c r="F549" s="70"/>
      <c r="G549" s="70"/>
      <c r="H549" s="12"/>
      <c r="I549" s="12"/>
    </row>
    <row r="550" spans="1:9" ht="12.75">
      <c r="A550" s="12"/>
      <c r="B550" s="12"/>
      <c r="C550" s="12"/>
      <c r="D550" s="12"/>
      <c r="E550" s="12"/>
      <c r="F550" s="70"/>
      <c r="G550" s="70"/>
      <c r="H550" s="12"/>
      <c r="I550" s="12"/>
    </row>
    <row r="551" spans="1:9" ht="12.75">
      <c r="A551" s="12"/>
      <c r="B551" s="12"/>
      <c r="C551" s="12"/>
      <c r="D551" s="12"/>
      <c r="E551" s="12"/>
      <c r="F551" s="70"/>
      <c r="G551" s="70"/>
      <c r="H551" s="12"/>
      <c r="I551" s="12"/>
    </row>
    <row r="552" spans="1:9" ht="12.75">
      <c r="A552" s="12"/>
      <c r="B552" s="12"/>
      <c r="C552" s="12"/>
      <c r="D552" s="12"/>
      <c r="E552" s="12"/>
      <c r="F552" s="70"/>
      <c r="G552" s="70"/>
      <c r="H552" s="12"/>
      <c r="I552" s="12"/>
    </row>
    <row r="553" spans="1:9" ht="12.75">
      <c r="A553" s="12"/>
      <c r="B553" s="12"/>
      <c r="C553" s="12"/>
      <c r="D553" s="12"/>
      <c r="E553" s="12"/>
      <c r="F553" s="70"/>
      <c r="G553" s="70"/>
      <c r="H553" s="12"/>
      <c r="I553" s="12"/>
    </row>
    <row r="554" spans="1:9" ht="12.75">
      <c r="A554" s="12"/>
      <c r="B554" s="12"/>
      <c r="C554" s="12"/>
      <c r="D554" s="12"/>
      <c r="E554" s="12"/>
      <c r="F554" s="70"/>
      <c r="G554" s="70"/>
      <c r="H554" s="12"/>
      <c r="I554" s="12"/>
    </row>
    <row r="555" spans="1:9" ht="12.75">
      <c r="A555" s="12"/>
      <c r="B555" s="12"/>
      <c r="C555" s="12"/>
      <c r="D555" s="12"/>
      <c r="E555" s="12"/>
      <c r="F555" s="70"/>
      <c r="G555" s="70"/>
      <c r="H555" s="12"/>
      <c r="I555" s="12"/>
    </row>
    <row r="556" spans="1:9" ht="12.75">
      <c r="A556" s="12"/>
      <c r="B556" s="12"/>
      <c r="C556" s="12"/>
      <c r="D556" s="12"/>
      <c r="E556" s="12"/>
      <c r="F556" s="70"/>
      <c r="G556" s="70"/>
      <c r="H556" s="12"/>
      <c r="I556" s="12"/>
    </row>
    <row r="557" spans="1:9" ht="12.75">
      <c r="A557" s="12"/>
      <c r="B557" s="12"/>
      <c r="C557" s="12"/>
      <c r="D557" s="12"/>
      <c r="E557" s="12"/>
      <c r="F557" s="70"/>
      <c r="G557" s="70"/>
      <c r="H557" s="12"/>
      <c r="I557" s="12"/>
    </row>
    <row r="558" spans="1:9" ht="12.75">
      <c r="A558" s="12"/>
      <c r="B558" s="12"/>
      <c r="C558" s="12"/>
      <c r="D558" s="12"/>
      <c r="E558" s="12"/>
      <c r="F558" s="70"/>
      <c r="G558" s="70"/>
      <c r="H558" s="12"/>
      <c r="I558" s="12"/>
    </row>
    <row r="559" spans="1:9" ht="12.75">
      <c r="A559" s="12"/>
      <c r="B559" s="12"/>
      <c r="C559" s="12"/>
      <c r="D559" s="12"/>
      <c r="E559" s="12"/>
      <c r="F559" s="70"/>
      <c r="G559" s="70"/>
      <c r="H559" s="12"/>
      <c r="I559" s="12"/>
    </row>
    <row r="560" spans="1:9" ht="12.75">
      <c r="A560" s="12"/>
      <c r="B560" s="12"/>
      <c r="C560" s="12"/>
      <c r="D560" s="12"/>
      <c r="E560" s="12"/>
      <c r="F560" s="70"/>
      <c r="G560" s="70"/>
      <c r="H560" s="12"/>
      <c r="I560" s="12"/>
    </row>
    <row r="561" spans="1:9" ht="12.75">
      <c r="A561" s="12"/>
      <c r="B561" s="12"/>
      <c r="C561" s="12"/>
      <c r="D561" s="12"/>
      <c r="E561" s="12"/>
      <c r="F561" s="70"/>
      <c r="G561" s="70"/>
      <c r="H561" s="12"/>
      <c r="I561" s="12"/>
    </row>
    <row r="562" spans="1:9" ht="12.75">
      <c r="A562" s="12"/>
      <c r="B562" s="12"/>
      <c r="C562" s="12"/>
      <c r="D562" s="12"/>
      <c r="E562" s="12"/>
      <c r="F562" s="70"/>
      <c r="G562" s="70"/>
      <c r="H562" s="12"/>
      <c r="I562" s="12"/>
    </row>
    <row r="563" spans="1:9" ht="12.75">
      <c r="A563" s="12"/>
      <c r="B563" s="12"/>
      <c r="C563" s="12"/>
      <c r="D563" s="12"/>
      <c r="E563" s="12"/>
      <c r="F563" s="70"/>
      <c r="G563" s="70"/>
      <c r="H563" s="12"/>
      <c r="I563" s="12"/>
    </row>
    <row r="564" spans="1:9" ht="12.75">
      <c r="A564" s="12"/>
      <c r="B564" s="12"/>
      <c r="C564" s="12"/>
      <c r="D564" s="12"/>
      <c r="E564" s="12"/>
      <c r="F564" s="70"/>
      <c r="G564" s="70"/>
      <c r="H564" s="12"/>
      <c r="I564" s="12"/>
    </row>
    <row r="565" spans="1:9" ht="12.75">
      <c r="A565" s="12"/>
      <c r="B565" s="12"/>
      <c r="C565" s="12"/>
      <c r="D565" s="12"/>
      <c r="E565" s="12"/>
      <c r="F565" s="70"/>
      <c r="G565" s="70"/>
      <c r="H565" s="12"/>
      <c r="I565" s="12"/>
    </row>
    <row r="566" spans="1:9" ht="12.75">
      <c r="A566" s="12"/>
      <c r="B566" s="12"/>
      <c r="C566" s="12"/>
      <c r="D566" s="12"/>
      <c r="E566" s="12"/>
      <c r="F566" s="70"/>
      <c r="G566" s="70"/>
      <c r="H566" s="12"/>
      <c r="I566" s="12"/>
    </row>
    <row r="567" spans="1:9" ht="12.75">
      <c r="A567" s="12"/>
      <c r="B567" s="12"/>
      <c r="C567" s="12"/>
      <c r="D567" s="12"/>
      <c r="E567" s="12"/>
      <c r="F567" s="70"/>
      <c r="G567" s="70"/>
      <c r="H567" s="12"/>
      <c r="I567" s="12"/>
    </row>
    <row r="568" spans="1:9" ht="12.75">
      <c r="A568" s="12"/>
      <c r="B568" s="12"/>
      <c r="C568" s="12"/>
      <c r="D568" s="12"/>
      <c r="E568" s="12"/>
      <c r="F568" s="70"/>
      <c r="G568" s="70"/>
      <c r="H568" s="12"/>
      <c r="I568" s="12"/>
    </row>
    <row r="569" spans="1:9" ht="12.75">
      <c r="A569" s="12"/>
      <c r="B569" s="12"/>
      <c r="C569" s="12"/>
      <c r="D569" s="12"/>
      <c r="E569" s="12"/>
      <c r="F569" s="70"/>
      <c r="G569" s="70"/>
      <c r="H569" s="12"/>
      <c r="I569" s="12"/>
    </row>
    <row r="570" spans="1:9" ht="12.75">
      <c r="A570" s="12"/>
      <c r="B570" s="12"/>
      <c r="C570" s="12"/>
      <c r="D570" s="12"/>
      <c r="E570" s="12"/>
      <c r="F570" s="70"/>
      <c r="G570" s="70"/>
      <c r="H570" s="12"/>
      <c r="I570" s="12"/>
    </row>
    <row r="571" spans="1:9" ht="12.75">
      <c r="A571" s="12"/>
      <c r="B571" s="12"/>
      <c r="C571" s="12"/>
      <c r="D571" s="12"/>
      <c r="E571" s="12"/>
      <c r="F571" s="70"/>
      <c r="G571" s="70"/>
      <c r="H571" s="12"/>
      <c r="I571" s="12"/>
    </row>
    <row r="572" spans="1:9" ht="12.75">
      <c r="A572" s="12"/>
      <c r="B572" s="12"/>
      <c r="C572" s="12"/>
      <c r="D572" s="12"/>
      <c r="E572" s="12"/>
      <c r="F572" s="70"/>
      <c r="G572" s="70"/>
      <c r="H572" s="12"/>
      <c r="I572" s="12"/>
    </row>
    <row r="573" spans="1:9" ht="12.75">
      <c r="A573" s="12"/>
      <c r="B573" s="12"/>
      <c r="C573" s="12"/>
      <c r="D573" s="12"/>
      <c r="E573" s="12"/>
      <c r="F573" s="70"/>
      <c r="G573" s="70"/>
      <c r="H573" s="12"/>
      <c r="I573" s="12"/>
    </row>
    <row r="574" spans="1:9" ht="12.75">
      <c r="A574" s="12"/>
      <c r="B574" s="12"/>
      <c r="C574" s="12"/>
      <c r="D574" s="12"/>
      <c r="E574" s="12"/>
      <c r="F574" s="70"/>
      <c r="G574" s="70"/>
      <c r="H574" s="12"/>
      <c r="I574" s="12"/>
    </row>
    <row r="575" spans="1:9" ht="12.75">
      <c r="A575" s="12"/>
      <c r="B575" s="12"/>
      <c r="C575" s="12"/>
      <c r="D575" s="12"/>
      <c r="E575" s="12"/>
      <c r="F575" s="70"/>
      <c r="G575" s="70"/>
      <c r="H575" s="12"/>
      <c r="I575" s="12"/>
    </row>
    <row r="576" spans="1:9" ht="12.75">
      <c r="A576" s="12"/>
      <c r="B576" s="12"/>
      <c r="C576" s="12"/>
      <c r="D576" s="12"/>
      <c r="E576" s="12"/>
      <c r="F576" s="70"/>
      <c r="G576" s="70"/>
      <c r="H576" s="12"/>
      <c r="I576" s="12"/>
    </row>
    <row r="577" spans="1:9" ht="12.75">
      <c r="A577" s="12"/>
      <c r="B577" s="12"/>
      <c r="C577" s="12"/>
      <c r="D577" s="12"/>
      <c r="E577" s="12"/>
      <c r="F577" s="70"/>
      <c r="G577" s="70"/>
      <c r="H577" s="12"/>
      <c r="I577" s="12"/>
    </row>
    <row r="578" spans="1:9" ht="12.75">
      <c r="A578" s="12"/>
      <c r="B578" s="12"/>
      <c r="C578" s="12"/>
      <c r="D578" s="12"/>
      <c r="E578" s="12"/>
      <c r="F578" s="70"/>
      <c r="G578" s="70"/>
      <c r="H578" s="12"/>
      <c r="I578" s="12"/>
    </row>
    <row r="579" spans="1:9" ht="12.75">
      <c r="A579" s="12"/>
      <c r="B579" s="12"/>
      <c r="C579" s="12"/>
      <c r="D579" s="12"/>
      <c r="E579" s="12"/>
      <c r="F579" s="70"/>
      <c r="G579" s="70"/>
      <c r="H579" s="12"/>
      <c r="I579" s="12"/>
    </row>
    <row r="580" spans="1:9" ht="12.75">
      <c r="A580" s="12"/>
      <c r="B580" s="12"/>
      <c r="C580" s="12"/>
      <c r="D580" s="12"/>
      <c r="E580" s="12"/>
      <c r="F580" s="70"/>
      <c r="G580" s="70"/>
      <c r="H580" s="12"/>
      <c r="I580" s="12"/>
    </row>
    <row r="581" spans="1:9" ht="12.75">
      <c r="A581" s="12"/>
      <c r="B581" s="12"/>
      <c r="C581" s="12"/>
      <c r="D581" s="12"/>
      <c r="E581" s="12"/>
      <c r="F581" s="70"/>
      <c r="G581" s="70"/>
      <c r="H581" s="12"/>
      <c r="I581" s="12"/>
    </row>
    <row r="582" spans="1:9" ht="12.75">
      <c r="A582" s="12"/>
      <c r="B582" s="12"/>
      <c r="C582" s="12"/>
      <c r="D582" s="12"/>
      <c r="E582" s="12"/>
      <c r="F582" s="70"/>
      <c r="G582" s="70"/>
      <c r="H582" s="12"/>
      <c r="I582" s="12"/>
    </row>
    <row r="583" spans="1:9" ht="12.75">
      <c r="A583" s="12"/>
      <c r="B583" s="12"/>
      <c r="C583" s="12"/>
      <c r="D583" s="12"/>
      <c r="E583" s="12"/>
      <c r="F583" s="70"/>
      <c r="G583" s="70"/>
      <c r="H583" s="12"/>
      <c r="I583" s="12"/>
    </row>
    <row r="584" spans="1:9" ht="12.75">
      <c r="A584" s="12"/>
      <c r="B584" s="12"/>
      <c r="C584" s="12"/>
      <c r="D584" s="12"/>
      <c r="E584" s="12"/>
      <c r="F584" s="70"/>
      <c r="G584" s="70"/>
      <c r="H584" s="12"/>
      <c r="I584" s="12"/>
    </row>
    <row r="585" spans="1:9" ht="12.75">
      <c r="A585" s="12"/>
      <c r="B585" s="12"/>
      <c r="C585" s="12"/>
      <c r="D585" s="12"/>
      <c r="E585" s="12"/>
      <c r="F585" s="70"/>
      <c r="G585" s="70"/>
      <c r="H585" s="12"/>
      <c r="I585" s="12"/>
    </row>
    <row r="586" spans="1:9" ht="12.75">
      <c r="A586" s="12"/>
      <c r="B586" s="12"/>
      <c r="C586" s="12"/>
      <c r="D586" s="12"/>
      <c r="E586" s="12"/>
      <c r="F586" s="70"/>
      <c r="G586" s="70"/>
      <c r="H586" s="12"/>
      <c r="I586" s="12"/>
    </row>
    <row r="587" spans="1:9" ht="12.75">
      <c r="A587" s="12"/>
      <c r="B587" s="12"/>
      <c r="C587" s="12"/>
      <c r="D587" s="12"/>
      <c r="E587" s="12"/>
      <c r="F587" s="70"/>
      <c r="G587" s="70"/>
      <c r="H587" s="12"/>
      <c r="I587" s="12"/>
    </row>
    <row r="588" spans="1:9" ht="12.75">
      <c r="A588" s="12"/>
      <c r="B588" s="12"/>
      <c r="C588" s="12"/>
      <c r="D588" s="12"/>
      <c r="E588" s="12"/>
      <c r="F588" s="70"/>
      <c r="G588" s="70"/>
      <c r="H588" s="12"/>
      <c r="I588" s="12"/>
    </row>
    <row r="589" spans="1:9" ht="12.75">
      <c r="A589" s="12"/>
      <c r="B589" s="12"/>
      <c r="C589" s="12"/>
      <c r="D589" s="12"/>
      <c r="E589" s="12"/>
      <c r="F589" s="70"/>
      <c r="G589" s="70"/>
      <c r="H589" s="12"/>
      <c r="I589" s="12"/>
    </row>
    <row r="590" spans="1:9" ht="12.75">
      <c r="A590" s="12"/>
      <c r="B590" s="12"/>
      <c r="C590" s="12"/>
      <c r="D590" s="12"/>
      <c r="E590" s="12"/>
      <c r="F590" s="70"/>
      <c r="G590" s="70"/>
      <c r="H590" s="12"/>
      <c r="I590" s="12"/>
    </row>
    <row r="591" spans="1:9" ht="12.75">
      <c r="A591" s="12"/>
      <c r="B591" s="12"/>
      <c r="C591" s="12"/>
      <c r="D591" s="12"/>
      <c r="E591" s="12"/>
      <c r="F591" s="70"/>
      <c r="G591" s="70"/>
      <c r="H591" s="12"/>
      <c r="I591" s="12"/>
    </row>
    <row r="592" spans="1:9" ht="12.75">
      <c r="A592" s="12"/>
      <c r="B592" s="12"/>
      <c r="C592" s="12"/>
      <c r="D592" s="12"/>
      <c r="E592" s="12"/>
      <c r="F592" s="70"/>
      <c r="G592" s="70"/>
      <c r="H592" s="12"/>
      <c r="I592" s="12"/>
    </row>
    <row r="593" spans="1:9" ht="12.75">
      <c r="A593" s="12"/>
      <c r="B593" s="12"/>
      <c r="C593" s="12"/>
      <c r="D593" s="12"/>
      <c r="E593" s="12"/>
      <c r="F593" s="70"/>
      <c r="G593" s="70"/>
      <c r="H593" s="12"/>
      <c r="I593" s="12"/>
    </row>
    <row r="594" spans="1:9" ht="12.75">
      <c r="A594" s="12"/>
      <c r="B594" s="12"/>
      <c r="C594" s="12"/>
      <c r="D594" s="12"/>
      <c r="E594" s="12"/>
      <c r="F594" s="70"/>
      <c r="G594" s="70"/>
      <c r="H594" s="12"/>
      <c r="I594" s="12"/>
    </row>
    <row r="595" spans="1:9" ht="12.75">
      <c r="A595" s="12"/>
      <c r="B595" s="12"/>
      <c r="C595" s="12"/>
      <c r="D595" s="12"/>
      <c r="E595" s="12"/>
      <c r="F595" s="70"/>
      <c r="G595" s="70"/>
      <c r="H595" s="12"/>
      <c r="I595" s="12"/>
    </row>
    <row r="596" spans="1:9" ht="12.75">
      <c r="A596" s="12"/>
      <c r="B596" s="12"/>
      <c r="C596" s="12"/>
      <c r="D596" s="12"/>
      <c r="E596" s="12"/>
      <c r="F596" s="70"/>
      <c r="G596" s="70"/>
      <c r="H596" s="12"/>
      <c r="I596" s="12"/>
    </row>
    <row r="597" spans="1:9" ht="12.75">
      <c r="A597" s="12"/>
      <c r="B597" s="12"/>
      <c r="C597" s="12"/>
      <c r="D597" s="12"/>
      <c r="E597" s="12"/>
      <c r="F597" s="70"/>
      <c r="G597" s="70"/>
      <c r="H597" s="12"/>
      <c r="I597" s="12"/>
    </row>
    <row r="598" spans="1:9" ht="12.75">
      <c r="A598" s="12"/>
      <c r="B598" s="12"/>
      <c r="C598" s="12"/>
      <c r="D598" s="12"/>
      <c r="E598" s="12"/>
      <c r="F598" s="70"/>
      <c r="G598" s="70"/>
      <c r="H598" s="12"/>
      <c r="I598" s="12"/>
    </row>
    <row r="599" spans="1:9" ht="12.75">
      <c r="A599" s="12"/>
      <c r="B599" s="12"/>
      <c r="C599" s="12"/>
      <c r="D599" s="12"/>
      <c r="E599" s="12"/>
      <c r="F599" s="70"/>
      <c r="G599" s="70"/>
      <c r="H599" s="12"/>
      <c r="I599" s="12"/>
    </row>
    <row r="600" spans="1:9" ht="12.75">
      <c r="A600" s="12"/>
      <c r="B600" s="12"/>
      <c r="C600" s="12"/>
      <c r="D600" s="12"/>
      <c r="E600" s="12"/>
      <c r="F600" s="70"/>
      <c r="G600" s="70"/>
      <c r="H600" s="12"/>
      <c r="I600" s="12"/>
    </row>
    <row r="601" spans="1:9" ht="12.75">
      <c r="A601" s="12"/>
      <c r="B601" s="12"/>
      <c r="C601" s="12"/>
      <c r="D601" s="12"/>
      <c r="E601" s="12"/>
      <c r="F601" s="70"/>
      <c r="G601" s="70"/>
      <c r="H601" s="12"/>
      <c r="I601" s="12"/>
    </row>
    <row r="602" spans="1:9" ht="12.75">
      <c r="A602" s="12"/>
      <c r="B602" s="12"/>
      <c r="C602" s="12"/>
      <c r="D602" s="12"/>
      <c r="E602" s="12"/>
      <c r="F602" s="70"/>
      <c r="G602" s="70"/>
      <c r="H602" s="12"/>
      <c r="I602" s="12"/>
    </row>
    <row r="603" spans="1:9" ht="12.75">
      <c r="A603" s="12"/>
      <c r="B603" s="12"/>
      <c r="C603" s="12"/>
      <c r="D603" s="12"/>
      <c r="E603" s="12"/>
      <c r="F603" s="70"/>
      <c r="G603" s="70"/>
      <c r="H603" s="12"/>
      <c r="I603" s="12"/>
    </row>
    <row r="604" spans="1:9" ht="12.75">
      <c r="A604" s="12"/>
      <c r="B604" s="12"/>
      <c r="C604" s="12"/>
      <c r="D604" s="12"/>
      <c r="E604" s="12"/>
      <c r="F604" s="70"/>
      <c r="G604" s="70"/>
      <c r="H604" s="12"/>
      <c r="I604" s="12"/>
    </row>
    <row r="605" spans="1:9" ht="12.75">
      <c r="A605" s="12"/>
      <c r="B605" s="12"/>
      <c r="C605" s="12"/>
      <c r="D605" s="12"/>
      <c r="E605" s="12"/>
      <c r="F605" s="70"/>
      <c r="G605" s="70"/>
      <c r="H605" s="12"/>
      <c r="I605" s="12"/>
    </row>
    <row r="606" spans="1:9" ht="12.75">
      <c r="A606" s="12"/>
      <c r="B606" s="12"/>
      <c r="C606" s="12"/>
      <c r="D606" s="12"/>
      <c r="E606" s="12"/>
      <c r="F606" s="70"/>
      <c r="G606" s="70"/>
      <c r="H606" s="12"/>
      <c r="I606" s="12"/>
    </row>
    <row r="607" spans="1:9" ht="12.75">
      <c r="A607" s="12"/>
      <c r="B607" s="12"/>
      <c r="C607" s="12"/>
      <c r="D607" s="12"/>
      <c r="E607" s="12"/>
      <c r="F607" s="70"/>
      <c r="G607" s="70"/>
      <c r="H607" s="12"/>
      <c r="I607" s="12"/>
    </row>
    <row r="608" spans="1:9" ht="12.75">
      <c r="A608" s="12"/>
      <c r="B608" s="12"/>
      <c r="C608" s="12"/>
      <c r="D608" s="12"/>
      <c r="E608" s="12"/>
      <c r="F608" s="70"/>
      <c r="G608" s="70"/>
      <c r="H608" s="12"/>
      <c r="I608" s="12"/>
    </row>
    <row r="609" spans="1:9" ht="12.75">
      <c r="A609" s="12"/>
      <c r="B609" s="12"/>
      <c r="C609" s="12"/>
      <c r="D609" s="12"/>
      <c r="E609" s="12"/>
      <c r="F609" s="70"/>
      <c r="G609" s="70"/>
      <c r="H609" s="12"/>
      <c r="I609" s="12"/>
    </row>
    <row r="610" spans="1:9" ht="12.75">
      <c r="A610" s="12"/>
      <c r="B610" s="12"/>
      <c r="C610" s="12"/>
      <c r="D610" s="12"/>
      <c r="E610" s="12"/>
      <c r="F610" s="70"/>
      <c r="G610" s="70"/>
      <c r="H610" s="12"/>
      <c r="I610" s="12"/>
    </row>
    <row r="611" spans="1:9" ht="12.75">
      <c r="A611" s="12"/>
      <c r="B611" s="12"/>
      <c r="C611" s="12"/>
      <c r="D611" s="12"/>
      <c r="E611" s="12"/>
      <c r="F611" s="70"/>
      <c r="G611" s="70"/>
      <c r="H611" s="12"/>
      <c r="I611" s="12"/>
    </row>
    <row r="612" spans="1:9" ht="12.75">
      <c r="A612" s="12"/>
      <c r="B612" s="12"/>
      <c r="C612" s="12"/>
      <c r="D612" s="12"/>
      <c r="E612" s="12"/>
      <c r="F612" s="70"/>
      <c r="G612" s="70"/>
      <c r="H612" s="12"/>
      <c r="I612" s="12"/>
    </row>
    <row r="613" spans="1:9" ht="12.75">
      <c r="A613" s="12"/>
      <c r="B613" s="12"/>
      <c r="C613" s="12"/>
      <c r="D613" s="12"/>
      <c r="E613" s="12"/>
      <c r="F613" s="70"/>
      <c r="G613" s="70"/>
      <c r="H613" s="12"/>
      <c r="I613" s="12"/>
    </row>
    <row r="614" spans="1:9" ht="12.75">
      <c r="A614" s="12"/>
      <c r="B614" s="12"/>
      <c r="C614" s="12"/>
      <c r="D614" s="12"/>
      <c r="E614" s="12"/>
      <c r="F614" s="70"/>
      <c r="G614" s="70"/>
      <c r="H614" s="12"/>
      <c r="I614" s="12"/>
    </row>
    <row r="615" spans="1:9" ht="12.75">
      <c r="A615" s="12"/>
      <c r="B615" s="12"/>
      <c r="C615" s="12"/>
      <c r="D615" s="12"/>
      <c r="E615" s="12"/>
      <c r="F615" s="70"/>
      <c r="G615" s="70"/>
      <c r="H615" s="12"/>
      <c r="I615" s="12"/>
    </row>
    <row r="616" spans="1:9" ht="12.75">
      <c r="A616" s="12"/>
      <c r="B616" s="12"/>
      <c r="C616" s="12"/>
      <c r="D616" s="12"/>
      <c r="E616" s="12"/>
      <c r="F616" s="70"/>
      <c r="G616" s="70"/>
      <c r="H616" s="12"/>
      <c r="I616" s="12"/>
    </row>
    <row r="617" spans="1:9" ht="12.75">
      <c r="A617" s="12"/>
      <c r="B617" s="12"/>
      <c r="C617" s="12"/>
      <c r="D617" s="12"/>
      <c r="E617" s="12"/>
      <c r="F617" s="70"/>
      <c r="G617" s="70"/>
      <c r="H617" s="12"/>
      <c r="I617" s="12"/>
    </row>
    <row r="618" spans="1:9" ht="12.75">
      <c r="A618" s="12"/>
      <c r="B618" s="12"/>
      <c r="C618" s="12"/>
      <c r="D618" s="12"/>
      <c r="E618" s="12"/>
      <c r="F618" s="70"/>
      <c r="G618" s="70"/>
      <c r="H618" s="12"/>
      <c r="I618" s="12"/>
    </row>
    <row r="619" spans="1:9" ht="12.75">
      <c r="A619" s="12"/>
      <c r="B619" s="12"/>
      <c r="C619" s="12"/>
      <c r="D619" s="12"/>
      <c r="E619" s="12"/>
      <c r="F619" s="70"/>
      <c r="G619" s="70"/>
      <c r="H619" s="12"/>
      <c r="I619" s="12"/>
    </row>
    <row r="620" spans="1:9" ht="12.75">
      <c r="A620" s="12"/>
      <c r="B620" s="12"/>
      <c r="C620" s="12"/>
      <c r="D620" s="12"/>
      <c r="E620" s="12"/>
      <c r="F620" s="70"/>
      <c r="G620" s="70"/>
      <c r="H620" s="12"/>
      <c r="I620" s="12"/>
    </row>
    <row r="621" spans="1:9" ht="12.75">
      <c r="A621" s="12"/>
      <c r="B621" s="12"/>
      <c r="C621" s="12"/>
      <c r="D621" s="12"/>
      <c r="E621" s="12"/>
      <c r="F621" s="70"/>
      <c r="G621" s="70"/>
      <c r="H621" s="12"/>
      <c r="I621" s="12"/>
    </row>
    <row r="622" spans="1:9" ht="12.75">
      <c r="A622" s="12"/>
      <c r="B622" s="12"/>
      <c r="C622" s="12"/>
      <c r="D622" s="12"/>
      <c r="E622" s="12"/>
      <c r="F622" s="70"/>
      <c r="G622" s="70"/>
      <c r="H622" s="12"/>
      <c r="I622" s="12"/>
    </row>
    <row r="623" spans="1:9" ht="12.75">
      <c r="A623" s="12"/>
      <c r="B623" s="12"/>
      <c r="C623" s="12"/>
      <c r="D623" s="12"/>
      <c r="E623" s="12"/>
      <c r="F623" s="70"/>
      <c r="G623" s="70"/>
      <c r="H623" s="12"/>
      <c r="I623" s="12"/>
    </row>
    <row r="624" spans="1:9" ht="12.75">
      <c r="A624" s="12"/>
      <c r="B624" s="12"/>
      <c r="C624" s="12"/>
      <c r="D624" s="12"/>
      <c r="E624" s="12"/>
      <c r="F624" s="70"/>
      <c r="G624" s="70"/>
      <c r="H624" s="12"/>
      <c r="I624" s="12"/>
    </row>
    <row r="625" spans="1:9" ht="12.75">
      <c r="A625" s="12"/>
      <c r="B625" s="12"/>
      <c r="C625" s="12"/>
      <c r="D625" s="12"/>
      <c r="E625" s="12"/>
      <c r="F625" s="70"/>
      <c r="G625" s="70"/>
      <c r="H625" s="12"/>
      <c r="I625" s="12"/>
    </row>
    <row r="626" spans="1:9" ht="12.75">
      <c r="A626" s="12"/>
      <c r="B626" s="12"/>
      <c r="C626" s="12"/>
      <c r="D626" s="12"/>
      <c r="E626" s="12"/>
      <c r="F626" s="70"/>
      <c r="G626" s="70"/>
      <c r="H626" s="12"/>
      <c r="I626" s="12"/>
    </row>
    <row r="627" spans="1:9" ht="12.75">
      <c r="A627" s="12"/>
      <c r="B627" s="12"/>
      <c r="C627" s="12"/>
      <c r="D627" s="12"/>
      <c r="E627" s="12"/>
      <c r="F627" s="70"/>
      <c r="G627" s="70"/>
      <c r="H627" s="12"/>
      <c r="I627" s="12"/>
    </row>
    <row r="628" spans="1:9" ht="12.75">
      <c r="A628" s="12"/>
      <c r="B628" s="12"/>
      <c r="C628" s="12"/>
      <c r="D628" s="12"/>
      <c r="E628" s="12"/>
      <c r="F628" s="70"/>
      <c r="G628" s="70"/>
      <c r="H628" s="12"/>
      <c r="I628" s="12"/>
    </row>
    <row r="629" spans="1:9" ht="12.75">
      <c r="A629" s="12"/>
      <c r="B629" s="12"/>
      <c r="C629" s="12"/>
      <c r="D629" s="12"/>
      <c r="E629" s="12"/>
      <c r="F629" s="70"/>
      <c r="G629" s="70"/>
      <c r="H629" s="12"/>
      <c r="I629" s="12"/>
    </row>
    <row r="630" spans="1:9" ht="12.75">
      <c r="A630" s="12"/>
      <c r="B630" s="12"/>
      <c r="C630" s="12"/>
      <c r="D630" s="12"/>
      <c r="E630" s="12"/>
      <c r="F630" s="70"/>
      <c r="G630" s="70"/>
      <c r="H630" s="12"/>
      <c r="I630" s="12"/>
    </row>
    <row r="631" spans="1:9" ht="12.75">
      <c r="A631" s="12"/>
      <c r="B631" s="12"/>
      <c r="C631" s="12"/>
      <c r="D631" s="12"/>
      <c r="E631" s="12"/>
      <c r="F631" s="70"/>
      <c r="G631" s="70"/>
      <c r="H631" s="12"/>
      <c r="I631" s="12"/>
    </row>
    <row r="632" spans="1:9" ht="12.75">
      <c r="A632" s="12"/>
      <c r="B632" s="12"/>
      <c r="C632" s="12"/>
      <c r="D632" s="12"/>
      <c r="E632" s="12"/>
      <c r="F632" s="70"/>
      <c r="G632" s="70"/>
      <c r="H632" s="12"/>
      <c r="I632" s="12"/>
    </row>
    <row r="633" spans="1:9" ht="12.75">
      <c r="A633" s="12"/>
      <c r="B633" s="12"/>
      <c r="C633" s="12"/>
      <c r="D633" s="12"/>
      <c r="E633" s="12"/>
      <c r="F633" s="70"/>
      <c r="G633" s="70"/>
      <c r="H633" s="12"/>
      <c r="I633" s="12"/>
    </row>
    <row r="634" spans="1:9" ht="12.75">
      <c r="A634" s="12"/>
      <c r="B634" s="12"/>
      <c r="C634" s="12"/>
      <c r="D634" s="12"/>
      <c r="E634" s="12"/>
      <c r="F634" s="70"/>
      <c r="G634" s="70"/>
      <c r="H634" s="12"/>
      <c r="I634" s="12"/>
    </row>
    <row r="635" spans="1:9" ht="12.75">
      <c r="A635" s="12"/>
      <c r="B635" s="12"/>
      <c r="C635" s="12"/>
      <c r="D635" s="12"/>
      <c r="E635" s="12"/>
      <c r="F635" s="70"/>
      <c r="G635" s="70"/>
      <c r="H635" s="12"/>
      <c r="I635" s="12"/>
    </row>
    <row r="636" spans="1:9" ht="12.75">
      <c r="A636" s="12"/>
      <c r="B636" s="12"/>
      <c r="C636" s="12"/>
      <c r="D636" s="12"/>
      <c r="E636" s="12"/>
      <c r="F636" s="70"/>
      <c r="G636" s="70"/>
      <c r="H636" s="12"/>
      <c r="I636" s="12"/>
    </row>
    <row r="637" spans="1:9" ht="12.75">
      <c r="A637" s="12"/>
      <c r="B637" s="12"/>
      <c r="C637" s="12"/>
      <c r="D637" s="12"/>
      <c r="E637" s="12"/>
      <c r="F637" s="70"/>
      <c r="G637" s="70"/>
      <c r="H637" s="12"/>
      <c r="I637" s="12"/>
    </row>
    <row r="638" spans="1:9" ht="12.75">
      <c r="A638" s="12"/>
      <c r="B638" s="12"/>
      <c r="C638" s="12"/>
      <c r="D638" s="12"/>
      <c r="E638" s="12"/>
      <c r="F638" s="70"/>
      <c r="G638" s="70"/>
      <c r="H638" s="12"/>
      <c r="I638" s="12"/>
    </row>
    <row r="639" spans="1:9" ht="12.75">
      <c r="A639" s="12"/>
      <c r="B639" s="12"/>
      <c r="C639" s="12"/>
      <c r="D639" s="12"/>
      <c r="E639" s="12"/>
      <c r="F639" s="70"/>
      <c r="G639" s="70"/>
      <c r="H639" s="12"/>
      <c r="I639" s="12"/>
    </row>
    <row r="640" spans="1:9" ht="12.75">
      <c r="A640" s="12"/>
      <c r="B640" s="12"/>
      <c r="C640" s="12"/>
      <c r="D640" s="12"/>
      <c r="E640" s="12"/>
      <c r="F640" s="70"/>
      <c r="G640" s="70"/>
      <c r="H640" s="12"/>
      <c r="I640" s="12"/>
    </row>
    <row r="641" spans="1:9" ht="12.75">
      <c r="A641" s="12"/>
      <c r="B641" s="12"/>
      <c r="C641" s="12"/>
      <c r="D641" s="12"/>
      <c r="E641" s="12"/>
      <c r="F641" s="70"/>
      <c r="G641" s="70"/>
      <c r="H641" s="12"/>
      <c r="I641" s="12"/>
    </row>
    <row r="642" spans="1:9" ht="12.75">
      <c r="A642" s="12"/>
      <c r="B642" s="12"/>
      <c r="C642" s="12"/>
      <c r="D642" s="12"/>
      <c r="E642" s="12"/>
      <c r="F642" s="70"/>
      <c r="G642" s="70"/>
      <c r="H642" s="12"/>
      <c r="I642" s="12"/>
    </row>
    <row r="643" spans="1:9" ht="12.75">
      <c r="A643" s="12"/>
      <c r="B643" s="12"/>
      <c r="C643" s="12"/>
      <c r="D643" s="12"/>
      <c r="E643" s="12"/>
      <c r="F643" s="70"/>
      <c r="G643" s="70"/>
      <c r="H643" s="12"/>
      <c r="I643" s="12"/>
    </row>
    <row r="644" spans="1:9" ht="12.75">
      <c r="A644" s="12"/>
      <c r="B644" s="12"/>
      <c r="C644" s="12"/>
      <c r="D644" s="12"/>
      <c r="E644" s="12"/>
      <c r="F644" s="70"/>
      <c r="G644" s="70"/>
      <c r="H644" s="12"/>
      <c r="I644" s="12"/>
    </row>
    <row r="645" spans="1:9" ht="12.75">
      <c r="A645" s="12"/>
      <c r="B645" s="12"/>
      <c r="C645" s="12"/>
      <c r="D645" s="12"/>
      <c r="E645" s="12"/>
      <c r="F645" s="70"/>
      <c r="G645" s="70"/>
      <c r="H645" s="12"/>
      <c r="I645" s="12"/>
    </row>
    <row r="646" spans="1:9" ht="12.75">
      <c r="A646" s="12"/>
      <c r="B646" s="12"/>
      <c r="C646" s="12"/>
      <c r="D646" s="12"/>
      <c r="E646" s="12"/>
      <c r="F646" s="70"/>
      <c r="G646" s="70"/>
      <c r="H646" s="12"/>
      <c r="I646" s="12"/>
    </row>
    <row r="647" spans="1:9" ht="12.75">
      <c r="A647" s="12"/>
      <c r="B647" s="12"/>
      <c r="C647" s="12"/>
      <c r="D647" s="12"/>
      <c r="E647" s="12"/>
      <c r="F647" s="70"/>
      <c r="G647" s="70"/>
      <c r="H647" s="12"/>
      <c r="I647" s="12"/>
    </row>
    <row r="648" spans="1:9" ht="12.75">
      <c r="A648" s="12"/>
      <c r="B648" s="12"/>
      <c r="C648" s="12"/>
      <c r="D648" s="12"/>
      <c r="E648" s="12"/>
      <c r="F648" s="70"/>
      <c r="G648" s="70"/>
      <c r="H648" s="12"/>
      <c r="I648" s="12"/>
    </row>
    <row r="649" spans="1:9" ht="12.75">
      <c r="A649" s="12"/>
      <c r="B649" s="12"/>
      <c r="C649" s="12"/>
      <c r="D649" s="12"/>
      <c r="E649" s="12"/>
      <c r="F649" s="70"/>
      <c r="G649" s="70"/>
      <c r="H649" s="12"/>
      <c r="I649" s="12"/>
    </row>
    <row r="650" spans="1:9" ht="12.75">
      <c r="A650" s="12"/>
      <c r="B650" s="12"/>
      <c r="C650" s="12"/>
      <c r="D650" s="12"/>
      <c r="E650" s="12"/>
      <c r="F650" s="70"/>
      <c r="G650" s="70"/>
      <c r="H650" s="12"/>
      <c r="I650" s="12"/>
    </row>
    <row r="651" spans="1:9" ht="12.75">
      <c r="A651" s="12"/>
      <c r="B651" s="12"/>
      <c r="C651" s="12"/>
      <c r="D651" s="12"/>
      <c r="E651" s="12"/>
      <c r="F651" s="70"/>
      <c r="G651" s="70"/>
      <c r="H651" s="12"/>
      <c r="I651" s="12"/>
    </row>
    <row r="652" spans="1:9" ht="12.75">
      <c r="A652" s="12"/>
      <c r="B652" s="12"/>
      <c r="C652" s="12"/>
      <c r="D652" s="12"/>
      <c r="E652" s="12"/>
      <c r="F652" s="70"/>
      <c r="G652" s="70"/>
      <c r="H652" s="12"/>
      <c r="I652" s="12"/>
    </row>
    <row r="653" spans="1:9" ht="12.75">
      <c r="A653" s="12"/>
      <c r="B653" s="12"/>
      <c r="C653" s="12"/>
      <c r="D653" s="12"/>
      <c r="E653" s="12"/>
      <c r="F653" s="70"/>
      <c r="G653" s="70"/>
      <c r="H653" s="12"/>
      <c r="I653" s="12"/>
    </row>
    <row r="654" spans="1:9" ht="12.75">
      <c r="A654" s="12"/>
      <c r="B654" s="12"/>
      <c r="C654" s="12"/>
      <c r="D654" s="12"/>
      <c r="E654" s="12"/>
      <c r="F654" s="70"/>
      <c r="G654" s="70"/>
      <c r="H654" s="12"/>
      <c r="I654" s="12"/>
    </row>
    <row r="655" spans="1:9" ht="12.75">
      <c r="A655" s="12"/>
      <c r="B655" s="12"/>
      <c r="C655" s="12"/>
      <c r="D655" s="12"/>
      <c r="E655" s="12"/>
      <c r="F655" s="70"/>
      <c r="G655" s="70"/>
      <c r="H655" s="12"/>
      <c r="I655" s="12"/>
    </row>
    <row r="656" spans="1:9" ht="12.75">
      <c r="A656" s="12"/>
      <c r="B656" s="12"/>
      <c r="C656" s="12"/>
      <c r="D656" s="12"/>
      <c r="E656" s="12"/>
      <c r="F656" s="70"/>
      <c r="G656" s="70"/>
      <c r="H656" s="12"/>
      <c r="I656" s="12"/>
    </row>
    <row r="657" spans="1:9" ht="12.75">
      <c r="A657" s="12"/>
      <c r="B657" s="12"/>
      <c r="C657" s="12"/>
      <c r="D657" s="12"/>
      <c r="E657" s="12"/>
      <c r="F657" s="70"/>
      <c r="G657" s="70"/>
      <c r="H657" s="12"/>
      <c r="I657" s="12"/>
    </row>
    <row r="658" spans="1:9" ht="12.75">
      <c r="A658" s="12"/>
      <c r="B658" s="12"/>
      <c r="C658" s="12"/>
      <c r="D658" s="12"/>
      <c r="E658" s="12"/>
      <c r="F658" s="70"/>
      <c r="G658" s="70"/>
      <c r="H658" s="12"/>
      <c r="I658" s="12"/>
    </row>
    <row r="659" spans="1:9" ht="12.75">
      <c r="A659" s="12"/>
      <c r="B659" s="12"/>
      <c r="C659" s="12"/>
      <c r="D659" s="12"/>
      <c r="E659" s="12"/>
      <c r="F659" s="70"/>
      <c r="G659" s="70"/>
      <c r="H659" s="12"/>
      <c r="I659" s="12"/>
    </row>
    <row r="660" spans="1:9" ht="12.75">
      <c r="A660" s="12"/>
      <c r="B660" s="12"/>
      <c r="C660" s="12"/>
      <c r="D660" s="12"/>
      <c r="E660" s="12"/>
      <c r="F660" s="70"/>
      <c r="G660" s="70"/>
      <c r="H660" s="12"/>
      <c r="I660" s="12"/>
    </row>
    <row r="661" spans="1:9" ht="12.75">
      <c r="A661" s="12"/>
      <c r="B661" s="12"/>
      <c r="C661" s="12"/>
      <c r="D661" s="12"/>
      <c r="E661" s="12"/>
      <c r="F661" s="70"/>
      <c r="G661" s="70"/>
      <c r="H661" s="12"/>
      <c r="I661" s="12"/>
    </row>
    <row r="662" spans="1:9" ht="12.75">
      <c r="A662" s="12"/>
      <c r="B662" s="12"/>
      <c r="C662" s="12"/>
      <c r="D662" s="12"/>
      <c r="E662" s="12"/>
      <c r="F662" s="70"/>
      <c r="G662" s="70"/>
      <c r="H662" s="12"/>
      <c r="I662" s="12"/>
    </row>
    <row r="663" spans="1:9" ht="12.75">
      <c r="A663" s="12"/>
      <c r="B663" s="12"/>
      <c r="C663" s="12"/>
      <c r="D663" s="12"/>
      <c r="E663" s="12"/>
      <c r="F663" s="70"/>
      <c r="G663" s="70"/>
      <c r="H663" s="12"/>
      <c r="I663" s="12"/>
    </row>
    <row r="664" spans="1:9" ht="12.75">
      <c r="A664" s="12"/>
      <c r="B664" s="12"/>
      <c r="C664" s="12"/>
      <c r="D664" s="12"/>
      <c r="E664" s="12"/>
      <c r="F664" s="70"/>
      <c r="G664" s="70"/>
      <c r="H664" s="12"/>
      <c r="I664" s="12"/>
    </row>
    <row r="665" spans="1:9" ht="12.75">
      <c r="A665" s="12"/>
      <c r="B665" s="12"/>
      <c r="C665" s="12"/>
      <c r="D665" s="12"/>
      <c r="E665" s="12"/>
      <c r="F665" s="70"/>
      <c r="G665" s="70"/>
      <c r="H665" s="12"/>
      <c r="I665" s="12"/>
    </row>
    <row r="666" spans="1:9" ht="12.75">
      <c r="A666" s="12"/>
      <c r="B666" s="12"/>
      <c r="C666" s="12"/>
      <c r="D666" s="12"/>
      <c r="E666" s="12"/>
      <c r="F666" s="70"/>
      <c r="G666" s="70"/>
      <c r="H666" s="12"/>
      <c r="I666" s="12"/>
    </row>
    <row r="667" spans="1:9" ht="12.75">
      <c r="A667" s="12"/>
      <c r="B667" s="12"/>
      <c r="C667" s="12"/>
      <c r="D667" s="12"/>
      <c r="E667" s="12"/>
      <c r="F667" s="70"/>
      <c r="G667" s="70"/>
      <c r="H667" s="12"/>
      <c r="I667" s="12"/>
    </row>
    <row r="668" spans="1:9" ht="12.75">
      <c r="A668" s="12"/>
      <c r="B668" s="12"/>
      <c r="C668" s="12"/>
      <c r="D668" s="12"/>
      <c r="E668" s="12"/>
      <c r="F668" s="70"/>
      <c r="G668" s="70"/>
      <c r="H668" s="12"/>
      <c r="I668" s="12"/>
    </row>
    <row r="669" spans="1:9" ht="12.75">
      <c r="A669" s="12"/>
      <c r="B669" s="12"/>
      <c r="C669" s="12"/>
      <c r="D669" s="12"/>
      <c r="E669" s="12"/>
      <c r="F669" s="70"/>
      <c r="G669" s="70"/>
      <c r="H669" s="12"/>
      <c r="I669" s="12"/>
    </row>
    <row r="670" spans="1:9" ht="12.75">
      <c r="A670" s="12"/>
      <c r="B670" s="12"/>
      <c r="C670" s="12"/>
      <c r="D670" s="12"/>
      <c r="E670" s="12"/>
      <c r="F670" s="70"/>
      <c r="G670" s="70"/>
      <c r="H670" s="12"/>
      <c r="I670" s="12"/>
    </row>
    <row r="671" spans="1:9" ht="12.75">
      <c r="A671" s="12"/>
      <c r="B671" s="12"/>
      <c r="C671" s="12"/>
      <c r="D671" s="12"/>
      <c r="E671" s="12"/>
      <c r="F671" s="70"/>
      <c r="G671" s="70"/>
      <c r="H671" s="12"/>
      <c r="I671" s="12"/>
    </row>
    <row r="672" spans="1:9" ht="12.75">
      <c r="A672" s="12"/>
      <c r="B672" s="12"/>
      <c r="C672" s="12"/>
      <c r="D672" s="12"/>
      <c r="E672" s="12"/>
      <c r="F672" s="70"/>
      <c r="G672" s="70"/>
      <c r="H672" s="12"/>
      <c r="I672" s="12"/>
    </row>
    <row r="673" spans="1:9" ht="12.75">
      <c r="A673" s="12"/>
      <c r="B673" s="12"/>
      <c r="C673" s="12"/>
      <c r="D673" s="12"/>
      <c r="E673" s="12"/>
      <c r="F673" s="70"/>
      <c r="G673" s="70"/>
      <c r="H673" s="12"/>
      <c r="I673" s="12"/>
    </row>
    <row r="674" spans="1:9" ht="12.75">
      <c r="A674" s="12"/>
      <c r="B674" s="12"/>
      <c r="C674" s="12"/>
      <c r="D674" s="12"/>
      <c r="E674" s="12"/>
      <c r="F674" s="70"/>
      <c r="G674" s="70"/>
      <c r="H674" s="12"/>
      <c r="I674" s="12"/>
    </row>
    <row r="675" spans="1:9" ht="12.75">
      <c r="A675" s="12"/>
      <c r="B675" s="12"/>
      <c r="C675" s="12"/>
      <c r="D675" s="12"/>
      <c r="E675" s="12"/>
      <c r="F675" s="70"/>
      <c r="G675" s="70"/>
      <c r="H675" s="12"/>
      <c r="I675" s="12"/>
    </row>
    <row r="676" spans="1:9" ht="12.75">
      <c r="A676" s="12"/>
      <c r="B676" s="12"/>
      <c r="C676" s="12"/>
      <c r="D676" s="12"/>
      <c r="E676" s="12"/>
      <c r="F676" s="70"/>
      <c r="G676" s="70"/>
      <c r="H676" s="12"/>
      <c r="I676" s="12"/>
    </row>
    <row r="677" spans="1:9" ht="12.75">
      <c r="A677" s="12"/>
      <c r="B677" s="12"/>
      <c r="C677" s="12"/>
      <c r="D677" s="12"/>
      <c r="E677" s="12"/>
      <c r="F677" s="70"/>
      <c r="G677" s="70"/>
      <c r="H677" s="12"/>
      <c r="I677" s="12"/>
    </row>
    <row r="678" spans="1:9" ht="12.75">
      <c r="A678" s="12"/>
      <c r="B678" s="12"/>
      <c r="C678" s="12"/>
      <c r="D678" s="12"/>
      <c r="E678" s="12"/>
      <c r="F678" s="70"/>
      <c r="G678" s="70"/>
      <c r="H678" s="12"/>
      <c r="I678" s="12"/>
    </row>
    <row r="679" spans="1:9" ht="12.75">
      <c r="A679" s="12"/>
      <c r="B679" s="12"/>
      <c r="C679" s="12"/>
      <c r="D679" s="12"/>
      <c r="E679" s="12"/>
      <c r="F679" s="70"/>
      <c r="G679" s="70"/>
      <c r="H679" s="12"/>
      <c r="I679" s="12"/>
    </row>
    <row r="680" spans="1:9" ht="12.75">
      <c r="A680" s="12"/>
      <c r="B680" s="12"/>
      <c r="C680" s="12"/>
      <c r="D680" s="12"/>
      <c r="E680" s="12"/>
      <c r="F680" s="70"/>
      <c r="G680" s="70"/>
      <c r="H680" s="12"/>
      <c r="I680" s="12"/>
    </row>
    <row r="681" spans="1:9" ht="12.75">
      <c r="A681" s="12"/>
      <c r="B681" s="12"/>
      <c r="C681" s="12"/>
      <c r="D681" s="12"/>
      <c r="E681" s="12"/>
      <c r="F681" s="70"/>
      <c r="G681" s="70"/>
      <c r="H681" s="12"/>
      <c r="I681" s="12"/>
    </row>
    <row r="682" spans="1:9" ht="12.75">
      <c r="A682" s="12"/>
      <c r="B682" s="12"/>
      <c r="C682" s="12"/>
      <c r="D682" s="12"/>
      <c r="E682" s="12"/>
      <c r="F682" s="70"/>
      <c r="G682" s="70"/>
      <c r="H682" s="12"/>
      <c r="I682" s="12"/>
    </row>
    <row r="683" spans="1:9" ht="12.75">
      <c r="A683" s="12"/>
      <c r="B683" s="12"/>
      <c r="C683" s="12"/>
      <c r="D683" s="12"/>
      <c r="E683" s="12"/>
      <c r="F683" s="70"/>
      <c r="G683" s="70"/>
      <c r="H683" s="12"/>
      <c r="I683" s="12"/>
    </row>
    <row r="684" spans="1:9" ht="12.75">
      <c r="A684" s="12"/>
      <c r="B684" s="12"/>
      <c r="C684" s="12"/>
      <c r="D684" s="12"/>
      <c r="E684" s="12"/>
      <c r="F684" s="70"/>
      <c r="G684" s="70"/>
      <c r="H684" s="12"/>
      <c r="I684" s="12"/>
    </row>
    <row r="685" spans="1:9" ht="12.75">
      <c r="A685" s="12"/>
      <c r="B685" s="12"/>
      <c r="C685" s="12"/>
      <c r="D685" s="12"/>
      <c r="E685" s="12"/>
      <c r="F685" s="70"/>
      <c r="G685" s="70"/>
      <c r="H685" s="12"/>
      <c r="I685" s="12"/>
    </row>
    <row r="686" spans="1:9" ht="12.75">
      <c r="A686" s="12"/>
      <c r="B686" s="12"/>
      <c r="C686" s="12"/>
      <c r="D686" s="12"/>
      <c r="E686" s="12"/>
      <c r="F686" s="70"/>
      <c r="G686" s="70"/>
      <c r="H686" s="12"/>
      <c r="I686" s="12"/>
    </row>
    <row r="687" spans="1:9" ht="12.75">
      <c r="A687" s="12"/>
      <c r="B687" s="12"/>
      <c r="C687" s="12"/>
      <c r="D687" s="12"/>
      <c r="E687" s="12"/>
      <c r="F687" s="70"/>
      <c r="G687" s="70"/>
      <c r="H687" s="12"/>
      <c r="I687" s="12"/>
    </row>
    <row r="688" spans="1:9" ht="12.75">
      <c r="A688" s="12"/>
      <c r="B688" s="12"/>
      <c r="C688" s="12"/>
      <c r="D688" s="12"/>
      <c r="E688" s="12"/>
      <c r="F688" s="70"/>
      <c r="G688" s="70"/>
      <c r="H688" s="12"/>
      <c r="I688" s="12"/>
    </row>
    <row r="689" spans="1:9" ht="12.75">
      <c r="A689" s="12"/>
      <c r="B689" s="12"/>
      <c r="C689" s="12"/>
      <c r="D689" s="12"/>
      <c r="E689" s="12"/>
      <c r="F689" s="70"/>
      <c r="G689" s="70"/>
      <c r="H689" s="12"/>
      <c r="I689" s="12"/>
    </row>
    <row r="690" spans="1:9" ht="12.75">
      <c r="A690" s="12"/>
      <c r="B690" s="12"/>
      <c r="C690" s="12"/>
      <c r="D690" s="12"/>
      <c r="E690" s="12"/>
      <c r="F690" s="70"/>
      <c r="G690" s="70"/>
      <c r="H690" s="12"/>
      <c r="I690" s="12"/>
    </row>
    <row r="691" spans="1:9" ht="12.75">
      <c r="A691" s="12"/>
      <c r="B691" s="12"/>
      <c r="C691" s="12"/>
      <c r="D691" s="12"/>
      <c r="E691" s="12"/>
      <c r="F691" s="70"/>
      <c r="G691" s="70"/>
      <c r="H691" s="12"/>
      <c r="I691" s="12"/>
    </row>
    <row r="692" spans="1:9" ht="12.75">
      <c r="A692" s="12"/>
      <c r="B692" s="12"/>
      <c r="C692" s="12"/>
      <c r="D692" s="12"/>
      <c r="E692" s="12"/>
      <c r="F692" s="70"/>
      <c r="G692" s="70"/>
      <c r="H692" s="12"/>
      <c r="I692" s="12"/>
    </row>
    <row r="693" spans="1:9" ht="12.75">
      <c r="A693" s="12"/>
      <c r="B693" s="12"/>
      <c r="C693" s="12"/>
      <c r="D693" s="12"/>
      <c r="E693" s="12"/>
      <c r="F693" s="70"/>
      <c r="G693" s="70"/>
      <c r="H693" s="12"/>
      <c r="I693" s="12"/>
    </row>
    <row r="694" spans="1:9" ht="12.75">
      <c r="A694" s="12"/>
      <c r="B694" s="12"/>
      <c r="C694" s="12"/>
      <c r="D694" s="12"/>
      <c r="E694" s="12"/>
      <c r="F694" s="70"/>
      <c r="G694" s="70"/>
      <c r="H694" s="12"/>
      <c r="I694" s="12"/>
    </row>
    <row r="695" spans="1:9" ht="12.75">
      <c r="A695" s="12"/>
      <c r="B695" s="12"/>
      <c r="C695" s="12"/>
      <c r="D695" s="12"/>
      <c r="E695" s="12"/>
      <c r="F695" s="70"/>
      <c r="G695" s="70"/>
      <c r="H695" s="12"/>
      <c r="I695" s="12"/>
    </row>
    <row r="696" spans="1:9" ht="12.75">
      <c r="A696" s="12"/>
      <c r="B696" s="12"/>
      <c r="C696" s="12"/>
      <c r="D696" s="12"/>
      <c r="E696" s="12"/>
      <c r="F696" s="70"/>
      <c r="G696" s="70"/>
      <c r="H696" s="12"/>
      <c r="I696" s="12"/>
    </row>
    <row r="697" spans="1:9" ht="12.75">
      <c r="A697" s="12"/>
      <c r="B697" s="12"/>
      <c r="C697" s="12"/>
      <c r="D697" s="12"/>
      <c r="E697" s="12"/>
      <c r="F697" s="70"/>
      <c r="G697" s="70"/>
      <c r="H697" s="12"/>
      <c r="I697" s="12"/>
    </row>
    <row r="698" spans="1:9" ht="12.75">
      <c r="A698" s="12"/>
      <c r="B698" s="12"/>
      <c r="C698" s="12"/>
      <c r="D698" s="12"/>
      <c r="E698" s="12"/>
      <c r="F698" s="70"/>
      <c r="G698" s="70"/>
      <c r="H698" s="12"/>
      <c r="I698" s="12"/>
    </row>
    <row r="699" spans="1:9" ht="12.75">
      <c r="A699" s="12"/>
      <c r="B699" s="12"/>
      <c r="C699" s="12"/>
      <c r="D699" s="12"/>
      <c r="E699" s="12"/>
      <c r="F699" s="70"/>
      <c r="G699" s="70"/>
      <c r="H699" s="12"/>
      <c r="I699" s="12"/>
    </row>
    <row r="700" spans="1:9" ht="12.75">
      <c r="A700" s="12"/>
      <c r="B700" s="12"/>
      <c r="C700" s="12"/>
      <c r="D700" s="12"/>
      <c r="E700" s="12"/>
      <c r="F700" s="70"/>
      <c r="G700" s="70"/>
      <c r="H700" s="12"/>
      <c r="I700" s="12"/>
    </row>
    <row r="701" spans="1:9" ht="12.75">
      <c r="A701" s="12"/>
      <c r="B701" s="12"/>
      <c r="C701" s="12"/>
      <c r="D701" s="12"/>
      <c r="E701" s="12"/>
      <c r="F701" s="70"/>
      <c r="G701" s="70"/>
      <c r="H701" s="12"/>
      <c r="I701" s="12"/>
    </row>
    <row r="702" spans="1:9" ht="12.75">
      <c r="A702" s="12"/>
      <c r="B702" s="12"/>
      <c r="C702" s="12"/>
      <c r="D702" s="12"/>
      <c r="E702" s="12"/>
      <c r="F702" s="70"/>
      <c r="G702" s="70"/>
      <c r="H702" s="12"/>
      <c r="I702" s="12"/>
    </row>
    <row r="703" spans="1:9" ht="12.75">
      <c r="A703" s="12"/>
      <c r="B703" s="12"/>
      <c r="C703" s="12"/>
      <c r="D703" s="12"/>
      <c r="E703" s="12"/>
      <c r="F703" s="70"/>
      <c r="G703" s="70"/>
      <c r="H703" s="12"/>
      <c r="I703" s="12"/>
    </row>
    <row r="704" spans="1:9" ht="12.75">
      <c r="A704" s="12"/>
      <c r="B704" s="12"/>
      <c r="C704" s="12"/>
      <c r="D704" s="12"/>
      <c r="E704" s="12"/>
      <c r="F704" s="70"/>
      <c r="G704" s="70"/>
      <c r="H704" s="12"/>
      <c r="I704" s="12"/>
    </row>
    <row r="705" spans="1:9" ht="12.75">
      <c r="A705" s="12"/>
      <c r="B705" s="12"/>
      <c r="C705" s="12"/>
      <c r="D705" s="12"/>
      <c r="E705" s="12"/>
      <c r="F705" s="70"/>
      <c r="G705" s="70"/>
      <c r="H705" s="12"/>
      <c r="I705" s="12"/>
    </row>
    <row r="706" spans="1:9" ht="12.75">
      <c r="A706" s="12"/>
      <c r="B706" s="12"/>
      <c r="C706" s="12"/>
      <c r="D706" s="12"/>
      <c r="E706" s="12"/>
      <c r="F706" s="70"/>
      <c r="G706" s="70"/>
      <c r="H706" s="12"/>
      <c r="I706" s="12"/>
    </row>
    <row r="707" spans="1:9" ht="12.75">
      <c r="A707" s="12"/>
      <c r="B707" s="12"/>
      <c r="C707" s="12"/>
      <c r="D707" s="12"/>
      <c r="E707" s="12"/>
      <c r="F707" s="70"/>
      <c r="G707" s="70"/>
      <c r="H707" s="12"/>
      <c r="I707" s="12"/>
    </row>
    <row r="708" spans="1:9" ht="12.75">
      <c r="A708" s="12"/>
      <c r="B708" s="12"/>
      <c r="C708" s="12"/>
      <c r="D708" s="12"/>
      <c r="E708" s="12"/>
      <c r="F708" s="70"/>
      <c r="G708" s="70"/>
      <c r="H708" s="12"/>
      <c r="I708" s="12"/>
    </row>
    <row r="709" spans="1:9" ht="12.75">
      <c r="A709" s="12"/>
      <c r="B709" s="12"/>
      <c r="C709" s="12"/>
      <c r="D709" s="12"/>
      <c r="E709" s="12"/>
      <c r="F709" s="70"/>
      <c r="G709" s="70"/>
      <c r="H709" s="12"/>
      <c r="I709" s="12"/>
    </row>
    <row r="710" spans="1:9" ht="12.75">
      <c r="A710" s="12"/>
      <c r="B710" s="12"/>
      <c r="C710" s="12"/>
      <c r="D710" s="12"/>
      <c r="E710" s="12"/>
      <c r="F710" s="70"/>
      <c r="G710" s="70"/>
      <c r="H710" s="12"/>
      <c r="I710" s="12"/>
    </row>
    <row r="711" spans="1:9" ht="12.75">
      <c r="A711" s="12"/>
      <c r="B711" s="12"/>
      <c r="C711" s="12"/>
      <c r="D711" s="12"/>
      <c r="E711" s="12"/>
      <c r="F711" s="70"/>
      <c r="G711" s="70"/>
      <c r="H711" s="12"/>
      <c r="I711" s="12"/>
    </row>
    <row r="712" spans="1:9" ht="12.75">
      <c r="A712" s="12"/>
      <c r="B712" s="12"/>
      <c r="C712" s="12"/>
      <c r="D712" s="12"/>
      <c r="E712" s="12"/>
      <c r="F712" s="70"/>
      <c r="G712" s="70"/>
      <c r="H712" s="12"/>
      <c r="I712" s="12"/>
    </row>
    <row r="713" spans="1:9" ht="12.75">
      <c r="A713" s="12"/>
      <c r="B713" s="12"/>
      <c r="C713" s="12"/>
      <c r="D713" s="12"/>
      <c r="E713" s="12"/>
      <c r="F713" s="70"/>
      <c r="G713" s="70"/>
      <c r="H713" s="12"/>
      <c r="I713" s="12"/>
    </row>
    <row r="714" spans="1:9" ht="12.75">
      <c r="A714" s="12"/>
      <c r="B714" s="12"/>
      <c r="C714" s="12"/>
      <c r="D714" s="12"/>
      <c r="E714" s="12"/>
      <c r="F714" s="70"/>
      <c r="G714" s="70"/>
      <c r="H714" s="12"/>
      <c r="I714" s="12"/>
    </row>
    <row r="715" spans="1:9" ht="12.75">
      <c r="A715" s="12"/>
      <c r="B715" s="12"/>
      <c r="C715" s="12"/>
      <c r="D715" s="12"/>
      <c r="E715" s="12"/>
      <c r="F715" s="70"/>
      <c r="G715" s="70"/>
      <c r="H715" s="12"/>
      <c r="I715" s="12"/>
    </row>
    <row r="716" spans="1:9" ht="12.75">
      <c r="A716" s="12"/>
      <c r="B716" s="12"/>
      <c r="C716" s="12"/>
      <c r="D716" s="12"/>
      <c r="E716" s="12"/>
      <c r="F716" s="70"/>
      <c r="G716" s="70"/>
      <c r="H716" s="12"/>
      <c r="I716" s="12"/>
    </row>
    <row r="717" spans="1:9" ht="12.75">
      <c r="A717" s="12"/>
      <c r="B717" s="12"/>
      <c r="C717" s="12"/>
      <c r="D717" s="12"/>
      <c r="E717" s="12"/>
      <c r="F717" s="70"/>
      <c r="G717" s="70"/>
      <c r="H717" s="12"/>
      <c r="I717" s="12"/>
    </row>
    <row r="718" spans="1:9" ht="12.75">
      <c r="A718" s="12"/>
      <c r="B718" s="12"/>
      <c r="C718" s="12"/>
      <c r="D718" s="12"/>
      <c r="E718" s="12"/>
      <c r="F718" s="70"/>
      <c r="G718" s="70"/>
      <c r="H718" s="12"/>
      <c r="I718" s="12"/>
    </row>
    <row r="719" spans="1:9" ht="12.75">
      <c r="A719" s="12"/>
      <c r="B719" s="12"/>
      <c r="C719" s="12"/>
      <c r="D719" s="12"/>
      <c r="E719" s="12"/>
      <c r="F719" s="70"/>
      <c r="G719" s="70"/>
      <c r="H719" s="12"/>
      <c r="I719" s="12"/>
    </row>
    <row r="720" spans="1:9" ht="12.75">
      <c r="A720" s="12"/>
      <c r="B720" s="12"/>
      <c r="C720" s="12"/>
      <c r="D720" s="12"/>
      <c r="E720" s="12"/>
      <c r="F720" s="70"/>
      <c r="G720" s="70"/>
      <c r="H720" s="12"/>
      <c r="I720" s="12"/>
    </row>
    <row r="721" spans="1:9" ht="12.75">
      <c r="A721" s="12"/>
      <c r="B721" s="12"/>
      <c r="C721" s="12"/>
      <c r="D721" s="12"/>
      <c r="E721" s="12"/>
      <c r="F721" s="70"/>
      <c r="G721" s="70"/>
      <c r="H721" s="12"/>
      <c r="I721" s="12"/>
    </row>
    <row r="722" spans="1:9" ht="12.75">
      <c r="A722" s="12"/>
      <c r="B722" s="12"/>
      <c r="C722" s="12"/>
      <c r="D722" s="12"/>
      <c r="E722" s="12"/>
      <c r="F722" s="70"/>
      <c r="G722" s="70"/>
      <c r="H722" s="12"/>
      <c r="I722" s="12"/>
    </row>
    <row r="723" spans="1:9" ht="12.75">
      <c r="A723" s="12"/>
      <c r="B723" s="12"/>
      <c r="C723" s="12"/>
      <c r="D723" s="12"/>
      <c r="E723" s="12"/>
      <c r="F723" s="70"/>
      <c r="G723" s="70"/>
      <c r="H723" s="12"/>
      <c r="I723" s="12"/>
    </row>
    <row r="724" spans="1:9" ht="12.75">
      <c r="A724" s="12"/>
      <c r="B724" s="12"/>
      <c r="C724" s="12"/>
      <c r="D724" s="12"/>
      <c r="E724" s="12"/>
      <c r="F724" s="70"/>
      <c r="G724" s="70"/>
      <c r="H724" s="12"/>
      <c r="I724" s="12"/>
    </row>
    <row r="725" spans="1:9" ht="12.75">
      <c r="A725" s="12"/>
      <c r="B725" s="12"/>
      <c r="C725" s="12"/>
      <c r="D725" s="12"/>
      <c r="E725" s="12"/>
      <c r="F725" s="70"/>
      <c r="G725" s="70"/>
      <c r="H725" s="12"/>
      <c r="I725" s="12"/>
    </row>
    <row r="726" spans="1:9" ht="12.75">
      <c r="A726" s="12"/>
      <c r="B726" s="12"/>
      <c r="C726" s="12"/>
      <c r="D726" s="12"/>
      <c r="E726" s="12"/>
      <c r="F726" s="70"/>
      <c r="G726" s="70"/>
      <c r="H726" s="12"/>
      <c r="I726" s="12"/>
    </row>
    <row r="727" spans="1:9" ht="12.75">
      <c r="A727" s="12"/>
      <c r="B727" s="12"/>
      <c r="C727" s="12"/>
      <c r="D727" s="12"/>
      <c r="E727" s="12"/>
      <c r="F727" s="70"/>
      <c r="G727" s="70"/>
      <c r="H727" s="12"/>
      <c r="I727" s="12"/>
    </row>
    <row r="728" spans="1:9" ht="12.75">
      <c r="A728" s="12"/>
      <c r="B728" s="12"/>
      <c r="C728" s="12"/>
      <c r="D728" s="12"/>
      <c r="E728" s="12"/>
      <c r="F728" s="70"/>
      <c r="G728" s="70"/>
      <c r="H728" s="12"/>
      <c r="I728" s="12"/>
    </row>
    <row r="729" spans="1:9" ht="12.75">
      <c r="A729" s="12"/>
      <c r="B729" s="12"/>
      <c r="C729" s="12"/>
      <c r="D729" s="12"/>
      <c r="E729" s="12"/>
      <c r="F729" s="70"/>
      <c r="G729" s="70"/>
      <c r="H729" s="12"/>
      <c r="I729" s="12"/>
    </row>
    <row r="730" spans="1:9" ht="12.75">
      <c r="A730" s="12"/>
      <c r="B730" s="12"/>
      <c r="C730" s="12"/>
      <c r="D730" s="12"/>
      <c r="E730" s="12"/>
      <c r="F730" s="70"/>
      <c r="G730" s="70"/>
      <c r="H730" s="12"/>
      <c r="I730" s="12"/>
    </row>
    <row r="731" spans="1:9" ht="12.75">
      <c r="A731" s="12"/>
      <c r="B731" s="12"/>
      <c r="C731" s="12"/>
      <c r="D731" s="12"/>
      <c r="E731" s="12"/>
      <c r="F731" s="70"/>
      <c r="G731" s="70"/>
      <c r="H731" s="12"/>
      <c r="I731" s="12"/>
    </row>
    <row r="732" spans="1:9" ht="12.75">
      <c r="A732" s="12"/>
      <c r="B732" s="12"/>
      <c r="C732" s="12"/>
      <c r="D732" s="12"/>
      <c r="E732" s="12"/>
      <c r="F732" s="70"/>
      <c r="G732" s="70"/>
      <c r="H732" s="12"/>
      <c r="I732" s="12"/>
    </row>
    <row r="733" spans="1:9" ht="12.75">
      <c r="A733" s="12"/>
      <c r="B733" s="12"/>
      <c r="C733" s="12"/>
      <c r="D733" s="12"/>
      <c r="E733" s="12"/>
      <c r="F733" s="70"/>
      <c r="G733" s="70"/>
      <c r="H733" s="12"/>
      <c r="I733" s="12"/>
    </row>
    <row r="734" spans="1:9" ht="12.75">
      <c r="A734" s="12"/>
      <c r="B734" s="12"/>
      <c r="C734" s="12"/>
      <c r="D734" s="12"/>
      <c r="E734" s="12"/>
      <c r="F734" s="70"/>
      <c r="G734" s="70"/>
      <c r="H734" s="12"/>
      <c r="I734" s="12"/>
    </row>
    <row r="735" spans="1:9" ht="12.75">
      <c r="A735" s="12"/>
      <c r="B735" s="12"/>
      <c r="C735" s="12"/>
      <c r="D735" s="12"/>
      <c r="E735" s="12"/>
      <c r="F735" s="70"/>
      <c r="G735" s="70"/>
      <c r="H735" s="12"/>
      <c r="I735" s="12"/>
    </row>
    <row r="736" spans="1:9" ht="12.75">
      <c r="A736" s="12"/>
      <c r="B736" s="12"/>
      <c r="C736" s="12"/>
      <c r="D736" s="12"/>
      <c r="E736" s="12"/>
      <c r="F736" s="70"/>
      <c r="G736" s="70"/>
      <c r="H736" s="12"/>
      <c r="I736" s="12"/>
    </row>
    <row r="737" spans="1:9" ht="12.75">
      <c r="A737" s="12"/>
      <c r="B737" s="12"/>
      <c r="C737" s="12"/>
      <c r="D737" s="12"/>
      <c r="E737" s="12"/>
      <c r="F737" s="70"/>
      <c r="G737" s="70"/>
      <c r="H737" s="12"/>
      <c r="I737" s="12"/>
    </row>
    <row r="738" spans="1:9" ht="12.75">
      <c r="A738" s="12"/>
      <c r="B738" s="12"/>
      <c r="C738" s="12"/>
      <c r="D738" s="12"/>
      <c r="E738" s="12"/>
      <c r="F738" s="70"/>
      <c r="G738" s="70"/>
      <c r="H738" s="12"/>
      <c r="I738" s="12"/>
    </row>
    <row r="739" spans="1:9" ht="12.75">
      <c r="A739" s="12"/>
      <c r="B739" s="12"/>
      <c r="C739" s="12"/>
      <c r="D739" s="12"/>
      <c r="E739" s="12"/>
      <c r="F739" s="70"/>
      <c r="G739" s="70"/>
      <c r="H739" s="12"/>
      <c r="I739" s="12"/>
    </row>
    <row r="740" spans="1:9" ht="12.75">
      <c r="A740" s="12"/>
      <c r="B740" s="12"/>
      <c r="C740" s="12"/>
      <c r="D740" s="12"/>
      <c r="E740" s="12"/>
      <c r="F740" s="70"/>
      <c r="G740" s="70"/>
      <c r="H740" s="12"/>
      <c r="I740" s="12"/>
    </row>
    <row r="741" spans="1:9" ht="12.75">
      <c r="A741" s="12"/>
      <c r="B741" s="12"/>
      <c r="C741" s="12"/>
      <c r="D741" s="12"/>
      <c r="E741" s="12"/>
      <c r="F741" s="70"/>
      <c r="G741" s="70"/>
      <c r="H741" s="12"/>
      <c r="I741" s="12"/>
    </row>
    <row r="742" spans="1:9" ht="12.75">
      <c r="A742" s="12"/>
      <c r="B742" s="12"/>
      <c r="C742" s="12"/>
      <c r="D742" s="12"/>
      <c r="E742" s="12"/>
      <c r="F742" s="70"/>
      <c r="G742" s="70"/>
      <c r="H742" s="12"/>
      <c r="I742" s="12"/>
    </row>
    <row r="743" spans="1:9" ht="12.75">
      <c r="A743" s="12"/>
      <c r="B743" s="12"/>
      <c r="C743" s="12"/>
      <c r="D743" s="12"/>
      <c r="E743" s="12"/>
      <c r="F743" s="70"/>
      <c r="G743" s="70"/>
      <c r="H743" s="12"/>
      <c r="I743" s="12"/>
    </row>
    <row r="744" spans="1:9" ht="12.75">
      <c r="A744" s="12"/>
      <c r="B744" s="12"/>
      <c r="C744" s="12"/>
      <c r="D744" s="12"/>
      <c r="E744" s="12"/>
      <c r="F744" s="70"/>
      <c r="G744" s="70"/>
      <c r="H744" s="12"/>
      <c r="I744" s="12"/>
    </row>
    <row r="745" spans="1:9" ht="12.75">
      <c r="A745" s="12"/>
      <c r="B745" s="12"/>
      <c r="C745" s="12"/>
      <c r="D745" s="12"/>
      <c r="E745" s="12"/>
      <c r="F745" s="70"/>
      <c r="G745" s="70"/>
      <c r="H745" s="12"/>
      <c r="I745" s="12"/>
    </row>
    <row r="746" spans="1:9" ht="12.75">
      <c r="A746" s="12"/>
      <c r="B746" s="12"/>
      <c r="C746" s="12"/>
      <c r="D746" s="12"/>
      <c r="E746" s="12"/>
      <c r="F746" s="70"/>
      <c r="G746" s="70"/>
      <c r="H746" s="12"/>
      <c r="I746" s="12"/>
    </row>
    <row r="747" spans="1:9" ht="12.75">
      <c r="A747" s="12"/>
      <c r="B747" s="12"/>
      <c r="C747" s="12"/>
      <c r="D747" s="12"/>
      <c r="E747" s="12"/>
      <c r="F747" s="70"/>
      <c r="G747" s="70"/>
      <c r="H747" s="12"/>
      <c r="I747" s="12"/>
    </row>
    <row r="748" spans="1:9" ht="12.75">
      <c r="A748" s="12"/>
      <c r="B748" s="12"/>
      <c r="C748" s="12"/>
      <c r="D748" s="12"/>
      <c r="E748" s="12"/>
      <c r="F748" s="70"/>
      <c r="G748" s="70"/>
      <c r="H748" s="12"/>
      <c r="I748" s="12"/>
    </row>
    <row r="749" spans="1:9" ht="12.75">
      <c r="A749" s="12"/>
      <c r="B749" s="12"/>
      <c r="C749" s="12"/>
      <c r="D749" s="12"/>
      <c r="E749" s="12"/>
      <c r="F749" s="70"/>
      <c r="G749" s="70"/>
      <c r="H749" s="12"/>
      <c r="I749" s="12"/>
    </row>
    <row r="750" spans="1:9" ht="12.75">
      <c r="A750" s="12"/>
      <c r="B750" s="12"/>
      <c r="C750" s="12"/>
      <c r="D750" s="12"/>
      <c r="E750" s="12"/>
      <c r="F750" s="70"/>
      <c r="G750" s="70"/>
      <c r="H750" s="12"/>
      <c r="I750" s="12"/>
    </row>
    <row r="751" spans="1:9" ht="12.75">
      <c r="A751" s="12"/>
      <c r="B751" s="12"/>
      <c r="C751" s="12"/>
      <c r="D751" s="12"/>
      <c r="E751" s="12"/>
      <c r="F751" s="70"/>
      <c r="G751" s="70"/>
      <c r="H751" s="12"/>
      <c r="I751" s="12"/>
    </row>
    <row r="752" spans="1:9" ht="12.75">
      <c r="A752" s="12"/>
      <c r="B752" s="12"/>
      <c r="C752" s="12"/>
      <c r="D752" s="12"/>
      <c r="E752" s="12"/>
      <c r="F752" s="70"/>
      <c r="G752" s="70"/>
      <c r="H752" s="12"/>
      <c r="I752" s="12"/>
    </row>
    <row r="753" spans="1:9" ht="12.75">
      <c r="A753" s="12"/>
      <c r="B753" s="12"/>
      <c r="C753" s="12"/>
      <c r="D753" s="12"/>
      <c r="E753" s="12"/>
      <c r="F753" s="70"/>
      <c r="G753" s="70"/>
      <c r="H753" s="12"/>
      <c r="I753" s="12"/>
    </row>
    <row r="754" spans="1:9" ht="12.75">
      <c r="A754" s="12"/>
      <c r="B754" s="12"/>
      <c r="C754" s="12"/>
      <c r="D754" s="12"/>
      <c r="E754" s="12"/>
      <c r="F754" s="70"/>
      <c r="G754" s="70"/>
      <c r="H754" s="12"/>
      <c r="I754" s="12"/>
    </row>
    <row r="755" spans="1:9" ht="12.75">
      <c r="A755" s="12"/>
      <c r="B755" s="12"/>
      <c r="C755" s="12"/>
      <c r="D755" s="12"/>
      <c r="E755" s="12"/>
      <c r="F755" s="70"/>
      <c r="G755" s="70"/>
      <c r="H755" s="12"/>
      <c r="I755" s="12"/>
    </row>
    <row r="756" spans="1:9" ht="12.75">
      <c r="A756" s="12"/>
      <c r="B756" s="12"/>
      <c r="C756" s="12"/>
      <c r="D756" s="12"/>
      <c r="E756" s="12"/>
      <c r="F756" s="70"/>
      <c r="G756" s="70"/>
      <c r="H756" s="12"/>
      <c r="I756" s="12"/>
    </row>
    <row r="757" spans="1:9" ht="12.75">
      <c r="A757" s="12"/>
      <c r="B757" s="12"/>
      <c r="C757" s="12"/>
      <c r="D757" s="12"/>
      <c r="E757" s="12"/>
      <c r="F757" s="70"/>
      <c r="G757" s="70"/>
      <c r="H757" s="12"/>
      <c r="I757" s="12"/>
    </row>
    <row r="758" spans="1:9" ht="12.75">
      <c r="A758" s="12"/>
      <c r="B758" s="12"/>
      <c r="C758" s="12"/>
      <c r="D758" s="12"/>
      <c r="E758" s="12"/>
      <c r="F758" s="70"/>
      <c r="G758" s="70"/>
      <c r="H758" s="12"/>
      <c r="I758" s="12"/>
    </row>
    <row r="759" spans="1:9" ht="12.75">
      <c r="A759" s="12"/>
      <c r="B759" s="12"/>
      <c r="C759" s="12"/>
      <c r="D759" s="12"/>
      <c r="E759" s="12"/>
      <c r="F759" s="70"/>
      <c r="G759" s="70"/>
      <c r="H759" s="12"/>
      <c r="I759" s="12"/>
    </row>
    <row r="760" spans="1:9" ht="12.75">
      <c r="A760" s="12"/>
      <c r="B760" s="12"/>
      <c r="C760" s="12"/>
      <c r="D760" s="12"/>
      <c r="E760" s="12"/>
      <c r="F760" s="70"/>
      <c r="G760" s="70"/>
      <c r="H760" s="12"/>
      <c r="I760" s="12"/>
    </row>
    <row r="761" spans="1:9" ht="12.75">
      <c r="A761" s="12"/>
      <c r="B761" s="12"/>
      <c r="C761" s="12"/>
      <c r="D761" s="12"/>
      <c r="E761" s="12"/>
      <c r="F761" s="70"/>
      <c r="G761" s="70"/>
      <c r="H761" s="12"/>
      <c r="I761" s="12"/>
    </row>
    <row r="762" spans="1:9" ht="12.75">
      <c r="A762" s="12"/>
      <c r="B762" s="12"/>
      <c r="C762" s="12"/>
      <c r="D762" s="12"/>
      <c r="E762" s="12"/>
      <c r="F762" s="70"/>
      <c r="G762" s="70"/>
      <c r="H762" s="12"/>
      <c r="I762" s="12"/>
    </row>
    <row r="763" spans="1:9" ht="12.75">
      <c r="A763" s="12"/>
      <c r="B763" s="12"/>
      <c r="C763" s="12"/>
      <c r="D763" s="12"/>
      <c r="E763" s="12"/>
      <c r="F763" s="70"/>
      <c r="G763" s="70"/>
      <c r="H763" s="12"/>
      <c r="I763" s="12"/>
    </row>
    <row r="764" spans="1:9" ht="12.75">
      <c r="A764" s="12"/>
      <c r="B764" s="12"/>
      <c r="C764" s="12"/>
      <c r="D764" s="12"/>
      <c r="E764" s="12"/>
      <c r="F764" s="70"/>
      <c r="G764" s="70"/>
      <c r="H764" s="12"/>
      <c r="I764" s="12"/>
    </row>
    <row r="765" spans="1:9" ht="12.75">
      <c r="A765" s="12"/>
      <c r="B765" s="12"/>
      <c r="C765" s="12"/>
      <c r="D765" s="12"/>
      <c r="E765" s="12"/>
      <c r="F765" s="70"/>
      <c r="G765" s="70"/>
      <c r="H765" s="12"/>
      <c r="I765" s="12"/>
    </row>
    <row r="766" spans="1:9" ht="12.75">
      <c r="A766" s="12"/>
      <c r="B766" s="12"/>
      <c r="C766" s="12"/>
      <c r="D766" s="12"/>
      <c r="E766" s="12"/>
      <c r="F766" s="70"/>
      <c r="G766" s="70"/>
      <c r="H766" s="12"/>
      <c r="I766" s="12"/>
    </row>
    <row r="767" spans="1:9" ht="12.75">
      <c r="A767" s="12"/>
      <c r="B767" s="12"/>
      <c r="C767" s="12"/>
      <c r="D767" s="12"/>
      <c r="E767" s="12"/>
      <c r="F767" s="70"/>
      <c r="G767" s="70"/>
      <c r="H767" s="12"/>
      <c r="I767" s="12"/>
    </row>
    <row r="768" spans="1:9" ht="12.75">
      <c r="A768" s="12"/>
      <c r="B768" s="12"/>
      <c r="C768" s="12"/>
      <c r="D768" s="12"/>
      <c r="E768" s="12"/>
      <c r="F768" s="70"/>
      <c r="G768" s="70"/>
      <c r="H768" s="12"/>
      <c r="I768" s="12"/>
    </row>
    <row r="769" spans="1:9" ht="12.75">
      <c r="A769" s="12"/>
      <c r="B769" s="12"/>
      <c r="C769" s="12"/>
      <c r="D769" s="12"/>
      <c r="E769" s="12"/>
      <c r="F769" s="70"/>
      <c r="G769" s="70"/>
      <c r="H769" s="12"/>
      <c r="I769" s="12"/>
    </row>
    <row r="770" spans="1:9" ht="12.75">
      <c r="A770" s="12"/>
      <c r="B770" s="12"/>
      <c r="C770" s="12"/>
      <c r="D770" s="12"/>
      <c r="E770" s="12"/>
      <c r="F770" s="70"/>
      <c r="G770" s="70"/>
      <c r="H770" s="12"/>
      <c r="I770" s="12"/>
    </row>
    <row r="771" spans="1:9" ht="12.75">
      <c r="A771" s="12"/>
      <c r="B771" s="12"/>
      <c r="C771" s="12"/>
      <c r="D771" s="12"/>
      <c r="E771" s="12"/>
      <c r="F771" s="70"/>
      <c r="G771" s="70"/>
      <c r="H771" s="12"/>
      <c r="I771" s="12"/>
    </row>
    <row r="772" spans="1:9" ht="12.75">
      <c r="A772" s="12"/>
      <c r="B772" s="12"/>
      <c r="C772" s="12"/>
      <c r="D772" s="12"/>
      <c r="E772" s="12"/>
      <c r="F772" s="70"/>
      <c r="G772" s="70"/>
      <c r="H772" s="12"/>
      <c r="I772" s="12"/>
    </row>
    <row r="773" spans="1:9" ht="12.75">
      <c r="A773" s="12"/>
      <c r="B773" s="12"/>
      <c r="C773" s="12"/>
      <c r="D773" s="12"/>
      <c r="E773" s="12"/>
      <c r="F773" s="70"/>
      <c r="G773" s="70"/>
      <c r="H773" s="12"/>
      <c r="I773" s="12"/>
    </row>
    <row r="774" spans="1:9" ht="12.75">
      <c r="A774" s="12"/>
      <c r="B774" s="12"/>
      <c r="C774" s="12"/>
      <c r="D774" s="12"/>
      <c r="E774" s="12"/>
      <c r="F774" s="70"/>
      <c r="G774" s="70"/>
      <c r="H774" s="12"/>
      <c r="I774" s="12"/>
    </row>
    <row r="775" spans="1:9" ht="12.75">
      <c r="A775" s="12"/>
      <c r="B775" s="12"/>
      <c r="C775" s="12"/>
      <c r="D775" s="12"/>
      <c r="E775" s="12"/>
      <c r="F775" s="70"/>
      <c r="G775" s="70"/>
      <c r="H775" s="12"/>
      <c r="I775" s="12"/>
    </row>
    <row r="776" spans="1:9" ht="12.75">
      <c r="A776" s="12"/>
      <c r="B776" s="12"/>
      <c r="C776" s="12"/>
      <c r="D776" s="12"/>
      <c r="E776" s="12"/>
      <c r="F776" s="70"/>
      <c r="G776" s="70"/>
      <c r="H776" s="12"/>
      <c r="I776" s="12"/>
    </row>
    <row r="777" spans="1:9" ht="12.75">
      <c r="A777" s="12"/>
      <c r="B777" s="12"/>
      <c r="C777" s="12"/>
      <c r="D777" s="12"/>
      <c r="E777" s="12"/>
      <c r="F777" s="70"/>
      <c r="G777" s="70"/>
      <c r="H777" s="12"/>
      <c r="I777" s="12"/>
    </row>
    <row r="778" spans="1:9" ht="12.75">
      <c r="A778" s="12"/>
      <c r="B778" s="12"/>
      <c r="C778" s="12"/>
      <c r="D778" s="12"/>
      <c r="E778" s="12"/>
      <c r="F778" s="70"/>
      <c r="G778" s="70"/>
      <c r="H778" s="12"/>
      <c r="I778" s="12"/>
    </row>
    <row r="779" spans="1:9" ht="12.75">
      <c r="A779" s="12"/>
      <c r="B779" s="12"/>
      <c r="C779" s="12"/>
      <c r="D779" s="12"/>
      <c r="E779" s="12"/>
      <c r="F779" s="70"/>
      <c r="G779" s="70"/>
      <c r="H779" s="12"/>
      <c r="I779" s="12"/>
    </row>
    <row r="780" spans="1:9" ht="12.75">
      <c r="A780" s="12"/>
      <c r="B780" s="12"/>
      <c r="C780" s="12"/>
      <c r="D780" s="12"/>
      <c r="E780" s="12"/>
      <c r="F780" s="70"/>
      <c r="G780" s="70"/>
      <c r="H780" s="12"/>
      <c r="I780" s="12"/>
    </row>
    <row r="781" spans="1:9" ht="12.75">
      <c r="A781" s="12"/>
      <c r="B781" s="12"/>
      <c r="C781" s="12"/>
      <c r="D781" s="12"/>
      <c r="E781" s="12"/>
      <c r="F781" s="70"/>
      <c r="G781" s="70"/>
      <c r="H781" s="12"/>
      <c r="I781" s="12"/>
    </row>
    <row r="782" spans="1:9" ht="12.75">
      <c r="A782" s="12"/>
      <c r="B782" s="12"/>
      <c r="C782" s="12"/>
      <c r="D782" s="12"/>
      <c r="E782" s="12"/>
      <c r="F782" s="70"/>
      <c r="G782" s="70"/>
      <c r="H782" s="12"/>
      <c r="I782" s="12"/>
    </row>
    <row r="783" spans="1:9" ht="12.75">
      <c r="A783" s="12"/>
      <c r="B783" s="12"/>
      <c r="C783" s="12"/>
      <c r="D783" s="12"/>
      <c r="E783" s="12"/>
      <c r="F783" s="70"/>
      <c r="G783" s="70"/>
      <c r="H783" s="12"/>
      <c r="I783" s="12"/>
    </row>
    <row r="784" spans="1:9" ht="12.75">
      <c r="A784" s="12"/>
      <c r="B784" s="12"/>
      <c r="C784" s="12"/>
      <c r="D784" s="12"/>
      <c r="E784" s="12"/>
      <c r="F784" s="70"/>
      <c r="G784" s="70"/>
      <c r="H784" s="12"/>
      <c r="I784" s="12"/>
    </row>
    <row r="785" spans="1:9" ht="12.75">
      <c r="A785" s="12"/>
      <c r="B785" s="12"/>
      <c r="C785" s="12"/>
      <c r="D785" s="12"/>
      <c r="E785" s="12"/>
      <c r="F785" s="70"/>
      <c r="G785" s="70"/>
      <c r="H785" s="12"/>
      <c r="I785" s="12"/>
    </row>
    <row r="786" spans="1:9" ht="12.75">
      <c r="A786" s="12"/>
      <c r="B786" s="12"/>
      <c r="C786" s="12"/>
      <c r="D786" s="12"/>
      <c r="E786" s="12"/>
      <c r="F786" s="70"/>
      <c r="G786" s="70"/>
      <c r="H786" s="12"/>
      <c r="I786" s="12"/>
    </row>
    <row r="787" spans="1:9" ht="12.75">
      <c r="A787" s="12"/>
      <c r="B787" s="12"/>
      <c r="C787" s="12"/>
      <c r="D787" s="12"/>
      <c r="E787" s="12"/>
      <c r="F787" s="70"/>
      <c r="G787" s="70"/>
      <c r="H787" s="12"/>
      <c r="I787" s="12"/>
    </row>
    <row r="788" spans="1:9" ht="12.75">
      <c r="A788" s="12"/>
      <c r="B788" s="12"/>
      <c r="C788" s="12"/>
      <c r="D788" s="12"/>
      <c r="E788" s="12"/>
      <c r="F788" s="70"/>
      <c r="G788" s="70"/>
      <c r="H788" s="12"/>
      <c r="I788" s="12"/>
    </row>
    <row r="789" spans="1:9" ht="12.75">
      <c r="A789" s="12"/>
      <c r="B789" s="12"/>
      <c r="C789" s="12"/>
      <c r="D789" s="12"/>
      <c r="E789" s="12"/>
      <c r="F789" s="70"/>
      <c r="G789" s="70"/>
      <c r="H789" s="12"/>
      <c r="I789" s="12"/>
    </row>
    <row r="790" spans="1:9" ht="12.75">
      <c r="A790" s="12"/>
      <c r="B790" s="12"/>
      <c r="C790" s="12"/>
      <c r="D790" s="12"/>
      <c r="E790" s="12"/>
      <c r="F790" s="70"/>
      <c r="G790" s="70"/>
      <c r="H790" s="12"/>
      <c r="I790" s="12"/>
    </row>
    <row r="791" spans="1:9" ht="12.75">
      <c r="A791" s="12"/>
      <c r="B791" s="12"/>
      <c r="C791" s="12"/>
      <c r="D791" s="12"/>
      <c r="E791" s="12"/>
      <c r="F791" s="70"/>
      <c r="G791" s="70"/>
      <c r="H791" s="12"/>
      <c r="I791" s="12"/>
    </row>
    <row r="792" spans="1:9" ht="12.75">
      <c r="A792" s="12"/>
      <c r="B792" s="12"/>
      <c r="C792" s="12"/>
      <c r="D792" s="12"/>
      <c r="E792" s="12"/>
      <c r="F792" s="70"/>
      <c r="G792" s="70"/>
      <c r="H792" s="12"/>
      <c r="I792" s="12"/>
    </row>
    <row r="793" spans="1:9" ht="12.75">
      <c r="A793" s="12"/>
      <c r="B793" s="12"/>
      <c r="C793" s="12"/>
      <c r="D793" s="12"/>
      <c r="E793" s="12"/>
      <c r="F793" s="70"/>
      <c r="G793" s="70"/>
      <c r="H793" s="12"/>
      <c r="I793" s="12"/>
    </row>
    <row r="794" spans="1:9" ht="12.75">
      <c r="A794" s="12"/>
      <c r="B794" s="12"/>
      <c r="C794" s="12"/>
      <c r="D794" s="12"/>
      <c r="E794" s="12"/>
      <c r="F794" s="70"/>
      <c r="G794" s="70"/>
      <c r="H794" s="12"/>
      <c r="I794" s="12"/>
    </row>
    <row r="795" spans="1:9" ht="12.75">
      <c r="A795" s="12"/>
      <c r="B795" s="12"/>
      <c r="C795" s="12"/>
      <c r="D795" s="12"/>
      <c r="E795" s="12"/>
      <c r="F795" s="70"/>
      <c r="G795" s="70"/>
      <c r="H795" s="12"/>
      <c r="I795" s="12"/>
    </row>
    <row r="796" spans="1:9" ht="12.75">
      <c r="A796" s="12"/>
      <c r="B796" s="12"/>
      <c r="C796" s="12"/>
      <c r="D796" s="12"/>
      <c r="E796" s="12"/>
      <c r="F796" s="70"/>
      <c r="G796" s="70"/>
      <c r="H796" s="12"/>
      <c r="I796" s="12"/>
    </row>
    <row r="797" spans="1:9" ht="12.75">
      <c r="A797" s="12"/>
      <c r="B797" s="12"/>
      <c r="C797" s="12"/>
      <c r="D797" s="12"/>
      <c r="E797" s="12"/>
      <c r="F797" s="70"/>
      <c r="G797" s="70"/>
      <c r="H797" s="12"/>
      <c r="I797" s="12"/>
    </row>
    <row r="798" spans="1:9" ht="12.75">
      <c r="A798" s="12"/>
      <c r="B798" s="12"/>
      <c r="C798" s="12"/>
      <c r="D798" s="12"/>
      <c r="E798" s="12"/>
      <c r="F798" s="70"/>
      <c r="G798" s="70"/>
      <c r="H798" s="12"/>
      <c r="I798" s="12"/>
    </row>
    <row r="799" spans="1:9" ht="12.75">
      <c r="A799" s="12"/>
      <c r="B799" s="12"/>
      <c r="C799" s="12"/>
      <c r="D799" s="12"/>
      <c r="E799" s="12"/>
      <c r="F799" s="70"/>
      <c r="G799" s="70"/>
      <c r="H799" s="12"/>
      <c r="I799" s="12"/>
    </row>
    <row r="800" spans="1:9" ht="12.75">
      <c r="A800" s="12"/>
      <c r="B800" s="12"/>
      <c r="C800" s="12"/>
      <c r="D800" s="12"/>
      <c r="E800" s="12"/>
      <c r="F800" s="70"/>
      <c r="G800" s="70"/>
      <c r="H800" s="12"/>
      <c r="I800" s="12"/>
    </row>
    <row r="801" spans="1:9" ht="12.75">
      <c r="A801" s="12"/>
      <c r="B801" s="12"/>
      <c r="C801" s="12"/>
      <c r="D801" s="12"/>
      <c r="E801" s="12"/>
      <c r="F801" s="70"/>
      <c r="G801" s="70"/>
      <c r="H801" s="12"/>
      <c r="I801" s="12"/>
    </row>
    <row r="802" spans="1:9" ht="12.75">
      <c r="A802" s="12"/>
      <c r="B802" s="12"/>
      <c r="C802" s="12"/>
      <c r="D802" s="12"/>
      <c r="E802" s="12"/>
      <c r="F802" s="70"/>
      <c r="G802" s="70"/>
      <c r="H802" s="12"/>
      <c r="I802" s="12"/>
    </row>
    <row r="803" spans="1:9" ht="12.75">
      <c r="A803" s="12"/>
      <c r="B803" s="12"/>
      <c r="C803" s="12"/>
      <c r="D803" s="12"/>
      <c r="E803" s="12"/>
      <c r="F803" s="70"/>
      <c r="G803" s="70"/>
      <c r="H803" s="12"/>
      <c r="I803" s="12"/>
    </row>
    <row r="804" spans="1:9" ht="12.75">
      <c r="A804" s="12"/>
      <c r="B804" s="12"/>
      <c r="C804" s="12"/>
      <c r="D804" s="12"/>
      <c r="E804" s="12"/>
      <c r="F804" s="70"/>
      <c r="G804" s="70"/>
      <c r="H804" s="12"/>
      <c r="I804" s="12"/>
    </row>
    <row r="805" spans="1:9" ht="12.75">
      <c r="A805" s="12"/>
      <c r="B805" s="12"/>
      <c r="C805" s="12"/>
      <c r="D805" s="12"/>
      <c r="E805" s="12"/>
      <c r="F805" s="70"/>
      <c r="G805" s="70"/>
      <c r="H805" s="12"/>
      <c r="I805" s="12"/>
    </row>
    <row r="806" spans="1:9" ht="12.75">
      <c r="A806" s="12"/>
      <c r="B806" s="12"/>
      <c r="C806" s="12"/>
      <c r="D806" s="12"/>
      <c r="E806" s="12"/>
      <c r="F806" s="70"/>
      <c r="G806" s="70"/>
      <c r="H806" s="12"/>
      <c r="I806" s="12"/>
    </row>
    <row r="807" spans="1:9" ht="12.75">
      <c r="A807" s="12"/>
      <c r="B807" s="12"/>
      <c r="C807" s="12"/>
      <c r="D807" s="12"/>
      <c r="E807" s="12"/>
      <c r="F807" s="70"/>
      <c r="G807" s="70"/>
      <c r="H807" s="12"/>
      <c r="I807" s="12"/>
    </row>
    <row r="808" spans="1:9" ht="12.75">
      <c r="A808" s="12"/>
      <c r="B808" s="12"/>
      <c r="C808" s="12"/>
      <c r="D808" s="12"/>
      <c r="E808" s="12"/>
      <c r="F808" s="70"/>
      <c r="G808" s="70"/>
      <c r="H808" s="12"/>
      <c r="I808" s="12"/>
    </row>
    <row r="809" spans="1:9" ht="12.75">
      <c r="A809" s="12"/>
      <c r="B809" s="12"/>
      <c r="C809" s="12"/>
      <c r="D809" s="12"/>
      <c r="E809" s="12"/>
      <c r="F809" s="70"/>
      <c r="G809" s="70"/>
      <c r="H809" s="12"/>
      <c r="I809" s="12"/>
    </row>
    <row r="810" spans="1:9" ht="12.75">
      <c r="A810" s="12"/>
      <c r="B810" s="12"/>
      <c r="C810" s="12"/>
      <c r="D810" s="12"/>
      <c r="E810" s="12"/>
      <c r="F810" s="70"/>
      <c r="G810" s="70"/>
      <c r="H810" s="12"/>
      <c r="I810" s="12"/>
    </row>
    <row r="811" spans="1:9" ht="12.75">
      <c r="A811" s="12"/>
      <c r="B811" s="12"/>
      <c r="C811" s="12"/>
      <c r="D811" s="12"/>
      <c r="E811" s="12"/>
      <c r="F811" s="70"/>
      <c r="G811" s="70"/>
      <c r="H811" s="12"/>
      <c r="I811" s="12"/>
    </row>
    <row r="812" spans="1:9" ht="12.75">
      <c r="A812" s="12"/>
      <c r="B812" s="12"/>
      <c r="C812" s="12"/>
      <c r="D812" s="12"/>
      <c r="E812" s="12"/>
      <c r="F812" s="70"/>
      <c r="G812" s="70"/>
      <c r="H812" s="12"/>
      <c r="I812" s="12"/>
    </row>
    <row r="813" spans="1:9" ht="12.75">
      <c r="A813" s="12"/>
      <c r="B813" s="12"/>
      <c r="C813" s="12"/>
      <c r="D813" s="12"/>
      <c r="E813" s="12"/>
      <c r="F813" s="70"/>
      <c r="G813" s="70"/>
      <c r="H813" s="12"/>
      <c r="I813" s="12"/>
    </row>
    <row r="814" spans="1:9" ht="12.75">
      <c r="A814" s="12"/>
      <c r="B814" s="12"/>
      <c r="C814" s="12"/>
      <c r="D814" s="12"/>
      <c r="E814" s="12"/>
      <c r="F814" s="70"/>
      <c r="G814" s="70"/>
      <c r="H814" s="12"/>
      <c r="I814" s="12"/>
    </row>
    <row r="815" spans="1:9" ht="12.75">
      <c r="A815" s="12"/>
      <c r="B815" s="12"/>
      <c r="C815" s="12"/>
      <c r="D815" s="12"/>
      <c r="E815" s="12"/>
      <c r="F815" s="70"/>
      <c r="G815" s="70"/>
      <c r="H815" s="12"/>
      <c r="I815" s="12"/>
    </row>
    <row r="816" spans="1:9" ht="12.75">
      <c r="A816" s="12"/>
      <c r="B816" s="12"/>
      <c r="C816" s="12"/>
      <c r="D816" s="12"/>
      <c r="E816" s="12"/>
      <c r="F816" s="70"/>
      <c r="G816" s="70"/>
      <c r="H816" s="12"/>
      <c r="I816" s="12"/>
    </row>
    <row r="817" spans="1:9" ht="12.75">
      <c r="A817" s="12"/>
      <c r="B817" s="12"/>
      <c r="C817" s="12"/>
      <c r="D817" s="12"/>
      <c r="E817" s="12"/>
      <c r="F817" s="70"/>
      <c r="G817" s="70"/>
      <c r="H817" s="12"/>
      <c r="I817" s="12"/>
    </row>
    <row r="818" spans="1:9" ht="12.75">
      <c r="A818" s="12"/>
      <c r="B818" s="12"/>
      <c r="C818" s="12"/>
      <c r="D818" s="12"/>
      <c r="E818" s="12"/>
      <c r="F818" s="70"/>
      <c r="G818" s="70"/>
      <c r="H818" s="12"/>
      <c r="I818" s="12"/>
    </row>
    <row r="819" spans="1:9" ht="12.75">
      <c r="A819" s="12"/>
      <c r="B819" s="12"/>
      <c r="C819" s="12"/>
      <c r="D819" s="12"/>
      <c r="E819" s="12"/>
      <c r="F819" s="70"/>
      <c r="G819" s="70"/>
      <c r="H819" s="12"/>
      <c r="I819" s="12"/>
    </row>
    <row r="820" spans="1:9" ht="12.75">
      <c r="A820" s="12"/>
      <c r="B820" s="12"/>
      <c r="C820" s="12"/>
      <c r="D820" s="12"/>
      <c r="E820" s="12"/>
      <c r="F820" s="70"/>
      <c r="G820" s="70"/>
      <c r="H820" s="12"/>
      <c r="I820" s="12"/>
    </row>
    <row r="821" spans="1:9" ht="12.75">
      <c r="A821" s="12"/>
      <c r="B821" s="12"/>
      <c r="C821" s="12"/>
      <c r="D821" s="12"/>
      <c r="E821" s="12"/>
      <c r="F821" s="70"/>
      <c r="G821" s="70"/>
      <c r="H821" s="12"/>
      <c r="I821" s="12"/>
    </row>
    <row r="822" spans="1:9" ht="12.75">
      <c r="A822" s="12"/>
      <c r="B822" s="12"/>
      <c r="C822" s="12"/>
      <c r="D822" s="12"/>
      <c r="E822" s="12"/>
      <c r="F822" s="70"/>
      <c r="G822" s="70"/>
      <c r="H822" s="12"/>
      <c r="I822" s="12"/>
    </row>
    <row r="823" spans="1:9" ht="12.75">
      <c r="A823" s="12"/>
      <c r="B823" s="12"/>
      <c r="C823" s="12"/>
      <c r="D823" s="12"/>
      <c r="E823" s="12"/>
      <c r="F823" s="70"/>
      <c r="G823" s="70"/>
      <c r="H823" s="12"/>
      <c r="I823" s="12"/>
    </row>
    <row r="824" spans="1:9" ht="12.75">
      <c r="A824" s="12"/>
      <c r="B824" s="12"/>
      <c r="C824" s="12"/>
      <c r="D824" s="12"/>
      <c r="E824" s="12"/>
      <c r="F824" s="70"/>
      <c r="G824" s="70"/>
      <c r="H824" s="12"/>
      <c r="I824" s="12"/>
    </row>
    <row r="825" spans="1:9" ht="12.75">
      <c r="A825" s="12"/>
      <c r="B825" s="12"/>
      <c r="C825" s="12"/>
      <c r="D825" s="12"/>
      <c r="E825" s="12"/>
      <c r="F825" s="70"/>
      <c r="G825" s="70"/>
      <c r="H825" s="12"/>
      <c r="I825" s="12"/>
    </row>
    <row r="826" spans="1:9" ht="12.75">
      <c r="A826" s="12"/>
      <c r="B826" s="12"/>
      <c r="C826" s="12"/>
      <c r="D826" s="12"/>
      <c r="E826" s="12"/>
      <c r="F826" s="70"/>
      <c r="G826" s="70"/>
      <c r="H826" s="12"/>
      <c r="I826" s="12"/>
    </row>
    <row r="827" spans="1:9" ht="12.75">
      <c r="A827" s="12"/>
      <c r="B827" s="12"/>
      <c r="C827" s="12"/>
      <c r="D827" s="12"/>
      <c r="E827" s="12"/>
      <c r="F827" s="70"/>
      <c r="G827" s="70"/>
      <c r="H827" s="12"/>
      <c r="I827" s="12"/>
    </row>
    <row r="828" spans="1:9" ht="12.75">
      <c r="A828" s="12"/>
      <c r="B828" s="12"/>
      <c r="C828" s="12"/>
      <c r="D828" s="12"/>
      <c r="E828" s="12"/>
      <c r="F828" s="70"/>
      <c r="G828" s="70"/>
      <c r="H828" s="12"/>
      <c r="I828" s="12"/>
    </row>
    <row r="829" spans="1:9" ht="12.75">
      <c r="A829" s="12"/>
      <c r="B829" s="12"/>
      <c r="C829" s="12"/>
      <c r="D829" s="12"/>
      <c r="E829" s="12"/>
      <c r="F829" s="70"/>
      <c r="G829" s="70"/>
      <c r="H829" s="12"/>
      <c r="I829" s="12"/>
    </row>
    <row r="830" spans="1:9" ht="12.75">
      <c r="A830" s="12"/>
      <c r="B830" s="12"/>
      <c r="C830" s="12"/>
      <c r="D830" s="12"/>
      <c r="E830" s="12"/>
      <c r="F830" s="70"/>
      <c r="G830" s="70"/>
      <c r="H830" s="12"/>
      <c r="I830" s="12"/>
    </row>
    <row r="831" spans="1:9" ht="12.75">
      <c r="A831" s="12"/>
      <c r="B831" s="12"/>
      <c r="C831" s="12"/>
      <c r="D831" s="12"/>
      <c r="E831" s="12"/>
      <c r="F831" s="70"/>
      <c r="G831" s="70"/>
      <c r="H831" s="12"/>
      <c r="I831" s="12"/>
    </row>
    <row r="832" spans="1:9" ht="12.75">
      <c r="A832" s="12"/>
      <c r="B832" s="12"/>
      <c r="C832" s="12"/>
      <c r="D832" s="12"/>
      <c r="E832" s="12"/>
      <c r="F832" s="70"/>
      <c r="G832" s="70"/>
      <c r="H832" s="12"/>
      <c r="I832" s="12"/>
    </row>
    <row r="833" spans="1:9" ht="12.75">
      <c r="A833" s="12"/>
      <c r="B833" s="12"/>
      <c r="C833" s="12"/>
      <c r="D833" s="12"/>
      <c r="E833" s="12"/>
      <c r="F833" s="70"/>
      <c r="G833" s="70"/>
      <c r="H833" s="12"/>
      <c r="I833" s="12"/>
    </row>
    <row r="834" spans="1:9" ht="12.75">
      <c r="A834" s="12"/>
      <c r="B834" s="12"/>
      <c r="C834" s="12"/>
      <c r="D834" s="12"/>
      <c r="E834" s="12"/>
      <c r="F834" s="70"/>
      <c r="G834" s="70"/>
      <c r="H834" s="12"/>
      <c r="I834" s="12"/>
    </row>
    <row r="835" spans="1:9" ht="12.75">
      <c r="A835" s="12"/>
      <c r="B835" s="12"/>
      <c r="C835" s="12"/>
      <c r="D835" s="12"/>
      <c r="E835" s="12"/>
      <c r="F835" s="70"/>
      <c r="G835" s="70"/>
      <c r="H835" s="12"/>
      <c r="I835" s="12"/>
    </row>
    <row r="836" spans="1:9" ht="12.75">
      <c r="A836" s="12"/>
      <c r="B836" s="12"/>
      <c r="C836" s="12"/>
      <c r="D836" s="12"/>
      <c r="E836" s="12"/>
      <c r="F836" s="70"/>
      <c r="G836" s="70"/>
      <c r="H836" s="12"/>
      <c r="I836" s="12"/>
    </row>
    <row r="837" spans="1:9" ht="12.75">
      <c r="A837" s="12"/>
      <c r="B837" s="12"/>
      <c r="C837" s="12"/>
      <c r="D837" s="12"/>
      <c r="E837" s="12"/>
      <c r="F837" s="70"/>
      <c r="G837" s="70"/>
      <c r="H837" s="12"/>
      <c r="I837" s="12"/>
    </row>
    <row r="838" spans="1:9" ht="12.75">
      <c r="A838" s="12"/>
      <c r="B838" s="12"/>
      <c r="C838" s="12"/>
      <c r="D838" s="12"/>
      <c r="E838" s="12"/>
      <c r="F838" s="70"/>
      <c r="G838" s="70"/>
      <c r="H838" s="12"/>
      <c r="I838" s="12"/>
    </row>
    <row r="839" spans="1:9" ht="12.75">
      <c r="A839" s="12"/>
      <c r="B839" s="12"/>
      <c r="C839" s="12"/>
      <c r="D839" s="12"/>
      <c r="E839" s="12"/>
      <c r="F839" s="70"/>
      <c r="G839" s="70"/>
      <c r="H839" s="12"/>
      <c r="I839" s="12"/>
    </row>
    <row r="840" spans="1:9" ht="12.75">
      <c r="A840" s="12"/>
      <c r="B840" s="12"/>
      <c r="C840" s="12"/>
      <c r="D840" s="12"/>
      <c r="E840" s="12"/>
      <c r="F840" s="70"/>
      <c r="G840" s="70"/>
      <c r="H840" s="12"/>
      <c r="I840" s="12"/>
    </row>
    <row r="841" spans="1:9" ht="12.75">
      <c r="A841" s="12"/>
      <c r="B841" s="12"/>
      <c r="C841" s="12"/>
      <c r="D841" s="12"/>
      <c r="E841" s="12"/>
      <c r="F841" s="70"/>
      <c r="G841" s="70"/>
      <c r="H841" s="12"/>
      <c r="I841" s="12"/>
    </row>
    <row r="842" spans="1:9" ht="12.75">
      <c r="A842" s="12"/>
      <c r="B842" s="12"/>
      <c r="C842" s="12"/>
      <c r="D842" s="12"/>
      <c r="E842" s="12"/>
      <c r="F842" s="70"/>
      <c r="G842" s="70"/>
      <c r="H842" s="12"/>
      <c r="I842" s="12"/>
    </row>
    <row r="843" spans="1:9" ht="12.75">
      <c r="A843" s="12"/>
      <c r="B843" s="12"/>
      <c r="C843" s="12"/>
      <c r="D843" s="12"/>
      <c r="E843" s="12"/>
      <c r="F843" s="70"/>
      <c r="G843" s="70"/>
      <c r="H843" s="12"/>
      <c r="I843" s="12"/>
    </row>
    <row r="844" spans="1:9" ht="12.75">
      <c r="A844" s="12"/>
      <c r="B844" s="12"/>
      <c r="C844" s="12"/>
      <c r="D844" s="12"/>
      <c r="E844" s="12"/>
      <c r="F844" s="70"/>
      <c r="G844" s="70"/>
      <c r="H844" s="12"/>
      <c r="I844" s="12"/>
    </row>
    <row r="845" spans="1:9" ht="12.75">
      <c r="A845" s="12"/>
      <c r="B845" s="12"/>
      <c r="C845" s="12"/>
      <c r="D845" s="12"/>
      <c r="E845" s="12"/>
      <c r="F845" s="70"/>
      <c r="G845" s="70"/>
      <c r="H845" s="12"/>
      <c r="I845" s="12"/>
    </row>
    <row r="846" spans="1:9" ht="12.75">
      <c r="A846" s="12"/>
      <c r="B846" s="12"/>
      <c r="C846" s="12"/>
      <c r="D846" s="12"/>
      <c r="E846" s="12"/>
      <c r="F846" s="70"/>
      <c r="G846" s="70"/>
      <c r="H846" s="12"/>
      <c r="I846" s="12"/>
    </row>
    <row r="847" spans="1:9" ht="12.75">
      <c r="A847" s="12"/>
      <c r="B847" s="12"/>
      <c r="C847" s="12"/>
      <c r="D847" s="12"/>
      <c r="E847" s="12"/>
      <c r="F847" s="70"/>
      <c r="G847" s="70"/>
      <c r="H847" s="12"/>
      <c r="I847" s="12"/>
    </row>
    <row r="848" spans="1:9" ht="12.75">
      <c r="A848" s="12"/>
      <c r="B848" s="12"/>
      <c r="C848" s="12"/>
      <c r="D848" s="12"/>
      <c r="E848" s="12"/>
      <c r="F848" s="70"/>
      <c r="G848" s="70"/>
      <c r="H848" s="12"/>
      <c r="I848" s="12"/>
    </row>
    <row r="849" spans="1:9" ht="12.75">
      <c r="A849" s="12"/>
      <c r="B849" s="12"/>
      <c r="C849" s="12"/>
      <c r="D849" s="12"/>
      <c r="E849" s="12"/>
      <c r="F849" s="70"/>
      <c r="G849" s="70"/>
      <c r="H849" s="12"/>
      <c r="I849" s="12"/>
    </row>
    <row r="850" spans="1:9" ht="12.75">
      <c r="A850" s="12"/>
      <c r="B850" s="12"/>
      <c r="C850" s="12"/>
      <c r="D850" s="12"/>
      <c r="E850" s="12"/>
      <c r="F850" s="70"/>
      <c r="G850" s="70"/>
      <c r="H850" s="12"/>
      <c r="I850" s="12"/>
    </row>
    <row r="851" spans="1:9" ht="12.75">
      <c r="A851" s="12"/>
      <c r="B851" s="12"/>
      <c r="C851" s="12"/>
      <c r="D851" s="12"/>
      <c r="E851" s="12"/>
      <c r="F851" s="70"/>
      <c r="G851" s="70"/>
      <c r="H851" s="12"/>
      <c r="I851" s="12"/>
    </row>
    <row r="852" spans="1:9" ht="12.75">
      <c r="A852" s="12"/>
      <c r="B852" s="12"/>
      <c r="C852" s="12"/>
      <c r="D852" s="12"/>
      <c r="E852" s="12"/>
      <c r="F852" s="70"/>
      <c r="G852" s="70"/>
      <c r="H852" s="12"/>
      <c r="I852" s="12"/>
    </row>
    <row r="853" spans="1:9" ht="12.75">
      <c r="A853" s="12"/>
      <c r="B853" s="12"/>
      <c r="C853" s="12"/>
      <c r="D853" s="12"/>
      <c r="E853" s="12"/>
      <c r="F853" s="70"/>
      <c r="G853" s="70"/>
      <c r="H853" s="12"/>
      <c r="I853" s="12"/>
    </row>
    <row r="854" spans="1:9" ht="12.75">
      <c r="A854" s="12"/>
      <c r="B854" s="12"/>
      <c r="C854" s="12"/>
      <c r="D854" s="12"/>
      <c r="E854" s="12"/>
      <c r="F854" s="70"/>
      <c r="G854" s="70"/>
      <c r="H854" s="12"/>
      <c r="I854" s="12"/>
    </row>
    <row r="855" spans="1:9" ht="12.75">
      <c r="A855" s="12"/>
      <c r="B855" s="12"/>
      <c r="C855" s="12"/>
      <c r="D855" s="12"/>
      <c r="E855" s="12"/>
      <c r="F855" s="70"/>
      <c r="G855" s="70"/>
      <c r="H855" s="12"/>
      <c r="I855" s="12"/>
    </row>
    <row r="856" spans="1:9" ht="12.75">
      <c r="A856" s="12"/>
      <c r="B856" s="12"/>
      <c r="C856" s="12"/>
      <c r="D856" s="12"/>
      <c r="E856" s="12"/>
      <c r="F856" s="70"/>
      <c r="G856" s="70"/>
      <c r="H856" s="12"/>
      <c r="I856" s="12"/>
    </row>
    <row r="857" spans="1:9" ht="12.75">
      <c r="A857" s="12"/>
      <c r="B857" s="12"/>
      <c r="C857" s="12"/>
      <c r="D857" s="12"/>
      <c r="E857" s="12"/>
      <c r="F857" s="70"/>
      <c r="G857" s="70"/>
      <c r="H857" s="12"/>
      <c r="I857" s="12"/>
    </row>
    <row r="858" spans="1:9" ht="12.75">
      <c r="A858" s="12"/>
      <c r="B858" s="12"/>
      <c r="C858" s="12"/>
      <c r="D858" s="12"/>
      <c r="E858" s="12"/>
      <c r="F858" s="70"/>
      <c r="G858" s="70"/>
      <c r="H858" s="12"/>
      <c r="I858" s="12"/>
    </row>
    <row r="859" spans="1:9" ht="12.75">
      <c r="A859" s="12"/>
      <c r="B859" s="12"/>
      <c r="C859" s="12"/>
      <c r="D859" s="12"/>
      <c r="E859" s="12"/>
      <c r="F859" s="70"/>
      <c r="G859" s="70"/>
      <c r="H859" s="12"/>
      <c r="I859" s="12"/>
    </row>
    <row r="860" spans="1:9" ht="12.75">
      <c r="A860" s="12"/>
      <c r="B860" s="12"/>
      <c r="C860" s="12"/>
      <c r="D860" s="12"/>
      <c r="E860" s="12"/>
      <c r="F860" s="70"/>
      <c r="G860" s="70"/>
      <c r="H860" s="12"/>
      <c r="I860" s="12"/>
    </row>
    <row r="861" spans="1:9" ht="12.75">
      <c r="A861" s="12"/>
      <c r="B861" s="12"/>
      <c r="C861" s="12"/>
      <c r="D861" s="12"/>
      <c r="E861" s="12"/>
      <c r="F861" s="70"/>
      <c r="G861" s="70"/>
      <c r="H861" s="12"/>
      <c r="I861" s="12"/>
    </row>
    <row r="862" spans="1:9" ht="12.75">
      <c r="A862" s="12"/>
      <c r="B862" s="12"/>
      <c r="C862" s="12"/>
      <c r="D862" s="12"/>
      <c r="E862" s="12"/>
      <c r="F862" s="70"/>
      <c r="G862" s="70"/>
      <c r="H862" s="12"/>
      <c r="I862" s="12"/>
    </row>
    <row r="863" spans="1:9" ht="12.75">
      <c r="A863" s="12"/>
      <c r="B863" s="12"/>
      <c r="C863" s="12"/>
      <c r="D863" s="12"/>
      <c r="E863" s="12"/>
      <c r="F863" s="70"/>
      <c r="G863" s="70"/>
      <c r="H863" s="12"/>
      <c r="I863" s="12"/>
    </row>
    <row r="864" spans="1:9" ht="12.75">
      <c r="A864" s="12"/>
      <c r="B864" s="12"/>
      <c r="C864" s="12"/>
      <c r="D864" s="12"/>
      <c r="E864" s="12"/>
      <c r="F864" s="70"/>
      <c r="G864" s="70"/>
      <c r="H864" s="12"/>
      <c r="I864" s="12"/>
    </row>
    <row r="865" spans="1:9" ht="12.75">
      <c r="A865" s="12"/>
      <c r="B865" s="12"/>
      <c r="C865" s="12"/>
      <c r="D865" s="12"/>
      <c r="E865" s="12"/>
      <c r="F865" s="70"/>
      <c r="G865" s="70"/>
      <c r="H865" s="12"/>
      <c r="I865" s="12"/>
    </row>
    <row r="866" spans="1:9" ht="12.75">
      <c r="A866" s="12"/>
      <c r="B866" s="12"/>
      <c r="C866" s="12"/>
      <c r="D866" s="12"/>
      <c r="E866" s="12"/>
      <c r="F866" s="70"/>
      <c r="G866" s="70"/>
      <c r="H866" s="12"/>
      <c r="I866" s="12"/>
    </row>
    <row r="867" spans="1:9" ht="12.75">
      <c r="A867" s="12"/>
      <c r="B867" s="12"/>
      <c r="C867" s="12"/>
      <c r="D867" s="12"/>
      <c r="E867" s="12"/>
      <c r="F867" s="70"/>
      <c r="G867" s="70"/>
      <c r="H867" s="12"/>
      <c r="I867" s="12"/>
    </row>
    <row r="868" spans="1:9" ht="12.75">
      <c r="A868" s="12"/>
      <c r="B868" s="12"/>
      <c r="C868" s="12"/>
      <c r="D868" s="12"/>
      <c r="E868" s="12"/>
      <c r="F868" s="70"/>
      <c r="G868" s="70"/>
      <c r="H868" s="12"/>
      <c r="I868" s="12"/>
    </row>
    <row r="869" spans="1:9" ht="12.75">
      <c r="A869" s="12"/>
      <c r="B869" s="12"/>
      <c r="C869" s="12"/>
      <c r="D869" s="12"/>
      <c r="E869" s="12"/>
      <c r="F869" s="70"/>
      <c r="G869" s="70"/>
      <c r="H869" s="12"/>
      <c r="I869" s="12"/>
    </row>
    <row r="870" spans="1:9" ht="12.75">
      <c r="A870" s="12"/>
      <c r="B870" s="12"/>
      <c r="C870" s="12"/>
      <c r="D870" s="12"/>
      <c r="E870" s="12"/>
      <c r="F870" s="70"/>
      <c r="G870" s="70"/>
      <c r="H870" s="12"/>
      <c r="I870" s="12"/>
    </row>
    <row r="871" spans="1:9" ht="12.75">
      <c r="A871" s="12"/>
      <c r="B871" s="12"/>
      <c r="C871" s="12"/>
      <c r="D871" s="12"/>
      <c r="E871" s="12"/>
      <c r="F871" s="70"/>
      <c r="G871" s="70"/>
      <c r="H871" s="12"/>
      <c r="I871" s="12"/>
    </row>
    <row r="872" spans="1:9" ht="12.75">
      <c r="A872" s="12"/>
      <c r="B872" s="12"/>
      <c r="C872" s="12"/>
      <c r="D872" s="12"/>
      <c r="E872" s="12"/>
      <c r="F872" s="70"/>
      <c r="G872" s="70"/>
      <c r="H872" s="12"/>
      <c r="I872" s="12"/>
    </row>
    <row r="873" spans="1:9" ht="12.75">
      <c r="A873" s="12"/>
      <c r="B873" s="12"/>
      <c r="C873" s="12"/>
      <c r="D873" s="12"/>
      <c r="E873" s="12"/>
      <c r="F873" s="70"/>
      <c r="G873" s="70"/>
      <c r="H873" s="12"/>
      <c r="I873" s="12"/>
    </row>
    <row r="874" spans="1:9" ht="12.75">
      <c r="A874" s="12"/>
      <c r="B874" s="12"/>
      <c r="C874" s="12"/>
      <c r="D874" s="12"/>
      <c r="E874" s="12"/>
      <c r="F874" s="70"/>
      <c r="G874" s="70"/>
      <c r="H874" s="12"/>
      <c r="I874" s="12"/>
    </row>
    <row r="875" spans="1:9" ht="12.75">
      <c r="A875" s="12"/>
      <c r="B875" s="12"/>
      <c r="C875" s="12"/>
      <c r="D875" s="12"/>
      <c r="E875" s="12"/>
      <c r="F875" s="70"/>
      <c r="G875" s="70"/>
      <c r="H875" s="12"/>
      <c r="I875" s="12"/>
    </row>
    <row r="876" spans="1:9" ht="12.75">
      <c r="A876" s="12"/>
      <c r="B876" s="12"/>
      <c r="C876" s="12"/>
      <c r="D876" s="12"/>
      <c r="E876" s="12"/>
      <c r="F876" s="70"/>
      <c r="G876" s="70"/>
      <c r="H876" s="12"/>
      <c r="I876" s="12"/>
    </row>
    <row r="877" spans="1:9" ht="12.75">
      <c r="A877" s="12"/>
      <c r="B877" s="12"/>
      <c r="C877" s="12"/>
      <c r="D877" s="12"/>
      <c r="E877" s="12"/>
      <c r="F877" s="70"/>
      <c r="G877" s="70"/>
      <c r="H877" s="12"/>
      <c r="I877" s="12"/>
    </row>
    <row r="878" spans="1:9" ht="12.75">
      <c r="A878" s="12"/>
      <c r="B878" s="12"/>
      <c r="C878" s="12"/>
      <c r="D878" s="12"/>
      <c r="E878" s="12"/>
      <c r="F878" s="70"/>
      <c r="G878" s="70"/>
      <c r="H878" s="12"/>
      <c r="I878" s="12"/>
    </row>
    <row r="879" spans="1:9" ht="12.75">
      <c r="A879" s="12"/>
      <c r="B879" s="12"/>
      <c r="C879" s="12"/>
      <c r="D879" s="12"/>
      <c r="E879" s="12"/>
      <c r="F879" s="70"/>
      <c r="G879" s="70"/>
      <c r="H879" s="12"/>
      <c r="I879" s="12"/>
    </row>
    <row r="880" spans="1:9" ht="12.75">
      <c r="A880" s="12"/>
      <c r="B880" s="12"/>
      <c r="C880" s="12"/>
      <c r="D880" s="12"/>
      <c r="E880" s="12"/>
      <c r="F880" s="70"/>
      <c r="G880" s="70"/>
      <c r="H880" s="12"/>
      <c r="I880" s="12"/>
    </row>
    <row r="881" spans="1:9" ht="12.75">
      <c r="A881" s="12"/>
      <c r="B881" s="12"/>
      <c r="C881" s="12"/>
      <c r="D881" s="12"/>
      <c r="E881" s="12"/>
      <c r="F881" s="70"/>
      <c r="G881" s="70"/>
      <c r="H881" s="12"/>
      <c r="I881" s="12"/>
    </row>
    <row r="882" spans="1:9" ht="12.75">
      <c r="A882" s="12"/>
      <c r="B882" s="12"/>
      <c r="C882" s="12"/>
      <c r="D882" s="12"/>
      <c r="E882" s="12"/>
      <c r="F882" s="70"/>
      <c r="G882" s="70"/>
      <c r="H882" s="12"/>
      <c r="I882" s="12"/>
    </row>
    <row r="883" spans="1:9" ht="12.75">
      <c r="A883" s="12"/>
      <c r="B883" s="12"/>
      <c r="C883" s="12"/>
      <c r="D883" s="12"/>
      <c r="E883" s="12"/>
      <c r="F883" s="70"/>
      <c r="G883" s="70"/>
      <c r="H883" s="12"/>
      <c r="I883" s="12"/>
    </row>
    <row r="884" spans="1:9" ht="12.75">
      <c r="A884" s="12"/>
      <c r="B884" s="12"/>
      <c r="C884" s="12"/>
      <c r="D884" s="12"/>
      <c r="E884" s="12"/>
      <c r="F884" s="70"/>
      <c r="G884" s="70"/>
      <c r="H884" s="12"/>
      <c r="I884" s="12"/>
    </row>
    <row r="885" spans="1:9" ht="12.75">
      <c r="A885" s="12"/>
      <c r="B885" s="12"/>
      <c r="C885" s="12"/>
      <c r="D885" s="12"/>
      <c r="E885" s="12"/>
      <c r="F885" s="70"/>
      <c r="G885" s="70"/>
      <c r="H885" s="12"/>
      <c r="I885" s="12"/>
    </row>
    <row r="886" spans="1:9" ht="12.75">
      <c r="A886" s="12"/>
      <c r="B886" s="12"/>
      <c r="C886" s="12"/>
      <c r="D886" s="12"/>
      <c r="E886" s="12"/>
      <c r="F886" s="70"/>
      <c r="G886" s="70"/>
      <c r="H886" s="12"/>
      <c r="I886" s="12"/>
    </row>
    <row r="887" spans="1:9" ht="12.75">
      <c r="A887" s="12"/>
      <c r="B887" s="12"/>
      <c r="C887" s="12"/>
      <c r="D887" s="12"/>
      <c r="E887" s="12"/>
      <c r="F887" s="70"/>
      <c r="G887" s="70"/>
      <c r="H887" s="12"/>
      <c r="I887" s="12"/>
    </row>
    <row r="888" spans="1:9" ht="12.75">
      <c r="A888" s="12"/>
      <c r="B888" s="12"/>
      <c r="C888" s="12"/>
      <c r="D888" s="12"/>
      <c r="E888" s="12"/>
      <c r="F888" s="70"/>
      <c r="G888" s="70"/>
      <c r="H888" s="12"/>
      <c r="I888" s="12"/>
    </row>
    <row r="889" spans="1:9" ht="12.75">
      <c r="A889" s="12"/>
      <c r="B889" s="12"/>
      <c r="C889" s="12"/>
      <c r="D889" s="12"/>
      <c r="E889" s="12"/>
      <c r="F889" s="70"/>
      <c r="G889" s="70"/>
      <c r="H889" s="12"/>
      <c r="I889" s="12"/>
    </row>
    <row r="890" spans="1:9" ht="12.75">
      <c r="A890" s="12"/>
      <c r="B890" s="12"/>
      <c r="C890" s="12"/>
      <c r="D890" s="12"/>
      <c r="E890" s="12"/>
      <c r="F890" s="70"/>
      <c r="G890" s="70"/>
      <c r="H890" s="12"/>
      <c r="I890" s="12"/>
    </row>
    <row r="891" spans="1:9" ht="12.75">
      <c r="A891" s="12"/>
      <c r="B891" s="12"/>
      <c r="C891" s="12"/>
      <c r="D891" s="12"/>
      <c r="E891" s="12"/>
      <c r="F891" s="70"/>
      <c r="G891" s="70"/>
      <c r="H891" s="12"/>
      <c r="I891" s="12"/>
    </row>
    <row r="892" spans="1:9" ht="12.75">
      <c r="A892" s="12"/>
      <c r="B892" s="12"/>
      <c r="C892" s="12"/>
      <c r="D892" s="12"/>
      <c r="E892" s="12"/>
      <c r="F892" s="70"/>
      <c r="G892" s="70"/>
      <c r="H892" s="12"/>
      <c r="I892" s="12"/>
    </row>
    <row r="893" spans="1:9" ht="12.75">
      <c r="A893" s="12"/>
      <c r="B893" s="12"/>
      <c r="C893" s="12"/>
      <c r="D893" s="12"/>
      <c r="E893" s="12"/>
      <c r="F893" s="70"/>
      <c r="G893" s="70"/>
      <c r="H893" s="12"/>
      <c r="I893" s="12"/>
    </row>
    <row r="894" spans="1:9" ht="12.75">
      <c r="A894" s="12"/>
      <c r="B894" s="12"/>
      <c r="C894" s="12"/>
      <c r="D894" s="12"/>
      <c r="E894" s="12"/>
      <c r="F894" s="70"/>
      <c r="G894" s="70"/>
      <c r="H894" s="12"/>
      <c r="I894" s="12"/>
    </row>
    <row r="895" spans="1:9" ht="12.75">
      <c r="A895" s="12"/>
      <c r="B895" s="12"/>
      <c r="C895" s="12"/>
      <c r="D895" s="12"/>
      <c r="E895" s="12"/>
      <c r="F895" s="70"/>
      <c r="G895" s="70"/>
      <c r="H895" s="12"/>
      <c r="I895" s="12"/>
    </row>
    <row r="896" spans="1:9" ht="12.75">
      <c r="A896" s="12"/>
      <c r="B896" s="12"/>
      <c r="C896" s="12"/>
      <c r="D896" s="12"/>
      <c r="E896" s="12"/>
      <c r="F896" s="70"/>
      <c r="G896" s="70"/>
      <c r="H896" s="12"/>
      <c r="I896" s="12"/>
    </row>
    <row r="897" spans="1:9" ht="12.75">
      <c r="A897" s="12"/>
      <c r="B897" s="12"/>
      <c r="C897" s="12"/>
      <c r="D897" s="12"/>
      <c r="E897" s="12"/>
      <c r="F897" s="70"/>
      <c r="G897" s="70"/>
      <c r="H897" s="12"/>
      <c r="I897" s="12"/>
    </row>
    <row r="898" spans="1:9" ht="12.75">
      <c r="A898" s="12"/>
      <c r="B898" s="12"/>
      <c r="C898" s="12"/>
      <c r="D898" s="12"/>
      <c r="E898" s="12"/>
      <c r="F898" s="70"/>
      <c r="G898" s="70"/>
      <c r="H898" s="12"/>
      <c r="I898" s="12"/>
    </row>
    <row r="899" spans="1:9" ht="12.75">
      <c r="A899" s="12"/>
      <c r="B899" s="12"/>
      <c r="C899" s="12"/>
      <c r="D899" s="12"/>
      <c r="E899" s="12"/>
      <c r="F899" s="70"/>
      <c r="G899" s="70"/>
      <c r="H899" s="12"/>
      <c r="I899" s="12"/>
    </row>
    <row r="900" spans="1:9" ht="12.75">
      <c r="A900" s="12"/>
      <c r="B900" s="12"/>
      <c r="C900" s="12"/>
      <c r="D900" s="12"/>
      <c r="E900" s="12"/>
      <c r="F900" s="70"/>
      <c r="G900" s="70"/>
      <c r="H900" s="12"/>
      <c r="I900" s="12"/>
    </row>
    <row r="901" spans="1:9" ht="12.75">
      <c r="A901" s="12"/>
      <c r="B901" s="12"/>
      <c r="C901" s="12"/>
      <c r="D901" s="12"/>
      <c r="E901" s="12"/>
      <c r="F901" s="70"/>
      <c r="G901" s="70"/>
      <c r="H901" s="12"/>
      <c r="I901" s="12"/>
    </row>
    <row r="902" spans="1:9" ht="12.75">
      <c r="A902" s="12"/>
      <c r="B902" s="12"/>
      <c r="C902" s="12"/>
      <c r="D902" s="12"/>
      <c r="E902" s="12"/>
      <c r="F902" s="70"/>
      <c r="G902" s="70"/>
      <c r="H902" s="12"/>
      <c r="I902" s="12"/>
    </row>
    <row r="903" spans="1:9" ht="12.75">
      <c r="A903" s="12"/>
      <c r="B903" s="12"/>
      <c r="C903" s="12"/>
      <c r="D903" s="12"/>
      <c r="E903" s="12"/>
      <c r="F903" s="70"/>
      <c r="G903" s="70"/>
      <c r="H903" s="12"/>
      <c r="I903" s="12"/>
    </row>
    <row r="904" spans="1:9" ht="12.75">
      <c r="A904" s="12"/>
      <c r="B904" s="12"/>
      <c r="C904" s="12"/>
      <c r="D904" s="12"/>
      <c r="E904" s="12"/>
      <c r="F904" s="70"/>
      <c r="G904" s="70"/>
      <c r="H904" s="12"/>
      <c r="I904" s="12"/>
    </row>
    <row r="905" spans="1:9" ht="12.75">
      <c r="A905" s="12"/>
      <c r="B905" s="12"/>
      <c r="C905" s="12"/>
      <c r="D905" s="12"/>
      <c r="E905" s="12"/>
      <c r="F905" s="70"/>
      <c r="G905" s="70"/>
      <c r="H905" s="12"/>
      <c r="I905" s="12"/>
    </row>
    <row r="906" spans="1:9" ht="12.75">
      <c r="A906" s="12"/>
      <c r="B906" s="12"/>
      <c r="C906" s="12"/>
      <c r="D906" s="12"/>
      <c r="E906" s="12"/>
      <c r="F906" s="70"/>
      <c r="G906" s="70"/>
      <c r="H906" s="12"/>
      <c r="I906" s="12"/>
    </row>
    <row r="907" spans="1:9" ht="12.75">
      <c r="A907" s="12"/>
      <c r="B907" s="12"/>
      <c r="C907" s="12"/>
      <c r="D907" s="12"/>
      <c r="E907" s="12"/>
      <c r="F907" s="70"/>
      <c r="G907" s="70"/>
      <c r="H907" s="12"/>
      <c r="I907" s="12"/>
    </row>
    <row r="908" spans="1:9" ht="12.75">
      <c r="A908" s="12"/>
      <c r="B908" s="12"/>
      <c r="C908" s="12"/>
      <c r="D908" s="12"/>
      <c r="E908" s="12"/>
      <c r="F908" s="70"/>
      <c r="G908" s="70"/>
      <c r="H908" s="12"/>
      <c r="I908" s="12"/>
    </row>
    <row r="909" spans="1:9" ht="12.75">
      <c r="A909" s="12"/>
      <c r="B909" s="12"/>
      <c r="C909" s="12"/>
      <c r="D909" s="12"/>
      <c r="E909" s="12"/>
      <c r="F909" s="70"/>
      <c r="G909" s="70"/>
      <c r="H909" s="12"/>
      <c r="I909" s="12"/>
    </row>
    <row r="910" spans="1:9" ht="12.75">
      <c r="A910" s="12"/>
      <c r="B910" s="12"/>
      <c r="C910" s="12"/>
      <c r="D910" s="12"/>
      <c r="E910" s="12"/>
      <c r="F910" s="70"/>
      <c r="G910" s="70"/>
      <c r="H910" s="12"/>
      <c r="I910" s="12"/>
    </row>
    <row r="911" spans="1:9" ht="12.75">
      <c r="A911" s="12"/>
      <c r="B911" s="12"/>
      <c r="C911" s="12"/>
      <c r="D911" s="12"/>
      <c r="E911" s="12"/>
      <c r="F911" s="70"/>
      <c r="G911" s="70"/>
      <c r="H911" s="12"/>
      <c r="I911" s="12"/>
    </row>
    <row r="912" spans="1:9" ht="12.75">
      <c r="A912" s="12"/>
      <c r="B912" s="12"/>
      <c r="C912" s="12"/>
      <c r="D912" s="12"/>
      <c r="E912" s="12"/>
      <c r="F912" s="70"/>
      <c r="G912" s="70"/>
      <c r="H912" s="12"/>
      <c r="I912" s="12"/>
    </row>
    <row r="913" spans="1:9" ht="12.75">
      <c r="A913" s="12"/>
      <c r="B913" s="12"/>
      <c r="C913" s="12"/>
      <c r="D913" s="12"/>
      <c r="E913" s="12"/>
      <c r="F913" s="70"/>
      <c r="G913" s="70"/>
      <c r="H913" s="12"/>
      <c r="I913" s="12"/>
    </row>
    <row r="914" spans="1:9" ht="12.75">
      <c r="A914" s="12"/>
      <c r="B914" s="12"/>
      <c r="C914" s="12"/>
      <c r="D914" s="12"/>
      <c r="E914" s="12"/>
      <c r="F914" s="70"/>
      <c r="G914" s="70"/>
      <c r="H914" s="12"/>
      <c r="I914" s="12"/>
    </row>
    <row r="915" spans="1:9" ht="12.75">
      <c r="A915" s="12"/>
      <c r="B915" s="12"/>
      <c r="C915" s="12"/>
      <c r="D915" s="12"/>
      <c r="E915" s="12"/>
      <c r="F915" s="70"/>
      <c r="G915" s="70"/>
      <c r="H915" s="12"/>
      <c r="I915" s="12"/>
    </row>
    <row r="916" spans="1:9" ht="12.75">
      <c r="A916" s="12"/>
      <c r="B916" s="12"/>
      <c r="C916" s="12"/>
      <c r="D916" s="12"/>
      <c r="E916" s="12"/>
      <c r="F916" s="70"/>
      <c r="G916" s="70"/>
      <c r="H916" s="12"/>
      <c r="I916" s="12"/>
    </row>
    <row r="917" spans="1:9" ht="12.75">
      <c r="A917" s="12"/>
      <c r="B917" s="12"/>
      <c r="C917" s="12"/>
      <c r="D917" s="12"/>
      <c r="E917" s="12"/>
      <c r="F917" s="70"/>
      <c r="G917" s="70"/>
      <c r="H917" s="12"/>
      <c r="I917" s="12"/>
    </row>
    <row r="918" spans="1:9" ht="12.75">
      <c r="A918" s="12"/>
      <c r="B918" s="12"/>
      <c r="C918" s="12"/>
      <c r="D918" s="12"/>
      <c r="E918" s="12"/>
      <c r="F918" s="70"/>
      <c r="G918" s="70"/>
      <c r="H918" s="12"/>
      <c r="I918" s="12"/>
    </row>
    <row r="919" spans="1:9" ht="12.75">
      <c r="A919" s="12"/>
      <c r="B919" s="12"/>
      <c r="C919" s="12"/>
      <c r="D919" s="12"/>
      <c r="E919" s="12"/>
      <c r="F919" s="70"/>
      <c r="G919" s="70"/>
      <c r="H919" s="12"/>
      <c r="I919" s="12"/>
    </row>
    <row r="920" spans="1:9" ht="12.75">
      <c r="A920" s="12"/>
      <c r="B920" s="12"/>
      <c r="C920" s="12"/>
      <c r="D920" s="12"/>
      <c r="E920" s="12"/>
      <c r="F920" s="70"/>
      <c r="G920" s="70"/>
      <c r="H920" s="12"/>
      <c r="I920" s="12"/>
    </row>
    <row r="921" spans="1:9" ht="12.75">
      <c r="A921" s="12"/>
      <c r="B921" s="12"/>
      <c r="C921" s="12"/>
      <c r="D921" s="12"/>
      <c r="E921" s="12"/>
      <c r="F921" s="70"/>
      <c r="G921" s="70"/>
      <c r="H921" s="12"/>
      <c r="I921" s="12"/>
    </row>
    <row r="922" spans="1:9" ht="12.75">
      <c r="A922" s="12"/>
      <c r="B922" s="12"/>
      <c r="C922" s="12"/>
      <c r="D922" s="12"/>
      <c r="E922" s="12"/>
      <c r="F922" s="70"/>
      <c r="G922" s="70"/>
      <c r="H922" s="12"/>
      <c r="I922" s="12"/>
    </row>
    <row r="923" spans="1:9" ht="12.75">
      <c r="A923" s="12"/>
      <c r="B923" s="12"/>
      <c r="C923" s="12"/>
      <c r="D923" s="12"/>
      <c r="E923" s="12"/>
      <c r="F923" s="70"/>
      <c r="G923" s="70"/>
      <c r="H923" s="12"/>
      <c r="I923" s="12"/>
    </row>
    <row r="924" spans="1:9" ht="12.75">
      <c r="A924" s="12"/>
      <c r="B924" s="12"/>
      <c r="C924" s="12"/>
      <c r="D924" s="12"/>
      <c r="E924" s="12"/>
      <c r="F924" s="70"/>
      <c r="G924" s="70"/>
      <c r="H924" s="12"/>
      <c r="I924" s="12"/>
    </row>
    <row r="925" spans="1:9" ht="12.75">
      <c r="A925" s="12"/>
      <c r="B925" s="12"/>
      <c r="C925" s="12"/>
      <c r="D925" s="12"/>
      <c r="E925" s="12"/>
      <c r="F925" s="70"/>
      <c r="G925" s="70"/>
      <c r="H925" s="12"/>
      <c r="I925" s="12"/>
    </row>
    <row r="926" spans="1:9" ht="12.75">
      <c r="A926" s="12"/>
      <c r="B926" s="12"/>
      <c r="C926" s="12"/>
      <c r="D926" s="12"/>
      <c r="E926" s="12"/>
      <c r="F926" s="70"/>
      <c r="G926" s="70"/>
      <c r="H926" s="12"/>
      <c r="I926" s="12"/>
    </row>
    <row r="927" spans="1:9" ht="12.75">
      <c r="A927" s="12"/>
      <c r="B927" s="12"/>
      <c r="C927" s="12"/>
      <c r="D927" s="12"/>
      <c r="E927" s="12"/>
      <c r="F927" s="70"/>
      <c r="G927" s="70"/>
      <c r="H927" s="12"/>
      <c r="I927" s="12"/>
    </row>
    <row r="928" spans="1:9" ht="12.75">
      <c r="A928" s="12"/>
      <c r="B928" s="12"/>
      <c r="C928" s="12"/>
      <c r="D928" s="12"/>
      <c r="E928" s="12"/>
      <c r="F928" s="70"/>
      <c r="G928" s="70"/>
      <c r="H928" s="12"/>
      <c r="I928" s="12"/>
    </row>
    <row r="929" spans="1:9" ht="12.75">
      <c r="A929" s="12"/>
      <c r="B929" s="12"/>
      <c r="C929" s="12"/>
      <c r="D929" s="12"/>
      <c r="E929" s="12"/>
      <c r="F929" s="70"/>
      <c r="G929" s="70"/>
      <c r="H929" s="12"/>
      <c r="I929" s="12"/>
    </row>
    <row r="930" spans="1:9" ht="12.75">
      <c r="A930" s="12"/>
      <c r="B930" s="12"/>
      <c r="C930" s="12"/>
      <c r="D930" s="12"/>
      <c r="E930" s="12"/>
      <c r="F930" s="70"/>
      <c r="G930" s="70"/>
      <c r="H930" s="12"/>
      <c r="I930" s="12"/>
    </row>
    <row r="931" spans="1:9" ht="12.75">
      <c r="A931" s="12"/>
      <c r="B931" s="12"/>
      <c r="C931" s="12"/>
      <c r="D931" s="12"/>
      <c r="E931" s="12"/>
      <c r="F931" s="70"/>
      <c r="G931" s="70"/>
      <c r="H931" s="12"/>
      <c r="I931" s="12"/>
    </row>
    <row r="932" spans="1:9" ht="12.75">
      <c r="A932" s="12"/>
      <c r="B932" s="12"/>
      <c r="C932" s="12"/>
      <c r="D932" s="12"/>
      <c r="E932" s="12"/>
      <c r="F932" s="70"/>
      <c r="G932" s="70"/>
      <c r="H932" s="12"/>
      <c r="I932" s="12"/>
    </row>
    <row r="933" spans="1:9" ht="12.75">
      <c r="A933" s="12"/>
      <c r="B933" s="12"/>
      <c r="C933" s="12"/>
      <c r="D933" s="12"/>
      <c r="E933" s="12"/>
      <c r="F933" s="70"/>
      <c r="G933" s="70"/>
      <c r="H933" s="12"/>
      <c r="I933" s="12"/>
    </row>
    <row r="934" spans="1:9" ht="12.75">
      <c r="A934" s="12"/>
      <c r="B934" s="12"/>
      <c r="C934" s="12"/>
      <c r="D934" s="12"/>
      <c r="E934" s="12"/>
      <c r="F934" s="70"/>
      <c r="G934" s="70"/>
      <c r="H934" s="12"/>
      <c r="I934" s="12"/>
    </row>
    <row r="935" spans="1:9" ht="12.75">
      <c r="A935" s="12"/>
      <c r="B935" s="12"/>
      <c r="C935" s="12"/>
      <c r="D935" s="12"/>
      <c r="E935" s="12"/>
      <c r="F935" s="70"/>
      <c r="G935" s="70"/>
      <c r="H935" s="12"/>
      <c r="I935" s="12"/>
    </row>
    <row r="936" spans="1:9" ht="12.75">
      <c r="A936" s="12"/>
      <c r="B936" s="12"/>
      <c r="C936" s="12"/>
      <c r="D936" s="12"/>
      <c r="E936" s="12"/>
      <c r="F936" s="70"/>
      <c r="G936" s="70"/>
      <c r="H936" s="12"/>
      <c r="I936" s="12"/>
    </row>
    <row r="937" spans="1:9" ht="12.75">
      <c r="A937" s="12"/>
      <c r="B937" s="12"/>
      <c r="C937" s="12"/>
      <c r="D937" s="12"/>
      <c r="E937" s="12"/>
      <c r="F937" s="70"/>
      <c r="G937" s="70"/>
      <c r="H937" s="12"/>
      <c r="I937" s="12"/>
    </row>
    <row r="938" spans="1:9" ht="12.75">
      <c r="A938" s="12"/>
      <c r="B938" s="12"/>
      <c r="C938" s="12"/>
      <c r="D938" s="12"/>
      <c r="E938" s="12"/>
      <c r="F938" s="70"/>
      <c r="G938" s="70"/>
      <c r="H938" s="12"/>
      <c r="I938" s="12"/>
    </row>
    <row r="939" spans="1:9" ht="12.75">
      <c r="A939" s="12"/>
      <c r="B939" s="12"/>
      <c r="C939" s="12"/>
      <c r="D939" s="12"/>
      <c r="E939" s="12"/>
      <c r="F939" s="70"/>
      <c r="G939" s="70"/>
      <c r="H939" s="12"/>
      <c r="I939" s="12"/>
    </row>
    <row r="940" spans="1:9" ht="12.75">
      <c r="A940" s="12"/>
      <c r="B940" s="12"/>
      <c r="C940" s="12"/>
      <c r="D940" s="12"/>
      <c r="E940" s="12"/>
      <c r="F940" s="70"/>
      <c r="G940" s="70"/>
      <c r="H940" s="12"/>
      <c r="I940" s="12"/>
    </row>
    <row r="941" spans="1:9" ht="12.75">
      <c r="A941" s="12"/>
      <c r="B941" s="12"/>
      <c r="C941" s="12"/>
      <c r="D941" s="12"/>
      <c r="E941" s="12"/>
      <c r="F941" s="70"/>
      <c r="G941" s="70"/>
      <c r="H941" s="12"/>
      <c r="I941" s="12"/>
    </row>
    <row r="942" spans="1:9" ht="12.75">
      <c r="A942" s="12"/>
      <c r="B942" s="12"/>
      <c r="C942" s="12"/>
      <c r="D942" s="12"/>
      <c r="E942" s="12"/>
      <c r="F942" s="70"/>
      <c r="G942" s="70"/>
      <c r="H942" s="12"/>
      <c r="I942" s="12"/>
    </row>
    <row r="943" spans="1:9" ht="12.75">
      <c r="A943" s="12"/>
      <c r="B943" s="12"/>
      <c r="C943" s="12"/>
      <c r="D943" s="12"/>
      <c r="E943" s="12"/>
      <c r="F943" s="70"/>
      <c r="G943" s="70"/>
      <c r="H943" s="12"/>
      <c r="I943" s="12"/>
    </row>
    <row r="944" spans="1:9" ht="12.75">
      <c r="A944" s="12"/>
      <c r="B944" s="12"/>
      <c r="C944" s="12"/>
      <c r="D944" s="12"/>
      <c r="E944" s="12"/>
      <c r="F944" s="70"/>
      <c r="G944" s="70"/>
      <c r="H944" s="12"/>
      <c r="I944" s="12"/>
    </row>
    <row r="945" spans="1:9" ht="12.75">
      <c r="A945" s="12"/>
      <c r="B945" s="12"/>
      <c r="C945" s="12"/>
      <c r="D945" s="12"/>
      <c r="E945" s="12"/>
      <c r="F945" s="70"/>
      <c r="G945" s="70"/>
      <c r="H945" s="12"/>
      <c r="I945" s="12"/>
    </row>
    <row r="946" spans="1:9" ht="12.75">
      <c r="A946" s="12"/>
      <c r="B946" s="12"/>
      <c r="C946" s="12"/>
      <c r="D946" s="12"/>
      <c r="E946" s="12"/>
      <c r="F946" s="70"/>
      <c r="G946" s="70"/>
      <c r="H946" s="12"/>
      <c r="I946" s="12"/>
    </row>
    <row r="947" spans="1:9" ht="12.75">
      <c r="A947" s="12"/>
      <c r="B947" s="12"/>
      <c r="C947" s="12"/>
      <c r="D947" s="12"/>
      <c r="E947" s="12"/>
      <c r="F947" s="70"/>
      <c r="G947" s="70"/>
      <c r="H947" s="12"/>
      <c r="I947" s="12"/>
    </row>
    <row r="948" spans="1:9" ht="12.75">
      <c r="A948" s="12"/>
      <c r="B948" s="12"/>
      <c r="C948" s="12"/>
      <c r="D948" s="12"/>
      <c r="E948" s="12"/>
      <c r="F948" s="70"/>
      <c r="G948" s="70"/>
      <c r="H948" s="12"/>
      <c r="I948" s="12"/>
    </row>
    <row r="949" spans="1:9" ht="12.75">
      <c r="A949" s="12"/>
      <c r="B949" s="12"/>
      <c r="C949" s="12"/>
      <c r="D949" s="12"/>
      <c r="E949" s="12"/>
      <c r="F949" s="70"/>
      <c r="G949" s="70"/>
      <c r="H949" s="12"/>
      <c r="I949" s="12"/>
    </row>
    <row r="950" spans="1:9" ht="12.75">
      <c r="A950" s="12"/>
      <c r="B950" s="12"/>
      <c r="C950" s="12"/>
      <c r="D950" s="12"/>
      <c r="E950" s="12"/>
      <c r="F950" s="70"/>
      <c r="G950" s="70"/>
      <c r="H950" s="12"/>
      <c r="I950" s="12"/>
    </row>
    <row r="951" spans="1:9" ht="12.75">
      <c r="A951" s="12"/>
      <c r="B951" s="12"/>
      <c r="C951" s="12"/>
      <c r="D951" s="12"/>
      <c r="E951" s="12"/>
      <c r="F951" s="70"/>
      <c r="G951" s="70"/>
      <c r="H951" s="12"/>
      <c r="I951" s="12"/>
    </row>
    <row r="952" spans="1:9" ht="12.75">
      <c r="A952" s="12"/>
      <c r="B952" s="12"/>
      <c r="C952" s="12"/>
      <c r="D952" s="12"/>
      <c r="E952" s="12"/>
      <c r="F952" s="70"/>
      <c r="G952" s="70"/>
      <c r="H952" s="12"/>
      <c r="I952" s="12"/>
    </row>
    <row r="953" spans="1:9" ht="12.75">
      <c r="A953" s="12"/>
      <c r="B953" s="12"/>
      <c r="C953" s="12"/>
      <c r="D953" s="12"/>
      <c r="E953" s="12"/>
      <c r="F953" s="70"/>
      <c r="G953" s="70"/>
      <c r="H953" s="12"/>
      <c r="I953" s="12"/>
    </row>
    <row r="954" spans="1:9" ht="12.75">
      <c r="A954" s="12"/>
      <c r="B954" s="12"/>
      <c r="C954" s="12"/>
      <c r="D954" s="12"/>
      <c r="E954" s="12"/>
      <c r="F954" s="70"/>
      <c r="G954" s="70"/>
      <c r="H954" s="12"/>
      <c r="I954" s="12"/>
    </row>
    <row r="955" spans="1:9" ht="12.75">
      <c r="A955" s="12"/>
      <c r="B955" s="12"/>
      <c r="C955" s="12"/>
      <c r="D955" s="12"/>
      <c r="E955" s="12"/>
      <c r="F955" s="70"/>
      <c r="G955" s="70"/>
      <c r="H955" s="12"/>
      <c r="I955" s="12"/>
    </row>
    <row r="956" spans="1:9" ht="12.75">
      <c r="A956" s="12"/>
      <c r="B956" s="12"/>
      <c r="C956" s="12"/>
      <c r="D956" s="12"/>
      <c r="E956" s="12"/>
      <c r="F956" s="70"/>
      <c r="G956" s="70"/>
      <c r="H956" s="12"/>
      <c r="I956" s="12"/>
    </row>
    <row r="957" spans="1:9" ht="12.75">
      <c r="A957" s="12"/>
      <c r="B957" s="12"/>
      <c r="C957" s="12"/>
      <c r="D957" s="12"/>
      <c r="E957" s="12"/>
      <c r="F957" s="70"/>
      <c r="G957" s="70"/>
      <c r="H957" s="12"/>
      <c r="I957" s="12"/>
    </row>
    <row r="958" spans="1:9" ht="12.75">
      <c r="A958" s="12"/>
      <c r="B958" s="12"/>
      <c r="C958" s="12"/>
      <c r="D958" s="12"/>
      <c r="E958" s="12"/>
      <c r="F958" s="70"/>
      <c r="G958" s="70"/>
      <c r="H958" s="12"/>
      <c r="I958" s="12"/>
    </row>
    <row r="959" spans="1:9" ht="12.75">
      <c r="A959" s="12"/>
      <c r="B959" s="12"/>
      <c r="C959" s="12"/>
      <c r="D959" s="12"/>
      <c r="E959" s="12"/>
      <c r="F959" s="70"/>
      <c r="G959" s="70"/>
      <c r="H959" s="12"/>
      <c r="I959" s="12"/>
    </row>
    <row r="960" spans="1:9" ht="12.75">
      <c r="A960" s="12"/>
      <c r="B960" s="12"/>
      <c r="C960" s="12"/>
      <c r="D960" s="12"/>
      <c r="E960" s="12"/>
      <c r="F960" s="70"/>
      <c r="G960" s="70"/>
      <c r="H960" s="12"/>
      <c r="I960" s="12"/>
    </row>
    <row r="961" spans="1:9" ht="12.75">
      <c r="A961" s="12"/>
      <c r="B961" s="12"/>
      <c r="C961" s="12"/>
      <c r="D961" s="12"/>
      <c r="E961" s="12"/>
      <c r="F961" s="70"/>
      <c r="G961" s="70"/>
      <c r="H961" s="12"/>
      <c r="I961" s="12"/>
    </row>
    <row r="962" spans="1:9" ht="12.75">
      <c r="A962" s="12"/>
      <c r="B962" s="12"/>
      <c r="C962" s="12"/>
      <c r="D962" s="12"/>
      <c r="E962" s="12"/>
      <c r="F962" s="70"/>
      <c r="G962" s="70"/>
      <c r="H962" s="12"/>
      <c r="I962" s="12"/>
    </row>
    <row r="963" spans="1:9" ht="12.75">
      <c r="A963" s="12"/>
      <c r="B963" s="12"/>
      <c r="C963" s="12"/>
      <c r="D963" s="12"/>
      <c r="E963" s="12"/>
      <c r="F963" s="70"/>
      <c r="G963" s="70"/>
      <c r="H963" s="12"/>
      <c r="I963" s="12"/>
    </row>
    <row r="964" spans="1:9" ht="12.75">
      <c r="A964" s="12"/>
      <c r="B964" s="12"/>
      <c r="C964" s="12"/>
      <c r="D964" s="12"/>
      <c r="E964" s="12"/>
      <c r="F964" s="70"/>
      <c r="G964" s="70"/>
      <c r="H964" s="12"/>
      <c r="I964" s="12"/>
    </row>
    <row r="965" spans="1:9" ht="12.75">
      <c r="A965" s="12"/>
      <c r="B965" s="12"/>
      <c r="C965" s="12"/>
      <c r="D965" s="12"/>
      <c r="E965" s="12"/>
      <c r="F965" s="70"/>
      <c r="G965" s="70"/>
      <c r="H965" s="12"/>
      <c r="I965" s="12"/>
    </row>
    <row r="966" spans="1:9" ht="12.75">
      <c r="A966" s="12"/>
      <c r="B966" s="12"/>
      <c r="C966" s="12"/>
      <c r="D966" s="12"/>
      <c r="E966" s="12"/>
      <c r="F966" s="70"/>
      <c r="G966" s="70"/>
      <c r="H966" s="12"/>
      <c r="I966" s="12"/>
    </row>
    <row r="967" spans="1:9" ht="12.75">
      <c r="A967" s="12"/>
      <c r="B967" s="12"/>
      <c r="C967" s="12"/>
      <c r="D967" s="12"/>
      <c r="E967" s="12"/>
      <c r="F967" s="70"/>
      <c r="G967" s="70"/>
      <c r="H967" s="12"/>
      <c r="I967" s="12"/>
    </row>
    <row r="968" spans="1:9" ht="12.75">
      <c r="A968" s="12"/>
      <c r="B968" s="12"/>
      <c r="C968" s="12"/>
      <c r="D968" s="12"/>
      <c r="E968" s="12"/>
      <c r="F968" s="70"/>
      <c r="G968" s="70"/>
      <c r="H968" s="12"/>
      <c r="I968" s="12"/>
    </row>
    <row r="969" spans="1:9" ht="12.75">
      <c r="A969" s="12"/>
      <c r="B969" s="12"/>
      <c r="C969" s="12"/>
      <c r="D969" s="12"/>
      <c r="E969" s="12"/>
      <c r="F969" s="70"/>
      <c r="G969" s="70"/>
      <c r="H969" s="12"/>
      <c r="I969" s="12"/>
    </row>
    <row r="970" spans="1:9" ht="12.75">
      <c r="A970" s="12"/>
      <c r="B970" s="12"/>
      <c r="C970" s="12"/>
      <c r="D970" s="12"/>
      <c r="E970" s="12"/>
      <c r="F970" s="70"/>
      <c r="G970" s="70"/>
      <c r="H970" s="12"/>
      <c r="I970" s="12"/>
    </row>
    <row r="971" spans="1:9" ht="12.75">
      <c r="A971" s="12"/>
      <c r="B971" s="12"/>
      <c r="C971" s="12"/>
      <c r="D971" s="12"/>
      <c r="E971" s="12"/>
      <c r="F971" s="70"/>
      <c r="G971" s="70"/>
      <c r="H971" s="12"/>
      <c r="I971" s="12"/>
    </row>
    <row r="972" spans="1:9" ht="12.75">
      <c r="A972" s="12"/>
      <c r="B972" s="12"/>
      <c r="C972" s="12"/>
      <c r="D972" s="12"/>
      <c r="E972" s="12"/>
      <c r="F972" s="70"/>
      <c r="G972" s="70"/>
      <c r="H972" s="12"/>
      <c r="I972" s="12"/>
    </row>
    <row r="973" spans="1:9" ht="12.75">
      <c r="A973" s="12"/>
      <c r="B973" s="12"/>
      <c r="C973" s="12"/>
      <c r="D973" s="12"/>
      <c r="E973" s="12"/>
      <c r="F973" s="70"/>
      <c r="G973" s="70"/>
      <c r="H973" s="12"/>
      <c r="I973" s="12"/>
    </row>
    <row r="974" spans="1:9" ht="12.75">
      <c r="A974" s="12"/>
      <c r="B974" s="12"/>
      <c r="C974" s="12"/>
      <c r="D974" s="12"/>
      <c r="E974" s="12"/>
      <c r="F974" s="70"/>
      <c r="G974" s="70"/>
      <c r="H974" s="12"/>
      <c r="I974" s="12"/>
    </row>
    <row r="975" spans="1:9" ht="12.75">
      <c r="A975" s="12"/>
      <c r="B975" s="12"/>
      <c r="C975" s="12"/>
      <c r="D975" s="12"/>
      <c r="E975" s="12"/>
      <c r="F975" s="70"/>
      <c r="G975" s="70"/>
      <c r="H975" s="12"/>
      <c r="I975" s="12"/>
    </row>
    <row r="976" spans="1:9" ht="12.75">
      <c r="A976" s="12"/>
      <c r="B976" s="12"/>
      <c r="C976" s="12"/>
      <c r="D976" s="12"/>
      <c r="E976" s="12"/>
      <c r="F976" s="70"/>
      <c r="G976" s="70"/>
      <c r="H976" s="12"/>
      <c r="I976" s="12"/>
    </row>
    <row r="977" spans="1:9" ht="12.75">
      <c r="A977" s="12"/>
      <c r="B977" s="12"/>
      <c r="C977" s="12"/>
      <c r="D977" s="12"/>
      <c r="E977" s="12"/>
      <c r="F977" s="70"/>
      <c r="G977" s="70"/>
      <c r="H977" s="12"/>
      <c r="I977" s="12"/>
    </row>
    <row r="978" spans="1:9" ht="12.75">
      <c r="A978" s="12"/>
      <c r="B978" s="12"/>
      <c r="C978" s="12"/>
      <c r="D978" s="12"/>
      <c r="E978" s="12"/>
      <c r="F978" s="70"/>
      <c r="G978" s="70"/>
      <c r="H978" s="12"/>
      <c r="I978" s="12"/>
    </row>
    <row r="979" spans="1:9" ht="12.75">
      <c r="A979" s="12"/>
      <c r="B979" s="12"/>
      <c r="C979" s="12"/>
      <c r="D979" s="12"/>
      <c r="E979" s="12"/>
      <c r="F979" s="70"/>
      <c r="G979" s="70"/>
      <c r="H979" s="12"/>
      <c r="I979" s="12"/>
    </row>
    <row r="980" spans="1:9" ht="12.75">
      <c r="A980" s="12"/>
      <c r="B980" s="12"/>
      <c r="C980" s="12"/>
      <c r="D980" s="12"/>
      <c r="E980" s="12"/>
      <c r="F980" s="70"/>
      <c r="G980" s="70"/>
      <c r="H980" s="12"/>
      <c r="I980" s="12"/>
    </row>
    <row r="981" spans="1:9" ht="12.75">
      <c r="A981" s="12"/>
      <c r="B981" s="12"/>
      <c r="C981" s="12"/>
      <c r="D981" s="12"/>
      <c r="E981" s="12"/>
      <c r="F981" s="70"/>
      <c r="G981" s="70"/>
      <c r="H981" s="12"/>
      <c r="I981" s="12"/>
    </row>
    <row r="982" spans="1:9" ht="12.75">
      <c r="A982" s="12"/>
      <c r="B982" s="12"/>
      <c r="C982" s="12"/>
      <c r="D982" s="12"/>
      <c r="E982" s="12"/>
      <c r="F982" s="70"/>
      <c r="G982" s="70"/>
      <c r="H982" s="12"/>
      <c r="I982" s="12"/>
    </row>
    <row r="983" spans="1:9" ht="12.75">
      <c r="A983" s="12"/>
      <c r="B983" s="12"/>
      <c r="C983" s="12"/>
      <c r="D983" s="12"/>
      <c r="E983" s="12"/>
      <c r="F983" s="70"/>
      <c r="G983" s="70"/>
      <c r="H983" s="12"/>
      <c r="I983" s="12"/>
    </row>
    <row r="984" spans="1:9" ht="12.75">
      <c r="A984" s="12"/>
      <c r="B984" s="12"/>
      <c r="C984" s="12"/>
      <c r="D984" s="12"/>
      <c r="E984" s="12"/>
      <c r="F984" s="70"/>
      <c r="G984" s="70"/>
      <c r="H984" s="12"/>
      <c r="I984" s="12"/>
    </row>
    <row r="985" spans="1:9" ht="12.75">
      <c r="A985" s="12"/>
      <c r="B985" s="12"/>
      <c r="C985" s="12"/>
      <c r="D985" s="12"/>
      <c r="E985" s="12"/>
      <c r="F985" s="70"/>
      <c r="G985" s="70"/>
      <c r="H985" s="12"/>
      <c r="I985" s="12"/>
    </row>
    <row r="986" spans="1:9" ht="12.75">
      <c r="A986" s="12"/>
      <c r="B986" s="12"/>
      <c r="C986" s="12"/>
      <c r="D986" s="12"/>
      <c r="E986" s="12"/>
      <c r="F986" s="70"/>
      <c r="G986" s="70"/>
      <c r="H986" s="12"/>
      <c r="I986" s="12"/>
    </row>
    <row r="987" spans="1:9" ht="12.75">
      <c r="A987" s="12"/>
      <c r="B987" s="12"/>
      <c r="C987" s="12"/>
      <c r="D987" s="12"/>
      <c r="E987" s="12"/>
      <c r="F987" s="70"/>
      <c r="G987" s="70"/>
      <c r="H987" s="12"/>
      <c r="I987" s="12"/>
    </row>
    <row r="988" spans="1:9" ht="12.75">
      <c r="A988" s="12"/>
      <c r="B988" s="12"/>
      <c r="C988" s="12"/>
      <c r="D988" s="12"/>
      <c r="E988" s="12"/>
      <c r="F988" s="70"/>
      <c r="G988" s="70"/>
      <c r="H988" s="12"/>
      <c r="I988" s="12"/>
    </row>
    <row r="989" spans="1:9" ht="12.75">
      <c r="A989" s="12"/>
      <c r="B989" s="12"/>
      <c r="C989" s="12"/>
      <c r="D989" s="12"/>
      <c r="E989" s="12"/>
      <c r="F989" s="70"/>
      <c r="G989" s="70"/>
      <c r="H989" s="12"/>
      <c r="I989" s="12"/>
    </row>
    <row r="990" spans="1:9" ht="12.75">
      <c r="A990" s="12"/>
      <c r="B990" s="12"/>
      <c r="C990" s="12"/>
      <c r="D990" s="12"/>
      <c r="E990" s="12"/>
      <c r="F990" s="70"/>
      <c r="G990" s="70"/>
      <c r="H990" s="12"/>
      <c r="I990" s="12"/>
    </row>
    <row r="991" spans="1:9" ht="12.75">
      <c r="A991" s="12"/>
      <c r="B991" s="12"/>
      <c r="C991" s="12"/>
      <c r="D991" s="12"/>
      <c r="E991" s="12"/>
      <c r="F991" s="70"/>
      <c r="G991" s="70"/>
      <c r="H991" s="12"/>
      <c r="I991" s="12"/>
    </row>
    <row r="992" spans="1:9" ht="12.75">
      <c r="A992" s="12"/>
      <c r="B992" s="12"/>
      <c r="C992" s="12"/>
      <c r="D992" s="12"/>
      <c r="E992" s="12"/>
      <c r="F992" s="70"/>
      <c r="G992" s="70"/>
      <c r="H992" s="12"/>
      <c r="I992" s="12"/>
    </row>
    <row r="993" spans="1:9" ht="12.75">
      <c r="A993" s="12"/>
      <c r="B993" s="12"/>
      <c r="C993" s="12"/>
      <c r="D993" s="12"/>
      <c r="E993" s="12"/>
      <c r="F993" s="70"/>
      <c r="G993" s="70"/>
      <c r="H993" s="12"/>
      <c r="I993" s="12"/>
    </row>
    <row r="994" spans="1:9" ht="12.75">
      <c r="A994" s="12"/>
      <c r="B994" s="12"/>
      <c r="C994" s="12"/>
      <c r="D994" s="12"/>
      <c r="E994" s="12"/>
      <c r="F994" s="70"/>
      <c r="G994" s="70"/>
      <c r="H994" s="12"/>
      <c r="I994" s="12"/>
    </row>
    <row r="995" spans="1:9" ht="12.75">
      <c r="A995" s="12"/>
      <c r="B995" s="12"/>
      <c r="C995" s="12"/>
      <c r="D995" s="12"/>
      <c r="E995" s="12"/>
      <c r="F995" s="70"/>
      <c r="G995" s="70"/>
      <c r="H995" s="12"/>
      <c r="I995" s="12"/>
    </row>
    <row r="996" spans="1:9" ht="12.75">
      <c r="A996" s="12"/>
      <c r="B996" s="12"/>
      <c r="C996" s="12"/>
      <c r="D996" s="12"/>
      <c r="E996" s="12"/>
      <c r="F996" s="70"/>
      <c r="G996" s="70"/>
      <c r="H996" s="12"/>
      <c r="I996" s="12"/>
    </row>
    <row r="997" spans="1:9" ht="12.75">
      <c r="A997" s="12"/>
      <c r="B997" s="12"/>
      <c r="C997" s="12"/>
      <c r="D997" s="12"/>
      <c r="E997" s="12"/>
      <c r="F997" s="70"/>
      <c r="G997" s="70"/>
      <c r="H997" s="12"/>
      <c r="I997" s="12"/>
    </row>
    <row r="998" spans="1:9" ht="12.75">
      <c r="A998" s="12"/>
      <c r="B998" s="12"/>
      <c r="C998" s="12"/>
      <c r="D998" s="12"/>
      <c r="E998" s="12"/>
      <c r="F998" s="70"/>
      <c r="G998" s="70"/>
      <c r="H998" s="12"/>
      <c r="I998" s="12"/>
    </row>
    <row r="999" spans="1:9" ht="12.75">
      <c r="A999" s="12"/>
      <c r="B999" s="12"/>
      <c r="C999" s="12"/>
      <c r="D999" s="12"/>
      <c r="E999" s="12"/>
      <c r="F999" s="70"/>
      <c r="G999" s="70"/>
      <c r="H999" s="12"/>
      <c r="I999" s="12"/>
    </row>
  </sheetData>
  <dataValidations count="2">
    <dataValidation type="custom" allowBlank="1" showDropDown="1" sqref="D2:D194" xr:uid="{00000000-0002-0000-0F00-000000000000}">
      <formula1>OR(TIMEVALUE(TEXT(D2, "hh:mm:ss"))=D2, AND(ISNUMBER(D2), LEFT(CELL("format", D2))="D"))</formula1>
    </dataValidation>
    <dataValidation type="custom" allowBlank="1" showDropDown="1" sqref="B2:B194" xr:uid="{00000000-0002-0000-0F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D54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5.42578125" customWidth="1"/>
    <col min="2" max="2" width="7.140625" customWidth="1"/>
    <col min="3" max="3" width="21" customWidth="1"/>
    <col min="5" max="5" width="8.42578125" customWidth="1"/>
    <col min="6" max="6" width="17" customWidth="1"/>
    <col min="7" max="7" width="17.42578125" customWidth="1"/>
    <col min="8" max="8" width="8.85546875" customWidth="1"/>
    <col min="10" max="10" width="7" customWidth="1"/>
    <col min="11" max="11" width="7.7109375" customWidth="1"/>
    <col min="17" max="17" width="14.85546875" customWidth="1"/>
    <col min="20" max="20" width="9.42578125" customWidth="1"/>
    <col min="22" max="22" width="6.7109375" customWidth="1"/>
  </cols>
  <sheetData>
    <row r="1" spans="1:30" ht="22.5" customHeight="1">
      <c r="A1" s="345" t="s">
        <v>7043</v>
      </c>
      <c r="B1" s="345" t="s">
        <v>7044</v>
      </c>
      <c r="C1" s="345" t="s">
        <v>947</v>
      </c>
      <c r="D1" s="345" t="s">
        <v>24</v>
      </c>
      <c r="E1" s="345" t="s">
        <v>948</v>
      </c>
      <c r="F1" s="345" t="s">
        <v>949</v>
      </c>
      <c r="G1" s="345" t="s">
        <v>950</v>
      </c>
      <c r="H1" s="345" t="s">
        <v>951</v>
      </c>
      <c r="I1" s="345" t="s">
        <v>952</v>
      </c>
      <c r="J1" s="345" t="s">
        <v>953</v>
      </c>
      <c r="K1" s="345" t="s">
        <v>954</v>
      </c>
      <c r="L1" s="345" t="s">
        <v>955</v>
      </c>
      <c r="M1" s="345" t="s">
        <v>956</v>
      </c>
      <c r="N1" s="345" t="s">
        <v>22</v>
      </c>
      <c r="O1" s="345" t="s">
        <v>23</v>
      </c>
      <c r="P1" s="345" t="s">
        <v>957</v>
      </c>
      <c r="Q1" s="345" t="s">
        <v>958</v>
      </c>
      <c r="R1" s="345" t="s">
        <v>959</v>
      </c>
      <c r="S1" s="345" t="s">
        <v>960</v>
      </c>
      <c r="T1" s="345" t="s">
        <v>961</v>
      </c>
      <c r="U1" s="345" t="s">
        <v>27</v>
      </c>
      <c r="V1" s="345" t="s">
        <v>962</v>
      </c>
      <c r="W1" s="345" t="s">
        <v>963</v>
      </c>
      <c r="X1" s="12"/>
      <c r="Y1" s="12"/>
      <c r="Z1" s="12"/>
      <c r="AA1" s="12"/>
      <c r="AB1" s="12"/>
      <c r="AC1" s="12"/>
      <c r="AD1" s="12"/>
    </row>
    <row r="2" spans="1:30" ht="22.5" customHeight="1">
      <c r="A2" s="191">
        <f t="shared" ref="A2:A25" si="0">YEAR(G2)</f>
        <v>2024</v>
      </c>
      <c r="B2" s="191">
        <f t="shared" ref="B2:B25" si="1">MONTH(G2)</f>
        <v>11</v>
      </c>
      <c r="C2" s="191" t="s">
        <v>7348</v>
      </c>
      <c r="D2" s="191" t="s">
        <v>965</v>
      </c>
      <c r="E2" s="191" t="s">
        <v>22</v>
      </c>
      <c r="F2" s="225">
        <v>45600.598611111112</v>
      </c>
      <c r="G2" s="225">
        <v>45600.599305555559</v>
      </c>
      <c r="H2" s="224">
        <v>0</v>
      </c>
      <c r="I2" s="191" t="s">
        <v>45</v>
      </c>
      <c r="J2" s="191"/>
      <c r="K2" s="191"/>
      <c r="L2" s="191" t="s">
        <v>988</v>
      </c>
      <c r="M2" s="192">
        <v>300</v>
      </c>
      <c r="N2" s="326">
        <f t="shared" ref="N2:N25" si="2">IF(E2="IN",M2,0)</f>
        <v>300</v>
      </c>
      <c r="O2" s="326">
        <f t="shared" ref="O2:O4" si="3">IF(E2="OUT",M2,0)</f>
        <v>0</v>
      </c>
      <c r="P2" s="191" t="s">
        <v>45</v>
      </c>
      <c r="Q2" s="191" t="s">
        <v>966</v>
      </c>
      <c r="R2" s="224">
        <v>300</v>
      </c>
      <c r="S2" s="191" t="s">
        <v>45</v>
      </c>
      <c r="T2" s="224">
        <v>1</v>
      </c>
      <c r="U2" s="191" t="s">
        <v>967</v>
      </c>
      <c r="V2" s="191"/>
      <c r="W2" s="191" t="s">
        <v>42</v>
      </c>
    </row>
    <row r="3" spans="1:30" ht="22.5" customHeight="1">
      <c r="A3" s="191">
        <f t="shared" si="0"/>
        <v>2024</v>
      </c>
      <c r="B3" s="191">
        <f t="shared" si="1"/>
        <v>11</v>
      </c>
      <c r="C3" s="191" t="s">
        <v>7349</v>
      </c>
      <c r="D3" s="191" t="s">
        <v>965</v>
      </c>
      <c r="E3" s="191" t="s">
        <v>23</v>
      </c>
      <c r="F3" s="225">
        <v>45600.702777777777</v>
      </c>
      <c r="G3" s="225">
        <v>45600.786111111112</v>
      </c>
      <c r="H3" s="224">
        <v>0</v>
      </c>
      <c r="I3" s="191" t="s">
        <v>45</v>
      </c>
      <c r="J3" s="191"/>
      <c r="K3" s="191"/>
      <c r="L3" s="191" t="s">
        <v>966</v>
      </c>
      <c r="M3" s="192">
        <v>300</v>
      </c>
      <c r="N3" s="326">
        <f t="shared" si="2"/>
        <v>0</v>
      </c>
      <c r="O3" s="326">
        <f t="shared" si="3"/>
        <v>300</v>
      </c>
      <c r="P3" s="191" t="s">
        <v>45</v>
      </c>
      <c r="Q3" s="191" t="s">
        <v>966</v>
      </c>
      <c r="R3" s="224">
        <v>300</v>
      </c>
      <c r="S3" s="191" t="s">
        <v>45</v>
      </c>
      <c r="T3" s="224">
        <v>1</v>
      </c>
      <c r="U3" s="191"/>
      <c r="V3" s="191"/>
      <c r="W3" s="191" t="s">
        <v>42</v>
      </c>
    </row>
    <row r="4" spans="1:30" ht="22.5" customHeight="1">
      <c r="A4" s="191">
        <f t="shared" si="0"/>
        <v>2024</v>
      </c>
      <c r="B4" s="191">
        <f t="shared" si="1"/>
        <v>11</v>
      </c>
      <c r="C4" s="191" t="s">
        <v>7350</v>
      </c>
      <c r="D4" s="191" t="s">
        <v>965</v>
      </c>
      <c r="E4" s="191" t="s">
        <v>22</v>
      </c>
      <c r="F4" s="225">
        <v>45601.78125</v>
      </c>
      <c r="G4" s="225">
        <v>45601.78125</v>
      </c>
      <c r="H4" s="191"/>
      <c r="I4" s="191"/>
      <c r="J4" s="191"/>
      <c r="K4" s="191"/>
      <c r="L4" s="191" t="s">
        <v>7351</v>
      </c>
      <c r="M4" s="192">
        <v>443.17</v>
      </c>
      <c r="N4" s="326">
        <f t="shared" si="2"/>
        <v>443.17</v>
      </c>
      <c r="O4" s="326">
        <f t="shared" si="3"/>
        <v>0</v>
      </c>
      <c r="P4" s="191" t="s">
        <v>45</v>
      </c>
      <c r="Q4" s="191" t="s">
        <v>966</v>
      </c>
      <c r="R4" s="224">
        <v>443.17</v>
      </c>
      <c r="S4" s="191" t="s">
        <v>45</v>
      </c>
      <c r="T4" s="224">
        <v>1</v>
      </c>
      <c r="U4" s="224">
        <v>750202</v>
      </c>
      <c r="V4" s="191"/>
      <c r="W4" s="191"/>
    </row>
    <row r="5" spans="1:30" ht="22.5" customHeight="1">
      <c r="A5" s="191">
        <f t="shared" si="0"/>
        <v>2024</v>
      </c>
      <c r="B5" s="191">
        <f t="shared" si="1"/>
        <v>11</v>
      </c>
      <c r="C5" s="191" t="s">
        <v>7352</v>
      </c>
      <c r="D5" s="191" t="s">
        <v>965</v>
      </c>
      <c r="E5" s="191" t="s">
        <v>23</v>
      </c>
      <c r="F5" s="225">
        <v>45601.783333333333</v>
      </c>
      <c r="G5" s="225">
        <v>45601.87777777778</v>
      </c>
      <c r="H5" s="224">
        <v>1.1299999999999999</v>
      </c>
      <c r="I5" s="191" t="s">
        <v>45</v>
      </c>
      <c r="J5" s="191"/>
      <c r="K5" s="191"/>
      <c r="L5" s="191" t="s">
        <v>966</v>
      </c>
      <c r="M5" s="192">
        <v>441.87</v>
      </c>
      <c r="N5" s="326">
        <f t="shared" si="2"/>
        <v>0</v>
      </c>
      <c r="O5" s="326">
        <f t="shared" ref="O5:O25" si="4">IF(E5="OUT",M5+H5,0)</f>
        <v>443</v>
      </c>
      <c r="P5" s="191" t="s">
        <v>45</v>
      </c>
      <c r="Q5" s="191" t="s">
        <v>966</v>
      </c>
      <c r="R5" s="224">
        <v>441.87</v>
      </c>
      <c r="S5" s="191" t="s">
        <v>45</v>
      </c>
      <c r="T5" s="224">
        <v>1</v>
      </c>
      <c r="U5" s="191" t="s">
        <v>7353</v>
      </c>
      <c r="V5" s="191"/>
      <c r="W5" s="191" t="s">
        <v>42</v>
      </c>
    </row>
    <row r="6" spans="1:30" ht="22.5" customHeight="1">
      <c r="A6" s="191">
        <f t="shared" si="0"/>
        <v>2024</v>
      </c>
      <c r="B6" s="191">
        <f t="shared" si="1"/>
        <v>12</v>
      </c>
      <c r="C6" s="191" t="s">
        <v>7354</v>
      </c>
      <c r="D6" s="191" t="s">
        <v>965</v>
      </c>
      <c r="E6" s="191" t="s">
        <v>22</v>
      </c>
      <c r="F6" s="225">
        <v>45628.149305555555</v>
      </c>
      <c r="G6" s="225">
        <v>45628.149305555555</v>
      </c>
      <c r="H6" s="224"/>
      <c r="I6" s="191"/>
      <c r="J6" s="191"/>
      <c r="K6" s="191"/>
      <c r="L6" s="191" t="s">
        <v>42</v>
      </c>
      <c r="M6" s="192">
        <v>20</v>
      </c>
      <c r="N6" s="326">
        <f t="shared" si="2"/>
        <v>20</v>
      </c>
      <c r="O6" s="326">
        <f t="shared" si="4"/>
        <v>0</v>
      </c>
      <c r="P6" s="191" t="s">
        <v>45</v>
      </c>
      <c r="Q6" s="191" t="s">
        <v>966</v>
      </c>
      <c r="R6" s="224">
        <v>20</v>
      </c>
      <c r="S6" s="191" t="s">
        <v>45</v>
      </c>
      <c r="T6" s="224">
        <v>1</v>
      </c>
      <c r="U6" s="191"/>
      <c r="V6" s="191"/>
      <c r="W6" s="191"/>
    </row>
    <row r="7" spans="1:30" ht="22.5" customHeight="1">
      <c r="A7" s="191">
        <f t="shared" si="0"/>
        <v>2024</v>
      </c>
      <c r="B7" s="191">
        <f t="shared" si="1"/>
        <v>12</v>
      </c>
      <c r="C7" s="191" t="s">
        <v>7355</v>
      </c>
      <c r="D7" s="191" t="s">
        <v>965</v>
      </c>
      <c r="E7" s="191" t="s">
        <v>22</v>
      </c>
      <c r="F7" s="225">
        <v>45635.208333333336</v>
      </c>
      <c r="G7" s="225">
        <v>45635.209027777775</v>
      </c>
      <c r="H7" s="224">
        <v>0</v>
      </c>
      <c r="I7" s="191" t="s">
        <v>45</v>
      </c>
      <c r="J7" s="191"/>
      <c r="K7" s="191"/>
      <c r="L7" s="191" t="s">
        <v>988</v>
      </c>
      <c r="M7" s="192">
        <v>500</v>
      </c>
      <c r="N7" s="326">
        <f t="shared" si="2"/>
        <v>500</v>
      </c>
      <c r="O7" s="326">
        <f t="shared" si="4"/>
        <v>0</v>
      </c>
      <c r="P7" s="191" t="s">
        <v>45</v>
      </c>
      <c r="Q7" s="191" t="s">
        <v>966</v>
      </c>
      <c r="R7" s="224">
        <v>500</v>
      </c>
      <c r="S7" s="191" t="s">
        <v>45</v>
      </c>
      <c r="T7" s="224">
        <v>1</v>
      </c>
      <c r="U7" s="191" t="s">
        <v>967</v>
      </c>
      <c r="V7" s="191"/>
      <c r="W7" s="191" t="s">
        <v>42</v>
      </c>
    </row>
    <row r="8" spans="1:30" ht="22.5" customHeight="1">
      <c r="A8" s="191">
        <f t="shared" si="0"/>
        <v>2024</v>
      </c>
      <c r="B8" s="191">
        <f t="shared" si="1"/>
        <v>12</v>
      </c>
      <c r="C8" s="191" t="s">
        <v>7356</v>
      </c>
      <c r="D8" s="191" t="s">
        <v>965</v>
      </c>
      <c r="E8" s="191" t="s">
        <v>23</v>
      </c>
      <c r="F8" s="225">
        <v>45635.212500000001</v>
      </c>
      <c r="G8" s="225">
        <v>45635.213194444441</v>
      </c>
      <c r="H8" s="224">
        <v>0</v>
      </c>
      <c r="I8" s="191" t="s">
        <v>45</v>
      </c>
      <c r="J8" s="191"/>
      <c r="K8" s="191"/>
      <c r="L8" s="191" t="s">
        <v>966</v>
      </c>
      <c r="M8" s="192">
        <v>206.49</v>
      </c>
      <c r="N8" s="326">
        <f t="shared" si="2"/>
        <v>0</v>
      </c>
      <c r="O8" s="326">
        <f t="shared" si="4"/>
        <v>206.49</v>
      </c>
      <c r="P8" s="191" t="s">
        <v>45</v>
      </c>
      <c r="Q8" s="191" t="s">
        <v>7357</v>
      </c>
      <c r="R8" s="224">
        <v>206.49</v>
      </c>
      <c r="S8" s="191" t="s">
        <v>45</v>
      </c>
      <c r="T8" s="224">
        <v>1</v>
      </c>
      <c r="U8" s="191">
        <v>379560</v>
      </c>
      <c r="V8" s="191"/>
      <c r="W8" s="191" t="s">
        <v>42</v>
      </c>
    </row>
    <row r="9" spans="1:30" ht="22.5" customHeight="1">
      <c r="A9" s="191">
        <f t="shared" si="0"/>
        <v>2024</v>
      </c>
      <c r="B9" s="191">
        <f t="shared" si="1"/>
        <v>12</v>
      </c>
      <c r="C9" s="191" t="s">
        <v>7358</v>
      </c>
      <c r="D9" s="191" t="s">
        <v>965</v>
      </c>
      <c r="E9" s="191" t="s">
        <v>22</v>
      </c>
      <c r="F9" s="225">
        <v>45635.6</v>
      </c>
      <c r="G9" s="225">
        <v>45635.709722222222</v>
      </c>
      <c r="H9" s="224">
        <v>0</v>
      </c>
      <c r="I9" s="191" t="s">
        <v>45</v>
      </c>
      <c r="J9" s="191"/>
      <c r="K9" s="191"/>
      <c r="L9" s="191" t="s">
        <v>66</v>
      </c>
      <c r="M9" s="192">
        <v>167.01</v>
      </c>
      <c r="N9" s="326">
        <f t="shared" si="2"/>
        <v>167.01</v>
      </c>
      <c r="O9" s="326">
        <f t="shared" si="4"/>
        <v>0</v>
      </c>
      <c r="P9" s="191" t="s">
        <v>45</v>
      </c>
      <c r="Q9" s="191" t="s">
        <v>966</v>
      </c>
      <c r="R9" s="224">
        <v>167.01</v>
      </c>
      <c r="S9" s="191" t="s">
        <v>45</v>
      </c>
      <c r="T9" s="224">
        <v>1</v>
      </c>
      <c r="U9" s="191" t="s">
        <v>967</v>
      </c>
      <c r="V9" s="191"/>
      <c r="W9" s="191" t="s">
        <v>42</v>
      </c>
    </row>
    <row r="10" spans="1:30" ht="22.5" customHeight="1">
      <c r="A10" s="191">
        <f t="shared" si="0"/>
        <v>2024</v>
      </c>
      <c r="B10" s="191">
        <f t="shared" si="1"/>
        <v>12</v>
      </c>
      <c r="C10" s="191" t="s">
        <v>7359</v>
      </c>
      <c r="D10" s="191" t="s">
        <v>965</v>
      </c>
      <c r="E10" s="191" t="s">
        <v>22</v>
      </c>
      <c r="F10" s="225">
        <v>45636.209027777775</v>
      </c>
      <c r="G10" s="225">
        <v>45636.209722222222</v>
      </c>
      <c r="H10" s="224">
        <v>0</v>
      </c>
      <c r="I10" s="191" t="s">
        <v>45</v>
      </c>
      <c r="J10" s="191"/>
      <c r="K10" s="191"/>
      <c r="L10" s="191" t="s">
        <v>66</v>
      </c>
      <c r="M10" s="192">
        <v>82.79</v>
      </c>
      <c r="N10" s="326">
        <f t="shared" si="2"/>
        <v>82.79</v>
      </c>
      <c r="O10" s="326">
        <f t="shared" si="4"/>
        <v>0</v>
      </c>
      <c r="P10" s="191" t="s">
        <v>45</v>
      </c>
      <c r="Q10" s="191" t="s">
        <v>966</v>
      </c>
      <c r="R10" s="224">
        <v>82.79</v>
      </c>
      <c r="S10" s="191" t="s">
        <v>45</v>
      </c>
      <c r="T10" s="224">
        <v>1</v>
      </c>
      <c r="U10" s="191" t="s">
        <v>967</v>
      </c>
      <c r="V10" s="191"/>
      <c r="W10" s="191" t="s">
        <v>42</v>
      </c>
    </row>
    <row r="11" spans="1:30" ht="22.5" customHeight="1">
      <c r="A11" s="191">
        <f t="shared" si="0"/>
        <v>2024</v>
      </c>
      <c r="B11" s="191">
        <f t="shared" si="1"/>
        <v>12</v>
      </c>
      <c r="C11" s="191" t="s">
        <v>7360</v>
      </c>
      <c r="D11" s="191" t="s">
        <v>965</v>
      </c>
      <c r="E11" s="191" t="s">
        <v>22</v>
      </c>
      <c r="F11" s="225">
        <v>45637.208333333336</v>
      </c>
      <c r="G11" s="225">
        <v>45637.208333333336</v>
      </c>
      <c r="H11" s="224">
        <v>0</v>
      </c>
      <c r="I11" s="191" t="s">
        <v>45</v>
      </c>
      <c r="J11" s="191"/>
      <c r="K11" s="191"/>
      <c r="L11" s="191" t="s">
        <v>66</v>
      </c>
      <c r="M11" s="192">
        <v>149.22</v>
      </c>
      <c r="N11" s="326">
        <f t="shared" si="2"/>
        <v>149.22</v>
      </c>
      <c r="O11" s="326">
        <f t="shared" si="4"/>
        <v>0</v>
      </c>
      <c r="P11" s="191" t="s">
        <v>45</v>
      </c>
      <c r="Q11" s="191" t="s">
        <v>966</v>
      </c>
      <c r="R11" s="224">
        <v>149.22</v>
      </c>
      <c r="S11" s="191" t="s">
        <v>45</v>
      </c>
      <c r="T11" s="224">
        <v>1</v>
      </c>
      <c r="U11" s="191" t="s">
        <v>967</v>
      </c>
      <c r="V11" s="191"/>
      <c r="W11" s="191" t="s">
        <v>42</v>
      </c>
    </row>
    <row r="12" spans="1:30" ht="22.5" customHeight="1">
      <c r="A12" s="191">
        <f t="shared" si="0"/>
        <v>2024</v>
      </c>
      <c r="B12" s="191">
        <f t="shared" si="1"/>
        <v>12</v>
      </c>
      <c r="C12" s="191" t="s">
        <v>7361</v>
      </c>
      <c r="D12" s="191" t="s">
        <v>965</v>
      </c>
      <c r="E12" s="191" t="s">
        <v>22</v>
      </c>
      <c r="F12" s="225">
        <v>45638.208333333336</v>
      </c>
      <c r="G12" s="225">
        <v>45638.208333333336</v>
      </c>
      <c r="H12" s="224">
        <v>0</v>
      </c>
      <c r="I12" s="191" t="s">
        <v>45</v>
      </c>
      <c r="J12" s="191"/>
      <c r="K12" s="191"/>
      <c r="L12" s="191" t="s">
        <v>66</v>
      </c>
      <c r="M12" s="192">
        <v>60.79</v>
      </c>
      <c r="N12" s="326">
        <f t="shared" si="2"/>
        <v>60.79</v>
      </c>
      <c r="O12" s="326">
        <f t="shared" si="4"/>
        <v>0</v>
      </c>
      <c r="P12" s="191" t="s">
        <v>45</v>
      </c>
      <c r="Q12" s="191" t="s">
        <v>966</v>
      </c>
      <c r="R12" s="224">
        <v>60.79</v>
      </c>
      <c r="S12" s="191" t="s">
        <v>45</v>
      </c>
      <c r="T12" s="224">
        <v>1</v>
      </c>
      <c r="U12" s="191" t="s">
        <v>967</v>
      </c>
      <c r="V12" s="191"/>
      <c r="W12" s="191" t="s">
        <v>42</v>
      </c>
    </row>
    <row r="13" spans="1:30" ht="22.5" customHeight="1">
      <c r="A13" s="191">
        <f t="shared" si="0"/>
        <v>2024</v>
      </c>
      <c r="B13" s="191">
        <f t="shared" si="1"/>
        <v>12</v>
      </c>
      <c r="C13" s="191" t="s">
        <v>7362</v>
      </c>
      <c r="D13" s="191" t="s">
        <v>965</v>
      </c>
      <c r="E13" s="191" t="s">
        <v>22</v>
      </c>
      <c r="F13" s="225">
        <v>45639.208333333336</v>
      </c>
      <c r="G13" s="225">
        <v>45639.209027777775</v>
      </c>
      <c r="H13" s="224">
        <v>0</v>
      </c>
      <c r="I13" s="191" t="s">
        <v>45</v>
      </c>
      <c r="J13" s="191"/>
      <c r="K13" s="191"/>
      <c r="L13" s="191" t="s">
        <v>66</v>
      </c>
      <c r="M13" s="192">
        <v>89.98</v>
      </c>
      <c r="N13" s="326">
        <f t="shared" si="2"/>
        <v>89.98</v>
      </c>
      <c r="O13" s="326">
        <f t="shared" si="4"/>
        <v>0</v>
      </c>
      <c r="P13" s="191" t="s">
        <v>45</v>
      </c>
      <c r="Q13" s="191" t="s">
        <v>966</v>
      </c>
      <c r="R13" s="224">
        <v>89.98</v>
      </c>
      <c r="S13" s="191" t="s">
        <v>45</v>
      </c>
      <c r="T13" s="224">
        <v>1</v>
      </c>
      <c r="U13" s="191" t="s">
        <v>967</v>
      </c>
      <c r="V13" s="191"/>
      <c r="W13" s="191" t="s">
        <v>42</v>
      </c>
    </row>
    <row r="14" spans="1:30" ht="22.5" customHeight="1">
      <c r="A14" s="191">
        <f t="shared" si="0"/>
        <v>2024</v>
      </c>
      <c r="B14" s="191">
        <f t="shared" si="1"/>
        <v>12</v>
      </c>
      <c r="C14" s="191" t="s">
        <v>7363</v>
      </c>
      <c r="D14" s="191" t="s">
        <v>965</v>
      </c>
      <c r="E14" s="191" t="s">
        <v>22</v>
      </c>
      <c r="F14" s="225">
        <v>45642.600694444445</v>
      </c>
      <c r="G14" s="225">
        <v>45642.600694444445</v>
      </c>
      <c r="H14" s="224">
        <v>0</v>
      </c>
      <c r="I14" s="191" t="s">
        <v>45</v>
      </c>
      <c r="J14" s="191"/>
      <c r="K14" s="191"/>
      <c r="L14" s="191" t="s">
        <v>66</v>
      </c>
      <c r="M14" s="192">
        <v>129.18</v>
      </c>
      <c r="N14" s="326">
        <f t="shared" si="2"/>
        <v>129.18</v>
      </c>
      <c r="O14" s="326">
        <f t="shared" si="4"/>
        <v>0</v>
      </c>
      <c r="P14" s="191" t="s">
        <v>45</v>
      </c>
      <c r="Q14" s="191" t="s">
        <v>966</v>
      </c>
      <c r="R14" s="224">
        <v>129.18</v>
      </c>
      <c r="S14" s="191" t="s">
        <v>45</v>
      </c>
      <c r="T14" s="224">
        <v>1</v>
      </c>
      <c r="U14" s="191" t="s">
        <v>967</v>
      </c>
      <c r="V14" s="191"/>
      <c r="W14" s="191" t="s">
        <v>42</v>
      </c>
    </row>
    <row r="15" spans="1:30" ht="22.5" customHeight="1">
      <c r="A15" s="191">
        <f t="shared" si="0"/>
        <v>2024</v>
      </c>
      <c r="B15" s="191">
        <f t="shared" si="1"/>
        <v>12</v>
      </c>
      <c r="C15" s="191" t="s">
        <v>7364</v>
      </c>
      <c r="D15" s="191" t="s">
        <v>965</v>
      </c>
      <c r="E15" s="191" t="s">
        <v>22</v>
      </c>
      <c r="F15" s="225">
        <v>45643.208333333336</v>
      </c>
      <c r="G15" s="225">
        <v>45643.209027777775</v>
      </c>
      <c r="H15" s="224">
        <v>0</v>
      </c>
      <c r="I15" s="191" t="s">
        <v>45</v>
      </c>
      <c r="J15" s="191"/>
      <c r="K15" s="191"/>
      <c r="L15" s="191" t="s">
        <v>66</v>
      </c>
      <c r="M15" s="192">
        <v>25.88</v>
      </c>
      <c r="N15" s="326">
        <f t="shared" si="2"/>
        <v>25.88</v>
      </c>
      <c r="O15" s="326">
        <f t="shared" si="4"/>
        <v>0</v>
      </c>
      <c r="P15" s="191" t="s">
        <v>45</v>
      </c>
      <c r="Q15" s="191" t="s">
        <v>966</v>
      </c>
      <c r="R15" s="224">
        <v>25.88</v>
      </c>
      <c r="S15" s="191" t="s">
        <v>45</v>
      </c>
      <c r="T15" s="224">
        <v>1</v>
      </c>
      <c r="U15" s="191" t="s">
        <v>967</v>
      </c>
      <c r="V15" s="191"/>
      <c r="W15" s="191" t="s">
        <v>42</v>
      </c>
    </row>
    <row r="16" spans="1:30" ht="22.5" customHeight="1">
      <c r="A16" s="191">
        <f t="shared" si="0"/>
        <v>2024</v>
      </c>
      <c r="B16" s="191">
        <f t="shared" si="1"/>
        <v>12</v>
      </c>
      <c r="C16" s="191" t="s">
        <v>7365</v>
      </c>
      <c r="D16" s="191" t="s">
        <v>965</v>
      </c>
      <c r="E16" s="191" t="s">
        <v>22</v>
      </c>
      <c r="F16" s="225">
        <v>45644.208333333336</v>
      </c>
      <c r="G16" s="225">
        <v>45644.208333333336</v>
      </c>
      <c r="H16" s="224">
        <v>0</v>
      </c>
      <c r="I16" s="191" t="s">
        <v>45</v>
      </c>
      <c r="J16" s="191"/>
      <c r="K16" s="191"/>
      <c r="L16" s="191" t="s">
        <v>66</v>
      </c>
      <c r="M16" s="192">
        <v>79.72</v>
      </c>
      <c r="N16" s="326">
        <f t="shared" si="2"/>
        <v>79.72</v>
      </c>
      <c r="O16" s="326">
        <f t="shared" si="4"/>
        <v>0</v>
      </c>
      <c r="P16" s="191" t="s">
        <v>45</v>
      </c>
      <c r="Q16" s="191" t="s">
        <v>966</v>
      </c>
      <c r="R16" s="224">
        <v>79.72</v>
      </c>
      <c r="S16" s="191" t="s">
        <v>45</v>
      </c>
      <c r="T16" s="224">
        <v>1</v>
      </c>
      <c r="U16" s="191" t="s">
        <v>967</v>
      </c>
      <c r="V16" s="191"/>
      <c r="W16" s="191" t="s">
        <v>42</v>
      </c>
    </row>
    <row r="17" spans="1:23" ht="22.5" customHeight="1">
      <c r="A17" s="191">
        <f t="shared" si="0"/>
        <v>2024</v>
      </c>
      <c r="B17" s="191">
        <f t="shared" si="1"/>
        <v>12</v>
      </c>
      <c r="C17" s="191" t="s">
        <v>7366</v>
      </c>
      <c r="D17" s="191" t="s">
        <v>965</v>
      </c>
      <c r="E17" s="191" t="s">
        <v>22</v>
      </c>
      <c r="F17" s="225">
        <v>45645.208333333336</v>
      </c>
      <c r="G17" s="225">
        <v>45645.209027777775</v>
      </c>
      <c r="H17" s="224">
        <v>0</v>
      </c>
      <c r="I17" s="191" t="s">
        <v>45</v>
      </c>
      <c r="J17" s="191"/>
      <c r="K17" s="191"/>
      <c r="L17" s="191" t="s">
        <v>66</v>
      </c>
      <c r="M17" s="192">
        <v>17.190000000000001</v>
      </c>
      <c r="N17" s="326">
        <f t="shared" si="2"/>
        <v>17.190000000000001</v>
      </c>
      <c r="O17" s="326">
        <f t="shared" si="4"/>
        <v>0</v>
      </c>
      <c r="P17" s="191" t="s">
        <v>45</v>
      </c>
      <c r="Q17" s="191" t="s">
        <v>966</v>
      </c>
      <c r="R17" s="224">
        <v>17.190000000000001</v>
      </c>
      <c r="S17" s="191" t="s">
        <v>45</v>
      </c>
      <c r="T17" s="224">
        <v>1</v>
      </c>
      <c r="U17" s="191" t="s">
        <v>967</v>
      </c>
      <c r="V17" s="191"/>
      <c r="W17" s="191" t="s">
        <v>42</v>
      </c>
    </row>
    <row r="18" spans="1:23" ht="22.5" customHeight="1">
      <c r="A18" s="191">
        <f t="shared" si="0"/>
        <v>2024</v>
      </c>
      <c r="B18" s="191">
        <f t="shared" si="1"/>
        <v>12</v>
      </c>
      <c r="C18" s="191" t="s">
        <v>7367</v>
      </c>
      <c r="D18" s="191" t="s">
        <v>965</v>
      </c>
      <c r="E18" s="191" t="s">
        <v>22</v>
      </c>
      <c r="F18" s="225">
        <v>45646.209027777775</v>
      </c>
      <c r="G18" s="225">
        <v>45646.209027777775</v>
      </c>
      <c r="H18" s="224">
        <v>0</v>
      </c>
      <c r="I18" s="191" t="s">
        <v>45</v>
      </c>
      <c r="J18" s="191"/>
      <c r="K18" s="191"/>
      <c r="L18" s="191" t="s">
        <v>66</v>
      </c>
      <c r="M18" s="192">
        <v>34.68</v>
      </c>
      <c r="N18" s="326">
        <f t="shared" si="2"/>
        <v>34.68</v>
      </c>
      <c r="O18" s="326">
        <f t="shared" si="4"/>
        <v>0</v>
      </c>
      <c r="P18" s="191" t="s">
        <v>45</v>
      </c>
      <c r="Q18" s="191" t="s">
        <v>966</v>
      </c>
      <c r="R18" s="224">
        <v>34.68</v>
      </c>
      <c r="S18" s="191" t="s">
        <v>45</v>
      </c>
      <c r="T18" s="224">
        <v>1</v>
      </c>
      <c r="U18" s="191" t="s">
        <v>967</v>
      </c>
      <c r="V18" s="191"/>
      <c r="W18" s="191" t="s">
        <v>42</v>
      </c>
    </row>
    <row r="19" spans="1:23" ht="22.5" customHeight="1">
      <c r="A19" s="191">
        <f t="shared" si="0"/>
        <v>2024</v>
      </c>
      <c r="B19" s="191">
        <f t="shared" si="1"/>
        <v>12</v>
      </c>
      <c r="C19" s="191" t="s">
        <v>7368</v>
      </c>
      <c r="D19" s="191" t="s">
        <v>965</v>
      </c>
      <c r="E19" s="191" t="s">
        <v>22</v>
      </c>
      <c r="F19" s="225">
        <v>45649.723611111112</v>
      </c>
      <c r="G19" s="225">
        <v>45649.723611111112</v>
      </c>
      <c r="H19" s="224">
        <v>0</v>
      </c>
      <c r="I19" s="191" t="s">
        <v>45</v>
      </c>
      <c r="J19" s="191"/>
      <c r="K19" s="191"/>
      <c r="L19" s="191" t="s">
        <v>66</v>
      </c>
      <c r="M19" s="192">
        <v>3.26</v>
      </c>
      <c r="N19" s="326">
        <f t="shared" si="2"/>
        <v>3.26</v>
      </c>
      <c r="O19" s="326">
        <f t="shared" si="4"/>
        <v>0</v>
      </c>
      <c r="P19" s="191" t="s">
        <v>45</v>
      </c>
      <c r="Q19" s="191" t="s">
        <v>966</v>
      </c>
      <c r="R19" s="224">
        <v>3.26</v>
      </c>
      <c r="S19" s="191" t="s">
        <v>45</v>
      </c>
      <c r="T19" s="224">
        <v>1</v>
      </c>
      <c r="U19" s="191" t="s">
        <v>967</v>
      </c>
      <c r="V19" s="191"/>
      <c r="W19" s="191" t="s">
        <v>42</v>
      </c>
    </row>
    <row r="20" spans="1:23" ht="22.5" customHeight="1">
      <c r="A20" s="191">
        <f t="shared" si="0"/>
        <v>2024</v>
      </c>
      <c r="B20" s="191">
        <f t="shared" si="1"/>
        <v>12</v>
      </c>
      <c r="C20" s="191" t="s">
        <v>7369</v>
      </c>
      <c r="D20" s="191" t="s">
        <v>965</v>
      </c>
      <c r="E20" s="191" t="s">
        <v>23</v>
      </c>
      <c r="F20" s="225">
        <v>45650.176388888889</v>
      </c>
      <c r="G20" s="225">
        <v>45650.176388888889</v>
      </c>
      <c r="H20" s="224">
        <v>0</v>
      </c>
      <c r="I20" s="191" t="s">
        <v>45</v>
      </c>
      <c r="J20" s="191"/>
      <c r="K20" s="191"/>
      <c r="L20" s="191" t="s">
        <v>966</v>
      </c>
      <c r="M20" s="192">
        <v>246.62</v>
      </c>
      <c r="N20" s="326">
        <f t="shared" si="2"/>
        <v>0</v>
      </c>
      <c r="O20" s="326">
        <f t="shared" si="4"/>
        <v>246.62</v>
      </c>
      <c r="P20" s="191" t="s">
        <v>45</v>
      </c>
      <c r="Q20" s="191" t="s">
        <v>982</v>
      </c>
      <c r="R20" s="224">
        <v>246.62</v>
      </c>
      <c r="S20" s="191" t="s">
        <v>45</v>
      </c>
      <c r="T20" s="224">
        <v>1</v>
      </c>
      <c r="U20" s="191" t="s">
        <v>7370</v>
      </c>
      <c r="V20" s="191"/>
      <c r="W20" s="191" t="s">
        <v>42</v>
      </c>
    </row>
    <row r="21" spans="1:23" ht="22.5" customHeight="1">
      <c r="A21" s="191">
        <f t="shared" si="0"/>
        <v>2024</v>
      </c>
      <c r="B21" s="191">
        <f t="shared" si="1"/>
        <v>12</v>
      </c>
      <c r="C21" s="191" t="s">
        <v>7371</v>
      </c>
      <c r="D21" s="191" t="s">
        <v>965</v>
      </c>
      <c r="E21" s="191" t="s">
        <v>22</v>
      </c>
      <c r="F21" s="225">
        <v>45650.209027777775</v>
      </c>
      <c r="G21" s="225">
        <v>45650.209027777775</v>
      </c>
      <c r="H21" s="224">
        <v>0</v>
      </c>
      <c r="I21" s="191" t="s">
        <v>45</v>
      </c>
      <c r="J21" s="191"/>
      <c r="K21" s="191"/>
      <c r="L21" s="191" t="s">
        <v>66</v>
      </c>
      <c r="M21" s="192">
        <v>34</v>
      </c>
      <c r="N21" s="326">
        <f t="shared" si="2"/>
        <v>34</v>
      </c>
      <c r="O21" s="326">
        <f t="shared" si="4"/>
        <v>0</v>
      </c>
      <c r="P21" s="191" t="s">
        <v>45</v>
      </c>
      <c r="Q21" s="191" t="s">
        <v>966</v>
      </c>
      <c r="R21" s="224">
        <v>34</v>
      </c>
      <c r="S21" s="191" t="s">
        <v>45</v>
      </c>
      <c r="T21" s="224">
        <v>1</v>
      </c>
      <c r="U21" s="191" t="s">
        <v>967</v>
      </c>
      <c r="V21" s="191"/>
      <c r="W21" s="191" t="s">
        <v>42</v>
      </c>
    </row>
    <row r="22" spans="1:23" ht="22.5" customHeight="1">
      <c r="A22" s="191">
        <f t="shared" si="0"/>
        <v>2024</v>
      </c>
      <c r="B22" s="191">
        <f t="shared" si="1"/>
        <v>12</v>
      </c>
      <c r="C22" s="191" t="s">
        <v>7372</v>
      </c>
      <c r="D22" s="191" t="s">
        <v>965</v>
      </c>
      <c r="E22" s="191" t="s">
        <v>22</v>
      </c>
      <c r="F22" s="225">
        <v>45652.597222222219</v>
      </c>
      <c r="G22" s="225">
        <v>45652.597916666666</v>
      </c>
      <c r="H22" s="224">
        <v>0</v>
      </c>
      <c r="I22" s="191" t="s">
        <v>45</v>
      </c>
      <c r="J22" s="191"/>
      <c r="K22" s="191"/>
      <c r="L22" s="191" t="s">
        <v>66</v>
      </c>
      <c r="M22" s="192">
        <v>74.42</v>
      </c>
      <c r="N22" s="326">
        <f t="shared" si="2"/>
        <v>74.42</v>
      </c>
      <c r="O22" s="326">
        <f t="shared" si="4"/>
        <v>0</v>
      </c>
      <c r="P22" s="191" t="s">
        <v>45</v>
      </c>
      <c r="Q22" s="191" t="s">
        <v>966</v>
      </c>
      <c r="R22" s="224">
        <v>74.42</v>
      </c>
      <c r="S22" s="191" t="s">
        <v>45</v>
      </c>
      <c r="T22" s="224">
        <v>1</v>
      </c>
      <c r="U22" s="191" t="s">
        <v>967</v>
      </c>
      <c r="V22" s="191"/>
      <c r="W22" s="191" t="s">
        <v>42</v>
      </c>
    </row>
    <row r="23" spans="1:23" ht="22.5" customHeight="1">
      <c r="A23" s="191">
        <f t="shared" si="0"/>
        <v>2024</v>
      </c>
      <c r="B23" s="191">
        <f t="shared" si="1"/>
        <v>12</v>
      </c>
      <c r="C23" s="191" t="s">
        <v>7373</v>
      </c>
      <c r="D23" s="191" t="s">
        <v>965</v>
      </c>
      <c r="E23" s="191" t="s">
        <v>22</v>
      </c>
      <c r="F23" s="225">
        <v>45653.208333333336</v>
      </c>
      <c r="G23" s="225">
        <v>45653.209027777775</v>
      </c>
      <c r="H23" s="224">
        <v>0</v>
      </c>
      <c r="I23" s="191" t="s">
        <v>45</v>
      </c>
      <c r="J23" s="191"/>
      <c r="K23" s="191"/>
      <c r="L23" s="191" t="s">
        <v>66</v>
      </c>
      <c r="M23" s="192">
        <v>125.54</v>
      </c>
      <c r="N23" s="326">
        <f t="shared" si="2"/>
        <v>125.54</v>
      </c>
      <c r="O23" s="326">
        <f t="shared" si="4"/>
        <v>0</v>
      </c>
      <c r="P23" s="191" t="s">
        <v>45</v>
      </c>
      <c r="Q23" s="191" t="s">
        <v>966</v>
      </c>
      <c r="R23" s="224">
        <v>125.54</v>
      </c>
      <c r="S23" s="191" t="s">
        <v>45</v>
      </c>
      <c r="T23" s="224">
        <v>1</v>
      </c>
      <c r="U23" s="191" t="s">
        <v>967</v>
      </c>
      <c r="V23" s="191"/>
      <c r="W23" s="191" t="s">
        <v>42</v>
      </c>
    </row>
    <row r="24" spans="1:23" ht="22.5" customHeight="1">
      <c r="A24" s="191">
        <f t="shared" si="0"/>
        <v>2024</v>
      </c>
      <c r="B24" s="191">
        <f t="shared" si="1"/>
        <v>12</v>
      </c>
      <c r="C24" s="191" t="s">
        <v>7374</v>
      </c>
      <c r="D24" s="191" t="s">
        <v>965</v>
      </c>
      <c r="E24" s="191" t="s">
        <v>22</v>
      </c>
      <c r="F24" s="225">
        <v>45656.601388888892</v>
      </c>
      <c r="G24" s="225">
        <v>45656.601388888892</v>
      </c>
      <c r="H24" s="224">
        <v>0</v>
      </c>
      <c r="I24" s="191" t="s">
        <v>45</v>
      </c>
      <c r="J24" s="191"/>
      <c r="K24" s="191"/>
      <c r="L24" s="191" t="s">
        <v>66</v>
      </c>
      <c r="M24" s="192">
        <v>152.25</v>
      </c>
      <c r="N24" s="326">
        <f t="shared" si="2"/>
        <v>152.25</v>
      </c>
      <c r="O24" s="326">
        <f t="shared" si="4"/>
        <v>0</v>
      </c>
      <c r="P24" s="191" t="s">
        <v>45</v>
      </c>
      <c r="Q24" s="191" t="s">
        <v>966</v>
      </c>
      <c r="R24" s="224">
        <v>152.25</v>
      </c>
      <c r="S24" s="191" t="s">
        <v>45</v>
      </c>
      <c r="T24" s="224">
        <v>1</v>
      </c>
      <c r="U24" s="191" t="s">
        <v>967</v>
      </c>
      <c r="V24" s="191"/>
      <c r="W24" s="191" t="s">
        <v>42</v>
      </c>
    </row>
    <row r="25" spans="1:23" ht="22.5" customHeight="1">
      <c r="A25" s="191">
        <f t="shared" si="0"/>
        <v>2024</v>
      </c>
      <c r="B25" s="191">
        <f t="shared" si="1"/>
        <v>12</v>
      </c>
      <c r="C25" s="191" t="s">
        <v>7375</v>
      </c>
      <c r="D25" s="191" t="s">
        <v>965</v>
      </c>
      <c r="E25" s="191" t="s">
        <v>22</v>
      </c>
      <c r="F25" s="225">
        <v>45657.209027777775</v>
      </c>
      <c r="G25" s="225">
        <v>45657.209027777775</v>
      </c>
      <c r="H25" s="224">
        <v>0</v>
      </c>
      <c r="I25" s="191" t="s">
        <v>45</v>
      </c>
      <c r="J25" s="191"/>
      <c r="K25" s="191"/>
      <c r="L25" s="191" t="s">
        <v>66</v>
      </c>
      <c r="M25" s="192">
        <v>303.95</v>
      </c>
      <c r="N25" s="326">
        <f t="shared" si="2"/>
        <v>303.95</v>
      </c>
      <c r="O25" s="326">
        <f t="shared" si="4"/>
        <v>0</v>
      </c>
      <c r="P25" s="191" t="s">
        <v>45</v>
      </c>
      <c r="Q25" s="191" t="s">
        <v>966</v>
      </c>
      <c r="R25" s="224">
        <v>303.95</v>
      </c>
      <c r="S25" s="191" t="s">
        <v>45</v>
      </c>
      <c r="T25" s="224">
        <v>1</v>
      </c>
      <c r="U25" s="191" t="s">
        <v>967</v>
      </c>
      <c r="V25" s="191"/>
      <c r="W25" s="191" t="s">
        <v>42</v>
      </c>
    </row>
    <row r="26" spans="1:23" ht="12.7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44"/>
      <c r="O26" s="44"/>
      <c r="P26" s="28"/>
      <c r="Q26" s="28"/>
      <c r="R26" s="28"/>
      <c r="S26" s="28"/>
      <c r="T26" s="28"/>
      <c r="U26" s="28"/>
      <c r="V26" s="28"/>
      <c r="W26" s="28"/>
    </row>
    <row r="27" spans="1:23" ht="12.7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44"/>
      <c r="O27" s="44"/>
      <c r="P27" s="28"/>
      <c r="Q27" s="28"/>
      <c r="R27" s="28"/>
      <c r="S27" s="28"/>
      <c r="T27" s="28"/>
      <c r="U27" s="28"/>
      <c r="V27" s="28"/>
      <c r="W27" s="28"/>
    </row>
    <row r="28" spans="1:23" ht="12.7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44"/>
      <c r="O28" s="44"/>
      <c r="P28" s="28"/>
      <c r="Q28" s="28"/>
      <c r="R28" s="28"/>
      <c r="S28" s="28"/>
      <c r="T28" s="28"/>
      <c r="U28" s="28"/>
      <c r="V28" s="28"/>
      <c r="W28" s="28"/>
    </row>
    <row r="29" spans="1:23" ht="12.7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44"/>
      <c r="O29" s="44"/>
      <c r="P29" s="28"/>
      <c r="Q29" s="28"/>
      <c r="R29" s="28"/>
      <c r="S29" s="28"/>
      <c r="T29" s="28"/>
      <c r="U29" s="28"/>
      <c r="V29" s="28"/>
      <c r="W29" s="28"/>
    </row>
    <row r="30" spans="1:23" ht="12.7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44"/>
      <c r="O30" s="44"/>
      <c r="P30" s="28"/>
      <c r="Q30" s="28"/>
      <c r="R30" s="28"/>
      <c r="S30" s="28"/>
      <c r="T30" s="28"/>
      <c r="U30" s="28"/>
      <c r="V30" s="28"/>
      <c r="W30" s="28"/>
    </row>
    <row r="31" spans="1:23" ht="12.7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44"/>
      <c r="O31" s="44"/>
      <c r="P31" s="28"/>
      <c r="Q31" s="28"/>
      <c r="R31" s="28"/>
      <c r="S31" s="28"/>
      <c r="T31" s="28"/>
      <c r="U31" s="28"/>
      <c r="V31" s="28"/>
      <c r="W31" s="28"/>
    </row>
    <row r="32" spans="1:23" ht="12.7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44"/>
      <c r="O32" s="44"/>
      <c r="P32" s="28"/>
      <c r="Q32" s="28"/>
      <c r="R32" s="28"/>
      <c r="S32" s="28"/>
      <c r="T32" s="28"/>
      <c r="U32" s="28"/>
      <c r="V32" s="28"/>
      <c r="W32" s="28"/>
    </row>
    <row r="33" spans="1:23" ht="12.7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44"/>
      <c r="O33" s="44"/>
      <c r="P33" s="28"/>
      <c r="Q33" s="28"/>
      <c r="R33" s="28"/>
      <c r="S33" s="28"/>
      <c r="T33" s="28"/>
      <c r="U33" s="28"/>
      <c r="V33" s="28"/>
      <c r="W33" s="28"/>
    </row>
    <row r="34" spans="1:23" ht="12.7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44"/>
      <c r="O34" s="44"/>
      <c r="P34" s="28"/>
      <c r="Q34" s="28"/>
      <c r="R34" s="28"/>
      <c r="S34" s="28"/>
      <c r="T34" s="28"/>
      <c r="U34" s="28"/>
      <c r="V34" s="28"/>
      <c r="W34" s="28"/>
    </row>
    <row r="35" spans="1:23" ht="12.7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44"/>
      <c r="O35" s="44"/>
      <c r="P35" s="28"/>
      <c r="Q35" s="28"/>
      <c r="R35" s="28"/>
      <c r="S35" s="28"/>
      <c r="T35" s="28"/>
      <c r="U35" s="28"/>
      <c r="V35" s="28"/>
      <c r="W35" s="28"/>
    </row>
    <row r="36" spans="1:23" ht="12.7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44"/>
      <c r="O36" s="44"/>
      <c r="P36" s="28"/>
      <c r="Q36" s="28"/>
      <c r="R36" s="28"/>
      <c r="S36" s="28"/>
      <c r="T36" s="28"/>
      <c r="U36" s="28"/>
      <c r="V36" s="28"/>
      <c r="W36" s="28"/>
    </row>
    <row r="37" spans="1:23" ht="12.7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44"/>
      <c r="O37" s="44"/>
      <c r="P37" s="28"/>
      <c r="Q37" s="28"/>
      <c r="R37" s="28"/>
      <c r="S37" s="28"/>
      <c r="T37" s="28"/>
      <c r="U37" s="28"/>
      <c r="V37" s="28"/>
      <c r="W37" s="28"/>
    </row>
    <row r="38" spans="1:23" ht="12.7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44"/>
      <c r="O38" s="44"/>
      <c r="P38" s="28"/>
      <c r="Q38" s="28"/>
      <c r="R38" s="28"/>
      <c r="S38" s="28"/>
      <c r="T38" s="28"/>
      <c r="U38" s="28"/>
      <c r="V38" s="28"/>
      <c r="W38" s="28"/>
    </row>
    <row r="39" spans="1:23" ht="12.7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44"/>
      <c r="O39" s="44"/>
      <c r="P39" s="28"/>
      <c r="Q39" s="28"/>
      <c r="R39" s="28"/>
      <c r="S39" s="28"/>
      <c r="T39" s="28"/>
      <c r="U39" s="28"/>
      <c r="V39" s="28"/>
      <c r="W39" s="28"/>
    </row>
    <row r="40" spans="1:23" ht="12.7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44"/>
      <c r="O40" s="44"/>
      <c r="P40" s="28"/>
      <c r="Q40" s="28"/>
      <c r="R40" s="28"/>
      <c r="S40" s="28"/>
      <c r="T40" s="28"/>
      <c r="U40" s="28"/>
      <c r="V40" s="28"/>
      <c r="W40" s="28"/>
    </row>
    <row r="41" spans="1:23" ht="12.7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44"/>
      <c r="O41" s="44"/>
      <c r="P41" s="28"/>
      <c r="Q41" s="28"/>
      <c r="R41" s="28"/>
      <c r="S41" s="28"/>
      <c r="T41" s="28"/>
      <c r="U41" s="28"/>
      <c r="V41" s="28"/>
      <c r="W41" s="28"/>
    </row>
    <row r="42" spans="1:23" ht="12.7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44"/>
      <c r="O42" s="44"/>
      <c r="P42" s="28"/>
      <c r="Q42" s="28"/>
      <c r="R42" s="28"/>
      <c r="S42" s="28"/>
      <c r="T42" s="28"/>
      <c r="U42" s="28"/>
      <c r="V42" s="28"/>
      <c r="W42" s="28"/>
    </row>
    <row r="43" spans="1:23" ht="12.7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44"/>
      <c r="O43" s="44"/>
      <c r="P43" s="28"/>
      <c r="Q43" s="28"/>
      <c r="R43" s="28"/>
      <c r="S43" s="28"/>
      <c r="T43" s="28"/>
      <c r="U43" s="28"/>
      <c r="V43" s="28"/>
      <c r="W43" s="28"/>
    </row>
    <row r="44" spans="1:23" ht="12.7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44"/>
      <c r="O44" s="44"/>
      <c r="P44" s="28"/>
      <c r="Q44" s="28"/>
      <c r="R44" s="28"/>
      <c r="S44" s="28"/>
      <c r="T44" s="28"/>
      <c r="U44" s="28"/>
      <c r="V44" s="28"/>
      <c r="W44" s="28"/>
    </row>
    <row r="45" spans="1:23" ht="12.7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44"/>
      <c r="O45" s="44"/>
      <c r="P45" s="28"/>
      <c r="Q45" s="28"/>
      <c r="R45" s="28"/>
      <c r="S45" s="28"/>
      <c r="T45" s="28"/>
      <c r="U45" s="28"/>
      <c r="V45" s="28"/>
      <c r="W45" s="28"/>
    </row>
    <row r="46" spans="1:23" ht="12.7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44"/>
      <c r="O46" s="44"/>
      <c r="P46" s="28"/>
      <c r="Q46" s="28"/>
      <c r="R46" s="28"/>
      <c r="S46" s="28"/>
      <c r="T46" s="28"/>
      <c r="U46" s="28"/>
      <c r="V46" s="28"/>
      <c r="W46" s="28"/>
    </row>
    <row r="47" spans="1:23" ht="12.7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44"/>
      <c r="O47" s="44"/>
      <c r="P47" s="28"/>
      <c r="Q47" s="28"/>
      <c r="R47" s="28"/>
      <c r="S47" s="28"/>
      <c r="T47" s="28"/>
      <c r="U47" s="28"/>
      <c r="V47" s="28"/>
      <c r="W47" s="28"/>
    </row>
    <row r="48" spans="1:23" ht="12.7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44"/>
      <c r="O48" s="44"/>
      <c r="P48" s="28"/>
      <c r="Q48" s="28"/>
      <c r="R48" s="28"/>
      <c r="S48" s="28"/>
      <c r="T48" s="28"/>
      <c r="U48" s="28"/>
      <c r="V48" s="28"/>
      <c r="W48" s="28"/>
    </row>
    <row r="49" spans="1:23" ht="12.7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44"/>
      <c r="O49" s="44"/>
      <c r="P49" s="28"/>
      <c r="Q49" s="28"/>
      <c r="R49" s="28"/>
      <c r="S49" s="28"/>
      <c r="T49" s="28"/>
      <c r="U49" s="28"/>
      <c r="V49" s="28"/>
      <c r="W49" s="28"/>
    </row>
    <row r="50" spans="1:23" ht="12.7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44"/>
      <c r="O50" s="44"/>
      <c r="P50" s="28"/>
      <c r="Q50" s="28"/>
      <c r="R50" s="28"/>
      <c r="S50" s="28"/>
      <c r="T50" s="28"/>
      <c r="U50" s="28"/>
      <c r="V50" s="28"/>
      <c r="W50" s="28"/>
    </row>
    <row r="51" spans="1:23" ht="12.7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44"/>
      <c r="O51" s="44"/>
      <c r="P51" s="28"/>
      <c r="Q51" s="28"/>
      <c r="R51" s="28"/>
      <c r="S51" s="28"/>
      <c r="T51" s="28"/>
      <c r="U51" s="28"/>
      <c r="V51" s="28"/>
      <c r="W51" s="28"/>
    </row>
    <row r="52" spans="1:23" ht="12.7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44"/>
      <c r="O52" s="44"/>
      <c r="P52" s="28"/>
      <c r="Q52" s="28"/>
      <c r="R52" s="28"/>
      <c r="S52" s="28"/>
      <c r="T52" s="28"/>
      <c r="U52" s="28"/>
      <c r="V52" s="28"/>
      <c r="W52" s="28"/>
    </row>
    <row r="53" spans="1:23" ht="12.7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44"/>
      <c r="O53" s="44"/>
      <c r="P53" s="28"/>
      <c r="Q53" s="28"/>
      <c r="R53" s="28"/>
      <c r="S53" s="28"/>
      <c r="T53" s="28"/>
      <c r="U53" s="28"/>
      <c r="V53" s="28"/>
      <c r="W53" s="28"/>
    </row>
    <row r="54" spans="1:23" ht="12.7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44">
        <f t="shared" ref="N54:O54" si="5">SUM(N2:N53)</f>
        <v>2793.03</v>
      </c>
      <c r="O54" s="44">
        <f t="shared" si="5"/>
        <v>1196.1100000000001</v>
      </c>
      <c r="P54" s="28"/>
      <c r="Q54" s="28"/>
      <c r="R54" s="28"/>
      <c r="S54" s="28"/>
      <c r="T54" s="28"/>
      <c r="U54" s="28"/>
      <c r="V54" s="28"/>
      <c r="W54" s="28"/>
    </row>
  </sheetData>
  <dataValidations count="2">
    <dataValidation type="custom" allowBlank="1" showDropDown="1" sqref="F2:G25" xr:uid="{00000000-0002-0000-1000-000000000000}">
      <formula1>OR(NOT(ISERROR(DATEVALUE(F2))), AND(ISNUMBER(F2), LEFT(CELL("format", F2))="D"))</formula1>
    </dataValidation>
    <dataValidation type="custom" allowBlank="1" showDropDown="1" sqref="M2:O25" xr:uid="{00000000-0002-0000-1000-000001000000}">
      <formula1>AND(ISNUMBER(M2),(NOT(OR(NOT(ISERROR(DATEVALUE(M2))), AND(ISNUMBER(M2), LEFT(CELL("format", M2))="D")))))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1172"/>
  <sheetViews>
    <sheetView tabSelected="1" workbookViewId="0">
      <pane ySplit="1" topLeftCell="A1110" activePane="bottomLeft" state="frozen"/>
      <selection pane="bottomLeft" activeCell="A1172" sqref="A1172"/>
    </sheetView>
  </sheetViews>
  <sheetFormatPr defaultColWidth="12.5703125" defaultRowHeight="12.75"/>
  <cols>
    <col min="1" max="4" width="12.5703125" style="371"/>
    <col min="5" max="5" width="23.28515625" style="371" bestFit="1" customWidth="1"/>
    <col min="6" max="16384" width="12.5703125" style="371"/>
  </cols>
  <sheetData>
    <row r="1" spans="1:16">
      <c r="A1" s="346" t="s">
        <v>947</v>
      </c>
      <c r="B1" s="346" t="s">
        <v>2545</v>
      </c>
      <c r="C1" s="346" t="s">
        <v>2546</v>
      </c>
      <c r="D1" s="346" t="s">
        <v>250</v>
      </c>
      <c r="E1" s="346" t="s">
        <v>2547</v>
      </c>
      <c r="F1" s="346" t="s">
        <v>245</v>
      </c>
      <c r="G1" s="346" t="s">
        <v>19</v>
      </c>
      <c r="H1" s="346" t="s">
        <v>20</v>
      </c>
      <c r="I1" s="346" t="s">
        <v>2548</v>
      </c>
      <c r="J1" s="346" t="s">
        <v>254</v>
      </c>
      <c r="K1" s="346" t="s">
        <v>2549</v>
      </c>
      <c r="L1" s="346" t="s">
        <v>2550</v>
      </c>
      <c r="M1" s="346" t="s">
        <v>2551</v>
      </c>
      <c r="N1" s="346" t="s">
        <v>2552</v>
      </c>
      <c r="O1" s="346" t="s">
        <v>2553</v>
      </c>
      <c r="P1" s="347" t="s">
        <v>2554</v>
      </c>
    </row>
    <row r="2" spans="1:16">
      <c r="A2" s="348">
        <v>143</v>
      </c>
      <c r="B2" s="349">
        <v>25</v>
      </c>
      <c r="C2" s="372"/>
      <c r="D2" s="372" t="s">
        <v>45</v>
      </c>
      <c r="E2" s="372" t="s">
        <v>9</v>
      </c>
      <c r="F2" s="350">
        <v>45459.924305555556</v>
      </c>
      <c r="G2" s="349">
        <v>6</v>
      </c>
      <c r="H2" s="372" t="s">
        <v>2557</v>
      </c>
      <c r="I2" s="349">
        <v>10440</v>
      </c>
      <c r="J2" s="372"/>
      <c r="K2" s="349">
        <v>21.69</v>
      </c>
      <c r="L2" s="349">
        <v>0</v>
      </c>
      <c r="M2" s="349">
        <v>0</v>
      </c>
      <c r="N2" s="349">
        <v>7.2551899999999998</v>
      </c>
      <c r="O2" s="349">
        <f t="shared" ref="O2:O256" si="0">K2-L2-M2</f>
        <v>21.69</v>
      </c>
      <c r="P2" s="373">
        <f t="shared" ref="P2:P256" si="1">IF(D2="USD",O2,O2/N2)</f>
        <v>21.69</v>
      </c>
    </row>
    <row r="3" spans="1:16">
      <c r="A3" s="348">
        <v>144</v>
      </c>
      <c r="B3" s="349">
        <v>4</v>
      </c>
      <c r="C3" s="372"/>
      <c r="D3" s="372" t="s">
        <v>45</v>
      </c>
      <c r="E3" s="372" t="s">
        <v>9</v>
      </c>
      <c r="F3" s="350">
        <v>45459.935416666667</v>
      </c>
      <c r="G3" s="349">
        <v>6</v>
      </c>
      <c r="H3" s="372" t="s">
        <v>2557</v>
      </c>
      <c r="I3" s="349">
        <v>10476</v>
      </c>
      <c r="J3" s="372" t="s">
        <v>7376</v>
      </c>
      <c r="K3" s="349">
        <v>2.99</v>
      </c>
      <c r="L3" s="349">
        <v>0.59</v>
      </c>
      <c r="M3" s="349">
        <v>0</v>
      </c>
      <c r="N3" s="349">
        <v>1</v>
      </c>
      <c r="O3" s="349">
        <f t="shared" si="0"/>
        <v>2.4000000000000004</v>
      </c>
      <c r="P3" s="373">
        <f t="shared" si="1"/>
        <v>2.4000000000000004</v>
      </c>
    </row>
    <row r="4" spans="1:16">
      <c r="A4" s="348">
        <v>145</v>
      </c>
      <c r="B4" s="349">
        <v>4</v>
      </c>
      <c r="C4" s="372"/>
      <c r="D4" s="372" t="s">
        <v>45</v>
      </c>
      <c r="E4" s="372" t="s">
        <v>6430</v>
      </c>
      <c r="F4" s="350">
        <v>45459.953472222223</v>
      </c>
      <c r="G4" s="349">
        <v>6</v>
      </c>
      <c r="H4" s="372" t="s">
        <v>2557</v>
      </c>
      <c r="I4" s="349">
        <v>10488</v>
      </c>
      <c r="J4" s="372" t="s">
        <v>7377</v>
      </c>
      <c r="K4" s="349">
        <v>2.99</v>
      </c>
      <c r="L4" s="349">
        <v>0.4</v>
      </c>
      <c r="M4" s="349">
        <v>0</v>
      </c>
      <c r="N4" s="349">
        <v>1</v>
      </c>
      <c r="O4" s="349">
        <f t="shared" si="0"/>
        <v>2.5900000000000003</v>
      </c>
      <c r="P4" s="373">
        <f t="shared" si="1"/>
        <v>2.5900000000000003</v>
      </c>
    </row>
    <row r="5" spans="1:16">
      <c r="A5" s="348">
        <v>146</v>
      </c>
      <c r="B5" s="349">
        <v>28</v>
      </c>
      <c r="C5" s="372" t="s">
        <v>4611</v>
      </c>
      <c r="D5" s="372" t="s">
        <v>2582</v>
      </c>
      <c r="E5" s="372" t="s">
        <v>9</v>
      </c>
      <c r="F5" s="350">
        <v>45459.999305555553</v>
      </c>
      <c r="G5" s="349">
        <v>6</v>
      </c>
      <c r="H5" s="372" t="s">
        <v>2557</v>
      </c>
      <c r="I5" s="349">
        <v>10500</v>
      </c>
      <c r="J5" s="372"/>
      <c r="K5" s="349">
        <v>21.69</v>
      </c>
      <c r="L5" s="349">
        <v>0</v>
      </c>
      <c r="M5" s="349">
        <v>0</v>
      </c>
      <c r="N5" s="349">
        <v>7.2551899999999998</v>
      </c>
      <c r="O5" s="349">
        <f t="shared" si="0"/>
        <v>21.69</v>
      </c>
      <c r="P5" s="373">
        <f t="shared" si="1"/>
        <v>2.9895840081376233</v>
      </c>
    </row>
    <row r="6" spans="1:16">
      <c r="A6" s="348">
        <v>147</v>
      </c>
      <c r="B6" s="349">
        <v>4</v>
      </c>
      <c r="C6" s="372"/>
      <c r="D6" s="372" t="s">
        <v>45</v>
      </c>
      <c r="E6" s="372" t="s">
        <v>9</v>
      </c>
      <c r="F6" s="350">
        <v>45460.503472222219</v>
      </c>
      <c r="G6" s="349">
        <v>6</v>
      </c>
      <c r="H6" s="372" t="s">
        <v>2557</v>
      </c>
      <c r="I6" s="349">
        <v>10560</v>
      </c>
      <c r="J6" s="372" t="s">
        <v>7378</v>
      </c>
      <c r="K6" s="349">
        <v>2.99</v>
      </c>
      <c r="L6" s="349">
        <v>0</v>
      </c>
      <c r="M6" s="349">
        <v>0</v>
      </c>
      <c r="N6" s="349">
        <v>1</v>
      </c>
      <c r="O6" s="349">
        <f t="shared" si="0"/>
        <v>2.99</v>
      </c>
      <c r="P6" s="373">
        <f t="shared" si="1"/>
        <v>2.99</v>
      </c>
    </row>
    <row r="7" spans="1:16">
      <c r="A7" s="348">
        <v>148</v>
      </c>
      <c r="B7" s="349">
        <v>32</v>
      </c>
      <c r="C7" s="372" t="s">
        <v>7379</v>
      </c>
      <c r="D7" s="372" t="s">
        <v>45</v>
      </c>
      <c r="E7" s="372" t="s">
        <v>9</v>
      </c>
      <c r="F7" s="350">
        <v>45461</v>
      </c>
      <c r="G7" s="349">
        <v>6</v>
      </c>
      <c r="H7" s="372" t="s">
        <v>2557</v>
      </c>
      <c r="I7" s="349">
        <v>10572</v>
      </c>
      <c r="J7" s="372"/>
      <c r="K7" s="349">
        <v>0</v>
      </c>
      <c r="L7" s="349">
        <v>0</v>
      </c>
      <c r="M7" s="349">
        <v>0</v>
      </c>
      <c r="N7" s="349">
        <v>1</v>
      </c>
      <c r="O7" s="349">
        <f t="shared" si="0"/>
        <v>0</v>
      </c>
      <c r="P7" s="373">
        <f t="shared" si="1"/>
        <v>0</v>
      </c>
    </row>
    <row r="8" spans="1:16">
      <c r="A8" s="348">
        <v>150</v>
      </c>
      <c r="B8" s="349">
        <v>34</v>
      </c>
      <c r="C8" s="372" t="s">
        <v>7380</v>
      </c>
      <c r="D8" s="372" t="s">
        <v>2582</v>
      </c>
      <c r="E8" s="372" t="s">
        <v>9</v>
      </c>
      <c r="F8" s="350">
        <v>45463</v>
      </c>
      <c r="G8" s="349">
        <v>6</v>
      </c>
      <c r="H8" s="372" t="s">
        <v>2557</v>
      </c>
      <c r="I8" s="349">
        <v>10596</v>
      </c>
      <c r="J8" s="372"/>
      <c r="K8" s="349">
        <v>0</v>
      </c>
      <c r="L8" s="349">
        <v>0</v>
      </c>
      <c r="M8" s="349">
        <v>0</v>
      </c>
      <c r="N8" s="349">
        <v>7.2569499999999998</v>
      </c>
      <c r="O8" s="349">
        <f t="shared" si="0"/>
        <v>0</v>
      </c>
      <c r="P8" s="373">
        <f t="shared" si="1"/>
        <v>0</v>
      </c>
    </row>
    <row r="9" spans="1:16">
      <c r="A9" s="348">
        <v>151</v>
      </c>
      <c r="B9" s="349">
        <v>35</v>
      </c>
      <c r="C9" s="372" t="s">
        <v>7381</v>
      </c>
      <c r="D9" s="372" t="s">
        <v>45</v>
      </c>
      <c r="E9" s="372" t="s">
        <v>9</v>
      </c>
      <c r="F9" s="350">
        <v>45463</v>
      </c>
      <c r="G9" s="349">
        <v>6</v>
      </c>
      <c r="H9" s="372" t="s">
        <v>2557</v>
      </c>
      <c r="I9" s="349">
        <v>10608</v>
      </c>
      <c r="J9" s="372"/>
      <c r="K9" s="349">
        <v>0</v>
      </c>
      <c r="L9" s="349">
        <v>0</v>
      </c>
      <c r="M9" s="349">
        <v>0</v>
      </c>
      <c r="N9" s="349">
        <v>1</v>
      </c>
      <c r="O9" s="349">
        <f t="shared" si="0"/>
        <v>0</v>
      </c>
      <c r="P9" s="373">
        <f t="shared" si="1"/>
        <v>0</v>
      </c>
    </row>
    <row r="10" spans="1:16">
      <c r="A10" s="348">
        <v>152</v>
      </c>
      <c r="B10" s="349">
        <v>24</v>
      </c>
      <c r="C10" s="372" t="s">
        <v>7382</v>
      </c>
      <c r="D10" s="372" t="s">
        <v>45</v>
      </c>
      <c r="E10" s="372" t="s">
        <v>9</v>
      </c>
      <c r="F10" s="350">
        <v>45463</v>
      </c>
      <c r="G10" s="349">
        <v>6</v>
      </c>
      <c r="H10" s="372" t="s">
        <v>2557</v>
      </c>
      <c r="I10" s="349">
        <v>10620</v>
      </c>
      <c r="J10" s="372" t="s">
        <v>7383</v>
      </c>
      <c r="K10" s="349">
        <v>0</v>
      </c>
      <c r="L10" s="349">
        <v>0</v>
      </c>
      <c r="M10" s="349">
        <v>0</v>
      </c>
      <c r="N10" s="349">
        <v>1</v>
      </c>
      <c r="O10" s="349">
        <f t="shared" si="0"/>
        <v>0</v>
      </c>
      <c r="P10" s="373">
        <f t="shared" si="1"/>
        <v>0</v>
      </c>
    </row>
    <row r="11" spans="1:16">
      <c r="A11" s="348">
        <v>153</v>
      </c>
      <c r="B11" s="349">
        <v>36</v>
      </c>
      <c r="C11" s="372" t="s">
        <v>2646</v>
      </c>
      <c r="D11" s="372" t="s">
        <v>45</v>
      </c>
      <c r="E11" s="372" t="s">
        <v>3655</v>
      </c>
      <c r="F11" s="350">
        <v>45464.917361111111</v>
      </c>
      <c r="G11" s="349">
        <v>6</v>
      </c>
      <c r="H11" s="372" t="s">
        <v>2557</v>
      </c>
      <c r="I11" s="349">
        <v>10644</v>
      </c>
      <c r="J11" s="372"/>
      <c r="K11" s="349">
        <v>255</v>
      </c>
      <c r="L11" s="349">
        <v>0</v>
      </c>
      <c r="M11" s="349">
        <v>0</v>
      </c>
      <c r="N11" s="349">
        <v>1</v>
      </c>
      <c r="O11" s="349">
        <f t="shared" si="0"/>
        <v>255</v>
      </c>
      <c r="P11" s="373">
        <f t="shared" si="1"/>
        <v>255</v>
      </c>
    </row>
    <row r="12" spans="1:16">
      <c r="A12" s="348">
        <v>154</v>
      </c>
      <c r="B12" s="349">
        <v>38</v>
      </c>
      <c r="C12" s="372" t="s">
        <v>7384</v>
      </c>
      <c r="D12" s="372" t="s">
        <v>45</v>
      </c>
      <c r="E12" s="372" t="s">
        <v>9</v>
      </c>
      <c r="F12" s="350">
        <v>45468.495138888888</v>
      </c>
      <c r="G12" s="349">
        <v>6</v>
      </c>
      <c r="H12" s="372" t="s">
        <v>2557</v>
      </c>
      <c r="I12" s="349">
        <v>10656</v>
      </c>
      <c r="J12" s="372"/>
      <c r="K12" s="349">
        <v>3.99</v>
      </c>
      <c r="L12" s="349">
        <v>0</v>
      </c>
      <c r="M12" s="349">
        <v>0</v>
      </c>
      <c r="N12" s="349">
        <v>1</v>
      </c>
      <c r="O12" s="349">
        <f t="shared" si="0"/>
        <v>3.99</v>
      </c>
      <c r="P12" s="373">
        <f t="shared" si="1"/>
        <v>3.99</v>
      </c>
    </row>
    <row r="13" spans="1:16">
      <c r="A13" s="348">
        <v>172</v>
      </c>
      <c r="B13" s="349">
        <v>33</v>
      </c>
      <c r="C13" s="372" t="s">
        <v>7385</v>
      </c>
      <c r="D13" s="372" t="s">
        <v>45</v>
      </c>
      <c r="E13" s="372" t="s">
        <v>3655</v>
      </c>
      <c r="F13" s="350">
        <v>45470</v>
      </c>
      <c r="G13" s="349">
        <v>6</v>
      </c>
      <c r="H13" s="372" t="s">
        <v>2557</v>
      </c>
      <c r="I13" s="349">
        <v>10848</v>
      </c>
      <c r="J13" s="372"/>
      <c r="K13" s="349">
        <v>0</v>
      </c>
      <c r="L13" s="349">
        <v>0</v>
      </c>
      <c r="M13" s="349">
        <v>0</v>
      </c>
      <c r="N13" s="349">
        <v>1</v>
      </c>
      <c r="O13" s="349">
        <f t="shared" si="0"/>
        <v>0</v>
      </c>
      <c r="P13" s="373">
        <f t="shared" si="1"/>
        <v>0</v>
      </c>
    </row>
    <row r="14" spans="1:16">
      <c r="A14" s="348">
        <v>155</v>
      </c>
      <c r="B14" s="349">
        <v>40</v>
      </c>
      <c r="C14" s="372" t="s">
        <v>4753</v>
      </c>
      <c r="D14" s="372" t="s">
        <v>45</v>
      </c>
      <c r="E14" s="372" t="s">
        <v>9</v>
      </c>
      <c r="F14" s="350">
        <v>45470.759027777778</v>
      </c>
      <c r="G14" s="349">
        <v>6</v>
      </c>
      <c r="H14" s="372" t="s">
        <v>2557</v>
      </c>
      <c r="I14" s="349">
        <v>10680</v>
      </c>
      <c r="J14" s="372" t="s">
        <v>7386</v>
      </c>
      <c r="K14" s="349">
        <v>1</v>
      </c>
      <c r="L14" s="349">
        <v>0.54</v>
      </c>
      <c r="M14" s="349">
        <v>0</v>
      </c>
      <c r="N14" s="349">
        <v>1</v>
      </c>
      <c r="O14" s="349">
        <f t="shared" si="0"/>
        <v>0.45999999999999996</v>
      </c>
      <c r="P14" s="373">
        <f t="shared" si="1"/>
        <v>0.45999999999999996</v>
      </c>
    </row>
    <row r="15" spans="1:16">
      <c r="A15" s="348">
        <v>156</v>
      </c>
      <c r="B15" s="349">
        <v>44</v>
      </c>
      <c r="C15" s="372" t="s">
        <v>7387</v>
      </c>
      <c r="D15" s="372" t="s">
        <v>45</v>
      </c>
      <c r="E15" s="372" t="s">
        <v>9</v>
      </c>
      <c r="F15" s="350">
        <v>45470.76458333333</v>
      </c>
      <c r="G15" s="349">
        <v>6</v>
      </c>
      <c r="H15" s="372" t="s">
        <v>2557</v>
      </c>
      <c r="I15" s="349">
        <v>10728</v>
      </c>
      <c r="J15" s="372" t="s">
        <v>7388</v>
      </c>
      <c r="K15" s="349">
        <v>1</v>
      </c>
      <c r="L15" s="349">
        <v>0</v>
      </c>
      <c r="M15" s="349">
        <v>0</v>
      </c>
      <c r="N15" s="349">
        <v>1</v>
      </c>
      <c r="O15" s="349">
        <f t="shared" si="0"/>
        <v>1</v>
      </c>
      <c r="P15" s="373">
        <f t="shared" si="1"/>
        <v>1</v>
      </c>
    </row>
    <row r="16" spans="1:16">
      <c r="A16" s="348">
        <v>157</v>
      </c>
      <c r="B16" s="349">
        <v>45</v>
      </c>
      <c r="C16" s="372" t="s">
        <v>4207</v>
      </c>
      <c r="D16" s="372" t="s">
        <v>45</v>
      </c>
      <c r="E16" s="372" t="s">
        <v>9</v>
      </c>
      <c r="F16" s="350">
        <v>45470.765972222223</v>
      </c>
      <c r="G16" s="349">
        <v>6</v>
      </c>
      <c r="H16" s="372" t="s">
        <v>2557</v>
      </c>
      <c r="I16" s="349">
        <v>10752</v>
      </c>
      <c r="J16" s="372" t="s">
        <v>7389</v>
      </c>
      <c r="K16" s="349">
        <v>1</v>
      </c>
      <c r="L16" s="349">
        <v>0</v>
      </c>
      <c r="M16" s="349">
        <v>0</v>
      </c>
      <c r="N16" s="349">
        <v>1</v>
      </c>
      <c r="O16" s="349">
        <f t="shared" si="0"/>
        <v>1</v>
      </c>
      <c r="P16" s="373">
        <f t="shared" si="1"/>
        <v>1</v>
      </c>
    </row>
    <row r="17" spans="1:16">
      <c r="A17" s="348">
        <v>158</v>
      </c>
      <c r="B17" s="349">
        <v>41</v>
      </c>
      <c r="C17" s="372" t="s">
        <v>7390</v>
      </c>
      <c r="D17" s="372" t="s">
        <v>45</v>
      </c>
      <c r="E17" s="372" t="s">
        <v>9</v>
      </c>
      <c r="F17" s="350">
        <v>45470.767361111109</v>
      </c>
      <c r="G17" s="349">
        <v>6</v>
      </c>
      <c r="H17" s="372" t="s">
        <v>2557</v>
      </c>
      <c r="I17" s="349">
        <v>10692</v>
      </c>
      <c r="J17" s="372" t="s">
        <v>7391</v>
      </c>
      <c r="K17" s="349">
        <v>1</v>
      </c>
      <c r="L17" s="349">
        <v>0</v>
      </c>
      <c r="M17" s="349">
        <v>0</v>
      </c>
      <c r="N17" s="349">
        <v>1</v>
      </c>
      <c r="O17" s="349">
        <f t="shared" si="0"/>
        <v>1</v>
      </c>
      <c r="P17" s="373">
        <f t="shared" si="1"/>
        <v>1</v>
      </c>
    </row>
    <row r="18" spans="1:16">
      <c r="A18" s="348">
        <v>159</v>
      </c>
      <c r="B18" s="349">
        <v>47</v>
      </c>
      <c r="C18" s="374">
        <v>45983</v>
      </c>
      <c r="D18" s="372" t="s">
        <v>45</v>
      </c>
      <c r="E18" s="372" t="s">
        <v>9</v>
      </c>
      <c r="F18" s="350">
        <v>45470.767361111109</v>
      </c>
      <c r="G18" s="349">
        <v>6</v>
      </c>
      <c r="H18" s="372" t="s">
        <v>2557</v>
      </c>
      <c r="I18" s="349">
        <v>10764</v>
      </c>
      <c r="J18" s="372" t="s">
        <v>7392</v>
      </c>
      <c r="K18" s="349">
        <v>1</v>
      </c>
      <c r="L18" s="349">
        <v>0.54</v>
      </c>
      <c r="M18" s="349">
        <v>0</v>
      </c>
      <c r="N18" s="349">
        <v>1</v>
      </c>
      <c r="O18" s="349">
        <f t="shared" si="0"/>
        <v>0.45999999999999996</v>
      </c>
      <c r="P18" s="373">
        <f t="shared" si="1"/>
        <v>0.45999999999999996</v>
      </c>
    </row>
    <row r="19" spans="1:16">
      <c r="A19" s="348">
        <v>160</v>
      </c>
      <c r="B19" s="349">
        <v>49</v>
      </c>
      <c r="C19" s="372" t="s">
        <v>2575</v>
      </c>
      <c r="D19" s="372" t="s">
        <v>45</v>
      </c>
      <c r="E19" s="372" t="s">
        <v>9</v>
      </c>
      <c r="F19" s="350">
        <v>45470.769444444442</v>
      </c>
      <c r="G19" s="349">
        <v>6</v>
      </c>
      <c r="H19" s="372" t="s">
        <v>2557</v>
      </c>
      <c r="I19" s="349">
        <v>10800</v>
      </c>
      <c r="J19" s="372" t="s">
        <v>7393</v>
      </c>
      <c r="K19" s="349">
        <v>1</v>
      </c>
      <c r="L19" s="349">
        <v>0</v>
      </c>
      <c r="M19" s="349">
        <v>0</v>
      </c>
      <c r="N19" s="349">
        <v>1</v>
      </c>
      <c r="O19" s="349">
        <f t="shared" si="0"/>
        <v>1</v>
      </c>
      <c r="P19" s="373">
        <f t="shared" si="1"/>
        <v>1</v>
      </c>
    </row>
    <row r="20" spans="1:16">
      <c r="A20" s="348">
        <v>161</v>
      </c>
      <c r="B20" s="349">
        <v>48</v>
      </c>
      <c r="C20" s="372" t="s">
        <v>7394</v>
      </c>
      <c r="D20" s="372" t="s">
        <v>45</v>
      </c>
      <c r="E20" s="372" t="s">
        <v>9</v>
      </c>
      <c r="F20" s="350">
        <v>45470.770138888889</v>
      </c>
      <c r="G20" s="349">
        <v>6</v>
      </c>
      <c r="H20" s="372" t="s">
        <v>2557</v>
      </c>
      <c r="I20" s="349">
        <v>10788</v>
      </c>
      <c r="J20" s="372" t="s">
        <v>7395</v>
      </c>
      <c r="K20" s="349">
        <v>1</v>
      </c>
      <c r="L20" s="349">
        <v>0.52</v>
      </c>
      <c r="M20" s="349">
        <v>0</v>
      </c>
      <c r="N20" s="349">
        <v>1</v>
      </c>
      <c r="O20" s="349">
        <f t="shared" si="0"/>
        <v>0.48</v>
      </c>
      <c r="P20" s="373">
        <f t="shared" si="1"/>
        <v>0.48</v>
      </c>
    </row>
    <row r="21" spans="1:16">
      <c r="A21" s="348">
        <v>162</v>
      </c>
      <c r="B21" s="349">
        <v>46</v>
      </c>
      <c r="C21" s="372" t="s">
        <v>2829</v>
      </c>
      <c r="D21" s="372" t="s">
        <v>45</v>
      </c>
      <c r="E21" s="372" t="s">
        <v>9</v>
      </c>
      <c r="F21" s="350">
        <v>45470.770833333336</v>
      </c>
      <c r="G21" s="349">
        <v>6</v>
      </c>
      <c r="H21" s="372" t="s">
        <v>2557</v>
      </c>
      <c r="I21" s="349">
        <v>10776</v>
      </c>
      <c r="J21" s="372" t="s">
        <v>7396</v>
      </c>
      <c r="K21" s="349">
        <v>1</v>
      </c>
      <c r="L21" s="349">
        <v>0.54</v>
      </c>
      <c r="M21" s="349">
        <v>0</v>
      </c>
      <c r="N21" s="349">
        <v>1</v>
      </c>
      <c r="O21" s="349">
        <f t="shared" si="0"/>
        <v>0.45999999999999996</v>
      </c>
      <c r="P21" s="373">
        <f t="shared" si="1"/>
        <v>0.45999999999999996</v>
      </c>
    </row>
    <row r="22" spans="1:16">
      <c r="A22" s="348">
        <v>163</v>
      </c>
      <c r="B22" s="349">
        <v>42</v>
      </c>
      <c r="C22" s="372" t="s">
        <v>7397</v>
      </c>
      <c r="D22" s="372" t="s">
        <v>45</v>
      </c>
      <c r="E22" s="372" t="s">
        <v>9</v>
      </c>
      <c r="F22" s="350">
        <v>45470.775694444441</v>
      </c>
      <c r="G22" s="349">
        <v>6</v>
      </c>
      <c r="H22" s="372" t="s">
        <v>2557</v>
      </c>
      <c r="I22" s="349">
        <v>10704</v>
      </c>
      <c r="J22" s="372" t="s">
        <v>7398</v>
      </c>
      <c r="K22" s="349">
        <v>1</v>
      </c>
      <c r="L22" s="349">
        <v>0</v>
      </c>
      <c r="M22" s="349">
        <v>0</v>
      </c>
      <c r="N22" s="349">
        <v>1</v>
      </c>
      <c r="O22" s="349">
        <f t="shared" si="0"/>
        <v>1</v>
      </c>
      <c r="P22" s="373">
        <f t="shared" si="1"/>
        <v>1</v>
      </c>
    </row>
    <row r="23" spans="1:16">
      <c r="A23" s="348">
        <v>164</v>
      </c>
      <c r="B23" s="349">
        <v>50</v>
      </c>
      <c r="C23" s="372" t="s">
        <v>7399</v>
      </c>
      <c r="D23" s="372" t="s">
        <v>45</v>
      </c>
      <c r="E23" s="372" t="s">
        <v>9</v>
      </c>
      <c r="F23" s="350">
        <v>45470.777083333334</v>
      </c>
      <c r="G23" s="349">
        <v>6</v>
      </c>
      <c r="H23" s="372" t="s">
        <v>2557</v>
      </c>
      <c r="I23" s="349">
        <v>10812</v>
      </c>
      <c r="J23" s="372" t="s">
        <v>7400</v>
      </c>
      <c r="K23" s="349">
        <v>1</v>
      </c>
      <c r="L23" s="349">
        <v>0.54</v>
      </c>
      <c r="M23" s="349">
        <v>0</v>
      </c>
      <c r="N23" s="349">
        <v>1</v>
      </c>
      <c r="O23" s="349">
        <f t="shared" si="0"/>
        <v>0.45999999999999996</v>
      </c>
      <c r="P23" s="373">
        <f t="shared" si="1"/>
        <v>0.45999999999999996</v>
      </c>
    </row>
    <row r="24" spans="1:16">
      <c r="A24" s="348">
        <v>165</v>
      </c>
      <c r="B24" s="349">
        <v>51</v>
      </c>
      <c r="C24" s="372" t="s">
        <v>7401</v>
      </c>
      <c r="D24" s="372" t="s">
        <v>45</v>
      </c>
      <c r="E24" s="372" t="s">
        <v>9</v>
      </c>
      <c r="F24" s="350">
        <v>45470.780555555553</v>
      </c>
      <c r="G24" s="349">
        <v>6</v>
      </c>
      <c r="H24" s="372" t="s">
        <v>2557</v>
      </c>
      <c r="I24" s="349">
        <v>10824</v>
      </c>
      <c r="J24" s="372" t="s">
        <v>7402</v>
      </c>
      <c r="K24" s="349">
        <v>1</v>
      </c>
      <c r="L24" s="349">
        <v>0</v>
      </c>
      <c r="M24" s="349">
        <v>0</v>
      </c>
      <c r="N24" s="349">
        <v>1</v>
      </c>
      <c r="O24" s="349">
        <f t="shared" si="0"/>
        <v>1</v>
      </c>
      <c r="P24" s="373">
        <f t="shared" si="1"/>
        <v>1</v>
      </c>
    </row>
    <row r="25" spans="1:16">
      <c r="A25" s="348">
        <v>166</v>
      </c>
      <c r="B25" s="349">
        <v>44</v>
      </c>
      <c r="C25" s="372" t="s">
        <v>7387</v>
      </c>
      <c r="D25" s="372" t="s">
        <v>45</v>
      </c>
      <c r="E25" s="372" t="s">
        <v>9</v>
      </c>
      <c r="F25" s="350">
        <v>45470.806944444441</v>
      </c>
      <c r="G25" s="349">
        <v>6</v>
      </c>
      <c r="H25" s="372" t="s">
        <v>2557</v>
      </c>
      <c r="I25" s="349">
        <v>10728</v>
      </c>
      <c r="J25" s="372" t="s">
        <v>7388</v>
      </c>
      <c r="K25" s="349">
        <v>1</v>
      </c>
      <c r="L25" s="349">
        <v>0</v>
      </c>
      <c r="M25" s="349">
        <v>0</v>
      </c>
      <c r="N25" s="349">
        <v>1</v>
      </c>
      <c r="O25" s="349">
        <f t="shared" si="0"/>
        <v>1</v>
      </c>
      <c r="P25" s="373">
        <f t="shared" si="1"/>
        <v>1</v>
      </c>
    </row>
    <row r="26" spans="1:16">
      <c r="A26" s="348">
        <v>167</v>
      </c>
      <c r="B26" s="349">
        <v>45</v>
      </c>
      <c r="C26" s="372" t="s">
        <v>4207</v>
      </c>
      <c r="D26" s="372" t="s">
        <v>45</v>
      </c>
      <c r="E26" s="372" t="s">
        <v>9</v>
      </c>
      <c r="F26" s="350">
        <v>45470.806944444441</v>
      </c>
      <c r="G26" s="349">
        <v>6</v>
      </c>
      <c r="H26" s="372" t="s">
        <v>2557</v>
      </c>
      <c r="I26" s="349">
        <v>10752</v>
      </c>
      <c r="J26" s="372" t="s">
        <v>7389</v>
      </c>
      <c r="K26" s="349">
        <v>1</v>
      </c>
      <c r="L26" s="349">
        <v>0</v>
      </c>
      <c r="M26" s="349">
        <v>0</v>
      </c>
      <c r="N26" s="349">
        <v>1</v>
      </c>
      <c r="O26" s="349">
        <f t="shared" si="0"/>
        <v>1</v>
      </c>
      <c r="P26" s="373">
        <f t="shared" si="1"/>
        <v>1</v>
      </c>
    </row>
    <row r="27" spans="1:16">
      <c r="A27" s="348">
        <v>168</v>
      </c>
      <c r="B27" s="349">
        <v>41</v>
      </c>
      <c r="C27" s="372" t="s">
        <v>7390</v>
      </c>
      <c r="D27" s="372" t="s">
        <v>45</v>
      </c>
      <c r="E27" s="372" t="s">
        <v>9</v>
      </c>
      <c r="F27" s="350">
        <v>45470.809027777781</v>
      </c>
      <c r="G27" s="349">
        <v>6</v>
      </c>
      <c r="H27" s="372" t="s">
        <v>2557</v>
      </c>
      <c r="I27" s="349">
        <v>10692</v>
      </c>
      <c r="J27" s="372" t="s">
        <v>7391</v>
      </c>
      <c r="K27" s="349">
        <v>1</v>
      </c>
      <c r="L27" s="349">
        <v>0</v>
      </c>
      <c r="M27" s="349">
        <v>0</v>
      </c>
      <c r="N27" s="349">
        <v>1</v>
      </c>
      <c r="O27" s="349">
        <f t="shared" si="0"/>
        <v>1</v>
      </c>
      <c r="P27" s="373">
        <f t="shared" si="1"/>
        <v>1</v>
      </c>
    </row>
    <row r="28" spans="1:16">
      <c r="A28" s="348">
        <v>169</v>
      </c>
      <c r="B28" s="349">
        <v>49</v>
      </c>
      <c r="C28" s="372" t="s">
        <v>2575</v>
      </c>
      <c r="D28" s="372" t="s">
        <v>45</v>
      </c>
      <c r="E28" s="372" t="s">
        <v>9</v>
      </c>
      <c r="F28" s="350">
        <v>45470.811805555553</v>
      </c>
      <c r="G28" s="349">
        <v>6</v>
      </c>
      <c r="H28" s="372" t="s">
        <v>2557</v>
      </c>
      <c r="I28" s="349">
        <v>10800</v>
      </c>
      <c r="J28" s="372" t="s">
        <v>7393</v>
      </c>
      <c r="K28" s="349">
        <v>1</v>
      </c>
      <c r="L28" s="349">
        <v>0</v>
      </c>
      <c r="M28" s="349">
        <v>0</v>
      </c>
      <c r="N28" s="349">
        <v>1</v>
      </c>
      <c r="O28" s="349">
        <f t="shared" si="0"/>
        <v>1</v>
      </c>
      <c r="P28" s="373">
        <f t="shared" si="1"/>
        <v>1</v>
      </c>
    </row>
    <row r="29" spans="1:16">
      <c r="A29" s="348">
        <v>170</v>
      </c>
      <c r="B29" s="349">
        <v>42</v>
      </c>
      <c r="C29" s="372" t="s">
        <v>7397</v>
      </c>
      <c r="D29" s="372" t="s">
        <v>45</v>
      </c>
      <c r="E29" s="372" t="s">
        <v>9</v>
      </c>
      <c r="F29" s="350">
        <v>45470.817361111112</v>
      </c>
      <c r="G29" s="349">
        <v>6</v>
      </c>
      <c r="H29" s="372" t="s">
        <v>2557</v>
      </c>
      <c r="I29" s="349">
        <v>10704</v>
      </c>
      <c r="J29" s="372" t="s">
        <v>7398</v>
      </c>
      <c r="K29" s="349">
        <v>1</v>
      </c>
      <c r="L29" s="349">
        <v>0</v>
      </c>
      <c r="M29" s="349">
        <v>0</v>
      </c>
      <c r="N29" s="349">
        <v>1</v>
      </c>
      <c r="O29" s="349">
        <f t="shared" si="0"/>
        <v>1</v>
      </c>
      <c r="P29" s="373">
        <f t="shared" si="1"/>
        <v>1</v>
      </c>
    </row>
    <row r="30" spans="1:16">
      <c r="A30" s="348">
        <v>171</v>
      </c>
      <c r="B30" s="349">
        <v>52</v>
      </c>
      <c r="C30" s="372" t="s">
        <v>7403</v>
      </c>
      <c r="D30" s="372" t="s">
        <v>45</v>
      </c>
      <c r="E30" s="372" t="s">
        <v>9</v>
      </c>
      <c r="F30" s="350">
        <v>45470.834722222222</v>
      </c>
      <c r="G30" s="349">
        <v>6</v>
      </c>
      <c r="H30" s="372" t="s">
        <v>2557</v>
      </c>
      <c r="I30" s="349">
        <v>10836</v>
      </c>
      <c r="J30" s="372" t="s">
        <v>7404</v>
      </c>
      <c r="K30" s="349">
        <v>1</v>
      </c>
      <c r="L30" s="349">
        <v>0</v>
      </c>
      <c r="M30" s="349">
        <v>0</v>
      </c>
      <c r="N30" s="349">
        <v>1</v>
      </c>
      <c r="O30" s="349">
        <f t="shared" si="0"/>
        <v>1</v>
      </c>
      <c r="P30" s="373">
        <f t="shared" si="1"/>
        <v>1</v>
      </c>
    </row>
    <row r="31" spans="1:16">
      <c r="A31" s="348">
        <v>173</v>
      </c>
      <c r="B31" s="349">
        <v>54</v>
      </c>
      <c r="C31" s="372" t="s">
        <v>2575</v>
      </c>
      <c r="D31" s="372" t="s">
        <v>2582</v>
      </c>
      <c r="E31" s="372" t="s">
        <v>9</v>
      </c>
      <c r="F31" s="350">
        <v>45470.90902777778</v>
      </c>
      <c r="G31" s="349">
        <v>6</v>
      </c>
      <c r="H31" s="372" t="s">
        <v>2557</v>
      </c>
      <c r="I31" s="349">
        <v>10860</v>
      </c>
      <c r="J31" s="372" t="s">
        <v>7405</v>
      </c>
      <c r="K31" s="349">
        <v>21.71</v>
      </c>
      <c r="L31" s="349">
        <v>0</v>
      </c>
      <c r="M31" s="349">
        <v>0</v>
      </c>
      <c r="N31" s="349">
        <v>7.2666300000000001</v>
      </c>
      <c r="O31" s="349">
        <f t="shared" si="0"/>
        <v>21.71</v>
      </c>
      <c r="P31" s="373">
        <f t="shared" si="1"/>
        <v>2.9876297540950896</v>
      </c>
    </row>
    <row r="32" spans="1:16">
      <c r="A32" s="348">
        <v>175</v>
      </c>
      <c r="B32" s="349">
        <v>32</v>
      </c>
      <c r="C32" s="372" t="s">
        <v>7379</v>
      </c>
      <c r="D32" s="372" t="s">
        <v>45</v>
      </c>
      <c r="E32" s="372" t="s">
        <v>9</v>
      </c>
      <c r="F32" s="350">
        <v>45471.499305555553</v>
      </c>
      <c r="G32" s="349">
        <v>6</v>
      </c>
      <c r="H32" s="372" t="s">
        <v>2557</v>
      </c>
      <c r="I32" s="349">
        <v>10920</v>
      </c>
      <c r="J32" s="372"/>
      <c r="K32" s="349">
        <v>7.99</v>
      </c>
      <c r="L32" s="349">
        <v>0</v>
      </c>
      <c r="M32" s="349">
        <v>0</v>
      </c>
      <c r="N32" s="349">
        <v>1</v>
      </c>
      <c r="O32" s="349">
        <f t="shared" si="0"/>
        <v>7.99</v>
      </c>
      <c r="P32" s="373">
        <f t="shared" si="1"/>
        <v>7.99</v>
      </c>
    </row>
    <row r="33" spans="1:16">
      <c r="A33" s="348">
        <v>176</v>
      </c>
      <c r="B33" s="349">
        <v>57</v>
      </c>
      <c r="C33" s="372" t="s">
        <v>7406</v>
      </c>
      <c r="D33" s="372" t="s">
        <v>45</v>
      </c>
      <c r="E33" s="372" t="s">
        <v>9</v>
      </c>
      <c r="F33" s="350">
        <v>45471.575694444444</v>
      </c>
      <c r="G33" s="349">
        <v>6</v>
      </c>
      <c r="H33" s="372" t="s">
        <v>2557</v>
      </c>
      <c r="I33" s="349">
        <v>11004</v>
      </c>
      <c r="J33" s="372" t="s">
        <v>7407</v>
      </c>
      <c r="K33" s="349">
        <v>1</v>
      </c>
      <c r="L33" s="349">
        <v>0</v>
      </c>
      <c r="M33" s="349">
        <v>0</v>
      </c>
      <c r="N33" s="349">
        <v>1</v>
      </c>
      <c r="O33" s="349">
        <f t="shared" si="0"/>
        <v>1</v>
      </c>
      <c r="P33" s="373">
        <f t="shared" si="1"/>
        <v>1</v>
      </c>
    </row>
    <row r="34" spans="1:16">
      <c r="A34" s="348">
        <v>177</v>
      </c>
      <c r="B34" s="349">
        <v>58</v>
      </c>
      <c r="C34" s="372" t="s">
        <v>2733</v>
      </c>
      <c r="D34" s="372" t="s">
        <v>45</v>
      </c>
      <c r="E34" s="372" t="s">
        <v>9</v>
      </c>
      <c r="F34" s="350">
        <v>45471.578472222223</v>
      </c>
      <c r="G34" s="349">
        <v>6</v>
      </c>
      <c r="H34" s="372" t="s">
        <v>2557</v>
      </c>
      <c r="I34" s="349">
        <v>11016</v>
      </c>
      <c r="J34" s="372" t="s">
        <v>7408</v>
      </c>
      <c r="K34" s="349">
        <v>1</v>
      </c>
      <c r="L34" s="349">
        <v>0.54</v>
      </c>
      <c r="M34" s="349">
        <v>0</v>
      </c>
      <c r="N34" s="349">
        <v>1</v>
      </c>
      <c r="O34" s="349">
        <f t="shared" si="0"/>
        <v>0.45999999999999996</v>
      </c>
      <c r="P34" s="373">
        <f t="shared" si="1"/>
        <v>0.45999999999999996</v>
      </c>
    </row>
    <row r="35" spans="1:16">
      <c r="A35" s="348">
        <v>178</v>
      </c>
      <c r="B35" s="349">
        <v>59</v>
      </c>
      <c r="C35" s="372" t="s">
        <v>7409</v>
      </c>
      <c r="D35" s="372" t="s">
        <v>45</v>
      </c>
      <c r="E35" s="372" t="s">
        <v>9</v>
      </c>
      <c r="F35" s="350">
        <v>45471.57916666667</v>
      </c>
      <c r="G35" s="349">
        <v>6</v>
      </c>
      <c r="H35" s="372" t="s">
        <v>2557</v>
      </c>
      <c r="I35" s="349">
        <v>11028</v>
      </c>
      <c r="J35" s="372" t="s">
        <v>7410</v>
      </c>
      <c r="K35" s="349">
        <v>1</v>
      </c>
      <c r="L35" s="349">
        <v>0</v>
      </c>
      <c r="M35" s="349">
        <v>0</v>
      </c>
      <c r="N35" s="349">
        <v>1</v>
      </c>
      <c r="O35" s="349">
        <f t="shared" si="0"/>
        <v>1</v>
      </c>
      <c r="P35" s="373">
        <f t="shared" si="1"/>
        <v>1</v>
      </c>
    </row>
    <row r="36" spans="1:16">
      <c r="A36" s="348">
        <v>179</v>
      </c>
      <c r="B36" s="349">
        <v>60</v>
      </c>
      <c r="C36" s="372" t="s">
        <v>3712</v>
      </c>
      <c r="D36" s="372" t="s">
        <v>45</v>
      </c>
      <c r="E36" s="372" t="s">
        <v>9</v>
      </c>
      <c r="F36" s="350">
        <v>45471.581944444442</v>
      </c>
      <c r="G36" s="349">
        <v>6</v>
      </c>
      <c r="H36" s="372" t="s">
        <v>2557</v>
      </c>
      <c r="I36" s="349">
        <v>11040</v>
      </c>
      <c r="J36" s="372" t="s">
        <v>7411</v>
      </c>
      <c r="K36" s="349">
        <v>1</v>
      </c>
      <c r="L36" s="349">
        <v>0.54</v>
      </c>
      <c r="M36" s="349">
        <v>0</v>
      </c>
      <c r="N36" s="349">
        <v>1</v>
      </c>
      <c r="O36" s="349">
        <f t="shared" si="0"/>
        <v>0.45999999999999996</v>
      </c>
      <c r="P36" s="373">
        <f t="shared" si="1"/>
        <v>0.45999999999999996</v>
      </c>
    </row>
    <row r="37" spans="1:16">
      <c r="A37" s="348">
        <v>180</v>
      </c>
      <c r="B37" s="349">
        <v>61</v>
      </c>
      <c r="C37" s="372" t="s">
        <v>7412</v>
      </c>
      <c r="D37" s="372" t="s">
        <v>45</v>
      </c>
      <c r="E37" s="372" t="s">
        <v>9</v>
      </c>
      <c r="F37" s="350">
        <v>45471.583333333336</v>
      </c>
      <c r="G37" s="349">
        <v>6</v>
      </c>
      <c r="H37" s="372" t="s">
        <v>2557</v>
      </c>
      <c r="I37" s="349">
        <v>11052</v>
      </c>
      <c r="J37" s="372" t="s">
        <v>7413</v>
      </c>
      <c r="K37" s="349">
        <v>1</v>
      </c>
      <c r="L37" s="349">
        <v>0.54</v>
      </c>
      <c r="M37" s="349">
        <v>0</v>
      </c>
      <c r="N37" s="349">
        <v>1</v>
      </c>
      <c r="O37" s="349">
        <f t="shared" si="0"/>
        <v>0.45999999999999996</v>
      </c>
      <c r="P37" s="373">
        <f t="shared" si="1"/>
        <v>0.45999999999999996</v>
      </c>
    </row>
    <row r="38" spans="1:16">
      <c r="A38" s="348">
        <v>181</v>
      </c>
      <c r="B38" s="349">
        <v>62</v>
      </c>
      <c r="C38" s="372" t="s">
        <v>5466</v>
      </c>
      <c r="D38" s="372" t="s">
        <v>45</v>
      </c>
      <c r="E38" s="372" t="s">
        <v>9</v>
      </c>
      <c r="F38" s="350">
        <v>45471.587500000001</v>
      </c>
      <c r="G38" s="349">
        <v>6</v>
      </c>
      <c r="H38" s="372" t="s">
        <v>2557</v>
      </c>
      <c r="I38" s="349">
        <v>11064</v>
      </c>
      <c r="J38" s="372" t="s">
        <v>7414</v>
      </c>
      <c r="K38" s="349">
        <v>1</v>
      </c>
      <c r="L38" s="349">
        <v>0.54</v>
      </c>
      <c r="M38" s="349">
        <v>0</v>
      </c>
      <c r="N38" s="349">
        <v>1</v>
      </c>
      <c r="O38" s="349">
        <f t="shared" si="0"/>
        <v>0.45999999999999996</v>
      </c>
      <c r="P38" s="373">
        <f t="shared" si="1"/>
        <v>0.45999999999999996</v>
      </c>
    </row>
    <row r="39" spans="1:16">
      <c r="A39" s="348">
        <v>182</v>
      </c>
      <c r="B39" s="349">
        <v>65</v>
      </c>
      <c r="C39" s="372" t="s">
        <v>3025</v>
      </c>
      <c r="D39" s="372" t="s">
        <v>45</v>
      </c>
      <c r="E39" s="372" t="s">
        <v>9</v>
      </c>
      <c r="F39" s="350">
        <v>45471.603472222225</v>
      </c>
      <c r="G39" s="349">
        <v>6</v>
      </c>
      <c r="H39" s="372" t="s">
        <v>2557</v>
      </c>
      <c r="I39" s="349">
        <v>11088</v>
      </c>
      <c r="J39" s="372" t="s">
        <v>7415</v>
      </c>
      <c r="K39" s="349">
        <v>1</v>
      </c>
      <c r="L39" s="349">
        <v>0</v>
      </c>
      <c r="M39" s="349">
        <v>0</v>
      </c>
      <c r="N39" s="349">
        <v>1</v>
      </c>
      <c r="O39" s="349">
        <f t="shared" si="0"/>
        <v>1</v>
      </c>
      <c r="P39" s="373">
        <f t="shared" si="1"/>
        <v>1</v>
      </c>
    </row>
    <row r="40" spans="1:16">
      <c r="A40" s="348">
        <v>183</v>
      </c>
      <c r="B40" s="349">
        <v>66</v>
      </c>
      <c r="C40" s="372" t="s">
        <v>2598</v>
      </c>
      <c r="D40" s="372" t="s">
        <v>2582</v>
      </c>
      <c r="E40" s="372" t="s">
        <v>9</v>
      </c>
      <c r="F40" s="350">
        <v>45471.618750000001</v>
      </c>
      <c r="G40" s="349">
        <v>6</v>
      </c>
      <c r="H40" s="372" t="s">
        <v>2557</v>
      </c>
      <c r="I40" s="349">
        <v>11100</v>
      </c>
      <c r="J40" s="372" t="s">
        <v>7416</v>
      </c>
      <c r="K40" s="349">
        <v>7.26</v>
      </c>
      <c r="L40" s="349">
        <v>0</v>
      </c>
      <c r="M40" s="349">
        <v>0</v>
      </c>
      <c r="N40" s="349">
        <v>7.2686099999999998</v>
      </c>
      <c r="O40" s="349">
        <f t="shared" si="0"/>
        <v>7.26</v>
      </c>
      <c r="P40" s="373">
        <f t="shared" si="1"/>
        <v>0.99881545439912167</v>
      </c>
    </row>
    <row r="41" spans="1:16">
      <c r="A41" s="348">
        <v>184</v>
      </c>
      <c r="B41" s="349">
        <v>56</v>
      </c>
      <c r="C41" s="372" t="s">
        <v>7417</v>
      </c>
      <c r="D41" s="372" t="s">
        <v>45</v>
      </c>
      <c r="E41" s="372" t="s">
        <v>9</v>
      </c>
      <c r="F41" s="350">
        <v>45471.637499999997</v>
      </c>
      <c r="G41" s="349">
        <v>6</v>
      </c>
      <c r="H41" s="372" t="s">
        <v>2557</v>
      </c>
      <c r="I41" s="349">
        <v>11112</v>
      </c>
      <c r="J41" s="372" t="s">
        <v>7418</v>
      </c>
      <c r="K41" s="349">
        <v>1</v>
      </c>
      <c r="L41" s="349">
        <v>0</v>
      </c>
      <c r="M41" s="349">
        <v>0</v>
      </c>
      <c r="N41" s="349">
        <v>1</v>
      </c>
      <c r="O41" s="349">
        <f t="shared" si="0"/>
        <v>1</v>
      </c>
      <c r="P41" s="373">
        <f t="shared" si="1"/>
        <v>1</v>
      </c>
    </row>
    <row r="42" spans="1:16">
      <c r="A42" s="348">
        <v>185</v>
      </c>
      <c r="B42" s="349">
        <v>66</v>
      </c>
      <c r="C42" s="372" t="s">
        <v>2598</v>
      </c>
      <c r="D42" s="372" t="s">
        <v>2582</v>
      </c>
      <c r="E42" s="372" t="s">
        <v>9</v>
      </c>
      <c r="F42" s="350">
        <v>45471.645138888889</v>
      </c>
      <c r="G42" s="349">
        <v>6</v>
      </c>
      <c r="H42" s="372" t="s">
        <v>2557</v>
      </c>
      <c r="I42" s="349">
        <v>11100</v>
      </c>
      <c r="J42" s="372"/>
      <c r="K42" s="349">
        <v>0.01</v>
      </c>
      <c r="L42" s="349">
        <v>0</v>
      </c>
      <c r="M42" s="349">
        <v>0</v>
      </c>
      <c r="N42" s="349">
        <v>7.2686099999999998</v>
      </c>
      <c r="O42" s="349">
        <f t="shared" si="0"/>
        <v>0.01</v>
      </c>
      <c r="P42" s="373">
        <f t="shared" si="1"/>
        <v>1.3757788628087078E-3</v>
      </c>
    </row>
    <row r="43" spans="1:16">
      <c r="A43" s="348">
        <v>186</v>
      </c>
      <c r="B43" s="349">
        <v>68</v>
      </c>
      <c r="C43" s="372" t="s">
        <v>7419</v>
      </c>
      <c r="D43" s="372" t="s">
        <v>45</v>
      </c>
      <c r="E43" s="372" t="s">
        <v>9</v>
      </c>
      <c r="F43" s="350">
        <v>45471.648611111108</v>
      </c>
      <c r="G43" s="349">
        <v>6</v>
      </c>
      <c r="H43" s="372" t="s">
        <v>2557</v>
      </c>
      <c r="I43" s="349">
        <v>11124</v>
      </c>
      <c r="J43" s="372" t="s">
        <v>7420</v>
      </c>
      <c r="K43" s="349">
        <v>4.99</v>
      </c>
      <c r="L43" s="349">
        <v>0</v>
      </c>
      <c r="M43" s="349">
        <v>0</v>
      </c>
      <c r="N43" s="349">
        <v>1</v>
      </c>
      <c r="O43" s="349">
        <f t="shared" si="0"/>
        <v>4.99</v>
      </c>
      <c r="P43" s="373">
        <f t="shared" si="1"/>
        <v>4.99</v>
      </c>
    </row>
    <row r="44" spans="1:16">
      <c r="A44" s="348">
        <v>187</v>
      </c>
      <c r="B44" s="349">
        <v>70</v>
      </c>
      <c r="C44" s="372" t="s">
        <v>4923</v>
      </c>
      <c r="D44" s="372" t="s">
        <v>45</v>
      </c>
      <c r="E44" s="372" t="s">
        <v>9</v>
      </c>
      <c r="F44" s="350">
        <v>45471.650694444441</v>
      </c>
      <c r="G44" s="349">
        <v>6</v>
      </c>
      <c r="H44" s="372" t="s">
        <v>2557</v>
      </c>
      <c r="I44" s="349">
        <v>11148</v>
      </c>
      <c r="J44" s="372" t="s">
        <v>7421</v>
      </c>
      <c r="K44" s="349">
        <v>1</v>
      </c>
      <c r="L44" s="349">
        <v>0.54</v>
      </c>
      <c r="M44" s="349">
        <v>0</v>
      </c>
      <c r="N44" s="349">
        <v>1</v>
      </c>
      <c r="O44" s="349">
        <f t="shared" si="0"/>
        <v>0.45999999999999996</v>
      </c>
      <c r="P44" s="373">
        <f t="shared" si="1"/>
        <v>0.45999999999999996</v>
      </c>
    </row>
    <row r="45" spans="1:16">
      <c r="A45" s="348">
        <v>188</v>
      </c>
      <c r="B45" s="349">
        <v>72</v>
      </c>
      <c r="C45" s="372" t="s">
        <v>7422</v>
      </c>
      <c r="D45" s="372" t="s">
        <v>45</v>
      </c>
      <c r="E45" s="372" t="s">
        <v>9</v>
      </c>
      <c r="F45" s="350">
        <v>45471.650694444441</v>
      </c>
      <c r="G45" s="349">
        <v>6</v>
      </c>
      <c r="H45" s="372" t="s">
        <v>2557</v>
      </c>
      <c r="I45" s="349">
        <v>11160</v>
      </c>
      <c r="J45" s="372" t="s">
        <v>7423</v>
      </c>
      <c r="K45" s="349">
        <v>1</v>
      </c>
      <c r="L45" s="349">
        <v>0</v>
      </c>
      <c r="M45" s="349">
        <v>0</v>
      </c>
      <c r="N45" s="349">
        <v>1</v>
      </c>
      <c r="O45" s="349">
        <f t="shared" si="0"/>
        <v>1</v>
      </c>
      <c r="P45" s="373">
        <f t="shared" si="1"/>
        <v>1</v>
      </c>
    </row>
    <row r="46" spans="1:16">
      <c r="A46" s="348">
        <v>189</v>
      </c>
      <c r="B46" s="349">
        <v>71</v>
      </c>
      <c r="C46" s="372" t="s">
        <v>7424</v>
      </c>
      <c r="D46" s="372" t="s">
        <v>2582</v>
      </c>
      <c r="E46" s="372" t="s">
        <v>9</v>
      </c>
      <c r="F46" s="350">
        <v>45471.65347222222</v>
      </c>
      <c r="G46" s="349">
        <v>6</v>
      </c>
      <c r="H46" s="372" t="s">
        <v>2557</v>
      </c>
      <c r="I46" s="349">
        <v>11172</v>
      </c>
      <c r="J46" s="372" t="s">
        <v>7425</v>
      </c>
      <c r="K46" s="349">
        <v>7.26</v>
      </c>
      <c r="L46" s="349">
        <v>0</v>
      </c>
      <c r="M46" s="349">
        <v>0</v>
      </c>
      <c r="N46" s="349">
        <v>7.2686099999999998</v>
      </c>
      <c r="O46" s="349">
        <f t="shared" si="0"/>
        <v>7.26</v>
      </c>
      <c r="P46" s="373">
        <f t="shared" si="1"/>
        <v>0.99881545439912167</v>
      </c>
    </row>
    <row r="47" spans="1:16">
      <c r="A47" s="348">
        <v>190</v>
      </c>
      <c r="B47" s="349">
        <v>74</v>
      </c>
      <c r="C47" s="372" t="s">
        <v>7426</v>
      </c>
      <c r="D47" s="372" t="s">
        <v>45</v>
      </c>
      <c r="E47" s="372" t="s">
        <v>9</v>
      </c>
      <c r="F47" s="350">
        <v>45471.747916666667</v>
      </c>
      <c r="G47" s="349">
        <v>6</v>
      </c>
      <c r="H47" s="372" t="s">
        <v>2557</v>
      </c>
      <c r="I47" s="349">
        <v>11184</v>
      </c>
      <c r="J47" s="372" t="s">
        <v>7427</v>
      </c>
      <c r="K47" s="349">
        <v>1</v>
      </c>
      <c r="L47" s="349">
        <v>0</v>
      </c>
      <c r="M47" s="349">
        <v>0</v>
      </c>
      <c r="N47" s="349">
        <v>1</v>
      </c>
      <c r="O47" s="349">
        <f t="shared" si="0"/>
        <v>1</v>
      </c>
      <c r="P47" s="373">
        <f t="shared" si="1"/>
        <v>1</v>
      </c>
    </row>
    <row r="48" spans="1:16">
      <c r="A48" s="348">
        <v>191</v>
      </c>
      <c r="B48" s="349">
        <v>79</v>
      </c>
      <c r="C48" s="372" t="s">
        <v>4697</v>
      </c>
      <c r="D48" s="372" t="s">
        <v>45</v>
      </c>
      <c r="E48" s="372" t="s">
        <v>9</v>
      </c>
      <c r="F48" s="350">
        <v>45471.957638888889</v>
      </c>
      <c r="G48" s="349">
        <v>6</v>
      </c>
      <c r="H48" s="372" t="s">
        <v>2557</v>
      </c>
      <c r="I48" s="349">
        <v>11244</v>
      </c>
      <c r="J48" s="372" t="s">
        <v>7428</v>
      </c>
      <c r="K48" s="349">
        <v>1</v>
      </c>
      <c r="L48" s="349">
        <v>0.52</v>
      </c>
      <c r="M48" s="349">
        <v>0</v>
      </c>
      <c r="N48" s="349">
        <v>1</v>
      </c>
      <c r="O48" s="349">
        <f t="shared" si="0"/>
        <v>0.48</v>
      </c>
      <c r="P48" s="373">
        <f t="shared" si="1"/>
        <v>0.48</v>
      </c>
    </row>
    <row r="49" spans="1:16">
      <c r="A49" s="348">
        <v>192</v>
      </c>
      <c r="B49" s="349">
        <v>33</v>
      </c>
      <c r="C49" s="372" t="s">
        <v>7385</v>
      </c>
      <c r="D49" s="372" t="s">
        <v>45</v>
      </c>
      <c r="E49" s="372" t="s">
        <v>7429</v>
      </c>
      <c r="F49" s="350">
        <v>45472</v>
      </c>
      <c r="G49" s="349">
        <v>6</v>
      </c>
      <c r="H49" s="372" t="s">
        <v>2557</v>
      </c>
      <c r="I49" s="349">
        <v>11280</v>
      </c>
      <c r="J49" s="372" t="s">
        <v>7430</v>
      </c>
      <c r="K49" s="349">
        <v>0</v>
      </c>
      <c r="L49" s="349">
        <v>0.31</v>
      </c>
      <c r="M49" s="349">
        <v>0</v>
      </c>
      <c r="N49" s="349">
        <v>1</v>
      </c>
      <c r="O49" s="349">
        <f t="shared" si="0"/>
        <v>-0.31</v>
      </c>
      <c r="P49" s="373">
        <f t="shared" si="1"/>
        <v>-0.31</v>
      </c>
    </row>
    <row r="50" spans="1:16">
      <c r="A50" s="348">
        <v>193</v>
      </c>
      <c r="B50" s="349">
        <v>33</v>
      </c>
      <c r="C50" s="372" t="s">
        <v>7385</v>
      </c>
      <c r="D50" s="372" t="s">
        <v>45</v>
      </c>
      <c r="E50" s="372" t="s">
        <v>7429</v>
      </c>
      <c r="F50" s="350">
        <v>45472</v>
      </c>
      <c r="G50" s="349">
        <v>6</v>
      </c>
      <c r="H50" s="372" t="s">
        <v>2557</v>
      </c>
      <c r="I50" s="349">
        <v>11292</v>
      </c>
      <c r="J50" s="372" t="s">
        <v>7431</v>
      </c>
      <c r="K50" s="349">
        <v>0</v>
      </c>
      <c r="L50" s="349">
        <v>0.31</v>
      </c>
      <c r="M50" s="349">
        <v>0</v>
      </c>
      <c r="N50" s="349">
        <v>1</v>
      </c>
      <c r="O50" s="349">
        <f t="shared" si="0"/>
        <v>-0.31</v>
      </c>
      <c r="P50" s="373">
        <f t="shared" si="1"/>
        <v>-0.31</v>
      </c>
    </row>
    <row r="51" spans="1:16">
      <c r="A51" s="348">
        <v>194</v>
      </c>
      <c r="B51" s="349">
        <v>56</v>
      </c>
      <c r="C51" s="372" t="s">
        <v>7417</v>
      </c>
      <c r="D51" s="372" t="s">
        <v>45</v>
      </c>
      <c r="E51" s="372" t="s">
        <v>2572</v>
      </c>
      <c r="F51" s="350">
        <v>45472</v>
      </c>
      <c r="G51" s="349">
        <v>6</v>
      </c>
      <c r="H51" s="372" t="s">
        <v>2557</v>
      </c>
      <c r="I51" s="349">
        <v>11304</v>
      </c>
      <c r="J51" s="372" t="s">
        <v>7432</v>
      </c>
      <c r="K51" s="349">
        <v>0</v>
      </c>
      <c r="L51" s="349">
        <v>0</v>
      </c>
      <c r="M51" s="349">
        <v>0</v>
      </c>
      <c r="N51" s="349">
        <v>1</v>
      </c>
      <c r="O51" s="349">
        <f t="shared" si="0"/>
        <v>0</v>
      </c>
      <c r="P51" s="373">
        <f t="shared" si="1"/>
        <v>0</v>
      </c>
    </row>
    <row r="52" spans="1:16">
      <c r="A52" s="348">
        <v>195</v>
      </c>
      <c r="B52" s="349">
        <v>82</v>
      </c>
      <c r="C52" s="372" t="s">
        <v>7433</v>
      </c>
      <c r="D52" s="372" t="s">
        <v>45</v>
      </c>
      <c r="E52" s="372" t="s">
        <v>9</v>
      </c>
      <c r="F52" s="350">
        <v>45472.675694444442</v>
      </c>
      <c r="G52" s="349">
        <v>6</v>
      </c>
      <c r="H52" s="372" t="s">
        <v>2557</v>
      </c>
      <c r="I52" s="349">
        <v>11316</v>
      </c>
      <c r="J52" s="372" t="s">
        <v>7434</v>
      </c>
      <c r="K52" s="349">
        <v>1</v>
      </c>
      <c r="L52" s="349">
        <v>0.54</v>
      </c>
      <c r="M52" s="349">
        <v>0</v>
      </c>
      <c r="N52" s="349">
        <v>1</v>
      </c>
      <c r="O52" s="349">
        <f t="shared" si="0"/>
        <v>0.45999999999999996</v>
      </c>
      <c r="P52" s="373">
        <f t="shared" si="1"/>
        <v>0.45999999999999996</v>
      </c>
    </row>
    <row r="53" spans="1:16">
      <c r="A53" s="348">
        <v>196</v>
      </c>
      <c r="B53" s="349">
        <v>82</v>
      </c>
      <c r="C53" s="372" t="s">
        <v>7433</v>
      </c>
      <c r="D53" s="372" t="s">
        <v>45</v>
      </c>
      <c r="E53" s="372" t="s">
        <v>9</v>
      </c>
      <c r="F53" s="350">
        <v>45472.740277777775</v>
      </c>
      <c r="G53" s="349">
        <v>6</v>
      </c>
      <c r="H53" s="372" t="s">
        <v>7435</v>
      </c>
      <c r="I53" s="349">
        <v>11316</v>
      </c>
      <c r="J53" s="372" t="s">
        <v>7436</v>
      </c>
      <c r="K53" s="349">
        <v>0</v>
      </c>
      <c r="L53" s="349">
        <v>-0.54</v>
      </c>
      <c r="M53" s="349">
        <v>1</v>
      </c>
      <c r="N53" s="349">
        <v>1</v>
      </c>
      <c r="O53" s="349">
        <f t="shared" si="0"/>
        <v>-0.45999999999999996</v>
      </c>
      <c r="P53" s="373">
        <f t="shared" si="1"/>
        <v>-0.45999999999999996</v>
      </c>
    </row>
    <row r="54" spans="1:16">
      <c r="A54" s="348">
        <v>197</v>
      </c>
      <c r="B54" s="349">
        <v>55</v>
      </c>
      <c r="C54" s="372" t="s">
        <v>7437</v>
      </c>
      <c r="D54" s="372" t="s">
        <v>45</v>
      </c>
      <c r="E54" s="372" t="s">
        <v>9</v>
      </c>
      <c r="F54" s="350">
        <v>45473</v>
      </c>
      <c r="G54" s="349">
        <v>6</v>
      </c>
      <c r="H54" s="372" t="s">
        <v>2557</v>
      </c>
      <c r="I54" s="349">
        <v>11328</v>
      </c>
      <c r="J54" s="372"/>
      <c r="K54" s="349">
        <v>0</v>
      </c>
      <c r="L54" s="349">
        <v>0</v>
      </c>
      <c r="M54" s="349">
        <v>0</v>
      </c>
      <c r="N54" s="349">
        <v>1</v>
      </c>
      <c r="O54" s="349">
        <f t="shared" si="0"/>
        <v>0</v>
      </c>
      <c r="P54" s="373">
        <f t="shared" si="1"/>
        <v>0</v>
      </c>
    </row>
    <row r="55" spans="1:16">
      <c r="A55" s="348">
        <v>198</v>
      </c>
      <c r="B55" s="349">
        <v>84</v>
      </c>
      <c r="C55" s="372" t="s">
        <v>7438</v>
      </c>
      <c r="D55" s="372" t="s">
        <v>45</v>
      </c>
      <c r="E55" s="372" t="s">
        <v>2572</v>
      </c>
      <c r="F55" s="350">
        <v>45473.473611111112</v>
      </c>
      <c r="G55" s="349">
        <v>6</v>
      </c>
      <c r="H55" s="372" t="s">
        <v>2557</v>
      </c>
      <c r="I55" s="349">
        <v>11352</v>
      </c>
      <c r="J55" s="372"/>
      <c r="K55" s="349">
        <v>4.99</v>
      </c>
      <c r="L55" s="349">
        <v>0</v>
      </c>
      <c r="M55" s="349">
        <v>0</v>
      </c>
      <c r="N55" s="349">
        <v>1</v>
      </c>
      <c r="O55" s="349">
        <f t="shared" si="0"/>
        <v>4.99</v>
      </c>
      <c r="P55" s="373">
        <f t="shared" si="1"/>
        <v>4.99</v>
      </c>
    </row>
    <row r="56" spans="1:16">
      <c r="A56" s="348">
        <v>199</v>
      </c>
      <c r="B56" s="349">
        <v>75</v>
      </c>
      <c r="C56" s="372" t="s">
        <v>5029</v>
      </c>
      <c r="D56" s="372" t="s">
        <v>45</v>
      </c>
      <c r="E56" s="372" t="s">
        <v>9</v>
      </c>
      <c r="F56" s="350">
        <v>45474.637499999997</v>
      </c>
      <c r="G56" s="349">
        <v>7</v>
      </c>
      <c r="H56" s="372" t="s">
        <v>2557</v>
      </c>
      <c r="I56" s="349">
        <v>11388</v>
      </c>
      <c r="J56" s="372" t="s">
        <v>7439</v>
      </c>
      <c r="K56" s="349">
        <v>24</v>
      </c>
      <c r="L56" s="349">
        <v>1.69</v>
      </c>
      <c r="M56" s="349">
        <v>0</v>
      </c>
      <c r="N56" s="349">
        <v>1</v>
      </c>
      <c r="O56" s="349">
        <f t="shared" si="0"/>
        <v>22.31</v>
      </c>
      <c r="P56" s="373">
        <f t="shared" si="1"/>
        <v>22.31</v>
      </c>
    </row>
    <row r="57" spans="1:16">
      <c r="A57" s="348">
        <v>200</v>
      </c>
      <c r="B57" s="349">
        <v>88</v>
      </c>
      <c r="C57" s="372" t="s">
        <v>7440</v>
      </c>
      <c r="D57" s="372" t="s">
        <v>45</v>
      </c>
      <c r="E57" s="372" t="s">
        <v>2556</v>
      </c>
      <c r="F57" s="350">
        <v>45474.855555555558</v>
      </c>
      <c r="G57" s="349">
        <v>7</v>
      </c>
      <c r="H57" s="372" t="s">
        <v>2557</v>
      </c>
      <c r="I57" s="349">
        <v>11400</v>
      </c>
      <c r="J57" s="372"/>
      <c r="K57" s="349">
        <v>3.19</v>
      </c>
      <c r="L57" s="349">
        <v>0</v>
      </c>
      <c r="M57" s="349">
        <v>0</v>
      </c>
      <c r="N57" s="349">
        <v>1</v>
      </c>
      <c r="O57" s="349">
        <f t="shared" si="0"/>
        <v>3.19</v>
      </c>
      <c r="P57" s="373">
        <f t="shared" si="1"/>
        <v>3.19</v>
      </c>
    </row>
    <row r="58" spans="1:16">
      <c r="A58" s="348">
        <v>201</v>
      </c>
      <c r="B58" s="349">
        <v>56</v>
      </c>
      <c r="C58" s="372" t="s">
        <v>7417</v>
      </c>
      <c r="D58" s="372" t="s">
        <v>45</v>
      </c>
      <c r="E58" s="372" t="s">
        <v>2556</v>
      </c>
      <c r="F58" s="350">
        <v>45474.918055555558</v>
      </c>
      <c r="G58" s="349">
        <v>7</v>
      </c>
      <c r="H58" s="372" t="s">
        <v>2557</v>
      </c>
      <c r="I58" s="349">
        <v>11412</v>
      </c>
      <c r="J58" s="372" t="s">
        <v>7441</v>
      </c>
      <c r="K58" s="349">
        <v>1</v>
      </c>
      <c r="L58" s="349">
        <v>0</v>
      </c>
      <c r="M58" s="349">
        <v>0</v>
      </c>
      <c r="N58" s="349">
        <v>1</v>
      </c>
      <c r="O58" s="349">
        <f t="shared" si="0"/>
        <v>1</v>
      </c>
      <c r="P58" s="373">
        <f t="shared" si="1"/>
        <v>1</v>
      </c>
    </row>
    <row r="59" spans="1:16">
      <c r="A59" s="348">
        <v>202</v>
      </c>
      <c r="B59" s="349">
        <v>91</v>
      </c>
      <c r="C59" s="372" t="s">
        <v>7442</v>
      </c>
      <c r="D59" s="372" t="s">
        <v>45</v>
      </c>
      <c r="E59" s="372" t="s">
        <v>2556</v>
      </c>
      <c r="F59" s="350">
        <v>45475.944444444445</v>
      </c>
      <c r="G59" s="349">
        <v>7</v>
      </c>
      <c r="H59" s="372" t="s">
        <v>2557</v>
      </c>
      <c r="I59" s="349">
        <v>11964</v>
      </c>
      <c r="J59" s="372" t="s">
        <v>7443</v>
      </c>
      <c r="K59" s="349">
        <v>4.99</v>
      </c>
      <c r="L59" s="349">
        <v>0</v>
      </c>
      <c r="M59" s="349">
        <v>0</v>
      </c>
      <c r="N59" s="349">
        <v>1</v>
      </c>
      <c r="O59" s="349">
        <f t="shared" si="0"/>
        <v>4.99</v>
      </c>
      <c r="P59" s="373">
        <f t="shared" si="1"/>
        <v>4.99</v>
      </c>
    </row>
    <row r="60" spans="1:16">
      <c r="A60" s="348">
        <v>204</v>
      </c>
      <c r="B60" s="349">
        <v>94</v>
      </c>
      <c r="C60" s="372" t="s">
        <v>7444</v>
      </c>
      <c r="D60" s="372" t="s">
        <v>45</v>
      </c>
      <c r="E60" s="372" t="s">
        <v>2556</v>
      </c>
      <c r="F60" s="350">
        <v>45476.84375</v>
      </c>
      <c r="G60" s="349">
        <v>7</v>
      </c>
      <c r="H60" s="372" t="s">
        <v>2557</v>
      </c>
      <c r="I60" s="349">
        <v>12000</v>
      </c>
      <c r="J60" s="372" t="s">
        <v>7445</v>
      </c>
      <c r="K60" s="349">
        <v>1.0900000000000001</v>
      </c>
      <c r="L60" s="349">
        <v>0</v>
      </c>
      <c r="M60" s="349">
        <v>0</v>
      </c>
      <c r="N60" s="349">
        <v>1</v>
      </c>
      <c r="O60" s="349">
        <f t="shared" si="0"/>
        <v>1.0900000000000001</v>
      </c>
      <c r="P60" s="373">
        <f t="shared" si="1"/>
        <v>1.0900000000000001</v>
      </c>
    </row>
    <row r="61" spans="1:16">
      <c r="A61" s="348">
        <v>205</v>
      </c>
      <c r="B61" s="349">
        <v>94</v>
      </c>
      <c r="C61" s="372" t="s">
        <v>7444</v>
      </c>
      <c r="D61" s="372" t="s">
        <v>45</v>
      </c>
      <c r="E61" s="372" t="s">
        <v>2556</v>
      </c>
      <c r="F61" s="350">
        <v>45476.84375</v>
      </c>
      <c r="G61" s="349">
        <v>7</v>
      </c>
      <c r="H61" s="372" t="s">
        <v>2557</v>
      </c>
      <c r="I61" s="349">
        <v>12000</v>
      </c>
      <c r="J61" s="372" t="s">
        <v>7445</v>
      </c>
      <c r="K61" s="349">
        <v>1.0900000000000001</v>
      </c>
      <c r="L61" s="349">
        <v>0</v>
      </c>
      <c r="M61" s="349">
        <v>0</v>
      </c>
      <c r="N61" s="349">
        <v>1</v>
      </c>
      <c r="O61" s="349">
        <f t="shared" si="0"/>
        <v>1.0900000000000001</v>
      </c>
      <c r="P61" s="373">
        <f t="shared" si="1"/>
        <v>1.0900000000000001</v>
      </c>
    </row>
    <row r="62" spans="1:16">
      <c r="A62" s="348">
        <v>206</v>
      </c>
      <c r="B62" s="349">
        <v>93</v>
      </c>
      <c r="C62" s="372" t="s">
        <v>2598</v>
      </c>
      <c r="D62" s="372" t="s">
        <v>45</v>
      </c>
      <c r="E62" s="372" t="s">
        <v>9</v>
      </c>
      <c r="F62" s="350">
        <v>45476.854861111111</v>
      </c>
      <c r="G62" s="349">
        <v>7</v>
      </c>
      <c r="H62" s="372" t="s">
        <v>2557</v>
      </c>
      <c r="I62" s="349">
        <v>11988</v>
      </c>
      <c r="J62" s="372" t="s">
        <v>7446</v>
      </c>
      <c r="K62" s="349">
        <v>1.0900000000000001</v>
      </c>
      <c r="L62" s="349">
        <v>0.54</v>
      </c>
      <c r="M62" s="349">
        <v>0</v>
      </c>
      <c r="N62" s="349">
        <v>1</v>
      </c>
      <c r="O62" s="349">
        <f t="shared" si="0"/>
        <v>0.55000000000000004</v>
      </c>
      <c r="P62" s="373">
        <f t="shared" si="1"/>
        <v>0.55000000000000004</v>
      </c>
    </row>
    <row r="63" spans="1:16">
      <c r="A63" s="348">
        <v>207</v>
      </c>
      <c r="B63" s="349">
        <v>98</v>
      </c>
      <c r="C63" s="372" t="s">
        <v>4860</v>
      </c>
      <c r="D63" s="372" t="s">
        <v>45</v>
      </c>
      <c r="E63" s="372" t="s">
        <v>9</v>
      </c>
      <c r="F63" s="350">
        <v>45476.863888888889</v>
      </c>
      <c r="G63" s="349">
        <v>7</v>
      </c>
      <c r="H63" s="372" t="s">
        <v>2557</v>
      </c>
      <c r="I63" s="349">
        <v>12024</v>
      </c>
      <c r="J63" s="372" t="s">
        <v>7447</v>
      </c>
      <c r="K63" s="349">
        <v>1.88</v>
      </c>
      <c r="L63" s="349">
        <v>0.57999999999999996</v>
      </c>
      <c r="M63" s="349">
        <v>0</v>
      </c>
      <c r="N63" s="349">
        <v>1</v>
      </c>
      <c r="O63" s="349">
        <f t="shared" si="0"/>
        <v>1.2999999999999998</v>
      </c>
      <c r="P63" s="373">
        <f t="shared" si="1"/>
        <v>1.2999999999999998</v>
      </c>
    </row>
    <row r="64" spans="1:16">
      <c r="A64" s="348">
        <v>208</v>
      </c>
      <c r="B64" s="349">
        <v>101</v>
      </c>
      <c r="C64" s="372" t="s">
        <v>7448</v>
      </c>
      <c r="D64" s="372" t="s">
        <v>45</v>
      </c>
      <c r="E64" s="372" t="s">
        <v>9</v>
      </c>
      <c r="F64" s="350">
        <v>45476.865972222222</v>
      </c>
      <c r="G64" s="349">
        <v>7</v>
      </c>
      <c r="H64" s="372" t="s">
        <v>2557</v>
      </c>
      <c r="I64" s="349">
        <v>12048</v>
      </c>
      <c r="J64" s="372" t="s">
        <v>7449</v>
      </c>
      <c r="K64" s="349">
        <v>1.88</v>
      </c>
      <c r="L64" s="349">
        <v>0.57999999999999996</v>
      </c>
      <c r="M64" s="349">
        <v>0</v>
      </c>
      <c r="N64" s="349">
        <v>1</v>
      </c>
      <c r="O64" s="349">
        <f t="shared" si="0"/>
        <v>1.2999999999999998</v>
      </c>
      <c r="P64" s="373">
        <f t="shared" si="1"/>
        <v>1.2999999999999998</v>
      </c>
    </row>
    <row r="65" spans="1:16">
      <c r="A65" s="348">
        <v>209</v>
      </c>
      <c r="B65" s="349">
        <v>99</v>
      </c>
      <c r="C65" s="372" t="s">
        <v>7450</v>
      </c>
      <c r="D65" s="372" t="s">
        <v>45</v>
      </c>
      <c r="E65" s="372" t="s">
        <v>2556</v>
      </c>
      <c r="F65" s="350">
        <v>45476.912499999999</v>
      </c>
      <c r="G65" s="349">
        <v>7</v>
      </c>
      <c r="H65" s="372" t="s">
        <v>2557</v>
      </c>
      <c r="I65" s="349">
        <v>12036</v>
      </c>
      <c r="J65" s="372" t="s">
        <v>7451</v>
      </c>
      <c r="K65" s="349">
        <v>1.88</v>
      </c>
      <c r="L65" s="349">
        <v>0</v>
      </c>
      <c r="M65" s="349">
        <v>0</v>
      </c>
      <c r="N65" s="349">
        <v>1</v>
      </c>
      <c r="O65" s="349">
        <f t="shared" si="0"/>
        <v>1.88</v>
      </c>
      <c r="P65" s="373">
        <f t="shared" si="1"/>
        <v>1.88</v>
      </c>
    </row>
    <row r="66" spans="1:16">
      <c r="A66" s="348">
        <v>210</v>
      </c>
      <c r="B66" s="349">
        <v>102</v>
      </c>
      <c r="C66" s="372" t="s">
        <v>7452</v>
      </c>
      <c r="D66" s="372" t="s">
        <v>45</v>
      </c>
      <c r="E66" s="372" t="s">
        <v>9</v>
      </c>
      <c r="F66" s="350">
        <v>45476.913194444445</v>
      </c>
      <c r="G66" s="349">
        <v>7</v>
      </c>
      <c r="H66" s="372" t="s">
        <v>2557</v>
      </c>
      <c r="I66" s="349">
        <v>12049</v>
      </c>
      <c r="J66" s="372" t="s">
        <v>7453</v>
      </c>
      <c r="K66" s="349">
        <v>1.88</v>
      </c>
      <c r="L66" s="349">
        <v>0.57999999999999996</v>
      </c>
      <c r="M66" s="349">
        <v>0</v>
      </c>
      <c r="N66" s="349">
        <v>1</v>
      </c>
      <c r="O66" s="349">
        <f t="shared" si="0"/>
        <v>1.2999999999999998</v>
      </c>
      <c r="P66" s="373">
        <f t="shared" si="1"/>
        <v>1.2999999999999998</v>
      </c>
    </row>
    <row r="67" spans="1:16">
      <c r="A67" s="348">
        <v>211</v>
      </c>
      <c r="B67" s="349">
        <v>65</v>
      </c>
      <c r="C67" s="372" t="s">
        <v>3025</v>
      </c>
      <c r="D67" s="372" t="s">
        <v>45</v>
      </c>
      <c r="E67" s="372" t="s">
        <v>9</v>
      </c>
      <c r="F67" s="350">
        <v>45476.918055555558</v>
      </c>
      <c r="G67" s="349">
        <v>7</v>
      </c>
      <c r="H67" s="372" t="s">
        <v>2557</v>
      </c>
      <c r="I67" s="349">
        <v>12073</v>
      </c>
      <c r="J67" s="372" t="s">
        <v>7454</v>
      </c>
      <c r="K67" s="349">
        <v>1.88</v>
      </c>
      <c r="L67" s="349">
        <v>0.57999999999999996</v>
      </c>
      <c r="M67" s="349">
        <v>0</v>
      </c>
      <c r="N67" s="349">
        <v>1</v>
      </c>
      <c r="O67" s="349">
        <f t="shared" si="0"/>
        <v>1.2999999999999998</v>
      </c>
      <c r="P67" s="373">
        <f t="shared" si="1"/>
        <v>1.2999999999999998</v>
      </c>
    </row>
    <row r="68" spans="1:16">
      <c r="A68" s="348">
        <v>212</v>
      </c>
      <c r="B68" s="349">
        <v>104</v>
      </c>
      <c r="C68" s="372" t="s">
        <v>7455</v>
      </c>
      <c r="D68" s="372" t="s">
        <v>45</v>
      </c>
      <c r="E68" s="372" t="s">
        <v>2556</v>
      </c>
      <c r="F68" s="350">
        <v>45476.932638888888</v>
      </c>
      <c r="G68" s="349">
        <v>7</v>
      </c>
      <c r="H68" s="372" t="s">
        <v>2557</v>
      </c>
      <c r="I68" s="349">
        <v>12086</v>
      </c>
      <c r="J68" s="372" t="s">
        <v>7456</v>
      </c>
      <c r="K68" s="349">
        <v>1.88</v>
      </c>
      <c r="L68" s="349">
        <v>0</v>
      </c>
      <c r="M68" s="349">
        <v>0</v>
      </c>
      <c r="N68" s="349">
        <v>1</v>
      </c>
      <c r="O68" s="349">
        <f t="shared" si="0"/>
        <v>1.88</v>
      </c>
      <c r="P68" s="373">
        <f t="shared" si="1"/>
        <v>1.88</v>
      </c>
    </row>
    <row r="69" spans="1:16">
      <c r="A69" s="348">
        <v>213</v>
      </c>
      <c r="B69" s="349">
        <v>104</v>
      </c>
      <c r="C69" s="372" t="s">
        <v>7455</v>
      </c>
      <c r="D69" s="372" t="s">
        <v>45</v>
      </c>
      <c r="E69" s="372" t="s">
        <v>2556</v>
      </c>
      <c r="F69" s="350">
        <v>45476.973611111112</v>
      </c>
      <c r="G69" s="349">
        <v>7</v>
      </c>
      <c r="H69" s="372" t="s">
        <v>2557</v>
      </c>
      <c r="I69" s="349">
        <v>12086</v>
      </c>
      <c r="J69" s="372" t="s">
        <v>7456</v>
      </c>
      <c r="K69" s="349">
        <v>1.88</v>
      </c>
      <c r="L69" s="349">
        <v>0</v>
      </c>
      <c r="M69" s="349">
        <v>0</v>
      </c>
      <c r="N69" s="349">
        <v>1</v>
      </c>
      <c r="O69" s="349">
        <f t="shared" si="0"/>
        <v>1.88</v>
      </c>
      <c r="P69" s="373">
        <f t="shared" si="1"/>
        <v>1.88</v>
      </c>
    </row>
    <row r="70" spans="1:16">
      <c r="A70" s="348">
        <v>214</v>
      </c>
      <c r="B70" s="349">
        <v>108</v>
      </c>
      <c r="C70" s="372" t="s">
        <v>7457</v>
      </c>
      <c r="D70" s="372" t="s">
        <v>45</v>
      </c>
      <c r="E70" s="372" t="s">
        <v>2556</v>
      </c>
      <c r="F70" s="350">
        <v>45476.984722222223</v>
      </c>
      <c r="G70" s="349">
        <v>7</v>
      </c>
      <c r="H70" s="372" t="s">
        <v>2557</v>
      </c>
      <c r="I70" s="349">
        <v>12099</v>
      </c>
      <c r="J70" s="372" t="s">
        <v>7458</v>
      </c>
      <c r="K70" s="349">
        <v>1.88</v>
      </c>
      <c r="L70" s="349">
        <v>0</v>
      </c>
      <c r="M70" s="349">
        <v>0</v>
      </c>
      <c r="N70" s="349">
        <v>1</v>
      </c>
      <c r="O70" s="349">
        <f t="shared" si="0"/>
        <v>1.88</v>
      </c>
      <c r="P70" s="373">
        <f t="shared" si="1"/>
        <v>1.88</v>
      </c>
    </row>
    <row r="71" spans="1:16">
      <c r="A71" s="348">
        <v>215</v>
      </c>
      <c r="B71" s="349">
        <v>100</v>
      </c>
      <c r="C71" s="372" t="s">
        <v>7459</v>
      </c>
      <c r="D71" s="372" t="s">
        <v>45</v>
      </c>
      <c r="E71" s="372" t="s">
        <v>2556</v>
      </c>
      <c r="F71" s="350">
        <v>45476.986111111109</v>
      </c>
      <c r="G71" s="349">
        <v>7</v>
      </c>
      <c r="H71" s="372" t="s">
        <v>2557</v>
      </c>
      <c r="I71" s="349">
        <v>12012</v>
      </c>
      <c r="J71" s="372" t="s">
        <v>7460</v>
      </c>
      <c r="K71" s="349">
        <v>1.88</v>
      </c>
      <c r="L71" s="349">
        <v>0</v>
      </c>
      <c r="M71" s="349">
        <v>0</v>
      </c>
      <c r="N71" s="349">
        <v>1</v>
      </c>
      <c r="O71" s="349">
        <f t="shared" si="0"/>
        <v>1.88</v>
      </c>
      <c r="P71" s="373">
        <f t="shared" si="1"/>
        <v>1.88</v>
      </c>
    </row>
    <row r="72" spans="1:16">
      <c r="A72" s="348">
        <v>216</v>
      </c>
      <c r="B72" s="349">
        <v>109</v>
      </c>
      <c r="C72" s="372" t="s">
        <v>7461</v>
      </c>
      <c r="D72" s="372" t="s">
        <v>45</v>
      </c>
      <c r="E72" s="372" t="s">
        <v>2556</v>
      </c>
      <c r="F72" s="350">
        <v>45476.986111111109</v>
      </c>
      <c r="G72" s="349">
        <v>7</v>
      </c>
      <c r="H72" s="372" t="s">
        <v>2557</v>
      </c>
      <c r="I72" s="349">
        <v>12123</v>
      </c>
      <c r="J72" s="372" t="s">
        <v>7462</v>
      </c>
      <c r="K72" s="349">
        <v>1.88</v>
      </c>
      <c r="L72" s="349">
        <v>0</v>
      </c>
      <c r="M72" s="349">
        <v>0</v>
      </c>
      <c r="N72" s="349">
        <v>1</v>
      </c>
      <c r="O72" s="349">
        <f t="shared" si="0"/>
        <v>1.88</v>
      </c>
      <c r="P72" s="373">
        <f t="shared" si="1"/>
        <v>1.88</v>
      </c>
    </row>
    <row r="73" spans="1:16">
      <c r="A73" s="348">
        <v>217</v>
      </c>
      <c r="B73" s="349">
        <v>110</v>
      </c>
      <c r="C73" s="372" t="s">
        <v>2598</v>
      </c>
      <c r="D73" s="372" t="s">
        <v>45</v>
      </c>
      <c r="E73" s="372" t="s">
        <v>2556</v>
      </c>
      <c r="F73" s="350">
        <v>45476.986805555556</v>
      </c>
      <c r="G73" s="349">
        <v>7</v>
      </c>
      <c r="H73" s="372" t="s">
        <v>2557</v>
      </c>
      <c r="I73" s="349">
        <v>12147</v>
      </c>
      <c r="J73" s="372" t="s">
        <v>7463</v>
      </c>
      <c r="K73" s="349">
        <v>1.88</v>
      </c>
      <c r="L73" s="349">
        <v>0</v>
      </c>
      <c r="M73" s="349">
        <v>0</v>
      </c>
      <c r="N73" s="349">
        <v>1</v>
      </c>
      <c r="O73" s="349">
        <f t="shared" si="0"/>
        <v>1.88</v>
      </c>
      <c r="P73" s="373">
        <f t="shared" si="1"/>
        <v>1.88</v>
      </c>
    </row>
    <row r="74" spans="1:16">
      <c r="A74" s="348">
        <v>218</v>
      </c>
      <c r="B74" s="349">
        <v>113</v>
      </c>
      <c r="C74" s="372" t="s">
        <v>5011</v>
      </c>
      <c r="D74" s="372" t="s">
        <v>45</v>
      </c>
      <c r="E74" s="372" t="s">
        <v>2556</v>
      </c>
      <c r="F74" s="350">
        <v>45476.987500000003</v>
      </c>
      <c r="G74" s="349">
        <v>7</v>
      </c>
      <c r="H74" s="372" t="s">
        <v>2557</v>
      </c>
      <c r="I74" s="349">
        <v>12207</v>
      </c>
      <c r="J74" s="372" t="s">
        <v>7464</v>
      </c>
      <c r="K74" s="349">
        <v>1.88</v>
      </c>
      <c r="L74" s="349">
        <v>0</v>
      </c>
      <c r="M74" s="349">
        <v>0</v>
      </c>
      <c r="N74" s="349">
        <v>1</v>
      </c>
      <c r="O74" s="349">
        <f t="shared" si="0"/>
        <v>1.88</v>
      </c>
      <c r="P74" s="373">
        <f t="shared" si="1"/>
        <v>1.88</v>
      </c>
    </row>
    <row r="75" spans="1:16">
      <c r="A75" s="348">
        <v>219</v>
      </c>
      <c r="B75" s="349">
        <v>103</v>
      </c>
      <c r="C75" s="372" t="s">
        <v>7465</v>
      </c>
      <c r="D75" s="372" t="s">
        <v>45</v>
      </c>
      <c r="E75" s="372" t="s">
        <v>2556</v>
      </c>
      <c r="F75" s="350">
        <v>45476.987500000003</v>
      </c>
      <c r="G75" s="349">
        <v>7</v>
      </c>
      <c r="H75" s="372" t="s">
        <v>2557</v>
      </c>
      <c r="I75" s="349">
        <v>12195</v>
      </c>
      <c r="J75" s="372" t="s">
        <v>7466</v>
      </c>
      <c r="K75" s="349">
        <v>1.88</v>
      </c>
      <c r="L75" s="349">
        <v>0</v>
      </c>
      <c r="M75" s="349">
        <v>0</v>
      </c>
      <c r="N75" s="349">
        <v>1</v>
      </c>
      <c r="O75" s="349">
        <f t="shared" si="0"/>
        <v>1.88</v>
      </c>
      <c r="P75" s="373">
        <f t="shared" si="1"/>
        <v>1.88</v>
      </c>
    </row>
    <row r="76" spans="1:16">
      <c r="A76" s="348">
        <v>220</v>
      </c>
      <c r="B76" s="349">
        <v>111</v>
      </c>
      <c r="C76" s="372" t="s">
        <v>4838</v>
      </c>
      <c r="D76" s="372" t="s">
        <v>45</v>
      </c>
      <c r="E76" s="372" t="s">
        <v>2556</v>
      </c>
      <c r="F76" s="350">
        <v>45476.987500000003</v>
      </c>
      <c r="G76" s="349">
        <v>7</v>
      </c>
      <c r="H76" s="372" t="s">
        <v>2557</v>
      </c>
      <c r="I76" s="349">
        <v>12159</v>
      </c>
      <c r="J76" s="372" t="s">
        <v>7467</v>
      </c>
      <c r="K76" s="349">
        <v>1.88</v>
      </c>
      <c r="L76" s="349">
        <v>0</v>
      </c>
      <c r="M76" s="349">
        <v>0</v>
      </c>
      <c r="N76" s="349">
        <v>1</v>
      </c>
      <c r="O76" s="349">
        <f t="shared" si="0"/>
        <v>1.88</v>
      </c>
      <c r="P76" s="373">
        <f t="shared" si="1"/>
        <v>1.88</v>
      </c>
    </row>
    <row r="77" spans="1:16">
      <c r="A77" s="348">
        <v>229</v>
      </c>
      <c r="B77" s="349">
        <v>33</v>
      </c>
      <c r="C77" s="372" t="s">
        <v>7385</v>
      </c>
      <c r="D77" s="372" t="s">
        <v>45</v>
      </c>
      <c r="E77" s="372" t="s">
        <v>3655</v>
      </c>
      <c r="F77" s="350">
        <v>45477</v>
      </c>
      <c r="G77" s="349">
        <v>7</v>
      </c>
      <c r="H77" s="372" t="s">
        <v>2557</v>
      </c>
      <c r="I77" s="349">
        <v>12232</v>
      </c>
      <c r="J77" s="372"/>
      <c r="K77" s="349">
        <v>0</v>
      </c>
      <c r="L77" s="349">
        <v>0</v>
      </c>
      <c r="M77" s="349">
        <v>0</v>
      </c>
      <c r="N77" s="349">
        <v>1</v>
      </c>
      <c r="O77" s="349">
        <f t="shared" si="0"/>
        <v>0</v>
      </c>
      <c r="P77" s="373">
        <f t="shared" si="1"/>
        <v>0</v>
      </c>
    </row>
    <row r="78" spans="1:16">
      <c r="A78" s="348">
        <v>221</v>
      </c>
      <c r="B78" s="349">
        <v>99</v>
      </c>
      <c r="C78" s="372" t="s">
        <v>7450</v>
      </c>
      <c r="D78" s="372" t="s">
        <v>45</v>
      </c>
      <c r="E78" s="372" t="s">
        <v>2556</v>
      </c>
      <c r="F78" s="350">
        <v>45477.038194444445</v>
      </c>
      <c r="G78" s="349">
        <v>7</v>
      </c>
      <c r="H78" s="372" t="s">
        <v>2557</v>
      </c>
      <c r="I78" s="349">
        <v>12036</v>
      </c>
      <c r="J78" s="372" t="s">
        <v>7451</v>
      </c>
      <c r="K78" s="349">
        <v>1.88</v>
      </c>
      <c r="L78" s="349">
        <v>0</v>
      </c>
      <c r="M78" s="349">
        <v>0</v>
      </c>
      <c r="N78" s="349">
        <v>1</v>
      </c>
      <c r="O78" s="349">
        <f t="shared" si="0"/>
        <v>1.88</v>
      </c>
      <c r="P78" s="373">
        <f t="shared" si="1"/>
        <v>1.88</v>
      </c>
    </row>
    <row r="79" spans="1:16">
      <c r="A79" s="348">
        <v>222</v>
      </c>
      <c r="B79" s="349">
        <v>94</v>
      </c>
      <c r="C79" s="372" t="s">
        <v>7444</v>
      </c>
      <c r="D79" s="372" t="s">
        <v>45</v>
      </c>
      <c r="E79" s="372" t="s">
        <v>2556</v>
      </c>
      <c r="F79" s="350">
        <v>45477.052777777775</v>
      </c>
      <c r="G79" s="349">
        <v>7</v>
      </c>
      <c r="H79" s="372" t="s">
        <v>2557</v>
      </c>
      <c r="I79" s="349">
        <v>12000</v>
      </c>
      <c r="J79" s="372" t="s">
        <v>7445</v>
      </c>
      <c r="K79" s="349">
        <v>1.0900000000000001</v>
      </c>
      <c r="L79" s="349">
        <v>0</v>
      </c>
      <c r="M79" s="349">
        <v>0</v>
      </c>
      <c r="N79" s="349">
        <v>1</v>
      </c>
      <c r="O79" s="349">
        <f t="shared" si="0"/>
        <v>1.0900000000000001</v>
      </c>
      <c r="P79" s="373">
        <f t="shared" si="1"/>
        <v>1.0900000000000001</v>
      </c>
    </row>
    <row r="80" spans="1:16">
      <c r="A80" s="348">
        <v>223</v>
      </c>
      <c r="B80" s="349">
        <v>64</v>
      </c>
      <c r="C80" s="372" t="s">
        <v>7468</v>
      </c>
      <c r="D80" s="372" t="s">
        <v>45</v>
      </c>
      <c r="E80" s="372" t="s">
        <v>9</v>
      </c>
      <c r="F80" s="350">
        <v>45477.054166666669</v>
      </c>
      <c r="G80" s="349">
        <v>7</v>
      </c>
      <c r="H80" s="372" t="s">
        <v>2557</v>
      </c>
      <c r="I80" s="349">
        <v>12074</v>
      </c>
      <c r="J80" s="372"/>
      <c r="K80" s="349">
        <v>1.88</v>
      </c>
      <c r="L80" s="349">
        <v>0</v>
      </c>
      <c r="M80" s="349">
        <v>0</v>
      </c>
      <c r="N80" s="349">
        <v>1</v>
      </c>
      <c r="O80" s="349">
        <f t="shared" si="0"/>
        <v>1.88</v>
      </c>
      <c r="P80" s="373">
        <f t="shared" si="1"/>
        <v>1.88</v>
      </c>
    </row>
    <row r="81" spans="1:16">
      <c r="A81" s="348">
        <v>224</v>
      </c>
      <c r="B81" s="349">
        <v>107</v>
      </c>
      <c r="C81" s="372" t="s">
        <v>7469</v>
      </c>
      <c r="D81" s="372" t="s">
        <v>45</v>
      </c>
      <c r="E81" s="372" t="s">
        <v>9</v>
      </c>
      <c r="F81" s="350">
        <v>45477.056250000001</v>
      </c>
      <c r="G81" s="349">
        <v>7</v>
      </c>
      <c r="H81" s="372" t="s">
        <v>2557</v>
      </c>
      <c r="I81" s="349">
        <v>12111</v>
      </c>
      <c r="J81" s="372"/>
      <c r="K81" s="349">
        <v>1.88</v>
      </c>
      <c r="L81" s="349">
        <v>0</v>
      </c>
      <c r="M81" s="349">
        <v>0</v>
      </c>
      <c r="N81" s="349">
        <v>1</v>
      </c>
      <c r="O81" s="349">
        <f t="shared" si="0"/>
        <v>1.88</v>
      </c>
      <c r="P81" s="373">
        <f t="shared" si="1"/>
        <v>1.88</v>
      </c>
    </row>
    <row r="82" spans="1:16">
      <c r="A82" s="348">
        <v>225</v>
      </c>
      <c r="B82" s="349">
        <v>104</v>
      </c>
      <c r="C82" s="372" t="s">
        <v>7455</v>
      </c>
      <c r="D82" s="372" t="s">
        <v>45</v>
      </c>
      <c r="E82" s="372" t="s">
        <v>2556</v>
      </c>
      <c r="F82" s="350">
        <v>45477.056944444441</v>
      </c>
      <c r="G82" s="349">
        <v>7</v>
      </c>
      <c r="H82" s="372" t="s">
        <v>2557</v>
      </c>
      <c r="I82" s="349">
        <v>12086</v>
      </c>
      <c r="J82" s="372" t="s">
        <v>7456</v>
      </c>
      <c r="K82" s="349">
        <v>1.88</v>
      </c>
      <c r="L82" s="349">
        <v>0</v>
      </c>
      <c r="M82" s="349">
        <v>0</v>
      </c>
      <c r="N82" s="349">
        <v>1</v>
      </c>
      <c r="O82" s="349">
        <f t="shared" si="0"/>
        <v>1.88</v>
      </c>
      <c r="P82" s="373">
        <f t="shared" si="1"/>
        <v>1.88</v>
      </c>
    </row>
    <row r="83" spans="1:16">
      <c r="A83" s="348">
        <v>226</v>
      </c>
      <c r="B83" s="349">
        <v>97</v>
      </c>
      <c r="C83" s="372" t="s">
        <v>4317</v>
      </c>
      <c r="D83" s="372" t="s">
        <v>2582</v>
      </c>
      <c r="E83" s="372" t="s">
        <v>9</v>
      </c>
      <c r="F83" s="350">
        <v>45477.063888888886</v>
      </c>
      <c r="G83" s="349">
        <v>7</v>
      </c>
      <c r="H83" s="372" t="s">
        <v>2557</v>
      </c>
      <c r="I83" s="349">
        <v>12171</v>
      </c>
      <c r="J83" s="372"/>
      <c r="K83" s="349">
        <v>7.26</v>
      </c>
      <c r="L83" s="349">
        <v>0</v>
      </c>
      <c r="M83" s="349">
        <v>0</v>
      </c>
      <c r="N83" s="349">
        <v>7.2713200000000002</v>
      </c>
      <c r="O83" s="349">
        <f t="shared" si="0"/>
        <v>7.26</v>
      </c>
      <c r="P83" s="373">
        <f t="shared" si="1"/>
        <v>0.99844319875895982</v>
      </c>
    </row>
    <row r="84" spans="1:16">
      <c r="A84" s="348">
        <v>227</v>
      </c>
      <c r="B84" s="349">
        <v>75</v>
      </c>
      <c r="C84" s="372" t="s">
        <v>5029</v>
      </c>
      <c r="D84" s="372" t="s">
        <v>45</v>
      </c>
      <c r="E84" s="372" t="s">
        <v>9</v>
      </c>
      <c r="F84" s="350">
        <v>45477.070138888892</v>
      </c>
      <c r="G84" s="349">
        <v>7</v>
      </c>
      <c r="H84" s="372" t="s">
        <v>2557</v>
      </c>
      <c r="I84" s="349">
        <v>12183</v>
      </c>
      <c r="J84" s="372"/>
      <c r="K84" s="349">
        <v>1.88</v>
      </c>
      <c r="L84" s="349">
        <v>0</v>
      </c>
      <c r="M84" s="349">
        <v>0</v>
      </c>
      <c r="N84" s="349">
        <v>1</v>
      </c>
      <c r="O84" s="349">
        <f t="shared" si="0"/>
        <v>1.88</v>
      </c>
      <c r="P84" s="373">
        <f t="shared" si="1"/>
        <v>1.88</v>
      </c>
    </row>
    <row r="85" spans="1:16">
      <c r="A85" s="348">
        <v>228</v>
      </c>
      <c r="B85" s="349">
        <v>105</v>
      </c>
      <c r="C85" s="372" t="s">
        <v>7470</v>
      </c>
      <c r="D85" s="372" t="s">
        <v>45</v>
      </c>
      <c r="E85" s="372" t="s">
        <v>9</v>
      </c>
      <c r="F85" s="350">
        <v>45477.074305555558</v>
      </c>
      <c r="G85" s="349">
        <v>7</v>
      </c>
      <c r="H85" s="372" t="s">
        <v>2557</v>
      </c>
      <c r="I85" s="349">
        <v>12098</v>
      </c>
      <c r="J85" s="372"/>
      <c r="K85" s="349">
        <v>1.88</v>
      </c>
      <c r="L85" s="349">
        <v>0</v>
      </c>
      <c r="M85" s="349">
        <v>0</v>
      </c>
      <c r="N85" s="349">
        <v>1</v>
      </c>
      <c r="O85" s="349">
        <f t="shared" si="0"/>
        <v>1.88</v>
      </c>
      <c r="P85" s="373">
        <f t="shared" si="1"/>
        <v>1.88</v>
      </c>
    </row>
    <row r="86" spans="1:16">
      <c r="A86" s="348">
        <v>230</v>
      </c>
      <c r="B86" s="349">
        <v>64</v>
      </c>
      <c r="C86" s="372" t="s">
        <v>7468</v>
      </c>
      <c r="D86" s="372" t="s">
        <v>45</v>
      </c>
      <c r="E86" s="372" t="s">
        <v>9</v>
      </c>
      <c r="F86" s="350">
        <v>45477.885416666664</v>
      </c>
      <c r="G86" s="349">
        <v>7</v>
      </c>
      <c r="H86" s="372" t="s">
        <v>2557</v>
      </c>
      <c r="I86" s="349">
        <v>12074</v>
      </c>
      <c r="J86" s="372" t="s">
        <v>7471</v>
      </c>
      <c r="K86" s="349">
        <v>1.88</v>
      </c>
      <c r="L86" s="349">
        <v>0.57999999999999996</v>
      </c>
      <c r="M86" s="349">
        <v>0</v>
      </c>
      <c r="N86" s="349">
        <v>1</v>
      </c>
      <c r="O86" s="349">
        <f t="shared" si="0"/>
        <v>1.2999999999999998</v>
      </c>
      <c r="P86" s="373">
        <f t="shared" si="1"/>
        <v>1.2999999999999998</v>
      </c>
    </row>
    <row r="87" spans="1:16">
      <c r="A87" s="348">
        <v>231</v>
      </c>
      <c r="B87" s="349">
        <v>122</v>
      </c>
      <c r="C87" s="372" t="s">
        <v>4862</v>
      </c>
      <c r="D87" s="372" t="s">
        <v>2582</v>
      </c>
      <c r="E87" s="372" t="s">
        <v>6430</v>
      </c>
      <c r="F87" s="350">
        <v>45477.929861111108</v>
      </c>
      <c r="G87" s="349">
        <v>7</v>
      </c>
      <c r="H87" s="372" t="s">
        <v>2557</v>
      </c>
      <c r="I87" s="349">
        <v>12244</v>
      </c>
      <c r="J87" s="372" t="s">
        <v>7472</v>
      </c>
      <c r="K87" s="349">
        <v>174.31</v>
      </c>
      <c r="L87" s="349">
        <v>9.75</v>
      </c>
      <c r="M87" s="349">
        <v>0</v>
      </c>
      <c r="N87" s="349">
        <v>7.2733800000000004</v>
      </c>
      <c r="O87" s="349">
        <f t="shared" si="0"/>
        <v>164.56</v>
      </c>
      <c r="P87" s="373">
        <f t="shared" si="1"/>
        <v>22.624969408995543</v>
      </c>
    </row>
    <row r="88" spans="1:16">
      <c r="A88" s="348">
        <v>232</v>
      </c>
      <c r="B88" s="349">
        <v>107</v>
      </c>
      <c r="C88" s="372" t="s">
        <v>7469</v>
      </c>
      <c r="D88" s="372" t="s">
        <v>45</v>
      </c>
      <c r="E88" s="372" t="s">
        <v>9</v>
      </c>
      <c r="F88" s="350">
        <v>45477.9375</v>
      </c>
      <c r="G88" s="349">
        <v>7</v>
      </c>
      <c r="H88" s="372" t="s">
        <v>2557</v>
      </c>
      <c r="I88" s="349">
        <v>12111</v>
      </c>
      <c r="J88" s="372" t="s">
        <v>7473</v>
      </c>
      <c r="K88" s="349">
        <v>1.88</v>
      </c>
      <c r="L88" s="349">
        <v>0.57999999999999996</v>
      </c>
      <c r="M88" s="349">
        <v>0</v>
      </c>
      <c r="N88" s="349">
        <v>1</v>
      </c>
      <c r="O88" s="349">
        <f t="shared" si="0"/>
        <v>1.2999999999999998</v>
      </c>
      <c r="P88" s="373">
        <f t="shared" si="1"/>
        <v>1.2999999999999998</v>
      </c>
    </row>
    <row r="89" spans="1:16">
      <c r="A89" s="348">
        <v>233</v>
      </c>
      <c r="B89" s="349">
        <v>75</v>
      </c>
      <c r="C89" s="372" t="s">
        <v>5029</v>
      </c>
      <c r="D89" s="372" t="s">
        <v>45</v>
      </c>
      <c r="E89" s="372" t="s">
        <v>9</v>
      </c>
      <c r="F89" s="350">
        <v>45477.939583333333</v>
      </c>
      <c r="G89" s="349">
        <v>7</v>
      </c>
      <c r="H89" s="372" t="s">
        <v>2557</v>
      </c>
      <c r="I89" s="349">
        <v>12183</v>
      </c>
      <c r="J89" s="372" t="s">
        <v>7474</v>
      </c>
      <c r="K89" s="349">
        <v>1.88</v>
      </c>
      <c r="L89" s="349">
        <v>0.57999999999999996</v>
      </c>
      <c r="M89" s="349">
        <v>0</v>
      </c>
      <c r="N89" s="349">
        <v>1</v>
      </c>
      <c r="O89" s="349">
        <f t="shared" si="0"/>
        <v>1.2999999999999998</v>
      </c>
      <c r="P89" s="373">
        <f t="shared" si="1"/>
        <v>1.2999999999999998</v>
      </c>
    </row>
    <row r="90" spans="1:16">
      <c r="A90" s="348">
        <v>234</v>
      </c>
      <c r="B90" s="349">
        <v>97</v>
      </c>
      <c r="C90" s="372" t="s">
        <v>4317</v>
      </c>
      <c r="D90" s="372" t="s">
        <v>2582</v>
      </c>
      <c r="E90" s="372" t="s">
        <v>9</v>
      </c>
      <c r="F90" s="350">
        <v>45477.939583333333</v>
      </c>
      <c r="G90" s="349">
        <v>7</v>
      </c>
      <c r="H90" s="372" t="s">
        <v>2557</v>
      </c>
      <c r="I90" s="349">
        <v>12171</v>
      </c>
      <c r="J90" s="372" t="s">
        <v>7475</v>
      </c>
      <c r="K90" s="349">
        <v>7.26</v>
      </c>
      <c r="L90" s="349">
        <v>3.93</v>
      </c>
      <c r="M90" s="349">
        <v>0</v>
      </c>
      <c r="N90" s="349">
        <v>7.2733800000000004</v>
      </c>
      <c r="O90" s="349">
        <f t="shared" si="0"/>
        <v>3.3299999999999996</v>
      </c>
      <c r="P90" s="373">
        <f t="shared" si="1"/>
        <v>0.45783390940663066</v>
      </c>
    </row>
    <row r="91" spans="1:16">
      <c r="A91" s="348">
        <v>235</v>
      </c>
      <c r="B91" s="349">
        <v>105</v>
      </c>
      <c r="C91" s="372" t="s">
        <v>7470</v>
      </c>
      <c r="D91" s="372" t="s">
        <v>45</v>
      </c>
      <c r="E91" s="372" t="s">
        <v>9</v>
      </c>
      <c r="F91" s="350">
        <v>45477.965277777781</v>
      </c>
      <c r="G91" s="349">
        <v>7</v>
      </c>
      <c r="H91" s="372" t="s">
        <v>2557</v>
      </c>
      <c r="I91" s="349">
        <v>12098</v>
      </c>
      <c r="J91" s="372" t="s">
        <v>7476</v>
      </c>
      <c r="K91" s="349">
        <v>1.88</v>
      </c>
      <c r="L91" s="349">
        <v>0.57999999999999996</v>
      </c>
      <c r="M91" s="349">
        <v>0</v>
      </c>
      <c r="N91" s="349">
        <v>1</v>
      </c>
      <c r="O91" s="349">
        <f t="shared" si="0"/>
        <v>1.2999999999999998</v>
      </c>
      <c r="P91" s="373">
        <f t="shared" si="1"/>
        <v>1.2999999999999998</v>
      </c>
    </row>
    <row r="92" spans="1:16">
      <c r="A92" s="348">
        <v>236</v>
      </c>
      <c r="B92" s="349">
        <v>105</v>
      </c>
      <c r="C92" s="372" t="s">
        <v>7470</v>
      </c>
      <c r="D92" s="372" t="s">
        <v>45</v>
      </c>
      <c r="E92" s="372" t="s">
        <v>9</v>
      </c>
      <c r="F92" s="350">
        <v>45477.96597222222</v>
      </c>
      <c r="G92" s="349">
        <v>7</v>
      </c>
      <c r="H92" s="372" t="s">
        <v>2557</v>
      </c>
      <c r="I92" s="349">
        <v>12098</v>
      </c>
      <c r="J92" s="372" t="s">
        <v>7477</v>
      </c>
      <c r="K92" s="349">
        <v>1.88</v>
      </c>
      <c r="L92" s="349">
        <v>0.57999999999999996</v>
      </c>
      <c r="M92" s="349">
        <v>0</v>
      </c>
      <c r="N92" s="349">
        <v>1</v>
      </c>
      <c r="O92" s="349">
        <f t="shared" si="0"/>
        <v>1.2999999999999998</v>
      </c>
      <c r="P92" s="373">
        <f t="shared" si="1"/>
        <v>1.2999999999999998</v>
      </c>
    </row>
    <row r="93" spans="1:16">
      <c r="A93" s="348">
        <v>237</v>
      </c>
      <c r="B93" s="349">
        <v>24</v>
      </c>
      <c r="C93" s="372" t="s">
        <v>7382</v>
      </c>
      <c r="D93" s="372" t="s">
        <v>45</v>
      </c>
      <c r="E93" s="372" t="s">
        <v>3655</v>
      </c>
      <c r="F93" s="350">
        <v>45478</v>
      </c>
      <c r="G93" s="349">
        <v>7</v>
      </c>
      <c r="H93" s="372" t="s">
        <v>2557</v>
      </c>
      <c r="I93" s="349">
        <v>12256</v>
      </c>
      <c r="J93" s="372"/>
      <c r="K93" s="349">
        <v>0</v>
      </c>
      <c r="L93" s="349">
        <v>0</v>
      </c>
      <c r="M93" s="349">
        <v>0</v>
      </c>
      <c r="N93" s="349">
        <v>1</v>
      </c>
      <c r="O93" s="349">
        <f t="shared" si="0"/>
        <v>0</v>
      </c>
      <c r="P93" s="373">
        <f t="shared" si="1"/>
        <v>0</v>
      </c>
    </row>
    <row r="94" spans="1:16">
      <c r="A94" s="348">
        <v>238</v>
      </c>
      <c r="B94" s="349">
        <v>33</v>
      </c>
      <c r="C94" s="372" t="s">
        <v>7385</v>
      </c>
      <c r="D94" s="372" t="s">
        <v>45</v>
      </c>
      <c r="E94" s="372" t="s">
        <v>3655</v>
      </c>
      <c r="F94" s="350">
        <v>45478</v>
      </c>
      <c r="G94" s="349">
        <v>7</v>
      </c>
      <c r="H94" s="372" t="s">
        <v>2557</v>
      </c>
      <c r="I94" s="349">
        <v>12268</v>
      </c>
      <c r="J94" s="372"/>
      <c r="K94" s="349">
        <v>0</v>
      </c>
      <c r="L94" s="349">
        <v>0</v>
      </c>
      <c r="M94" s="349">
        <v>0</v>
      </c>
      <c r="N94" s="349">
        <v>1</v>
      </c>
      <c r="O94" s="349">
        <f t="shared" si="0"/>
        <v>0</v>
      </c>
      <c r="P94" s="373">
        <f t="shared" si="1"/>
        <v>0</v>
      </c>
    </row>
    <row r="95" spans="1:16">
      <c r="A95" s="348">
        <v>239</v>
      </c>
      <c r="B95" s="349">
        <v>127</v>
      </c>
      <c r="C95" s="372" t="s">
        <v>7478</v>
      </c>
      <c r="D95" s="372" t="s">
        <v>45</v>
      </c>
      <c r="E95" s="372" t="s">
        <v>9</v>
      </c>
      <c r="F95" s="350">
        <v>45478.927083333336</v>
      </c>
      <c r="G95" s="349">
        <v>7</v>
      </c>
      <c r="H95" s="372" t="s">
        <v>2557</v>
      </c>
      <c r="I95" s="349">
        <v>12280</v>
      </c>
      <c r="J95" s="372" t="s">
        <v>7479</v>
      </c>
      <c r="K95" s="349">
        <v>1.88</v>
      </c>
      <c r="L95" s="349">
        <v>0.57999999999999996</v>
      </c>
      <c r="M95" s="349">
        <v>0</v>
      </c>
      <c r="N95" s="349">
        <v>1</v>
      </c>
      <c r="O95" s="349">
        <f t="shared" si="0"/>
        <v>1.2999999999999998</v>
      </c>
      <c r="P95" s="373">
        <f t="shared" si="1"/>
        <v>1.2999999999999998</v>
      </c>
    </row>
    <row r="96" spans="1:16">
      <c r="A96" s="348">
        <v>240</v>
      </c>
      <c r="B96" s="349">
        <v>127</v>
      </c>
      <c r="C96" s="372" t="s">
        <v>7478</v>
      </c>
      <c r="D96" s="372" t="s">
        <v>45</v>
      </c>
      <c r="E96" s="372" t="s">
        <v>9</v>
      </c>
      <c r="F96" s="350">
        <v>45478.927777777775</v>
      </c>
      <c r="G96" s="349">
        <v>7</v>
      </c>
      <c r="H96" s="372" t="s">
        <v>2557</v>
      </c>
      <c r="I96" s="349">
        <v>12280</v>
      </c>
      <c r="J96" s="372" t="s">
        <v>7480</v>
      </c>
      <c r="K96" s="349">
        <v>1.88</v>
      </c>
      <c r="L96" s="349">
        <v>0.57999999999999996</v>
      </c>
      <c r="M96" s="349">
        <v>0</v>
      </c>
      <c r="N96" s="349">
        <v>1</v>
      </c>
      <c r="O96" s="349">
        <f t="shared" si="0"/>
        <v>1.2999999999999998</v>
      </c>
      <c r="P96" s="373">
        <f t="shared" si="1"/>
        <v>1.2999999999999998</v>
      </c>
    </row>
    <row r="97" spans="1:16">
      <c r="A97" s="348">
        <v>241</v>
      </c>
      <c r="B97" s="349">
        <v>124</v>
      </c>
      <c r="C97" s="372" t="s">
        <v>4498</v>
      </c>
      <c r="D97" s="372" t="s">
        <v>2582</v>
      </c>
      <c r="E97" s="372" t="s">
        <v>2556</v>
      </c>
      <c r="F97" s="350">
        <v>45478.970138888886</v>
      </c>
      <c r="G97" s="349">
        <v>7</v>
      </c>
      <c r="H97" s="372" t="s">
        <v>2557</v>
      </c>
      <c r="I97" s="349">
        <v>12292</v>
      </c>
      <c r="J97" s="372" t="s">
        <v>7481</v>
      </c>
      <c r="K97" s="349">
        <v>7.27</v>
      </c>
      <c r="L97" s="349">
        <v>0</v>
      </c>
      <c r="M97" s="349">
        <v>0</v>
      </c>
      <c r="N97" s="349">
        <v>7.2699100000000003</v>
      </c>
      <c r="O97" s="349">
        <f t="shared" si="0"/>
        <v>7.27</v>
      </c>
      <c r="P97" s="373">
        <f t="shared" si="1"/>
        <v>1.0000123797956233</v>
      </c>
    </row>
    <row r="98" spans="1:16">
      <c r="A98" s="348">
        <v>242</v>
      </c>
      <c r="B98" s="349">
        <v>128</v>
      </c>
      <c r="C98" s="372" t="s">
        <v>7482</v>
      </c>
      <c r="D98" s="372" t="s">
        <v>45</v>
      </c>
      <c r="E98" s="372" t="s">
        <v>2556</v>
      </c>
      <c r="F98" s="350">
        <v>45479.090277777781</v>
      </c>
      <c r="G98" s="349">
        <v>7</v>
      </c>
      <c r="H98" s="372" t="s">
        <v>2557</v>
      </c>
      <c r="I98" s="349">
        <v>12304</v>
      </c>
      <c r="J98" s="372" t="s">
        <v>7483</v>
      </c>
      <c r="K98" s="349">
        <v>1.88</v>
      </c>
      <c r="L98" s="349">
        <v>0</v>
      </c>
      <c r="M98" s="349">
        <v>0</v>
      </c>
      <c r="N98" s="349">
        <v>1</v>
      </c>
      <c r="O98" s="349">
        <f t="shared" si="0"/>
        <v>1.88</v>
      </c>
      <c r="P98" s="373">
        <f t="shared" si="1"/>
        <v>1.88</v>
      </c>
    </row>
    <row r="99" spans="1:16">
      <c r="A99" s="348">
        <v>243</v>
      </c>
      <c r="B99" s="349">
        <v>130</v>
      </c>
      <c r="C99" s="372" t="s">
        <v>4989</v>
      </c>
      <c r="D99" s="372" t="s">
        <v>45</v>
      </c>
      <c r="E99" s="372" t="s">
        <v>9</v>
      </c>
      <c r="F99" s="350">
        <v>45480.012499999997</v>
      </c>
      <c r="G99" s="349">
        <v>7</v>
      </c>
      <c r="H99" s="372" t="s">
        <v>2557</v>
      </c>
      <c r="I99" s="349">
        <v>12341</v>
      </c>
      <c r="J99" s="372" t="s">
        <v>7484</v>
      </c>
      <c r="K99" s="349">
        <v>1.98</v>
      </c>
      <c r="L99" s="349">
        <v>0.56000000000000005</v>
      </c>
      <c r="M99" s="349">
        <v>0</v>
      </c>
      <c r="N99" s="349">
        <v>1</v>
      </c>
      <c r="O99" s="349">
        <f t="shared" si="0"/>
        <v>1.42</v>
      </c>
      <c r="P99" s="373">
        <f t="shared" si="1"/>
        <v>1.42</v>
      </c>
    </row>
    <row r="100" spans="1:16">
      <c r="A100" s="348">
        <v>244</v>
      </c>
      <c r="B100" s="349">
        <v>131</v>
      </c>
      <c r="C100" s="372" t="s">
        <v>7485</v>
      </c>
      <c r="D100" s="372" t="s">
        <v>45</v>
      </c>
      <c r="E100" s="372" t="s">
        <v>2556</v>
      </c>
      <c r="F100" s="350">
        <v>45480.01458333333</v>
      </c>
      <c r="G100" s="349">
        <v>7</v>
      </c>
      <c r="H100" s="372" t="s">
        <v>2557</v>
      </c>
      <c r="I100" s="349">
        <v>12353</v>
      </c>
      <c r="J100" s="372" t="s">
        <v>7486</v>
      </c>
      <c r="K100" s="349">
        <v>1.98</v>
      </c>
      <c r="L100" s="349">
        <v>0</v>
      </c>
      <c r="M100" s="349">
        <v>0</v>
      </c>
      <c r="N100" s="349">
        <v>1</v>
      </c>
      <c r="O100" s="349">
        <f t="shared" si="0"/>
        <v>1.98</v>
      </c>
      <c r="P100" s="373">
        <f t="shared" si="1"/>
        <v>1.98</v>
      </c>
    </row>
    <row r="101" spans="1:16">
      <c r="A101" s="348">
        <v>245</v>
      </c>
      <c r="B101" s="349">
        <v>132</v>
      </c>
      <c r="C101" s="372" t="s">
        <v>4699</v>
      </c>
      <c r="D101" s="372" t="s">
        <v>2582</v>
      </c>
      <c r="E101" s="372" t="s">
        <v>9</v>
      </c>
      <c r="F101" s="350">
        <v>45480.26666666667</v>
      </c>
      <c r="G101" s="349">
        <v>7</v>
      </c>
      <c r="H101" s="372" t="s">
        <v>2557</v>
      </c>
      <c r="I101" s="349">
        <v>12365</v>
      </c>
      <c r="J101" s="372" t="s">
        <v>7487</v>
      </c>
      <c r="K101" s="349">
        <v>7.26</v>
      </c>
      <c r="L101" s="349">
        <v>3.92</v>
      </c>
      <c r="M101" s="349">
        <v>0</v>
      </c>
      <c r="N101" s="349">
        <v>7.2667200000000003</v>
      </c>
      <c r="O101" s="349">
        <f t="shared" si="0"/>
        <v>3.34</v>
      </c>
      <c r="P101" s="373">
        <f t="shared" si="1"/>
        <v>0.45962965409428186</v>
      </c>
    </row>
    <row r="102" spans="1:16">
      <c r="A102" s="348">
        <v>246</v>
      </c>
      <c r="B102" s="349">
        <v>83</v>
      </c>
      <c r="C102" s="372" t="s">
        <v>7488</v>
      </c>
      <c r="D102" s="372" t="s">
        <v>45</v>
      </c>
      <c r="E102" s="372" t="s">
        <v>2556</v>
      </c>
      <c r="F102" s="350">
        <v>45480.347222222219</v>
      </c>
      <c r="G102" s="349">
        <v>7</v>
      </c>
      <c r="H102" s="372" t="s">
        <v>2557</v>
      </c>
      <c r="I102" s="349">
        <v>12377</v>
      </c>
      <c r="J102" s="372" t="s">
        <v>7489</v>
      </c>
      <c r="K102" s="349">
        <v>1.98</v>
      </c>
      <c r="L102" s="349">
        <v>0</v>
      </c>
      <c r="M102" s="349">
        <v>0</v>
      </c>
      <c r="N102" s="349">
        <v>1</v>
      </c>
      <c r="O102" s="349">
        <f t="shared" si="0"/>
        <v>1.98</v>
      </c>
      <c r="P102" s="373">
        <f t="shared" si="1"/>
        <v>1.98</v>
      </c>
    </row>
    <row r="103" spans="1:16">
      <c r="A103" s="348">
        <v>247</v>
      </c>
      <c r="B103" s="349">
        <v>133</v>
      </c>
      <c r="C103" s="372" t="s">
        <v>7490</v>
      </c>
      <c r="D103" s="372" t="s">
        <v>45</v>
      </c>
      <c r="E103" s="372" t="s">
        <v>9</v>
      </c>
      <c r="F103" s="350">
        <v>45480.410416666666</v>
      </c>
      <c r="G103" s="349">
        <v>7</v>
      </c>
      <c r="H103" s="372" t="s">
        <v>2557</v>
      </c>
      <c r="I103" s="349">
        <v>12401</v>
      </c>
      <c r="J103" s="372" t="s">
        <v>7491</v>
      </c>
      <c r="K103" s="349">
        <v>1.98</v>
      </c>
      <c r="L103" s="349">
        <v>0.59</v>
      </c>
      <c r="M103" s="349">
        <v>0</v>
      </c>
      <c r="N103" s="349">
        <v>1</v>
      </c>
      <c r="O103" s="349">
        <f t="shared" si="0"/>
        <v>1.3900000000000001</v>
      </c>
      <c r="P103" s="373">
        <f t="shared" si="1"/>
        <v>1.3900000000000001</v>
      </c>
    </row>
    <row r="104" spans="1:16">
      <c r="A104" s="348">
        <v>248</v>
      </c>
      <c r="B104" s="349">
        <v>134</v>
      </c>
      <c r="C104" s="372" t="s">
        <v>4911</v>
      </c>
      <c r="D104" s="372" t="s">
        <v>45</v>
      </c>
      <c r="E104" s="372" t="s">
        <v>9</v>
      </c>
      <c r="F104" s="350">
        <v>45480.43472222222</v>
      </c>
      <c r="G104" s="349">
        <v>7</v>
      </c>
      <c r="H104" s="372" t="s">
        <v>2557</v>
      </c>
      <c r="I104" s="349">
        <v>12413</v>
      </c>
      <c r="J104" s="372" t="s">
        <v>7492</v>
      </c>
      <c r="K104" s="349">
        <v>1.98</v>
      </c>
      <c r="L104" s="349">
        <v>0.59</v>
      </c>
      <c r="M104" s="349">
        <v>0</v>
      </c>
      <c r="N104" s="349">
        <v>1</v>
      </c>
      <c r="O104" s="349">
        <f t="shared" si="0"/>
        <v>1.3900000000000001</v>
      </c>
      <c r="P104" s="373">
        <f t="shared" si="1"/>
        <v>1.3900000000000001</v>
      </c>
    </row>
    <row r="105" spans="1:16">
      <c r="A105" s="348">
        <v>249</v>
      </c>
      <c r="B105" s="349">
        <v>120</v>
      </c>
      <c r="C105" s="372" t="s">
        <v>5424</v>
      </c>
      <c r="D105" s="372" t="s">
        <v>45</v>
      </c>
      <c r="E105" s="372" t="s">
        <v>9</v>
      </c>
      <c r="F105" s="350">
        <v>45480.464583333334</v>
      </c>
      <c r="G105" s="349">
        <v>7</v>
      </c>
      <c r="H105" s="372" t="s">
        <v>2557</v>
      </c>
      <c r="I105" s="349">
        <v>12425</v>
      </c>
      <c r="J105" s="372" t="s">
        <v>7493</v>
      </c>
      <c r="K105" s="349">
        <v>1.98</v>
      </c>
      <c r="L105" s="349">
        <v>0.59</v>
      </c>
      <c r="M105" s="349">
        <v>0</v>
      </c>
      <c r="N105" s="349">
        <v>1</v>
      </c>
      <c r="O105" s="349">
        <f t="shared" si="0"/>
        <v>1.3900000000000001</v>
      </c>
      <c r="P105" s="373">
        <f t="shared" si="1"/>
        <v>1.3900000000000001</v>
      </c>
    </row>
    <row r="106" spans="1:16">
      <c r="A106" s="348">
        <v>250</v>
      </c>
      <c r="B106" s="349">
        <v>121</v>
      </c>
      <c r="C106" s="372" t="s">
        <v>2890</v>
      </c>
      <c r="D106" s="372" t="s">
        <v>45</v>
      </c>
      <c r="E106" s="372" t="s">
        <v>9</v>
      </c>
      <c r="F106" s="350">
        <v>45480.464583333334</v>
      </c>
      <c r="G106" s="349">
        <v>7</v>
      </c>
      <c r="H106" s="372" t="s">
        <v>2557</v>
      </c>
      <c r="I106" s="349">
        <v>12437</v>
      </c>
      <c r="J106" s="372" t="s">
        <v>7494</v>
      </c>
      <c r="K106" s="349">
        <v>1.98</v>
      </c>
      <c r="L106" s="349">
        <v>0.59</v>
      </c>
      <c r="M106" s="349">
        <v>0</v>
      </c>
      <c r="N106" s="349">
        <v>1</v>
      </c>
      <c r="O106" s="349">
        <f t="shared" si="0"/>
        <v>1.3900000000000001</v>
      </c>
      <c r="P106" s="373">
        <f t="shared" si="1"/>
        <v>1.3900000000000001</v>
      </c>
    </row>
    <row r="107" spans="1:16">
      <c r="A107" s="348">
        <v>251</v>
      </c>
      <c r="B107" s="349">
        <v>135</v>
      </c>
      <c r="C107" s="372" t="s">
        <v>7495</v>
      </c>
      <c r="D107" s="372" t="s">
        <v>45</v>
      </c>
      <c r="E107" s="372" t="s">
        <v>2556</v>
      </c>
      <c r="F107" s="350">
        <v>45480.595138888886</v>
      </c>
      <c r="G107" s="349">
        <v>7</v>
      </c>
      <c r="H107" s="372" t="s">
        <v>2557</v>
      </c>
      <c r="I107" s="349">
        <v>12461</v>
      </c>
      <c r="J107" s="372" t="s">
        <v>7496</v>
      </c>
      <c r="K107" s="349">
        <v>1.98</v>
      </c>
      <c r="L107" s="349">
        <v>0</v>
      </c>
      <c r="M107" s="349">
        <v>0</v>
      </c>
      <c r="N107" s="349">
        <v>1</v>
      </c>
      <c r="O107" s="349">
        <f t="shared" si="0"/>
        <v>1.98</v>
      </c>
      <c r="P107" s="373">
        <f t="shared" si="1"/>
        <v>1.98</v>
      </c>
    </row>
    <row r="108" spans="1:16">
      <c r="A108" s="348">
        <v>252</v>
      </c>
      <c r="B108" s="349">
        <v>136</v>
      </c>
      <c r="C108" s="372" t="s">
        <v>2575</v>
      </c>
      <c r="D108" s="372" t="s">
        <v>45</v>
      </c>
      <c r="E108" s="372" t="s">
        <v>2556</v>
      </c>
      <c r="F108" s="350">
        <v>45480.598611111112</v>
      </c>
      <c r="G108" s="349">
        <v>7</v>
      </c>
      <c r="H108" s="372" t="s">
        <v>2557</v>
      </c>
      <c r="I108" s="349">
        <v>12473</v>
      </c>
      <c r="J108" s="372" t="s">
        <v>7497</v>
      </c>
      <c r="K108" s="349">
        <v>1.98</v>
      </c>
      <c r="L108" s="349">
        <v>0</v>
      </c>
      <c r="M108" s="349">
        <v>0</v>
      </c>
      <c r="N108" s="349">
        <v>1</v>
      </c>
      <c r="O108" s="349">
        <f t="shared" si="0"/>
        <v>1.98</v>
      </c>
      <c r="P108" s="373">
        <f t="shared" si="1"/>
        <v>1.98</v>
      </c>
    </row>
    <row r="109" spans="1:16">
      <c r="A109" s="348">
        <v>253</v>
      </c>
      <c r="B109" s="349">
        <v>137</v>
      </c>
      <c r="C109" s="372" t="s">
        <v>7498</v>
      </c>
      <c r="D109" s="372" t="s">
        <v>45</v>
      </c>
      <c r="E109" s="372" t="s">
        <v>2556</v>
      </c>
      <c r="F109" s="350">
        <v>45480.611111111109</v>
      </c>
      <c r="G109" s="349">
        <v>7</v>
      </c>
      <c r="H109" s="372" t="s">
        <v>2557</v>
      </c>
      <c r="I109" s="349">
        <v>12485</v>
      </c>
      <c r="J109" s="372" t="s">
        <v>7499</v>
      </c>
      <c r="K109" s="349">
        <v>1.98</v>
      </c>
      <c r="L109" s="349">
        <v>0</v>
      </c>
      <c r="M109" s="349">
        <v>0</v>
      </c>
      <c r="N109" s="349">
        <v>1</v>
      </c>
      <c r="O109" s="349">
        <f t="shared" si="0"/>
        <v>1.98</v>
      </c>
      <c r="P109" s="373">
        <f t="shared" si="1"/>
        <v>1.98</v>
      </c>
    </row>
    <row r="110" spans="1:16">
      <c r="A110" s="348">
        <v>254</v>
      </c>
      <c r="B110" s="349">
        <v>139</v>
      </c>
      <c r="C110" s="372" t="s">
        <v>7500</v>
      </c>
      <c r="D110" s="372" t="s">
        <v>45</v>
      </c>
      <c r="E110" s="372" t="s">
        <v>2556</v>
      </c>
      <c r="F110" s="350">
        <v>45480.644444444442</v>
      </c>
      <c r="G110" s="349">
        <v>7</v>
      </c>
      <c r="H110" s="372" t="s">
        <v>2557</v>
      </c>
      <c r="I110" s="349">
        <v>12497</v>
      </c>
      <c r="J110" s="372" t="s">
        <v>7501</v>
      </c>
      <c r="K110" s="349">
        <v>1.98</v>
      </c>
      <c r="L110" s="349">
        <v>0</v>
      </c>
      <c r="M110" s="349">
        <v>0</v>
      </c>
      <c r="N110" s="349">
        <v>1</v>
      </c>
      <c r="O110" s="349">
        <f t="shared" si="0"/>
        <v>1.98</v>
      </c>
      <c r="P110" s="373">
        <f t="shared" si="1"/>
        <v>1.98</v>
      </c>
    </row>
    <row r="111" spans="1:16">
      <c r="A111" s="348">
        <v>255</v>
      </c>
      <c r="B111" s="349">
        <v>140</v>
      </c>
      <c r="C111" s="372" t="s">
        <v>7502</v>
      </c>
      <c r="D111" s="372" t="s">
        <v>45</v>
      </c>
      <c r="E111" s="372" t="s">
        <v>2556</v>
      </c>
      <c r="F111" s="350">
        <v>45480.667361111111</v>
      </c>
      <c r="G111" s="349">
        <v>7</v>
      </c>
      <c r="H111" s="372" t="s">
        <v>2557</v>
      </c>
      <c r="I111" s="349">
        <v>12509</v>
      </c>
      <c r="J111" s="372" t="s">
        <v>7503</v>
      </c>
      <c r="K111" s="349">
        <v>1.98</v>
      </c>
      <c r="L111" s="349">
        <v>0</v>
      </c>
      <c r="M111" s="349">
        <v>0</v>
      </c>
      <c r="N111" s="349">
        <v>1</v>
      </c>
      <c r="O111" s="349">
        <f t="shared" si="0"/>
        <v>1.98</v>
      </c>
      <c r="P111" s="373">
        <f t="shared" si="1"/>
        <v>1.98</v>
      </c>
    </row>
    <row r="112" spans="1:16">
      <c r="A112" s="348">
        <v>256</v>
      </c>
      <c r="B112" s="349">
        <v>115</v>
      </c>
      <c r="C112" s="372" t="s">
        <v>7504</v>
      </c>
      <c r="D112" s="372" t="s">
        <v>45</v>
      </c>
      <c r="E112" s="372" t="s">
        <v>2556</v>
      </c>
      <c r="F112" s="350">
        <v>45480.845833333333</v>
      </c>
      <c r="G112" s="349">
        <v>7</v>
      </c>
      <c r="H112" s="372" t="s">
        <v>2557</v>
      </c>
      <c r="I112" s="349">
        <v>12533</v>
      </c>
      <c r="J112" s="372" t="s">
        <v>7505</v>
      </c>
      <c r="K112" s="349">
        <v>1.98</v>
      </c>
      <c r="L112" s="349">
        <v>0</v>
      </c>
      <c r="M112" s="349">
        <v>0</v>
      </c>
      <c r="N112" s="349">
        <v>1</v>
      </c>
      <c r="O112" s="349">
        <f t="shared" si="0"/>
        <v>1.98</v>
      </c>
      <c r="P112" s="373">
        <f t="shared" si="1"/>
        <v>1.98</v>
      </c>
    </row>
    <row r="113" spans="1:16">
      <c r="A113" s="348">
        <v>257</v>
      </c>
      <c r="B113" s="349">
        <v>144</v>
      </c>
      <c r="C113" s="372" t="s">
        <v>7506</v>
      </c>
      <c r="D113" s="372" t="s">
        <v>45</v>
      </c>
      <c r="E113" s="372" t="s">
        <v>2556</v>
      </c>
      <c r="F113" s="350">
        <v>45480.84652777778</v>
      </c>
      <c r="G113" s="349">
        <v>7</v>
      </c>
      <c r="H113" s="372" t="s">
        <v>2557</v>
      </c>
      <c r="I113" s="349">
        <v>12569</v>
      </c>
      <c r="J113" s="372" t="s">
        <v>7507</v>
      </c>
      <c r="K113" s="349">
        <v>1.98</v>
      </c>
      <c r="L113" s="349">
        <v>0</v>
      </c>
      <c r="M113" s="349">
        <v>0</v>
      </c>
      <c r="N113" s="349">
        <v>1</v>
      </c>
      <c r="O113" s="349">
        <f t="shared" si="0"/>
        <v>1.98</v>
      </c>
      <c r="P113" s="373">
        <f t="shared" si="1"/>
        <v>1.98</v>
      </c>
    </row>
    <row r="114" spans="1:16">
      <c r="A114" s="348">
        <v>258</v>
      </c>
      <c r="B114" s="349">
        <v>142</v>
      </c>
      <c r="C114" s="372" t="s">
        <v>7508</v>
      </c>
      <c r="D114" s="372" t="s">
        <v>45</v>
      </c>
      <c r="E114" s="372" t="s">
        <v>2556</v>
      </c>
      <c r="F114" s="350">
        <v>45480.847916666666</v>
      </c>
      <c r="G114" s="349">
        <v>7</v>
      </c>
      <c r="H114" s="372" t="s">
        <v>2557</v>
      </c>
      <c r="I114" s="349">
        <v>12545</v>
      </c>
      <c r="J114" s="372" t="s">
        <v>7509</v>
      </c>
      <c r="K114" s="349">
        <v>1.98</v>
      </c>
      <c r="L114" s="349">
        <v>0</v>
      </c>
      <c r="M114" s="349">
        <v>0</v>
      </c>
      <c r="N114" s="349">
        <v>1</v>
      </c>
      <c r="O114" s="349">
        <f t="shared" si="0"/>
        <v>1.98</v>
      </c>
      <c r="P114" s="373">
        <f t="shared" si="1"/>
        <v>1.98</v>
      </c>
    </row>
    <row r="115" spans="1:16">
      <c r="A115" s="348">
        <v>259</v>
      </c>
      <c r="B115" s="349">
        <v>141</v>
      </c>
      <c r="C115" s="372" t="s">
        <v>7510</v>
      </c>
      <c r="D115" s="372" t="s">
        <v>45</v>
      </c>
      <c r="E115" s="372" t="s">
        <v>2556</v>
      </c>
      <c r="F115" s="350">
        <v>45480.848611111112</v>
      </c>
      <c r="G115" s="349">
        <v>7</v>
      </c>
      <c r="H115" s="372" t="s">
        <v>2557</v>
      </c>
      <c r="I115" s="349">
        <v>12521</v>
      </c>
      <c r="J115" s="372" t="s">
        <v>7511</v>
      </c>
      <c r="K115" s="349">
        <v>1.98</v>
      </c>
      <c r="L115" s="349">
        <v>0</v>
      </c>
      <c r="M115" s="349">
        <v>0</v>
      </c>
      <c r="N115" s="349">
        <v>1</v>
      </c>
      <c r="O115" s="349">
        <f t="shared" si="0"/>
        <v>1.98</v>
      </c>
      <c r="P115" s="373">
        <f t="shared" si="1"/>
        <v>1.98</v>
      </c>
    </row>
    <row r="116" spans="1:16">
      <c r="A116" s="348">
        <v>260</v>
      </c>
      <c r="B116" s="349">
        <v>143</v>
      </c>
      <c r="C116" s="372" t="s">
        <v>2868</v>
      </c>
      <c r="D116" s="372" t="s">
        <v>45</v>
      </c>
      <c r="E116" s="372" t="s">
        <v>2556</v>
      </c>
      <c r="F116" s="350">
        <v>45480.854861111111</v>
      </c>
      <c r="G116" s="349">
        <v>7</v>
      </c>
      <c r="H116" s="372" t="s">
        <v>2557</v>
      </c>
      <c r="I116" s="349">
        <v>12557</v>
      </c>
      <c r="J116" s="372" t="s">
        <v>7512</v>
      </c>
      <c r="K116" s="349">
        <v>1.98</v>
      </c>
      <c r="L116" s="349">
        <v>0</v>
      </c>
      <c r="M116" s="349">
        <v>0</v>
      </c>
      <c r="N116" s="349">
        <v>1</v>
      </c>
      <c r="O116" s="349">
        <f t="shared" si="0"/>
        <v>1.98</v>
      </c>
      <c r="P116" s="373">
        <f t="shared" si="1"/>
        <v>1.98</v>
      </c>
    </row>
    <row r="117" spans="1:16">
      <c r="A117" s="348">
        <v>261</v>
      </c>
      <c r="B117" s="349">
        <v>149</v>
      </c>
      <c r="C117" s="372" t="s">
        <v>3479</v>
      </c>
      <c r="D117" s="372" t="s">
        <v>45</v>
      </c>
      <c r="E117" s="372" t="s">
        <v>9</v>
      </c>
      <c r="F117" s="350">
        <v>45481.097916666666</v>
      </c>
      <c r="G117" s="349">
        <v>7</v>
      </c>
      <c r="H117" s="372" t="s">
        <v>2557</v>
      </c>
      <c r="I117" s="349">
        <v>12581</v>
      </c>
      <c r="J117" s="372" t="s">
        <v>7513</v>
      </c>
      <c r="K117" s="349">
        <v>1.98</v>
      </c>
      <c r="L117" s="349">
        <v>0.56000000000000005</v>
      </c>
      <c r="M117" s="349">
        <v>0</v>
      </c>
      <c r="N117" s="349">
        <v>1</v>
      </c>
      <c r="O117" s="349">
        <f t="shared" si="0"/>
        <v>1.42</v>
      </c>
      <c r="P117" s="373">
        <f t="shared" si="1"/>
        <v>1.42</v>
      </c>
    </row>
    <row r="118" spans="1:16">
      <c r="A118" s="348">
        <v>262</v>
      </c>
      <c r="B118" s="349">
        <v>150</v>
      </c>
      <c r="C118" s="372" t="s">
        <v>2598</v>
      </c>
      <c r="D118" s="372" t="s">
        <v>45</v>
      </c>
      <c r="E118" s="372" t="s">
        <v>2556</v>
      </c>
      <c r="F118" s="350">
        <v>45481.545138888891</v>
      </c>
      <c r="G118" s="349">
        <v>7</v>
      </c>
      <c r="H118" s="372" t="s">
        <v>2557</v>
      </c>
      <c r="I118" s="349">
        <v>12593</v>
      </c>
      <c r="J118" s="372" t="s">
        <v>7514</v>
      </c>
      <c r="K118" s="349">
        <v>1.98</v>
      </c>
      <c r="L118" s="349">
        <v>0</v>
      </c>
      <c r="M118" s="349">
        <v>0</v>
      </c>
      <c r="N118" s="349">
        <v>1</v>
      </c>
      <c r="O118" s="349">
        <f t="shared" si="0"/>
        <v>1.98</v>
      </c>
      <c r="P118" s="373">
        <f t="shared" si="1"/>
        <v>1.98</v>
      </c>
    </row>
    <row r="119" spans="1:16">
      <c r="A119" s="348">
        <v>263</v>
      </c>
      <c r="B119" s="349">
        <v>151</v>
      </c>
      <c r="C119" s="372" t="s">
        <v>7515</v>
      </c>
      <c r="D119" s="372" t="s">
        <v>45</v>
      </c>
      <c r="E119" s="372" t="s">
        <v>2556</v>
      </c>
      <c r="F119" s="350">
        <v>45481.677083333336</v>
      </c>
      <c r="G119" s="349">
        <v>7</v>
      </c>
      <c r="H119" s="372" t="s">
        <v>2557</v>
      </c>
      <c r="I119" s="349">
        <v>12617</v>
      </c>
      <c r="J119" s="372" t="s">
        <v>7516</v>
      </c>
      <c r="K119" s="349">
        <v>1.98</v>
      </c>
      <c r="L119" s="349">
        <v>0</v>
      </c>
      <c r="M119" s="349">
        <v>0</v>
      </c>
      <c r="N119" s="349">
        <v>1</v>
      </c>
      <c r="O119" s="349">
        <f t="shared" si="0"/>
        <v>1.98</v>
      </c>
      <c r="P119" s="373">
        <f t="shared" si="1"/>
        <v>1.98</v>
      </c>
    </row>
    <row r="120" spans="1:16">
      <c r="A120" s="348">
        <v>264</v>
      </c>
      <c r="B120" s="349">
        <v>153</v>
      </c>
      <c r="C120" s="372" t="s">
        <v>4935</v>
      </c>
      <c r="D120" s="372" t="s">
        <v>45</v>
      </c>
      <c r="E120" s="372" t="s">
        <v>2556</v>
      </c>
      <c r="F120" s="350">
        <v>45481.678472222222</v>
      </c>
      <c r="G120" s="349">
        <v>7</v>
      </c>
      <c r="H120" s="372" t="s">
        <v>2557</v>
      </c>
      <c r="I120" s="349">
        <v>12641</v>
      </c>
      <c r="J120" s="372" t="s">
        <v>7517</v>
      </c>
      <c r="K120" s="349">
        <v>1.98</v>
      </c>
      <c r="L120" s="349">
        <v>0</v>
      </c>
      <c r="M120" s="349">
        <v>0</v>
      </c>
      <c r="N120" s="349">
        <v>1</v>
      </c>
      <c r="O120" s="349">
        <f t="shared" si="0"/>
        <v>1.98</v>
      </c>
      <c r="P120" s="373">
        <f t="shared" si="1"/>
        <v>1.98</v>
      </c>
    </row>
    <row r="121" spans="1:16">
      <c r="A121" s="348">
        <v>265</v>
      </c>
      <c r="B121" s="349">
        <v>114</v>
      </c>
      <c r="C121" s="372" t="s">
        <v>7518</v>
      </c>
      <c r="D121" s="372" t="s">
        <v>45</v>
      </c>
      <c r="E121" s="372" t="s">
        <v>2556</v>
      </c>
      <c r="F121" s="350">
        <v>45481.686111111114</v>
      </c>
      <c r="G121" s="349">
        <v>7</v>
      </c>
      <c r="H121" s="372" t="s">
        <v>2557</v>
      </c>
      <c r="I121" s="349">
        <v>12653</v>
      </c>
      <c r="J121" s="372" t="s">
        <v>7519</v>
      </c>
      <c r="K121" s="349">
        <v>1.98</v>
      </c>
      <c r="L121" s="349">
        <v>0</v>
      </c>
      <c r="M121" s="349">
        <v>0</v>
      </c>
      <c r="N121" s="349">
        <v>1</v>
      </c>
      <c r="O121" s="349">
        <f t="shared" si="0"/>
        <v>1.98</v>
      </c>
      <c r="P121" s="373">
        <f t="shared" si="1"/>
        <v>1.98</v>
      </c>
    </row>
    <row r="122" spans="1:16">
      <c r="A122" s="348">
        <v>266</v>
      </c>
      <c r="B122" s="349">
        <v>156</v>
      </c>
      <c r="C122" s="372" t="s">
        <v>7520</v>
      </c>
      <c r="D122" s="372" t="s">
        <v>45</v>
      </c>
      <c r="E122" s="372" t="s">
        <v>2556</v>
      </c>
      <c r="F122" s="350">
        <v>45481.695138888892</v>
      </c>
      <c r="G122" s="349">
        <v>7</v>
      </c>
      <c r="H122" s="372" t="s">
        <v>2557</v>
      </c>
      <c r="I122" s="349">
        <v>12677</v>
      </c>
      <c r="J122" s="372" t="s">
        <v>7521</v>
      </c>
      <c r="K122" s="349">
        <v>1.98</v>
      </c>
      <c r="L122" s="349">
        <v>0</v>
      </c>
      <c r="M122" s="349">
        <v>0</v>
      </c>
      <c r="N122" s="349">
        <v>1</v>
      </c>
      <c r="O122" s="349">
        <f t="shared" si="0"/>
        <v>1.98</v>
      </c>
      <c r="P122" s="373">
        <f t="shared" si="1"/>
        <v>1.98</v>
      </c>
    </row>
    <row r="123" spans="1:16">
      <c r="A123" s="348">
        <v>267</v>
      </c>
      <c r="B123" s="349">
        <v>116</v>
      </c>
      <c r="C123" s="372" t="s">
        <v>7522</v>
      </c>
      <c r="D123" s="372" t="s">
        <v>45</v>
      </c>
      <c r="E123" s="372" t="s">
        <v>2556</v>
      </c>
      <c r="F123" s="350">
        <v>45481.696527777778</v>
      </c>
      <c r="G123" s="349">
        <v>7</v>
      </c>
      <c r="H123" s="372" t="s">
        <v>2557</v>
      </c>
      <c r="I123" s="349">
        <v>12689</v>
      </c>
      <c r="J123" s="372" t="s">
        <v>7523</v>
      </c>
      <c r="K123" s="349">
        <v>1.98</v>
      </c>
      <c r="L123" s="349">
        <v>0</v>
      </c>
      <c r="M123" s="349">
        <v>0</v>
      </c>
      <c r="N123" s="349">
        <v>1</v>
      </c>
      <c r="O123" s="349">
        <f t="shared" si="0"/>
        <v>1.98</v>
      </c>
      <c r="P123" s="373">
        <f t="shared" si="1"/>
        <v>1.98</v>
      </c>
    </row>
    <row r="124" spans="1:16">
      <c r="A124" s="348">
        <v>268</v>
      </c>
      <c r="B124" s="349">
        <v>155</v>
      </c>
      <c r="C124" s="372" t="s">
        <v>7524</v>
      </c>
      <c r="D124" s="372" t="s">
        <v>2582</v>
      </c>
      <c r="E124" s="372" t="s">
        <v>9</v>
      </c>
      <c r="F124" s="350">
        <v>45481.701388888891</v>
      </c>
      <c r="G124" s="349">
        <v>7</v>
      </c>
      <c r="H124" s="372" t="s">
        <v>2557</v>
      </c>
      <c r="I124" s="349">
        <v>12665</v>
      </c>
      <c r="J124" s="372" t="s">
        <v>7525</v>
      </c>
      <c r="K124" s="349">
        <v>14.39</v>
      </c>
      <c r="L124" s="349">
        <v>4.29</v>
      </c>
      <c r="M124" s="349">
        <v>0</v>
      </c>
      <c r="N124" s="349">
        <v>7.2667200000000003</v>
      </c>
      <c r="O124" s="349">
        <f t="shared" si="0"/>
        <v>10.100000000000001</v>
      </c>
      <c r="P124" s="373">
        <f t="shared" si="1"/>
        <v>1.3898980557940861</v>
      </c>
    </row>
    <row r="125" spans="1:16">
      <c r="A125" s="348">
        <v>269</v>
      </c>
      <c r="B125" s="349">
        <v>146</v>
      </c>
      <c r="C125" s="372" t="s">
        <v>7526</v>
      </c>
      <c r="D125" s="372" t="s">
        <v>45</v>
      </c>
      <c r="E125" s="372" t="s">
        <v>2556</v>
      </c>
      <c r="F125" s="350">
        <v>45481.715277777781</v>
      </c>
      <c r="G125" s="349">
        <v>7</v>
      </c>
      <c r="H125" s="372" t="s">
        <v>2557</v>
      </c>
      <c r="I125" s="349">
        <v>12725</v>
      </c>
      <c r="J125" s="372" t="s">
        <v>7527</v>
      </c>
      <c r="K125" s="349">
        <v>1.98</v>
      </c>
      <c r="L125" s="349">
        <v>0</v>
      </c>
      <c r="M125" s="349">
        <v>0</v>
      </c>
      <c r="N125" s="349">
        <v>1</v>
      </c>
      <c r="O125" s="349">
        <f t="shared" si="0"/>
        <v>1.98</v>
      </c>
      <c r="P125" s="373">
        <f t="shared" si="1"/>
        <v>1.98</v>
      </c>
    </row>
    <row r="126" spans="1:16">
      <c r="A126" s="348">
        <v>270</v>
      </c>
      <c r="B126" s="349">
        <v>158</v>
      </c>
      <c r="C126" s="372" t="s">
        <v>5046</v>
      </c>
      <c r="D126" s="372" t="s">
        <v>45</v>
      </c>
      <c r="E126" s="372" t="s">
        <v>2572</v>
      </c>
      <c r="F126" s="350">
        <v>45481.727083333331</v>
      </c>
      <c r="G126" s="349">
        <v>7</v>
      </c>
      <c r="H126" s="372" t="s">
        <v>2557</v>
      </c>
      <c r="I126" s="349">
        <v>12701</v>
      </c>
      <c r="J126" s="372"/>
      <c r="K126" s="349">
        <v>1.98</v>
      </c>
      <c r="L126" s="349">
        <v>0</v>
      </c>
      <c r="M126" s="349">
        <v>0</v>
      </c>
      <c r="N126" s="349">
        <v>1</v>
      </c>
      <c r="O126" s="349">
        <f t="shared" si="0"/>
        <v>1.98</v>
      </c>
      <c r="P126" s="373">
        <f t="shared" si="1"/>
        <v>1.98</v>
      </c>
    </row>
    <row r="127" spans="1:16">
      <c r="A127" s="348">
        <v>271</v>
      </c>
      <c r="B127" s="349">
        <v>147</v>
      </c>
      <c r="C127" s="372" t="s">
        <v>7528</v>
      </c>
      <c r="D127" s="372" t="s">
        <v>45</v>
      </c>
      <c r="E127" s="372" t="s">
        <v>2556</v>
      </c>
      <c r="F127" s="350">
        <v>45481.770833333336</v>
      </c>
      <c r="G127" s="349">
        <v>7</v>
      </c>
      <c r="H127" s="372" t="s">
        <v>2557</v>
      </c>
      <c r="I127" s="349">
        <v>12737</v>
      </c>
      <c r="J127" s="372" t="s">
        <v>7529</v>
      </c>
      <c r="K127" s="349">
        <v>1.98</v>
      </c>
      <c r="L127" s="349">
        <v>0</v>
      </c>
      <c r="M127" s="349">
        <v>0</v>
      </c>
      <c r="N127" s="349">
        <v>1</v>
      </c>
      <c r="O127" s="349">
        <f t="shared" si="0"/>
        <v>1.98</v>
      </c>
      <c r="P127" s="373">
        <f t="shared" si="1"/>
        <v>1.98</v>
      </c>
    </row>
    <row r="128" spans="1:16">
      <c r="A128" s="348">
        <v>272</v>
      </c>
      <c r="B128" s="349">
        <v>145</v>
      </c>
      <c r="C128" s="372" t="s">
        <v>7530</v>
      </c>
      <c r="D128" s="372" t="s">
        <v>2582</v>
      </c>
      <c r="E128" s="372" t="s">
        <v>9</v>
      </c>
      <c r="F128" s="350">
        <v>45481.795138888891</v>
      </c>
      <c r="G128" s="349">
        <v>7</v>
      </c>
      <c r="H128" s="372" t="s">
        <v>2557</v>
      </c>
      <c r="I128" s="349">
        <v>12761</v>
      </c>
      <c r="J128" s="372" t="s">
        <v>7531</v>
      </c>
      <c r="K128" s="349">
        <v>14.39</v>
      </c>
      <c r="L128" s="349">
        <v>4.29</v>
      </c>
      <c r="M128" s="349">
        <v>0</v>
      </c>
      <c r="N128" s="349">
        <v>7.2667200000000003</v>
      </c>
      <c r="O128" s="349">
        <f t="shared" si="0"/>
        <v>10.100000000000001</v>
      </c>
      <c r="P128" s="373">
        <f t="shared" si="1"/>
        <v>1.3898980557940861</v>
      </c>
    </row>
    <row r="129" spans="1:16">
      <c r="A129" s="348">
        <v>273</v>
      </c>
      <c r="B129" s="349">
        <v>160</v>
      </c>
      <c r="C129" s="372" t="s">
        <v>2879</v>
      </c>
      <c r="D129" s="372" t="s">
        <v>45</v>
      </c>
      <c r="E129" s="372" t="s">
        <v>2556</v>
      </c>
      <c r="F129" s="350">
        <v>45481.806944444441</v>
      </c>
      <c r="G129" s="349">
        <v>7</v>
      </c>
      <c r="H129" s="372" t="s">
        <v>2557</v>
      </c>
      <c r="I129" s="349">
        <v>12797</v>
      </c>
      <c r="J129" s="372" t="s">
        <v>7532</v>
      </c>
      <c r="K129" s="349">
        <v>1.98</v>
      </c>
      <c r="L129" s="349">
        <v>0</v>
      </c>
      <c r="M129" s="349">
        <v>0</v>
      </c>
      <c r="N129" s="349">
        <v>1</v>
      </c>
      <c r="O129" s="349">
        <f t="shared" si="0"/>
        <v>1.98</v>
      </c>
      <c r="P129" s="373">
        <f t="shared" si="1"/>
        <v>1.98</v>
      </c>
    </row>
    <row r="130" spans="1:16">
      <c r="A130" s="348">
        <v>274</v>
      </c>
      <c r="B130" s="349">
        <v>159</v>
      </c>
      <c r="C130" s="372" t="s">
        <v>7533</v>
      </c>
      <c r="D130" s="372" t="s">
        <v>45</v>
      </c>
      <c r="E130" s="372" t="s">
        <v>2572</v>
      </c>
      <c r="F130" s="350">
        <v>45481.84375</v>
      </c>
      <c r="G130" s="349">
        <v>7</v>
      </c>
      <c r="H130" s="372" t="s">
        <v>2557</v>
      </c>
      <c r="I130" s="349">
        <v>12749</v>
      </c>
      <c r="J130" s="372"/>
      <c r="K130" s="349">
        <v>1.98</v>
      </c>
      <c r="L130" s="349">
        <v>0</v>
      </c>
      <c r="M130" s="349">
        <v>0</v>
      </c>
      <c r="N130" s="349">
        <v>1</v>
      </c>
      <c r="O130" s="349">
        <f t="shared" si="0"/>
        <v>1.98</v>
      </c>
      <c r="P130" s="373">
        <f t="shared" si="1"/>
        <v>1.98</v>
      </c>
    </row>
    <row r="131" spans="1:16">
      <c r="A131" s="348">
        <v>275</v>
      </c>
      <c r="B131" s="349">
        <v>59</v>
      </c>
      <c r="C131" s="372" t="s">
        <v>7409</v>
      </c>
      <c r="D131" s="372" t="s">
        <v>45</v>
      </c>
      <c r="E131" s="372" t="s">
        <v>2556</v>
      </c>
      <c r="F131" s="350">
        <v>45481.881944444445</v>
      </c>
      <c r="G131" s="349">
        <v>7</v>
      </c>
      <c r="H131" s="372" t="s">
        <v>2557</v>
      </c>
      <c r="I131" s="349">
        <v>12845</v>
      </c>
      <c r="J131" s="372" t="s">
        <v>7534</v>
      </c>
      <c r="K131" s="349">
        <v>14.1</v>
      </c>
      <c r="L131" s="349">
        <v>0</v>
      </c>
      <c r="M131" s="349">
        <v>0</v>
      </c>
      <c r="N131" s="349">
        <v>1</v>
      </c>
      <c r="O131" s="349">
        <f t="shared" si="0"/>
        <v>14.1</v>
      </c>
      <c r="P131" s="373">
        <f t="shared" si="1"/>
        <v>14.1</v>
      </c>
    </row>
    <row r="132" spans="1:16">
      <c r="A132" s="348">
        <v>276</v>
      </c>
      <c r="B132" s="349">
        <v>166</v>
      </c>
      <c r="C132" s="372" t="s">
        <v>7535</v>
      </c>
      <c r="D132" s="372" t="s">
        <v>45</v>
      </c>
      <c r="E132" s="372" t="s">
        <v>2556</v>
      </c>
      <c r="F132" s="350">
        <v>45481.884027777778</v>
      </c>
      <c r="G132" s="349">
        <v>7</v>
      </c>
      <c r="H132" s="372" t="s">
        <v>2557</v>
      </c>
      <c r="I132" s="349">
        <v>12881</v>
      </c>
      <c r="J132" s="372" t="s">
        <v>7536</v>
      </c>
      <c r="K132" s="349">
        <v>1.98</v>
      </c>
      <c r="L132" s="349">
        <v>0</v>
      </c>
      <c r="M132" s="349">
        <v>0</v>
      </c>
      <c r="N132" s="349">
        <v>1</v>
      </c>
      <c r="O132" s="349">
        <f t="shared" si="0"/>
        <v>1.98</v>
      </c>
      <c r="P132" s="373">
        <f t="shared" si="1"/>
        <v>1.98</v>
      </c>
    </row>
    <row r="133" spans="1:16">
      <c r="A133" s="348">
        <v>277</v>
      </c>
      <c r="B133" s="349">
        <v>165</v>
      </c>
      <c r="C133" s="372" t="s">
        <v>2993</v>
      </c>
      <c r="D133" s="372" t="s">
        <v>45</v>
      </c>
      <c r="E133" s="372" t="s">
        <v>9</v>
      </c>
      <c r="F133" s="350">
        <v>45481.885416666664</v>
      </c>
      <c r="G133" s="349">
        <v>7</v>
      </c>
      <c r="H133" s="372" t="s">
        <v>2557</v>
      </c>
      <c r="I133" s="349">
        <v>12857</v>
      </c>
      <c r="J133" s="372" t="s">
        <v>7537</v>
      </c>
      <c r="K133" s="349">
        <v>1.98</v>
      </c>
      <c r="L133" s="349">
        <v>0.59</v>
      </c>
      <c r="M133" s="349">
        <v>0</v>
      </c>
      <c r="N133" s="349">
        <v>1</v>
      </c>
      <c r="O133" s="349">
        <f t="shared" si="0"/>
        <v>1.3900000000000001</v>
      </c>
      <c r="P133" s="373">
        <f t="shared" si="1"/>
        <v>1.3900000000000001</v>
      </c>
    </row>
    <row r="134" spans="1:16">
      <c r="A134" s="348">
        <v>278</v>
      </c>
      <c r="B134" s="349">
        <v>161</v>
      </c>
      <c r="C134" s="372" t="s">
        <v>4501</v>
      </c>
      <c r="D134" s="372" t="s">
        <v>2582</v>
      </c>
      <c r="E134" s="372" t="s">
        <v>2556</v>
      </c>
      <c r="F134" s="350">
        <v>45481.886805555558</v>
      </c>
      <c r="G134" s="349">
        <v>7</v>
      </c>
      <c r="H134" s="372" t="s">
        <v>2557</v>
      </c>
      <c r="I134" s="349">
        <v>12785</v>
      </c>
      <c r="J134" s="372" t="s">
        <v>7538</v>
      </c>
      <c r="K134" s="349">
        <v>14.39</v>
      </c>
      <c r="L134" s="349">
        <v>0</v>
      </c>
      <c r="M134" s="349">
        <v>0</v>
      </c>
      <c r="N134" s="349">
        <v>7.2667200000000003</v>
      </c>
      <c r="O134" s="349">
        <f t="shared" si="0"/>
        <v>14.39</v>
      </c>
      <c r="P134" s="373">
        <f t="shared" si="1"/>
        <v>1.9802606953343462</v>
      </c>
    </row>
    <row r="135" spans="1:16">
      <c r="A135" s="348">
        <v>279</v>
      </c>
      <c r="B135" s="349">
        <v>46</v>
      </c>
      <c r="C135" s="372" t="s">
        <v>2829</v>
      </c>
      <c r="D135" s="372" t="s">
        <v>45</v>
      </c>
      <c r="E135" s="372" t="s">
        <v>9</v>
      </c>
      <c r="F135" s="350">
        <v>45481.901388888888</v>
      </c>
      <c r="G135" s="349">
        <v>7</v>
      </c>
      <c r="H135" s="372" t="s">
        <v>2557</v>
      </c>
      <c r="I135" s="349">
        <v>12929</v>
      </c>
      <c r="J135" s="372" t="s">
        <v>7539</v>
      </c>
      <c r="K135" s="349">
        <v>13</v>
      </c>
      <c r="L135" s="349">
        <v>1.1399999999999999</v>
      </c>
      <c r="M135" s="349">
        <v>0</v>
      </c>
      <c r="N135" s="349">
        <v>1</v>
      </c>
      <c r="O135" s="349">
        <f t="shared" si="0"/>
        <v>11.86</v>
      </c>
      <c r="P135" s="373">
        <f t="shared" si="1"/>
        <v>11.86</v>
      </c>
    </row>
    <row r="136" spans="1:16">
      <c r="A136" s="348">
        <v>280</v>
      </c>
      <c r="B136" s="349">
        <v>168</v>
      </c>
      <c r="C136" s="372" t="s">
        <v>4874</v>
      </c>
      <c r="D136" s="372" t="s">
        <v>45</v>
      </c>
      <c r="E136" s="372" t="s">
        <v>9</v>
      </c>
      <c r="F136" s="350">
        <v>45481.925000000003</v>
      </c>
      <c r="G136" s="349">
        <v>7</v>
      </c>
      <c r="H136" s="372" t="s">
        <v>2557</v>
      </c>
      <c r="I136" s="349">
        <v>12953</v>
      </c>
      <c r="J136" s="372" t="s">
        <v>7540</v>
      </c>
      <c r="K136" s="349">
        <v>1.98</v>
      </c>
      <c r="L136" s="349">
        <v>0.59</v>
      </c>
      <c r="M136" s="349">
        <v>0</v>
      </c>
      <c r="N136" s="349">
        <v>1</v>
      </c>
      <c r="O136" s="349">
        <f t="shared" si="0"/>
        <v>1.3900000000000001</v>
      </c>
      <c r="P136" s="373">
        <f t="shared" si="1"/>
        <v>1.3900000000000001</v>
      </c>
    </row>
    <row r="137" spans="1:16">
      <c r="A137" s="348">
        <v>281</v>
      </c>
      <c r="B137" s="349">
        <v>169</v>
      </c>
      <c r="C137" s="372" t="s">
        <v>7541</v>
      </c>
      <c r="D137" s="372" t="s">
        <v>45</v>
      </c>
      <c r="E137" s="372" t="s">
        <v>2556</v>
      </c>
      <c r="F137" s="350">
        <v>45481.936111111114</v>
      </c>
      <c r="G137" s="349">
        <v>7</v>
      </c>
      <c r="H137" s="372" t="s">
        <v>2557</v>
      </c>
      <c r="I137" s="349">
        <v>12965</v>
      </c>
      <c r="J137" s="372" t="s">
        <v>7542</v>
      </c>
      <c r="K137" s="349">
        <v>1.98</v>
      </c>
      <c r="L137" s="349">
        <v>0</v>
      </c>
      <c r="M137" s="349">
        <v>0</v>
      </c>
      <c r="N137" s="349">
        <v>1</v>
      </c>
      <c r="O137" s="349">
        <f t="shared" si="0"/>
        <v>1.98</v>
      </c>
      <c r="P137" s="373">
        <f t="shared" si="1"/>
        <v>1.98</v>
      </c>
    </row>
    <row r="138" spans="1:16">
      <c r="A138" s="348">
        <v>282</v>
      </c>
      <c r="B138" s="349">
        <v>171</v>
      </c>
      <c r="C138" s="372" t="s">
        <v>4876</v>
      </c>
      <c r="D138" s="372" t="s">
        <v>45</v>
      </c>
      <c r="E138" s="372" t="s">
        <v>2556</v>
      </c>
      <c r="F138" s="350">
        <v>45481.943055555559</v>
      </c>
      <c r="G138" s="349">
        <v>7</v>
      </c>
      <c r="H138" s="372" t="s">
        <v>2557</v>
      </c>
      <c r="I138" s="349">
        <v>12989</v>
      </c>
      <c r="J138" s="372" t="s">
        <v>7543</v>
      </c>
      <c r="K138" s="349">
        <v>1.98</v>
      </c>
      <c r="L138" s="349">
        <v>0</v>
      </c>
      <c r="M138" s="349">
        <v>0</v>
      </c>
      <c r="N138" s="349">
        <v>1</v>
      </c>
      <c r="O138" s="349">
        <f t="shared" si="0"/>
        <v>1.98</v>
      </c>
      <c r="P138" s="373">
        <f t="shared" si="1"/>
        <v>1.98</v>
      </c>
    </row>
    <row r="139" spans="1:16">
      <c r="A139" s="348">
        <v>283</v>
      </c>
      <c r="B139" s="349">
        <v>173</v>
      </c>
      <c r="C139" s="372" t="s">
        <v>7544</v>
      </c>
      <c r="D139" s="372" t="s">
        <v>45</v>
      </c>
      <c r="E139" s="372" t="s">
        <v>2556</v>
      </c>
      <c r="F139" s="350">
        <v>45481.951388888891</v>
      </c>
      <c r="G139" s="349">
        <v>7</v>
      </c>
      <c r="H139" s="372" t="s">
        <v>2557</v>
      </c>
      <c r="I139" s="349">
        <v>13025</v>
      </c>
      <c r="J139" s="372" t="s">
        <v>7545</v>
      </c>
      <c r="K139" s="349">
        <v>1.98</v>
      </c>
      <c r="L139" s="349">
        <v>0</v>
      </c>
      <c r="M139" s="349">
        <v>0</v>
      </c>
      <c r="N139" s="349">
        <v>1</v>
      </c>
      <c r="O139" s="349">
        <f t="shared" si="0"/>
        <v>1.98</v>
      </c>
      <c r="P139" s="373">
        <f t="shared" si="1"/>
        <v>1.98</v>
      </c>
    </row>
    <row r="140" spans="1:16">
      <c r="A140" s="348">
        <v>284</v>
      </c>
      <c r="B140" s="349">
        <v>174</v>
      </c>
      <c r="C140" s="372" t="s">
        <v>7546</v>
      </c>
      <c r="D140" s="372" t="s">
        <v>45</v>
      </c>
      <c r="E140" s="372" t="s">
        <v>9</v>
      </c>
      <c r="F140" s="350">
        <v>45481.95208333333</v>
      </c>
      <c r="G140" s="349">
        <v>7</v>
      </c>
      <c r="H140" s="372" t="s">
        <v>2557</v>
      </c>
      <c r="I140" s="349">
        <v>13037</v>
      </c>
      <c r="J140" s="372" t="s">
        <v>7547</v>
      </c>
      <c r="K140" s="349">
        <v>1.98</v>
      </c>
      <c r="L140" s="349">
        <v>0.56000000000000005</v>
      </c>
      <c r="M140" s="349">
        <v>0</v>
      </c>
      <c r="N140" s="349">
        <v>1</v>
      </c>
      <c r="O140" s="349">
        <f t="shared" si="0"/>
        <v>1.42</v>
      </c>
      <c r="P140" s="373">
        <f t="shared" si="1"/>
        <v>1.42</v>
      </c>
    </row>
    <row r="141" spans="1:16">
      <c r="A141" s="348">
        <v>285</v>
      </c>
      <c r="B141" s="349">
        <v>172</v>
      </c>
      <c r="C141" s="372" t="s">
        <v>7548</v>
      </c>
      <c r="D141" s="372" t="s">
        <v>45</v>
      </c>
      <c r="E141" s="372" t="s">
        <v>2556</v>
      </c>
      <c r="F141" s="350">
        <v>45481.953472222223</v>
      </c>
      <c r="G141" s="349">
        <v>7</v>
      </c>
      <c r="H141" s="372" t="s">
        <v>2557</v>
      </c>
      <c r="I141" s="349">
        <v>13049</v>
      </c>
      <c r="J141" s="372" t="s">
        <v>7549</v>
      </c>
      <c r="K141" s="349">
        <v>1.98</v>
      </c>
      <c r="L141" s="349">
        <v>0</v>
      </c>
      <c r="M141" s="349">
        <v>0</v>
      </c>
      <c r="N141" s="349">
        <v>1</v>
      </c>
      <c r="O141" s="349">
        <f t="shared" si="0"/>
        <v>1.98</v>
      </c>
      <c r="P141" s="373">
        <f t="shared" si="1"/>
        <v>1.98</v>
      </c>
    </row>
    <row r="142" spans="1:16">
      <c r="A142" s="348">
        <v>286</v>
      </c>
      <c r="B142" s="349">
        <v>90</v>
      </c>
      <c r="C142" s="372" t="s">
        <v>7550</v>
      </c>
      <c r="D142" s="372" t="s">
        <v>2582</v>
      </c>
      <c r="E142" s="372" t="s">
        <v>2556</v>
      </c>
      <c r="F142" s="350">
        <v>45481.953472222223</v>
      </c>
      <c r="G142" s="349">
        <v>7</v>
      </c>
      <c r="H142" s="372" t="s">
        <v>2557</v>
      </c>
      <c r="I142" s="349">
        <v>13013</v>
      </c>
      <c r="J142" s="372" t="s">
        <v>7551</v>
      </c>
      <c r="K142" s="349">
        <v>14.39</v>
      </c>
      <c r="L142" s="349">
        <v>0</v>
      </c>
      <c r="M142" s="349">
        <v>0</v>
      </c>
      <c r="N142" s="349">
        <v>7.2667200000000003</v>
      </c>
      <c r="O142" s="349">
        <f t="shared" si="0"/>
        <v>14.39</v>
      </c>
      <c r="P142" s="373">
        <f t="shared" si="1"/>
        <v>1.9802606953343462</v>
      </c>
    </row>
    <row r="143" spans="1:16">
      <c r="A143" s="348">
        <v>287</v>
      </c>
      <c r="B143" s="349">
        <v>175</v>
      </c>
      <c r="C143" s="372" t="s">
        <v>2985</v>
      </c>
      <c r="D143" s="372" t="s">
        <v>45</v>
      </c>
      <c r="E143" s="372" t="s">
        <v>9</v>
      </c>
      <c r="F143" s="350">
        <v>45481.955555555556</v>
      </c>
      <c r="G143" s="349">
        <v>7</v>
      </c>
      <c r="H143" s="372" t="s">
        <v>2557</v>
      </c>
      <c r="I143" s="349">
        <v>13085</v>
      </c>
      <c r="J143" s="372" t="s">
        <v>7552</v>
      </c>
      <c r="K143" s="349">
        <v>1.98</v>
      </c>
      <c r="L143" s="349">
        <v>0.56000000000000005</v>
      </c>
      <c r="M143" s="349">
        <v>0</v>
      </c>
      <c r="N143" s="349">
        <v>1</v>
      </c>
      <c r="O143" s="349">
        <f t="shared" si="0"/>
        <v>1.42</v>
      </c>
      <c r="P143" s="373">
        <f t="shared" si="1"/>
        <v>1.42</v>
      </c>
    </row>
    <row r="144" spans="1:16">
      <c r="A144" s="348">
        <v>288</v>
      </c>
      <c r="B144" s="349">
        <v>148</v>
      </c>
      <c r="C144" s="372" t="s">
        <v>5002</v>
      </c>
      <c r="D144" s="372" t="s">
        <v>45</v>
      </c>
      <c r="E144" s="372" t="s">
        <v>9</v>
      </c>
      <c r="F144" s="350">
        <v>45481.958333333336</v>
      </c>
      <c r="G144" s="349">
        <v>7</v>
      </c>
      <c r="H144" s="372" t="s">
        <v>2557</v>
      </c>
      <c r="I144" s="349">
        <v>13109</v>
      </c>
      <c r="J144" s="372" t="s">
        <v>7553</v>
      </c>
      <c r="K144" s="349">
        <v>1.98</v>
      </c>
      <c r="L144" s="349">
        <v>0.56000000000000005</v>
      </c>
      <c r="M144" s="349">
        <v>0</v>
      </c>
      <c r="N144" s="349">
        <v>1</v>
      </c>
      <c r="O144" s="349">
        <f t="shared" si="0"/>
        <v>1.42</v>
      </c>
      <c r="P144" s="373">
        <f t="shared" si="1"/>
        <v>1.42</v>
      </c>
    </row>
    <row r="145" spans="1:16">
      <c r="A145" s="348">
        <v>289</v>
      </c>
      <c r="B145" s="349">
        <v>118</v>
      </c>
      <c r="C145" s="372" t="s">
        <v>7554</v>
      </c>
      <c r="D145" s="372" t="s">
        <v>2582</v>
      </c>
      <c r="E145" s="372" t="s">
        <v>2556</v>
      </c>
      <c r="F145" s="350">
        <v>45481.961805555555</v>
      </c>
      <c r="G145" s="349">
        <v>7</v>
      </c>
      <c r="H145" s="372" t="s">
        <v>2557</v>
      </c>
      <c r="I145" s="349">
        <v>13133</v>
      </c>
      <c r="J145" s="372" t="s">
        <v>7555</v>
      </c>
      <c r="K145" s="349">
        <v>14.39</v>
      </c>
      <c r="L145" s="349">
        <v>0</v>
      </c>
      <c r="M145" s="349">
        <v>0</v>
      </c>
      <c r="N145" s="349">
        <v>7.2667200000000003</v>
      </c>
      <c r="O145" s="349">
        <f t="shared" si="0"/>
        <v>14.39</v>
      </c>
      <c r="P145" s="373">
        <f t="shared" si="1"/>
        <v>1.9802606953343462</v>
      </c>
    </row>
    <row r="146" spans="1:16">
      <c r="A146" s="348">
        <v>290</v>
      </c>
      <c r="B146" s="349">
        <v>178</v>
      </c>
      <c r="C146" s="372" t="s">
        <v>7556</v>
      </c>
      <c r="D146" s="372" t="s">
        <v>45</v>
      </c>
      <c r="E146" s="372" t="s">
        <v>2556</v>
      </c>
      <c r="F146" s="350">
        <v>45481.961805555555</v>
      </c>
      <c r="G146" s="349">
        <v>7</v>
      </c>
      <c r="H146" s="372" t="s">
        <v>2557</v>
      </c>
      <c r="I146" s="349">
        <v>13145</v>
      </c>
      <c r="J146" s="372" t="s">
        <v>7557</v>
      </c>
      <c r="K146" s="349">
        <v>1.98</v>
      </c>
      <c r="L146" s="349">
        <v>0</v>
      </c>
      <c r="M146" s="349">
        <v>0</v>
      </c>
      <c r="N146" s="349">
        <v>1</v>
      </c>
      <c r="O146" s="349">
        <f t="shared" si="0"/>
        <v>1.98</v>
      </c>
      <c r="P146" s="373">
        <f t="shared" si="1"/>
        <v>1.98</v>
      </c>
    </row>
    <row r="147" spans="1:16">
      <c r="A147" s="348">
        <v>291</v>
      </c>
      <c r="B147" s="349">
        <v>179</v>
      </c>
      <c r="C147" s="372" t="s">
        <v>7558</v>
      </c>
      <c r="D147" s="372" t="s">
        <v>45</v>
      </c>
      <c r="E147" s="372" t="s">
        <v>9</v>
      </c>
      <c r="F147" s="350">
        <v>45481.967361111114</v>
      </c>
      <c r="G147" s="349">
        <v>7</v>
      </c>
      <c r="H147" s="372" t="s">
        <v>2557</v>
      </c>
      <c r="I147" s="349">
        <v>13157</v>
      </c>
      <c r="J147" s="372" t="s">
        <v>7559</v>
      </c>
      <c r="K147" s="349">
        <v>1.98</v>
      </c>
      <c r="L147" s="349">
        <v>0.56000000000000005</v>
      </c>
      <c r="M147" s="349">
        <v>0</v>
      </c>
      <c r="N147" s="349">
        <v>1</v>
      </c>
      <c r="O147" s="349">
        <f t="shared" si="0"/>
        <v>1.42</v>
      </c>
      <c r="P147" s="373">
        <f t="shared" si="1"/>
        <v>1.42</v>
      </c>
    </row>
    <row r="148" spans="1:16">
      <c r="A148" s="348">
        <v>292</v>
      </c>
      <c r="B148" s="349">
        <v>181</v>
      </c>
      <c r="C148" s="372" t="s">
        <v>7560</v>
      </c>
      <c r="D148" s="372" t="s">
        <v>45</v>
      </c>
      <c r="E148" s="372" t="s">
        <v>2556</v>
      </c>
      <c r="F148" s="350">
        <v>45481.991666666669</v>
      </c>
      <c r="G148" s="349">
        <v>7</v>
      </c>
      <c r="H148" s="372" t="s">
        <v>2557</v>
      </c>
      <c r="I148" s="349">
        <v>13169</v>
      </c>
      <c r="J148" s="372" t="s">
        <v>7561</v>
      </c>
      <c r="K148" s="349">
        <v>24</v>
      </c>
      <c r="L148" s="349">
        <v>0</v>
      </c>
      <c r="M148" s="349">
        <v>0</v>
      </c>
      <c r="N148" s="349">
        <v>1</v>
      </c>
      <c r="O148" s="349">
        <f t="shared" si="0"/>
        <v>24</v>
      </c>
      <c r="P148" s="373">
        <f t="shared" si="1"/>
        <v>24</v>
      </c>
    </row>
    <row r="149" spans="1:16">
      <c r="A149" s="348">
        <v>293</v>
      </c>
      <c r="B149" s="349">
        <v>182</v>
      </c>
      <c r="C149" s="372" t="s">
        <v>7562</v>
      </c>
      <c r="D149" s="372" t="s">
        <v>45</v>
      </c>
      <c r="E149" s="372" t="s">
        <v>2556</v>
      </c>
      <c r="F149" s="350">
        <v>45482.070138888892</v>
      </c>
      <c r="G149" s="349">
        <v>7</v>
      </c>
      <c r="H149" s="372" t="s">
        <v>2557</v>
      </c>
      <c r="I149" s="349">
        <v>13181</v>
      </c>
      <c r="J149" s="372" t="s">
        <v>7563</v>
      </c>
      <c r="K149" s="349">
        <v>1.98</v>
      </c>
      <c r="L149" s="349">
        <v>0</v>
      </c>
      <c r="M149" s="349">
        <v>0</v>
      </c>
      <c r="N149" s="349">
        <v>1</v>
      </c>
      <c r="O149" s="349">
        <f t="shared" si="0"/>
        <v>1.98</v>
      </c>
      <c r="P149" s="373">
        <f t="shared" si="1"/>
        <v>1.98</v>
      </c>
    </row>
    <row r="150" spans="1:16">
      <c r="A150" s="348">
        <v>294</v>
      </c>
      <c r="B150" s="349">
        <v>184</v>
      </c>
      <c r="C150" s="372" t="s">
        <v>7564</v>
      </c>
      <c r="D150" s="372" t="s">
        <v>45</v>
      </c>
      <c r="E150" s="372" t="s">
        <v>9</v>
      </c>
      <c r="F150" s="350">
        <v>45482.960416666669</v>
      </c>
      <c r="G150" s="349">
        <v>7</v>
      </c>
      <c r="H150" s="372" t="s">
        <v>2557</v>
      </c>
      <c r="I150" s="349">
        <v>13229</v>
      </c>
      <c r="J150" s="372" t="s">
        <v>7565</v>
      </c>
      <c r="K150" s="349">
        <v>1.98</v>
      </c>
      <c r="L150" s="349">
        <v>0.56000000000000005</v>
      </c>
      <c r="M150" s="349">
        <v>0</v>
      </c>
      <c r="N150" s="349">
        <v>1</v>
      </c>
      <c r="O150" s="349">
        <f t="shared" si="0"/>
        <v>1.42</v>
      </c>
      <c r="P150" s="373">
        <f t="shared" si="1"/>
        <v>1.42</v>
      </c>
    </row>
    <row r="151" spans="1:16">
      <c r="A151" s="348">
        <v>295</v>
      </c>
      <c r="B151" s="349">
        <v>185</v>
      </c>
      <c r="C151" s="372" t="s">
        <v>4929</v>
      </c>
      <c r="D151" s="372" t="s">
        <v>45</v>
      </c>
      <c r="E151" s="372" t="s">
        <v>2556</v>
      </c>
      <c r="F151" s="350">
        <v>45482.961805555555</v>
      </c>
      <c r="G151" s="349">
        <v>7</v>
      </c>
      <c r="H151" s="372" t="s">
        <v>2557</v>
      </c>
      <c r="I151" s="349">
        <v>13241</v>
      </c>
      <c r="J151" s="372" t="s">
        <v>7566</v>
      </c>
      <c r="K151" s="349">
        <v>1.98</v>
      </c>
      <c r="L151" s="349">
        <v>0</v>
      </c>
      <c r="M151" s="349">
        <v>0</v>
      </c>
      <c r="N151" s="349">
        <v>1</v>
      </c>
      <c r="O151" s="349">
        <f t="shared" si="0"/>
        <v>1.98</v>
      </c>
      <c r="P151" s="373">
        <f t="shared" si="1"/>
        <v>1.98</v>
      </c>
    </row>
    <row r="152" spans="1:16">
      <c r="A152" s="348">
        <v>296</v>
      </c>
      <c r="B152" s="349">
        <v>143</v>
      </c>
      <c r="C152" s="372" t="s">
        <v>2868</v>
      </c>
      <c r="D152" s="372" t="s">
        <v>45</v>
      </c>
      <c r="E152" s="372" t="s">
        <v>9</v>
      </c>
      <c r="F152" s="350">
        <v>45482.969444444447</v>
      </c>
      <c r="G152" s="349">
        <v>7</v>
      </c>
      <c r="H152" s="372" t="s">
        <v>2557</v>
      </c>
      <c r="I152" s="349">
        <v>13253</v>
      </c>
      <c r="J152" s="372" t="s">
        <v>7567</v>
      </c>
      <c r="K152" s="349">
        <v>13.93</v>
      </c>
      <c r="L152" s="349">
        <v>1.19</v>
      </c>
      <c r="M152" s="349">
        <v>0</v>
      </c>
      <c r="N152" s="349">
        <v>1</v>
      </c>
      <c r="O152" s="349">
        <f t="shared" si="0"/>
        <v>12.74</v>
      </c>
      <c r="P152" s="373">
        <f t="shared" si="1"/>
        <v>12.74</v>
      </c>
    </row>
    <row r="153" spans="1:16">
      <c r="A153" s="348">
        <v>297</v>
      </c>
      <c r="B153" s="349">
        <v>187</v>
      </c>
      <c r="C153" s="372" t="s">
        <v>3433</v>
      </c>
      <c r="D153" s="372" t="s">
        <v>45</v>
      </c>
      <c r="E153" s="372" t="s">
        <v>2556</v>
      </c>
      <c r="F153" s="350">
        <v>45482.974305555559</v>
      </c>
      <c r="G153" s="349">
        <v>7</v>
      </c>
      <c r="H153" s="372" t="s">
        <v>2557</v>
      </c>
      <c r="I153" s="349">
        <v>13277</v>
      </c>
      <c r="J153" s="372" t="s">
        <v>7568</v>
      </c>
      <c r="K153" s="349">
        <v>1.98</v>
      </c>
      <c r="L153" s="349">
        <v>0</v>
      </c>
      <c r="M153" s="349">
        <v>0</v>
      </c>
      <c r="N153" s="349">
        <v>1</v>
      </c>
      <c r="O153" s="349">
        <f t="shared" si="0"/>
        <v>1.98</v>
      </c>
      <c r="P153" s="373">
        <f t="shared" si="1"/>
        <v>1.98</v>
      </c>
    </row>
    <row r="154" spans="1:16">
      <c r="A154" s="348">
        <v>342</v>
      </c>
      <c r="B154" s="349">
        <v>36</v>
      </c>
      <c r="C154" s="372" t="s">
        <v>2646</v>
      </c>
      <c r="D154" s="372" t="s">
        <v>45</v>
      </c>
      <c r="E154" s="372" t="s">
        <v>2572</v>
      </c>
      <c r="F154" s="350">
        <v>45483</v>
      </c>
      <c r="G154" s="349">
        <v>7</v>
      </c>
      <c r="H154" s="372" t="s">
        <v>2557</v>
      </c>
      <c r="I154" s="349">
        <v>13673</v>
      </c>
      <c r="J154" s="372"/>
      <c r="K154" s="349">
        <v>415</v>
      </c>
      <c r="L154" s="349">
        <v>0</v>
      </c>
      <c r="M154" s="349">
        <v>0</v>
      </c>
      <c r="N154" s="349">
        <v>1</v>
      </c>
      <c r="O154" s="349">
        <f t="shared" si="0"/>
        <v>415</v>
      </c>
      <c r="P154" s="373">
        <f t="shared" si="1"/>
        <v>415</v>
      </c>
    </row>
    <row r="155" spans="1:16">
      <c r="A155" s="348">
        <v>298</v>
      </c>
      <c r="B155" s="349">
        <v>189</v>
      </c>
      <c r="C155" s="372" t="s">
        <v>7569</v>
      </c>
      <c r="D155" s="372" t="s">
        <v>45</v>
      </c>
      <c r="E155" s="372" t="s">
        <v>2556</v>
      </c>
      <c r="F155" s="350">
        <v>45483.025000000001</v>
      </c>
      <c r="G155" s="349">
        <v>7</v>
      </c>
      <c r="H155" s="372" t="s">
        <v>2557</v>
      </c>
      <c r="I155" s="349">
        <v>13325</v>
      </c>
      <c r="J155" s="372" t="s">
        <v>7570</v>
      </c>
      <c r="K155" s="349">
        <v>1.98</v>
      </c>
      <c r="L155" s="349">
        <v>0</v>
      </c>
      <c r="M155" s="349">
        <v>0</v>
      </c>
      <c r="N155" s="349">
        <v>1</v>
      </c>
      <c r="O155" s="349">
        <f t="shared" si="0"/>
        <v>1.98</v>
      </c>
      <c r="P155" s="373">
        <f t="shared" si="1"/>
        <v>1.98</v>
      </c>
    </row>
    <row r="156" spans="1:16">
      <c r="A156" s="348">
        <v>299</v>
      </c>
      <c r="B156" s="349">
        <v>190</v>
      </c>
      <c r="C156" s="372" t="s">
        <v>5068</v>
      </c>
      <c r="D156" s="372" t="s">
        <v>45</v>
      </c>
      <c r="E156" s="372" t="s">
        <v>2556</v>
      </c>
      <c r="F156" s="350">
        <v>45483.62777777778</v>
      </c>
      <c r="G156" s="349">
        <v>7</v>
      </c>
      <c r="H156" s="372" t="s">
        <v>2557</v>
      </c>
      <c r="I156" s="349">
        <v>13337</v>
      </c>
      <c r="J156" s="372" t="s">
        <v>7571</v>
      </c>
      <c r="K156" s="349">
        <v>1.98</v>
      </c>
      <c r="L156" s="349">
        <v>0</v>
      </c>
      <c r="M156" s="349">
        <v>0</v>
      </c>
      <c r="N156" s="349">
        <v>1</v>
      </c>
      <c r="O156" s="349">
        <f t="shared" si="0"/>
        <v>1.98</v>
      </c>
      <c r="P156" s="373">
        <f t="shared" si="1"/>
        <v>1.98</v>
      </c>
    </row>
    <row r="157" spans="1:16">
      <c r="A157" s="348">
        <v>300</v>
      </c>
      <c r="B157" s="349">
        <v>191</v>
      </c>
      <c r="C157" s="372" t="s">
        <v>7572</v>
      </c>
      <c r="D157" s="372" t="s">
        <v>45</v>
      </c>
      <c r="E157" s="372" t="s">
        <v>2556</v>
      </c>
      <c r="F157" s="350">
        <v>45483.629166666666</v>
      </c>
      <c r="G157" s="349">
        <v>7</v>
      </c>
      <c r="H157" s="372" t="s">
        <v>2557</v>
      </c>
      <c r="I157" s="349">
        <v>13349</v>
      </c>
      <c r="J157" s="372" t="s">
        <v>7573</v>
      </c>
      <c r="K157" s="349">
        <v>1.98</v>
      </c>
      <c r="L157" s="349">
        <v>0</v>
      </c>
      <c r="M157" s="349">
        <v>0</v>
      </c>
      <c r="N157" s="349">
        <v>1</v>
      </c>
      <c r="O157" s="349">
        <f t="shared" si="0"/>
        <v>1.98</v>
      </c>
      <c r="P157" s="373">
        <f t="shared" si="1"/>
        <v>1.98</v>
      </c>
    </row>
    <row r="158" spans="1:16">
      <c r="A158" s="348">
        <v>301</v>
      </c>
      <c r="B158" s="349">
        <v>192</v>
      </c>
      <c r="C158" s="372" t="s">
        <v>7574</v>
      </c>
      <c r="D158" s="372" t="s">
        <v>45</v>
      </c>
      <c r="E158" s="372" t="s">
        <v>9</v>
      </c>
      <c r="F158" s="350">
        <v>45483.629166666666</v>
      </c>
      <c r="G158" s="349">
        <v>7</v>
      </c>
      <c r="H158" s="372" t="s">
        <v>2557</v>
      </c>
      <c r="I158" s="349">
        <v>13361</v>
      </c>
      <c r="J158" s="372" t="s">
        <v>7575</v>
      </c>
      <c r="K158" s="349">
        <v>1.98</v>
      </c>
      <c r="L158" s="349">
        <v>0.59</v>
      </c>
      <c r="M158" s="349">
        <v>0</v>
      </c>
      <c r="N158" s="349">
        <v>1</v>
      </c>
      <c r="O158" s="349">
        <f t="shared" si="0"/>
        <v>1.3900000000000001</v>
      </c>
      <c r="P158" s="373">
        <f t="shared" si="1"/>
        <v>1.3900000000000001</v>
      </c>
    </row>
    <row r="159" spans="1:16">
      <c r="A159" s="348">
        <v>302</v>
      </c>
      <c r="B159" s="349">
        <v>194</v>
      </c>
      <c r="C159" s="372" t="s">
        <v>7576</v>
      </c>
      <c r="D159" s="372" t="s">
        <v>45</v>
      </c>
      <c r="E159" s="372" t="s">
        <v>2556</v>
      </c>
      <c r="F159" s="350">
        <v>45483.636111111111</v>
      </c>
      <c r="G159" s="349">
        <v>7</v>
      </c>
      <c r="H159" s="372" t="s">
        <v>2557</v>
      </c>
      <c r="I159" s="349">
        <v>13373</v>
      </c>
      <c r="J159" s="372" t="s">
        <v>7577</v>
      </c>
      <c r="K159" s="349">
        <v>1.98</v>
      </c>
      <c r="L159" s="349">
        <v>0</v>
      </c>
      <c r="M159" s="349">
        <v>0</v>
      </c>
      <c r="N159" s="349">
        <v>1</v>
      </c>
      <c r="O159" s="349">
        <f t="shared" si="0"/>
        <v>1.98</v>
      </c>
      <c r="P159" s="373">
        <f t="shared" si="1"/>
        <v>1.98</v>
      </c>
    </row>
    <row r="160" spans="1:16">
      <c r="A160" s="348">
        <v>303</v>
      </c>
      <c r="B160" s="349">
        <v>193</v>
      </c>
      <c r="C160" s="372" t="s">
        <v>4977</v>
      </c>
      <c r="D160" s="372" t="s">
        <v>2582</v>
      </c>
      <c r="E160" s="372" t="s">
        <v>2556</v>
      </c>
      <c r="F160" s="350">
        <v>45483.637499999997</v>
      </c>
      <c r="G160" s="349">
        <v>7</v>
      </c>
      <c r="H160" s="372" t="s">
        <v>2557</v>
      </c>
      <c r="I160" s="349">
        <v>13385</v>
      </c>
      <c r="J160" s="372" t="s">
        <v>7578</v>
      </c>
      <c r="K160" s="349">
        <v>14.4</v>
      </c>
      <c r="L160" s="349">
        <v>0</v>
      </c>
      <c r="M160" s="349">
        <v>0</v>
      </c>
      <c r="N160" s="349">
        <v>7.27196</v>
      </c>
      <c r="O160" s="349">
        <f t="shared" si="0"/>
        <v>14.4</v>
      </c>
      <c r="P160" s="373">
        <f t="shared" si="1"/>
        <v>1.9802089120402202</v>
      </c>
    </row>
    <row r="161" spans="1:16">
      <c r="A161" s="348">
        <v>304</v>
      </c>
      <c r="B161" s="349">
        <v>195</v>
      </c>
      <c r="C161" s="372" t="s">
        <v>4601</v>
      </c>
      <c r="D161" s="372" t="s">
        <v>45</v>
      </c>
      <c r="E161" s="372" t="s">
        <v>2556</v>
      </c>
      <c r="F161" s="350">
        <v>45483.643750000003</v>
      </c>
      <c r="G161" s="349">
        <v>7</v>
      </c>
      <c r="H161" s="372" t="s">
        <v>2557</v>
      </c>
      <c r="I161" s="349">
        <v>13397</v>
      </c>
      <c r="J161" s="372" t="s">
        <v>7579</v>
      </c>
      <c r="K161" s="349">
        <v>1.98</v>
      </c>
      <c r="L161" s="349">
        <v>0</v>
      </c>
      <c r="M161" s="349">
        <v>0</v>
      </c>
      <c r="N161" s="349">
        <v>1</v>
      </c>
      <c r="O161" s="349">
        <f t="shared" si="0"/>
        <v>1.98</v>
      </c>
      <c r="P161" s="373">
        <f t="shared" si="1"/>
        <v>1.98</v>
      </c>
    </row>
    <row r="162" spans="1:16">
      <c r="A162" s="348">
        <v>305</v>
      </c>
      <c r="B162" s="349">
        <v>196</v>
      </c>
      <c r="C162" s="372" t="s">
        <v>7580</v>
      </c>
      <c r="D162" s="372" t="s">
        <v>45</v>
      </c>
      <c r="E162" s="372" t="s">
        <v>2556</v>
      </c>
      <c r="F162" s="350">
        <v>45483.647222222222</v>
      </c>
      <c r="G162" s="349">
        <v>7</v>
      </c>
      <c r="H162" s="372" t="s">
        <v>2557</v>
      </c>
      <c r="I162" s="349">
        <v>13409</v>
      </c>
      <c r="J162" s="372" t="s">
        <v>7581</v>
      </c>
      <c r="K162" s="349">
        <v>1.98</v>
      </c>
      <c r="L162" s="349">
        <v>0</v>
      </c>
      <c r="M162" s="349">
        <v>0</v>
      </c>
      <c r="N162" s="349">
        <v>1</v>
      </c>
      <c r="O162" s="349">
        <f t="shared" si="0"/>
        <v>1.98</v>
      </c>
      <c r="P162" s="373">
        <f t="shared" si="1"/>
        <v>1.98</v>
      </c>
    </row>
    <row r="163" spans="1:16">
      <c r="A163" s="348">
        <v>306</v>
      </c>
      <c r="B163" s="349">
        <v>197</v>
      </c>
      <c r="C163" s="372" t="s">
        <v>7582</v>
      </c>
      <c r="D163" s="372" t="s">
        <v>45</v>
      </c>
      <c r="E163" s="372" t="s">
        <v>2556</v>
      </c>
      <c r="F163" s="350">
        <v>45483.65</v>
      </c>
      <c r="G163" s="349">
        <v>7</v>
      </c>
      <c r="H163" s="372" t="s">
        <v>2557</v>
      </c>
      <c r="I163" s="349">
        <v>13421</v>
      </c>
      <c r="J163" s="372" t="s">
        <v>7583</v>
      </c>
      <c r="K163" s="349">
        <v>1.98</v>
      </c>
      <c r="L163" s="349">
        <v>0</v>
      </c>
      <c r="M163" s="349">
        <v>0</v>
      </c>
      <c r="N163" s="349">
        <v>1</v>
      </c>
      <c r="O163" s="349">
        <f t="shared" si="0"/>
        <v>1.98</v>
      </c>
      <c r="P163" s="373">
        <f t="shared" si="1"/>
        <v>1.98</v>
      </c>
    </row>
    <row r="164" spans="1:16">
      <c r="A164" s="348">
        <v>307</v>
      </c>
      <c r="B164" s="349">
        <v>199</v>
      </c>
      <c r="C164" s="372" t="s">
        <v>7584</v>
      </c>
      <c r="D164" s="372" t="s">
        <v>45</v>
      </c>
      <c r="E164" s="372" t="s">
        <v>2556</v>
      </c>
      <c r="F164" s="350">
        <v>45483.658333333333</v>
      </c>
      <c r="G164" s="349">
        <v>7</v>
      </c>
      <c r="H164" s="372" t="s">
        <v>2557</v>
      </c>
      <c r="I164" s="349">
        <v>13445</v>
      </c>
      <c r="J164" s="372" t="s">
        <v>7585</v>
      </c>
      <c r="K164" s="349">
        <v>1.98</v>
      </c>
      <c r="L164" s="349">
        <v>0</v>
      </c>
      <c r="M164" s="349">
        <v>0</v>
      </c>
      <c r="N164" s="349">
        <v>1</v>
      </c>
      <c r="O164" s="349">
        <f t="shared" si="0"/>
        <v>1.98</v>
      </c>
      <c r="P164" s="373">
        <f t="shared" si="1"/>
        <v>1.98</v>
      </c>
    </row>
    <row r="165" spans="1:16">
      <c r="A165" s="348">
        <v>308</v>
      </c>
      <c r="B165" s="349">
        <v>198</v>
      </c>
      <c r="C165" s="372" t="s">
        <v>7586</v>
      </c>
      <c r="D165" s="372" t="s">
        <v>45</v>
      </c>
      <c r="E165" s="372" t="s">
        <v>9</v>
      </c>
      <c r="F165" s="350">
        <v>45483.661805555559</v>
      </c>
      <c r="G165" s="349">
        <v>7</v>
      </c>
      <c r="H165" s="372" t="s">
        <v>2557</v>
      </c>
      <c r="I165" s="349">
        <v>13433</v>
      </c>
      <c r="J165" s="372" t="s">
        <v>7587</v>
      </c>
      <c r="K165" s="349">
        <v>1.98</v>
      </c>
      <c r="L165" s="349">
        <v>0.56000000000000005</v>
      </c>
      <c r="M165" s="349">
        <v>0</v>
      </c>
      <c r="N165" s="349">
        <v>1</v>
      </c>
      <c r="O165" s="349">
        <f t="shared" si="0"/>
        <v>1.42</v>
      </c>
      <c r="P165" s="373">
        <f t="shared" si="1"/>
        <v>1.42</v>
      </c>
    </row>
    <row r="166" spans="1:16">
      <c r="A166" s="348">
        <v>309</v>
      </c>
      <c r="B166" s="349">
        <v>125</v>
      </c>
      <c r="C166" s="372" t="s">
        <v>7588</v>
      </c>
      <c r="D166" s="372" t="s">
        <v>2582</v>
      </c>
      <c r="E166" s="372" t="s">
        <v>2556</v>
      </c>
      <c r="F166" s="350">
        <v>45483.672222222223</v>
      </c>
      <c r="G166" s="349">
        <v>7</v>
      </c>
      <c r="H166" s="372" t="s">
        <v>2557</v>
      </c>
      <c r="I166" s="349">
        <v>13457</v>
      </c>
      <c r="J166" s="372" t="s">
        <v>7589</v>
      </c>
      <c r="K166" s="349">
        <v>14.4</v>
      </c>
      <c r="L166" s="349">
        <v>0</v>
      </c>
      <c r="M166" s="349">
        <v>0</v>
      </c>
      <c r="N166" s="349">
        <v>7.27196</v>
      </c>
      <c r="O166" s="349">
        <f t="shared" si="0"/>
        <v>14.4</v>
      </c>
      <c r="P166" s="373">
        <f t="shared" si="1"/>
        <v>1.9802089120402202</v>
      </c>
    </row>
    <row r="167" spans="1:16">
      <c r="A167" s="348">
        <v>310</v>
      </c>
      <c r="B167" s="349">
        <v>200</v>
      </c>
      <c r="C167" s="372" t="s">
        <v>6002</v>
      </c>
      <c r="D167" s="372" t="s">
        <v>2582</v>
      </c>
      <c r="E167" s="372" t="s">
        <v>2556</v>
      </c>
      <c r="F167" s="350">
        <v>45483.677083333336</v>
      </c>
      <c r="G167" s="349">
        <v>7</v>
      </c>
      <c r="H167" s="372" t="s">
        <v>2557</v>
      </c>
      <c r="I167" s="349">
        <v>13469</v>
      </c>
      <c r="J167" s="372" t="s">
        <v>7590</v>
      </c>
      <c r="K167" s="349">
        <v>14.4</v>
      </c>
      <c r="L167" s="349">
        <v>0</v>
      </c>
      <c r="M167" s="349">
        <v>0</v>
      </c>
      <c r="N167" s="349">
        <v>7.27196</v>
      </c>
      <c r="O167" s="349">
        <f t="shared" si="0"/>
        <v>14.4</v>
      </c>
      <c r="P167" s="373">
        <f t="shared" si="1"/>
        <v>1.9802089120402202</v>
      </c>
    </row>
    <row r="168" spans="1:16">
      <c r="A168" s="348">
        <v>311</v>
      </c>
      <c r="B168" s="349">
        <v>201</v>
      </c>
      <c r="C168" s="372" t="s">
        <v>7591</v>
      </c>
      <c r="D168" s="372" t="s">
        <v>45</v>
      </c>
      <c r="E168" s="372" t="s">
        <v>2556</v>
      </c>
      <c r="F168" s="350">
        <v>45483.681944444441</v>
      </c>
      <c r="G168" s="349">
        <v>7</v>
      </c>
      <c r="H168" s="372" t="s">
        <v>2557</v>
      </c>
      <c r="I168" s="349">
        <v>13481</v>
      </c>
      <c r="J168" s="372" t="s">
        <v>7592</v>
      </c>
      <c r="K168" s="349">
        <v>1.98</v>
      </c>
      <c r="L168" s="349">
        <v>0</v>
      </c>
      <c r="M168" s="349">
        <v>0</v>
      </c>
      <c r="N168" s="349">
        <v>1</v>
      </c>
      <c r="O168" s="349">
        <f t="shared" si="0"/>
        <v>1.98</v>
      </c>
      <c r="P168" s="373">
        <f t="shared" si="1"/>
        <v>1.98</v>
      </c>
    </row>
    <row r="169" spans="1:16">
      <c r="A169" s="348">
        <v>312</v>
      </c>
      <c r="B169" s="349">
        <v>202</v>
      </c>
      <c r="C169" s="372" t="s">
        <v>7593</v>
      </c>
      <c r="D169" s="372" t="s">
        <v>45</v>
      </c>
      <c r="E169" s="372" t="s">
        <v>6430</v>
      </c>
      <c r="F169" s="350">
        <v>45483.689583333333</v>
      </c>
      <c r="G169" s="349">
        <v>7</v>
      </c>
      <c r="H169" s="372" t="s">
        <v>2557</v>
      </c>
      <c r="I169" s="349">
        <v>13493</v>
      </c>
      <c r="J169" s="372" t="s">
        <v>7594</v>
      </c>
      <c r="K169" s="349">
        <v>1.98</v>
      </c>
      <c r="L169" s="349">
        <v>0.39</v>
      </c>
      <c r="M169" s="349">
        <v>0</v>
      </c>
      <c r="N169" s="349">
        <v>1</v>
      </c>
      <c r="O169" s="349">
        <f t="shared" si="0"/>
        <v>1.5899999999999999</v>
      </c>
      <c r="P169" s="373">
        <f t="shared" si="1"/>
        <v>1.5899999999999999</v>
      </c>
    </row>
    <row r="170" spans="1:16">
      <c r="A170" s="348">
        <v>313</v>
      </c>
      <c r="B170" s="349">
        <v>125</v>
      </c>
      <c r="C170" s="372" t="s">
        <v>7588</v>
      </c>
      <c r="D170" s="372" t="s">
        <v>2582</v>
      </c>
      <c r="E170" s="372" t="s">
        <v>2556</v>
      </c>
      <c r="F170" s="350">
        <v>45483.690972222219</v>
      </c>
      <c r="G170" s="349">
        <v>7</v>
      </c>
      <c r="H170" s="372" t="s">
        <v>2557</v>
      </c>
      <c r="I170" s="349">
        <v>13505</v>
      </c>
      <c r="J170" s="372" t="s">
        <v>7595</v>
      </c>
      <c r="K170" s="349">
        <v>101.81</v>
      </c>
      <c r="L170" s="349">
        <v>0</v>
      </c>
      <c r="M170" s="349">
        <v>0</v>
      </c>
      <c r="N170" s="349">
        <v>7.27196</v>
      </c>
      <c r="O170" s="349">
        <f t="shared" si="0"/>
        <v>101.81</v>
      </c>
      <c r="P170" s="373">
        <f t="shared" si="1"/>
        <v>14.000352037139919</v>
      </c>
    </row>
    <row r="171" spans="1:16">
      <c r="A171" s="348">
        <v>314</v>
      </c>
      <c r="B171" s="349">
        <v>202</v>
      </c>
      <c r="C171" s="372" t="s">
        <v>7593</v>
      </c>
      <c r="D171" s="372" t="s">
        <v>45</v>
      </c>
      <c r="E171" s="372" t="s">
        <v>6430</v>
      </c>
      <c r="F171" s="350">
        <v>45483.692361111112</v>
      </c>
      <c r="G171" s="349">
        <v>7</v>
      </c>
      <c r="H171" s="372" t="s">
        <v>2557</v>
      </c>
      <c r="I171" s="349">
        <v>13517</v>
      </c>
      <c r="J171" s="372" t="s">
        <v>7596</v>
      </c>
      <c r="K171" s="349">
        <v>24</v>
      </c>
      <c r="L171" s="349">
        <v>1.36</v>
      </c>
      <c r="M171" s="349">
        <v>0</v>
      </c>
      <c r="N171" s="349">
        <v>1</v>
      </c>
      <c r="O171" s="349">
        <f t="shared" si="0"/>
        <v>22.64</v>
      </c>
      <c r="P171" s="373">
        <f t="shared" si="1"/>
        <v>22.64</v>
      </c>
    </row>
    <row r="172" spans="1:16">
      <c r="A172" s="348">
        <v>315</v>
      </c>
      <c r="B172" s="349">
        <v>205</v>
      </c>
      <c r="C172" s="372" t="s">
        <v>7597</v>
      </c>
      <c r="D172" s="372" t="s">
        <v>45</v>
      </c>
      <c r="E172" s="372" t="s">
        <v>6430</v>
      </c>
      <c r="F172" s="350">
        <v>45483.711111111108</v>
      </c>
      <c r="G172" s="349">
        <v>7</v>
      </c>
      <c r="H172" s="372" t="s">
        <v>2557</v>
      </c>
      <c r="I172" s="349">
        <v>13541</v>
      </c>
      <c r="J172" s="372" t="s">
        <v>7598</v>
      </c>
      <c r="K172" s="349">
        <v>7.99</v>
      </c>
      <c r="L172" s="349">
        <v>0.65</v>
      </c>
      <c r="M172" s="349">
        <v>0</v>
      </c>
      <c r="N172" s="349">
        <v>1</v>
      </c>
      <c r="O172" s="349">
        <f t="shared" si="0"/>
        <v>7.34</v>
      </c>
      <c r="P172" s="373">
        <f t="shared" si="1"/>
        <v>7.34</v>
      </c>
    </row>
    <row r="173" spans="1:16">
      <c r="A173" s="348">
        <v>316</v>
      </c>
      <c r="B173" s="349">
        <v>204</v>
      </c>
      <c r="C173" s="372" t="s">
        <v>7599</v>
      </c>
      <c r="D173" s="372" t="s">
        <v>45</v>
      </c>
      <c r="E173" s="372" t="s">
        <v>6430</v>
      </c>
      <c r="F173" s="350">
        <v>45483.715277777781</v>
      </c>
      <c r="G173" s="349">
        <v>7</v>
      </c>
      <c r="H173" s="372" t="s">
        <v>2557</v>
      </c>
      <c r="I173" s="349">
        <v>13553</v>
      </c>
      <c r="J173" s="372" t="s">
        <v>7600</v>
      </c>
      <c r="K173" s="349">
        <v>4.99</v>
      </c>
      <c r="L173" s="349">
        <v>0.52</v>
      </c>
      <c r="M173" s="349">
        <v>0</v>
      </c>
      <c r="N173" s="349">
        <v>1</v>
      </c>
      <c r="O173" s="349">
        <f t="shared" si="0"/>
        <v>4.4700000000000006</v>
      </c>
      <c r="P173" s="373">
        <f t="shared" si="1"/>
        <v>4.4700000000000006</v>
      </c>
    </row>
    <row r="174" spans="1:16">
      <c r="A174" s="348">
        <v>317</v>
      </c>
      <c r="B174" s="349">
        <v>204</v>
      </c>
      <c r="C174" s="372" t="s">
        <v>7599</v>
      </c>
      <c r="D174" s="372" t="s">
        <v>45</v>
      </c>
      <c r="E174" s="372" t="s">
        <v>6430</v>
      </c>
      <c r="F174" s="350">
        <v>45483.720833333333</v>
      </c>
      <c r="G174" s="349">
        <v>7</v>
      </c>
      <c r="H174" s="372" t="s">
        <v>2557</v>
      </c>
      <c r="I174" s="349">
        <v>13565</v>
      </c>
      <c r="J174" s="372" t="s">
        <v>7601</v>
      </c>
      <c r="K174" s="349">
        <v>7.99</v>
      </c>
      <c r="L174" s="349">
        <v>0.65</v>
      </c>
      <c r="M174" s="349">
        <v>0</v>
      </c>
      <c r="N174" s="349">
        <v>1</v>
      </c>
      <c r="O174" s="349">
        <f t="shared" si="0"/>
        <v>7.34</v>
      </c>
      <c r="P174" s="373">
        <f t="shared" si="1"/>
        <v>7.34</v>
      </c>
    </row>
    <row r="175" spans="1:16">
      <c r="A175" s="348">
        <v>318</v>
      </c>
      <c r="B175" s="349">
        <v>207</v>
      </c>
      <c r="C175" s="372" t="s">
        <v>7602</v>
      </c>
      <c r="D175" s="372" t="s">
        <v>45</v>
      </c>
      <c r="E175" s="372" t="s">
        <v>2556</v>
      </c>
      <c r="F175" s="350">
        <v>45483.723611111112</v>
      </c>
      <c r="G175" s="349">
        <v>7</v>
      </c>
      <c r="H175" s="372" t="s">
        <v>2557</v>
      </c>
      <c r="I175" s="349">
        <v>13577</v>
      </c>
      <c r="J175" s="372" t="s">
        <v>7603</v>
      </c>
      <c r="K175" s="349">
        <v>1.98</v>
      </c>
      <c r="L175" s="349">
        <v>0</v>
      </c>
      <c r="M175" s="349">
        <v>0</v>
      </c>
      <c r="N175" s="349">
        <v>1</v>
      </c>
      <c r="O175" s="349">
        <f t="shared" si="0"/>
        <v>1.98</v>
      </c>
      <c r="P175" s="373">
        <f t="shared" si="1"/>
        <v>1.98</v>
      </c>
    </row>
    <row r="176" spans="1:16">
      <c r="A176" s="348">
        <v>319</v>
      </c>
      <c r="B176" s="349">
        <v>204</v>
      </c>
      <c r="C176" s="372" t="s">
        <v>7599</v>
      </c>
      <c r="D176" s="372" t="s">
        <v>45</v>
      </c>
      <c r="E176" s="372" t="s">
        <v>6430</v>
      </c>
      <c r="F176" s="350">
        <v>45483.738194444442</v>
      </c>
      <c r="G176" s="349">
        <v>7</v>
      </c>
      <c r="H176" s="372" t="s">
        <v>2557</v>
      </c>
      <c r="I176" s="349">
        <v>13589</v>
      </c>
      <c r="J176" s="372" t="s">
        <v>7604</v>
      </c>
      <c r="K176" s="349">
        <v>3.99</v>
      </c>
      <c r="L176" s="349">
        <v>0.48</v>
      </c>
      <c r="M176" s="349">
        <v>0</v>
      </c>
      <c r="N176" s="349">
        <v>1</v>
      </c>
      <c r="O176" s="349">
        <f t="shared" si="0"/>
        <v>3.5100000000000002</v>
      </c>
      <c r="P176" s="373">
        <f t="shared" si="1"/>
        <v>3.5100000000000002</v>
      </c>
    </row>
    <row r="177" spans="1:16">
      <c r="A177" s="348">
        <v>320</v>
      </c>
      <c r="B177" s="349">
        <v>204</v>
      </c>
      <c r="C177" s="372" t="s">
        <v>7599</v>
      </c>
      <c r="D177" s="372" t="s">
        <v>45</v>
      </c>
      <c r="E177" s="372" t="s">
        <v>6430</v>
      </c>
      <c r="F177" s="350">
        <v>45483.740972222222</v>
      </c>
      <c r="G177" s="349">
        <v>7</v>
      </c>
      <c r="H177" s="372" t="s">
        <v>2557</v>
      </c>
      <c r="I177" s="349">
        <v>13601</v>
      </c>
      <c r="J177" s="372" t="s">
        <v>7605</v>
      </c>
      <c r="K177" s="349">
        <v>8.9700000000000006</v>
      </c>
      <c r="L177" s="349">
        <v>0.69</v>
      </c>
      <c r="M177" s="349">
        <v>0</v>
      </c>
      <c r="N177" s="349">
        <v>1</v>
      </c>
      <c r="O177" s="349">
        <f t="shared" si="0"/>
        <v>8.2800000000000011</v>
      </c>
      <c r="P177" s="373">
        <f t="shared" si="1"/>
        <v>8.2800000000000011</v>
      </c>
    </row>
    <row r="178" spans="1:16">
      <c r="A178" s="348">
        <v>321</v>
      </c>
      <c r="B178" s="349">
        <v>208</v>
      </c>
      <c r="C178" s="372" t="s">
        <v>7606</v>
      </c>
      <c r="D178" s="372" t="s">
        <v>45</v>
      </c>
      <c r="E178" s="372" t="s">
        <v>2556</v>
      </c>
      <c r="F178" s="350">
        <v>45483.781944444447</v>
      </c>
      <c r="G178" s="349">
        <v>7</v>
      </c>
      <c r="H178" s="372" t="s">
        <v>2557</v>
      </c>
      <c r="I178" s="349">
        <v>13613</v>
      </c>
      <c r="J178" s="372" t="s">
        <v>7607</v>
      </c>
      <c r="K178" s="349">
        <v>1.98</v>
      </c>
      <c r="L178" s="349">
        <v>0</v>
      </c>
      <c r="M178" s="349">
        <v>0</v>
      </c>
      <c r="N178" s="349">
        <v>1</v>
      </c>
      <c r="O178" s="349">
        <f t="shared" si="0"/>
        <v>1.98</v>
      </c>
      <c r="P178" s="373">
        <f t="shared" si="1"/>
        <v>1.98</v>
      </c>
    </row>
    <row r="179" spans="1:16">
      <c r="A179" s="348">
        <v>322</v>
      </c>
      <c r="B179" s="349">
        <v>204</v>
      </c>
      <c r="C179" s="372" t="s">
        <v>7599</v>
      </c>
      <c r="D179" s="372" t="s">
        <v>45</v>
      </c>
      <c r="E179" s="372" t="s">
        <v>6430</v>
      </c>
      <c r="F179" s="350">
        <v>45483.803472222222</v>
      </c>
      <c r="G179" s="349">
        <v>7</v>
      </c>
      <c r="H179" s="372" t="s">
        <v>2557</v>
      </c>
      <c r="I179" s="349">
        <v>13625</v>
      </c>
      <c r="J179" s="372" t="s">
        <v>7608</v>
      </c>
      <c r="K179" s="349">
        <v>6.09</v>
      </c>
      <c r="L179" s="349">
        <v>0.56999999999999995</v>
      </c>
      <c r="M179" s="349">
        <v>0</v>
      </c>
      <c r="N179" s="349">
        <v>1</v>
      </c>
      <c r="O179" s="349">
        <f t="shared" si="0"/>
        <v>5.52</v>
      </c>
      <c r="P179" s="373">
        <f t="shared" si="1"/>
        <v>5.52</v>
      </c>
    </row>
    <row r="180" spans="1:16">
      <c r="A180" s="348">
        <v>323</v>
      </c>
      <c r="B180" s="349">
        <v>209</v>
      </c>
      <c r="C180" s="372" t="s">
        <v>4974</v>
      </c>
      <c r="D180" s="372" t="s">
        <v>45</v>
      </c>
      <c r="E180" s="372" t="s">
        <v>2556</v>
      </c>
      <c r="F180" s="350">
        <v>45484.018750000003</v>
      </c>
      <c r="G180" s="349">
        <v>7</v>
      </c>
      <c r="H180" s="372" t="s">
        <v>2557</v>
      </c>
      <c r="I180" s="349">
        <v>13637</v>
      </c>
      <c r="J180" s="372" t="s">
        <v>7609</v>
      </c>
      <c r="K180" s="349">
        <v>1.98</v>
      </c>
      <c r="L180" s="349">
        <v>0</v>
      </c>
      <c r="M180" s="349">
        <v>0</v>
      </c>
      <c r="N180" s="349">
        <v>1</v>
      </c>
      <c r="O180" s="349">
        <f t="shared" si="0"/>
        <v>1.98</v>
      </c>
      <c r="P180" s="373">
        <f t="shared" si="1"/>
        <v>1.98</v>
      </c>
    </row>
    <row r="181" spans="1:16">
      <c r="A181" s="348">
        <v>324</v>
      </c>
      <c r="B181" s="349">
        <v>204</v>
      </c>
      <c r="C181" s="372" t="s">
        <v>7599</v>
      </c>
      <c r="D181" s="372" t="s">
        <v>45</v>
      </c>
      <c r="E181" s="372" t="s">
        <v>6430</v>
      </c>
      <c r="F181" s="350">
        <v>45484.129166666666</v>
      </c>
      <c r="G181" s="349">
        <v>7</v>
      </c>
      <c r="H181" s="372" t="s">
        <v>2557</v>
      </c>
      <c r="I181" s="349">
        <v>13649</v>
      </c>
      <c r="J181" s="372" t="s">
        <v>7610</v>
      </c>
      <c r="K181" s="349">
        <v>2.99</v>
      </c>
      <c r="L181" s="349">
        <v>0.43</v>
      </c>
      <c r="M181" s="349">
        <v>0</v>
      </c>
      <c r="N181" s="349">
        <v>1</v>
      </c>
      <c r="O181" s="349">
        <f t="shared" si="0"/>
        <v>2.56</v>
      </c>
      <c r="P181" s="373">
        <f t="shared" si="1"/>
        <v>2.56</v>
      </c>
    </row>
    <row r="182" spans="1:16">
      <c r="A182" s="348">
        <v>325</v>
      </c>
      <c r="B182" s="349">
        <v>210</v>
      </c>
      <c r="C182" s="372" t="s">
        <v>7611</v>
      </c>
      <c r="D182" s="372" t="s">
        <v>45</v>
      </c>
      <c r="E182" s="372" t="s">
        <v>2556</v>
      </c>
      <c r="F182" s="350">
        <v>45484.250694444447</v>
      </c>
      <c r="G182" s="349">
        <v>7</v>
      </c>
      <c r="H182" s="372" t="s">
        <v>2557</v>
      </c>
      <c r="I182" s="349">
        <v>13661</v>
      </c>
      <c r="J182" s="372" t="s">
        <v>7612</v>
      </c>
      <c r="K182" s="349">
        <v>2.99</v>
      </c>
      <c r="L182" s="349">
        <v>0</v>
      </c>
      <c r="M182" s="349">
        <v>0</v>
      </c>
      <c r="N182" s="349">
        <v>1</v>
      </c>
      <c r="O182" s="349">
        <f t="shared" si="0"/>
        <v>2.99</v>
      </c>
      <c r="P182" s="373">
        <f t="shared" si="1"/>
        <v>2.99</v>
      </c>
    </row>
    <row r="183" spans="1:16">
      <c r="A183" s="348">
        <v>326</v>
      </c>
      <c r="B183" s="349">
        <v>28</v>
      </c>
      <c r="C183" s="372" t="s">
        <v>4611</v>
      </c>
      <c r="D183" s="372" t="s">
        <v>2582</v>
      </c>
      <c r="E183" s="372" t="s">
        <v>2556</v>
      </c>
      <c r="F183" s="350">
        <v>45484.520833333336</v>
      </c>
      <c r="G183" s="349">
        <v>7</v>
      </c>
      <c r="H183" s="372" t="s">
        <v>2557</v>
      </c>
      <c r="I183" s="349">
        <v>13697</v>
      </c>
      <c r="J183" s="372" t="s">
        <v>7613</v>
      </c>
      <c r="K183" s="349">
        <v>200.02</v>
      </c>
      <c r="L183" s="349">
        <v>0</v>
      </c>
      <c r="M183" s="349">
        <v>0</v>
      </c>
      <c r="N183" s="349">
        <v>7.2760300000000004</v>
      </c>
      <c r="O183" s="349">
        <f t="shared" si="0"/>
        <v>200.02</v>
      </c>
      <c r="P183" s="373">
        <f t="shared" si="1"/>
        <v>27.490265982960487</v>
      </c>
    </row>
    <row r="184" spans="1:16">
      <c r="A184" s="348">
        <v>327</v>
      </c>
      <c r="B184" s="349">
        <v>211</v>
      </c>
      <c r="C184" s="372" t="s">
        <v>3233</v>
      </c>
      <c r="D184" s="372" t="s">
        <v>45</v>
      </c>
      <c r="E184" s="372" t="s">
        <v>2556</v>
      </c>
      <c r="F184" s="350">
        <v>45484.591666666667</v>
      </c>
      <c r="G184" s="349">
        <v>7</v>
      </c>
      <c r="H184" s="372" t="s">
        <v>2557</v>
      </c>
      <c r="I184" s="349">
        <v>13721</v>
      </c>
      <c r="J184" s="372" t="s">
        <v>7614</v>
      </c>
      <c r="K184" s="349">
        <v>1.98</v>
      </c>
      <c r="L184" s="349">
        <v>0</v>
      </c>
      <c r="M184" s="349">
        <v>0</v>
      </c>
      <c r="N184" s="349">
        <v>1</v>
      </c>
      <c r="O184" s="349">
        <f t="shared" si="0"/>
        <v>1.98</v>
      </c>
      <c r="P184" s="373">
        <f t="shared" si="1"/>
        <v>1.98</v>
      </c>
    </row>
    <row r="185" spans="1:16">
      <c r="A185" s="348">
        <v>328</v>
      </c>
      <c r="B185" s="349">
        <v>212</v>
      </c>
      <c r="C185" s="372" t="s">
        <v>7615</v>
      </c>
      <c r="D185" s="372" t="s">
        <v>45</v>
      </c>
      <c r="E185" s="372" t="s">
        <v>2556</v>
      </c>
      <c r="F185" s="350">
        <v>45484.593055555553</v>
      </c>
      <c r="G185" s="349">
        <v>7</v>
      </c>
      <c r="H185" s="372" t="s">
        <v>2557</v>
      </c>
      <c r="I185" s="349">
        <v>13733</v>
      </c>
      <c r="J185" s="372" t="s">
        <v>7616</v>
      </c>
      <c r="K185" s="349">
        <v>1.98</v>
      </c>
      <c r="L185" s="349">
        <v>0</v>
      </c>
      <c r="M185" s="349">
        <v>0</v>
      </c>
      <c r="N185" s="349">
        <v>1</v>
      </c>
      <c r="O185" s="349">
        <f t="shared" si="0"/>
        <v>1.98</v>
      </c>
      <c r="P185" s="373">
        <f t="shared" si="1"/>
        <v>1.98</v>
      </c>
    </row>
    <row r="186" spans="1:16">
      <c r="A186" s="348">
        <v>329</v>
      </c>
      <c r="B186" s="349">
        <v>213</v>
      </c>
      <c r="C186" s="372" t="s">
        <v>7617</v>
      </c>
      <c r="D186" s="372" t="s">
        <v>45</v>
      </c>
      <c r="E186" s="372" t="s">
        <v>2556</v>
      </c>
      <c r="F186" s="350">
        <v>45484.602083333331</v>
      </c>
      <c r="G186" s="349">
        <v>7</v>
      </c>
      <c r="H186" s="372" t="s">
        <v>2557</v>
      </c>
      <c r="I186" s="349">
        <v>13745</v>
      </c>
      <c r="J186" s="372" t="s">
        <v>7618</v>
      </c>
      <c r="K186" s="349">
        <v>1.98</v>
      </c>
      <c r="L186" s="349">
        <v>0</v>
      </c>
      <c r="M186" s="349">
        <v>0</v>
      </c>
      <c r="N186" s="349">
        <v>1</v>
      </c>
      <c r="O186" s="349">
        <f t="shared" si="0"/>
        <v>1.98</v>
      </c>
      <c r="P186" s="373">
        <f t="shared" si="1"/>
        <v>1.98</v>
      </c>
    </row>
    <row r="187" spans="1:16">
      <c r="A187" s="348">
        <v>330</v>
      </c>
      <c r="B187" s="349">
        <v>214</v>
      </c>
      <c r="C187" s="372" t="s">
        <v>7619</v>
      </c>
      <c r="D187" s="372" t="s">
        <v>45</v>
      </c>
      <c r="E187" s="372" t="s">
        <v>2556</v>
      </c>
      <c r="F187" s="350">
        <v>45484.604861111111</v>
      </c>
      <c r="G187" s="349">
        <v>7</v>
      </c>
      <c r="H187" s="372" t="s">
        <v>2557</v>
      </c>
      <c r="I187" s="349">
        <v>13757</v>
      </c>
      <c r="J187" s="372" t="s">
        <v>7620</v>
      </c>
      <c r="K187" s="349">
        <v>1.98</v>
      </c>
      <c r="L187" s="349">
        <v>0</v>
      </c>
      <c r="M187" s="349">
        <v>0</v>
      </c>
      <c r="N187" s="349">
        <v>1</v>
      </c>
      <c r="O187" s="349">
        <f t="shared" si="0"/>
        <v>1.98</v>
      </c>
      <c r="P187" s="373">
        <f t="shared" si="1"/>
        <v>1.98</v>
      </c>
    </row>
    <row r="188" spans="1:16">
      <c r="A188" s="348">
        <v>331</v>
      </c>
      <c r="B188" s="349">
        <v>215</v>
      </c>
      <c r="C188" s="372" t="s">
        <v>7621</v>
      </c>
      <c r="D188" s="372" t="s">
        <v>45</v>
      </c>
      <c r="E188" s="372" t="s">
        <v>2556</v>
      </c>
      <c r="F188" s="350">
        <v>45484.65</v>
      </c>
      <c r="G188" s="349">
        <v>7</v>
      </c>
      <c r="H188" s="372" t="s">
        <v>2557</v>
      </c>
      <c r="I188" s="349">
        <v>13769</v>
      </c>
      <c r="J188" s="372" t="s">
        <v>7622</v>
      </c>
      <c r="K188" s="349">
        <v>1.98</v>
      </c>
      <c r="L188" s="349">
        <v>0</v>
      </c>
      <c r="M188" s="349">
        <v>0</v>
      </c>
      <c r="N188" s="349">
        <v>1</v>
      </c>
      <c r="O188" s="349">
        <f t="shared" si="0"/>
        <v>1.98</v>
      </c>
      <c r="P188" s="373">
        <f t="shared" si="1"/>
        <v>1.98</v>
      </c>
    </row>
    <row r="189" spans="1:16">
      <c r="A189" s="348">
        <v>332</v>
      </c>
      <c r="B189" s="349">
        <v>201</v>
      </c>
      <c r="C189" s="372" t="s">
        <v>7591</v>
      </c>
      <c r="D189" s="372" t="s">
        <v>45</v>
      </c>
      <c r="E189" s="372" t="s">
        <v>2556</v>
      </c>
      <c r="F189" s="350">
        <v>45484.740277777775</v>
      </c>
      <c r="G189" s="349">
        <v>7</v>
      </c>
      <c r="H189" s="372" t="s">
        <v>2557</v>
      </c>
      <c r="I189" s="349">
        <v>13781</v>
      </c>
      <c r="J189" s="372" t="s">
        <v>7623</v>
      </c>
      <c r="K189" s="349">
        <v>13.97</v>
      </c>
      <c r="L189" s="349">
        <v>0</v>
      </c>
      <c r="M189" s="349">
        <v>0</v>
      </c>
      <c r="N189" s="349">
        <v>1</v>
      </c>
      <c r="O189" s="349">
        <f t="shared" si="0"/>
        <v>13.97</v>
      </c>
      <c r="P189" s="373">
        <f t="shared" si="1"/>
        <v>13.97</v>
      </c>
    </row>
    <row r="190" spans="1:16">
      <c r="A190" s="348">
        <v>333</v>
      </c>
      <c r="B190" s="349">
        <v>216</v>
      </c>
      <c r="C190" s="372" t="s">
        <v>5027</v>
      </c>
      <c r="D190" s="372" t="s">
        <v>45</v>
      </c>
      <c r="E190" s="372" t="s">
        <v>2556</v>
      </c>
      <c r="F190" s="350">
        <v>45484.802777777775</v>
      </c>
      <c r="G190" s="349">
        <v>7</v>
      </c>
      <c r="H190" s="372" t="s">
        <v>2557</v>
      </c>
      <c r="I190" s="349">
        <v>13793</v>
      </c>
      <c r="J190" s="372" t="s">
        <v>7624</v>
      </c>
      <c r="K190" s="349">
        <v>1.98</v>
      </c>
      <c r="L190" s="349">
        <v>0</v>
      </c>
      <c r="M190" s="349">
        <v>0</v>
      </c>
      <c r="N190" s="349">
        <v>1</v>
      </c>
      <c r="O190" s="349">
        <f t="shared" si="0"/>
        <v>1.98</v>
      </c>
      <c r="P190" s="373">
        <f t="shared" si="1"/>
        <v>1.98</v>
      </c>
    </row>
    <row r="191" spans="1:16">
      <c r="A191" s="348">
        <v>334</v>
      </c>
      <c r="B191" s="349">
        <v>218</v>
      </c>
      <c r="C191" s="372" t="s">
        <v>7625</v>
      </c>
      <c r="D191" s="372" t="s">
        <v>45</v>
      </c>
      <c r="E191" s="372" t="s">
        <v>2556</v>
      </c>
      <c r="F191" s="350">
        <v>45484.842361111114</v>
      </c>
      <c r="G191" s="349">
        <v>7</v>
      </c>
      <c r="H191" s="372" t="s">
        <v>2557</v>
      </c>
      <c r="I191" s="349">
        <v>13841</v>
      </c>
      <c r="J191" s="372" t="s">
        <v>7626</v>
      </c>
      <c r="K191" s="349">
        <v>1.98</v>
      </c>
      <c r="L191" s="349">
        <v>0</v>
      </c>
      <c r="M191" s="349">
        <v>0</v>
      </c>
      <c r="N191" s="349">
        <v>1</v>
      </c>
      <c r="O191" s="349">
        <f t="shared" si="0"/>
        <v>1.98</v>
      </c>
      <c r="P191" s="373">
        <f t="shared" si="1"/>
        <v>1.98</v>
      </c>
    </row>
    <row r="192" spans="1:16">
      <c r="A192" s="348">
        <v>335</v>
      </c>
      <c r="B192" s="349">
        <v>217</v>
      </c>
      <c r="C192" s="372" t="s">
        <v>7627</v>
      </c>
      <c r="D192" s="372" t="s">
        <v>45</v>
      </c>
      <c r="E192" s="372" t="s">
        <v>2572</v>
      </c>
      <c r="F192" s="350">
        <v>45484.913888888892</v>
      </c>
      <c r="G192" s="349">
        <v>7</v>
      </c>
      <c r="H192" s="372" t="s">
        <v>2557</v>
      </c>
      <c r="I192" s="349">
        <v>13901</v>
      </c>
      <c r="J192" s="372"/>
      <c r="K192" s="349">
        <v>1.98</v>
      </c>
      <c r="L192" s="349">
        <v>0</v>
      </c>
      <c r="M192" s="349">
        <v>0</v>
      </c>
      <c r="N192" s="349">
        <v>1</v>
      </c>
      <c r="O192" s="349">
        <f t="shared" si="0"/>
        <v>1.98</v>
      </c>
      <c r="P192" s="373">
        <f t="shared" si="1"/>
        <v>1.98</v>
      </c>
    </row>
    <row r="193" spans="1:16">
      <c r="A193" s="348">
        <v>336</v>
      </c>
      <c r="B193" s="349">
        <v>174</v>
      </c>
      <c r="C193" s="372" t="s">
        <v>7546</v>
      </c>
      <c r="D193" s="372" t="s">
        <v>45</v>
      </c>
      <c r="E193" s="372" t="s">
        <v>9</v>
      </c>
      <c r="F193" s="350">
        <v>45484.990277777775</v>
      </c>
      <c r="G193" s="349">
        <v>7</v>
      </c>
      <c r="H193" s="372" t="s">
        <v>2557</v>
      </c>
      <c r="I193" s="349">
        <v>13902</v>
      </c>
      <c r="J193" s="372" t="s">
        <v>7628</v>
      </c>
      <c r="K193" s="349">
        <v>13.89</v>
      </c>
      <c r="L193" s="349">
        <v>0.97</v>
      </c>
      <c r="M193" s="349">
        <v>0</v>
      </c>
      <c r="N193" s="349">
        <v>1</v>
      </c>
      <c r="O193" s="349">
        <f t="shared" si="0"/>
        <v>12.92</v>
      </c>
      <c r="P193" s="373">
        <f t="shared" si="1"/>
        <v>12.92</v>
      </c>
    </row>
    <row r="194" spans="1:16">
      <c r="A194" s="348">
        <v>337</v>
      </c>
      <c r="B194" s="349">
        <v>219</v>
      </c>
      <c r="C194" s="372" t="s">
        <v>2598</v>
      </c>
      <c r="D194" s="372" t="s">
        <v>2582</v>
      </c>
      <c r="E194" s="372" t="s">
        <v>2556</v>
      </c>
      <c r="F194" s="350">
        <v>45485.046527777777</v>
      </c>
      <c r="G194" s="349">
        <v>7</v>
      </c>
      <c r="H194" s="372" t="s">
        <v>2557</v>
      </c>
      <c r="I194" s="349">
        <v>13914</v>
      </c>
      <c r="J194" s="372" t="s">
        <v>7629</v>
      </c>
      <c r="K194" s="349">
        <v>14.41</v>
      </c>
      <c r="L194" s="349">
        <v>0</v>
      </c>
      <c r="M194" s="349">
        <v>0</v>
      </c>
      <c r="N194" s="349">
        <v>7.2760300000000004</v>
      </c>
      <c r="O194" s="349">
        <f t="shared" si="0"/>
        <v>14.41</v>
      </c>
      <c r="P194" s="373">
        <f t="shared" si="1"/>
        <v>1.9804756165106521</v>
      </c>
    </row>
    <row r="195" spans="1:16">
      <c r="A195" s="348">
        <v>338</v>
      </c>
      <c r="B195" s="349">
        <v>220</v>
      </c>
      <c r="C195" s="372" t="s">
        <v>7630</v>
      </c>
      <c r="D195" s="372" t="s">
        <v>45</v>
      </c>
      <c r="E195" s="372" t="s">
        <v>2556</v>
      </c>
      <c r="F195" s="350">
        <v>45485.436111111114</v>
      </c>
      <c r="G195" s="349">
        <v>7</v>
      </c>
      <c r="H195" s="372" t="s">
        <v>2557</v>
      </c>
      <c r="I195" s="349">
        <v>13926</v>
      </c>
      <c r="J195" s="372" t="s">
        <v>7631</v>
      </c>
      <c r="K195" s="349">
        <v>1.98</v>
      </c>
      <c r="L195" s="349">
        <v>0</v>
      </c>
      <c r="M195" s="349">
        <v>0</v>
      </c>
      <c r="N195" s="349">
        <v>1</v>
      </c>
      <c r="O195" s="349">
        <f t="shared" si="0"/>
        <v>1.98</v>
      </c>
      <c r="P195" s="373">
        <f t="shared" si="1"/>
        <v>1.98</v>
      </c>
    </row>
    <row r="196" spans="1:16">
      <c r="A196" s="348">
        <v>339</v>
      </c>
      <c r="B196" s="349">
        <v>224</v>
      </c>
      <c r="C196" s="372" t="s">
        <v>4217</v>
      </c>
      <c r="D196" s="372" t="s">
        <v>45</v>
      </c>
      <c r="E196" s="372" t="s">
        <v>2556</v>
      </c>
      <c r="F196" s="350">
        <v>45485.802777777775</v>
      </c>
      <c r="G196" s="349">
        <v>7</v>
      </c>
      <c r="H196" s="372" t="s">
        <v>2557</v>
      </c>
      <c r="I196" s="349">
        <v>13962</v>
      </c>
      <c r="J196" s="372" t="s">
        <v>7632</v>
      </c>
      <c r="K196" s="349">
        <v>1.98</v>
      </c>
      <c r="L196" s="349">
        <v>0</v>
      </c>
      <c r="M196" s="349">
        <v>0</v>
      </c>
      <c r="N196" s="349">
        <v>1</v>
      </c>
      <c r="O196" s="349">
        <f t="shared" si="0"/>
        <v>1.98</v>
      </c>
      <c r="P196" s="373">
        <f t="shared" si="1"/>
        <v>1.98</v>
      </c>
    </row>
    <row r="197" spans="1:16">
      <c r="A197" s="348">
        <v>340</v>
      </c>
      <c r="B197" s="349">
        <v>226</v>
      </c>
      <c r="C197" s="372" t="s">
        <v>2847</v>
      </c>
      <c r="D197" s="372" t="s">
        <v>2582</v>
      </c>
      <c r="E197" s="372" t="s">
        <v>2556</v>
      </c>
      <c r="F197" s="350">
        <v>45485.938194444447</v>
      </c>
      <c r="G197" s="349">
        <v>7</v>
      </c>
      <c r="H197" s="372" t="s">
        <v>2557</v>
      </c>
      <c r="I197" s="349">
        <v>13986</v>
      </c>
      <c r="J197" s="372" t="s">
        <v>7633</v>
      </c>
      <c r="K197" s="349">
        <v>14.38</v>
      </c>
      <c r="L197" s="349">
        <v>0</v>
      </c>
      <c r="M197" s="349">
        <v>0</v>
      </c>
      <c r="N197" s="349">
        <v>7.2650399999999999</v>
      </c>
      <c r="O197" s="349">
        <f t="shared" si="0"/>
        <v>14.38</v>
      </c>
      <c r="P197" s="373">
        <f t="shared" si="1"/>
        <v>1.9793421646680542</v>
      </c>
    </row>
    <row r="198" spans="1:16">
      <c r="A198" s="348">
        <v>341</v>
      </c>
      <c r="B198" s="349">
        <v>227</v>
      </c>
      <c r="C198" s="372" t="s">
        <v>7634</v>
      </c>
      <c r="D198" s="372" t="s">
        <v>45</v>
      </c>
      <c r="E198" s="372" t="s">
        <v>2556</v>
      </c>
      <c r="F198" s="350">
        <v>45485.989583333336</v>
      </c>
      <c r="G198" s="349">
        <v>7</v>
      </c>
      <c r="H198" s="372" t="s">
        <v>2557</v>
      </c>
      <c r="I198" s="349">
        <v>13998</v>
      </c>
      <c r="J198" s="372" t="s">
        <v>7635</v>
      </c>
      <c r="K198" s="349">
        <v>1.98</v>
      </c>
      <c r="L198" s="349">
        <v>0</v>
      </c>
      <c r="M198" s="349">
        <v>0</v>
      </c>
      <c r="N198" s="349">
        <v>1</v>
      </c>
      <c r="O198" s="349">
        <f t="shared" si="0"/>
        <v>1.98</v>
      </c>
      <c r="P198" s="373">
        <f t="shared" si="1"/>
        <v>1.98</v>
      </c>
    </row>
    <row r="199" spans="1:16">
      <c r="A199" s="348">
        <v>343</v>
      </c>
      <c r="B199" s="349">
        <v>233</v>
      </c>
      <c r="C199" s="372" t="s">
        <v>2598</v>
      </c>
      <c r="D199" s="372" t="s">
        <v>45</v>
      </c>
      <c r="E199" s="372" t="s">
        <v>2556</v>
      </c>
      <c r="F199" s="350">
        <v>45489.288888888892</v>
      </c>
      <c r="G199" s="349">
        <v>7</v>
      </c>
      <c r="H199" s="372" t="s">
        <v>2557</v>
      </c>
      <c r="I199" s="349">
        <v>14094</v>
      </c>
      <c r="J199" s="372" t="s">
        <v>7636</v>
      </c>
      <c r="K199" s="349">
        <v>2.99</v>
      </c>
      <c r="L199" s="349">
        <v>0</v>
      </c>
      <c r="M199" s="349">
        <v>0</v>
      </c>
      <c r="N199" s="349">
        <v>1</v>
      </c>
      <c r="O199" s="349">
        <f t="shared" si="0"/>
        <v>2.99</v>
      </c>
      <c r="P199" s="373">
        <f t="shared" si="1"/>
        <v>2.99</v>
      </c>
    </row>
    <row r="200" spans="1:16">
      <c r="A200" s="348">
        <v>344</v>
      </c>
      <c r="B200" s="349">
        <v>164</v>
      </c>
      <c r="C200" s="372"/>
      <c r="D200" s="372" t="s">
        <v>45</v>
      </c>
      <c r="E200" s="372" t="s">
        <v>2556</v>
      </c>
      <c r="F200" s="350">
        <v>45489.681944444441</v>
      </c>
      <c r="G200" s="349">
        <v>7</v>
      </c>
      <c r="H200" s="372" t="s">
        <v>2557</v>
      </c>
      <c r="I200" s="349">
        <v>14106</v>
      </c>
      <c r="J200" s="372" t="s">
        <v>7637</v>
      </c>
      <c r="K200" s="349">
        <v>36.31</v>
      </c>
      <c r="L200" s="349">
        <v>0</v>
      </c>
      <c r="M200" s="349">
        <v>0</v>
      </c>
      <c r="N200" s="349">
        <v>7.2619400000000001</v>
      </c>
      <c r="O200" s="349">
        <f t="shared" si="0"/>
        <v>36.31</v>
      </c>
      <c r="P200" s="373">
        <f t="shared" si="1"/>
        <v>36.31</v>
      </c>
    </row>
    <row r="201" spans="1:16">
      <c r="A201" s="348">
        <v>345</v>
      </c>
      <c r="B201" s="349">
        <v>234</v>
      </c>
      <c r="C201" s="372" t="s">
        <v>7638</v>
      </c>
      <c r="D201" s="372" t="s">
        <v>45</v>
      </c>
      <c r="E201" s="372" t="s">
        <v>2556</v>
      </c>
      <c r="F201" s="350">
        <v>45492.512499999997</v>
      </c>
      <c r="G201" s="349">
        <v>7</v>
      </c>
      <c r="H201" s="372" t="s">
        <v>2557</v>
      </c>
      <c r="I201" s="349">
        <v>14130</v>
      </c>
      <c r="J201" s="372"/>
      <c r="K201" s="349">
        <v>7.99</v>
      </c>
      <c r="L201" s="349">
        <v>0</v>
      </c>
      <c r="M201" s="349">
        <v>0</v>
      </c>
      <c r="N201" s="349">
        <v>1</v>
      </c>
      <c r="O201" s="349">
        <f t="shared" si="0"/>
        <v>7.99</v>
      </c>
      <c r="P201" s="373">
        <f t="shared" si="1"/>
        <v>7.99</v>
      </c>
    </row>
    <row r="202" spans="1:16">
      <c r="A202" s="348">
        <v>346</v>
      </c>
      <c r="B202" s="349">
        <v>55</v>
      </c>
      <c r="C202" s="372" t="s">
        <v>7437</v>
      </c>
      <c r="D202" s="372" t="s">
        <v>45</v>
      </c>
      <c r="E202" s="372" t="s">
        <v>3655</v>
      </c>
      <c r="F202" s="350">
        <v>45497</v>
      </c>
      <c r="G202" s="349">
        <v>7</v>
      </c>
      <c r="H202" s="372" t="s">
        <v>2557</v>
      </c>
      <c r="I202" s="349">
        <v>14214</v>
      </c>
      <c r="J202" s="372"/>
      <c r="K202" s="349">
        <v>0</v>
      </c>
      <c r="L202" s="349">
        <v>0</v>
      </c>
      <c r="M202" s="349">
        <v>0</v>
      </c>
      <c r="N202" s="349">
        <v>1</v>
      </c>
      <c r="O202" s="349">
        <f t="shared" si="0"/>
        <v>0</v>
      </c>
      <c r="P202" s="373">
        <f t="shared" si="1"/>
        <v>0</v>
      </c>
    </row>
    <row r="203" spans="1:16">
      <c r="A203" s="348">
        <v>347</v>
      </c>
      <c r="B203" s="349">
        <v>143</v>
      </c>
      <c r="C203" s="372" t="s">
        <v>2868</v>
      </c>
      <c r="D203" s="372" t="s">
        <v>45</v>
      </c>
      <c r="E203" s="372" t="s">
        <v>9</v>
      </c>
      <c r="F203" s="350">
        <v>45497.625</v>
      </c>
      <c r="G203" s="349">
        <v>7</v>
      </c>
      <c r="H203" s="372" t="s">
        <v>7639</v>
      </c>
      <c r="I203" s="349">
        <v>13253</v>
      </c>
      <c r="J203" s="372" t="s">
        <v>7640</v>
      </c>
      <c r="K203" s="349">
        <v>0</v>
      </c>
      <c r="L203" s="349">
        <v>-1.19</v>
      </c>
      <c r="M203" s="349">
        <v>13.93</v>
      </c>
      <c r="N203" s="349">
        <v>1</v>
      </c>
      <c r="O203" s="349">
        <f t="shared" si="0"/>
        <v>-12.74</v>
      </c>
      <c r="P203" s="373">
        <f t="shared" si="1"/>
        <v>-12.74</v>
      </c>
    </row>
    <row r="204" spans="1:16">
      <c r="A204" s="348">
        <v>348</v>
      </c>
      <c r="B204" s="349">
        <v>238</v>
      </c>
      <c r="C204" s="372" t="s">
        <v>5475</v>
      </c>
      <c r="D204" s="372" t="s">
        <v>45</v>
      </c>
      <c r="E204" s="372" t="s">
        <v>9</v>
      </c>
      <c r="F204" s="350">
        <v>45498.574305555558</v>
      </c>
      <c r="G204" s="349">
        <v>7</v>
      </c>
      <c r="H204" s="372" t="s">
        <v>2557</v>
      </c>
      <c r="I204" s="349">
        <v>14226</v>
      </c>
      <c r="J204" s="372" t="s">
        <v>7641</v>
      </c>
      <c r="K204" s="349">
        <v>2.99</v>
      </c>
      <c r="L204" s="349">
        <v>0.64</v>
      </c>
      <c r="M204" s="349">
        <v>0</v>
      </c>
      <c r="N204" s="349">
        <v>1</v>
      </c>
      <c r="O204" s="349">
        <f t="shared" si="0"/>
        <v>2.35</v>
      </c>
      <c r="P204" s="373">
        <f t="shared" si="1"/>
        <v>2.35</v>
      </c>
    </row>
    <row r="205" spans="1:16">
      <c r="A205" s="348">
        <v>349</v>
      </c>
      <c r="B205" s="349">
        <v>56</v>
      </c>
      <c r="C205" s="372" t="s">
        <v>7417</v>
      </c>
      <c r="D205" s="372" t="s">
        <v>45</v>
      </c>
      <c r="E205" s="372" t="s">
        <v>2572</v>
      </c>
      <c r="F205" s="350">
        <v>45498.741666666669</v>
      </c>
      <c r="G205" s="349">
        <v>7</v>
      </c>
      <c r="H205" s="372" t="s">
        <v>2557</v>
      </c>
      <c r="I205" s="349">
        <v>14070</v>
      </c>
      <c r="J205" s="372"/>
      <c r="K205" s="349">
        <v>42.99</v>
      </c>
      <c r="L205" s="349">
        <v>0</v>
      </c>
      <c r="M205" s="349">
        <v>0</v>
      </c>
      <c r="N205" s="349">
        <v>1</v>
      </c>
      <c r="O205" s="349">
        <f t="shared" si="0"/>
        <v>42.99</v>
      </c>
      <c r="P205" s="373">
        <f t="shared" si="1"/>
        <v>42.99</v>
      </c>
    </row>
    <row r="206" spans="1:16">
      <c r="A206" s="348">
        <v>350</v>
      </c>
      <c r="B206" s="349">
        <v>38</v>
      </c>
      <c r="C206" s="372" t="s">
        <v>7384</v>
      </c>
      <c r="D206" s="372" t="s">
        <v>45</v>
      </c>
      <c r="E206" s="372" t="s">
        <v>2556</v>
      </c>
      <c r="F206" s="350">
        <v>45498.942361111112</v>
      </c>
      <c r="G206" s="349">
        <v>7</v>
      </c>
      <c r="H206" s="372" t="s">
        <v>2557</v>
      </c>
      <c r="I206" s="349">
        <v>13685</v>
      </c>
      <c r="J206" s="372" t="s">
        <v>7642</v>
      </c>
      <c r="K206" s="349">
        <v>3.99</v>
      </c>
      <c r="L206" s="349">
        <v>0</v>
      </c>
      <c r="M206" s="349">
        <v>0</v>
      </c>
      <c r="N206" s="349">
        <v>1</v>
      </c>
      <c r="O206" s="349">
        <f t="shared" si="0"/>
        <v>3.99</v>
      </c>
      <c r="P206" s="373">
        <f t="shared" si="1"/>
        <v>3.99</v>
      </c>
    </row>
    <row r="207" spans="1:16">
      <c r="A207" s="348">
        <v>351</v>
      </c>
      <c r="B207" s="349">
        <v>252</v>
      </c>
      <c r="C207" s="372" t="s">
        <v>7643</v>
      </c>
      <c r="D207" s="372" t="s">
        <v>45</v>
      </c>
      <c r="E207" s="372" t="s">
        <v>2556</v>
      </c>
      <c r="F207" s="350">
        <v>45507.784722222219</v>
      </c>
      <c r="G207" s="349">
        <v>8</v>
      </c>
      <c r="H207" s="372" t="s">
        <v>2557</v>
      </c>
      <c r="I207" s="349">
        <v>14370</v>
      </c>
      <c r="J207" s="372" t="s">
        <v>7644</v>
      </c>
      <c r="K207" s="349">
        <v>4.99</v>
      </c>
      <c r="L207" s="349">
        <v>0</v>
      </c>
      <c r="M207" s="349">
        <v>0</v>
      </c>
      <c r="N207" s="349">
        <v>1</v>
      </c>
      <c r="O207" s="349">
        <f t="shared" si="0"/>
        <v>4.99</v>
      </c>
      <c r="P207" s="373">
        <f t="shared" si="1"/>
        <v>4.99</v>
      </c>
    </row>
    <row r="208" spans="1:16">
      <c r="A208" s="348">
        <v>352</v>
      </c>
      <c r="B208" s="349">
        <v>36</v>
      </c>
      <c r="C208" s="372" t="s">
        <v>2646</v>
      </c>
      <c r="D208" s="372" t="s">
        <v>45</v>
      </c>
      <c r="E208" s="372" t="s">
        <v>3655</v>
      </c>
      <c r="F208" s="350">
        <v>45513.683333333334</v>
      </c>
      <c r="G208" s="349">
        <v>8</v>
      </c>
      <c r="H208" s="372" t="s">
        <v>2557</v>
      </c>
      <c r="I208" s="349">
        <v>14262</v>
      </c>
      <c r="J208" s="372"/>
      <c r="K208" s="349">
        <v>250</v>
      </c>
      <c r="L208" s="349">
        <v>0</v>
      </c>
      <c r="M208" s="349">
        <v>0</v>
      </c>
      <c r="N208" s="349">
        <v>1</v>
      </c>
      <c r="O208" s="349">
        <f t="shared" si="0"/>
        <v>250</v>
      </c>
      <c r="P208" s="373">
        <f t="shared" si="1"/>
        <v>250</v>
      </c>
    </row>
    <row r="209" spans="1:16">
      <c r="A209" s="348">
        <v>353</v>
      </c>
      <c r="B209" s="349">
        <v>36</v>
      </c>
      <c r="C209" s="372" t="s">
        <v>2646</v>
      </c>
      <c r="D209" s="372" t="s">
        <v>45</v>
      </c>
      <c r="E209" s="372" t="s">
        <v>2572</v>
      </c>
      <c r="F209" s="350">
        <v>45513.683333333334</v>
      </c>
      <c r="G209" s="349">
        <v>8</v>
      </c>
      <c r="H209" s="372" t="s">
        <v>2557</v>
      </c>
      <c r="I209" s="349">
        <v>14274</v>
      </c>
      <c r="J209" s="372"/>
      <c r="K209" s="349">
        <v>250</v>
      </c>
      <c r="L209" s="349">
        <v>0</v>
      </c>
      <c r="M209" s="349">
        <v>0</v>
      </c>
      <c r="N209" s="349">
        <v>1</v>
      </c>
      <c r="O209" s="349">
        <f t="shared" si="0"/>
        <v>250</v>
      </c>
      <c r="P209" s="373">
        <f t="shared" si="1"/>
        <v>250</v>
      </c>
    </row>
    <row r="210" spans="1:16">
      <c r="A210" s="348">
        <v>356</v>
      </c>
      <c r="B210" s="349">
        <v>36</v>
      </c>
      <c r="C210" s="372" t="s">
        <v>2646</v>
      </c>
      <c r="D210" s="372" t="s">
        <v>45</v>
      </c>
      <c r="E210" s="372" t="s">
        <v>2572</v>
      </c>
      <c r="F210" s="350">
        <v>45515</v>
      </c>
      <c r="G210" s="349">
        <v>8</v>
      </c>
      <c r="H210" s="372" t="s">
        <v>2557</v>
      </c>
      <c r="I210" s="349">
        <v>14466</v>
      </c>
      <c r="J210" s="372"/>
      <c r="K210" s="349">
        <v>0</v>
      </c>
      <c r="L210" s="349">
        <v>0</v>
      </c>
      <c r="M210" s="349">
        <v>0</v>
      </c>
      <c r="N210" s="349">
        <v>1</v>
      </c>
      <c r="O210" s="349">
        <f t="shared" si="0"/>
        <v>0</v>
      </c>
      <c r="P210" s="373">
        <f t="shared" si="1"/>
        <v>0</v>
      </c>
    </row>
    <row r="211" spans="1:16">
      <c r="A211" s="348">
        <v>354</v>
      </c>
      <c r="B211" s="349">
        <v>256</v>
      </c>
      <c r="C211" s="372" t="s">
        <v>2575</v>
      </c>
      <c r="D211" s="372" t="s">
        <v>2582</v>
      </c>
      <c r="E211" s="372" t="s">
        <v>2556</v>
      </c>
      <c r="F211" s="350">
        <v>45515.140972222223</v>
      </c>
      <c r="G211" s="349">
        <v>8</v>
      </c>
      <c r="H211" s="372" t="s">
        <v>2557</v>
      </c>
      <c r="I211" s="349">
        <v>14442</v>
      </c>
      <c r="J211" s="372" t="s">
        <v>7645</v>
      </c>
      <c r="K211" s="349">
        <v>21.65</v>
      </c>
      <c r="L211" s="349">
        <v>0</v>
      </c>
      <c r="M211" s="349">
        <v>0</v>
      </c>
      <c r="N211" s="349">
        <v>7.1704699999999999</v>
      </c>
      <c r="O211" s="349">
        <f t="shared" si="0"/>
        <v>21.65</v>
      </c>
      <c r="P211" s="373">
        <f t="shared" si="1"/>
        <v>3.0193278822727101</v>
      </c>
    </row>
    <row r="212" spans="1:16">
      <c r="A212" s="348">
        <v>355</v>
      </c>
      <c r="B212" s="349">
        <v>256</v>
      </c>
      <c r="C212" s="372" t="s">
        <v>2575</v>
      </c>
      <c r="D212" s="372" t="s">
        <v>2582</v>
      </c>
      <c r="E212" s="372" t="s">
        <v>2556</v>
      </c>
      <c r="F212" s="350">
        <v>45515.352777777778</v>
      </c>
      <c r="G212" s="349">
        <v>8</v>
      </c>
      <c r="H212" s="372" t="s">
        <v>2557</v>
      </c>
      <c r="I212" s="349">
        <v>14442</v>
      </c>
      <c r="J212" s="372"/>
      <c r="K212" s="349">
        <v>0.03</v>
      </c>
      <c r="L212" s="349">
        <v>0</v>
      </c>
      <c r="M212" s="349">
        <v>0</v>
      </c>
      <c r="N212" s="349">
        <v>7.1704699999999999</v>
      </c>
      <c r="O212" s="349">
        <f t="shared" si="0"/>
        <v>0.03</v>
      </c>
      <c r="P212" s="373">
        <f t="shared" si="1"/>
        <v>4.1838261648120692E-3</v>
      </c>
    </row>
    <row r="213" spans="1:16">
      <c r="A213" s="348">
        <v>357</v>
      </c>
      <c r="B213" s="349">
        <v>164</v>
      </c>
      <c r="C213" s="372"/>
      <c r="D213" s="372" t="s">
        <v>45</v>
      </c>
      <c r="E213" s="372" t="s">
        <v>2556</v>
      </c>
      <c r="F213" s="350">
        <v>45518.466666666667</v>
      </c>
      <c r="G213" s="349">
        <v>8</v>
      </c>
      <c r="H213" s="372" t="s">
        <v>2557</v>
      </c>
      <c r="I213" s="349">
        <v>14490</v>
      </c>
      <c r="J213" s="372" t="s">
        <v>7646</v>
      </c>
      <c r="K213" s="349">
        <v>35.74</v>
      </c>
      <c r="L213" s="349">
        <v>0</v>
      </c>
      <c r="M213" s="349">
        <v>0</v>
      </c>
      <c r="N213" s="349">
        <v>7.1632100000000003</v>
      </c>
      <c r="O213" s="349">
        <f t="shared" si="0"/>
        <v>35.74</v>
      </c>
      <c r="P213" s="373">
        <f t="shared" si="1"/>
        <v>35.74</v>
      </c>
    </row>
    <row r="214" spans="1:16">
      <c r="A214" s="348">
        <v>358</v>
      </c>
      <c r="B214" s="349">
        <v>56</v>
      </c>
      <c r="C214" s="372" t="s">
        <v>7417</v>
      </c>
      <c r="D214" s="372" t="s">
        <v>45</v>
      </c>
      <c r="E214" s="372" t="s">
        <v>2556</v>
      </c>
      <c r="F214" s="350">
        <v>45518.718055555553</v>
      </c>
      <c r="G214" s="349">
        <v>8</v>
      </c>
      <c r="H214" s="372" t="s">
        <v>2557</v>
      </c>
      <c r="I214" s="349">
        <v>14502</v>
      </c>
      <c r="J214" s="372" t="s">
        <v>7647</v>
      </c>
      <c r="K214" s="349">
        <v>2.99</v>
      </c>
      <c r="L214" s="349">
        <v>0</v>
      </c>
      <c r="M214" s="349">
        <v>0</v>
      </c>
      <c r="N214" s="349">
        <v>1</v>
      </c>
      <c r="O214" s="349">
        <f t="shared" si="0"/>
        <v>2.99</v>
      </c>
      <c r="P214" s="373">
        <f t="shared" si="1"/>
        <v>2.99</v>
      </c>
    </row>
    <row r="215" spans="1:16">
      <c r="A215" s="348">
        <v>359</v>
      </c>
      <c r="B215" s="349">
        <v>33</v>
      </c>
      <c r="C215" s="372" t="s">
        <v>7385</v>
      </c>
      <c r="D215" s="372" t="s">
        <v>45</v>
      </c>
      <c r="E215" s="372" t="s">
        <v>2556</v>
      </c>
      <c r="F215" s="350">
        <v>45518.72152777778</v>
      </c>
      <c r="G215" s="349">
        <v>8</v>
      </c>
      <c r="H215" s="372" t="s">
        <v>2557</v>
      </c>
      <c r="I215" s="349">
        <v>14514</v>
      </c>
      <c r="J215" s="372" t="s">
        <v>7648</v>
      </c>
      <c r="K215" s="349">
        <v>2.99</v>
      </c>
      <c r="L215" s="349">
        <v>0</v>
      </c>
      <c r="M215" s="349">
        <v>0</v>
      </c>
      <c r="N215" s="349">
        <v>1</v>
      </c>
      <c r="O215" s="349">
        <f t="shared" si="0"/>
        <v>2.99</v>
      </c>
      <c r="P215" s="373">
        <f t="shared" si="1"/>
        <v>2.99</v>
      </c>
    </row>
    <row r="216" spans="1:16">
      <c r="A216" s="348">
        <v>360</v>
      </c>
      <c r="B216" s="349">
        <v>164</v>
      </c>
      <c r="C216" s="372"/>
      <c r="D216" s="372" t="s">
        <v>45</v>
      </c>
      <c r="E216" s="372" t="s">
        <v>2556</v>
      </c>
      <c r="F216" s="350">
        <v>45519.877083333333</v>
      </c>
      <c r="G216" s="349">
        <v>8</v>
      </c>
      <c r="H216" s="372" t="s">
        <v>7649</v>
      </c>
      <c r="I216" s="349">
        <v>14106</v>
      </c>
      <c r="J216" s="372"/>
      <c r="K216" s="349">
        <v>0</v>
      </c>
      <c r="L216" s="349">
        <v>0</v>
      </c>
      <c r="M216" s="349">
        <v>36.31</v>
      </c>
      <c r="N216" s="349">
        <v>7.2619400000000001</v>
      </c>
      <c r="O216" s="349">
        <f t="shared" si="0"/>
        <v>-36.31</v>
      </c>
      <c r="P216" s="373">
        <f t="shared" si="1"/>
        <v>-36.31</v>
      </c>
    </row>
    <row r="217" spans="1:16">
      <c r="A217" s="348">
        <v>361</v>
      </c>
      <c r="B217" s="349">
        <v>261</v>
      </c>
      <c r="C217" s="372" t="s">
        <v>7650</v>
      </c>
      <c r="D217" s="372" t="s">
        <v>2582</v>
      </c>
      <c r="E217" s="372" t="s">
        <v>2556</v>
      </c>
      <c r="F217" s="350">
        <v>45521.921527777777</v>
      </c>
      <c r="G217" s="349">
        <v>8</v>
      </c>
      <c r="H217" s="372" t="s">
        <v>2557</v>
      </c>
      <c r="I217" s="349">
        <v>14538</v>
      </c>
      <c r="J217" s="372" t="s">
        <v>7651</v>
      </c>
      <c r="K217" s="349">
        <v>71.569999999999993</v>
      </c>
      <c r="L217" s="349">
        <v>0</v>
      </c>
      <c r="M217" s="349">
        <v>0</v>
      </c>
      <c r="N217" s="349">
        <v>7.1637300000000002</v>
      </c>
      <c r="O217" s="349">
        <f t="shared" si="0"/>
        <v>71.569999999999993</v>
      </c>
      <c r="P217" s="373">
        <f t="shared" si="1"/>
        <v>9.9906054527459851</v>
      </c>
    </row>
    <row r="218" spans="1:16">
      <c r="A218" s="348">
        <v>362</v>
      </c>
      <c r="B218" s="349">
        <v>263</v>
      </c>
      <c r="C218" s="372" t="s">
        <v>2975</v>
      </c>
      <c r="D218" s="372" t="s">
        <v>45</v>
      </c>
      <c r="E218" s="372" t="s">
        <v>9</v>
      </c>
      <c r="F218" s="350">
        <v>45521.945138888892</v>
      </c>
      <c r="G218" s="349">
        <v>8</v>
      </c>
      <c r="H218" s="372" t="s">
        <v>2557</v>
      </c>
      <c r="I218" s="349">
        <v>14550</v>
      </c>
      <c r="J218" s="372" t="s">
        <v>7050</v>
      </c>
      <c r="K218" s="349">
        <v>4.99</v>
      </c>
      <c r="L218" s="349">
        <v>0.74</v>
      </c>
      <c r="M218" s="349">
        <v>0</v>
      </c>
      <c r="N218" s="349">
        <v>1</v>
      </c>
      <c r="O218" s="349">
        <f t="shared" si="0"/>
        <v>4.25</v>
      </c>
      <c r="P218" s="373">
        <f t="shared" si="1"/>
        <v>4.25</v>
      </c>
    </row>
    <row r="219" spans="1:16">
      <c r="A219" s="348">
        <v>363</v>
      </c>
      <c r="B219" s="349">
        <v>265</v>
      </c>
      <c r="C219" s="372" t="s">
        <v>7652</v>
      </c>
      <c r="D219" s="372" t="s">
        <v>45</v>
      </c>
      <c r="E219" s="372" t="s">
        <v>2556</v>
      </c>
      <c r="F219" s="350">
        <v>45522.030555555553</v>
      </c>
      <c r="G219" s="349">
        <v>8</v>
      </c>
      <c r="H219" s="372" t="s">
        <v>2557</v>
      </c>
      <c r="I219" s="349">
        <v>14562</v>
      </c>
      <c r="J219" s="372" t="s">
        <v>7653</v>
      </c>
      <c r="K219" s="349">
        <v>1.49</v>
      </c>
      <c r="L219" s="349">
        <v>0</v>
      </c>
      <c r="M219" s="349">
        <v>0</v>
      </c>
      <c r="N219" s="349">
        <v>1</v>
      </c>
      <c r="O219" s="349">
        <f t="shared" si="0"/>
        <v>1.49</v>
      </c>
      <c r="P219" s="373">
        <f t="shared" si="1"/>
        <v>1.49</v>
      </c>
    </row>
    <row r="220" spans="1:16">
      <c r="A220" s="348">
        <v>364</v>
      </c>
      <c r="B220" s="349">
        <v>266</v>
      </c>
      <c r="C220" s="372" t="s">
        <v>7654</v>
      </c>
      <c r="D220" s="372" t="s">
        <v>45</v>
      </c>
      <c r="E220" s="372" t="s">
        <v>2556</v>
      </c>
      <c r="F220" s="350">
        <v>45522.099305555559</v>
      </c>
      <c r="G220" s="349">
        <v>8</v>
      </c>
      <c r="H220" s="372" t="s">
        <v>2557</v>
      </c>
      <c r="I220" s="349">
        <v>14586</v>
      </c>
      <c r="J220" s="372" t="s">
        <v>7655</v>
      </c>
      <c r="K220" s="349">
        <v>4.99</v>
      </c>
      <c r="L220" s="349">
        <v>0</v>
      </c>
      <c r="M220" s="349">
        <v>0</v>
      </c>
      <c r="N220" s="349">
        <v>1</v>
      </c>
      <c r="O220" s="349">
        <f t="shared" si="0"/>
        <v>4.99</v>
      </c>
      <c r="P220" s="373">
        <f t="shared" si="1"/>
        <v>4.99</v>
      </c>
    </row>
    <row r="221" spans="1:16">
      <c r="A221" s="348">
        <v>365</v>
      </c>
      <c r="B221" s="349">
        <v>135</v>
      </c>
      <c r="C221" s="372" t="s">
        <v>7495</v>
      </c>
      <c r="D221" s="372" t="s">
        <v>45</v>
      </c>
      <c r="E221" s="372" t="s">
        <v>9</v>
      </c>
      <c r="F221" s="350">
        <v>45522.130555555559</v>
      </c>
      <c r="G221" s="349">
        <v>8</v>
      </c>
      <c r="H221" s="372" t="s">
        <v>2557</v>
      </c>
      <c r="I221" s="349">
        <v>14574</v>
      </c>
      <c r="J221" s="372" t="s">
        <v>7055</v>
      </c>
      <c r="K221" s="349">
        <v>9.99</v>
      </c>
      <c r="L221" s="349">
        <v>0.99</v>
      </c>
      <c r="M221" s="349">
        <v>0</v>
      </c>
      <c r="N221" s="349">
        <v>1</v>
      </c>
      <c r="O221" s="349">
        <f t="shared" si="0"/>
        <v>9</v>
      </c>
      <c r="P221" s="373">
        <f t="shared" si="1"/>
        <v>9</v>
      </c>
    </row>
    <row r="222" spans="1:16">
      <c r="A222" s="348">
        <v>366</v>
      </c>
      <c r="B222" s="349">
        <v>267</v>
      </c>
      <c r="C222" s="372" t="s">
        <v>7656</v>
      </c>
      <c r="D222" s="372" t="s">
        <v>2582</v>
      </c>
      <c r="E222" s="372" t="s">
        <v>2556</v>
      </c>
      <c r="F222" s="350">
        <v>45522.688888888886</v>
      </c>
      <c r="G222" s="349">
        <v>8</v>
      </c>
      <c r="H222" s="372" t="s">
        <v>2557</v>
      </c>
      <c r="I222" s="349">
        <v>14598</v>
      </c>
      <c r="J222" s="372" t="s">
        <v>7657</v>
      </c>
      <c r="K222" s="349">
        <v>71.569999999999993</v>
      </c>
      <c r="L222" s="349">
        <v>0</v>
      </c>
      <c r="M222" s="349">
        <v>0</v>
      </c>
      <c r="N222" s="349">
        <v>7.1637300000000002</v>
      </c>
      <c r="O222" s="349">
        <f t="shared" si="0"/>
        <v>71.569999999999993</v>
      </c>
      <c r="P222" s="373">
        <f t="shared" si="1"/>
        <v>9.9906054527459851</v>
      </c>
    </row>
    <row r="223" spans="1:16">
      <c r="A223" s="348">
        <v>367</v>
      </c>
      <c r="B223" s="349">
        <v>238</v>
      </c>
      <c r="C223" s="372" t="s">
        <v>5475</v>
      </c>
      <c r="D223" s="372" t="s">
        <v>45</v>
      </c>
      <c r="E223" s="372" t="s">
        <v>9</v>
      </c>
      <c r="F223" s="350">
        <v>45522.695138888892</v>
      </c>
      <c r="G223" s="349">
        <v>8</v>
      </c>
      <c r="H223" s="372" t="s">
        <v>2557</v>
      </c>
      <c r="I223" s="349">
        <v>14610</v>
      </c>
      <c r="J223" s="372" t="s">
        <v>7058</v>
      </c>
      <c r="K223" s="349">
        <v>9.99</v>
      </c>
      <c r="L223" s="349">
        <v>0.99</v>
      </c>
      <c r="M223" s="349">
        <v>0</v>
      </c>
      <c r="N223" s="349">
        <v>1</v>
      </c>
      <c r="O223" s="349">
        <f t="shared" si="0"/>
        <v>9</v>
      </c>
      <c r="P223" s="373">
        <f t="shared" si="1"/>
        <v>9</v>
      </c>
    </row>
    <row r="224" spans="1:16">
      <c r="A224" s="348">
        <v>368</v>
      </c>
      <c r="B224" s="349">
        <v>268</v>
      </c>
      <c r="C224" s="372" t="s">
        <v>2575</v>
      </c>
      <c r="D224" s="372" t="s">
        <v>2582</v>
      </c>
      <c r="E224" s="372" t="s">
        <v>2556</v>
      </c>
      <c r="F224" s="350">
        <v>45523.183333333334</v>
      </c>
      <c r="G224" s="349">
        <v>8</v>
      </c>
      <c r="H224" s="372" t="s">
        <v>2557</v>
      </c>
      <c r="I224" s="349">
        <v>14634</v>
      </c>
      <c r="J224" s="372" t="s">
        <v>7658</v>
      </c>
      <c r="K224" s="349">
        <v>121.71</v>
      </c>
      <c r="L224" s="349">
        <v>0</v>
      </c>
      <c r="M224" s="349">
        <v>0</v>
      </c>
      <c r="N224" s="349">
        <v>7.1637300000000002</v>
      </c>
      <c r="O224" s="349">
        <f t="shared" si="0"/>
        <v>121.71</v>
      </c>
      <c r="P224" s="373">
        <f t="shared" si="1"/>
        <v>16.989752545112669</v>
      </c>
    </row>
    <row r="225" spans="1:16">
      <c r="A225" s="348">
        <v>369</v>
      </c>
      <c r="B225" s="349">
        <v>270</v>
      </c>
      <c r="C225" s="372" t="s">
        <v>7659</v>
      </c>
      <c r="D225" s="372" t="s">
        <v>45</v>
      </c>
      <c r="E225" s="372" t="s">
        <v>2556</v>
      </c>
      <c r="F225" s="350">
        <v>45523.280555555553</v>
      </c>
      <c r="G225" s="349">
        <v>8</v>
      </c>
      <c r="H225" s="372" t="s">
        <v>2557</v>
      </c>
      <c r="I225" s="349">
        <v>14670</v>
      </c>
      <c r="J225" s="372" t="s">
        <v>7660</v>
      </c>
      <c r="K225" s="349">
        <v>1.49</v>
      </c>
      <c r="L225" s="349">
        <v>0</v>
      </c>
      <c r="M225" s="349">
        <v>0</v>
      </c>
      <c r="N225" s="349">
        <v>1</v>
      </c>
      <c r="O225" s="349">
        <f t="shared" si="0"/>
        <v>1.49</v>
      </c>
      <c r="P225" s="373">
        <f t="shared" si="1"/>
        <v>1.49</v>
      </c>
    </row>
    <row r="226" spans="1:16">
      <c r="A226" s="348">
        <v>370</v>
      </c>
      <c r="B226" s="349">
        <v>272</v>
      </c>
      <c r="C226" s="372" t="s">
        <v>7661</v>
      </c>
      <c r="D226" s="372" t="s">
        <v>45</v>
      </c>
      <c r="E226" s="372" t="s">
        <v>2556</v>
      </c>
      <c r="F226" s="350">
        <v>45523.438888888886</v>
      </c>
      <c r="G226" s="349">
        <v>8</v>
      </c>
      <c r="H226" s="372" t="s">
        <v>2557</v>
      </c>
      <c r="I226" s="349">
        <v>14682</v>
      </c>
      <c r="J226" s="372" t="s">
        <v>7662</v>
      </c>
      <c r="K226" s="349">
        <v>1.49</v>
      </c>
      <c r="L226" s="349">
        <v>0</v>
      </c>
      <c r="M226" s="349">
        <v>0</v>
      </c>
      <c r="N226" s="349">
        <v>1</v>
      </c>
      <c r="O226" s="349">
        <f t="shared" si="0"/>
        <v>1.49</v>
      </c>
      <c r="P226" s="373">
        <f t="shared" si="1"/>
        <v>1.49</v>
      </c>
    </row>
    <row r="227" spans="1:16">
      <c r="A227" s="348">
        <v>371</v>
      </c>
      <c r="B227" s="349">
        <v>276</v>
      </c>
      <c r="C227" s="372" t="s">
        <v>632</v>
      </c>
      <c r="D227" s="372" t="s">
        <v>45</v>
      </c>
      <c r="E227" s="372" t="s">
        <v>9</v>
      </c>
      <c r="F227" s="350">
        <v>45524.979861111111</v>
      </c>
      <c r="G227" s="349">
        <v>8</v>
      </c>
      <c r="H227" s="372" t="s">
        <v>2557</v>
      </c>
      <c r="I227" s="349">
        <v>14706</v>
      </c>
      <c r="J227" s="372" t="s">
        <v>7060</v>
      </c>
      <c r="K227" s="349">
        <v>9.99</v>
      </c>
      <c r="L227" s="349">
        <v>0.84</v>
      </c>
      <c r="M227" s="349">
        <v>0</v>
      </c>
      <c r="N227" s="349">
        <v>1</v>
      </c>
      <c r="O227" s="349">
        <f t="shared" si="0"/>
        <v>9.15</v>
      </c>
      <c r="P227" s="373">
        <f t="shared" si="1"/>
        <v>9.15</v>
      </c>
    </row>
    <row r="228" spans="1:16">
      <c r="A228" s="348">
        <v>372</v>
      </c>
      <c r="B228" s="349">
        <v>275</v>
      </c>
      <c r="C228" s="372" t="s">
        <v>4689</v>
      </c>
      <c r="D228" s="372" t="s">
        <v>45</v>
      </c>
      <c r="E228" s="372" t="s">
        <v>2556</v>
      </c>
      <c r="F228" s="350">
        <v>45525.40347222222</v>
      </c>
      <c r="G228" s="349">
        <v>8</v>
      </c>
      <c r="H228" s="372" t="s">
        <v>2557</v>
      </c>
      <c r="I228" s="349">
        <v>14718</v>
      </c>
      <c r="J228" s="372" t="s">
        <v>7663</v>
      </c>
      <c r="K228" s="349">
        <v>9.99</v>
      </c>
      <c r="L228" s="349">
        <v>0</v>
      </c>
      <c r="M228" s="349">
        <v>0</v>
      </c>
      <c r="N228" s="349">
        <v>1</v>
      </c>
      <c r="O228" s="349">
        <f t="shared" si="0"/>
        <v>9.99</v>
      </c>
      <c r="P228" s="373">
        <f t="shared" si="1"/>
        <v>9.99</v>
      </c>
    </row>
    <row r="229" spans="1:16">
      <c r="A229" s="348">
        <v>373</v>
      </c>
      <c r="B229" s="349">
        <v>275</v>
      </c>
      <c r="C229" s="372" t="s">
        <v>4689</v>
      </c>
      <c r="D229" s="372" t="s">
        <v>45</v>
      </c>
      <c r="E229" s="372" t="s">
        <v>2556</v>
      </c>
      <c r="F229" s="350">
        <v>45525.439583333333</v>
      </c>
      <c r="G229" s="349">
        <v>8</v>
      </c>
      <c r="H229" s="372" t="s">
        <v>2557</v>
      </c>
      <c r="I229" s="349">
        <v>14730</v>
      </c>
      <c r="J229" s="372" t="s">
        <v>7664</v>
      </c>
      <c r="K229" s="349">
        <v>4.99</v>
      </c>
      <c r="L229" s="349">
        <v>0</v>
      </c>
      <c r="M229" s="349">
        <v>0</v>
      </c>
      <c r="N229" s="349">
        <v>1</v>
      </c>
      <c r="O229" s="349">
        <f t="shared" si="0"/>
        <v>4.99</v>
      </c>
      <c r="P229" s="373">
        <f t="shared" si="1"/>
        <v>4.99</v>
      </c>
    </row>
    <row r="230" spans="1:16">
      <c r="A230" s="348">
        <v>374</v>
      </c>
      <c r="B230" s="349">
        <v>279</v>
      </c>
      <c r="C230" s="372" t="s">
        <v>7665</v>
      </c>
      <c r="D230" s="372" t="s">
        <v>45</v>
      </c>
      <c r="E230" s="372" t="s">
        <v>2572</v>
      </c>
      <c r="F230" s="350">
        <v>45527.552083333336</v>
      </c>
      <c r="G230" s="349">
        <v>8</v>
      </c>
      <c r="H230" s="372" t="s">
        <v>2557</v>
      </c>
      <c r="I230" s="349">
        <v>14766</v>
      </c>
      <c r="J230" s="372"/>
      <c r="K230" s="349">
        <v>7.99</v>
      </c>
      <c r="L230" s="349">
        <v>0</v>
      </c>
      <c r="M230" s="349">
        <v>0</v>
      </c>
      <c r="N230" s="349">
        <v>1</v>
      </c>
      <c r="O230" s="349">
        <f t="shared" si="0"/>
        <v>7.99</v>
      </c>
      <c r="P230" s="373">
        <f t="shared" si="1"/>
        <v>7.99</v>
      </c>
    </row>
    <row r="231" spans="1:16">
      <c r="A231" s="348">
        <v>375</v>
      </c>
      <c r="B231" s="349">
        <v>282</v>
      </c>
      <c r="C231" s="372" t="s">
        <v>7666</v>
      </c>
      <c r="D231" s="372" t="s">
        <v>45</v>
      </c>
      <c r="E231" s="372" t="s">
        <v>2572</v>
      </c>
      <c r="F231" s="350">
        <v>45529.88958333333</v>
      </c>
      <c r="G231" s="349">
        <v>8</v>
      </c>
      <c r="H231" s="372" t="s">
        <v>2557</v>
      </c>
      <c r="I231" s="349">
        <v>14802</v>
      </c>
      <c r="J231" s="372"/>
      <c r="K231" s="349">
        <v>16.989999999999998</v>
      </c>
      <c r="L231" s="349">
        <v>0</v>
      </c>
      <c r="M231" s="349">
        <v>0</v>
      </c>
      <c r="N231" s="349">
        <v>1</v>
      </c>
      <c r="O231" s="349">
        <f t="shared" si="0"/>
        <v>16.989999999999998</v>
      </c>
      <c r="P231" s="373">
        <f t="shared" si="1"/>
        <v>16.989999999999998</v>
      </c>
    </row>
    <row r="232" spans="1:16">
      <c r="A232" s="348">
        <v>376</v>
      </c>
      <c r="B232" s="349">
        <v>284</v>
      </c>
      <c r="C232" s="372" t="s">
        <v>2598</v>
      </c>
      <c r="D232" s="372" t="s">
        <v>45</v>
      </c>
      <c r="E232" s="372" t="s">
        <v>2556</v>
      </c>
      <c r="F232" s="350">
        <v>45531.969444444447</v>
      </c>
      <c r="G232" s="349">
        <v>8</v>
      </c>
      <c r="H232" s="372" t="s">
        <v>2557</v>
      </c>
      <c r="I232" s="349">
        <v>14826</v>
      </c>
      <c r="J232" s="372" t="s">
        <v>7667</v>
      </c>
      <c r="K232" s="349">
        <v>4.99</v>
      </c>
      <c r="L232" s="349">
        <v>0</v>
      </c>
      <c r="M232" s="349">
        <v>0</v>
      </c>
      <c r="N232" s="349">
        <v>1</v>
      </c>
      <c r="O232" s="349">
        <f t="shared" si="0"/>
        <v>4.99</v>
      </c>
      <c r="P232" s="373">
        <f t="shared" si="1"/>
        <v>4.99</v>
      </c>
    </row>
    <row r="233" spans="1:16">
      <c r="A233" s="348">
        <v>377</v>
      </c>
      <c r="B233" s="349">
        <v>286</v>
      </c>
      <c r="C233" s="372" t="s">
        <v>7668</v>
      </c>
      <c r="D233" s="372" t="s">
        <v>2582</v>
      </c>
      <c r="E233" s="372" t="s">
        <v>2556</v>
      </c>
      <c r="F233" s="350">
        <v>45532</v>
      </c>
      <c r="G233" s="349">
        <v>8</v>
      </c>
      <c r="H233" s="372" t="s">
        <v>2557</v>
      </c>
      <c r="I233" s="349">
        <v>14874</v>
      </c>
      <c r="J233" s="372"/>
      <c r="K233" s="349">
        <v>0</v>
      </c>
      <c r="L233" s="349">
        <v>0</v>
      </c>
      <c r="M233" s="349">
        <v>0</v>
      </c>
      <c r="N233" s="349">
        <v>7.1265900000000002</v>
      </c>
      <c r="O233" s="349">
        <f t="shared" si="0"/>
        <v>0</v>
      </c>
      <c r="P233" s="373">
        <f t="shared" si="1"/>
        <v>0</v>
      </c>
    </row>
    <row r="234" spans="1:16">
      <c r="A234" s="348">
        <v>378</v>
      </c>
      <c r="B234" s="349">
        <v>151</v>
      </c>
      <c r="C234" s="372" t="s">
        <v>7515</v>
      </c>
      <c r="D234" s="372" t="s">
        <v>45</v>
      </c>
      <c r="E234" s="372" t="s">
        <v>2556</v>
      </c>
      <c r="F234" s="350">
        <v>45532</v>
      </c>
      <c r="G234" s="349">
        <v>8</v>
      </c>
      <c r="H234" s="372" t="s">
        <v>2557</v>
      </c>
      <c r="I234" s="349">
        <v>14886</v>
      </c>
      <c r="J234" s="372"/>
      <c r="K234" s="349">
        <v>0</v>
      </c>
      <c r="L234" s="349">
        <v>0</v>
      </c>
      <c r="M234" s="349">
        <v>0</v>
      </c>
      <c r="N234" s="349">
        <v>1</v>
      </c>
      <c r="O234" s="349">
        <f t="shared" si="0"/>
        <v>0</v>
      </c>
      <c r="P234" s="373">
        <f t="shared" si="1"/>
        <v>0</v>
      </c>
    </row>
    <row r="235" spans="1:16">
      <c r="A235" s="348">
        <v>380</v>
      </c>
      <c r="B235" s="349">
        <v>289</v>
      </c>
      <c r="C235" s="372" t="s">
        <v>7669</v>
      </c>
      <c r="D235" s="372" t="s">
        <v>2582</v>
      </c>
      <c r="E235" s="372" t="s">
        <v>2556</v>
      </c>
      <c r="F235" s="350">
        <v>45533</v>
      </c>
      <c r="G235" s="349">
        <v>8</v>
      </c>
      <c r="H235" s="372" t="s">
        <v>2557</v>
      </c>
      <c r="I235" s="349">
        <v>14946</v>
      </c>
      <c r="J235" s="372"/>
      <c r="K235" s="349">
        <v>0</v>
      </c>
      <c r="L235" s="349">
        <v>0</v>
      </c>
      <c r="M235" s="349">
        <v>0</v>
      </c>
      <c r="N235" s="349">
        <v>7.1289899999999999</v>
      </c>
      <c r="O235" s="349">
        <f t="shared" si="0"/>
        <v>0</v>
      </c>
      <c r="P235" s="373">
        <f t="shared" si="1"/>
        <v>0</v>
      </c>
    </row>
    <row r="236" spans="1:16">
      <c r="A236" s="348">
        <v>382</v>
      </c>
      <c r="B236" s="349">
        <v>294</v>
      </c>
      <c r="C236" s="372" t="s">
        <v>7670</v>
      </c>
      <c r="D236" s="372" t="s">
        <v>45</v>
      </c>
      <c r="E236" s="372" t="s">
        <v>2556</v>
      </c>
      <c r="F236" s="350">
        <v>45533</v>
      </c>
      <c r="G236" s="349">
        <v>8</v>
      </c>
      <c r="H236" s="372" t="s">
        <v>2557</v>
      </c>
      <c r="I236" s="349">
        <v>14982</v>
      </c>
      <c r="J236" s="372"/>
      <c r="K236" s="349">
        <v>0</v>
      </c>
      <c r="L236" s="349">
        <v>0</v>
      </c>
      <c r="M236" s="349">
        <v>0</v>
      </c>
      <c r="N236" s="349">
        <v>1</v>
      </c>
      <c r="O236" s="349">
        <f t="shared" si="0"/>
        <v>0</v>
      </c>
      <c r="P236" s="373">
        <f t="shared" si="1"/>
        <v>0</v>
      </c>
    </row>
    <row r="237" spans="1:16">
      <c r="A237" s="348">
        <v>383</v>
      </c>
      <c r="B237" s="349">
        <v>295</v>
      </c>
      <c r="C237" s="372" t="s">
        <v>7671</v>
      </c>
      <c r="D237" s="372" t="s">
        <v>2582</v>
      </c>
      <c r="E237" s="372" t="s">
        <v>2556</v>
      </c>
      <c r="F237" s="350">
        <v>45533</v>
      </c>
      <c r="G237" s="349">
        <v>8</v>
      </c>
      <c r="H237" s="372" t="s">
        <v>2557</v>
      </c>
      <c r="I237" s="349">
        <v>14994</v>
      </c>
      <c r="J237" s="372"/>
      <c r="K237" s="349">
        <v>0</v>
      </c>
      <c r="L237" s="349">
        <v>0</v>
      </c>
      <c r="M237" s="349">
        <v>0</v>
      </c>
      <c r="N237" s="349">
        <v>7.1289899999999999</v>
      </c>
      <c r="O237" s="349">
        <f t="shared" si="0"/>
        <v>0</v>
      </c>
      <c r="P237" s="373">
        <f t="shared" si="1"/>
        <v>0</v>
      </c>
    </row>
    <row r="238" spans="1:16">
      <c r="A238" s="348">
        <v>379</v>
      </c>
      <c r="B238" s="349">
        <v>289</v>
      </c>
      <c r="C238" s="372" t="s">
        <v>7669</v>
      </c>
      <c r="D238" s="372" t="s">
        <v>2582</v>
      </c>
      <c r="E238" s="372" t="s">
        <v>2556</v>
      </c>
      <c r="F238" s="350">
        <v>45533.055555555555</v>
      </c>
      <c r="G238" s="349">
        <v>8</v>
      </c>
      <c r="H238" s="372" t="s">
        <v>2557</v>
      </c>
      <c r="I238" s="349">
        <v>14910</v>
      </c>
      <c r="J238" s="372" t="s">
        <v>7672</v>
      </c>
      <c r="K238" s="349">
        <v>35.56</v>
      </c>
      <c r="L238" s="349">
        <v>0</v>
      </c>
      <c r="M238" s="349">
        <v>0</v>
      </c>
      <c r="N238" s="349">
        <v>7.1265900000000002</v>
      </c>
      <c r="O238" s="349">
        <f t="shared" si="0"/>
        <v>35.56</v>
      </c>
      <c r="P238" s="373">
        <f t="shared" si="1"/>
        <v>4.9897636878226477</v>
      </c>
    </row>
    <row r="239" spans="1:16">
      <c r="A239" s="348">
        <v>381</v>
      </c>
      <c r="B239" s="349">
        <v>293</v>
      </c>
      <c r="C239" s="372" t="s">
        <v>7673</v>
      </c>
      <c r="D239" s="372" t="s">
        <v>2582</v>
      </c>
      <c r="E239" s="372" t="s">
        <v>2556</v>
      </c>
      <c r="F239" s="350">
        <v>45533.714583333334</v>
      </c>
      <c r="G239" s="349">
        <v>8</v>
      </c>
      <c r="H239" s="372" t="s">
        <v>2557</v>
      </c>
      <c r="I239" s="349">
        <v>14970</v>
      </c>
      <c r="J239" s="372" t="s">
        <v>7674</v>
      </c>
      <c r="K239" s="349">
        <v>21.32</v>
      </c>
      <c r="L239" s="349">
        <v>0</v>
      </c>
      <c r="M239" s="349">
        <v>0</v>
      </c>
      <c r="N239" s="349">
        <v>7.1289899999999999</v>
      </c>
      <c r="O239" s="349">
        <f t="shared" si="0"/>
        <v>21.32</v>
      </c>
      <c r="P239" s="373">
        <f t="shared" si="1"/>
        <v>2.9906059624154335</v>
      </c>
    </row>
    <row r="240" spans="1:16">
      <c r="A240" s="348">
        <v>385</v>
      </c>
      <c r="B240" s="349">
        <v>296</v>
      </c>
      <c r="C240" s="372" t="s">
        <v>7675</v>
      </c>
      <c r="D240" s="372" t="s">
        <v>45</v>
      </c>
      <c r="E240" s="372" t="s">
        <v>2556</v>
      </c>
      <c r="F240" s="350">
        <v>45534</v>
      </c>
      <c r="G240" s="349">
        <v>8</v>
      </c>
      <c r="H240" s="372" t="s">
        <v>2557</v>
      </c>
      <c r="I240" s="349">
        <v>15018</v>
      </c>
      <c r="J240" s="372"/>
      <c r="K240" s="349">
        <v>0</v>
      </c>
      <c r="L240" s="349">
        <v>0</v>
      </c>
      <c r="M240" s="349">
        <v>0</v>
      </c>
      <c r="N240" s="349">
        <v>1</v>
      </c>
      <c r="O240" s="349">
        <f t="shared" si="0"/>
        <v>0</v>
      </c>
      <c r="P240" s="373">
        <f t="shared" si="1"/>
        <v>0</v>
      </c>
    </row>
    <row r="241" spans="1:16">
      <c r="A241" s="348">
        <v>384</v>
      </c>
      <c r="B241" s="349">
        <v>82</v>
      </c>
      <c r="C241" s="372" t="s">
        <v>7433</v>
      </c>
      <c r="D241" s="372" t="s">
        <v>45</v>
      </c>
      <c r="E241" s="372" t="s">
        <v>9</v>
      </c>
      <c r="F241" s="350">
        <v>45534.275694444441</v>
      </c>
      <c r="G241" s="349">
        <v>8</v>
      </c>
      <c r="H241" s="372" t="s">
        <v>2557</v>
      </c>
      <c r="I241" s="349">
        <v>15006</v>
      </c>
      <c r="J241" s="372" t="s">
        <v>7068</v>
      </c>
      <c r="K241" s="349">
        <v>1</v>
      </c>
      <c r="L241" s="349">
        <v>0.54</v>
      </c>
      <c r="M241" s="349">
        <v>0</v>
      </c>
      <c r="N241" s="349">
        <v>1</v>
      </c>
      <c r="O241" s="349">
        <f t="shared" si="0"/>
        <v>0.45999999999999996</v>
      </c>
      <c r="P241" s="373">
        <f t="shared" si="1"/>
        <v>0.45999999999999996</v>
      </c>
    </row>
    <row r="242" spans="1:16">
      <c r="A242" s="348">
        <v>386</v>
      </c>
      <c r="B242" s="349">
        <v>298</v>
      </c>
      <c r="C242" s="372" t="s">
        <v>7676</v>
      </c>
      <c r="D242" s="372" t="s">
        <v>45</v>
      </c>
      <c r="E242" s="372" t="s">
        <v>2556</v>
      </c>
      <c r="F242" s="350">
        <v>45534.748611111114</v>
      </c>
      <c r="G242" s="349">
        <v>8</v>
      </c>
      <c r="H242" s="372" t="s">
        <v>2557</v>
      </c>
      <c r="I242" s="349">
        <v>15042</v>
      </c>
      <c r="J242" s="372" t="s">
        <v>7677</v>
      </c>
      <c r="K242" s="349">
        <v>4.99</v>
      </c>
      <c r="L242" s="349">
        <v>0</v>
      </c>
      <c r="M242" s="349">
        <v>0</v>
      </c>
      <c r="N242" s="349">
        <v>1</v>
      </c>
      <c r="O242" s="349">
        <f t="shared" si="0"/>
        <v>4.99</v>
      </c>
      <c r="P242" s="373">
        <f t="shared" si="1"/>
        <v>4.99</v>
      </c>
    </row>
    <row r="243" spans="1:16">
      <c r="A243" s="348">
        <v>390</v>
      </c>
      <c r="B243" s="349">
        <v>33</v>
      </c>
      <c r="C243" s="372" t="s">
        <v>7385</v>
      </c>
      <c r="D243" s="372" t="s">
        <v>45</v>
      </c>
      <c r="E243" s="372" t="s">
        <v>2556</v>
      </c>
      <c r="F243" s="350">
        <v>45536</v>
      </c>
      <c r="G243" s="349">
        <v>9</v>
      </c>
      <c r="H243" s="372" t="s">
        <v>2557</v>
      </c>
      <c r="I243" s="349">
        <v>15126</v>
      </c>
      <c r="J243" s="372"/>
      <c r="K243" s="349">
        <v>0</v>
      </c>
      <c r="L243" s="349">
        <v>0</v>
      </c>
      <c r="M243" s="349">
        <v>0</v>
      </c>
      <c r="N243" s="349">
        <v>1</v>
      </c>
      <c r="O243" s="349">
        <f t="shared" si="0"/>
        <v>0</v>
      </c>
      <c r="P243" s="373">
        <f t="shared" si="1"/>
        <v>0</v>
      </c>
    </row>
    <row r="244" spans="1:16">
      <c r="A244" s="348">
        <v>389</v>
      </c>
      <c r="B244" s="349">
        <v>301</v>
      </c>
      <c r="C244" s="372" t="s">
        <v>7678</v>
      </c>
      <c r="D244" s="372" t="s">
        <v>45</v>
      </c>
      <c r="E244" s="372" t="s">
        <v>2556</v>
      </c>
      <c r="F244" s="350">
        <v>45536.029861111114</v>
      </c>
      <c r="G244" s="349">
        <v>9</v>
      </c>
      <c r="H244" s="372" t="s">
        <v>2557</v>
      </c>
      <c r="I244" s="349">
        <v>15114</v>
      </c>
      <c r="J244" s="372" t="s">
        <v>7679</v>
      </c>
      <c r="K244" s="349">
        <v>9.99</v>
      </c>
      <c r="L244" s="349">
        <v>0</v>
      </c>
      <c r="M244" s="349">
        <v>0</v>
      </c>
      <c r="N244" s="349">
        <v>1</v>
      </c>
      <c r="O244" s="349">
        <f t="shared" si="0"/>
        <v>9.99</v>
      </c>
      <c r="P244" s="373">
        <f t="shared" si="1"/>
        <v>9.99</v>
      </c>
    </row>
    <row r="245" spans="1:16">
      <c r="A245" s="348">
        <v>391</v>
      </c>
      <c r="B245" s="349">
        <v>303</v>
      </c>
      <c r="C245" s="372" t="s">
        <v>3543</v>
      </c>
      <c r="D245" s="372" t="s">
        <v>45</v>
      </c>
      <c r="E245" s="372" t="s">
        <v>2556</v>
      </c>
      <c r="F245" s="350">
        <v>45536.550694444442</v>
      </c>
      <c r="G245" s="349">
        <v>9</v>
      </c>
      <c r="H245" s="372" t="s">
        <v>2557</v>
      </c>
      <c r="I245" s="349">
        <v>15150</v>
      </c>
      <c r="J245" s="372" t="s">
        <v>7680</v>
      </c>
      <c r="K245" s="349">
        <v>1.99</v>
      </c>
      <c r="L245" s="349">
        <v>0</v>
      </c>
      <c r="M245" s="349">
        <v>0</v>
      </c>
      <c r="N245" s="349">
        <v>1</v>
      </c>
      <c r="O245" s="349">
        <f t="shared" si="0"/>
        <v>1.99</v>
      </c>
      <c r="P245" s="373">
        <f t="shared" si="1"/>
        <v>1.99</v>
      </c>
    </row>
    <row r="246" spans="1:16">
      <c r="A246" s="348">
        <v>392</v>
      </c>
      <c r="B246" s="349">
        <v>263</v>
      </c>
      <c r="C246" s="372" t="s">
        <v>2975</v>
      </c>
      <c r="D246" s="372" t="s">
        <v>45</v>
      </c>
      <c r="E246" s="372" t="s">
        <v>9</v>
      </c>
      <c r="F246" s="350">
        <v>45536.586111111108</v>
      </c>
      <c r="G246" s="349">
        <v>9</v>
      </c>
      <c r="H246" s="372" t="s">
        <v>2557</v>
      </c>
      <c r="I246" s="349">
        <v>15162</v>
      </c>
      <c r="J246" s="372" t="s">
        <v>7071</v>
      </c>
      <c r="K246" s="349">
        <v>1.99</v>
      </c>
      <c r="L246" s="349">
        <v>0.59</v>
      </c>
      <c r="M246" s="349">
        <v>0</v>
      </c>
      <c r="N246" s="349">
        <v>1</v>
      </c>
      <c r="O246" s="349">
        <f t="shared" si="0"/>
        <v>1.4</v>
      </c>
      <c r="P246" s="373">
        <f t="shared" si="1"/>
        <v>1.4</v>
      </c>
    </row>
    <row r="247" spans="1:16">
      <c r="A247" s="348">
        <v>393</v>
      </c>
      <c r="B247" s="349">
        <v>305</v>
      </c>
      <c r="C247" s="372" t="s">
        <v>7681</v>
      </c>
      <c r="D247" s="372" t="s">
        <v>45</v>
      </c>
      <c r="E247" s="372" t="s">
        <v>2556</v>
      </c>
      <c r="F247" s="350">
        <v>45536.744444444441</v>
      </c>
      <c r="G247" s="349">
        <v>9</v>
      </c>
      <c r="H247" s="372" t="s">
        <v>2557</v>
      </c>
      <c r="I247" s="349">
        <v>15198</v>
      </c>
      <c r="J247" s="372" t="s">
        <v>7682</v>
      </c>
      <c r="K247" s="349">
        <v>1.0900000000000001</v>
      </c>
      <c r="L247" s="349">
        <v>0</v>
      </c>
      <c r="M247" s="349">
        <v>0</v>
      </c>
      <c r="N247" s="349">
        <v>1</v>
      </c>
      <c r="O247" s="349">
        <f t="shared" si="0"/>
        <v>1.0900000000000001</v>
      </c>
      <c r="P247" s="373">
        <f t="shared" si="1"/>
        <v>1.0900000000000001</v>
      </c>
    </row>
    <row r="248" spans="1:16">
      <c r="A248" s="348">
        <v>394</v>
      </c>
      <c r="B248" s="349">
        <v>306</v>
      </c>
      <c r="C248" s="372" t="s">
        <v>7683</v>
      </c>
      <c r="D248" s="372" t="s">
        <v>45</v>
      </c>
      <c r="E248" s="372" t="s">
        <v>2556</v>
      </c>
      <c r="F248" s="350">
        <v>45536.890972222223</v>
      </c>
      <c r="G248" s="349">
        <v>9</v>
      </c>
      <c r="H248" s="372" t="s">
        <v>2557</v>
      </c>
      <c r="I248" s="349">
        <v>15210</v>
      </c>
      <c r="J248" s="372" t="s">
        <v>7684</v>
      </c>
      <c r="K248" s="349">
        <v>1.99</v>
      </c>
      <c r="L248" s="349">
        <v>0</v>
      </c>
      <c r="M248" s="349">
        <v>0</v>
      </c>
      <c r="N248" s="349">
        <v>1</v>
      </c>
      <c r="O248" s="349">
        <f t="shared" si="0"/>
        <v>1.99</v>
      </c>
      <c r="P248" s="373">
        <f t="shared" si="1"/>
        <v>1.99</v>
      </c>
    </row>
    <row r="249" spans="1:16">
      <c r="A249" s="348">
        <v>395</v>
      </c>
      <c r="B249" s="349">
        <v>308</v>
      </c>
      <c r="C249" s="372" t="s">
        <v>7685</v>
      </c>
      <c r="D249" s="372" t="s">
        <v>45</v>
      </c>
      <c r="E249" s="372" t="s">
        <v>9</v>
      </c>
      <c r="F249" s="350">
        <v>45536.953472222223</v>
      </c>
      <c r="G249" s="349">
        <v>9</v>
      </c>
      <c r="H249" s="372" t="s">
        <v>2557</v>
      </c>
      <c r="I249" s="349">
        <v>15222</v>
      </c>
      <c r="J249" s="372" t="s">
        <v>7074</v>
      </c>
      <c r="K249" s="349">
        <v>1.99</v>
      </c>
      <c r="L249" s="349">
        <v>0.56000000000000005</v>
      </c>
      <c r="M249" s="349">
        <v>0</v>
      </c>
      <c r="N249" s="349">
        <v>1</v>
      </c>
      <c r="O249" s="349">
        <f t="shared" si="0"/>
        <v>1.43</v>
      </c>
      <c r="P249" s="373">
        <f t="shared" si="1"/>
        <v>1.43</v>
      </c>
    </row>
    <row r="250" spans="1:16">
      <c r="A250" s="348">
        <v>396</v>
      </c>
      <c r="B250" s="349">
        <v>311</v>
      </c>
      <c r="C250" s="372" t="s">
        <v>7686</v>
      </c>
      <c r="D250" s="372" t="s">
        <v>45</v>
      </c>
      <c r="E250" s="372" t="s">
        <v>2556</v>
      </c>
      <c r="F250" s="350">
        <v>45537.722222222219</v>
      </c>
      <c r="G250" s="349">
        <v>9</v>
      </c>
      <c r="H250" s="372" t="s">
        <v>2557</v>
      </c>
      <c r="I250" s="349">
        <v>15258</v>
      </c>
      <c r="J250" s="372" t="s">
        <v>7687</v>
      </c>
      <c r="K250" s="349">
        <v>1.99</v>
      </c>
      <c r="L250" s="349">
        <v>0</v>
      </c>
      <c r="M250" s="349">
        <v>0</v>
      </c>
      <c r="N250" s="349">
        <v>1</v>
      </c>
      <c r="O250" s="349">
        <f t="shared" si="0"/>
        <v>1.99</v>
      </c>
      <c r="P250" s="373">
        <f t="shared" si="1"/>
        <v>1.99</v>
      </c>
    </row>
    <row r="251" spans="1:16">
      <c r="A251" s="348">
        <v>397</v>
      </c>
      <c r="B251" s="349">
        <v>312</v>
      </c>
      <c r="C251" s="372" t="s">
        <v>7688</v>
      </c>
      <c r="D251" s="372" t="s">
        <v>45</v>
      </c>
      <c r="E251" s="372" t="s">
        <v>2556</v>
      </c>
      <c r="F251" s="350">
        <v>45537.872916666667</v>
      </c>
      <c r="G251" s="349">
        <v>9</v>
      </c>
      <c r="H251" s="372" t="s">
        <v>2557</v>
      </c>
      <c r="I251" s="349">
        <v>15270</v>
      </c>
      <c r="J251" s="372" t="s">
        <v>7689</v>
      </c>
      <c r="K251" s="349">
        <v>1.0900000000000001</v>
      </c>
      <c r="L251" s="349">
        <v>0</v>
      </c>
      <c r="M251" s="349">
        <v>0</v>
      </c>
      <c r="N251" s="349">
        <v>1</v>
      </c>
      <c r="O251" s="349">
        <f t="shared" si="0"/>
        <v>1.0900000000000001</v>
      </c>
      <c r="P251" s="373">
        <f t="shared" si="1"/>
        <v>1.0900000000000001</v>
      </c>
    </row>
    <row r="252" spans="1:16">
      <c r="A252" s="348">
        <v>402</v>
      </c>
      <c r="B252" s="349">
        <v>317</v>
      </c>
      <c r="C252" s="372" t="s">
        <v>7690</v>
      </c>
      <c r="D252" s="372" t="s">
        <v>2582</v>
      </c>
      <c r="E252" s="372" t="s">
        <v>2556</v>
      </c>
      <c r="F252" s="350">
        <v>45538</v>
      </c>
      <c r="G252" s="349">
        <v>9</v>
      </c>
      <c r="H252" s="372" t="s">
        <v>2557</v>
      </c>
      <c r="I252" s="349">
        <v>15318</v>
      </c>
      <c r="J252" s="372"/>
      <c r="K252" s="349">
        <v>0</v>
      </c>
      <c r="L252" s="349">
        <v>0</v>
      </c>
      <c r="M252" s="349">
        <v>0</v>
      </c>
      <c r="N252" s="349">
        <v>7.1130100000000001</v>
      </c>
      <c r="O252" s="349">
        <f t="shared" si="0"/>
        <v>0</v>
      </c>
      <c r="P252" s="373">
        <f t="shared" si="1"/>
        <v>0</v>
      </c>
    </row>
    <row r="253" spans="1:16">
      <c r="A253" s="348">
        <v>405</v>
      </c>
      <c r="B253" s="349">
        <v>93</v>
      </c>
      <c r="C253" s="372" t="s">
        <v>2598</v>
      </c>
      <c r="D253" s="372" t="s">
        <v>45</v>
      </c>
      <c r="E253" s="372" t="s">
        <v>2556</v>
      </c>
      <c r="F253" s="350">
        <v>45538</v>
      </c>
      <c r="G253" s="349">
        <v>9</v>
      </c>
      <c r="H253" s="372" t="s">
        <v>2557</v>
      </c>
      <c r="I253" s="349">
        <v>15354</v>
      </c>
      <c r="J253" s="372"/>
      <c r="K253" s="349">
        <v>0</v>
      </c>
      <c r="L253" s="349">
        <v>0</v>
      </c>
      <c r="M253" s="349">
        <v>0</v>
      </c>
      <c r="N253" s="349">
        <v>1</v>
      </c>
      <c r="O253" s="349">
        <f t="shared" si="0"/>
        <v>0</v>
      </c>
      <c r="P253" s="373">
        <f t="shared" si="1"/>
        <v>0</v>
      </c>
    </row>
    <row r="254" spans="1:16">
      <c r="A254" s="348">
        <v>408</v>
      </c>
      <c r="B254" s="349">
        <v>323</v>
      </c>
      <c r="C254" s="372" t="s">
        <v>7691</v>
      </c>
      <c r="D254" s="372" t="s">
        <v>45</v>
      </c>
      <c r="E254" s="372" t="s">
        <v>2556</v>
      </c>
      <c r="F254" s="350">
        <v>45538</v>
      </c>
      <c r="G254" s="349">
        <v>9</v>
      </c>
      <c r="H254" s="372" t="s">
        <v>2557</v>
      </c>
      <c r="I254" s="349">
        <v>15414</v>
      </c>
      <c r="J254" s="372"/>
      <c r="K254" s="349">
        <v>0</v>
      </c>
      <c r="L254" s="349">
        <v>0</v>
      </c>
      <c r="M254" s="349">
        <v>0</v>
      </c>
      <c r="N254" s="349">
        <v>1</v>
      </c>
      <c r="O254" s="349">
        <f t="shared" si="0"/>
        <v>0</v>
      </c>
      <c r="P254" s="373">
        <f t="shared" si="1"/>
        <v>0</v>
      </c>
    </row>
    <row r="255" spans="1:16">
      <c r="A255" s="348">
        <v>398</v>
      </c>
      <c r="B255" s="349">
        <v>313</v>
      </c>
      <c r="C255" s="372" t="s">
        <v>7692</v>
      </c>
      <c r="D255" s="372" t="s">
        <v>45</v>
      </c>
      <c r="E255" s="372" t="s">
        <v>2556</v>
      </c>
      <c r="F255" s="350">
        <v>45538.038194444445</v>
      </c>
      <c r="G255" s="349">
        <v>9</v>
      </c>
      <c r="H255" s="372" t="s">
        <v>2557</v>
      </c>
      <c r="I255" s="349">
        <v>15282</v>
      </c>
      <c r="J255" s="372" t="s">
        <v>7693</v>
      </c>
      <c r="K255" s="349">
        <v>1.99</v>
      </c>
      <c r="L255" s="349">
        <v>0</v>
      </c>
      <c r="M255" s="349">
        <v>0</v>
      </c>
      <c r="N255" s="349">
        <v>1</v>
      </c>
      <c r="O255" s="349">
        <f t="shared" si="0"/>
        <v>1.99</v>
      </c>
      <c r="P255" s="373">
        <f t="shared" si="1"/>
        <v>1.99</v>
      </c>
    </row>
    <row r="256" spans="1:16">
      <c r="A256" s="348">
        <v>399</v>
      </c>
      <c r="B256" s="349">
        <v>314</v>
      </c>
      <c r="C256" s="372" t="s">
        <v>7694</v>
      </c>
      <c r="D256" s="372" t="s">
        <v>45</v>
      </c>
      <c r="E256" s="372" t="s">
        <v>2556</v>
      </c>
      <c r="F256" s="350">
        <v>45538.327777777777</v>
      </c>
      <c r="G256" s="349">
        <v>9</v>
      </c>
      <c r="H256" s="372" t="s">
        <v>2557</v>
      </c>
      <c r="I256" s="349">
        <v>15294</v>
      </c>
      <c r="J256" s="372" t="s">
        <v>7695</v>
      </c>
      <c r="K256" s="349">
        <v>1.0900000000000001</v>
      </c>
      <c r="L256" s="349">
        <v>0</v>
      </c>
      <c r="M256" s="349">
        <v>0</v>
      </c>
      <c r="N256" s="349">
        <v>1</v>
      </c>
      <c r="O256" s="349">
        <f t="shared" si="0"/>
        <v>1.0900000000000001</v>
      </c>
      <c r="P256" s="373">
        <f t="shared" si="1"/>
        <v>1.0900000000000001</v>
      </c>
    </row>
    <row r="257" spans="1:16">
      <c r="A257" s="348">
        <v>400</v>
      </c>
      <c r="B257" s="349">
        <v>315</v>
      </c>
      <c r="C257" s="372" t="s">
        <v>7696</v>
      </c>
      <c r="D257" s="372" t="s">
        <v>2582</v>
      </c>
      <c r="E257" s="372" t="s">
        <v>2556</v>
      </c>
      <c r="F257" s="350">
        <v>45538.493750000001</v>
      </c>
      <c r="G257" s="349">
        <v>9</v>
      </c>
      <c r="H257" s="372" t="s">
        <v>2557</v>
      </c>
      <c r="I257" s="349">
        <v>15306</v>
      </c>
      <c r="J257" s="372" t="s">
        <v>7697</v>
      </c>
      <c r="K257" s="349">
        <v>35.35</v>
      </c>
      <c r="L257" s="349">
        <v>0</v>
      </c>
      <c r="M257" s="349">
        <v>0</v>
      </c>
      <c r="N257" s="349">
        <v>7.1130100000000001</v>
      </c>
      <c r="O257" s="349">
        <f t="shared" ref="O257:O511" si="2">K257-L257-M257</f>
        <v>35.35</v>
      </c>
      <c r="P257" s="373">
        <f t="shared" ref="P257:P511" si="3">IF(D257="USD",O257,O257/N257)</f>
        <v>4.9697666669947038</v>
      </c>
    </row>
    <row r="258" spans="1:16">
      <c r="A258" s="348">
        <v>401</v>
      </c>
      <c r="B258" s="349">
        <v>315</v>
      </c>
      <c r="C258" s="372" t="s">
        <v>7696</v>
      </c>
      <c r="D258" s="372" t="s">
        <v>2582</v>
      </c>
      <c r="E258" s="372" t="s">
        <v>2556</v>
      </c>
      <c r="F258" s="350">
        <v>45538.504861111112</v>
      </c>
      <c r="G258" s="349">
        <v>9</v>
      </c>
      <c r="H258" s="372" t="s">
        <v>2557</v>
      </c>
      <c r="I258" s="349">
        <v>15306</v>
      </c>
      <c r="J258" s="372"/>
      <c r="K258" s="349">
        <v>0.03</v>
      </c>
      <c r="L258" s="349">
        <v>0</v>
      </c>
      <c r="M258" s="349">
        <v>0</v>
      </c>
      <c r="N258" s="349">
        <v>7.1130100000000001</v>
      </c>
      <c r="O258" s="349">
        <f t="shared" si="2"/>
        <v>0.03</v>
      </c>
      <c r="P258" s="373">
        <f t="shared" si="3"/>
        <v>4.217623762654628E-3</v>
      </c>
    </row>
    <row r="259" spans="1:16">
      <c r="A259" s="348">
        <v>403</v>
      </c>
      <c r="B259" s="349">
        <v>318</v>
      </c>
      <c r="C259" s="372" t="s">
        <v>2580</v>
      </c>
      <c r="D259" s="372" t="s">
        <v>45</v>
      </c>
      <c r="E259" s="372" t="s">
        <v>2556</v>
      </c>
      <c r="F259" s="350">
        <v>45538.729861111111</v>
      </c>
      <c r="G259" s="349">
        <v>9</v>
      </c>
      <c r="H259" s="372" t="s">
        <v>2557</v>
      </c>
      <c r="I259" s="349">
        <v>15330</v>
      </c>
      <c r="J259" s="372" t="s">
        <v>7698</v>
      </c>
      <c r="K259" s="349">
        <v>1.0900000000000001</v>
      </c>
      <c r="L259" s="349">
        <v>0</v>
      </c>
      <c r="M259" s="349">
        <v>0</v>
      </c>
      <c r="N259" s="349">
        <v>1</v>
      </c>
      <c r="O259" s="349">
        <f t="shared" si="2"/>
        <v>1.0900000000000001</v>
      </c>
      <c r="P259" s="373">
        <f t="shared" si="3"/>
        <v>1.0900000000000001</v>
      </c>
    </row>
    <row r="260" spans="1:16">
      <c r="A260" s="348">
        <v>404</v>
      </c>
      <c r="B260" s="349">
        <v>319</v>
      </c>
      <c r="C260" s="372" t="s">
        <v>7699</v>
      </c>
      <c r="D260" s="372" t="s">
        <v>45</v>
      </c>
      <c r="E260" s="372" t="s">
        <v>2556</v>
      </c>
      <c r="F260" s="350">
        <v>45538.851388888892</v>
      </c>
      <c r="G260" s="349">
        <v>9</v>
      </c>
      <c r="H260" s="372" t="s">
        <v>2557</v>
      </c>
      <c r="I260" s="349">
        <v>15342</v>
      </c>
      <c r="J260" s="372" t="s">
        <v>7700</v>
      </c>
      <c r="K260" s="349">
        <v>11.99</v>
      </c>
      <c r="L260" s="349">
        <v>0</v>
      </c>
      <c r="M260" s="349">
        <v>0</v>
      </c>
      <c r="N260" s="349">
        <v>1</v>
      </c>
      <c r="O260" s="349">
        <f t="shared" si="2"/>
        <v>11.99</v>
      </c>
      <c r="P260" s="373">
        <f t="shared" si="3"/>
        <v>11.99</v>
      </c>
    </row>
    <row r="261" spans="1:16">
      <c r="A261" s="348">
        <v>406</v>
      </c>
      <c r="B261" s="349">
        <v>320</v>
      </c>
      <c r="C261" s="372" t="s">
        <v>7701</v>
      </c>
      <c r="D261" s="372" t="s">
        <v>45</v>
      </c>
      <c r="E261" s="372" t="s">
        <v>2556</v>
      </c>
      <c r="F261" s="350">
        <v>45538.913888888892</v>
      </c>
      <c r="G261" s="349">
        <v>9</v>
      </c>
      <c r="H261" s="372" t="s">
        <v>2557</v>
      </c>
      <c r="I261" s="349">
        <v>15366</v>
      </c>
      <c r="J261" s="372" t="s">
        <v>7702</v>
      </c>
      <c r="K261" s="349">
        <v>1.0900000000000001</v>
      </c>
      <c r="L261" s="349">
        <v>0</v>
      </c>
      <c r="M261" s="349">
        <v>0</v>
      </c>
      <c r="N261" s="349">
        <v>1</v>
      </c>
      <c r="O261" s="349">
        <f t="shared" si="2"/>
        <v>1.0900000000000001</v>
      </c>
      <c r="P261" s="373">
        <f t="shared" si="3"/>
        <v>1.0900000000000001</v>
      </c>
    </row>
    <row r="262" spans="1:16">
      <c r="A262" s="348">
        <v>407</v>
      </c>
      <c r="B262" s="349">
        <v>322</v>
      </c>
      <c r="C262" s="372" t="s">
        <v>7703</v>
      </c>
      <c r="D262" s="372" t="s">
        <v>2582</v>
      </c>
      <c r="E262" s="372" t="s">
        <v>2556</v>
      </c>
      <c r="F262" s="350">
        <v>45538.9375</v>
      </c>
      <c r="G262" s="349">
        <v>9</v>
      </c>
      <c r="H262" s="372" t="s">
        <v>2557</v>
      </c>
      <c r="I262" s="349">
        <v>15402</v>
      </c>
      <c r="J262" s="372" t="s">
        <v>7704</v>
      </c>
      <c r="K262" s="349">
        <v>14.08</v>
      </c>
      <c r="L262" s="349">
        <v>0</v>
      </c>
      <c r="M262" s="349">
        <v>0</v>
      </c>
      <c r="N262" s="349">
        <v>7.1130100000000001</v>
      </c>
      <c r="O262" s="349">
        <f t="shared" si="2"/>
        <v>14.08</v>
      </c>
      <c r="P262" s="373">
        <f t="shared" si="3"/>
        <v>1.9794714192725724</v>
      </c>
    </row>
    <row r="263" spans="1:16">
      <c r="A263" s="348">
        <v>412</v>
      </c>
      <c r="B263" s="349">
        <v>327</v>
      </c>
      <c r="C263" s="372" t="s">
        <v>2598</v>
      </c>
      <c r="D263" s="372" t="s">
        <v>2582</v>
      </c>
      <c r="E263" s="372" t="s">
        <v>2556</v>
      </c>
      <c r="F263" s="350">
        <v>45539</v>
      </c>
      <c r="G263" s="349">
        <v>9</v>
      </c>
      <c r="H263" s="372" t="s">
        <v>2557</v>
      </c>
      <c r="I263" s="349">
        <v>15474</v>
      </c>
      <c r="J263" s="372"/>
      <c r="K263" s="349">
        <v>0</v>
      </c>
      <c r="L263" s="349">
        <v>0</v>
      </c>
      <c r="M263" s="349">
        <v>0</v>
      </c>
      <c r="N263" s="349">
        <v>7.1240600000000001</v>
      </c>
      <c r="O263" s="349">
        <f t="shared" si="2"/>
        <v>0</v>
      </c>
      <c r="P263" s="373">
        <f t="shared" si="3"/>
        <v>0</v>
      </c>
    </row>
    <row r="264" spans="1:16">
      <c r="A264" s="348">
        <v>416</v>
      </c>
      <c r="B264" s="349">
        <v>332</v>
      </c>
      <c r="C264" s="372" t="s">
        <v>7705</v>
      </c>
      <c r="D264" s="372" t="s">
        <v>45</v>
      </c>
      <c r="E264" s="372" t="s">
        <v>2556</v>
      </c>
      <c r="F264" s="350">
        <v>45539</v>
      </c>
      <c r="G264" s="349">
        <v>9</v>
      </c>
      <c r="H264" s="372" t="s">
        <v>2557</v>
      </c>
      <c r="I264" s="349">
        <v>15522</v>
      </c>
      <c r="J264" s="372"/>
      <c r="K264" s="349">
        <v>0</v>
      </c>
      <c r="L264" s="349">
        <v>0</v>
      </c>
      <c r="M264" s="349">
        <v>0</v>
      </c>
      <c r="N264" s="349">
        <v>1</v>
      </c>
      <c r="O264" s="349">
        <f t="shared" si="2"/>
        <v>0</v>
      </c>
      <c r="P264" s="373">
        <f t="shared" si="3"/>
        <v>0</v>
      </c>
    </row>
    <row r="265" spans="1:16">
      <c r="A265" s="348">
        <v>418</v>
      </c>
      <c r="B265" s="349">
        <v>330</v>
      </c>
      <c r="C265" s="372" t="s">
        <v>7706</v>
      </c>
      <c r="D265" s="372" t="s">
        <v>45</v>
      </c>
      <c r="E265" s="372" t="s">
        <v>2556</v>
      </c>
      <c r="F265" s="350">
        <v>45539</v>
      </c>
      <c r="G265" s="349">
        <v>9</v>
      </c>
      <c r="H265" s="372" t="s">
        <v>2557</v>
      </c>
      <c r="I265" s="349">
        <v>15546</v>
      </c>
      <c r="J265" s="372"/>
      <c r="K265" s="349">
        <v>0</v>
      </c>
      <c r="L265" s="349">
        <v>0</v>
      </c>
      <c r="M265" s="349">
        <v>0</v>
      </c>
      <c r="N265" s="349">
        <v>1</v>
      </c>
      <c r="O265" s="349">
        <f t="shared" si="2"/>
        <v>0</v>
      </c>
      <c r="P265" s="373">
        <f t="shared" si="3"/>
        <v>0</v>
      </c>
    </row>
    <row r="266" spans="1:16">
      <c r="A266" s="348">
        <v>409</v>
      </c>
      <c r="B266" s="349">
        <v>324</v>
      </c>
      <c r="C266" s="372" t="s">
        <v>7707</v>
      </c>
      <c r="D266" s="372" t="s">
        <v>45</v>
      </c>
      <c r="E266" s="372" t="s">
        <v>2556</v>
      </c>
      <c r="F266" s="350">
        <v>45539.034722222219</v>
      </c>
      <c r="G266" s="349">
        <v>9</v>
      </c>
      <c r="H266" s="372" t="s">
        <v>2557</v>
      </c>
      <c r="I266" s="349">
        <v>15426</v>
      </c>
      <c r="J266" s="372" t="s">
        <v>7708</v>
      </c>
      <c r="K266" s="349">
        <v>11.99</v>
      </c>
      <c r="L266" s="349">
        <v>0</v>
      </c>
      <c r="M266" s="349">
        <v>0</v>
      </c>
      <c r="N266" s="349">
        <v>1</v>
      </c>
      <c r="O266" s="349">
        <f t="shared" si="2"/>
        <v>11.99</v>
      </c>
      <c r="P266" s="373">
        <f t="shared" si="3"/>
        <v>11.99</v>
      </c>
    </row>
    <row r="267" spans="1:16">
      <c r="A267" s="348">
        <v>410</v>
      </c>
      <c r="B267" s="349">
        <v>326</v>
      </c>
      <c r="C267" s="372" t="s">
        <v>2716</v>
      </c>
      <c r="D267" s="372" t="s">
        <v>45</v>
      </c>
      <c r="E267" s="372" t="s">
        <v>2556</v>
      </c>
      <c r="F267" s="350">
        <v>45539.451388888891</v>
      </c>
      <c r="G267" s="349">
        <v>9</v>
      </c>
      <c r="H267" s="372" t="s">
        <v>2557</v>
      </c>
      <c r="I267" s="349">
        <v>15438</v>
      </c>
      <c r="J267" s="372" t="s">
        <v>7709</v>
      </c>
      <c r="K267" s="349">
        <v>1.99</v>
      </c>
      <c r="L267" s="349">
        <v>0</v>
      </c>
      <c r="M267" s="349">
        <v>0</v>
      </c>
      <c r="N267" s="349">
        <v>1</v>
      </c>
      <c r="O267" s="349">
        <f t="shared" si="2"/>
        <v>1.99</v>
      </c>
      <c r="P267" s="373">
        <f t="shared" si="3"/>
        <v>1.99</v>
      </c>
    </row>
    <row r="268" spans="1:16">
      <c r="A268" s="348">
        <v>411</v>
      </c>
      <c r="B268" s="349">
        <v>322</v>
      </c>
      <c r="C268" s="372" t="s">
        <v>7703</v>
      </c>
      <c r="D268" s="372" t="s">
        <v>2582</v>
      </c>
      <c r="E268" s="372" t="s">
        <v>2556</v>
      </c>
      <c r="F268" s="350">
        <v>45539.548611111109</v>
      </c>
      <c r="G268" s="349">
        <v>9</v>
      </c>
      <c r="H268" s="372" t="s">
        <v>2557</v>
      </c>
      <c r="I268" s="349">
        <v>15402</v>
      </c>
      <c r="J268" s="372"/>
      <c r="K268" s="349">
        <v>0.03</v>
      </c>
      <c r="L268" s="349">
        <v>0</v>
      </c>
      <c r="M268" s="349">
        <v>0</v>
      </c>
      <c r="N268" s="349">
        <v>7.1240600000000001</v>
      </c>
      <c r="O268" s="349">
        <f t="shared" si="2"/>
        <v>0.03</v>
      </c>
      <c r="P268" s="373">
        <f t="shared" si="3"/>
        <v>4.2110818830835223E-3</v>
      </c>
    </row>
    <row r="269" spans="1:16">
      <c r="A269" s="348">
        <v>413</v>
      </c>
      <c r="B269" s="349">
        <v>329</v>
      </c>
      <c r="C269" s="372" t="s">
        <v>5772</v>
      </c>
      <c r="D269" s="372" t="s">
        <v>45</v>
      </c>
      <c r="E269" s="372" t="s">
        <v>2556</v>
      </c>
      <c r="F269" s="350">
        <v>45539.776388888888</v>
      </c>
      <c r="G269" s="349">
        <v>9</v>
      </c>
      <c r="H269" s="372" t="s">
        <v>2557</v>
      </c>
      <c r="I269" s="349">
        <v>15486</v>
      </c>
      <c r="J269" s="372" t="s">
        <v>7710</v>
      </c>
      <c r="K269" s="349">
        <v>1.99</v>
      </c>
      <c r="L269" s="349">
        <v>0</v>
      </c>
      <c r="M269" s="349">
        <v>0</v>
      </c>
      <c r="N269" s="349">
        <v>1</v>
      </c>
      <c r="O269" s="349">
        <f t="shared" si="2"/>
        <v>1.99</v>
      </c>
      <c r="P269" s="373">
        <f t="shared" si="3"/>
        <v>1.99</v>
      </c>
    </row>
    <row r="270" spans="1:16">
      <c r="A270" s="348">
        <v>414</v>
      </c>
      <c r="B270" s="349">
        <v>328</v>
      </c>
      <c r="C270" s="372" t="s">
        <v>7711</v>
      </c>
      <c r="D270" s="372" t="s">
        <v>2582</v>
      </c>
      <c r="E270" s="372" t="s">
        <v>2556</v>
      </c>
      <c r="F270" s="350">
        <v>45539.779861111114</v>
      </c>
      <c r="G270" s="349">
        <v>9</v>
      </c>
      <c r="H270" s="372" t="s">
        <v>2557</v>
      </c>
      <c r="I270" s="349">
        <v>15498</v>
      </c>
      <c r="J270" s="372" t="s">
        <v>7712</v>
      </c>
      <c r="K270" s="349">
        <v>28.28</v>
      </c>
      <c r="L270" s="349">
        <v>0</v>
      </c>
      <c r="M270" s="349">
        <v>0</v>
      </c>
      <c r="N270" s="349">
        <v>7.1240600000000001</v>
      </c>
      <c r="O270" s="349">
        <f t="shared" si="2"/>
        <v>28.28</v>
      </c>
      <c r="P270" s="373">
        <f t="shared" si="3"/>
        <v>3.9696465217867343</v>
      </c>
    </row>
    <row r="271" spans="1:16">
      <c r="A271" s="348">
        <v>415</v>
      </c>
      <c r="B271" s="349">
        <v>328</v>
      </c>
      <c r="C271" s="372" t="s">
        <v>7711</v>
      </c>
      <c r="D271" s="372" t="s">
        <v>2582</v>
      </c>
      <c r="E271" s="372" t="s">
        <v>2556</v>
      </c>
      <c r="F271" s="350">
        <v>45539.833333333336</v>
      </c>
      <c r="G271" s="349">
        <v>9</v>
      </c>
      <c r="H271" s="372" t="s">
        <v>2557</v>
      </c>
      <c r="I271" s="349">
        <v>15498</v>
      </c>
      <c r="J271" s="372"/>
      <c r="K271" s="349">
        <v>0.01</v>
      </c>
      <c r="L271" s="349">
        <v>0</v>
      </c>
      <c r="M271" s="349">
        <v>0</v>
      </c>
      <c r="N271" s="349">
        <v>7.1240600000000001</v>
      </c>
      <c r="O271" s="349">
        <f t="shared" si="2"/>
        <v>0.01</v>
      </c>
      <c r="P271" s="373">
        <f t="shared" si="3"/>
        <v>1.403693961027841E-3</v>
      </c>
    </row>
    <row r="272" spans="1:16">
      <c r="A272" s="348">
        <v>417</v>
      </c>
      <c r="B272" s="349">
        <v>333</v>
      </c>
      <c r="C272" s="372" t="s">
        <v>7713</v>
      </c>
      <c r="D272" s="372" t="s">
        <v>2582</v>
      </c>
      <c r="E272" s="372" t="s">
        <v>2556</v>
      </c>
      <c r="F272" s="350">
        <v>45539.872916666667</v>
      </c>
      <c r="G272" s="349">
        <v>9</v>
      </c>
      <c r="H272" s="372" t="s">
        <v>2557</v>
      </c>
      <c r="I272" s="349">
        <v>15534</v>
      </c>
      <c r="J272" s="372" t="s">
        <v>7714</v>
      </c>
      <c r="K272" s="349">
        <v>7.77</v>
      </c>
      <c r="L272" s="349">
        <v>0</v>
      </c>
      <c r="M272" s="349">
        <v>0</v>
      </c>
      <c r="N272" s="349">
        <v>7.1240600000000001</v>
      </c>
      <c r="O272" s="349">
        <f t="shared" si="2"/>
        <v>7.77</v>
      </c>
      <c r="P272" s="373">
        <f t="shared" si="3"/>
        <v>1.0906702077186323</v>
      </c>
    </row>
    <row r="273" spans="1:16">
      <c r="A273" s="348">
        <v>419</v>
      </c>
      <c r="B273" s="349">
        <v>334</v>
      </c>
      <c r="C273" s="372" t="s">
        <v>7715</v>
      </c>
      <c r="D273" s="372" t="s">
        <v>45</v>
      </c>
      <c r="E273" s="372" t="s">
        <v>2556</v>
      </c>
      <c r="F273" s="350">
        <v>45539.88958333333</v>
      </c>
      <c r="G273" s="349">
        <v>9</v>
      </c>
      <c r="H273" s="372" t="s">
        <v>2557</v>
      </c>
      <c r="I273" s="349">
        <v>15558</v>
      </c>
      <c r="J273" s="372" t="s">
        <v>7716</v>
      </c>
      <c r="K273" s="349">
        <v>1.0900000000000001</v>
      </c>
      <c r="L273" s="349">
        <v>0</v>
      </c>
      <c r="M273" s="349">
        <v>0</v>
      </c>
      <c r="N273" s="349">
        <v>1</v>
      </c>
      <c r="O273" s="349">
        <f t="shared" si="2"/>
        <v>1.0900000000000001</v>
      </c>
      <c r="P273" s="373">
        <f t="shared" si="3"/>
        <v>1.0900000000000001</v>
      </c>
    </row>
    <row r="274" spans="1:16">
      <c r="A274" s="348">
        <v>420</v>
      </c>
      <c r="B274" s="349">
        <v>335</v>
      </c>
      <c r="C274" s="372" t="s">
        <v>2575</v>
      </c>
      <c r="D274" s="372" t="s">
        <v>45</v>
      </c>
      <c r="E274" s="372" t="s">
        <v>2556</v>
      </c>
      <c r="F274" s="350">
        <v>45539.904166666667</v>
      </c>
      <c r="G274" s="349">
        <v>9</v>
      </c>
      <c r="H274" s="372" t="s">
        <v>2557</v>
      </c>
      <c r="I274" s="349">
        <v>15570</v>
      </c>
      <c r="J274" s="372" t="s">
        <v>7717</v>
      </c>
      <c r="K274" s="349">
        <v>1.0900000000000001</v>
      </c>
      <c r="L274" s="349">
        <v>0</v>
      </c>
      <c r="M274" s="349">
        <v>0</v>
      </c>
      <c r="N274" s="349">
        <v>1</v>
      </c>
      <c r="O274" s="349">
        <f t="shared" si="2"/>
        <v>1.0900000000000001</v>
      </c>
      <c r="P274" s="373">
        <f t="shared" si="3"/>
        <v>1.0900000000000001</v>
      </c>
    </row>
    <row r="275" spans="1:16">
      <c r="A275" s="348">
        <v>421</v>
      </c>
      <c r="B275" s="349">
        <v>336</v>
      </c>
      <c r="C275" s="372" t="s">
        <v>7718</v>
      </c>
      <c r="D275" s="372" t="s">
        <v>2582</v>
      </c>
      <c r="E275" s="372" t="s">
        <v>2556</v>
      </c>
      <c r="F275" s="350">
        <v>45540</v>
      </c>
      <c r="G275" s="349">
        <v>9</v>
      </c>
      <c r="H275" s="372" t="s">
        <v>2557</v>
      </c>
      <c r="I275" s="349">
        <v>15606</v>
      </c>
      <c r="J275" s="372"/>
      <c r="K275" s="349">
        <v>0</v>
      </c>
      <c r="L275" s="349">
        <v>0</v>
      </c>
      <c r="M275" s="349">
        <v>0</v>
      </c>
      <c r="N275" s="349">
        <v>7.11747</v>
      </c>
      <c r="O275" s="349">
        <f t="shared" si="2"/>
        <v>0</v>
      </c>
      <c r="P275" s="373">
        <f t="shared" si="3"/>
        <v>0</v>
      </c>
    </row>
    <row r="276" spans="1:16">
      <c r="A276" s="348">
        <v>425</v>
      </c>
      <c r="B276" s="349">
        <v>340</v>
      </c>
      <c r="C276" s="372" t="s">
        <v>7719</v>
      </c>
      <c r="D276" s="372" t="s">
        <v>45</v>
      </c>
      <c r="E276" s="372" t="s">
        <v>2556</v>
      </c>
      <c r="F276" s="350">
        <v>45540</v>
      </c>
      <c r="G276" s="349">
        <v>9</v>
      </c>
      <c r="H276" s="372" t="s">
        <v>2557</v>
      </c>
      <c r="I276" s="349">
        <v>15654</v>
      </c>
      <c r="J276" s="372"/>
      <c r="K276" s="349">
        <v>0</v>
      </c>
      <c r="L276" s="349">
        <v>0</v>
      </c>
      <c r="M276" s="349">
        <v>0</v>
      </c>
      <c r="N276" s="349">
        <v>1</v>
      </c>
      <c r="O276" s="349">
        <f t="shared" si="2"/>
        <v>0</v>
      </c>
      <c r="P276" s="373">
        <f t="shared" si="3"/>
        <v>0</v>
      </c>
    </row>
    <row r="277" spans="1:16">
      <c r="A277" s="348">
        <v>422</v>
      </c>
      <c r="B277" s="349">
        <v>338</v>
      </c>
      <c r="C277" s="372" t="s">
        <v>7720</v>
      </c>
      <c r="D277" s="372" t="s">
        <v>45</v>
      </c>
      <c r="E277" s="372" t="s">
        <v>2556</v>
      </c>
      <c r="F277" s="350">
        <v>45540.696527777778</v>
      </c>
      <c r="G277" s="349">
        <v>9</v>
      </c>
      <c r="H277" s="372" t="s">
        <v>2557</v>
      </c>
      <c r="I277" s="349">
        <v>15618</v>
      </c>
      <c r="J277" s="372" t="s">
        <v>7721</v>
      </c>
      <c r="K277" s="349">
        <v>1.0900000000000001</v>
      </c>
      <c r="L277" s="349">
        <v>0</v>
      </c>
      <c r="M277" s="349">
        <v>0</v>
      </c>
      <c r="N277" s="349">
        <v>1</v>
      </c>
      <c r="O277" s="349">
        <f t="shared" si="2"/>
        <v>1.0900000000000001</v>
      </c>
      <c r="P277" s="373">
        <f t="shared" si="3"/>
        <v>1.0900000000000001</v>
      </c>
    </row>
    <row r="278" spans="1:16">
      <c r="A278" s="348">
        <v>423</v>
      </c>
      <c r="B278" s="349">
        <v>339</v>
      </c>
      <c r="C278" s="372" t="s">
        <v>2575</v>
      </c>
      <c r="D278" s="372" t="s">
        <v>45</v>
      </c>
      <c r="E278" s="372" t="s">
        <v>2572</v>
      </c>
      <c r="F278" s="350">
        <v>45540.899305555555</v>
      </c>
      <c r="G278" s="349">
        <v>9</v>
      </c>
      <c r="H278" s="372" t="s">
        <v>2557</v>
      </c>
      <c r="I278" s="349">
        <v>15630</v>
      </c>
      <c r="J278" s="372"/>
      <c r="K278" s="349">
        <v>87.89</v>
      </c>
      <c r="L278" s="349">
        <v>0</v>
      </c>
      <c r="M278" s="349">
        <v>0</v>
      </c>
      <c r="N278" s="349">
        <v>1</v>
      </c>
      <c r="O278" s="349">
        <f t="shared" si="2"/>
        <v>87.89</v>
      </c>
      <c r="P278" s="373">
        <f t="shared" si="3"/>
        <v>87.89</v>
      </c>
    </row>
    <row r="279" spans="1:16">
      <c r="A279" s="348">
        <v>424</v>
      </c>
      <c r="B279" s="349">
        <v>341</v>
      </c>
      <c r="C279" s="372" t="s">
        <v>2575</v>
      </c>
      <c r="D279" s="372" t="s">
        <v>2582</v>
      </c>
      <c r="E279" s="372" t="s">
        <v>2556</v>
      </c>
      <c r="F279" s="350">
        <v>45540.90625</v>
      </c>
      <c r="G279" s="349">
        <v>9</v>
      </c>
      <c r="H279" s="372" t="s">
        <v>2557</v>
      </c>
      <c r="I279" s="349">
        <v>15642</v>
      </c>
      <c r="J279" s="372" t="s">
        <v>7722</v>
      </c>
      <c r="K279" s="349">
        <v>120.43</v>
      </c>
      <c r="L279" s="349">
        <v>0</v>
      </c>
      <c r="M279" s="349">
        <v>0</v>
      </c>
      <c r="N279" s="349">
        <v>7.11747</v>
      </c>
      <c r="O279" s="349">
        <f t="shared" si="2"/>
        <v>120.43</v>
      </c>
      <c r="P279" s="373">
        <f t="shared" si="3"/>
        <v>16.920338266265965</v>
      </c>
    </row>
    <row r="280" spans="1:16">
      <c r="A280" s="348">
        <v>426</v>
      </c>
      <c r="B280" s="349">
        <v>342</v>
      </c>
      <c r="C280" s="372" t="s">
        <v>7723</v>
      </c>
      <c r="D280" s="372" t="s">
        <v>45</v>
      </c>
      <c r="E280" s="372" t="s">
        <v>2556</v>
      </c>
      <c r="F280" s="350">
        <v>45541</v>
      </c>
      <c r="G280" s="349">
        <v>9</v>
      </c>
      <c r="H280" s="372" t="s">
        <v>2557</v>
      </c>
      <c r="I280" s="349">
        <v>15666</v>
      </c>
      <c r="J280" s="372"/>
      <c r="K280" s="349">
        <v>0</v>
      </c>
      <c r="L280" s="349">
        <v>0</v>
      </c>
      <c r="M280" s="349">
        <v>0</v>
      </c>
      <c r="N280" s="349">
        <v>1</v>
      </c>
      <c r="O280" s="349">
        <f t="shared" si="2"/>
        <v>0</v>
      </c>
      <c r="P280" s="373">
        <f t="shared" si="3"/>
        <v>0</v>
      </c>
    </row>
    <row r="281" spans="1:16">
      <c r="A281" s="348">
        <v>433</v>
      </c>
      <c r="B281" s="349">
        <v>350</v>
      </c>
      <c r="C281" s="372" t="s">
        <v>7724</v>
      </c>
      <c r="D281" s="372" t="s">
        <v>45</v>
      </c>
      <c r="E281" s="372" t="s">
        <v>2556</v>
      </c>
      <c r="F281" s="350">
        <v>45541</v>
      </c>
      <c r="G281" s="349">
        <v>9</v>
      </c>
      <c r="H281" s="372" t="s">
        <v>2557</v>
      </c>
      <c r="I281" s="349">
        <v>15762</v>
      </c>
      <c r="J281" s="372"/>
      <c r="K281" s="349">
        <v>0</v>
      </c>
      <c r="L281" s="349">
        <v>0</v>
      </c>
      <c r="M281" s="349">
        <v>0</v>
      </c>
      <c r="N281" s="349">
        <v>1</v>
      </c>
      <c r="O281" s="349">
        <f t="shared" si="2"/>
        <v>0</v>
      </c>
      <c r="P281" s="373">
        <f t="shared" si="3"/>
        <v>0</v>
      </c>
    </row>
    <row r="282" spans="1:16">
      <c r="A282" s="348">
        <v>427</v>
      </c>
      <c r="B282" s="349">
        <v>343</v>
      </c>
      <c r="C282" s="372" t="s">
        <v>7725</v>
      </c>
      <c r="D282" s="372" t="s">
        <v>45</v>
      </c>
      <c r="E282" s="372" t="s">
        <v>2556</v>
      </c>
      <c r="F282" s="350">
        <v>45541.065972222219</v>
      </c>
      <c r="G282" s="349">
        <v>9</v>
      </c>
      <c r="H282" s="372" t="s">
        <v>2557</v>
      </c>
      <c r="I282" s="349">
        <v>15690</v>
      </c>
      <c r="J282" s="372" t="s">
        <v>7726</v>
      </c>
      <c r="K282" s="349">
        <v>3.99</v>
      </c>
      <c r="L282" s="349">
        <v>0</v>
      </c>
      <c r="M282" s="349">
        <v>0</v>
      </c>
      <c r="N282" s="349">
        <v>1</v>
      </c>
      <c r="O282" s="349">
        <f t="shared" si="2"/>
        <v>3.99</v>
      </c>
      <c r="P282" s="373">
        <f t="shared" si="3"/>
        <v>3.99</v>
      </c>
    </row>
    <row r="283" spans="1:16">
      <c r="A283" s="348">
        <v>428</v>
      </c>
      <c r="B283" s="349">
        <v>344</v>
      </c>
      <c r="C283" s="372" t="s">
        <v>7727</v>
      </c>
      <c r="D283" s="372" t="s">
        <v>45</v>
      </c>
      <c r="E283" s="372" t="s">
        <v>9</v>
      </c>
      <c r="F283" s="350">
        <v>45541.371527777781</v>
      </c>
      <c r="G283" s="349">
        <v>9</v>
      </c>
      <c r="H283" s="372" t="s">
        <v>2557</v>
      </c>
      <c r="I283" s="349">
        <v>15702</v>
      </c>
      <c r="J283" s="372" t="s">
        <v>7079</v>
      </c>
      <c r="K283" s="349">
        <v>1.0900000000000001</v>
      </c>
      <c r="L283" s="349">
        <v>0.54</v>
      </c>
      <c r="M283" s="349">
        <v>0</v>
      </c>
      <c r="N283" s="349">
        <v>1</v>
      </c>
      <c r="O283" s="349">
        <f t="shared" si="2"/>
        <v>0.55000000000000004</v>
      </c>
      <c r="P283" s="373">
        <f t="shared" si="3"/>
        <v>0.55000000000000004</v>
      </c>
    </row>
    <row r="284" spans="1:16">
      <c r="A284" s="348">
        <v>429</v>
      </c>
      <c r="B284" s="349">
        <v>345</v>
      </c>
      <c r="C284" s="372" t="s">
        <v>7728</v>
      </c>
      <c r="D284" s="372" t="s">
        <v>2582</v>
      </c>
      <c r="E284" s="372" t="s">
        <v>2556</v>
      </c>
      <c r="F284" s="350">
        <v>45541.46875</v>
      </c>
      <c r="G284" s="349">
        <v>9</v>
      </c>
      <c r="H284" s="372" t="s">
        <v>2557</v>
      </c>
      <c r="I284" s="349">
        <v>15714</v>
      </c>
      <c r="J284" s="372" t="s">
        <v>7729</v>
      </c>
      <c r="K284" s="349">
        <v>14.12</v>
      </c>
      <c r="L284" s="349">
        <v>0</v>
      </c>
      <c r="M284" s="349">
        <v>0</v>
      </c>
      <c r="N284" s="349">
        <v>7.0955199999999996</v>
      </c>
      <c r="O284" s="349">
        <f t="shared" si="2"/>
        <v>14.12</v>
      </c>
      <c r="P284" s="373">
        <f t="shared" si="3"/>
        <v>1.9899880487969874</v>
      </c>
    </row>
    <row r="285" spans="1:16">
      <c r="A285" s="348">
        <v>430</v>
      </c>
      <c r="B285" s="349">
        <v>347</v>
      </c>
      <c r="C285" s="372" t="s">
        <v>2749</v>
      </c>
      <c r="D285" s="372" t="s">
        <v>2582</v>
      </c>
      <c r="E285" s="372" t="s">
        <v>2556</v>
      </c>
      <c r="F285" s="350">
        <v>45541.770138888889</v>
      </c>
      <c r="G285" s="349">
        <v>9</v>
      </c>
      <c r="H285" s="372" t="s">
        <v>2557</v>
      </c>
      <c r="I285" s="349">
        <v>15726</v>
      </c>
      <c r="J285" s="372" t="s">
        <v>7730</v>
      </c>
      <c r="K285" s="349">
        <v>7.73</v>
      </c>
      <c r="L285" s="349">
        <v>0</v>
      </c>
      <c r="M285" s="349">
        <v>0</v>
      </c>
      <c r="N285" s="349">
        <v>7.0955199999999996</v>
      </c>
      <c r="O285" s="349">
        <f t="shared" si="2"/>
        <v>7.73</v>
      </c>
      <c r="P285" s="373">
        <f t="shared" si="3"/>
        <v>1.0894198029178976</v>
      </c>
    </row>
    <row r="286" spans="1:16">
      <c r="A286" s="348">
        <v>431</v>
      </c>
      <c r="B286" s="349">
        <v>348</v>
      </c>
      <c r="C286" s="372" t="s">
        <v>7731</v>
      </c>
      <c r="D286" s="372" t="s">
        <v>45</v>
      </c>
      <c r="E286" s="372" t="s">
        <v>2556</v>
      </c>
      <c r="F286" s="350">
        <v>45541.817361111112</v>
      </c>
      <c r="G286" s="349">
        <v>9</v>
      </c>
      <c r="H286" s="372" t="s">
        <v>2557</v>
      </c>
      <c r="I286" s="349">
        <v>15738</v>
      </c>
      <c r="J286" s="372" t="s">
        <v>7732</v>
      </c>
      <c r="K286" s="349">
        <v>1.0900000000000001</v>
      </c>
      <c r="L286" s="349">
        <v>0</v>
      </c>
      <c r="M286" s="349">
        <v>0</v>
      </c>
      <c r="N286" s="349">
        <v>1</v>
      </c>
      <c r="O286" s="349">
        <f t="shared" si="2"/>
        <v>1.0900000000000001</v>
      </c>
      <c r="P286" s="373">
        <f t="shared" si="3"/>
        <v>1.0900000000000001</v>
      </c>
    </row>
    <row r="287" spans="1:16">
      <c r="A287" s="348">
        <v>432</v>
      </c>
      <c r="B287" s="349">
        <v>349</v>
      </c>
      <c r="C287" s="372" t="s">
        <v>7733</v>
      </c>
      <c r="D287" s="372" t="s">
        <v>2582</v>
      </c>
      <c r="E287" s="372" t="s">
        <v>2556</v>
      </c>
      <c r="F287" s="350">
        <v>45541.844444444447</v>
      </c>
      <c r="G287" s="349">
        <v>9</v>
      </c>
      <c r="H287" s="372" t="s">
        <v>2557</v>
      </c>
      <c r="I287" s="349">
        <v>15750</v>
      </c>
      <c r="J287" s="372" t="s">
        <v>7734</v>
      </c>
      <c r="K287" s="349">
        <v>21.22</v>
      </c>
      <c r="L287" s="349">
        <v>0</v>
      </c>
      <c r="M287" s="349">
        <v>0</v>
      </c>
      <c r="N287" s="349">
        <v>7.0955199999999996</v>
      </c>
      <c r="O287" s="349">
        <f t="shared" si="2"/>
        <v>21.22</v>
      </c>
      <c r="P287" s="373">
        <f t="shared" si="3"/>
        <v>2.9906194331070872</v>
      </c>
    </row>
    <row r="288" spans="1:16">
      <c r="A288" s="348">
        <v>434</v>
      </c>
      <c r="B288" s="349">
        <v>351</v>
      </c>
      <c r="C288" s="372" t="s">
        <v>2707</v>
      </c>
      <c r="D288" s="372" t="s">
        <v>45</v>
      </c>
      <c r="E288" s="372" t="s">
        <v>9</v>
      </c>
      <c r="F288" s="350">
        <v>45541.98541666667</v>
      </c>
      <c r="G288" s="349">
        <v>9</v>
      </c>
      <c r="H288" s="372" t="s">
        <v>2557</v>
      </c>
      <c r="I288" s="349">
        <v>15774</v>
      </c>
      <c r="J288" s="372" t="s">
        <v>7081</v>
      </c>
      <c r="K288" s="349">
        <v>1.0900000000000001</v>
      </c>
      <c r="L288" s="349">
        <v>0.54</v>
      </c>
      <c r="M288" s="349">
        <v>0</v>
      </c>
      <c r="N288" s="349">
        <v>1</v>
      </c>
      <c r="O288" s="349">
        <f t="shared" si="2"/>
        <v>0.55000000000000004</v>
      </c>
      <c r="P288" s="373">
        <f t="shared" si="3"/>
        <v>0.55000000000000004</v>
      </c>
    </row>
    <row r="289" spans="1:16">
      <c r="A289" s="348">
        <v>436</v>
      </c>
      <c r="B289" s="349">
        <v>353</v>
      </c>
      <c r="C289" s="372" t="s">
        <v>7735</v>
      </c>
      <c r="D289" s="372" t="s">
        <v>45</v>
      </c>
      <c r="E289" s="372" t="s">
        <v>2556</v>
      </c>
      <c r="F289" s="350">
        <v>45542</v>
      </c>
      <c r="G289" s="349">
        <v>9</v>
      </c>
      <c r="H289" s="372" t="s">
        <v>2557</v>
      </c>
      <c r="I289" s="349">
        <v>15798</v>
      </c>
      <c r="J289" s="372"/>
      <c r="K289" s="349">
        <v>0</v>
      </c>
      <c r="L289" s="349">
        <v>0</v>
      </c>
      <c r="M289" s="349">
        <v>0</v>
      </c>
      <c r="N289" s="349">
        <v>1</v>
      </c>
      <c r="O289" s="349">
        <f t="shared" si="2"/>
        <v>0</v>
      </c>
      <c r="P289" s="373">
        <f t="shared" si="3"/>
        <v>0</v>
      </c>
    </row>
    <row r="290" spans="1:16">
      <c r="A290" s="348">
        <v>435</v>
      </c>
      <c r="B290" s="349">
        <v>352</v>
      </c>
      <c r="C290" s="372" t="s">
        <v>2598</v>
      </c>
      <c r="D290" s="372" t="s">
        <v>2582</v>
      </c>
      <c r="E290" s="372" t="s">
        <v>2556</v>
      </c>
      <c r="F290" s="350">
        <v>45542.357638888891</v>
      </c>
      <c r="G290" s="349">
        <v>9</v>
      </c>
      <c r="H290" s="372" t="s">
        <v>2557</v>
      </c>
      <c r="I290" s="349">
        <v>15786</v>
      </c>
      <c r="J290" s="372" t="s">
        <v>7736</v>
      </c>
      <c r="K290" s="349">
        <v>7.73</v>
      </c>
      <c r="L290" s="349">
        <v>0</v>
      </c>
      <c r="M290" s="349">
        <v>0</v>
      </c>
      <c r="N290" s="349">
        <v>7.0955199999999996</v>
      </c>
      <c r="O290" s="349">
        <f t="shared" si="2"/>
        <v>7.73</v>
      </c>
      <c r="P290" s="373">
        <f t="shared" si="3"/>
        <v>1.0894198029178976</v>
      </c>
    </row>
    <row r="291" spans="1:16">
      <c r="A291" s="348">
        <v>437</v>
      </c>
      <c r="B291" s="349">
        <v>354</v>
      </c>
      <c r="C291" s="372" t="s">
        <v>2598</v>
      </c>
      <c r="D291" s="372" t="s">
        <v>2582</v>
      </c>
      <c r="E291" s="372" t="s">
        <v>2556</v>
      </c>
      <c r="F291" s="350">
        <v>45542.475694444445</v>
      </c>
      <c r="G291" s="349">
        <v>9</v>
      </c>
      <c r="H291" s="372" t="s">
        <v>2557</v>
      </c>
      <c r="I291" s="349">
        <v>15810</v>
      </c>
      <c r="J291" s="372" t="s">
        <v>7737</v>
      </c>
      <c r="K291" s="349">
        <v>7.72</v>
      </c>
      <c r="L291" s="349">
        <v>0</v>
      </c>
      <c r="M291" s="349">
        <v>0</v>
      </c>
      <c r="N291" s="349">
        <v>7.0836699999999997</v>
      </c>
      <c r="O291" s="349">
        <f t="shared" si="2"/>
        <v>7.72</v>
      </c>
      <c r="P291" s="373">
        <f t="shared" si="3"/>
        <v>1.0898305539360247</v>
      </c>
    </row>
    <row r="292" spans="1:16">
      <c r="A292" s="348">
        <v>438</v>
      </c>
      <c r="B292" s="349">
        <v>354</v>
      </c>
      <c r="C292" s="372" t="s">
        <v>2598</v>
      </c>
      <c r="D292" s="372" t="s">
        <v>2582</v>
      </c>
      <c r="E292" s="372" t="s">
        <v>2556</v>
      </c>
      <c r="F292" s="350">
        <v>45542.480555555558</v>
      </c>
      <c r="G292" s="349">
        <v>9</v>
      </c>
      <c r="H292" s="372" t="s">
        <v>2557</v>
      </c>
      <c r="I292" s="349">
        <v>15810</v>
      </c>
      <c r="J292" s="372"/>
      <c r="K292" s="349">
        <v>0.01</v>
      </c>
      <c r="L292" s="349">
        <v>0</v>
      </c>
      <c r="M292" s="349">
        <v>0</v>
      </c>
      <c r="N292" s="349">
        <v>7.0836699999999997</v>
      </c>
      <c r="O292" s="349">
        <f t="shared" si="2"/>
        <v>0.01</v>
      </c>
      <c r="P292" s="373">
        <f t="shared" si="3"/>
        <v>1.4116976087254207E-3</v>
      </c>
    </row>
    <row r="293" spans="1:16">
      <c r="A293" s="348">
        <v>439</v>
      </c>
      <c r="B293" s="349">
        <v>314</v>
      </c>
      <c r="C293" s="372" t="s">
        <v>7694</v>
      </c>
      <c r="D293" s="372" t="s">
        <v>45</v>
      </c>
      <c r="E293" s="372" t="s">
        <v>2556</v>
      </c>
      <c r="F293" s="350">
        <v>45542.748611111114</v>
      </c>
      <c r="G293" s="349">
        <v>9</v>
      </c>
      <c r="H293" s="372" t="s">
        <v>2557</v>
      </c>
      <c r="I293" s="349">
        <v>15822</v>
      </c>
      <c r="J293" s="372" t="s">
        <v>7738</v>
      </c>
      <c r="K293" s="349">
        <v>1.0900000000000001</v>
      </c>
      <c r="L293" s="349">
        <v>0</v>
      </c>
      <c r="M293" s="349">
        <v>0</v>
      </c>
      <c r="N293" s="349">
        <v>1</v>
      </c>
      <c r="O293" s="349">
        <f t="shared" si="2"/>
        <v>1.0900000000000001</v>
      </c>
      <c r="P293" s="373">
        <f t="shared" si="3"/>
        <v>1.0900000000000001</v>
      </c>
    </row>
    <row r="294" spans="1:16">
      <c r="A294" s="348">
        <v>440</v>
      </c>
      <c r="B294" s="349">
        <v>356</v>
      </c>
      <c r="C294" s="372" t="s">
        <v>7739</v>
      </c>
      <c r="D294" s="372" t="s">
        <v>45</v>
      </c>
      <c r="E294" s="372" t="s">
        <v>2556</v>
      </c>
      <c r="F294" s="350">
        <v>45542.9</v>
      </c>
      <c r="G294" s="349">
        <v>9</v>
      </c>
      <c r="H294" s="372" t="s">
        <v>2557</v>
      </c>
      <c r="I294" s="349">
        <v>15834</v>
      </c>
      <c r="J294" s="372" t="s">
        <v>7740</v>
      </c>
      <c r="K294" s="349">
        <v>1.99</v>
      </c>
      <c r="L294" s="349">
        <v>0</v>
      </c>
      <c r="M294" s="349">
        <v>0</v>
      </c>
      <c r="N294" s="349">
        <v>1</v>
      </c>
      <c r="O294" s="349">
        <f t="shared" si="2"/>
        <v>1.99</v>
      </c>
      <c r="P294" s="373">
        <f t="shared" si="3"/>
        <v>1.99</v>
      </c>
    </row>
    <row r="295" spans="1:16">
      <c r="A295" s="348">
        <v>442</v>
      </c>
      <c r="B295" s="349">
        <v>354</v>
      </c>
      <c r="C295" s="372" t="s">
        <v>2598</v>
      </c>
      <c r="D295" s="372" t="s">
        <v>2582</v>
      </c>
      <c r="E295" s="372" t="s">
        <v>2556</v>
      </c>
      <c r="F295" s="350">
        <v>45543</v>
      </c>
      <c r="G295" s="349">
        <v>9</v>
      </c>
      <c r="H295" s="372" t="s">
        <v>2557</v>
      </c>
      <c r="I295" s="349">
        <v>15966</v>
      </c>
      <c r="J295" s="372"/>
      <c r="K295" s="349">
        <v>0</v>
      </c>
      <c r="L295" s="349">
        <v>0</v>
      </c>
      <c r="M295" s="349">
        <v>0</v>
      </c>
      <c r="N295" s="349">
        <v>7.0836699999999997</v>
      </c>
      <c r="O295" s="349">
        <f t="shared" si="2"/>
        <v>0</v>
      </c>
      <c r="P295" s="373">
        <f t="shared" si="3"/>
        <v>0</v>
      </c>
    </row>
    <row r="296" spans="1:16">
      <c r="A296" s="348">
        <v>443</v>
      </c>
      <c r="B296" s="349">
        <v>336</v>
      </c>
      <c r="C296" s="372" t="s">
        <v>7718</v>
      </c>
      <c r="D296" s="372" t="s">
        <v>2582</v>
      </c>
      <c r="E296" s="372" t="s">
        <v>2556</v>
      </c>
      <c r="F296" s="350">
        <v>45543</v>
      </c>
      <c r="G296" s="349">
        <v>9</v>
      </c>
      <c r="H296" s="372" t="s">
        <v>2557</v>
      </c>
      <c r="I296" s="349">
        <v>15942</v>
      </c>
      <c r="J296" s="372"/>
      <c r="K296" s="349">
        <v>0</v>
      </c>
      <c r="L296" s="349">
        <v>0</v>
      </c>
      <c r="M296" s="349">
        <v>0</v>
      </c>
      <c r="N296" s="349">
        <v>7.0836699999999997</v>
      </c>
      <c r="O296" s="349">
        <f t="shared" si="2"/>
        <v>0</v>
      </c>
      <c r="P296" s="373">
        <f t="shared" si="3"/>
        <v>0</v>
      </c>
    </row>
    <row r="297" spans="1:16">
      <c r="A297" s="348">
        <v>444</v>
      </c>
      <c r="B297" s="349">
        <v>359</v>
      </c>
      <c r="C297" s="372" t="s">
        <v>7741</v>
      </c>
      <c r="D297" s="372" t="s">
        <v>2582</v>
      </c>
      <c r="E297" s="372" t="s">
        <v>2556</v>
      </c>
      <c r="F297" s="350">
        <v>45543</v>
      </c>
      <c r="G297" s="349">
        <v>9</v>
      </c>
      <c r="H297" s="372" t="s">
        <v>2557</v>
      </c>
      <c r="I297" s="349">
        <v>15930</v>
      </c>
      <c r="J297" s="372"/>
      <c r="K297" s="349">
        <v>0</v>
      </c>
      <c r="L297" s="349">
        <v>0</v>
      </c>
      <c r="M297" s="349">
        <v>0</v>
      </c>
      <c r="N297" s="349">
        <v>7.0836699999999997</v>
      </c>
      <c r="O297" s="349">
        <f t="shared" si="2"/>
        <v>0</v>
      </c>
      <c r="P297" s="373">
        <f t="shared" si="3"/>
        <v>0</v>
      </c>
    </row>
    <row r="298" spans="1:16">
      <c r="A298" s="348">
        <v>446</v>
      </c>
      <c r="B298" s="349">
        <v>361</v>
      </c>
      <c r="C298" s="372" t="s">
        <v>7742</v>
      </c>
      <c r="D298" s="372" t="s">
        <v>45</v>
      </c>
      <c r="E298" s="372" t="s">
        <v>2556</v>
      </c>
      <c r="F298" s="350">
        <v>45543</v>
      </c>
      <c r="G298" s="349">
        <v>9</v>
      </c>
      <c r="H298" s="372" t="s">
        <v>2557</v>
      </c>
      <c r="I298" s="349">
        <v>16014</v>
      </c>
      <c r="J298" s="372"/>
      <c r="K298" s="349">
        <v>0</v>
      </c>
      <c r="L298" s="349">
        <v>0</v>
      </c>
      <c r="M298" s="349">
        <v>0</v>
      </c>
      <c r="N298" s="349">
        <v>1</v>
      </c>
      <c r="O298" s="349">
        <f t="shared" si="2"/>
        <v>0</v>
      </c>
      <c r="P298" s="373">
        <f t="shared" si="3"/>
        <v>0</v>
      </c>
    </row>
    <row r="299" spans="1:16">
      <c r="A299" s="348">
        <v>441</v>
      </c>
      <c r="B299" s="349">
        <v>357</v>
      </c>
      <c r="C299" s="372" t="s">
        <v>5992</v>
      </c>
      <c r="D299" s="372" t="s">
        <v>45</v>
      </c>
      <c r="E299" s="372" t="s">
        <v>2556</v>
      </c>
      <c r="F299" s="350">
        <v>45543.59097222222</v>
      </c>
      <c r="G299" s="349">
        <v>9</v>
      </c>
      <c r="H299" s="372" t="s">
        <v>2557</v>
      </c>
      <c r="I299" s="349">
        <v>15846</v>
      </c>
      <c r="J299" s="372" t="s">
        <v>7743</v>
      </c>
      <c r="K299" s="349">
        <v>1.99</v>
      </c>
      <c r="L299" s="349">
        <v>0</v>
      </c>
      <c r="M299" s="349">
        <v>0</v>
      </c>
      <c r="N299" s="349">
        <v>1</v>
      </c>
      <c r="O299" s="349">
        <f t="shared" si="2"/>
        <v>1.99</v>
      </c>
      <c r="P299" s="373">
        <f t="shared" si="3"/>
        <v>1.99</v>
      </c>
    </row>
    <row r="300" spans="1:16">
      <c r="A300" s="348">
        <v>450</v>
      </c>
      <c r="B300" s="349">
        <v>365</v>
      </c>
      <c r="C300" s="372" t="s">
        <v>7744</v>
      </c>
      <c r="D300" s="372" t="s">
        <v>45</v>
      </c>
      <c r="E300" s="372" t="s">
        <v>2556</v>
      </c>
      <c r="F300" s="350">
        <v>45544</v>
      </c>
      <c r="G300" s="349">
        <v>9</v>
      </c>
      <c r="H300" s="372" t="s">
        <v>2557</v>
      </c>
      <c r="I300" s="349">
        <v>16062</v>
      </c>
      <c r="J300" s="372"/>
      <c r="K300" s="349">
        <v>0</v>
      </c>
      <c r="L300" s="349">
        <v>0</v>
      </c>
      <c r="M300" s="349">
        <v>0</v>
      </c>
      <c r="N300" s="349">
        <v>1</v>
      </c>
      <c r="O300" s="349">
        <f t="shared" si="2"/>
        <v>0</v>
      </c>
      <c r="P300" s="373">
        <f t="shared" si="3"/>
        <v>0</v>
      </c>
    </row>
    <row r="301" spans="1:16">
      <c r="A301" s="348">
        <v>455</v>
      </c>
      <c r="B301" s="349">
        <v>351</v>
      </c>
      <c r="C301" s="372" t="s">
        <v>2707</v>
      </c>
      <c r="D301" s="372" t="s">
        <v>45</v>
      </c>
      <c r="E301" s="372" t="s">
        <v>9</v>
      </c>
      <c r="F301" s="350">
        <v>45544</v>
      </c>
      <c r="G301" s="349">
        <v>9</v>
      </c>
      <c r="H301" s="372" t="s">
        <v>2557</v>
      </c>
      <c r="I301" s="349">
        <v>16146</v>
      </c>
      <c r="J301" s="372"/>
      <c r="K301" s="349">
        <v>0</v>
      </c>
      <c r="L301" s="349">
        <v>0</v>
      </c>
      <c r="M301" s="349">
        <v>0</v>
      </c>
      <c r="N301" s="349">
        <v>1</v>
      </c>
      <c r="O301" s="349">
        <f t="shared" si="2"/>
        <v>0</v>
      </c>
      <c r="P301" s="373">
        <f t="shared" si="3"/>
        <v>0</v>
      </c>
    </row>
    <row r="302" spans="1:16">
      <c r="A302" s="348">
        <v>456</v>
      </c>
      <c r="B302" s="349">
        <v>367</v>
      </c>
      <c r="C302" s="372" t="s">
        <v>2598</v>
      </c>
      <c r="D302" s="372" t="s">
        <v>45</v>
      </c>
      <c r="E302" s="372" t="s">
        <v>2556</v>
      </c>
      <c r="F302" s="350">
        <v>45544</v>
      </c>
      <c r="G302" s="349">
        <v>9</v>
      </c>
      <c r="H302" s="372" t="s">
        <v>2557</v>
      </c>
      <c r="I302" s="349">
        <v>16170</v>
      </c>
      <c r="J302" s="372"/>
      <c r="K302" s="349">
        <v>0</v>
      </c>
      <c r="L302" s="349">
        <v>0</v>
      </c>
      <c r="M302" s="349">
        <v>0</v>
      </c>
      <c r="N302" s="349">
        <v>1</v>
      </c>
      <c r="O302" s="349">
        <f t="shared" si="2"/>
        <v>0</v>
      </c>
      <c r="P302" s="373">
        <f t="shared" si="3"/>
        <v>0</v>
      </c>
    </row>
    <row r="303" spans="1:16">
      <c r="A303" s="348">
        <v>447</v>
      </c>
      <c r="B303" s="349">
        <v>362</v>
      </c>
      <c r="C303" s="372" t="s">
        <v>7745</v>
      </c>
      <c r="D303" s="372" t="s">
        <v>45</v>
      </c>
      <c r="E303" s="372" t="s">
        <v>2556</v>
      </c>
      <c r="F303" s="350">
        <v>45544.046527777777</v>
      </c>
      <c r="G303" s="349">
        <v>9</v>
      </c>
      <c r="H303" s="372" t="s">
        <v>2557</v>
      </c>
      <c r="I303" s="349">
        <v>16026</v>
      </c>
      <c r="J303" s="372" t="s">
        <v>7746</v>
      </c>
      <c r="K303" s="349">
        <v>2.99</v>
      </c>
      <c r="L303" s="349">
        <v>0</v>
      </c>
      <c r="M303" s="349">
        <v>0</v>
      </c>
      <c r="N303" s="349">
        <v>1</v>
      </c>
      <c r="O303" s="349">
        <f t="shared" si="2"/>
        <v>2.99</v>
      </c>
      <c r="P303" s="373">
        <f t="shared" si="3"/>
        <v>2.99</v>
      </c>
    </row>
    <row r="304" spans="1:16">
      <c r="A304" s="348">
        <v>448</v>
      </c>
      <c r="B304" s="349">
        <v>363</v>
      </c>
      <c r="C304" s="372" t="s">
        <v>7747</v>
      </c>
      <c r="D304" s="372" t="s">
        <v>2582</v>
      </c>
      <c r="E304" s="372" t="s">
        <v>2556</v>
      </c>
      <c r="F304" s="350">
        <v>45544.380555555559</v>
      </c>
      <c r="G304" s="349">
        <v>9</v>
      </c>
      <c r="H304" s="372" t="s">
        <v>2557</v>
      </c>
      <c r="I304" s="349">
        <v>16050</v>
      </c>
      <c r="J304" s="372" t="s">
        <v>7748</v>
      </c>
      <c r="K304" s="349">
        <v>14.1</v>
      </c>
      <c r="L304" s="349">
        <v>0</v>
      </c>
      <c r="M304" s="349">
        <v>0</v>
      </c>
      <c r="N304" s="349">
        <v>7.0836699999999997</v>
      </c>
      <c r="O304" s="349">
        <f t="shared" si="2"/>
        <v>14.1</v>
      </c>
      <c r="P304" s="373">
        <f t="shared" si="3"/>
        <v>1.9904936283028432</v>
      </c>
    </row>
    <row r="305" spans="1:16">
      <c r="A305" s="348">
        <v>449</v>
      </c>
      <c r="B305" s="349">
        <v>363</v>
      </c>
      <c r="C305" s="372" t="s">
        <v>7747</v>
      </c>
      <c r="D305" s="372" t="s">
        <v>2582</v>
      </c>
      <c r="E305" s="372" t="s">
        <v>2556</v>
      </c>
      <c r="F305" s="350">
        <v>45544.417361111111</v>
      </c>
      <c r="G305" s="349">
        <v>9</v>
      </c>
      <c r="H305" s="372" t="s">
        <v>2557</v>
      </c>
      <c r="I305" s="349">
        <v>16050</v>
      </c>
      <c r="J305" s="372"/>
      <c r="K305" s="349">
        <v>0.01</v>
      </c>
      <c r="L305" s="349">
        <v>0</v>
      </c>
      <c r="M305" s="349">
        <v>0</v>
      </c>
      <c r="N305" s="349">
        <v>7.0836699999999997</v>
      </c>
      <c r="O305" s="349">
        <f t="shared" si="2"/>
        <v>0.01</v>
      </c>
      <c r="P305" s="373">
        <f t="shared" si="3"/>
        <v>1.4116976087254207E-3</v>
      </c>
    </row>
    <row r="306" spans="1:16">
      <c r="A306" s="348">
        <v>451</v>
      </c>
      <c r="B306" s="349">
        <v>366</v>
      </c>
      <c r="C306" s="372" t="s">
        <v>7749</v>
      </c>
      <c r="D306" s="372" t="s">
        <v>45</v>
      </c>
      <c r="E306" s="372" t="s">
        <v>2556</v>
      </c>
      <c r="F306" s="350">
        <v>45544.543055555558</v>
      </c>
      <c r="G306" s="349">
        <v>9</v>
      </c>
      <c r="H306" s="372" t="s">
        <v>2557</v>
      </c>
      <c r="I306" s="349">
        <v>16086</v>
      </c>
      <c r="J306" s="372" t="s">
        <v>7750</v>
      </c>
      <c r="K306" s="349">
        <v>1.0900000000000001</v>
      </c>
      <c r="L306" s="349">
        <v>0</v>
      </c>
      <c r="M306" s="349">
        <v>0</v>
      </c>
      <c r="N306" s="349">
        <v>1</v>
      </c>
      <c r="O306" s="349">
        <f t="shared" si="2"/>
        <v>1.0900000000000001</v>
      </c>
      <c r="P306" s="373">
        <f t="shared" si="3"/>
        <v>1.0900000000000001</v>
      </c>
    </row>
    <row r="307" spans="1:16">
      <c r="A307" s="348">
        <v>452</v>
      </c>
      <c r="B307" s="349">
        <v>334</v>
      </c>
      <c r="C307" s="372" t="s">
        <v>7715</v>
      </c>
      <c r="D307" s="372" t="s">
        <v>45</v>
      </c>
      <c r="E307" s="372" t="s">
        <v>2556</v>
      </c>
      <c r="F307" s="350">
        <v>45544.620833333334</v>
      </c>
      <c r="G307" s="349">
        <v>9</v>
      </c>
      <c r="H307" s="372" t="s">
        <v>2557</v>
      </c>
      <c r="I307" s="349">
        <v>16098</v>
      </c>
      <c r="J307" s="372" t="s">
        <v>7751</v>
      </c>
      <c r="K307" s="349">
        <v>1.99</v>
      </c>
      <c r="L307" s="349">
        <v>0</v>
      </c>
      <c r="M307" s="349">
        <v>0</v>
      </c>
      <c r="N307" s="349">
        <v>1</v>
      </c>
      <c r="O307" s="349">
        <f t="shared" si="2"/>
        <v>1.99</v>
      </c>
      <c r="P307" s="373">
        <f t="shared" si="3"/>
        <v>1.99</v>
      </c>
    </row>
    <row r="308" spans="1:16">
      <c r="A308" s="348">
        <v>453</v>
      </c>
      <c r="B308" s="349">
        <v>36</v>
      </c>
      <c r="C308" s="372" t="s">
        <v>2646</v>
      </c>
      <c r="D308" s="372" t="s">
        <v>45</v>
      </c>
      <c r="E308" s="372" t="s">
        <v>2572</v>
      </c>
      <c r="F308" s="350">
        <v>45544.754861111112</v>
      </c>
      <c r="G308" s="349">
        <v>9</v>
      </c>
      <c r="H308" s="372" t="s">
        <v>2557</v>
      </c>
      <c r="I308" s="349">
        <v>16134</v>
      </c>
      <c r="J308" s="372"/>
      <c r="K308" s="349">
        <v>250</v>
      </c>
      <c r="L308" s="349">
        <v>0</v>
      </c>
      <c r="M308" s="349">
        <v>0</v>
      </c>
      <c r="N308" s="349">
        <v>1</v>
      </c>
      <c r="O308" s="349">
        <f t="shared" si="2"/>
        <v>250</v>
      </c>
      <c r="P308" s="373">
        <f t="shared" si="3"/>
        <v>250</v>
      </c>
    </row>
    <row r="309" spans="1:16">
      <c r="A309" s="348">
        <v>454</v>
      </c>
      <c r="B309" s="349">
        <v>36</v>
      </c>
      <c r="C309" s="372" t="s">
        <v>2646</v>
      </c>
      <c r="D309" s="372" t="s">
        <v>45</v>
      </c>
      <c r="E309" s="372" t="s">
        <v>2572</v>
      </c>
      <c r="F309" s="350">
        <v>45544.754861111112</v>
      </c>
      <c r="G309" s="349">
        <v>9</v>
      </c>
      <c r="H309" s="372" t="s">
        <v>2557</v>
      </c>
      <c r="I309" s="349">
        <v>14838</v>
      </c>
      <c r="J309" s="372"/>
      <c r="K309" s="349">
        <v>250</v>
      </c>
      <c r="L309" s="349">
        <v>0</v>
      </c>
      <c r="M309" s="349">
        <v>0</v>
      </c>
      <c r="N309" s="349">
        <v>1</v>
      </c>
      <c r="O309" s="349">
        <f t="shared" si="2"/>
        <v>250</v>
      </c>
      <c r="P309" s="373">
        <f t="shared" si="3"/>
        <v>250</v>
      </c>
    </row>
    <row r="310" spans="1:16">
      <c r="A310" s="348">
        <v>457</v>
      </c>
      <c r="B310" s="349">
        <v>369</v>
      </c>
      <c r="C310" s="372" t="s">
        <v>7752</v>
      </c>
      <c r="D310" s="372" t="s">
        <v>45</v>
      </c>
      <c r="E310" s="372" t="s">
        <v>2556</v>
      </c>
      <c r="F310" s="350">
        <v>45544.942361111112</v>
      </c>
      <c r="G310" s="349">
        <v>9</v>
      </c>
      <c r="H310" s="372" t="s">
        <v>2557</v>
      </c>
      <c r="I310" s="349">
        <v>16182</v>
      </c>
      <c r="J310" s="372" t="s">
        <v>7753</v>
      </c>
      <c r="K310" s="349">
        <v>1.0900000000000001</v>
      </c>
      <c r="L310" s="349">
        <v>0</v>
      </c>
      <c r="M310" s="349">
        <v>0</v>
      </c>
      <c r="N310" s="349">
        <v>1</v>
      </c>
      <c r="O310" s="349">
        <f t="shared" si="2"/>
        <v>1.0900000000000001</v>
      </c>
      <c r="P310" s="373">
        <f t="shared" si="3"/>
        <v>1.0900000000000001</v>
      </c>
    </row>
    <row r="311" spans="1:16">
      <c r="A311" s="348">
        <v>461</v>
      </c>
      <c r="B311" s="349">
        <v>373</v>
      </c>
      <c r="C311" s="372" t="s">
        <v>7754</v>
      </c>
      <c r="D311" s="372" t="s">
        <v>2582</v>
      </c>
      <c r="E311" s="372" t="s">
        <v>2556</v>
      </c>
      <c r="F311" s="350">
        <v>45545</v>
      </c>
      <c r="G311" s="349">
        <v>9</v>
      </c>
      <c r="H311" s="372" t="s">
        <v>2557</v>
      </c>
      <c r="I311" s="349">
        <v>16278</v>
      </c>
      <c r="J311" s="372"/>
      <c r="K311" s="349">
        <v>0</v>
      </c>
      <c r="L311" s="349">
        <v>0</v>
      </c>
      <c r="M311" s="349">
        <v>0</v>
      </c>
      <c r="N311" s="349">
        <v>7.1166299999999998</v>
      </c>
      <c r="O311" s="349">
        <f t="shared" si="2"/>
        <v>0</v>
      </c>
      <c r="P311" s="373">
        <f t="shared" si="3"/>
        <v>0</v>
      </c>
    </row>
    <row r="312" spans="1:16">
      <c r="A312" s="348">
        <v>462</v>
      </c>
      <c r="B312" s="349">
        <v>326</v>
      </c>
      <c r="C312" s="372" t="s">
        <v>2716</v>
      </c>
      <c r="D312" s="372" t="s">
        <v>45</v>
      </c>
      <c r="E312" s="372" t="s">
        <v>2556</v>
      </c>
      <c r="F312" s="350">
        <v>45545</v>
      </c>
      <c r="G312" s="349">
        <v>9</v>
      </c>
      <c r="H312" s="372" t="s">
        <v>2557</v>
      </c>
      <c r="I312" s="349">
        <v>16302</v>
      </c>
      <c r="J312" s="372"/>
      <c r="K312" s="349">
        <v>0</v>
      </c>
      <c r="L312" s="349">
        <v>0</v>
      </c>
      <c r="M312" s="349">
        <v>0</v>
      </c>
      <c r="N312" s="349">
        <v>1</v>
      </c>
      <c r="O312" s="349">
        <f t="shared" si="2"/>
        <v>0</v>
      </c>
      <c r="P312" s="373">
        <f t="shared" si="3"/>
        <v>0</v>
      </c>
    </row>
    <row r="313" spans="1:16">
      <c r="A313" s="348">
        <v>468</v>
      </c>
      <c r="B313" s="349">
        <v>377</v>
      </c>
      <c r="C313" s="372" t="s">
        <v>7755</v>
      </c>
      <c r="D313" s="372" t="s">
        <v>45</v>
      </c>
      <c r="E313" s="372" t="s">
        <v>2556</v>
      </c>
      <c r="F313" s="350">
        <v>45545</v>
      </c>
      <c r="G313" s="349">
        <v>9</v>
      </c>
      <c r="H313" s="372" t="s">
        <v>2557</v>
      </c>
      <c r="I313" s="349">
        <v>16434</v>
      </c>
      <c r="J313" s="372"/>
      <c r="K313" s="349">
        <v>0</v>
      </c>
      <c r="L313" s="349">
        <v>0</v>
      </c>
      <c r="M313" s="349">
        <v>0</v>
      </c>
      <c r="N313" s="349">
        <v>1</v>
      </c>
      <c r="O313" s="349">
        <f t="shared" si="2"/>
        <v>0</v>
      </c>
      <c r="P313" s="373">
        <f t="shared" si="3"/>
        <v>0</v>
      </c>
    </row>
    <row r="314" spans="1:16">
      <c r="A314" s="348">
        <v>458</v>
      </c>
      <c r="B314" s="349">
        <v>370</v>
      </c>
      <c r="C314" s="372" t="s">
        <v>3009</v>
      </c>
      <c r="D314" s="372" t="s">
        <v>45</v>
      </c>
      <c r="E314" s="372" t="s">
        <v>2556</v>
      </c>
      <c r="F314" s="350">
        <v>45545.029166666667</v>
      </c>
      <c r="G314" s="349">
        <v>9</v>
      </c>
      <c r="H314" s="372" t="s">
        <v>2557</v>
      </c>
      <c r="I314" s="349">
        <v>16206</v>
      </c>
      <c r="J314" s="372" t="s">
        <v>7756</v>
      </c>
      <c r="K314" s="349">
        <v>1.0900000000000001</v>
      </c>
      <c r="L314" s="349">
        <v>0</v>
      </c>
      <c r="M314" s="349">
        <v>0</v>
      </c>
      <c r="N314" s="349">
        <v>1</v>
      </c>
      <c r="O314" s="349">
        <f t="shared" si="2"/>
        <v>1.0900000000000001</v>
      </c>
      <c r="P314" s="373">
        <f t="shared" si="3"/>
        <v>1.0900000000000001</v>
      </c>
    </row>
    <row r="315" spans="1:16">
      <c r="A315" s="348">
        <v>459</v>
      </c>
      <c r="B315" s="349">
        <v>371</v>
      </c>
      <c r="C315" s="372" t="s">
        <v>7757</v>
      </c>
      <c r="D315" s="372" t="s">
        <v>2582</v>
      </c>
      <c r="E315" s="372" t="s">
        <v>2556</v>
      </c>
      <c r="F315" s="350">
        <v>45545.09652777778</v>
      </c>
      <c r="G315" s="349">
        <v>9</v>
      </c>
      <c r="H315" s="372" t="s">
        <v>2557</v>
      </c>
      <c r="I315" s="349">
        <v>16218</v>
      </c>
      <c r="J315" s="372" t="s">
        <v>7758</v>
      </c>
      <c r="K315" s="349">
        <v>85</v>
      </c>
      <c r="L315" s="349">
        <v>0</v>
      </c>
      <c r="M315" s="349">
        <v>0</v>
      </c>
      <c r="N315" s="349">
        <v>7.0836699999999997</v>
      </c>
      <c r="O315" s="349">
        <f t="shared" si="2"/>
        <v>85</v>
      </c>
      <c r="P315" s="373">
        <f t="shared" si="3"/>
        <v>11.999429674166075</v>
      </c>
    </row>
    <row r="316" spans="1:16">
      <c r="A316" s="348">
        <v>460</v>
      </c>
      <c r="B316" s="349">
        <v>372</v>
      </c>
      <c r="C316" s="372" t="s">
        <v>7759</v>
      </c>
      <c r="D316" s="372" t="s">
        <v>45</v>
      </c>
      <c r="E316" s="372" t="s">
        <v>2556</v>
      </c>
      <c r="F316" s="350">
        <v>45545.258333333331</v>
      </c>
      <c r="G316" s="349">
        <v>9</v>
      </c>
      <c r="H316" s="372" t="s">
        <v>2557</v>
      </c>
      <c r="I316" s="349">
        <v>16266</v>
      </c>
      <c r="J316" s="372" t="s">
        <v>7760</v>
      </c>
      <c r="K316" s="349">
        <v>11.99</v>
      </c>
      <c r="L316" s="349">
        <v>0</v>
      </c>
      <c r="M316" s="349">
        <v>0</v>
      </c>
      <c r="N316" s="349">
        <v>1</v>
      </c>
      <c r="O316" s="349">
        <f t="shared" si="2"/>
        <v>11.99</v>
      </c>
      <c r="P316" s="373">
        <f t="shared" si="3"/>
        <v>11.99</v>
      </c>
    </row>
    <row r="317" spans="1:16">
      <c r="A317" s="348">
        <v>463</v>
      </c>
      <c r="B317" s="349">
        <v>374</v>
      </c>
      <c r="C317" s="372" t="s">
        <v>2575</v>
      </c>
      <c r="D317" s="372" t="s">
        <v>2582</v>
      </c>
      <c r="E317" s="372" t="s">
        <v>2556</v>
      </c>
      <c r="F317" s="350">
        <v>45545.554861111108</v>
      </c>
      <c r="G317" s="349">
        <v>9</v>
      </c>
      <c r="H317" s="372" t="s">
        <v>2557</v>
      </c>
      <c r="I317" s="349">
        <v>16350</v>
      </c>
      <c r="J317" s="372" t="s">
        <v>7761</v>
      </c>
      <c r="K317" s="349">
        <v>7.76</v>
      </c>
      <c r="L317" s="349">
        <v>0</v>
      </c>
      <c r="M317" s="349">
        <v>0</v>
      </c>
      <c r="N317" s="349">
        <v>7.1166299999999998</v>
      </c>
      <c r="O317" s="349">
        <f t="shared" si="2"/>
        <v>7.76</v>
      </c>
      <c r="P317" s="373">
        <f t="shared" si="3"/>
        <v>1.0904037444689409</v>
      </c>
    </row>
    <row r="318" spans="1:16">
      <c r="A318" s="348">
        <v>464</v>
      </c>
      <c r="B318" s="349">
        <v>318</v>
      </c>
      <c r="C318" s="372" t="s">
        <v>2580</v>
      </c>
      <c r="D318" s="372" t="s">
        <v>45</v>
      </c>
      <c r="E318" s="372" t="s">
        <v>2556</v>
      </c>
      <c r="F318" s="350">
        <v>45545.566666666666</v>
      </c>
      <c r="G318" s="349">
        <v>9</v>
      </c>
      <c r="H318" s="372" t="s">
        <v>2557</v>
      </c>
      <c r="I318" s="349">
        <v>16362</v>
      </c>
      <c r="J318" s="372" t="s">
        <v>7762</v>
      </c>
      <c r="K318" s="349">
        <v>1.99</v>
      </c>
      <c r="L318" s="349">
        <v>0</v>
      </c>
      <c r="M318" s="349">
        <v>0</v>
      </c>
      <c r="N318" s="349">
        <v>1</v>
      </c>
      <c r="O318" s="349">
        <f t="shared" si="2"/>
        <v>1.99</v>
      </c>
      <c r="P318" s="373">
        <f t="shared" si="3"/>
        <v>1.99</v>
      </c>
    </row>
    <row r="319" spans="1:16">
      <c r="A319" s="348">
        <v>465</v>
      </c>
      <c r="B319" s="349">
        <v>368</v>
      </c>
      <c r="C319" s="372" t="s">
        <v>7763</v>
      </c>
      <c r="D319" s="372" t="s">
        <v>45</v>
      </c>
      <c r="E319" s="372" t="s">
        <v>2556</v>
      </c>
      <c r="F319" s="350">
        <v>45545.62777777778</v>
      </c>
      <c r="G319" s="349">
        <v>9</v>
      </c>
      <c r="H319" s="372" t="s">
        <v>2557</v>
      </c>
      <c r="I319" s="349">
        <v>16386</v>
      </c>
      <c r="J319" s="372" t="s">
        <v>7764</v>
      </c>
      <c r="K319" s="349">
        <v>3.99</v>
      </c>
      <c r="L319" s="349">
        <v>0</v>
      </c>
      <c r="M319" s="349">
        <v>0</v>
      </c>
      <c r="N319" s="349">
        <v>1</v>
      </c>
      <c r="O319" s="349">
        <f t="shared" si="2"/>
        <v>3.99</v>
      </c>
      <c r="P319" s="373">
        <f t="shared" si="3"/>
        <v>3.99</v>
      </c>
    </row>
    <row r="320" spans="1:16">
      <c r="A320" s="348">
        <v>466</v>
      </c>
      <c r="B320" s="349">
        <v>279</v>
      </c>
      <c r="C320" s="372" t="s">
        <v>7665</v>
      </c>
      <c r="D320" s="372" t="s">
        <v>45</v>
      </c>
      <c r="E320" s="372" t="s">
        <v>2572</v>
      </c>
      <c r="F320" s="350">
        <v>45545.783333333333</v>
      </c>
      <c r="G320" s="349">
        <v>9</v>
      </c>
      <c r="H320" s="372" t="s">
        <v>2557</v>
      </c>
      <c r="I320" s="349">
        <v>16410</v>
      </c>
      <c r="J320" s="372"/>
      <c r="K320" s="349">
        <v>7.99</v>
      </c>
      <c r="L320" s="349">
        <v>0</v>
      </c>
      <c r="M320" s="349">
        <v>0</v>
      </c>
      <c r="N320" s="349">
        <v>1</v>
      </c>
      <c r="O320" s="349">
        <f t="shared" si="2"/>
        <v>7.99</v>
      </c>
      <c r="P320" s="373">
        <f t="shared" si="3"/>
        <v>7.99</v>
      </c>
    </row>
    <row r="321" spans="1:16">
      <c r="A321" s="348">
        <v>467</v>
      </c>
      <c r="B321" s="349">
        <v>376</v>
      </c>
      <c r="C321" s="372" t="s">
        <v>4383</v>
      </c>
      <c r="D321" s="372" t="s">
        <v>45</v>
      </c>
      <c r="E321" s="372" t="s">
        <v>2556</v>
      </c>
      <c r="F321" s="350">
        <v>45545.881944444445</v>
      </c>
      <c r="G321" s="349">
        <v>9</v>
      </c>
      <c r="H321" s="372" t="s">
        <v>2557</v>
      </c>
      <c r="I321" s="349">
        <v>16422</v>
      </c>
      <c r="J321" s="372" t="s">
        <v>7765</v>
      </c>
      <c r="K321" s="349">
        <v>2.99</v>
      </c>
      <c r="L321" s="349">
        <v>0</v>
      </c>
      <c r="M321" s="349">
        <v>0</v>
      </c>
      <c r="N321" s="349">
        <v>1</v>
      </c>
      <c r="O321" s="349">
        <f t="shared" si="2"/>
        <v>2.99</v>
      </c>
      <c r="P321" s="373">
        <f t="shared" si="3"/>
        <v>2.99</v>
      </c>
    </row>
    <row r="322" spans="1:16">
      <c r="A322" s="348">
        <v>469</v>
      </c>
      <c r="B322" s="349">
        <v>379</v>
      </c>
      <c r="C322" s="372" t="s">
        <v>7766</v>
      </c>
      <c r="D322" s="372" t="s">
        <v>2582</v>
      </c>
      <c r="E322" s="372" t="s">
        <v>2556</v>
      </c>
      <c r="F322" s="350">
        <v>45546</v>
      </c>
      <c r="G322" s="349">
        <v>9</v>
      </c>
      <c r="H322" s="372" t="s">
        <v>2557</v>
      </c>
      <c r="I322" s="349">
        <v>16458</v>
      </c>
      <c r="J322" s="372"/>
      <c r="K322" s="349">
        <v>0</v>
      </c>
      <c r="L322" s="349">
        <v>0</v>
      </c>
      <c r="M322" s="349">
        <v>0</v>
      </c>
      <c r="N322" s="349">
        <v>7.1190300000000004</v>
      </c>
      <c r="O322" s="349">
        <f t="shared" si="2"/>
        <v>0</v>
      </c>
      <c r="P322" s="373">
        <f t="shared" si="3"/>
        <v>0</v>
      </c>
    </row>
    <row r="323" spans="1:16">
      <c r="A323" s="348">
        <v>470</v>
      </c>
      <c r="B323" s="349">
        <v>380</v>
      </c>
      <c r="C323" s="372" t="s">
        <v>7767</v>
      </c>
      <c r="D323" s="372" t="s">
        <v>45</v>
      </c>
      <c r="E323" s="372" t="s">
        <v>2556</v>
      </c>
      <c r="F323" s="350">
        <v>45546.604166666664</v>
      </c>
      <c r="G323" s="349">
        <v>9</v>
      </c>
      <c r="H323" s="372" t="s">
        <v>2557</v>
      </c>
      <c r="I323" s="349">
        <v>16470</v>
      </c>
      <c r="J323" s="372" t="s">
        <v>7768</v>
      </c>
      <c r="K323" s="349">
        <v>1.99</v>
      </c>
      <c r="L323" s="349">
        <v>0</v>
      </c>
      <c r="M323" s="349">
        <v>0</v>
      </c>
      <c r="N323" s="349">
        <v>1</v>
      </c>
      <c r="O323" s="349">
        <f t="shared" si="2"/>
        <v>1.99</v>
      </c>
      <c r="P323" s="373">
        <f t="shared" si="3"/>
        <v>1.99</v>
      </c>
    </row>
    <row r="324" spans="1:16">
      <c r="A324" s="348">
        <v>471</v>
      </c>
      <c r="B324" s="349">
        <v>381</v>
      </c>
      <c r="C324" s="372" t="s">
        <v>7769</v>
      </c>
      <c r="D324" s="372" t="s">
        <v>2582</v>
      </c>
      <c r="E324" s="372" t="s">
        <v>2556</v>
      </c>
      <c r="F324" s="350">
        <v>45546.755555555559</v>
      </c>
      <c r="G324" s="349">
        <v>9</v>
      </c>
      <c r="H324" s="372" t="s">
        <v>2557</v>
      </c>
      <c r="I324" s="349">
        <v>16482</v>
      </c>
      <c r="J324" s="372" t="s">
        <v>7770</v>
      </c>
      <c r="K324" s="349">
        <v>35.380000000000003</v>
      </c>
      <c r="L324" s="349">
        <v>0</v>
      </c>
      <c r="M324" s="349">
        <v>0</v>
      </c>
      <c r="N324" s="349">
        <v>7.1190300000000004</v>
      </c>
      <c r="O324" s="349">
        <f t="shared" si="2"/>
        <v>35.380000000000003</v>
      </c>
      <c r="P324" s="373">
        <f t="shared" si="3"/>
        <v>4.9697781860731025</v>
      </c>
    </row>
    <row r="325" spans="1:16">
      <c r="A325" s="348">
        <v>472</v>
      </c>
      <c r="B325" s="349">
        <v>383</v>
      </c>
      <c r="C325" s="372" t="s">
        <v>5804</v>
      </c>
      <c r="D325" s="372" t="s">
        <v>45</v>
      </c>
      <c r="E325" s="372" t="s">
        <v>9</v>
      </c>
      <c r="F325" s="350">
        <v>45546.893055555556</v>
      </c>
      <c r="G325" s="349">
        <v>9</v>
      </c>
      <c r="H325" s="372" t="s">
        <v>2557</v>
      </c>
      <c r="I325" s="349">
        <v>16494</v>
      </c>
      <c r="J325" s="372" t="s">
        <v>7082</v>
      </c>
      <c r="K325" s="349">
        <v>2.99</v>
      </c>
      <c r="L325" s="349">
        <v>0.59</v>
      </c>
      <c r="M325" s="349">
        <v>0</v>
      </c>
      <c r="N325" s="349">
        <v>1</v>
      </c>
      <c r="O325" s="349">
        <f t="shared" si="2"/>
        <v>2.4000000000000004</v>
      </c>
      <c r="P325" s="373">
        <f t="shared" si="3"/>
        <v>2.4000000000000004</v>
      </c>
    </row>
    <row r="326" spans="1:16">
      <c r="A326" s="348">
        <v>473</v>
      </c>
      <c r="B326" s="349">
        <v>384</v>
      </c>
      <c r="C326" s="372" t="s">
        <v>7771</v>
      </c>
      <c r="D326" s="372" t="s">
        <v>45</v>
      </c>
      <c r="E326" s="372" t="s">
        <v>2556</v>
      </c>
      <c r="F326" s="350">
        <v>45546.902777777781</v>
      </c>
      <c r="G326" s="349">
        <v>9</v>
      </c>
      <c r="H326" s="372" t="s">
        <v>2557</v>
      </c>
      <c r="I326" s="349">
        <v>16506</v>
      </c>
      <c r="J326" s="372" t="s">
        <v>7772</v>
      </c>
      <c r="K326" s="349">
        <v>1.0900000000000001</v>
      </c>
      <c r="L326" s="349">
        <v>0</v>
      </c>
      <c r="M326" s="349">
        <v>0</v>
      </c>
      <c r="N326" s="349">
        <v>1</v>
      </c>
      <c r="O326" s="349">
        <f t="shared" si="2"/>
        <v>1.0900000000000001</v>
      </c>
      <c r="P326" s="373">
        <f t="shared" si="3"/>
        <v>1.0900000000000001</v>
      </c>
    </row>
    <row r="327" spans="1:16">
      <c r="A327" s="348">
        <v>474</v>
      </c>
      <c r="B327" s="349">
        <v>362</v>
      </c>
      <c r="C327" s="372" t="s">
        <v>7745</v>
      </c>
      <c r="D327" s="372" t="s">
        <v>45</v>
      </c>
      <c r="E327" s="372" t="s">
        <v>2556</v>
      </c>
      <c r="F327" s="350">
        <v>45547.012499999997</v>
      </c>
      <c r="G327" s="349">
        <v>9</v>
      </c>
      <c r="H327" s="372" t="s">
        <v>7773</v>
      </c>
      <c r="I327" s="349">
        <v>16026</v>
      </c>
      <c r="J327" s="372" t="s">
        <v>7746</v>
      </c>
      <c r="K327" s="349">
        <v>0</v>
      </c>
      <c r="L327" s="349">
        <v>0</v>
      </c>
      <c r="M327" s="349">
        <v>2.29</v>
      </c>
      <c r="N327" s="349">
        <v>1</v>
      </c>
      <c r="O327" s="349">
        <f t="shared" si="2"/>
        <v>-2.29</v>
      </c>
      <c r="P327" s="373">
        <f t="shared" si="3"/>
        <v>-2.29</v>
      </c>
    </row>
    <row r="328" spans="1:16">
      <c r="A328" s="348">
        <v>475</v>
      </c>
      <c r="B328" s="349">
        <v>386</v>
      </c>
      <c r="C328" s="372" t="s">
        <v>5767</v>
      </c>
      <c r="D328" s="372" t="s">
        <v>45</v>
      </c>
      <c r="E328" s="372" t="s">
        <v>2556</v>
      </c>
      <c r="F328" s="350">
        <v>45547.05</v>
      </c>
      <c r="G328" s="349">
        <v>9</v>
      </c>
      <c r="H328" s="372" t="s">
        <v>2557</v>
      </c>
      <c r="I328" s="349">
        <v>16542</v>
      </c>
      <c r="J328" s="372" t="s">
        <v>7774</v>
      </c>
      <c r="K328" s="349">
        <v>2.99</v>
      </c>
      <c r="L328" s="349">
        <v>0</v>
      </c>
      <c r="M328" s="349">
        <v>0</v>
      </c>
      <c r="N328" s="349">
        <v>1</v>
      </c>
      <c r="O328" s="349">
        <f t="shared" si="2"/>
        <v>2.99</v>
      </c>
      <c r="P328" s="373">
        <f t="shared" si="3"/>
        <v>2.99</v>
      </c>
    </row>
    <row r="329" spans="1:16">
      <c r="A329" s="348">
        <v>476</v>
      </c>
      <c r="B329" s="349">
        <v>387</v>
      </c>
      <c r="C329" s="372" t="s">
        <v>2794</v>
      </c>
      <c r="D329" s="372" t="s">
        <v>45</v>
      </c>
      <c r="E329" s="372" t="s">
        <v>9</v>
      </c>
      <c r="F329" s="350">
        <v>45547.134722222225</v>
      </c>
      <c r="G329" s="349">
        <v>9</v>
      </c>
      <c r="H329" s="372" t="s">
        <v>2557</v>
      </c>
      <c r="I329" s="349">
        <v>16566</v>
      </c>
      <c r="J329" s="372" t="s">
        <v>7083</v>
      </c>
      <c r="K329" s="349">
        <v>1.99</v>
      </c>
      <c r="L329" s="349">
        <v>0.56000000000000005</v>
      </c>
      <c r="M329" s="349">
        <v>0</v>
      </c>
      <c r="N329" s="349">
        <v>1</v>
      </c>
      <c r="O329" s="349">
        <f t="shared" si="2"/>
        <v>1.43</v>
      </c>
      <c r="P329" s="373">
        <f t="shared" si="3"/>
        <v>1.43</v>
      </c>
    </row>
    <row r="330" spans="1:16">
      <c r="A330" s="348">
        <v>477</v>
      </c>
      <c r="B330" s="349">
        <v>387</v>
      </c>
      <c r="C330" s="372" t="s">
        <v>2794</v>
      </c>
      <c r="D330" s="372" t="s">
        <v>45</v>
      </c>
      <c r="E330" s="372" t="s">
        <v>9</v>
      </c>
      <c r="F330" s="350">
        <v>45547.150694444441</v>
      </c>
      <c r="G330" s="349">
        <v>9</v>
      </c>
      <c r="H330" s="372" t="s">
        <v>2557</v>
      </c>
      <c r="I330" s="349">
        <v>16578</v>
      </c>
      <c r="J330" s="372" t="s">
        <v>7084</v>
      </c>
      <c r="K330" s="349">
        <v>1.0900000000000001</v>
      </c>
      <c r="L330" s="349">
        <v>0.53</v>
      </c>
      <c r="M330" s="349">
        <v>0</v>
      </c>
      <c r="N330" s="349">
        <v>1</v>
      </c>
      <c r="O330" s="349">
        <f t="shared" si="2"/>
        <v>0.56000000000000005</v>
      </c>
      <c r="P330" s="373">
        <f t="shared" si="3"/>
        <v>0.56000000000000005</v>
      </c>
    </row>
    <row r="331" spans="1:16">
      <c r="A331" s="348">
        <v>478</v>
      </c>
      <c r="B331" s="349">
        <v>390</v>
      </c>
      <c r="C331" s="372" t="s">
        <v>7775</v>
      </c>
      <c r="D331" s="372" t="s">
        <v>45</v>
      </c>
      <c r="E331" s="372" t="s">
        <v>2556</v>
      </c>
      <c r="F331" s="350">
        <v>45547.618750000001</v>
      </c>
      <c r="G331" s="349">
        <v>9</v>
      </c>
      <c r="H331" s="372" t="s">
        <v>2557</v>
      </c>
      <c r="I331" s="349">
        <v>16602</v>
      </c>
      <c r="J331" s="372" t="s">
        <v>7776</v>
      </c>
      <c r="K331" s="349">
        <v>1.99</v>
      </c>
      <c r="L331" s="349">
        <v>0</v>
      </c>
      <c r="M331" s="349">
        <v>0</v>
      </c>
      <c r="N331" s="349">
        <v>1</v>
      </c>
      <c r="O331" s="349">
        <f t="shared" si="2"/>
        <v>1.99</v>
      </c>
      <c r="P331" s="373">
        <f t="shared" si="3"/>
        <v>1.99</v>
      </c>
    </row>
    <row r="332" spans="1:16">
      <c r="A332" s="348">
        <v>479</v>
      </c>
      <c r="B332" s="349">
        <v>391</v>
      </c>
      <c r="C332" s="372" t="s">
        <v>7777</v>
      </c>
      <c r="D332" s="372" t="s">
        <v>45</v>
      </c>
      <c r="E332" s="372" t="s">
        <v>2556</v>
      </c>
      <c r="F332" s="350">
        <v>45547.62777777778</v>
      </c>
      <c r="G332" s="349">
        <v>9</v>
      </c>
      <c r="H332" s="372" t="s">
        <v>2557</v>
      </c>
      <c r="I332" s="349">
        <v>16614</v>
      </c>
      <c r="J332" s="372" t="s">
        <v>7778</v>
      </c>
      <c r="K332" s="349">
        <v>1.99</v>
      </c>
      <c r="L332" s="349">
        <v>0</v>
      </c>
      <c r="M332" s="349">
        <v>0</v>
      </c>
      <c r="N332" s="349">
        <v>1</v>
      </c>
      <c r="O332" s="349">
        <f t="shared" si="2"/>
        <v>1.99</v>
      </c>
      <c r="P332" s="373">
        <f t="shared" si="3"/>
        <v>1.99</v>
      </c>
    </row>
    <row r="333" spans="1:16">
      <c r="A333" s="348">
        <v>480</v>
      </c>
      <c r="B333" s="349">
        <v>392</v>
      </c>
      <c r="C333" s="372" t="s">
        <v>2876</v>
      </c>
      <c r="D333" s="372" t="s">
        <v>2582</v>
      </c>
      <c r="E333" s="372" t="s">
        <v>2556</v>
      </c>
      <c r="F333" s="350">
        <v>45547.638194444444</v>
      </c>
      <c r="G333" s="349">
        <v>9</v>
      </c>
      <c r="H333" s="372" t="s">
        <v>2557</v>
      </c>
      <c r="I333" s="349">
        <v>16626</v>
      </c>
      <c r="J333" s="372" t="s">
        <v>7779</v>
      </c>
      <c r="K333" s="349">
        <v>7.75</v>
      </c>
      <c r="L333" s="349">
        <v>0</v>
      </c>
      <c r="M333" s="349">
        <v>0</v>
      </c>
      <c r="N333" s="349">
        <v>7.11165</v>
      </c>
      <c r="O333" s="349">
        <f t="shared" si="2"/>
        <v>7.75</v>
      </c>
      <c r="P333" s="373">
        <f t="shared" si="3"/>
        <v>1.0897611665365985</v>
      </c>
    </row>
    <row r="334" spans="1:16">
      <c r="A334" s="348">
        <v>481</v>
      </c>
      <c r="B334" s="349">
        <v>333</v>
      </c>
      <c r="C334" s="372" t="s">
        <v>7713</v>
      </c>
      <c r="D334" s="372" t="s">
        <v>2582</v>
      </c>
      <c r="E334" s="372" t="s">
        <v>2556</v>
      </c>
      <c r="F334" s="350">
        <v>45547.862500000003</v>
      </c>
      <c r="G334" s="349">
        <v>9</v>
      </c>
      <c r="H334" s="372" t="s">
        <v>2557</v>
      </c>
      <c r="I334" s="349">
        <v>16638</v>
      </c>
      <c r="J334" s="372" t="s">
        <v>7780</v>
      </c>
      <c r="K334" s="349">
        <v>14.08</v>
      </c>
      <c r="L334" s="349">
        <v>0</v>
      </c>
      <c r="M334" s="349">
        <v>0</v>
      </c>
      <c r="N334" s="349">
        <v>7.11165</v>
      </c>
      <c r="O334" s="349">
        <f t="shared" si="2"/>
        <v>14.08</v>
      </c>
      <c r="P334" s="373">
        <f t="shared" si="3"/>
        <v>1.9798499644948782</v>
      </c>
    </row>
    <row r="335" spans="1:16">
      <c r="A335" s="348">
        <v>482</v>
      </c>
      <c r="B335" s="349">
        <v>333</v>
      </c>
      <c r="C335" s="372" t="s">
        <v>7713</v>
      </c>
      <c r="D335" s="372" t="s">
        <v>2582</v>
      </c>
      <c r="E335" s="372" t="s">
        <v>2556</v>
      </c>
      <c r="F335" s="350">
        <v>45547.875</v>
      </c>
      <c r="G335" s="349">
        <v>9</v>
      </c>
      <c r="H335" s="372" t="s">
        <v>2557</v>
      </c>
      <c r="I335" s="349">
        <v>16638</v>
      </c>
      <c r="J335" s="372"/>
      <c r="K335" s="349">
        <v>0.03</v>
      </c>
      <c r="L335" s="349">
        <v>0</v>
      </c>
      <c r="M335" s="349">
        <v>0</v>
      </c>
      <c r="N335" s="349">
        <v>7.11165</v>
      </c>
      <c r="O335" s="349">
        <f t="shared" si="2"/>
        <v>0.03</v>
      </c>
      <c r="P335" s="373">
        <f t="shared" si="3"/>
        <v>4.2184303220771553E-3</v>
      </c>
    </row>
    <row r="336" spans="1:16">
      <c r="A336" s="348">
        <v>483</v>
      </c>
      <c r="B336" s="349">
        <v>393</v>
      </c>
      <c r="C336" s="372" t="s">
        <v>7781</v>
      </c>
      <c r="D336" s="372" t="s">
        <v>45</v>
      </c>
      <c r="E336" s="372" t="s">
        <v>2556</v>
      </c>
      <c r="F336" s="350">
        <v>45547.911111111112</v>
      </c>
      <c r="G336" s="349">
        <v>9</v>
      </c>
      <c r="H336" s="372" t="s">
        <v>2557</v>
      </c>
      <c r="I336" s="349">
        <v>16650</v>
      </c>
      <c r="J336" s="372" t="s">
        <v>7782</v>
      </c>
      <c r="K336" s="349">
        <v>1.0900000000000001</v>
      </c>
      <c r="L336" s="349">
        <v>0</v>
      </c>
      <c r="M336" s="349">
        <v>0</v>
      </c>
      <c r="N336" s="349">
        <v>1</v>
      </c>
      <c r="O336" s="349">
        <f t="shared" si="2"/>
        <v>1.0900000000000001</v>
      </c>
      <c r="P336" s="373">
        <f t="shared" si="3"/>
        <v>1.0900000000000001</v>
      </c>
    </row>
    <row r="337" spans="1:16">
      <c r="A337" s="348">
        <v>484</v>
      </c>
      <c r="B337" s="349">
        <v>394</v>
      </c>
      <c r="C337" s="372" t="s">
        <v>7783</v>
      </c>
      <c r="D337" s="372" t="s">
        <v>45</v>
      </c>
      <c r="E337" s="372" t="s">
        <v>2556</v>
      </c>
      <c r="F337" s="350">
        <v>45547.925694444442</v>
      </c>
      <c r="G337" s="349">
        <v>9</v>
      </c>
      <c r="H337" s="372" t="s">
        <v>2557</v>
      </c>
      <c r="I337" s="349">
        <v>16662</v>
      </c>
      <c r="J337" s="372" t="s">
        <v>7784</v>
      </c>
      <c r="K337" s="349">
        <v>1.0900000000000001</v>
      </c>
      <c r="L337" s="349">
        <v>0</v>
      </c>
      <c r="M337" s="349">
        <v>0</v>
      </c>
      <c r="N337" s="349">
        <v>1</v>
      </c>
      <c r="O337" s="349">
        <f t="shared" si="2"/>
        <v>1.0900000000000001</v>
      </c>
      <c r="P337" s="373">
        <f t="shared" si="3"/>
        <v>1.0900000000000001</v>
      </c>
    </row>
    <row r="338" spans="1:16">
      <c r="A338" s="348">
        <v>485</v>
      </c>
      <c r="B338" s="349">
        <v>395</v>
      </c>
      <c r="C338" s="372" t="s">
        <v>7785</v>
      </c>
      <c r="D338" s="372" t="s">
        <v>45</v>
      </c>
      <c r="E338" s="372" t="s">
        <v>9</v>
      </c>
      <c r="F338" s="350">
        <v>45547.981249999997</v>
      </c>
      <c r="G338" s="349">
        <v>9</v>
      </c>
      <c r="H338" s="372" t="s">
        <v>2557</v>
      </c>
      <c r="I338" s="349">
        <v>16674</v>
      </c>
      <c r="J338" s="372" t="s">
        <v>7086</v>
      </c>
      <c r="K338" s="349">
        <v>1.99</v>
      </c>
      <c r="L338" s="349">
        <v>0.59</v>
      </c>
      <c r="M338" s="349">
        <v>0</v>
      </c>
      <c r="N338" s="349">
        <v>1</v>
      </c>
      <c r="O338" s="349">
        <f t="shared" si="2"/>
        <v>1.4</v>
      </c>
      <c r="P338" s="373">
        <f t="shared" si="3"/>
        <v>1.4</v>
      </c>
    </row>
    <row r="339" spans="1:16">
      <c r="A339" s="348">
        <v>486</v>
      </c>
      <c r="B339" s="349">
        <v>395</v>
      </c>
      <c r="C339" s="372" t="s">
        <v>7785</v>
      </c>
      <c r="D339" s="372" t="s">
        <v>45</v>
      </c>
      <c r="E339" s="372" t="s">
        <v>9</v>
      </c>
      <c r="F339" s="350">
        <v>45547.98333333333</v>
      </c>
      <c r="G339" s="349">
        <v>9</v>
      </c>
      <c r="H339" s="372" t="s">
        <v>2557</v>
      </c>
      <c r="I339" s="349">
        <v>16686</v>
      </c>
      <c r="J339" s="372" t="s">
        <v>7087</v>
      </c>
      <c r="K339" s="349">
        <v>1.0900000000000001</v>
      </c>
      <c r="L339" s="349">
        <v>0.54</v>
      </c>
      <c r="M339" s="349">
        <v>0</v>
      </c>
      <c r="N339" s="349">
        <v>1</v>
      </c>
      <c r="O339" s="349">
        <f t="shared" si="2"/>
        <v>0.55000000000000004</v>
      </c>
      <c r="P339" s="373">
        <f t="shared" si="3"/>
        <v>0.55000000000000004</v>
      </c>
    </row>
    <row r="340" spans="1:16">
      <c r="A340" s="348">
        <v>487</v>
      </c>
      <c r="B340" s="349">
        <v>396</v>
      </c>
      <c r="C340" s="372" t="s">
        <v>2674</v>
      </c>
      <c r="D340" s="372" t="s">
        <v>45</v>
      </c>
      <c r="E340" s="372" t="s">
        <v>2556</v>
      </c>
      <c r="F340" s="350">
        <v>45548</v>
      </c>
      <c r="G340" s="349">
        <v>9</v>
      </c>
      <c r="H340" s="372" t="s">
        <v>2557</v>
      </c>
      <c r="I340" s="349">
        <v>16698</v>
      </c>
      <c r="J340" s="372"/>
      <c r="K340" s="349">
        <v>0</v>
      </c>
      <c r="L340" s="349">
        <v>0</v>
      </c>
      <c r="M340" s="349">
        <v>0</v>
      </c>
      <c r="N340" s="349">
        <v>1</v>
      </c>
      <c r="O340" s="349">
        <f t="shared" si="2"/>
        <v>0</v>
      </c>
      <c r="P340" s="373">
        <f t="shared" si="3"/>
        <v>0</v>
      </c>
    </row>
    <row r="341" spans="1:16">
      <c r="A341" s="348">
        <v>493</v>
      </c>
      <c r="B341" s="349">
        <v>33</v>
      </c>
      <c r="C341" s="372" t="s">
        <v>7385</v>
      </c>
      <c r="D341" s="372" t="s">
        <v>45</v>
      </c>
      <c r="E341" s="372" t="s">
        <v>2572</v>
      </c>
      <c r="F341" s="350">
        <v>45548</v>
      </c>
      <c r="G341" s="349">
        <v>9</v>
      </c>
      <c r="H341" s="372" t="s">
        <v>2557</v>
      </c>
      <c r="I341" s="349">
        <v>16794</v>
      </c>
      <c r="J341" s="372"/>
      <c r="K341" s="349">
        <v>0</v>
      </c>
      <c r="L341" s="349">
        <v>0</v>
      </c>
      <c r="M341" s="349">
        <v>0</v>
      </c>
      <c r="N341" s="349">
        <v>1</v>
      </c>
      <c r="O341" s="349">
        <f t="shared" si="2"/>
        <v>0</v>
      </c>
      <c r="P341" s="373">
        <f t="shared" si="3"/>
        <v>0</v>
      </c>
    </row>
    <row r="342" spans="1:16">
      <c r="A342" s="348">
        <v>494</v>
      </c>
      <c r="B342" s="349">
        <v>321</v>
      </c>
      <c r="C342" s="372" t="s">
        <v>7786</v>
      </c>
      <c r="D342" s="372" t="s">
        <v>45</v>
      </c>
      <c r="E342" s="372" t="s">
        <v>2556</v>
      </c>
      <c r="F342" s="350">
        <v>45548</v>
      </c>
      <c r="G342" s="349">
        <v>9</v>
      </c>
      <c r="H342" s="372" t="s">
        <v>2557</v>
      </c>
      <c r="I342" s="349">
        <v>16806</v>
      </c>
      <c r="J342" s="372"/>
      <c r="K342" s="349">
        <v>0</v>
      </c>
      <c r="L342" s="349">
        <v>0</v>
      </c>
      <c r="M342" s="349">
        <v>0</v>
      </c>
      <c r="N342" s="349">
        <v>1</v>
      </c>
      <c r="O342" s="349">
        <f t="shared" si="2"/>
        <v>0</v>
      </c>
      <c r="P342" s="373">
        <f t="shared" si="3"/>
        <v>0</v>
      </c>
    </row>
    <row r="343" spans="1:16">
      <c r="A343" s="348">
        <v>488</v>
      </c>
      <c r="B343" s="349">
        <v>397</v>
      </c>
      <c r="C343" s="372" t="s">
        <v>7787</v>
      </c>
      <c r="D343" s="372" t="s">
        <v>45</v>
      </c>
      <c r="E343" s="372" t="s">
        <v>2556</v>
      </c>
      <c r="F343" s="350">
        <v>45548.021527777775</v>
      </c>
      <c r="G343" s="349">
        <v>9</v>
      </c>
      <c r="H343" s="372" t="s">
        <v>2557</v>
      </c>
      <c r="I343" s="349">
        <v>16710</v>
      </c>
      <c r="J343" s="372" t="s">
        <v>7788</v>
      </c>
      <c r="K343" s="349">
        <v>1.99</v>
      </c>
      <c r="L343" s="349">
        <v>0</v>
      </c>
      <c r="M343" s="349">
        <v>0</v>
      </c>
      <c r="N343" s="349">
        <v>1</v>
      </c>
      <c r="O343" s="349">
        <f t="shared" si="2"/>
        <v>1.99</v>
      </c>
      <c r="P343" s="373">
        <f t="shared" si="3"/>
        <v>1.99</v>
      </c>
    </row>
    <row r="344" spans="1:16">
      <c r="A344" s="348">
        <v>489</v>
      </c>
      <c r="B344" s="349">
        <v>398</v>
      </c>
      <c r="C344" s="372" t="s">
        <v>7789</v>
      </c>
      <c r="D344" s="372" t="s">
        <v>45</v>
      </c>
      <c r="E344" s="372" t="s">
        <v>2556</v>
      </c>
      <c r="F344" s="350">
        <v>45548.236805555556</v>
      </c>
      <c r="G344" s="349">
        <v>9</v>
      </c>
      <c r="H344" s="372" t="s">
        <v>2557</v>
      </c>
      <c r="I344" s="349">
        <v>16722</v>
      </c>
      <c r="J344" s="372" t="s">
        <v>7790</v>
      </c>
      <c r="K344" s="349">
        <v>1.0900000000000001</v>
      </c>
      <c r="L344" s="349">
        <v>0</v>
      </c>
      <c r="M344" s="349">
        <v>0</v>
      </c>
      <c r="N344" s="349">
        <v>1</v>
      </c>
      <c r="O344" s="349">
        <f t="shared" si="2"/>
        <v>1.0900000000000001</v>
      </c>
      <c r="P344" s="373">
        <f t="shared" si="3"/>
        <v>1.0900000000000001</v>
      </c>
    </row>
    <row r="345" spans="1:16">
      <c r="A345" s="348">
        <v>490</v>
      </c>
      <c r="B345" s="349">
        <v>399</v>
      </c>
      <c r="C345" s="372" t="s">
        <v>3035</v>
      </c>
      <c r="D345" s="372" t="s">
        <v>45</v>
      </c>
      <c r="E345" s="372" t="s">
        <v>2556</v>
      </c>
      <c r="F345" s="350">
        <v>45548.473611111112</v>
      </c>
      <c r="G345" s="349">
        <v>9</v>
      </c>
      <c r="H345" s="372" t="s">
        <v>2557</v>
      </c>
      <c r="I345" s="349">
        <v>16734</v>
      </c>
      <c r="J345" s="372" t="s">
        <v>7791</v>
      </c>
      <c r="K345" s="349">
        <v>11.99</v>
      </c>
      <c r="L345" s="349">
        <v>0</v>
      </c>
      <c r="M345" s="349">
        <v>0</v>
      </c>
      <c r="N345" s="349">
        <v>1</v>
      </c>
      <c r="O345" s="349">
        <f t="shared" si="2"/>
        <v>11.99</v>
      </c>
      <c r="P345" s="373">
        <f t="shared" si="3"/>
        <v>11.99</v>
      </c>
    </row>
    <row r="346" spans="1:16">
      <c r="A346" s="348">
        <v>491</v>
      </c>
      <c r="B346" s="349">
        <v>400</v>
      </c>
      <c r="C346" s="372" t="s">
        <v>7792</v>
      </c>
      <c r="D346" s="372" t="s">
        <v>2582</v>
      </c>
      <c r="E346" s="372" t="s">
        <v>2556</v>
      </c>
      <c r="F346" s="350">
        <v>45548.611111111109</v>
      </c>
      <c r="G346" s="349">
        <v>9</v>
      </c>
      <c r="H346" s="372" t="s">
        <v>2557</v>
      </c>
      <c r="I346" s="349">
        <v>16746</v>
      </c>
      <c r="J346" s="372" t="s">
        <v>7793</v>
      </c>
      <c r="K346" s="349">
        <v>7.76</v>
      </c>
      <c r="L346" s="349">
        <v>0</v>
      </c>
      <c r="M346" s="349">
        <v>0</v>
      </c>
      <c r="N346" s="349">
        <v>7.1206399999999999</v>
      </c>
      <c r="O346" s="349">
        <f t="shared" si="2"/>
        <v>7.76</v>
      </c>
      <c r="P346" s="373">
        <f t="shared" si="3"/>
        <v>1.0897896818263526</v>
      </c>
    </row>
    <row r="347" spans="1:16">
      <c r="A347" s="348">
        <v>492</v>
      </c>
      <c r="B347" s="349">
        <v>401</v>
      </c>
      <c r="C347" s="372" t="s">
        <v>2575</v>
      </c>
      <c r="D347" s="372" t="s">
        <v>45</v>
      </c>
      <c r="E347" s="372" t="s">
        <v>2556</v>
      </c>
      <c r="F347" s="350">
        <v>45548.904166666667</v>
      </c>
      <c r="G347" s="349">
        <v>9</v>
      </c>
      <c r="H347" s="372" t="s">
        <v>2557</v>
      </c>
      <c r="I347" s="349">
        <v>16770</v>
      </c>
      <c r="J347" s="372" t="s">
        <v>7794</v>
      </c>
      <c r="K347" s="349">
        <v>2.99</v>
      </c>
      <c r="L347" s="349">
        <v>0</v>
      </c>
      <c r="M347" s="349">
        <v>0</v>
      </c>
      <c r="N347" s="349">
        <v>1</v>
      </c>
      <c r="O347" s="349">
        <f t="shared" si="2"/>
        <v>2.99</v>
      </c>
      <c r="P347" s="373">
        <f t="shared" si="3"/>
        <v>2.99</v>
      </c>
    </row>
    <row r="348" spans="1:16">
      <c r="A348" s="348">
        <v>495</v>
      </c>
      <c r="B348" s="349">
        <v>403</v>
      </c>
      <c r="C348" s="372" t="s">
        <v>7795</v>
      </c>
      <c r="D348" s="372" t="s">
        <v>45</v>
      </c>
      <c r="E348" s="372" t="s">
        <v>2556</v>
      </c>
      <c r="F348" s="350">
        <v>45548.976388888892</v>
      </c>
      <c r="G348" s="349">
        <v>9</v>
      </c>
      <c r="H348" s="372" t="s">
        <v>2557</v>
      </c>
      <c r="I348" s="349">
        <v>16818</v>
      </c>
      <c r="J348" s="372" t="s">
        <v>7796</v>
      </c>
      <c r="K348" s="349">
        <v>1.0900000000000001</v>
      </c>
      <c r="L348" s="349">
        <v>0</v>
      </c>
      <c r="M348" s="349">
        <v>0</v>
      </c>
      <c r="N348" s="349">
        <v>1</v>
      </c>
      <c r="O348" s="349">
        <f t="shared" si="2"/>
        <v>1.0900000000000001</v>
      </c>
      <c r="P348" s="373">
        <f t="shared" si="3"/>
        <v>1.0900000000000001</v>
      </c>
    </row>
    <row r="349" spans="1:16">
      <c r="A349" s="348">
        <v>496</v>
      </c>
      <c r="B349" s="349">
        <v>33</v>
      </c>
      <c r="C349" s="372" t="s">
        <v>7385</v>
      </c>
      <c r="D349" s="372" t="s">
        <v>45</v>
      </c>
      <c r="E349" s="372" t="s">
        <v>2572</v>
      </c>
      <c r="F349" s="350">
        <v>45549</v>
      </c>
      <c r="G349" s="349">
        <v>9</v>
      </c>
      <c r="H349" s="372" t="s">
        <v>2557</v>
      </c>
      <c r="I349" s="349">
        <v>16830</v>
      </c>
      <c r="J349" s="372"/>
      <c r="K349" s="349">
        <v>0</v>
      </c>
      <c r="L349" s="349">
        <v>0</v>
      </c>
      <c r="M349" s="349">
        <v>0</v>
      </c>
      <c r="N349" s="349">
        <v>1</v>
      </c>
      <c r="O349" s="349">
        <f t="shared" si="2"/>
        <v>0</v>
      </c>
      <c r="P349" s="373">
        <f t="shared" si="3"/>
        <v>0</v>
      </c>
    </row>
    <row r="350" spans="1:16">
      <c r="A350" s="348">
        <v>499</v>
      </c>
      <c r="B350" s="349">
        <v>127</v>
      </c>
      <c r="C350" s="372" t="s">
        <v>7478</v>
      </c>
      <c r="D350" s="372" t="s">
        <v>45</v>
      </c>
      <c r="E350" s="372" t="s">
        <v>2556</v>
      </c>
      <c r="F350" s="350">
        <v>45549</v>
      </c>
      <c r="G350" s="349">
        <v>9</v>
      </c>
      <c r="H350" s="372" t="s">
        <v>2557</v>
      </c>
      <c r="I350" s="349">
        <v>16866</v>
      </c>
      <c r="J350" s="372"/>
      <c r="K350" s="349">
        <v>0</v>
      </c>
      <c r="L350" s="349">
        <v>0</v>
      </c>
      <c r="M350" s="349">
        <v>0</v>
      </c>
      <c r="N350" s="349">
        <v>1</v>
      </c>
      <c r="O350" s="349">
        <f t="shared" si="2"/>
        <v>0</v>
      </c>
      <c r="P350" s="373">
        <f t="shared" si="3"/>
        <v>0</v>
      </c>
    </row>
    <row r="351" spans="1:16">
      <c r="A351" s="348">
        <v>497</v>
      </c>
      <c r="B351" s="349">
        <v>405</v>
      </c>
      <c r="C351" s="372" t="s">
        <v>7797</v>
      </c>
      <c r="D351" s="372" t="s">
        <v>2582</v>
      </c>
      <c r="E351" s="372" t="s">
        <v>2556</v>
      </c>
      <c r="F351" s="350">
        <v>45549.065972222219</v>
      </c>
      <c r="G351" s="349">
        <v>9</v>
      </c>
      <c r="H351" s="372" t="s">
        <v>2557</v>
      </c>
      <c r="I351" s="349">
        <v>16842</v>
      </c>
      <c r="J351" s="372" t="s">
        <v>7798</v>
      </c>
      <c r="K351" s="349">
        <v>7.76</v>
      </c>
      <c r="L351" s="349">
        <v>0</v>
      </c>
      <c r="M351" s="349">
        <v>0</v>
      </c>
      <c r="N351" s="349">
        <v>7.1206399999999999</v>
      </c>
      <c r="O351" s="349">
        <f t="shared" si="2"/>
        <v>7.76</v>
      </c>
      <c r="P351" s="373">
        <f t="shared" si="3"/>
        <v>1.0897896818263526</v>
      </c>
    </row>
    <row r="352" spans="1:16">
      <c r="A352" s="348">
        <v>498</v>
      </c>
      <c r="B352" s="349">
        <v>114</v>
      </c>
      <c r="C352" s="372" t="s">
        <v>7518</v>
      </c>
      <c r="D352" s="372" t="s">
        <v>45</v>
      </c>
      <c r="E352" s="372" t="s">
        <v>2556</v>
      </c>
      <c r="F352" s="350">
        <v>45549.302083333336</v>
      </c>
      <c r="G352" s="349">
        <v>9</v>
      </c>
      <c r="H352" s="372" t="s">
        <v>2557</v>
      </c>
      <c r="I352" s="349">
        <v>16854</v>
      </c>
      <c r="J352" s="372" t="s">
        <v>7799</v>
      </c>
      <c r="K352" s="349">
        <v>1.0900000000000001</v>
      </c>
      <c r="L352" s="349">
        <v>0</v>
      </c>
      <c r="M352" s="349">
        <v>0</v>
      </c>
      <c r="N352" s="349">
        <v>1</v>
      </c>
      <c r="O352" s="349">
        <f t="shared" si="2"/>
        <v>1.0900000000000001</v>
      </c>
      <c r="P352" s="373">
        <f t="shared" si="3"/>
        <v>1.0900000000000001</v>
      </c>
    </row>
    <row r="353" spans="1:16">
      <c r="A353" s="348">
        <v>500</v>
      </c>
      <c r="B353" s="349">
        <v>406</v>
      </c>
      <c r="C353" s="372" t="s">
        <v>7800</v>
      </c>
      <c r="D353" s="372" t="s">
        <v>45</v>
      </c>
      <c r="E353" s="372" t="s">
        <v>2556</v>
      </c>
      <c r="F353" s="350">
        <v>45549.631944444445</v>
      </c>
      <c r="G353" s="349">
        <v>9</v>
      </c>
      <c r="H353" s="372" t="s">
        <v>2557</v>
      </c>
      <c r="I353" s="349">
        <v>16878</v>
      </c>
      <c r="J353" s="372" t="s">
        <v>7801</v>
      </c>
      <c r="K353" s="349">
        <v>1.0900000000000001</v>
      </c>
      <c r="L353" s="349">
        <v>0</v>
      </c>
      <c r="M353" s="349">
        <v>0</v>
      </c>
      <c r="N353" s="349">
        <v>1</v>
      </c>
      <c r="O353" s="349">
        <f t="shared" si="2"/>
        <v>1.0900000000000001</v>
      </c>
      <c r="P353" s="373">
        <f t="shared" si="3"/>
        <v>1.0900000000000001</v>
      </c>
    </row>
    <row r="354" spans="1:16">
      <c r="A354" s="348">
        <v>503</v>
      </c>
      <c r="B354" s="349">
        <v>360</v>
      </c>
      <c r="C354" s="372" t="s">
        <v>7802</v>
      </c>
      <c r="D354" s="372" t="s">
        <v>45</v>
      </c>
      <c r="E354" s="372" t="s">
        <v>2556</v>
      </c>
      <c r="F354" s="350">
        <v>45550</v>
      </c>
      <c r="G354" s="349">
        <v>9</v>
      </c>
      <c r="H354" s="372" t="s">
        <v>2557</v>
      </c>
      <c r="I354" s="349">
        <v>16938</v>
      </c>
      <c r="J354" s="372"/>
      <c r="K354" s="349">
        <v>0</v>
      </c>
      <c r="L354" s="349">
        <v>0</v>
      </c>
      <c r="M354" s="349">
        <v>0</v>
      </c>
      <c r="N354" s="349">
        <v>1</v>
      </c>
      <c r="O354" s="349">
        <f t="shared" si="2"/>
        <v>0</v>
      </c>
      <c r="P354" s="373">
        <f t="shared" si="3"/>
        <v>0</v>
      </c>
    </row>
    <row r="355" spans="1:16">
      <c r="A355" s="348">
        <v>504</v>
      </c>
      <c r="B355" s="349">
        <v>411</v>
      </c>
      <c r="C355" s="372" t="s">
        <v>7803</v>
      </c>
      <c r="D355" s="372" t="s">
        <v>45</v>
      </c>
      <c r="E355" s="372" t="s">
        <v>2556</v>
      </c>
      <c r="F355" s="350">
        <v>45550</v>
      </c>
      <c r="G355" s="349">
        <v>9</v>
      </c>
      <c r="H355" s="372" t="s">
        <v>2557</v>
      </c>
      <c r="I355" s="349">
        <v>16950</v>
      </c>
      <c r="J355" s="372"/>
      <c r="K355" s="349">
        <v>0</v>
      </c>
      <c r="L355" s="349">
        <v>0</v>
      </c>
      <c r="M355" s="349">
        <v>0</v>
      </c>
      <c r="N355" s="349">
        <v>1</v>
      </c>
      <c r="O355" s="349">
        <f t="shared" si="2"/>
        <v>0</v>
      </c>
      <c r="P355" s="373">
        <f t="shared" si="3"/>
        <v>0</v>
      </c>
    </row>
    <row r="356" spans="1:16">
      <c r="A356" s="348">
        <v>501</v>
      </c>
      <c r="B356" s="349">
        <v>408</v>
      </c>
      <c r="C356" s="372" t="s">
        <v>7804</v>
      </c>
      <c r="D356" s="372" t="s">
        <v>45</v>
      </c>
      <c r="E356" s="372" t="s">
        <v>2556</v>
      </c>
      <c r="F356" s="350">
        <v>45550.606249999997</v>
      </c>
      <c r="G356" s="349">
        <v>9</v>
      </c>
      <c r="H356" s="372" t="s">
        <v>2557</v>
      </c>
      <c r="I356" s="349">
        <v>16914</v>
      </c>
      <c r="J356" s="372" t="s">
        <v>7805</v>
      </c>
      <c r="K356" s="349">
        <v>1.0900000000000001</v>
      </c>
      <c r="L356" s="349">
        <v>0</v>
      </c>
      <c r="M356" s="349">
        <v>0</v>
      </c>
      <c r="N356" s="349">
        <v>1</v>
      </c>
      <c r="O356" s="349">
        <f t="shared" si="2"/>
        <v>1.0900000000000001</v>
      </c>
      <c r="P356" s="373">
        <f t="shared" si="3"/>
        <v>1.0900000000000001</v>
      </c>
    </row>
    <row r="357" spans="1:16">
      <c r="A357" s="348">
        <v>502</v>
      </c>
      <c r="B357" s="349">
        <v>409</v>
      </c>
      <c r="C357" s="372" t="s">
        <v>7806</v>
      </c>
      <c r="D357" s="372" t="s">
        <v>45</v>
      </c>
      <c r="E357" s="372" t="s">
        <v>2556</v>
      </c>
      <c r="F357" s="350">
        <v>45550.792361111111</v>
      </c>
      <c r="G357" s="349">
        <v>9</v>
      </c>
      <c r="H357" s="372" t="s">
        <v>2557</v>
      </c>
      <c r="I357" s="349">
        <v>16926</v>
      </c>
      <c r="J357" s="372" t="s">
        <v>7807</v>
      </c>
      <c r="K357" s="349">
        <v>1.0900000000000001</v>
      </c>
      <c r="L357" s="349">
        <v>0</v>
      </c>
      <c r="M357" s="349">
        <v>0</v>
      </c>
      <c r="N357" s="349">
        <v>1</v>
      </c>
      <c r="O357" s="349">
        <f t="shared" si="2"/>
        <v>1.0900000000000001</v>
      </c>
      <c r="P357" s="373">
        <f t="shared" si="3"/>
        <v>1.0900000000000001</v>
      </c>
    </row>
    <row r="358" spans="1:16">
      <c r="A358" s="348">
        <v>506</v>
      </c>
      <c r="B358" s="349">
        <v>33</v>
      </c>
      <c r="C358" s="372" t="s">
        <v>7385</v>
      </c>
      <c r="D358" s="372" t="s">
        <v>45</v>
      </c>
      <c r="E358" s="372" t="s">
        <v>2556</v>
      </c>
      <c r="F358" s="350">
        <v>45551</v>
      </c>
      <c r="G358" s="349">
        <v>9</v>
      </c>
      <c r="H358" s="372" t="s">
        <v>2557</v>
      </c>
      <c r="I358" s="349">
        <v>16974</v>
      </c>
      <c r="J358" s="372"/>
      <c r="K358" s="349">
        <v>0</v>
      </c>
      <c r="L358" s="349">
        <v>0</v>
      </c>
      <c r="M358" s="349">
        <v>0</v>
      </c>
      <c r="N358" s="349">
        <v>1</v>
      </c>
      <c r="O358" s="349">
        <f t="shared" si="2"/>
        <v>0</v>
      </c>
      <c r="P358" s="373">
        <f t="shared" si="3"/>
        <v>0</v>
      </c>
    </row>
    <row r="359" spans="1:16">
      <c r="A359" s="348">
        <v>507</v>
      </c>
      <c r="B359" s="349">
        <v>33</v>
      </c>
      <c r="C359" s="372" t="s">
        <v>7385</v>
      </c>
      <c r="D359" s="372" t="s">
        <v>45</v>
      </c>
      <c r="E359" s="372" t="s">
        <v>2556</v>
      </c>
      <c r="F359" s="350">
        <v>45551</v>
      </c>
      <c r="G359" s="349">
        <v>9</v>
      </c>
      <c r="H359" s="372" t="s">
        <v>2557</v>
      </c>
      <c r="I359" s="349">
        <v>16986</v>
      </c>
      <c r="J359" s="372"/>
      <c r="K359" s="349">
        <v>0</v>
      </c>
      <c r="L359" s="349">
        <v>0</v>
      </c>
      <c r="M359" s="349">
        <v>0</v>
      </c>
      <c r="N359" s="349">
        <v>1</v>
      </c>
      <c r="O359" s="349">
        <f t="shared" si="2"/>
        <v>0</v>
      </c>
      <c r="P359" s="373">
        <f t="shared" si="3"/>
        <v>0</v>
      </c>
    </row>
    <row r="360" spans="1:16">
      <c r="A360" s="348">
        <v>505</v>
      </c>
      <c r="B360" s="349">
        <v>413</v>
      </c>
      <c r="C360" s="372" t="s">
        <v>5792</v>
      </c>
      <c r="D360" s="372" t="s">
        <v>45</v>
      </c>
      <c r="E360" s="372" t="s">
        <v>2556</v>
      </c>
      <c r="F360" s="350">
        <v>45551.129861111112</v>
      </c>
      <c r="G360" s="349">
        <v>9</v>
      </c>
      <c r="H360" s="372" t="s">
        <v>2557</v>
      </c>
      <c r="I360" s="349">
        <v>16962</v>
      </c>
      <c r="J360" s="372" t="s">
        <v>7808</v>
      </c>
      <c r="K360" s="349">
        <v>11.99</v>
      </c>
      <c r="L360" s="349">
        <v>0</v>
      </c>
      <c r="M360" s="349">
        <v>0</v>
      </c>
      <c r="N360" s="349">
        <v>1</v>
      </c>
      <c r="O360" s="349">
        <f t="shared" si="2"/>
        <v>11.99</v>
      </c>
      <c r="P360" s="373">
        <f t="shared" si="3"/>
        <v>11.99</v>
      </c>
    </row>
    <row r="361" spans="1:16">
      <c r="A361" s="348">
        <v>508</v>
      </c>
      <c r="B361" s="349">
        <v>97</v>
      </c>
      <c r="C361" s="372" t="s">
        <v>4317</v>
      </c>
      <c r="D361" s="372" t="s">
        <v>2582</v>
      </c>
      <c r="E361" s="372" t="s">
        <v>2556</v>
      </c>
      <c r="F361" s="350">
        <v>45551.956944444442</v>
      </c>
      <c r="G361" s="349">
        <v>9</v>
      </c>
      <c r="H361" s="372" t="s">
        <v>2557</v>
      </c>
      <c r="I361" s="349">
        <v>12135</v>
      </c>
      <c r="J361" s="372" t="s">
        <v>7809</v>
      </c>
      <c r="K361" s="349">
        <v>14.55</v>
      </c>
      <c r="L361" s="349">
        <v>0</v>
      </c>
      <c r="M361" s="349">
        <v>0</v>
      </c>
      <c r="N361" s="349">
        <v>7.0962899999999998</v>
      </c>
      <c r="O361" s="349">
        <f t="shared" si="2"/>
        <v>14.55</v>
      </c>
      <c r="P361" s="373">
        <f t="shared" si="3"/>
        <v>2.0503671636869409</v>
      </c>
    </row>
    <row r="362" spans="1:16">
      <c r="A362" s="348">
        <v>512</v>
      </c>
      <c r="B362" s="349">
        <v>417</v>
      </c>
      <c r="C362" s="372" t="s">
        <v>2682</v>
      </c>
      <c r="D362" s="372" t="s">
        <v>2582</v>
      </c>
      <c r="E362" s="372" t="s">
        <v>2556</v>
      </c>
      <c r="F362" s="350">
        <v>45552</v>
      </c>
      <c r="G362" s="349">
        <v>9</v>
      </c>
      <c r="H362" s="372" t="s">
        <v>2557</v>
      </c>
      <c r="I362" s="349">
        <v>17071</v>
      </c>
      <c r="J362" s="372"/>
      <c r="K362" s="349">
        <v>0</v>
      </c>
      <c r="L362" s="349">
        <v>0</v>
      </c>
      <c r="M362" s="349">
        <v>0</v>
      </c>
      <c r="N362" s="349">
        <v>7.09626</v>
      </c>
      <c r="O362" s="349">
        <f t="shared" si="2"/>
        <v>0</v>
      </c>
      <c r="P362" s="373">
        <f t="shared" si="3"/>
        <v>0</v>
      </c>
    </row>
    <row r="363" spans="1:16">
      <c r="A363" s="348">
        <v>511</v>
      </c>
      <c r="B363" s="349">
        <v>416</v>
      </c>
      <c r="C363" s="372" t="s">
        <v>7810</v>
      </c>
      <c r="D363" s="372" t="s">
        <v>2582</v>
      </c>
      <c r="E363" s="372" t="s">
        <v>2556</v>
      </c>
      <c r="F363" s="350">
        <v>45552</v>
      </c>
      <c r="G363" s="349">
        <v>9</v>
      </c>
      <c r="H363" s="372" t="s">
        <v>2557</v>
      </c>
      <c r="I363" s="349">
        <v>17035</v>
      </c>
      <c r="J363" s="372"/>
      <c r="K363" s="349">
        <v>0</v>
      </c>
      <c r="L363" s="349">
        <v>0</v>
      </c>
      <c r="M363" s="349">
        <v>0</v>
      </c>
      <c r="N363" s="349">
        <v>7.0962899999999998</v>
      </c>
      <c r="O363" s="349">
        <f t="shared" si="2"/>
        <v>0</v>
      </c>
      <c r="P363" s="373">
        <f t="shared" si="3"/>
        <v>0</v>
      </c>
    </row>
    <row r="364" spans="1:16">
      <c r="A364" s="348">
        <v>518</v>
      </c>
      <c r="B364" s="349">
        <v>254</v>
      </c>
      <c r="C364" s="372" t="s">
        <v>2751</v>
      </c>
      <c r="D364" s="372" t="s">
        <v>2582</v>
      </c>
      <c r="E364" s="372" t="s">
        <v>2556</v>
      </c>
      <c r="F364" s="350">
        <v>45553.75277777778</v>
      </c>
      <c r="G364" s="349">
        <v>9</v>
      </c>
      <c r="H364" s="372" t="s">
        <v>2557</v>
      </c>
      <c r="I364" s="349">
        <v>17167</v>
      </c>
      <c r="J364" s="372" t="s">
        <v>7811</v>
      </c>
      <c r="K364" s="349">
        <v>7.74</v>
      </c>
      <c r="L364" s="349">
        <v>0</v>
      </c>
      <c r="M364" s="349">
        <v>0</v>
      </c>
      <c r="N364" s="349">
        <v>7.09633</v>
      </c>
      <c r="O364" s="349">
        <f t="shared" si="2"/>
        <v>7.74</v>
      </c>
      <c r="P364" s="373">
        <f t="shared" si="3"/>
        <v>1.0907046318308196</v>
      </c>
    </row>
    <row r="365" spans="1:16">
      <c r="A365" s="348">
        <v>519</v>
      </c>
      <c r="B365" s="349">
        <v>420</v>
      </c>
      <c r="C365" s="372" t="s">
        <v>2575</v>
      </c>
      <c r="D365" s="372" t="s">
        <v>45</v>
      </c>
      <c r="E365" s="372" t="s">
        <v>2556</v>
      </c>
      <c r="F365" s="350">
        <v>45553.850694444445</v>
      </c>
      <c r="G365" s="349">
        <v>9</v>
      </c>
      <c r="H365" s="372" t="s">
        <v>2557</v>
      </c>
      <c r="I365" s="349">
        <v>17179</v>
      </c>
      <c r="J365" s="372" t="s">
        <v>7812</v>
      </c>
      <c r="K365" s="349">
        <v>1.0900000000000001</v>
      </c>
      <c r="L365" s="349">
        <v>0</v>
      </c>
      <c r="M365" s="349">
        <v>0</v>
      </c>
      <c r="N365" s="349">
        <v>1</v>
      </c>
      <c r="O365" s="349">
        <f t="shared" si="2"/>
        <v>1.0900000000000001</v>
      </c>
      <c r="P365" s="373">
        <f t="shared" si="3"/>
        <v>1.0900000000000001</v>
      </c>
    </row>
    <row r="366" spans="1:16">
      <c r="A366" s="348">
        <v>520</v>
      </c>
      <c r="B366" s="349">
        <v>422</v>
      </c>
      <c r="C366" s="372" t="s">
        <v>7813</v>
      </c>
      <c r="D366" s="372" t="s">
        <v>45</v>
      </c>
      <c r="E366" s="372" t="s">
        <v>2556</v>
      </c>
      <c r="F366" s="350">
        <v>45553.918055555558</v>
      </c>
      <c r="G366" s="349">
        <v>9</v>
      </c>
      <c r="H366" s="372" t="s">
        <v>2557</v>
      </c>
      <c r="I366" s="349">
        <v>17215</v>
      </c>
      <c r="J366" s="372" t="s">
        <v>7814</v>
      </c>
      <c r="K366" s="349">
        <v>1.0900000000000001</v>
      </c>
      <c r="L366" s="349">
        <v>0</v>
      </c>
      <c r="M366" s="349">
        <v>0</v>
      </c>
      <c r="N366" s="349">
        <v>1</v>
      </c>
      <c r="O366" s="349">
        <f t="shared" si="2"/>
        <v>1.0900000000000001</v>
      </c>
      <c r="P366" s="373">
        <f t="shared" si="3"/>
        <v>1.0900000000000001</v>
      </c>
    </row>
    <row r="367" spans="1:16">
      <c r="A367" s="348">
        <v>521</v>
      </c>
      <c r="B367" s="349">
        <v>178</v>
      </c>
      <c r="C367" s="372" t="s">
        <v>7556</v>
      </c>
      <c r="D367" s="372" t="s">
        <v>45</v>
      </c>
      <c r="E367" s="372" t="s">
        <v>9</v>
      </c>
      <c r="F367" s="350">
        <v>45553.926388888889</v>
      </c>
      <c r="G367" s="349">
        <v>9</v>
      </c>
      <c r="H367" s="372" t="s">
        <v>2557</v>
      </c>
      <c r="I367" s="349">
        <v>17239</v>
      </c>
      <c r="J367" s="372" t="s">
        <v>7089</v>
      </c>
      <c r="K367" s="349">
        <v>2.99</v>
      </c>
      <c r="L367" s="349">
        <v>0.64</v>
      </c>
      <c r="M367" s="349">
        <v>0</v>
      </c>
      <c r="N367" s="349">
        <v>1</v>
      </c>
      <c r="O367" s="349">
        <f t="shared" si="2"/>
        <v>2.35</v>
      </c>
      <c r="P367" s="373">
        <f t="shared" si="3"/>
        <v>2.35</v>
      </c>
    </row>
    <row r="368" spans="1:16">
      <c r="A368" s="348">
        <v>522</v>
      </c>
      <c r="B368" s="349">
        <v>178</v>
      </c>
      <c r="C368" s="372" t="s">
        <v>7556</v>
      </c>
      <c r="D368" s="372" t="s">
        <v>45</v>
      </c>
      <c r="E368" s="372" t="s">
        <v>9</v>
      </c>
      <c r="F368" s="350">
        <v>45553.973611111112</v>
      </c>
      <c r="G368" s="349">
        <v>9</v>
      </c>
      <c r="H368" s="372" t="s">
        <v>7815</v>
      </c>
      <c r="I368" s="349">
        <v>17239</v>
      </c>
      <c r="J368" s="372" t="s">
        <v>7091</v>
      </c>
      <c r="K368" s="349">
        <v>0</v>
      </c>
      <c r="L368" s="349">
        <v>-0.64</v>
      </c>
      <c r="M368" s="349">
        <v>2.99</v>
      </c>
      <c r="N368" s="349">
        <v>1</v>
      </c>
      <c r="O368" s="349">
        <f t="shared" si="2"/>
        <v>-2.35</v>
      </c>
      <c r="P368" s="373">
        <f t="shared" si="3"/>
        <v>-2.35</v>
      </c>
    </row>
    <row r="369" spans="1:16">
      <c r="A369" s="348">
        <v>523</v>
      </c>
      <c r="B369" s="349">
        <v>424</v>
      </c>
      <c r="C369" s="372" t="s">
        <v>7816</v>
      </c>
      <c r="D369" s="372" t="s">
        <v>2582</v>
      </c>
      <c r="E369" s="372" t="s">
        <v>2556</v>
      </c>
      <c r="F369" s="350">
        <v>45553.974999999999</v>
      </c>
      <c r="G369" s="349">
        <v>9</v>
      </c>
      <c r="H369" s="372" t="s">
        <v>2557</v>
      </c>
      <c r="I369" s="349">
        <v>17251</v>
      </c>
      <c r="J369" s="372" t="s">
        <v>7817</v>
      </c>
      <c r="K369" s="349">
        <v>7.74</v>
      </c>
      <c r="L369" s="349">
        <v>0</v>
      </c>
      <c r="M369" s="349">
        <v>0</v>
      </c>
      <c r="N369" s="349">
        <v>7.09633</v>
      </c>
      <c r="O369" s="349">
        <f t="shared" si="2"/>
        <v>7.74</v>
      </c>
      <c r="P369" s="373">
        <f t="shared" si="3"/>
        <v>1.0907046318308196</v>
      </c>
    </row>
    <row r="370" spans="1:16">
      <c r="A370" s="348">
        <v>524</v>
      </c>
      <c r="B370" s="349">
        <v>390</v>
      </c>
      <c r="C370" s="372" t="s">
        <v>7775</v>
      </c>
      <c r="D370" s="372" t="s">
        <v>45</v>
      </c>
      <c r="E370" s="372" t="s">
        <v>2556</v>
      </c>
      <c r="F370" s="350">
        <v>45553.993750000001</v>
      </c>
      <c r="G370" s="349">
        <v>9</v>
      </c>
      <c r="H370" s="372" t="s">
        <v>2557</v>
      </c>
      <c r="I370" s="349">
        <v>17263</v>
      </c>
      <c r="J370" s="372" t="s">
        <v>7818</v>
      </c>
      <c r="K370" s="349">
        <v>4.79</v>
      </c>
      <c r="L370" s="349">
        <v>0</v>
      </c>
      <c r="M370" s="349">
        <v>0</v>
      </c>
      <c r="N370" s="349">
        <v>1</v>
      </c>
      <c r="O370" s="349">
        <f t="shared" si="2"/>
        <v>4.79</v>
      </c>
      <c r="P370" s="373">
        <f t="shared" si="3"/>
        <v>4.79</v>
      </c>
    </row>
    <row r="371" spans="1:16">
      <c r="A371" s="348">
        <v>530</v>
      </c>
      <c r="B371" s="349">
        <v>504</v>
      </c>
      <c r="C371" s="372" t="s">
        <v>7819</v>
      </c>
      <c r="D371" s="372" t="s">
        <v>45</v>
      </c>
      <c r="E371" s="372" t="s">
        <v>2556</v>
      </c>
      <c r="F371" s="350">
        <v>45554</v>
      </c>
      <c r="G371" s="349">
        <v>9</v>
      </c>
      <c r="H371" s="372" t="s">
        <v>2557</v>
      </c>
      <c r="I371" s="349">
        <v>17443</v>
      </c>
      <c r="J371" s="372"/>
      <c r="K371" s="349">
        <v>0</v>
      </c>
      <c r="L371" s="349">
        <v>0</v>
      </c>
      <c r="M371" s="349">
        <v>0</v>
      </c>
      <c r="N371" s="349">
        <v>1</v>
      </c>
      <c r="O371" s="349">
        <f t="shared" si="2"/>
        <v>0</v>
      </c>
      <c r="P371" s="373">
        <f t="shared" si="3"/>
        <v>0</v>
      </c>
    </row>
    <row r="372" spans="1:16">
      <c r="A372" s="348">
        <v>532</v>
      </c>
      <c r="B372" s="349">
        <v>154</v>
      </c>
      <c r="C372" s="372" t="s">
        <v>7820</v>
      </c>
      <c r="D372" s="372" t="s">
        <v>2582</v>
      </c>
      <c r="E372" s="372" t="s">
        <v>2556</v>
      </c>
      <c r="F372" s="350">
        <v>45554</v>
      </c>
      <c r="G372" s="349">
        <v>9</v>
      </c>
      <c r="H372" s="372" t="s">
        <v>7821</v>
      </c>
      <c r="I372" s="349">
        <v>13061</v>
      </c>
      <c r="J372" s="372" t="s">
        <v>7822</v>
      </c>
      <c r="K372" s="349">
        <v>14.38</v>
      </c>
      <c r="L372" s="349">
        <v>0</v>
      </c>
      <c r="M372" s="349">
        <v>0</v>
      </c>
      <c r="N372" s="349">
        <v>7.0835100000000004</v>
      </c>
      <c r="O372" s="349">
        <f t="shared" si="2"/>
        <v>14.38</v>
      </c>
      <c r="P372" s="373">
        <f t="shared" si="3"/>
        <v>2.0300670147991604</v>
      </c>
    </row>
    <row r="373" spans="1:16">
      <c r="A373" s="348">
        <v>533</v>
      </c>
      <c r="B373" s="349">
        <v>75</v>
      </c>
      <c r="C373" s="372" t="s">
        <v>5029</v>
      </c>
      <c r="D373" s="372" t="s">
        <v>45</v>
      </c>
      <c r="E373" s="372" t="s">
        <v>2556</v>
      </c>
      <c r="F373" s="350">
        <v>45554</v>
      </c>
      <c r="G373" s="349">
        <v>9</v>
      </c>
      <c r="H373" s="372" t="s">
        <v>2557</v>
      </c>
      <c r="I373" s="349">
        <v>17479</v>
      </c>
      <c r="J373" s="372"/>
      <c r="K373" s="349">
        <v>0</v>
      </c>
      <c r="L373" s="349">
        <v>0</v>
      </c>
      <c r="M373" s="349">
        <v>0</v>
      </c>
      <c r="N373" s="349">
        <v>1</v>
      </c>
      <c r="O373" s="349">
        <f t="shared" si="2"/>
        <v>0</v>
      </c>
      <c r="P373" s="373">
        <f t="shared" si="3"/>
        <v>0</v>
      </c>
    </row>
    <row r="374" spans="1:16">
      <c r="A374" s="348">
        <v>534</v>
      </c>
      <c r="B374" s="349">
        <v>154</v>
      </c>
      <c r="C374" s="372" t="s">
        <v>7820</v>
      </c>
      <c r="D374" s="372" t="s">
        <v>2582</v>
      </c>
      <c r="E374" s="372" t="s">
        <v>2556</v>
      </c>
      <c r="F374" s="350">
        <v>45554</v>
      </c>
      <c r="G374" s="349">
        <v>9</v>
      </c>
      <c r="H374" s="372" t="s">
        <v>2557</v>
      </c>
      <c r="I374" s="349">
        <v>17467</v>
      </c>
      <c r="J374" s="372"/>
      <c r="K374" s="349">
        <v>0</v>
      </c>
      <c r="L374" s="349">
        <v>0</v>
      </c>
      <c r="M374" s="349">
        <v>0</v>
      </c>
      <c r="N374" s="349">
        <v>7.0835100000000004</v>
      </c>
      <c r="O374" s="349">
        <f t="shared" si="2"/>
        <v>0</v>
      </c>
      <c r="P374" s="373">
        <f t="shared" si="3"/>
        <v>0</v>
      </c>
    </row>
    <row r="375" spans="1:16">
      <c r="A375" s="348">
        <v>537</v>
      </c>
      <c r="B375" s="349">
        <v>32</v>
      </c>
      <c r="C375" s="372" t="s">
        <v>7379</v>
      </c>
      <c r="D375" s="372" t="s">
        <v>45</v>
      </c>
      <c r="E375" s="372" t="s">
        <v>2556</v>
      </c>
      <c r="F375" s="350">
        <v>45554</v>
      </c>
      <c r="G375" s="349">
        <v>9</v>
      </c>
      <c r="H375" s="372" t="s">
        <v>2557</v>
      </c>
      <c r="I375" s="349">
        <v>17515</v>
      </c>
      <c r="J375" s="372"/>
      <c r="K375" s="349">
        <v>0</v>
      </c>
      <c r="L375" s="349">
        <v>0</v>
      </c>
      <c r="M375" s="349">
        <v>0</v>
      </c>
      <c r="N375" s="349">
        <v>1</v>
      </c>
      <c r="O375" s="349">
        <f t="shared" si="2"/>
        <v>0</v>
      </c>
      <c r="P375" s="373">
        <f t="shared" si="3"/>
        <v>0</v>
      </c>
    </row>
    <row r="376" spans="1:16">
      <c r="A376" s="348">
        <v>525</v>
      </c>
      <c r="B376" s="349">
        <v>396</v>
      </c>
      <c r="C376" s="372" t="s">
        <v>2674</v>
      </c>
      <c r="D376" s="372" t="s">
        <v>45</v>
      </c>
      <c r="E376" s="372" t="s">
        <v>2556</v>
      </c>
      <c r="F376" s="350">
        <v>45554.001388888886</v>
      </c>
      <c r="G376" s="349">
        <v>9</v>
      </c>
      <c r="H376" s="372" t="s">
        <v>2557</v>
      </c>
      <c r="I376" s="349">
        <v>17287</v>
      </c>
      <c r="J376" s="372" t="s">
        <v>7823</v>
      </c>
      <c r="K376" s="349">
        <v>1.0900000000000001</v>
      </c>
      <c r="L376" s="349">
        <v>0</v>
      </c>
      <c r="M376" s="349">
        <v>0</v>
      </c>
      <c r="N376" s="349">
        <v>1</v>
      </c>
      <c r="O376" s="349">
        <f t="shared" si="2"/>
        <v>1.0900000000000001</v>
      </c>
      <c r="P376" s="373">
        <f t="shared" si="3"/>
        <v>1.0900000000000001</v>
      </c>
    </row>
    <row r="377" spans="1:16">
      <c r="A377" s="348">
        <v>526</v>
      </c>
      <c r="B377" s="349">
        <v>428</v>
      </c>
      <c r="C377" s="372" t="s">
        <v>7824</v>
      </c>
      <c r="D377" s="372" t="s">
        <v>45</v>
      </c>
      <c r="E377" s="372" t="s">
        <v>2556</v>
      </c>
      <c r="F377" s="350">
        <v>45554.025000000001</v>
      </c>
      <c r="G377" s="349">
        <v>9</v>
      </c>
      <c r="H377" s="372" t="s">
        <v>2557</v>
      </c>
      <c r="I377" s="349">
        <v>17311</v>
      </c>
      <c r="J377" s="372" t="s">
        <v>7825</v>
      </c>
      <c r="K377" s="349">
        <v>1.0900000000000001</v>
      </c>
      <c r="L377" s="349">
        <v>0</v>
      </c>
      <c r="M377" s="349">
        <v>0</v>
      </c>
      <c r="N377" s="349">
        <v>1</v>
      </c>
      <c r="O377" s="349">
        <f t="shared" si="2"/>
        <v>1.0900000000000001</v>
      </c>
      <c r="P377" s="373">
        <f t="shared" si="3"/>
        <v>1.0900000000000001</v>
      </c>
    </row>
    <row r="378" spans="1:16">
      <c r="A378" s="348">
        <v>527</v>
      </c>
      <c r="B378" s="349">
        <v>479</v>
      </c>
      <c r="C378" s="372" t="s">
        <v>2964</v>
      </c>
      <c r="D378" s="372" t="s">
        <v>45</v>
      </c>
      <c r="E378" s="372" t="s">
        <v>2556</v>
      </c>
      <c r="F378" s="350">
        <v>45554.594444444447</v>
      </c>
      <c r="G378" s="349">
        <v>9</v>
      </c>
      <c r="H378" s="372" t="s">
        <v>2557</v>
      </c>
      <c r="I378" s="349">
        <v>17371</v>
      </c>
      <c r="J378" s="372" t="s">
        <v>7826</v>
      </c>
      <c r="K378" s="349">
        <v>1.0900000000000001</v>
      </c>
      <c r="L378" s="349">
        <v>0</v>
      </c>
      <c r="M378" s="349">
        <v>0</v>
      </c>
      <c r="N378" s="349">
        <v>1</v>
      </c>
      <c r="O378" s="349">
        <f t="shared" si="2"/>
        <v>1.0900000000000001</v>
      </c>
      <c r="P378" s="373">
        <f t="shared" si="3"/>
        <v>1.0900000000000001</v>
      </c>
    </row>
    <row r="379" spans="1:16">
      <c r="A379" s="348">
        <v>528</v>
      </c>
      <c r="B379" s="349">
        <v>479</v>
      </c>
      <c r="C379" s="372" t="s">
        <v>2964</v>
      </c>
      <c r="D379" s="372" t="s">
        <v>45</v>
      </c>
      <c r="E379" s="372" t="s">
        <v>2556</v>
      </c>
      <c r="F379" s="350">
        <v>45554.627083333333</v>
      </c>
      <c r="G379" s="349">
        <v>9</v>
      </c>
      <c r="H379" s="372" t="s">
        <v>2557</v>
      </c>
      <c r="I379" s="349">
        <v>17383</v>
      </c>
      <c r="J379" s="372" t="s">
        <v>7827</v>
      </c>
      <c r="K379" s="349">
        <v>11.99</v>
      </c>
      <c r="L379" s="349">
        <v>0</v>
      </c>
      <c r="M379" s="349">
        <v>0</v>
      </c>
      <c r="N379" s="349">
        <v>1</v>
      </c>
      <c r="O379" s="349">
        <f t="shared" si="2"/>
        <v>11.99</v>
      </c>
      <c r="P379" s="373">
        <f t="shared" si="3"/>
        <v>11.99</v>
      </c>
    </row>
    <row r="380" spans="1:16">
      <c r="A380" s="348">
        <v>529</v>
      </c>
      <c r="B380" s="349">
        <v>500</v>
      </c>
      <c r="C380" s="372" t="s">
        <v>7828</v>
      </c>
      <c r="D380" s="372" t="s">
        <v>45</v>
      </c>
      <c r="E380" s="372" t="s">
        <v>9</v>
      </c>
      <c r="F380" s="350">
        <v>45554.868055555555</v>
      </c>
      <c r="G380" s="349">
        <v>9</v>
      </c>
      <c r="H380" s="372" t="s">
        <v>2557</v>
      </c>
      <c r="I380" s="349">
        <v>17419</v>
      </c>
      <c r="J380" s="372" t="s">
        <v>7097</v>
      </c>
      <c r="K380" s="349">
        <v>1.0900000000000001</v>
      </c>
      <c r="L380" s="349">
        <v>0.53</v>
      </c>
      <c r="M380" s="349">
        <v>0</v>
      </c>
      <c r="N380" s="349">
        <v>1</v>
      </c>
      <c r="O380" s="349">
        <f t="shared" si="2"/>
        <v>0.56000000000000005</v>
      </c>
      <c r="P380" s="373">
        <f t="shared" si="3"/>
        <v>0.56000000000000005</v>
      </c>
    </row>
    <row r="381" spans="1:16">
      <c r="A381" s="348">
        <v>531</v>
      </c>
      <c r="B381" s="349">
        <v>79</v>
      </c>
      <c r="C381" s="372" t="s">
        <v>4697</v>
      </c>
      <c r="D381" s="372" t="s">
        <v>45</v>
      </c>
      <c r="E381" s="372" t="s">
        <v>2556</v>
      </c>
      <c r="F381" s="350">
        <v>45554.900694444441</v>
      </c>
      <c r="G381" s="349">
        <v>9</v>
      </c>
      <c r="H381" s="372" t="s">
        <v>2557</v>
      </c>
      <c r="I381" s="349">
        <v>17455</v>
      </c>
      <c r="J381" s="372" t="s">
        <v>7829</v>
      </c>
      <c r="K381" s="349">
        <v>1.0900000000000001</v>
      </c>
      <c r="L381" s="349">
        <v>0</v>
      </c>
      <c r="M381" s="349">
        <v>0</v>
      </c>
      <c r="N381" s="349">
        <v>1</v>
      </c>
      <c r="O381" s="349">
        <f t="shared" si="2"/>
        <v>1.0900000000000001</v>
      </c>
      <c r="P381" s="373">
        <f t="shared" si="3"/>
        <v>1.0900000000000001</v>
      </c>
    </row>
    <row r="382" spans="1:16">
      <c r="A382" s="348">
        <v>535</v>
      </c>
      <c r="B382" s="349">
        <v>423</v>
      </c>
      <c r="C382" s="372" t="s">
        <v>7830</v>
      </c>
      <c r="D382" s="372" t="s">
        <v>2582</v>
      </c>
      <c r="E382" s="372" t="s">
        <v>2556</v>
      </c>
      <c r="F382" s="350">
        <v>45554.975694444445</v>
      </c>
      <c r="G382" s="349">
        <v>9</v>
      </c>
      <c r="H382" s="372" t="s">
        <v>2557</v>
      </c>
      <c r="I382" s="349">
        <v>17491</v>
      </c>
      <c r="J382" s="372" t="s">
        <v>7831</v>
      </c>
      <c r="K382" s="349">
        <v>7.72</v>
      </c>
      <c r="L382" s="349">
        <v>0</v>
      </c>
      <c r="M382" s="349">
        <v>0</v>
      </c>
      <c r="N382" s="349">
        <v>7.0835100000000004</v>
      </c>
      <c r="O382" s="349">
        <f t="shared" si="2"/>
        <v>7.72</v>
      </c>
      <c r="P382" s="373">
        <f t="shared" si="3"/>
        <v>1.0898551706710373</v>
      </c>
    </row>
    <row r="383" spans="1:16">
      <c r="A383" s="348">
        <v>536</v>
      </c>
      <c r="B383" s="349">
        <v>510</v>
      </c>
      <c r="C383" s="372" t="s">
        <v>2935</v>
      </c>
      <c r="D383" s="372" t="s">
        <v>45</v>
      </c>
      <c r="E383" s="372" t="s">
        <v>2556</v>
      </c>
      <c r="F383" s="350">
        <v>45554.979861111111</v>
      </c>
      <c r="G383" s="349">
        <v>9</v>
      </c>
      <c r="H383" s="372" t="s">
        <v>2557</v>
      </c>
      <c r="I383" s="349">
        <v>17503</v>
      </c>
      <c r="J383" s="372" t="s">
        <v>7832</v>
      </c>
      <c r="K383" s="349">
        <v>1.0900000000000001</v>
      </c>
      <c r="L383" s="349">
        <v>0</v>
      </c>
      <c r="M383" s="349">
        <v>0</v>
      </c>
      <c r="N383" s="349">
        <v>1</v>
      </c>
      <c r="O383" s="349">
        <f t="shared" si="2"/>
        <v>1.0900000000000001</v>
      </c>
      <c r="P383" s="373">
        <f t="shared" si="3"/>
        <v>1.0900000000000001</v>
      </c>
    </row>
    <row r="384" spans="1:16">
      <c r="A384" s="348">
        <v>538</v>
      </c>
      <c r="B384" s="349">
        <v>154</v>
      </c>
      <c r="C384" s="372" t="s">
        <v>7820</v>
      </c>
      <c r="D384" s="372" t="s">
        <v>2582</v>
      </c>
      <c r="E384" s="372" t="s">
        <v>2556</v>
      </c>
      <c r="F384" s="350">
        <v>45555.012499999997</v>
      </c>
      <c r="G384" s="349">
        <v>9</v>
      </c>
      <c r="H384" s="372" t="s">
        <v>2557</v>
      </c>
      <c r="I384" s="349">
        <v>17527</v>
      </c>
      <c r="J384" s="372" t="s">
        <v>7833</v>
      </c>
      <c r="K384" s="349">
        <v>7.72</v>
      </c>
      <c r="L384" s="349">
        <v>0</v>
      </c>
      <c r="M384" s="349">
        <v>0</v>
      </c>
      <c r="N384" s="349">
        <v>7.0835100000000004</v>
      </c>
      <c r="O384" s="349">
        <f t="shared" si="2"/>
        <v>7.72</v>
      </c>
      <c r="P384" s="373">
        <f t="shared" si="3"/>
        <v>1.0898551706710373</v>
      </c>
    </row>
    <row r="385" spans="1:16">
      <c r="A385" s="348">
        <v>539</v>
      </c>
      <c r="B385" s="349">
        <v>576</v>
      </c>
      <c r="C385" s="372" t="s">
        <v>2598</v>
      </c>
      <c r="D385" s="372" t="s">
        <v>2582</v>
      </c>
      <c r="E385" s="372" t="s">
        <v>2556</v>
      </c>
      <c r="F385" s="350">
        <v>45555.440972222219</v>
      </c>
      <c r="G385" s="349">
        <v>9</v>
      </c>
      <c r="H385" s="372" t="s">
        <v>2557</v>
      </c>
      <c r="I385" s="349">
        <v>17611</v>
      </c>
      <c r="J385" s="372" t="s">
        <v>7834</v>
      </c>
      <c r="K385" s="349">
        <v>7.7</v>
      </c>
      <c r="L385" s="349">
        <v>0</v>
      </c>
      <c r="M385" s="349">
        <v>0</v>
      </c>
      <c r="N385" s="349">
        <v>7.0658799999999999</v>
      </c>
      <c r="O385" s="349">
        <f t="shared" si="2"/>
        <v>7.7</v>
      </c>
      <c r="P385" s="373">
        <f t="shared" si="3"/>
        <v>1.0897439526286889</v>
      </c>
    </row>
    <row r="386" spans="1:16">
      <c r="A386" s="348">
        <v>540</v>
      </c>
      <c r="B386" s="349">
        <v>334</v>
      </c>
      <c r="C386" s="372" t="s">
        <v>7715</v>
      </c>
      <c r="D386" s="372" t="s">
        <v>45</v>
      </c>
      <c r="E386" s="372" t="s">
        <v>2556</v>
      </c>
      <c r="F386" s="350">
        <v>45555.475694444445</v>
      </c>
      <c r="G386" s="349">
        <v>9</v>
      </c>
      <c r="H386" s="372" t="s">
        <v>2557</v>
      </c>
      <c r="I386" s="349">
        <v>17599</v>
      </c>
      <c r="J386" s="372" t="s">
        <v>7835</v>
      </c>
      <c r="K386" s="349">
        <v>1.0900000000000001</v>
      </c>
      <c r="L386" s="349">
        <v>0</v>
      </c>
      <c r="M386" s="349">
        <v>0</v>
      </c>
      <c r="N386" s="349">
        <v>1</v>
      </c>
      <c r="O386" s="349">
        <f t="shared" si="2"/>
        <v>1.0900000000000001</v>
      </c>
      <c r="P386" s="373">
        <f t="shared" si="3"/>
        <v>1.0900000000000001</v>
      </c>
    </row>
    <row r="387" spans="1:16">
      <c r="A387" s="348">
        <v>541</v>
      </c>
      <c r="B387" s="349">
        <v>576</v>
      </c>
      <c r="C387" s="372" t="s">
        <v>2598</v>
      </c>
      <c r="D387" s="372" t="s">
        <v>2582</v>
      </c>
      <c r="E387" s="372" t="s">
        <v>2556</v>
      </c>
      <c r="F387" s="350">
        <v>45555.559027777781</v>
      </c>
      <c r="G387" s="349">
        <v>9</v>
      </c>
      <c r="H387" s="372" t="s">
        <v>2557</v>
      </c>
      <c r="I387" s="349">
        <v>17611</v>
      </c>
      <c r="J387" s="372"/>
      <c r="K387" s="349">
        <v>0.02</v>
      </c>
      <c r="L387" s="349">
        <v>0</v>
      </c>
      <c r="M387" s="349">
        <v>0</v>
      </c>
      <c r="N387" s="349">
        <v>7.0658799999999999</v>
      </c>
      <c r="O387" s="349">
        <f t="shared" si="2"/>
        <v>0.02</v>
      </c>
      <c r="P387" s="373">
        <f t="shared" si="3"/>
        <v>2.8305037730615296E-3</v>
      </c>
    </row>
    <row r="388" spans="1:16">
      <c r="A388" s="348">
        <v>542</v>
      </c>
      <c r="B388" s="349">
        <v>595</v>
      </c>
      <c r="C388" s="372" t="s">
        <v>3551</v>
      </c>
      <c r="D388" s="372" t="s">
        <v>45</v>
      </c>
      <c r="E388" s="372" t="s">
        <v>2556</v>
      </c>
      <c r="F388" s="350">
        <v>45555.635416666664</v>
      </c>
      <c r="G388" s="349">
        <v>9</v>
      </c>
      <c r="H388" s="372" t="s">
        <v>2557</v>
      </c>
      <c r="I388" s="349">
        <v>17647</v>
      </c>
      <c r="J388" s="372" t="s">
        <v>7836</v>
      </c>
      <c r="K388" s="349">
        <v>1.0900000000000001</v>
      </c>
      <c r="L388" s="349">
        <v>0</v>
      </c>
      <c r="M388" s="349">
        <v>0</v>
      </c>
      <c r="N388" s="349">
        <v>1</v>
      </c>
      <c r="O388" s="349">
        <f t="shared" si="2"/>
        <v>1.0900000000000001</v>
      </c>
      <c r="P388" s="373">
        <f t="shared" si="3"/>
        <v>1.0900000000000001</v>
      </c>
    </row>
    <row r="389" spans="1:16">
      <c r="A389" s="348">
        <v>543</v>
      </c>
      <c r="B389" s="349">
        <v>597</v>
      </c>
      <c r="C389" s="372" t="s">
        <v>7837</v>
      </c>
      <c r="D389" s="372" t="s">
        <v>45</v>
      </c>
      <c r="E389" s="372" t="s">
        <v>2556</v>
      </c>
      <c r="F389" s="350">
        <v>45555.864583333336</v>
      </c>
      <c r="G389" s="349">
        <v>9</v>
      </c>
      <c r="H389" s="372" t="s">
        <v>2557</v>
      </c>
      <c r="I389" s="349">
        <v>17671</v>
      </c>
      <c r="J389" s="372" t="s">
        <v>7838</v>
      </c>
      <c r="K389" s="349">
        <v>1.0900000000000001</v>
      </c>
      <c r="L389" s="349">
        <v>0</v>
      </c>
      <c r="M389" s="349">
        <v>0</v>
      </c>
      <c r="N389" s="349">
        <v>1</v>
      </c>
      <c r="O389" s="349">
        <f t="shared" si="2"/>
        <v>1.0900000000000001</v>
      </c>
      <c r="P389" s="373">
        <f t="shared" si="3"/>
        <v>1.0900000000000001</v>
      </c>
    </row>
    <row r="390" spans="1:16">
      <c r="A390" s="348">
        <v>547</v>
      </c>
      <c r="B390" s="349">
        <v>125</v>
      </c>
      <c r="C390" s="372" t="s">
        <v>7588</v>
      </c>
      <c r="D390" s="372" t="s">
        <v>2582</v>
      </c>
      <c r="E390" s="372" t="s">
        <v>2556</v>
      </c>
      <c r="F390" s="350">
        <v>45556</v>
      </c>
      <c r="G390" s="349">
        <v>9</v>
      </c>
      <c r="H390" s="372" t="s">
        <v>2557</v>
      </c>
      <c r="I390" s="349">
        <v>17755</v>
      </c>
      <c r="J390" s="372"/>
      <c r="K390" s="349">
        <v>0</v>
      </c>
      <c r="L390" s="349">
        <v>0</v>
      </c>
      <c r="M390" s="349">
        <v>0</v>
      </c>
      <c r="N390" s="349">
        <v>7.0549900000000001</v>
      </c>
      <c r="O390" s="349">
        <f t="shared" si="2"/>
        <v>0</v>
      </c>
      <c r="P390" s="373">
        <f t="shared" si="3"/>
        <v>0</v>
      </c>
    </row>
    <row r="391" spans="1:16">
      <c r="A391" s="348">
        <v>557</v>
      </c>
      <c r="B391" s="349">
        <v>354</v>
      </c>
      <c r="C391" s="372" t="s">
        <v>2598</v>
      </c>
      <c r="D391" s="372" t="s">
        <v>2582</v>
      </c>
      <c r="E391" s="372" t="s">
        <v>2556</v>
      </c>
      <c r="F391" s="350">
        <v>45556</v>
      </c>
      <c r="G391" s="349">
        <v>9</v>
      </c>
      <c r="H391" s="372" t="s">
        <v>2557</v>
      </c>
      <c r="I391" s="349">
        <v>18247</v>
      </c>
      <c r="J391" s="372"/>
      <c r="K391" s="349">
        <v>0</v>
      </c>
      <c r="L391" s="349">
        <v>0</v>
      </c>
      <c r="M391" s="349">
        <v>0</v>
      </c>
      <c r="N391" s="349">
        <v>7.0549900000000001</v>
      </c>
      <c r="O391" s="349">
        <f t="shared" si="2"/>
        <v>0</v>
      </c>
      <c r="P391" s="373">
        <f t="shared" si="3"/>
        <v>0</v>
      </c>
    </row>
    <row r="392" spans="1:16">
      <c r="A392" s="348">
        <v>544</v>
      </c>
      <c r="B392" s="349">
        <v>654</v>
      </c>
      <c r="C392" s="372" t="s">
        <v>7098</v>
      </c>
      <c r="D392" s="372" t="s">
        <v>2582</v>
      </c>
      <c r="E392" s="372" t="s">
        <v>9</v>
      </c>
      <c r="F392" s="350">
        <v>45556.107638888891</v>
      </c>
      <c r="G392" s="349">
        <v>9</v>
      </c>
      <c r="H392" s="372" t="s">
        <v>2557</v>
      </c>
      <c r="I392" s="349">
        <v>17683</v>
      </c>
      <c r="J392" s="372" t="s">
        <v>7099</v>
      </c>
      <c r="K392" s="349">
        <v>7.72</v>
      </c>
      <c r="L392" s="349">
        <v>3.82</v>
      </c>
      <c r="M392" s="349">
        <v>0</v>
      </c>
      <c r="N392" s="349">
        <v>7.0658799999999999</v>
      </c>
      <c r="O392" s="349">
        <f t="shared" si="2"/>
        <v>3.9</v>
      </c>
      <c r="P392" s="373">
        <f t="shared" si="3"/>
        <v>0.55194823574699825</v>
      </c>
    </row>
    <row r="393" spans="1:16">
      <c r="A393" s="348">
        <v>545</v>
      </c>
      <c r="B393" s="349">
        <v>428</v>
      </c>
      <c r="C393" s="372" t="s">
        <v>7824</v>
      </c>
      <c r="D393" s="372" t="s">
        <v>45</v>
      </c>
      <c r="E393" s="372" t="s">
        <v>2556</v>
      </c>
      <c r="F393" s="350">
        <v>45556.379166666666</v>
      </c>
      <c r="G393" s="349">
        <v>9</v>
      </c>
      <c r="H393" s="372" t="s">
        <v>2557</v>
      </c>
      <c r="I393" s="349">
        <v>17731</v>
      </c>
      <c r="J393" s="372" t="s">
        <v>7839</v>
      </c>
      <c r="K393" s="349">
        <v>1.0900000000000001</v>
      </c>
      <c r="L393" s="349">
        <v>0</v>
      </c>
      <c r="M393" s="349">
        <v>0</v>
      </c>
      <c r="N393" s="349">
        <v>1</v>
      </c>
      <c r="O393" s="349">
        <f t="shared" si="2"/>
        <v>1.0900000000000001</v>
      </c>
      <c r="P393" s="373">
        <f t="shared" si="3"/>
        <v>1.0900000000000001</v>
      </c>
    </row>
    <row r="394" spans="1:16">
      <c r="A394" s="348">
        <v>546</v>
      </c>
      <c r="B394" s="349">
        <v>703</v>
      </c>
      <c r="C394" s="372" t="s">
        <v>7840</v>
      </c>
      <c r="D394" s="372" t="s">
        <v>45</v>
      </c>
      <c r="E394" s="372" t="s">
        <v>9</v>
      </c>
      <c r="F394" s="350">
        <v>45556.402777777781</v>
      </c>
      <c r="G394" s="349">
        <v>9</v>
      </c>
      <c r="H394" s="372" t="s">
        <v>2557</v>
      </c>
      <c r="I394" s="349">
        <v>17743</v>
      </c>
      <c r="J394" s="372" t="s">
        <v>7101</v>
      </c>
      <c r="K394" s="349">
        <v>32.94</v>
      </c>
      <c r="L394" s="349">
        <v>2.13</v>
      </c>
      <c r="M394" s="349">
        <v>0</v>
      </c>
      <c r="N394" s="349">
        <v>1</v>
      </c>
      <c r="O394" s="349">
        <f t="shared" si="2"/>
        <v>30.81</v>
      </c>
      <c r="P394" s="373">
        <f t="shared" si="3"/>
        <v>30.81</v>
      </c>
    </row>
    <row r="395" spans="1:16">
      <c r="A395" s="348">
        <v>548</v>
      </c>
      <c r="B395" s="349">
        <v>286</v>
      </c>
      <c r="C395" s="372" t="s">
        <v>7668</v>
      </c>
      <c r="D395" s="372" t="s">
        <v>2582</v>
      </c>
      <c r="E395" s="372" t="s">
        <v>2556</v>
      </c>
      <c r="F395" s="350">
        <v>45556.618055555555</v>
      </c>
      <c r="G395" s="349">
        <v>9</v>
      </c>
      <c r="H395" s="372" t="s">
        <v>2557</v>
      </c>
      <c r="I395" s="349">
        <v>17767</v>
      </c>
      <c r="J395" s="372" t="s">
        <v>7841</v>
      </c>
      <c r="K395" s="349">
        <v>7.69</v>
      </c>
      <c r="L395" s="349">
        <v>0</v>
      </c>
      <c r="M395" s="349">
        <v>0</v>
      </c>
      <c r="N395" s="349">
        <v>7.0549900000000001</v>
      </c>
      <c r="O395" s="349">
        <f t="shared" si="2"/>
        <v>7.69</v>
      </c>
      <c r="P395" s="373">
        <f t="shared" si="3"/>
        <v>1.0900086321879974</v>
      </c>
    </row>
    <row r="396" spans="1:16">
      <c r="A396" s="348">
        <v>549</v>
      </c>
      <c r="B396" s="349">
        <v>286</v>
      </c>
      <c r="C396" s="372" t="s">
        <v>7668</v>
      </c>
      <c r="D396" s="372" t="s">
        <v>2582</v>
      </c>
      <c r="E396" s="372" t="s">
        <v>2556</v>
      </c>
      <c r="F396" s="350">
        <v>45556.62222222222</v>
      </c>
      <c r="G396" s="349">
        <v>9</v>
      </c>
      <c r="H396" s="372" t="s">
        <v>2557</v>
      </c>
      <c r="I396" s="349">
        <v>17767</v>
      </c>
      <c r="J396" s="372"/>
      <c r="K396" s="349">
        <v>0.03</v>
      </c>
      <c r="L396" s="349">
        <v>0</v>
      </c>
      <c r="M396" s="349">
        <v>0</v>
      </c>
      <c r="N396" s="349">
        <v>7.0549900000000001</v>
      </c>
      <c r="O396" s="349">
        <f t="shared" si="2"/>
        <v>0.03</v>
      </c>
      <c r="P396" s="373">
        <f t="shared" si="3"/>
        <v>4.2523093583406923E-3</v>
      </c>
    </row>
    <row r="397" spans="1:16">
      <c r="A397" s="348">
        <v>551</v>
      </c>
      <c r="B397" s="349">
        <v>733</v>
      </c>
      <c r="C397" s="372" t="s">
        <v>7842</v>
      </c>
      <c r="D397" s="372" t="s">
        <v>2582</v>
      </c>
      <c r="E397" s="372" t="s">
        <v>2556</v>
      </c>
      <c r="F397" s="350">
        <v>45556.811805555553</v>
      </c>
      <c r="G397" s="349">
        <v>9</v>
      </c>
      <c r="H397" s="372" t="s">
        <v>2557</v>
      </c>
      <c r="I397" s="349">
        <v>17851</v>
      </c>
      <c r="J397" s="372" t="s">
        <v>7843</v>
      </c>
      <c r="K397" s="349">
        <v>7.69</v>
      </c>
      <c r="L397" s="349">
        <v>0</v>
      </c>
      <c r="M397" s="349">
        <v>0</v>
      </c>
      <c r="N397" s="349">
        <v>7.0549900000000001</v>
      </c>
      <c r="O397" s="349">
        <f t="shared" si="2"/>
        <v>7.69</v>
      </c>
      <c r="P397" s="373">
        <f t="shared" si="3"/>
        <v>1.0900086321879974</v>
      </c>
    </row>
    <row r="398" spans="1:16">
      <c r="A398" s="348">
        <v>552</v>
      </c>
      <c r="B398" s="349">
        <v>343</v>
      </c>
      <c r="C398" s="372" t="s">
        <v>7725</v>
      </c>
      <c r="D398" s="372" t="s">
        <v>45</v>
      </c>
      <c r="E398" s="372" t="s">
        <v>2556</v>
      </c>
      <c r="F398" s="350">
        <v>45556.8125</v>
      </c>
      <c r="G398" s="349">
        <v>9</v>
      </c>
      <c r="H398" s="372" t="s">
        <v>2557</v>
      </c>
      <c r="I398" s="349">
        <v>17923</v>
      </c>
      <c r="J398" s="372" t="s">
        <v>7844</v>
      </c>
      <c r="K398" s="349">
        <v>1.0900000000000001</v>
      </c>
      <c r="L398" s="349">
        <v>0</v>
      </c>
      <c r="M398" s="349">
        <v>0</v>
      </c>
      <c r="N398" s="349">
        <v>1</v>
      </c>
      <c r="O398" s="349">
        <f t="shared" si="2"/>
        <v>1.0900000000000001</v>
      </c>
      <c r="P398" s="373">
        <f t="shared" si="3"/>
        <v>1.0900000000000001</v>
      </c>
    </row>
    <row r="399" spans="1:16">
      <c r="A399" s="348">
        <v>553</v>
      </c>
      <c r="B399" s="349">
        <v>739</v>
      </c>
      <c r="C399" s="372" t="s">
        <v>7845</v>
      </c>
      <c r="D399" s="372" t="s">
        <v>45</v>
      </c>
      <c r="E399" s="372" t="s">
        <v>2556</v>
      </c>
      <c r="F399" s="350">
        <v>45556.819444444445</v>
      </c>
      <c r="G399" s="349">
        <v>9</v>
      </c>
      <c r="H399" s="372" t="s">
        <v>2557</v>
      </c>
      <c r="I399" s="349">
        <v>17827</v>
      </c>
      <c r="J399" s="372" t="s">
        <v>7846</v>
      </c>
      <c r="K399" s="349">
        <v>1.0900000000000001</v>
      </c>
      <c r="L399" s="349">
        <v>0</v>
      </c>
      <c r="M399" s="349">
        <v>0</v>
      </c>
      <c r="N399" s="349">
        <v>1</v>
      </c>
      <c r="O399" s="349">
        <f t="shared" si="2"/>
        <v>1.0900000000000001</v>
      </c>
      <c r="P399" s="373">
        <f t="shared" si="3"/>
        <v>1.0900000000000001</v>
      </c>
    </row>
    <row r="400" spans="1:16">
      <c r="A400" s="348">
        <v>554</v>
      </c>
      <c r="B400" s="349">
        <v>747</v>
      </c>
      <c r="C400" s="372" t="s">
        <v>7847</v>
      </c>
      <c r="D400" s="372" t="s">
        <v>45</v>
      </c>
      <c r="E400" s="372" t="s">
        <v>2556</v>
      </c>
      <c r="F400" s="350">
        <v>45556.832638888889</v>
      </c>
      <c r="G400" s="349">
        <v>9</v>
      </c>
      <c r="H400" s="372" t="s">
        <v>2557</v>
      </c>
      <c r="I400" s="349">
        <v>18043</v>
      </c>
      <c r="J400" s="372" t="s">
        <v>7848</v>
      </c>
      <c r="K400" s="349">
        <v>1.0900000000000001</v>
      </c>
      <c r="L400" s="349">
        <v>0</v>
      </c>
      <c r="M400" s="349">
        <v>0</v>
      </c>
      <c r="N400" s="349">
        <v>1</v>
      </c>
      <c r="O400" s="349">
        <f t="shared" si="2"/>
        <v>1.0900000000000001</v>
      </c>
      <c r="P400" s="373">
        <f t="shared" si="3"/>
        <v>1.0900000000000001</v>
      </c>
    </row>
    <row r="401" spans="1:16">
      <c r="A401" s="348">
        <v>555</v>
      </c>
      <c r="B401" s="349">
        <v>750</v>
      </c>
      <c r="C401" s="372" t="s">
        <v>7849</v>
      </c>
      <c r="D401" s="372" t="s">
        <v>2582</v>
      </c>
      <c r="E401" s="372" t="s">
        <v>2556</v>
      </c>
      <c r="F401" s="350">
        <v>45556.834027777775</v>
      </c>
      <c r="G401" s="349">
        <v>9</v>
      </c>
      <c r="H401" s="372" t="s">
        <v>2557</v>
      </c>
      <c r="I401" s="349">
        <v>18079</v>
      </c>
      <c r="J401" s="372" t="s">
        <v>7850</v>
      </c>
      <c r="K401" s="349">
        <v>7.69</v>
      </c>
      <c r="L401" s="349">
        <v>0</v>
      </c>
      <c r="M401" s="349">
        <v>0</v>
      </c>
      <c r="N401" s="349">
        <v>7.0549900000000001</v>
      </c>
      <c r="O401" s="349">
        <f t="shared" si="2"/>
        <v>7.69</v>
      </c>
      <c r="P401" s="373">
        <f t="shared" si="3"/>
        <v>1.0900086321879974</v>
      </c>
    </row>
    <row r="402" spans="1:16">
      <c r="A402" s="348">
        <v>556</v>
      </c>
      <c r="B402" s="349">
        <v>752</v>
      </c>
      <c r="C402" s="372" t="s">
        <v>7763</v>
      </c>
      <c r="D402" s="372" t="s">
        <v>2582</v>
      </c>
      <c r="E402" s="372" t="s">
        <v>2556</v>
      </c>
      <c r="F402" s="350">
        <v>45556.836805555555</v>
      </c>
      <c r="G402" s="349">
        <v>9</v>
      </c>
      <c r="H402" s="372" t="s">
        <v>2557</v>
      </c>
      <c r="I402" s="349">
        <v>18151</v>
      </c>
      <c r="J402" s="372" t="s">
        <v>7851</v>
      </c>
      <c r="K402" s="349">
        <v>7.69</v>
      </c>
      <c r="L402" s="349">
        <v>0</v>
      </c>
      <c r="M402" s="349">
        <v>0</v>
      </c>
      <c r="N402" s="349">
        <v>7.0549900000000001</v>
      </c>
      <c r="O402" s="349">
        <f t="shared" si="2"/>
        <v>7.69</v>
      </c>
      <c r="P402" s="373">
        <f t="shared" si="3"/>
        <v>1.0900086321879974</v>
      </c>
    </row>
    <row r="403" spans="1:16">
      <c r="A403" s="348">
        <v>558</v>
      </c>
      <c r="B403" s="349">
        <v>428</v>
      </c>
      <c r="C403" s="372" t="s">
        <v>7824</v>
      </c>
      <c r="D403" s="372" t="s">
        <v>45</v>
      </c>
      <c r="E403" s="372" t="s">
        <v>2556</v>
      </c>
      <c r="F403" s="350">
        <v>45556.936111111114</v>
      </c>
      <c r="G403" s="349">
        <v>9</v>
      </c>
      <c r="H403" s="372" t="s">
        <v>2557</v>
      </c>
      <c r="I403" s="349">
        <v>18295</v>
      </c>
      <c r="J403" s="372" t="s">
        <v>7852</v>
      </c>
      <c r="K403" s="349">
        <v>11.99</v>
      </c>
      <c r="L403" s="349">
        <v>0</v>
      </c>
      <c r="M403" s="349">
        <v>0</v>
      </c>
      <c r="N403" s="349">
        <v>1</v>
      </c>
      <c r="O403" s="349">
        <f t="shared" si="2"/>
        <v>11.99</v>
      </c>
      <c r="P403" s="373">
        <f t="shared" si="3"/>
        <v>11.99</v>
      </c>
    </row>
    <row r="404" spans="1:16">
      <c r="A404" s="348">
        <v>564</v>
      </c>
      <c r="B404" s="349">
        <v>852</v>
      </c>
      <c r="C404" s="372" t="s">
        <v>7853</v>
      </c>
      <c r="D404" s="372" t="s">
        <v>45</v>
      </c>
      <c r="E404" s="372" t="s">
        <v>9</v>
      </c>
      <c r="F404" s="350">
        <v>45557</v>
      </c>
      <c r="G404" s="349">
        <v>9</v>
      </c>
      <c r="H404" s="372" t="s">
        <v>2557</v>
      </c>
      <c r="I404" s="349">
        <v>18607</v>
      </c>
      <c r="J404" s="372"/>
      <c r="K404" s="349">
        <v>0</v>
      </c>
      <c r="L404" s="349">
        <v>0</v>
      </c>
      <c r="M404" s="349">
        <v>0</v>
      </c>
      <c r="N404" s="349">
        <v>1</v>
      </c>
      <c r="O404" s="349">
        <f t="shared" si="2"/>
        <v>0</v>
      </c>
      <c r="P404" s="373">
        <f t="shared" si="3"/>
        <v>0</v>
      </c>
    </row>
    <row r="405" spans="1:16">
      <c r="A405" s="348">
        <v>559</v>
      </c>
      <c r="B405" s="349">
        <v>731</v>
      </c>
      <c r="C405" s="372" t="s">
        <v>2598</v>
      </c>
      <c r="D405" s="372" t="s">
        <v>2582</v>
      </c>
      <c r="E405" s="372" t="s">
        <v>9</v>
      </c>
      <c r="F405" s="350">
        <v>45557.03402777778</v>
      </c>
      <c r="G405" s="349">
        <v>9</v>
      </c>
      <c r="H405" s="372" t="s">
        <v>2557</v>
      </c>
      <c r="I405" s="349">
        <v>17899</v>
      </c>
      <c r="J405" s="372" t="s">
        <v>7104</v>
      </c>
      <c r="K405" s="349">
        <v>7.69</v>
      </c>
      <c r="L405" s="349">
        <v>3.81</v>
      </c>
      <c r="M405" s="349">
        <v>0</v>
      </c>
      <c r="N405" s="349">
        <v>7.0549900000000001</v>
      </c>
      <c r="O405" s="349">
        <f t="shared" si="2"/>
        <v>3.8800000000000003</v>
      </c>
      <c r="P405" s="373">
        <f t="shared" si="3"/>
        <v>0.54996534367872951</v>
      </c>
    </row>
    <row r="406" spans="1:16">
      <c r="A406" s="348">
        <v>560</v>
      </c>
      <c r="B406" s="349">
        <v>832</v>
      </c>
      <c r="C406" s="372" t="s">
        <v>5788</v>
      </c>
      <c r="D406" s="372" t="s">
        <v>45</v>
      </c>
      <c r="E406" s="372" t="s">
        <v>9</v>
      </c>
      <c r="F406" s="350">
        <v>45557.616666666669</v>
      </c>
      <c r="G406" s="349">
        <v>9</v>
      </c>
      <c r="H406" s="372" t="s">
        <v>2557</v>
      </c>
      <c r="I406" s="349">
        <v>18511</v>
      </c>
      <c r="J406" s="372" t="s">
        <v>7105</v>
      </c>
      <c r="K406" s="349">
        <v>32.94</v>
      </c>
      <c r="L406" s="349">
        <v>2.13</v>
      </c>
      <c r="M406" s="349">
        <v>0</v>
      </c>
      <c r="N406" s="349">
        <v>1</v>
      </c>
      <c r="O406" s="349">
        <f t="shared" si="2"/>
        <v>30.81</v>
      </c>
      <c r="P406" s="373">
        <f t="shared" si="3"/>
        <v>30.81</v>
      </c>
    </row>
    <row r="407" spans="1:16">
      <c r="A407" s="348">
        <v>561</v>
      </c>
      <c r="B407" s="349">
        <v>841</v>
      </c>
      <c r="C407" s="372" t="s">
        <v>7854</v>
      </c>
      <c r="D407" s="372" t="s">
        <v>45</v>
      </c>
      <c r="E407" s="372" t="s">
        <v>9</v>
      </c>
      <c r="F407" s="350">
        <v>45557.894444444442</v>
      </c>
      <c r="G407" s="349">
        <v>9</v>
      </c>
      <c r="H407" s="372" t="s">
        <v>2557</v>
      </c>
      <c r="I407" s="349">
        <v>18547</v>
      </c>
      <c r="J407" s="372" t="s">
        <v>7108</v>
      </c>
      <c r="K407" s="349">
        <v>2.99</v>
      </c>
      <c r="L407" s="349">
        <v>0.64</v>
      </c>
      <c r="M407" s="349">
        <v>0</v>
      </c>
      <c r="N407" s="349">
        <v>1</v>
      </c>
      <c r="O407" s="349">
        <f t="shared" si="2"/>
        <v>2.35</v>
      </c>
      <c r="P407" s="373">
        <f t="shared" si="3"/>
        <v>2.35</v>
      </c>
    </row>
    <row r="408" spans="1:16">
      <c r="A408" s="348">
        <v>562</v>
      </c>
      <c r="B408" s="349">
        <v>343</v>
      </c>
      <c r="C408" s="372" t="s">
        <v>7725</v>
      </c>
      <c r="D408" s="372" t="s">
        <v>45</v>
      </c>
      <c r="E408" s="372" t="s">
        <v>2556</v>
      </c>
      <c r="F408" s="350">
        <v>45557.899305555555</v>
      </c>
      <c r="G408" s="349">
        <v>9</v>
      </c>
      <c r="H408" s="372" t="s">
        <v>2557</v>
      </c>
      <c r="I408" s="349">
        <v>18583</v>
      </c>
      <c r="J408" s="372" t="s">
        <v>7855</v>
      </c>
      <c r="K408" s="349">
        <v>32.94</v>
      </c>
      <c r="L408" s="349">
        <v>0</v>
      </c>
      <c r="M408" s="349">
        <v>0</v>
      </c>
      <c r="N408" s="349">
        <v>1</v>
      </c>
      <c r="O408" s="349">
        <f t="shared" si="2"/>
        <v>32.94</v>
      </c>
      <c r="P408" s="373">
        <f t="shared" si="3"/>
        <v>32.94</v>
      </c>
    </row>
    <row r="409" spans="1:16">
      <c r="A409" s="348">
        <v>563</v>
      </c>
      <c r="B409" s="349">
        <v>843</v>
      </c>
      <c r="C409" s="372" t="s">
        <v>7856</v>
      </c>
      <c r="D409" s="372" t="s">
        <v>2582</v>
      </c>
      <c r="E409" s="372" t="s">
        <v>2556</v>
      </c>
      <c r="F409" s="350">
        <v>45557.902083333334</v>
      </c>
      <c r="G409" s="349">
        <v>9</v>
      </c>
      <c r="H409" s="372" t="s">
        <v>2557</v>
      </c>
      <c r="I409" s="349">
        <v>18595</v>
      </c>
      <c r="J409" s="372" t="s">
        <v>7857</v>
      </c>
      <c r="K409" s="349">
        <v>21.09</v>
      </c>
      <c r="L409" s="349">
        <v>0</v>
      </c>
      <c r="M409" s="349">
        <v>0</v>
      </c>
      <c r="N409" s="349">
        <v>7.0549900000000001</v>
      </c>
      <c r="O409" s="349">
        <f t="shared" si="2"/>
        <v>21.09</v>
      </c>
      <c r="P409" s="373">
        <f t="shared" si="3"/>
        <v>2.9893734789135067</v>
      </c>
    </row>
    <row r="410" spans="1:16">
      <c r="A410" s="348">
        <v>568</v>
      </c>
      <c r="B410" s="349">
        <v>924</v>
      </c>
      <c r="C410" s="372" t="s">
        <v>7858</v>
      </c>
      <c r="D410" s="372" t="s">
        <v>2582</v>
      </c>
      <c r="E410" s="372" t="s">
        <v>2556</v>
      </c>
      <c r="F410" s="350">
        <v>45558</v>
      </c>
      <c r="G410" s="349">
        <v>9</v>
      </c>
      <c r="H410" s="372" t="s">
        <v>2557</v>
      </c>
      <c r="I410" s="349">
        <v>18691</v>
      </c>
      <c r="J410" s="372"/>
      <c r="K410" s="349">
        <v>0</v>
      </c>
      <c r="L410" s="349">
        <v>0</v>
      </c>
      <c r="M410" s="349">
        <v>0</v>
      </c>
      <c r="N410" s="349">
        <v>7.0549900000000001</v>
      </c>
      <c r="O410" s="349">
        <f t="shared" si="2"/>
        <v>0</v>
      </c>
      <c r="P410" s="373">
        <f t="shared" si="3"/>
        <v>0</v>
      </c>
    </row>
    <row r="411" spans="1:16">
      <c r="A411" s="348">
        <v>565</v>
      </c>
      <c r="B411" s="349">
        <v>351</v>
      </c>
      <c r="C411" s="372" t="s">
        <v>2707</v>
      </c>
      <c r="D411" s="372" t="s">
        <v>45</v>
      </c>
      <c r="E411" s="372" t="s">
        <v>9</v>
      </c>
      <c r="F411" s="350">
        <v>45558.008333333331</v>
      </c>
      <c r="G411" s="349">
        <v>9</v>
      </c>
      <c r="H411" s="372" t="s">
        <v>2557</v>
      </c>
      <c r="I411" s="349">
        <v>18475</v>
      </c>
      <c r="J411" s="372" t="s">
        <v>7109</v>
      </c>
      <c r="K411" s="349">
        <v>1.0900000000000001</v>
      </c>
      <c r="L411" s="349">
        <v>0.54</v>
      </c>
      <c r="M411" s="349">
        <v>0</v>
      </c>
      <c r="N411" s="349">
        <v>1</v>
      </c>
      <c r="O411" s="349">
        <f t="shared" si="2"/>
        <v>0.55000000000000004</v>
      </c>
      <c r="P411" s="373">
        <f t="shared" si="3"/>
        <v>0.55000000000000004</v>
      </c>
    </row>
    <row r="412" spans="1:16">
      <c r="A412" s="348">
        <v>566</v>
      </c>
      <c r="B412" s="349">
        <v>851</v>
      </c>
      <c r="C412" s="372" t="s">
        <v>7859</v>
      </c>
      <c r="D412" s="372" t="s">
        <v>45</v>
      </c>
      <c r="E412" s="372" t="s">
        <v>2556</v>
      </c>
      <c r="F412" s="350">
        <v>45558.010416666664</v>
      </c>
      <c r="G412" s="349">
        <v>9</v>
      </c>
      <c r="H412" s="372" t="s">
        <v>2557</v>
      </c>
      <c r="I412" s="349">
        <v>18619</v>
      </c>
      <c r="J412" s="372" t="s">
        <v>7860</v>
      </c>
      <c r="K412" s="349">
        <v>1.0900000000000001</v>
      </c>
      <c r="L412" s="349">
        <v>0</v>
      </c>
      <c r="M412" s="349">
        <v>0</v>
      </c>
      <c r="N412" s="349">
        <v>1</v>
      </c>
      <c r="O412" s="349">
        <f t="shared" si="2"/>
        <v>1.0900000000000001</v>
      </c>
      <c r="P412" s="373">
        <f t="shared" si="3"/>
        <v>1.0900000000000001</v>
      </c>
    </row>
    <row r="413" spans="1:16">
      <c r="A413" s="348">
        <v>567</v>
      </c>
      <c r="B413" s="349">
        <v>357</v>
      </c>
      <c r="C413" s="372" t="s">
        <v>5992</v>
      </c>
      <c r="D413" s="372" t="s">
        <v>45</v>
      </c>
      <c r="E413" s="372" t="s">
        <v>2556</v>
      </c>
      <c r="F413" s="350">
        <v>45558.033333333333</v>
      </c>
      <c r="G413" s="349">
        <v>9</v>
      </c>
      <c r="H413" s="372" t="s">
        <v>2557</v>
      </c>
      <c r="I413" s="349">
        <v>16890</v>
      </c>
      <c r="J413" s="372" t="s">
        <v>7861</v>
      </c>
      <c r="K413" s="349">
        <v>1.99</v>
      </c>
      <c r="L413" s="349">
        <v>0</v>
      </c>
      <c r="M413" s="349">
        <v>0</v>
      </c>
      <c r="N413" s="349">
        <v>1</v>
      </c>
      <c r="O413" s="349">
        <f t="shared" si="2"/>
        <v>1.99</v>
      </c>
      <c r="P413" s="373">
        <f t="shared" si="3"/>
        <v>1.99</v>
      </c>
    </row>
    <row r="414" spans="1:16">
      <c r="A414" s="348">
        <v>571</v>
      </c>
      <c r="B414" s="349">
        <v>975</v>
      </c>
      <c r="C414" s="372" t="s">
        <v>2807</v>
      </c>
      <c r="D414" s="372" t="s">
        <v>45</v>
      </c>
      <c r="E414" s="372" t="s">
        <v>2556</v>
      </c>
      <c r="F414" s="350">
        <v>45559</v>
      </c>
      <c r="G414" s="349">
        <v>9</v>
      </c>
      <c r="H414" s="372" t="s">
        <v>2557</v>
      </c>
      <c r="I414" s="349">
        <v>18835</v>
      </c>
      <c r="J414" s="372"/>
      <c r="K414" s="349">
        <v>0</v>
      </c>
      <c r="L414" s="349">
        <v>0</v>
      </c>
      <c r="M414" s="349">
        <v>0</v>
      </c>
      <c r="N414" s="349">
        <v>1</v>
      </c>
      <c r="O414" s="349">
        <f t="shared" si="2"/>
        <v>0</v>
      </c>
      <c r="P414" s="373">
        <f t="shared" si="3"/>
        <v>0</v>
      </c>
    </row>
    <row r="415" spans="1:16">
      <c r="A415" s="348">
        <v>569</v>
      </c>
      <c r="B415" s="349">
        <v>972</v>
      </c>
      <c r="C415" s="372" t="s">
        <v>7862</v>
      </c>
      <c r="D415" s="372" t="s">
        <v>45</v>
      </c>
      <c r="E415" s="372" t="s">
        <v>2556</v>
      </c>
      <c r="F415" s="350">
        <v>45559.548611111109</v>
      </c>
      <c r="G415" s="349">
        <v>9</v>
      </c>
      <c r="H415" s="372" t="s">
        <v>2557</v>
      </c>
      <c r="I415" s="349">
        <v>18799</v>
      </c>
      <c r="J415" s="372" t="s">
        <v>7863</v>
      </c>
      <c r="K415" s="349">
        <v>2.99</v>
      </c>
      <c r="L415" s="349">
        <v>0</v>
      </c>
      <c r="M415" s="349">
        <v>0</v>
      </c>
      <c r="N415" s="349">
        <v>1</v>
      </c>
      <c r="O415" s="349">
        <f t="shared" si="2"/>
        <v>2.99</v>
      </c>
      <c r="P415" s="373">
        <f t="shared" si="3"/>
        <v>2.99</v>
      </c>
    </row>
    <row r="416" spans="1:16">
      <c r="A416" s="348">
        <v>570</v>
      </c>
      <c r="B416" s="349">
        <v>595</v>
      </c>
      <c r="C416" s="372" t="s">
        <v>3551</v>
      </c>
      <c r="D416" s="372" t="s">
        <v>45</v>
      </c>
      <c r="E416" s="372" t="s">
        <v>2556</v>
      </c>
      <c r="F416" s="350">
        <v>45559.792361111111</v>
      </c>
      <c r="G416" s="349">
        <v>9</v>
      </c>
      <c r="H416" s="372" t="s">
        <v>2557</v>
      </c>
      <c r="I416" s="349">
        <v>18823</v>
      </c>
      <c r="J416" s="372" t="s">
        <v>7864</v>
      </c>
      <c r="K416" s="349">
        <v>2.99</v>
      </c>
      <c r="L416" s="349">
        <v>0</v>
      </c>
      <c r="M416" s="349">
        <v>0</v>
      </c>
      <c r="N416" s="349">
        <v>1</v>
      </c>
      <c r="O416" s="349">
        <f t="shared" si="2"/>
        <v>2.99</v>
      </c>
      <c r="P416" s="373">
        <f t="shared" si="3"/>
        <v>2.99</v>
      </c>
    </row>
    <row r="417" spans="1:16">
      <c r="A417" s="348">
        <v>572</v>
      </c>
      <c r="B417" s="349">
        <v>369</v>
      </c>
      <c r="C417" s="372" t="s">
        <v>7752</v>
      </c>
      <c r="D417" s="372" t="s">
        <v>45</v>
      </c>
      <c r="E417" s="372" t="s">
        <v>2556</v>
      </c>
      <c r="F417" s="350">
        <v>45559.940972222219</v>
      </c>
      <c r="G417" s="349">
        <v>9</v>
      </c>
      <c r="H417" s="372" t="s">
        <v>2557</v>
      </c>
      <c r="I417" s="349">
        <v>18847</v>
      </c>
      <c r="J417" s="372" t="s">
        <v>7865</v>
      </c>
      <c r="K417" s="349">
        <v>2.99</v>
      </c>
      <c r="L417" s="349">
        <v>0</v>
      </c>
      <c r="M417" s="349">
        <v>0</v>
      </c>
      <c r="N417" s="349">
        <v>1</v>
      </c>
      <c r="O417" s="349">
        <f t="shared" si="2"/>
        <v>2.99</v>
      </c>
      <c r="P417" s="373">
        <f t="shared" si="3"/>
        <v>2.99</v>
      </c>
    </row>
    <row r="418" spans="1:16">
      <c r="A418" s="348">
        <v>575</v>
      </c>
      <c r="B418" s="349">
        <v>984</v>
      </c>
      <c r="C418" s="372" t="s">
        <v>7866</v>
      </c>
      <c r="D418" s="372" t="s">
        <v>45</v>
      </c>
      <c r="E418" s="372" t="s">
        <v>2556</v>
      </c>
      <c r="F418" s="350">
        <v>45560</v>
      </c>
      <c r="G418" s="349">
        <v>9</v>
      </c>
      <c r="H418" s="372" t="s">
        <v>2557</v>
      </c>
      <c r="I418" s="349">
        <v>18955</v>
      </c>
      <c r="J418" s="372"/>
      <c r="K418" s="349">
        <v>0</v>
      </c>
      <c r="L418" s="349">
        <v>0</v>
      </c>
      <c r="M418" s="349">
        <v>0</v>
      </c>
      <c r="N418" s="349">
        <v>1</v>
      </c>
      <c r="O418" s="349">
        <f t="shared" si="2"/>
        <v>0</v>
      </c>
      <c r="P418" s="373">
        <f t="shared" si="3"/>
        <v>0</v>
      </c>
    </row>
    <row r="419" spans="1:16">
      <c r="A419" s="348">
        <v>573</v>
      </c>
      <c r="B419" s="349">
        <v>978</v>
      </c>
      <c r="C419" s="372" t="s">
        <v>7867</v>
      </c>
      <c r="D419" s="372" t="s">
        <v>45</v>
      </c>
      <c r="E419" s="372" t="s">
        <v>2556</v>
      </c>
      <c r="F419" s="350">
        <v>45560.455555555556</v>
      </c>
      <c r="G419" s="349">
        <v>9</v>
      </c>
      <c r="H419" s="372" t="s">
        <v>2557</v>
      </c>
      <c r="I419" s="349">
        <v>18931</v>
      </c>
      <c r="J419" s="372" t="s">
        <v>7868</v>
      </c>
      <c r="K419" s="349">
        <v>4.79</v>
      </c>
      <c r="L419" s="349">
        <v>0</v>
      </c>
      <c r="M419" s="349">
        <v>0</v>
      </c>
      <c r="N419" s="349">
        <v>1</v>
      </c>
      <c r="O419" s="349">
        <f t="shared" si="2"/>
        <v>4.79</v>
      </c>
      <c r="P419" s="373">
        <f t="shared" si="3"/>
        <v>4.79</v>
      </c>
    </row>
    <row r="420" spans="1:16">
      <c r="A420" s="348">
        <v>574</v>
      </c>
      <c r="B420" s="349">
        <v>980</v>
      </c>
      <c r="C420" s="372" t="s">
        <v>2902</v>
      </c>
      <c r="D420" s="372" t="s">
        <v>2582</v>
      </c>
      <c r="E420" s="372" t="s">
        <v>2556</v>
      </c>
      <c r="F420" s="350">
        <v>45560.622916666667</v>
      </c>
      <c r="G420" s="349">
        <v>9</v>
      </c>
      <c r="H420" s="372" t="s">
        <v>2557</v>
      </c>
      <c r="I420" s="349">
        <v>18943</v>
      </c>
      <c r="J420" s="372" t="s">
        <v>7869</v>
      </c>
      <c r="K420" s="349">
        <v>35.090000000000003</v>
      </c>
      <c r="L420" s="349">
        <v>0</v>
      </c>
      <c r="M420" s="349">
        <v>0</v>
      </c>
      <c r="N420" s="349">
        <v>7.0322500000000003</v>
      </c>
      <c r="O420" s="349">
        <f t="shared" si="2"/>
        <v>35.090000000000003</v>
      </c>
      <c r="P420" s="373">
        <f t="shared" si="3"/>
        <v>4.9898681076469131</v>
      </c>
    </row>
    <row r="421" spans="1:16">
      <c r="A421" s="348">
        <v>577</v>
      </c>
      <c r="B421" s="349">
        <v>305</v>
      </c>
      <c r="C421" s="372" t="s">
        <v>7681</v>
      </c>
      <c r="D421" s="372" t="s">
        <v>45</v>
      </c>
      <c r="E421" s="372" t="s">
        <v>9</v>
      </c>
      <c r="F421" s="350">
        <v>45561</v>
      </c>
      <c r="G421" s="349">
        <v>9</v>
      </c>
      <c r="H421" s="372" t="s">
        <v>2557</v>
      </c>
      <c r="I421" s="349">
        <v>19051</v>
      </c>
      <c r="J421" s="372"/>
      <c r="K421" s="349">
        <v>0</v>
      </c>
      <c r="L421" s="349">
        <v>0</v>
      </c>
      <c r="M421" s="349">
        <v>0</v>
      </c>
      <c r="N421" s="349">
        <v>1</v>
      </c>
      <c r="O421" s="349">
        <f t="shared" si="2"/>
        <v>0</v>
      </c>
      <c r="P421" s="373">
        <f t="shared" si="3"/>
        <v>0</v>
      </c>
    </row>
    <row r="422" spans="1:16">
      <c r="A422" s="348">
        <v>576</v>
      </c>
      <c r="B422" s="349">
        <v>367</v>
      </c>
      <c r="C422" s="372" t="s">
        <v>2598</v>
      </c>
      <c r="D422" s="372" t="s">
        <v>45</v>
      </c>
      <c r="E422" s="372" t="s">
        <v>2556</v>
      </c>
      <c r="F422" s="350">
        <v>45561.013888888891</v>
      </c>
      <c r="G422" s="349">
        <v>9</v>
      </c>
      <c r="H422" s="372" t="s">
        <v>2557</v>
      </c>
      <c r="I422" s="349">
        <v>18967</v>
      </c>
      <c r="J422" s="372" t="s">
        <v>7870</v>
      </c>
      <c r="K422" s="349">
        <v>12.59</v>
      </c>
      <c r="L422" s="349">
        <v>0</v>
      </c>
      <c r="M422" s="349">
        <v>0</v>
      </c>
      <c r="N422" s="349">
        <v>1</v>
      </c>
      <c r="O422" s="349">
        <f t="shared" si="2"/>
        <v>12.59</v>
      </c>
      <c r="P422" s="373">
        <f t="shared" si="3"/>
        <v>12.59</v>
      </c>
    </row>
    <row r="423" spans="1:16">
      <c r="A423" s="348">
        <v>578</v>
      </c>
      <c r="B423" s="349">
        <v>987</v>
      </c>
      <c r="C423" s="372" t="s">
        <v>7871</v>
      </c>
      <c r="D423" s="372" t="s">
        <v>45</v>
      </c>
      <c r="E423" s="372" t="s">
        <v>9</v>
      </c>
      <c r="F423" s="350">
        <v>45562.09097222222</v>
      </c>
      <c r="G423" s="349">
        <v>9</v>
      </c>
      <c r="H423" s="372" t="s">
        <v>2557</v>
      </c>
      <c r="I423" s="349">
        <v>19087</v>
      </c>
      <c r="J423" s="372" t="s">
        <v>7112</v>
      </c>
      <c r="K423" s="349">
        <v>5.99</v>
      </c>
      <c r="L423" s="349">
        <v>0.7</v>
      </c>
      <c r="M423" s="349">
        <v>0</v>
      </c>
      <c r="N423" s="349">
        <v>1</v>
      </c>
      <c r="O423" s="349">
        <f t="shared" si="2"/>
        <v>5.29</v>
      </c>
      <c r="P423" s="373">
        <f t="shared" si="3"/>
        <v>5.29</v>
      </c>
    </row>
    <row r="424" spans="1:16">
      <c r="A424" s="348">
        <v>579</v>
      </c>
      <c r="B424" s="349">
        <v>987</v>
      </c>
      <c r="C424" s="372" t="s">
        <v>7871</v>
      </c>
      <c r="D424" s="372" t="s">
        <v>45</v>
      </c>
      <c r="E424" s="372" t="s">
        <v>2556</v>
      </c>
      <c r="F424" s="350">
        <v>45562.740972222222</v>
      </c>
      <c r="G424" s="349">
        <v>9</v>
      </c>
      <c r="H424" s="372" t="s">
        <v>2557</v>
      </c>
      <c r="I424" s="349">
        <v>19135</v>
      </c>
      <c r="J424" s="372" t="s">
        <v>7872</v>
      </c>
      <c r="K424" s="349">
        <v>2</v>
      </c>
      <c r="L424" s="349">
        <v>0</v>
      </c>
      <c r="M424" s="349">
        <v>0</v>
      </c>
      <c r="N424" s="349">
        <v>1</v>
      </c>
      <c r="O424" s="349">
        <f t="shared" si="2"/>
        <v>2</v>
      </c>
      <c r="P424" s="373">
        <f t="shared" si="3"/>
        <v>2</v>
      </c>
    </row>
    <row r="425" spans="1:16">
      <c r="A425" s="348">
        <v>580</v>
      </c>
      <c r="B425" s="349">
        <v>988</v>
      </c>
      <c r="C425" s="372" t="s">
        <v>7873</v>
      </c>
      <c r="D425" s="372" t="s">
        <v>2582</v>
      </c>
      <c r="E425" s="372" t="s">
        <v>2556</v>
      </c>
      <c r="F425" s="350">
        <v>45562.847222222219</v>
      </c>
      <c r="G425" s="349">
        <v>9</v>
      </c>
      <c r="H425" s="372" t="s">
        <v>2557</v>
      </c>
      <c r="I425" s="349">
        <v>19147</v>
      </c>
      <c r="J425" s="372" t="s">
        <v>7874</v>
      </c>
      <c r="K425" s="349">
        <v>56.02</v>
      </c>
      <c r="L425" s="349">
        <v>0</v>
      </c>
      <c r="M425" s="349">
        <v>0</v>
      </c>
      <c r="N425" s="349">
        <v>7.0114700000000001</v>
      </c>
      <c r="O425" s="349">
        <f t="shared" si="2"/>
        <v>56.02</v>
      </c>
      <c r="P425" s="373">
        <f t="shared" si="3"/>
        <v>7.9897653416473293</v>
      </c>
    </row>
    <row r="426" spans="1:16">
      <c r="A426" s="348">
        <v>584</v>
      </c>
      <c r="B426" s="349">
        <v>1000</v>
      </c>
      <c r="C426" s="372" t="s">
        <v>7875</v>
      </c>
      <c r="D426" s="372" t="s">
        <v>45</v>
      </c>
      <c r="E426" s="372" t="s">
        <v>2556</v>
      </c>
      <c r="F426" s="350">
        <v>45563</v>
      </c>
      <c r="G426" s="349">
        <v>9</v>
      </c>
      <c r="H426" s="372" t="s">
        <v>2557</v>
      </c>
      <c r="I426" s="349">
        <v>19255</v>
      </c>
      <c r="J426" s="372"/>
      <c r="K426" s="349">
        <v>0</v>
      </c>
      <c r="L426" s="349">
        <v>0</v>
      </c>
      <c r="M426" s="349">
        <v>0</v>
      </c>
      <c r="N426" s="349">
        <v>1</v>
      </c>
      <c r="O426" s="349">
        <f t="shared" si="2"/>
        <v>0</v>
      </c>
      <c r="P426" s="373">
        <f t="shared" si="3"/>
        <v>0</v>
      </c>
    </row>
    <row r="427" spans="1:16">
      <c r="A427" s="348">
        <v>581</v>
      </c>
      <c r="B427" s="349">
        <v>980</v>
      </c>
      <c r="C427" s="372" t="s">
        <v>2902</v>
      </c>
      <c r="D427" s="372" t="s">
        <v>2582</v>
      </c>
      <c r="E427" s="372" t="s">
        <v>2572</v>
      </c>
      <c r="F427" s="350">
        <v>45563.607638888891</v>
      </c>
      <c r="G427" s="349">
        <v>9</v>
      </c>
      <c r="H427" s="372" t="s">
        <v>2557</v>
      </c>
      <c r="I427" s="349">
        <v>19219</v>
      </c>
      <c r="J427" s="372" t="s">
        <v>7876</v>
      </c>
      <c r="K427" s="349">
        <v>34.99</v>
      </c>
      <c r="L427" s="349">
        <v>0</v>
      </c>
      <c r="M427" s="349">
        <v>0</v>
      </c>
      <c r="N427" s="349">
        <v>7.0111100000000004</v>
      </c>
      <c r="O427" s="349">
        <f t="shared" si="2"/>
        <v>34.99</v>
      </c>
      <c r="P427" s="373">
        <f t="shared" si="3"/>
        <v>4.990650553193432</v>
      </c>
    </row>
    <row r="428" spans="1:16">
      <c r="A428" s="348">
        <v>582</v>
      </c>
      <c r="B428" s="349">
        <v>996</v>
      </c>
      <c r="C428" s="372" t="s">
        <v>7877</v>
      </c>
      <c r="D428" s="372" t="s">
        <v>2582</v>
      </c>
      <c r="E428" s="372" t="s">
        <v>2556</v>
      </c>
      <c r="F428" s="350">
        <v>45563.658333333333</v>
      </c>
      <c r="G428" s="349">
        <v>9</v>
      </c>
      <c r="H428" s="372" t="s">
        <v>2557</v>
      </c>
      <c r="I428" s="349">
        <v>19231</v>
      </c>
      <c r="J428" s="372" t="s">
        <v>7878</v>
      </c>
      <c r="K428" s="349">
        <v>17.46</v>
      </c>
      <c r="L428" s="349">
        <v>0</v>
      </c>
      <c r="M428" s="349">
        <v>0</v>
      </c>
      <c r="N428" s="349">
        <v>7.0111100000000004</v>
      </c>
      <c r="O428" s="349">
        <f t="shared" si="2"/>
        <v>17.46</v>
      </c>
      <c r="P428" s="373">
        <f t="shared" si="3"/>
        <v>2.490333199735848</v>
      </c>
    </row>
    <row r="429" spans="1:16">
      <c r="A429" s="348">
        <v>583</v>
      </c>
      <c r="B429" s="349">
        <v>996</v>
      </c>
      <c r="C429" s="372" t="s">
        <v>7877</v>
      </c>
      <c r="D429" s="372" t="s">
        <v>2582</v>
      </c>
      <c r="E429" s="372" t="s">
        <v>2556</v>
      </c>
      <c r="F429" s="350">
        <v>45563.661805555559</v>
      </c>
      <c r="G429" s="349">
        <v>9</v>
      </c>
      <c r="H429" s="372" t="s">
        <v>2557</v>
      </c>
      <c r="I429" s="349">
        <v>19231</v>
      </c>
      <c r="J429" s="372"/>
      <c r="K429" s="349">
        <v>0.03</v>
      </c>
      <c r="L429" s="349">
        <v>0</v>
      </c>
      <c r="M429" s="349">
        <v>0</v>
      </c>
      <c r="N429" s="349">
        <v>7.0111100000000004</v>
      </c>
      <c r="O429" s="349">
        <f t="shared" si="2"/>
        <v>0.03</v>
      </c>
      <c r="P429" s="373">
        <f t="shared" si="3"/>
        <v>4.2789230236011128E-3</v>
      </c>
    </row>
    <row r="430" spans="1:16">
      <c r="A430" s="348">
        <v>585</v>
      </c>
      <c r="B430" s="349">
        <v>318</v>
      </c>
      <c r="C430" s="372" t="s">
        <v>2580</v>
      </c>
      <c r="D430" s="372" t="s">
        <v>45</v>
      </c>
      <c r="E430" s="372" t="s">
        <v>2556</v>
      </c>
      <c r="F430" s="350">
        <v>45563.842361111114</v>
      </c>
      <c r="G430" s="349">
        <v>9</v>
      </c>
      <c r="H430" s="372" t="s">
        <v>2557</v>
      </c>
      <c r="I430" s="349">
        <v>16374</v>
      </c>
      <c r="J430" s="372" t="s">
        <v>7879</v>
      </c>
      <c r="K430" s="349">
        <v>1.0900000000000001</v>
      </c>
      <c r="L430" s="349">
        <v>0</v>
      </c>
      <c r="M430" s="349">
        <v>0</v>
      </c>
      <c r="N430" s="349">
        <v>1</v>
      </c>
      <c r="O430" s="349">
        <f t="shared" si="2"/>
        <v>1.0900000000000001</v>
      </c>
      <c r="P430" s="373">
        <f t="shared" si="3"/>
        <v>1.0900000000000001</v>
      </c>
    </row>
    <row r="431" spans="1:16">
      <c r="A431" s="348">
        <v>586</v>
      </c>
      <c r="B431" s="349">
        <v>1002</v>
      </c>
      <c r="C431" s="372" t="s">
        <v>7880</v>
      </c>
      <c r="D431" s="372" t="s">
        <v>45</v>
      </c>
      <c r="E431" s="372" t="s">
        <v>2556</v>
      </c>
      <c r="F431" s="350">
        <v>45563.863194444442</v>
      </c>
      <c r="G431" s="349">
        <v>9</v>
      </c>
      <c r="H431" s="372" t="s">
        <v>2557</v>
      </c>
      <c r="I431" s="349">
        <v>19267</v>
      </c>
      <c r="J431" s="372" t="s">
        <v>7881</v>
      </c>
      <c r="K431" s="349">
        <v>5.99</v>
      </c>
      <c r="L431" s="349">
        <v>0</v>
      </c>
      <c r="M431" s="349">
        <v>0</v>
      </c>
      <c r="N431" s="349">
        <v>1</v>
      </c>
      <c r="O431" s="349">
        <f t="shared" si="2"/>
        <v>5.99</v>
      </c>
      <c r="P431" s="373">
        <f t="shared" si="3"/>
        <v>5.99</v>
      </c>
    </row>
    <row r="432" spans="1:16">
      <c r="A432" s="348">
        <v>587</v>
      </c>
      <c r="B432" s="349">
        <v>1005</v>
      </c>
      <c r="C432" s="372" t="s">
        <v>7882</v>
      </c>
      <c r="D432" s="372" t="s">
        <v>45</v>
      </c>
      <c r="E432" s="372" t="s">
        <v>2556</v>
      </c>
      <c r="F432" s="350">
        <v>45563.934027777781</v>
      </c>
      <c r="G432" s="349">
        <v>9</v>
      </c>
      <c r="H432" s="372" t="s">
        <v>2557</v>
      </c>
      <c r="I432" s="349">
        <v>19291</v>
      </c>
      <c r="J432" s="372" t="s">
        <v>7883</v>
      </c>
      <c r="K432" s="349">
        <v>2.99</v>
      </c>
      <c r="L432" s="349">
        <v>0</v>
      </c>
      <c r="M432" s="349">
        <v>0</v>
      </c>
      <c r="N432" s="349">
        <v>1</v>
      </c>
      <c r="O432" s="349">
        <f t="shared" si="2"/>
        <v>2.99</v>
      </c>
      <c r="P432" s="373">
        <f t="shared" si="3"/>
        <v>2.99</v>
      </c>
    </row>
    <row r="433" spans="1:16">
      <c r="A433" s="348">
        <v>588</v>
      </c>
      <c r="B433" s="349">
        <v>1003</v>
      </c>
      <c r="C433" s="372" t="s">
        <v>7884</v>
      </c>
      <c r="D433" s="372" t="s">
        <v>2582</v>
      </c>
      <c r="E433" s="372" t="s">
        <v>2556</v>
      </c>
      <c r="F433" s="350">
        <v>45563.9375</v>
      </c>
      <c r="G433" s="349">
        <v>9</v>
      </c>
      <c r="H433" s="372" t="s">
        <v>2557</v>
      </c>
      <c r="I433" s="349">
        <v>19303</v>
      </c>
      <c r="J433" s="372" t="s">
        <v>7885</v>
      </c>
      <c r="K433" s="349">
        <v>21.03</v>
      </c>
      <c r="L433" s="349">
        <v>0</v>
      </c>
      <c r="M433" s="349">
        <v>0</v>
      </c>
      <c r="N433" s="349">
        <v>7.0111100000000004</v>
      </c>
      <c r="O433" s="349">
        <f t="shared" si="2"/>
        <v>21.03</v>
      </c>
      <c r="P433" s="373">
        <f t="shared" si="3"/>
        <v>2.9995250395443804</v>
      </c>
    </row>
    <row r="434" spans="1:16">
      <c r="A434" s="348">
        <v>589</v>
      </c>
      <c r="B434" s="349">
        <v>333</v>
      </c>
      <c r="C434" s="372" t="s">
        <v>7713</v>
      </c>
      <c r="D434" s="372" t="s">
        <v>2582</v>
      </c>
      <c r="E434" s="372" t="s">
        <v>2556</v>
      </c>
      <c r="F434" s="350">
        <v>45564.643750000003</v>
      </c>
      <c r="G434" s="349">
        <v>9</v>
      </c>
      <c r="H434" s="372" t="s">
        <v>2557</v>
      </c>
      <c r="I434" s="349">
        <v>17587</v>
      </c>
      <c r="J434" s="372" t="s">
        <v>7886</v>
      </c>
      <c r="K434" s="349">
        <v>7.71</v>
      </c>
      <c r="L434" s="349">
        <v>0</v>
      </c>
      <c r="M434" s="349">
        <v>0</v>
      </c>
      <c r="N434" s="349">
        <v>7.0111100000000004</v>
      </c>
      <c r="O434" s="349">
        <f t="shared" si="2"/>
        <v>7.71</v>
      </c>
      <c r="P434" s="373">
        <f t="shared" si="3"/>
        <v>1.099683217065486</v>
      </c>
    </row>
    <row r="435" spans="1:16">
      <c r="A435" s="348">
        <v>590</v>
      </c>
      <c r="B435" s="349">
        <v>1007</v>
      </c>
      <c r="C435" s="372" t="s">
        <v>7887</v>
      </c>
      <c r="D435" s="372" t="s">
        <v>45</v>
      </c>
      <c r="E435" s="372" t="s">
        <v>2556</v>
      </c>
      <c r="F435" s="350">
        <v>45564.890277777777</v>
      </c>
      <c r="G435" s="349">
        <v>9</v>
      </c>
      <c r="H435" s="372" t="s">
        <v>2557</v>
      </c>
      <c r="I435" s="349">
        <v>19399</v>
      </c>
      <c r="J435" s="372" t="s">
        <v>7888</v>
      </c>
      <c r="K435" s="349">
        <v>2.99</v>
      </c>
      <c r="L435" s="349">
        <v>0</v>
      </c>
      <c r="M435" s="349">
        <v>0</v>
      </c>
      <c r="N435" s="349">
        <v>1</v>
      </c>
      <c r="O435" s="349">
        <f t="shared" si="2"/>
        <v>2.99</v>
      </c>
      <c r="P435" s="373">
        <f t="shared" si="3"/>
        <v>2.99</v>
      </c>
    </row>
    <row r="436" spans="1:16">
      <c r="A436" s="348">
        <v>591</v>
      </c>
      <c r="B436" s="349">
        <v>1008</v>
      </c>
      <c r="C436" s="374">
        <v>45658</v>
      </c>
      <c r="D436" s="372" t="s">
        <v>2582</v>
      </c>
      <c r="E436" s="372" t="s">
        <v>2556</v>
      </c>
      <c r="F436" s="350">
        <v>45565.539583333331</v>
      </c>
      <c r="G436" s="349">
        <v>9</v>
      </c>
      <c r="H436" s="372" t="s">
        <v>2557</v>
      </c>
      <c r="I436" s="349">
        <v>19459</v>
      </c>
      <c r="J436" s="372" t="s">
        <v>7889</v>
      </c>
      <c r="K436" s="349">
        <v>230.95</v>
      </c>
      <c r="L436" s="349">
        <v>0</v>
      </c>
      <c r="M436" s="349">
        <v>0</v>
      </c>
      <c r="N436" s="349">
        <v>7.0111100000000004</v>
      </c>
      <c r="O436" s="349">
        <f t="shared" si="2"/>
        <v>230.95</v>
      </c>
      <c r="P436" s="373">
        <f t="shared" si="3"/>
        <v>32.9405757433559</v>
      </c>
    </row>
    <row r="437" spans="1:16">
      <c r="A437" s="348">
        <v>592</v>
      </c>
      <c r="B437" s="349">
        <v>1008</v>
      </c>
      <c r="C437" s="374">
        <v>45658</v>
      </c>
      <c r="D437" s="372" t="s">
        <v>2582</v>
      </c>
      <c r="E437" s="372" t="s">
        <v>2556</v>
      </c>
      <c r="F437" s="350">
        <v>45565.585416666669</v>
      </c>
      <c r="G437" s="349">
        <v>9</v>
      </c>
      <c r="H437" s="372" t="s">
        <v>2557</v>
      </c>
      <c r="I437" s="349">
        <v>19459</v>
      </c>
      <c r="J437" s="372"/>
      <c r="K437" s="349">
        <v>0.03</v>
      </c>
      <c r="L437" s="349">
        <v>0</v>
      </c>
      <c r="M437" s="349">
        <v>0</v>
      </c>
      <c r="N437" s="349">
        <v>7.0111100000000004</v>
      </c>
      <c r="O437" s="349">
        <f t="shared" si="2"/>
        <v>0.03</v>
      </c>
      <c r="P437" s="373">
        <f t="shared" si="3"/>
        <v>4.2789230236011128E-3</v>
      </c>
    </row>
    <row r="438" spans="1:16">
      <c r="A438" s="348">
        <v>593</v>
      </c>
      <c r="B438" s="349">
        <v>1009</v>
      </c>
      <c r="C438" s="372" t="s">
        <v>7890</v>
      </c>
      <c r="D438" s="372" t="s">
        <v>45</v>
      </c>
      <c r="E438" s="372" t="s">
        <v>2572</v>
      </c>
      <c r="F438" s="350">
        <v>45565.614583333336</v>
      </c>
      <c r="G438" s="349">
        <v>9</v>
      </c>
      <c r="H438" s="372" t="s">
        <v>2557</v>
      </c>
      <c r="I438" s="349">
        <v>19471</v>
      </c>
      <c r="J438" s="372" t="s">
        <v>7891</v>
      </c>
      <c r="K438" s="349">
        <v>7.99</v>
      </c>
      <c r="L438" s="349">
        <v>0</v>
      </c>
      <c r="M438" s="349">
        <v>0</v>
      </c>
      <c r="N438" s="349">
        <v>1</v>
      </c>
      <c r="O438" s="349">
        <f t="shared" si="2"/>
        <v>7.99</v>
      </c>
      <c r="P438" s="373">
        <f t="shared" si="3"/>
        <v>7.99</v>
      </c>
    </row>
    <row r="439" spans="1:16">
      <c r="A439" s="348">
        <v>594</v>
      </c>
      <c r="B439" s="349">
        <v>333</v>
      </c>
      <c r="C439" s="372" t="s">
        <v>7713</v>
      </c>
      <c r="D439" s="372" t="s">
        <v>2582</v>
      </c>
      <c r="E439" s="372" t="s">
        <v>2556</v>
      </c>
      <c r="F439" s="350">
        <v>45565.614583333336</v>
      </c>
      <c r="G439" s="349">
        <v>9</v>
      </c>
      <c r="H439" s="372" t="s">
        <v>2557</v>
      </c>
      <c r="I439" s="349">
        <v>17587</v>
      </c>
      <c r="J439" s="372"/>
      <c r="K439" s="349">
        <v>0.02</v>
      </c>
      <c r="L439" s="349">
        <v>0</v>
      </c>
      <c r="M439" s="349">
        <v>0</v>
      </c>
      <c r="N439" s="349">
        <v>7.0111100000000004</v>
      </c>
      <c r="O439" s="349">
        <f t="shared" si="2"/>
        <v>0.02</v>
      </c>
      <c r="P439" s="373">
        <f t="shared" si="3"/>
        <v>2.8526153490674084E-3</v>
      </c>
    </row>
    <row r="440" spans="1:16">
      <c r="A440" s="348">
        <v>595</v>
      </c>
      <c r="B440" s="349">
        <v>1011</v>
      </c>
      <c r="C440" s="372" t="s">
        <v>3449</v>
      </c>
      <c r="D440" s="372" t="s">
        <v>45</v>
      </c>
      <c r="E440" s="372" t="s">
        <v>2556</v>
      </c>
      <c r="F440" s="350">
        <v>45565.655555555553</v>
      </c>
      <c r="G440" s="349">
        <v>9</v>
      </c>
      <c r="H440" s="372" t="s">
        <v>2557</v>
      </c>
      <c r="I440" s="349">
        <v>19483</v>
      </c>
      <c r="J440" s="372" t="s">
        <v>7892</v>
      </c>
      <c r="K440" s="349">
        <v>2.99</v>
      </c>
      <c r="L440" s="349">
        <v>0</v>
      </c>
      <c r="M440" s="349">
        <v>0</v>
      </c>
      <c r="N440" s="349">
        <v>1</v>
      </c>
      <c r="O440" s="349">
        <f t="shared" si="2"/>
        <v>2.99</v>
      </c>
      <c r="P440" s="373">
        <f t="shared" si="3"/>
        <v>2.99</v>
      </c>
    </row>
    <row r="441" spans="1:16">
      <c r="A441" s="348">
        <v>596</v>
      </c>
      <c r="B441" s="349">
        <v>127</v>
      </c>
      <c r="C441" s="372" t="s">
        <v>7478</v>
      </c>
      <c r="D441" s="372" t="s">
        <v>45</v>
      </c>
      <c r="E441" s="372" t="s">
        <v>2556</v>
      </c>
      <c r="F441" s="350">
        <v>45566.938888888886</v>
      </c>
      <c r="G441" s="349">
        <v>10</v>
      </c>
      <c r="H441" s="372" t="s">
        <v>2557</v>
      </c>
      <c r="I441" s="349">
        <v>19543</v>
      </c>
      <c r="J441" s="372" t="s">
        <v>7893</v>
      </c>
      <c r="K441" s="349">
        <v>7.99</v>
      </c>
      <c r="L441" s="349">
        <v>0</v>
      </c>
      <c r="M441" s="349">
        <v>0</v>
      </c>
      <c r="N441" s="349">
        <v>1</v>
      </c>
      <c r="O441" s="349">
        <f t="shared" si="2"/>
        <v>7.99</v>
      </c>
      <c r="P441" s="373">
        <f t="shared" si="3"/>
        <v>7.99</v>
      </c>
    </row>
    <row r="442" spans="1:16">
      <c r="A442" s="348">
        <v>597</v>
      </c>
      <c r="B442" s="349">
        <v>1018</v>
      </c>
      <c r="C442" s="372" t="s">
        <v>7894</v>
      </c>
      <c r="D442" s="372" t="s">
        <v>45</v>
      </c>
      <c r="E442" s="372" t="s">
        <v>9</v>
      </c>
      <c r="F442" s="350">
        <v>45566.972916666666</v>
      </c>
      <c r="G442" s="349">
        <v>10</v>
      </c>
      <c r="H442" s="372" t="s">
        <v>2557</v>
      </c>
      <c r="I442" s="349">
        <v>19579</v>
      </c>
      <c r="J442" s="372" t="s">
        <v>7113</v>
      </c>
      <c r="K442" s="349">
        <v>2.99</v>
      </c>
      <c r="L442" s="349">
        <v>0.64</v>
      </c>
      <c r="M442" s="349">
        <v>0</v>
      </c>
      <c r="N442" s="349">
        <v>1</v>
      </c>
      <c r="O442" s="349">
        <f t="shared" si="2"/>
        <v>2.35</v>
      </c>
      <c r="P442" s="373">
        <f t="shared" si="3"/>
        <v>2.35</v>
      </c>
    </row>
    <row r="443" spans="1:16">
      <c r="A443" s="348">
        <v>600</v>
      </c>
      <c r="B443" s="349">
        <v>151</v>
      </c>
      <c r="C443" s="372" t="s">
        <v>7515</v>
      </c>
      <c r="D443" s="372" t="s">
        <v>45</v>
      </c>
      <c r="E443" s="372" t="s">
        <v>2556</v>
      </c>
      <c r="F443" s="350">
        <v>45567</v>
      </c>
      <c r="G443" s="349">
        <v>10</v>
      </c>
      <c r="H443" s="372" t="s">
        <v>2557</v>
      </c>
      <c r="I443" s="349">
        <v>19627</v>
      </c>
      <c r="J443" s="372"/>
      <c r="K443" s="349">
        <v>0</v>
      </c>
      <c r="L443" s="349">
        <v>0</v>
      </c>
      <c r="M443" s="349">
        <v>0</v>
      </c>
      <c r="N443" s="349">
        <v>1</v>
      </c>
      <c r="O443" s="349">
        <f t="shared" si="2"/>
        <v>0</v>
      </c>
      <c r="P443" s="373">
        <f t="shared" si="3"/>
        <v>0</v>
      </c>
    </row>
    <row r="444" spans="1:16">
      <c r="A444" s="348">
        <v>598</v>
      </c>
      <c r="B444" s="349">
        <v>1021</v>
      </c>
      <c r="C444" s="372" t="s">
        <v>2598</v>
      </c>
      <c r="D444" s="372" t="s">
        <v>2582</v>
      </c>
      <c r="E444" s="372" t="s">
        <v>2556</v>
      </c>
      <c r="F444" s="350">
        <v>45567.214583333334</v>
      </c>
      <c r="G444" s="349">
        <v>10</v>
      </c>
      <c r="H444" s="372" t="s">
        <v>2557</v>
      </c>
      <c r="I444" s="349">
        <v>19591</v>
      </c>
      <c r="J444" s="372" t="s">
        <v>7895</v>
      </c>
      <c r="K444" s="349">
        <v>252.38</v>
      </c>
      <c r="L444" s="349">
        <v>0</v>
      </c>
      <c r="M444" s="349">
        <v>0</v>
      </c>
      <c r="N444" s="349">
        <v>7.0124199999999997</v>
      </c>
      <c r="O444" s="349">
        <f t="shared" si="2"/>
        <v>252.38</v>
      </c>
      <c r="P444" s="373">
        <f t="shared" si="3"/>
        <v>35.990428411304514</v>
      </c>
    </row>
    <row r="445" spans="1:16">
      <c r="A445" s="348">
        <v>599</v>
      </c>
      <c r="B445" s="349">
        <v>1021</v>
      </c>
      <c r="C445" s="372" t="s">
        <v>2598</v>
      </c>
      <c r="D445" s="372" t="s">
        <v>2582</v>
      </c>
      <c r="E445" s="372" t="s">
        <v>2556</v>
      </c>
      <c r="F445" s="350">
        <v>45567.390277777777</v>
      </c>
      <c r="G445" s="349">
        <v>10</v>
      </c>
      <c r="H445" s="372" t="s">
        <v>2557</v>
      </c>
      <c r="I445" s="349">
        <v>19591</v>
      </c>
      <c r="J445" s="372"/>
      <c r="K445" s="349">
        <v>0.01</v>
      </c>
      <c r="L445" s="349">
        <v>0</v>
      </c>
      <c r="M445" s="349">
        <v>0</v>
      </c>
      <c r="N445" s="349">
        <v>7.0184899999999999</v>
      </c>
      <c r="O445" s="349">
        <f t="shared" si="2"/>
        <v>0.01</v>
      </c>
      <c r="P445" s="373">
        <f t="shared" si="3"/>
        <v>1.4248079002748455E-3</v>
      </c>
    </row>
    <row r="446" spans="1:16">
      <c r="A446" s="348">
        <v>601</v>
      </c>
      <c r="B446" s="349">
        <v>1026</v>
      </c>
      <c r="C446" s="372" t="s">
        <v>3458</v>
      </c>
      <c r="D446" s="372" t="s">
        <v>2582</v>
      </c>
      <c r="E446" s="372" t="s">
        <v>2556</v>
      </c>
      <c r="F446" s="350">
        <v>45567.645833333336</v>
      </c>
      <c r="G446" s="349">
        <v>10</v>
      </c>
      <c r="H446" s="372" t="s">
        <v>2557</v>
      </c>
      <c r="I446" s="349">
        <v>19639</v>
      </c>
      <c r="J446" s="372" t="s">
        <v>7896</v>
      </c>
      <c r="K446" s="349">
        <v>20.99</v>
      </c>
      <c r="L446" s="349">
        <v>0</v>
      </c>
      <c r="M446" s="349">
        <v>0</v>
      </c>
      <c r="N446" s="349">
        <v>7.0184899999999999</v>
      </c>
      <c r="O446" s="349">
        <f t="shared" si="2"/>
        <v>20.99</v>
      </c>
      <c r="P446" s="373">
        <f t="shared" si="3"/>
        <v>2.9906717826769005</v>
      </c>
    </row>
    <row r="447" spans="1:16">
      <c r="A447" s="348">
        <v>602</v>
      </c>
      <c r="B447" s="349">
        <v>1026</v>
      </c>
      <c r="C447" s="372" t="s">
        <v>3458</v>
      </c>
      <c r="D447" s="372" t="s">
        <v>2582</v>
      </c>
      <c r="E447" s="372" t="s">
        <v>2556</v>
      </c>
      <c r="F447" s="350">
        <v>45567.663194444445</v>
      </c>
      <c r="G447" s="349">
        <v>10</v>
      </c>
      <c r="H447" s="372" t="s">
        <v>2557</v>
      </c>
      <c r="I447" s="349">
        <v>19639</v>
      </c>
      <c r="J447" s="372"/>
      <c r="K447" s="349">
        <v>0.03</v>
      </c>
      <c r="L447" s="349">
        <v>0</v>
      </c>
      <c r="M447" s="349">
        <v>0</v>
      </c>
      <c r="N447" s="349">
        <v>7.0184899999999999</v>
      </c>
      <c r="O447" s="349">
        <f t="shared" si="2"/>
        <v>0.03</v>
      </c>
      <c r="P447" s="373">
        <f t="shared" si="3"/>
        <v>4.2744237008245358E-3</v>
      </c>
    </row>
    <row r="448" spans="1:16">
      <c r="A448" s="348">
        <v>603</v>
      </c>
      <c r="B448" s="349">
        <v>127</v>
      </c>
      <c r="C448" s="372" t="s">
        <v>7478</v>
      </c>
      <c r="D448" s="372" t="s">
        <v>45</v>
      </c>
      <c r="E448" s="372" t="s">
        <v>2556</v>
      </c>
      <c r="F448" s="350">
        <v>45567.759027777778</v>
      </c>
      <c r="G448" s="349">
        <v>10</v>
      </c>
      <c r="H448" s="372" t="s">
        <v>7897</v>
      </c>
      <c r="I448" s="349">
        <v>19543</v>
      </c>
      <c r="J448" s="372"/>
      <c r="K448" s="349">
        <v>0</v>
      </c>
      <c r="L448" s="349">
        <v>0</v>
      </c>
      <c r="M448" s="349">
        <v>7.99</v>
      </c>
      <c r="N448" s="349">
        <v>1</v>
      </c>
      <c r="O448" s="349">
        <f t="shared" si="2"/>
        <v>-7.99</v>
      </c>
      <c r="P448" s="373">
        <f t="shared" si="3"/>
        <v>-7.99</v>
      </c>
    </row>
    <row r="449" spans="1:16">
      <c r="A449" s="348">
        <v>605</v>
      </c>
      <c r="B449" s="349">
        <v>1023</v>
      </c>
      <c r="C449" s="372" t="s">
        <v>7898</v>
      </c>
      <c r="D449" s="372" t="s">
        <v>45</v>
      </c>
      <c r="E449" s="372" t="s">
        <v>2556</v>
      </c>
      <c r="F449" s="350">
        <v>45568</v>
      </c>
      <c r="G449" s="349">
        <v>10</v>
      </c>
      <c r="H449" s="372" t="s">
        <v>2557</v>
      </c>
      <c r="I449" s="349">
        <v>19663</v>
      </c>
      <c r="J449" s="372"/>
      <c r="K449" s="349">
        <v>0</v>
      </c>
      <c r="L449" s="349">
        <v>0</v>
      </c>
      <c r="M449" s="349">
        <v>0</v>
      </c>
      <c r="N449" s="349">
        <v>1</v>
      </c>
      <c r="O449" s="349">
        <f t="shared" si="2"/>
        <v>0</v>
      </c>
      <c r="P449" s="373">
        <f t="shared" si="3"/>
        <v>0</v>
      </c>
    </row>
    <row r="450" spans="1:16">
      <c r="A450" s="348">
        <v>604</v>
      </c>
      <c r="B450" s="349">
        <v>1029</v>
      </c>
      <c r="C450" s="372" t="s">
        <v>7899</v>
      </c>
      <c r="D450" s="372" t="s">
        <v>45</v>
      </c>
      <c r="E450" s="372" t="s">
        <v>2556</v>
      </c>
      <c r="F450" s="350">
        <v>45568.252083333333</v>
      </c>
      <c r="G450" s="349">
        <v>10</v>
      </c>
      <c r="H450" s="372" t="s">
        <v>2557</v>
      </c>
      <c r="I450" s="349">
        <v>19651</v>
      </c>
      <c r="J450" s="372" t="s">
        <v>7900</v>
      </c>
      <c r="K450" s="349">
        <v>16.989999999999998</v>
      </c>
      <c r="L450" s="349">
        <v>0</v>
      </c>
      <c r="M450" s="349">
        <v>0</v>
      </c>
      <c r="N450" s="349">
        <v>1</v>
      </c>
      <c r="O450" s="349">
        <f t="shared" si="2"/>
        <v>16.989999999999998</v>
      </c>
      <c r="P450" s="373">
        <f t="shared" si="3"/>
        <v>16.989999999999998</v>
      </c>
    </row>
    <row r="451" spans="1:16">
      <c r="A451" s="348">
        <v>606</v>
      </c>
      <c r="B451" s="349">
        <v>1026</v>
      </c>
      <c r="C451" s="372" t="s">
        <v>3458</v>
      </c>
      <c r="D451" s="372" t="s">
        <v>2582</v>
      </c>
      <c r="E451" s="372" t="s">
        <v>9</v>
      </c>
      <c r="F451" s="350">
        <v>45568.841666666667</v>
      </c>
      <c r="G451" s="349">
        <v>10</v>
      </c>
      <c r="H451" s="372" t="s">
        <v>2557</v>
      </c>
      <c r="I451" s="349">
        <v>19711</v>
      </c>
      <c r="J451" s="372" t="s">
        <v>7115</v>
      </c>
      <c r="K451" s="349">
        <v>258.92</v>
      </c>
      <c r="L451" s="349">
        <v>16.350000000000001</v>
      </c>
      <c r="M451" s="349">
        <v>0</v>
      </c>
      <c r="N451" s="349">
        <v>7.0185199999999996</v>
      </c>
      <c r="O451" s="349">
        <f t="shared" si="2"/>
        <v>242.57000000000002</v>
      </c>
      <c r="P451" s="373">
        <f t="shared" si="3"/>
        <v>34.561417506824803</v>
      </c>
    </row>
    <row r="452" spans="1:16">
      <c r="A452" s="348">
        <v>609</v>
      </c>
      <c r="B452" s="349">
        <v>1035</v>
      </c>
      <c r="C452" s="372" t="s">
        <v>7901</v>
      </c>
      <c r="D452" s="372" t="s">
        <v>45</v>
      </c>
      <c r="E452" s="372" t="s">
        <v>2556</v>
      </c>
      <c r="F452" s="350">
        <v>45569</v>
      </c>
      <c r="G452" s="349">
        <v>10</v>
      </c>
      <c r="H452" s="372" t="s">
        <v>2557</v>
      </c>
      <c r="I452" s="349">
        <v>19831</v>
      </c>
      <c r="J452" s="372"/>
      <c r="K452" s="349">
        <v>0</v>
      </c>
      <c r="L452" s="349">
        <v>0</v>
      </c>
      <c r="M452" s="349">
        <v>0</v>
      </c>
      <c r="N452" s="349">
        <v>1</v>
      </c>
      <c r="O452" s="349">
        <f t="shared" si="2"/>
        <v>0</v>
      </c>
      <c r="P452" s="373">
        <f t="shared" si="3"/>
        <v>0</v>
      </c>
    </row>
    <row r="453" spans="1:16">
      <c r="A453" s="348">
        <v>610</v>
      </c>
      <c r="B453" s="349">
        <v>1036</v>
      </c>
      <c r="C453" s="372" t="s">
        <v>7902</v>
      </c>
      <c r="D453" s="372" t="s">
        <v>45</v>
      </c>
      <c r="E453" s="372" t="s">
        <v>2556</v>
      </c>
      <c r="F453" s="350">
        <v>45569</v>
      </c>
      <c r="G453" s="349">
        <v>10</v>
      </c>
      <c r="H453" s="372" t="s">
        <v>2557</v>
      </c>
      <c r="I453" s="349">
        <v>19843</v>
      </c>
      <c r="J453" s="372"/>
      <c r="K453" s="349">
        <v>0</v>
      </c>
      <c r="L453" s="349">
        <v>0</v>
      </c>
      <c r="M453" s="349">
        <v>0</v>
      </c>
      <c r="N453" s="349">
        <v>1</v>
      </c>
      <c r="O453" s="349">
        <f t="shared" si="2"/>
        <v>0</v>
      </c>
      <c r="P453" s="373">
        <f t="shared" si="3"/>
        <v>0</v>
      </c>
    </row>
    <row r="454" spans="1:16">
      <c r="A454" s="348">
        <v>607</v>
      </c>
      <c r="B454" s="349">
        <v>200</v>
      </c>
      <c r="C454" s="372" t="s">
        <v>6002</v>
      </c>
      <c r="D454" s="372" t="s">
        <v>2582</v>
      </c>
      <c r="E454" s="372" t="s">
        <v>2556</v>
      </c>
      <c r="F454" s="350">
        <v>45569.054861111108</v>
      </c>
      <c r="G454" s="349">
        <v>10</v>
      </c>
      <c r="H454" s="372" t="s">
        <v>2557</v>
      </c>
      <c r="I454" s="349">
        <v>19723</v>
      </c>
      <c r="J454" s="372" t="s">
        <v>7903</v>
      </c>
      <c r="K454" s="349">
        <v>56.08</v>
      </c>
      <c r="L454" s="349">
        <v>0</v>
      </c>
      <c r="M454" s="349">
        <v>0</v>
      </c>
      <c r="N454" s="349">
        <v>7.0185199999999996</v>
      </c>
      <c r="O454" s="349">
        <f t="shared" si="2"/>
        <v>56.08</v>
      </c>
      <c r="P454" s="373">
        <f t="shared" si="3"/>
        <v>7.9902885508625756</v>
      </c>
    </row>
    <row r="455" spans="1:16">
      <c r="A455" s="348">
        <v>608</v>
      </c>
      <c r="B455" s="349">
        <v>1033</v>
      </c>
      <c r="C455" s="372" t="s">
        <v>4043</v>
      </c>
      <c r="D455" s="372" t="s">
        <v>45</v>
      </c>
      <c r="E455" s="372" t="s">
        <v>2556</v>
      </c>
      <c r="F455" s="350">
        <v>45569.724305555559</v>
      </c>
      <c r="G455" s="349">
        <v>10</v>
      </c>
      <c r="H455" s="372" t="s">
        <v>2557</v>
      </c>
      <c r="I455" s="349">
        <v>19819</v>
      </c>
      <c r="J455" s="372" t="s">
        <v>7904</v>
      </c>
      <c r="K455" s="349">
        <v>7.99</v>
      </c>
      <c r="L455" s="349">
        <v>0</v>
      </c>
      <c r="M455" s="349">
        <v>0</v>
      </c>
      <c r="N455" s="349">
        <v>1</v>
      </c>
      <c r="O455" s="349">
        <f t="shared" si="2"/>
        <v>7.99</v>
      </c>
      <c r="P455" s="373">
        <f t="shared" si="3"/>
        <v>7.99</v>
      </c>
    </row>
    <row r="456" spans="1:16">
      <c r="A456" s="348">
        <v>611</v>
      </c>
      <c r="B456" s="349">
        <v>54</v>
      </c>
      <c r="C456" s="372" t="s">
        <v>2575</v>
      </c>
      <c r="D456" s="372" t="s">
        <v>2582</v>
      </c>
      <c r="E456" s="372" t="s">
        <v>2556</v>
      </c>
      <c r="F456" s="350">
        <v>45569.944444444445</v>
      </c>
      <c r="G456" s="349">
        <v>10</v>
      </c>
      <c r="H456" s="372" t="s">
        <v>2557</v>
      </c>
      <c r="I456" s="349">
        <v>19855</v>
      </c>
      <c r="J456" s="372" t="s">
        <v>7905</v>
      </c>
      <c r="K456" s="349">
        <v>168.23</v>
      </c>
      <c r="L456" s="349">
        <v>0</v>
      </c>
      <c r="M456" s="349">
        <v>0</v>
      </c>
      <c r="N456" s="349">
        <v>7.0184800000000003</v>
      </c>
      <c r="O456" s="349">
        <f t="shared" si="2"/>
        <v>168.23</v>
      </c>
      <c r="P456" s="373">
        <f t="shared" si="3"/>
        <v>23.969577458367052</v>
      </c>
    </row>
    <row r="457" spans="1:16">
      <c r="A457" s="348">
        <v>612</v>
      </c>
      <c r="B457" s="349">
        <v>1037</v>
      </c>
      <c r="C457" s="372" t="s">
        <v>7906</v>
      </c>
      <c r="D457" s="372" t="s">
        <v>2582</v>
      </c>
      <c r="E457" s="372" t="s">
        <v>2556</v>
      </c>
      <c r="F457" s="350">
        <v>45569.974999999999</v>
      </c>
      <c r="G457" s="349">
        <v>10</v>
      </c>
      <c r="H457" s="372" t="s">
        <v>2557</v>
      </c>
      <c r="I457" s="349">
        <v>19867</v>
      </c>
      <c r="J457" s="372" t="s">
        <v>7907</v>
      </c>
      <c r="K457" s="349">
        <v>20.99</v>
      </c>
      <c r="L457" s="349">
        <v>0</v>
      </c>
      <c r="M457" s="349">
        <v>0</v>
      </c>
      <c r="N457" s="349">
        <v>7.0184800000000003</v>
      </c>
      <c r="O457" s="349">
        <f t="shared" si="2"/>
        <v>20.99</v>
      </c>
      <c r="P457" s="373">
        <f t="shared" si="3"/>
        <v>2.9906760438157547</v>
      </c>
    </row>
    <row r="458" spans="1:16">
      <c r="A458" s="348">
        <v>613</v>
      </c>
      <c r="B458" s="349">
        <v>1038</v>
      </c>
      <c r="C458" s="372" t="s">
        <v>7908</v>
      </c>
      <c r="D458" s="372" t="s">
        <v>45</v>
      </c>
      <c r="E458" s="372" t="s">
        <v>2572</v>
      </c>
      <c r="F458" s="350">
        <v>45570.071527777778</v>
      </c>
      <c r="G458" s="349">
        <v>10</v>
      </c>
      <c r="H458" s="372" t="s">
        <v>2557</v>
      </c>
      <c r="I458" s="349">
        <v>19879</v>
      </c>
      <c r="J458" s="372" t="s">
        <v>7909</v>
      </c>
      <c r="K458" s="349">
        <v>7.99</v>
      </c>
      <c r="L458" s="349">
        <v>0</v>
      </c>
      <c r="M458" s="349">
        <v>0</v>
      </c>
      <c r="N458" s="349">
        <v>1</v>
      </c>
      <c r="O458" s="349">
        <f t="shared" si="2"/>
        <v>7.99</v>
      </c>
      <c r="P458" s="373">
        <f t="shared" si="3"/>
        <v>7.99</v>
      </c>
    </row>
    <row r="459" spans="1:16">
      <c r="A459" s="348">
        <v>614</v>
      </c>
      <c r="B459" s="349">
        <v>1026</v>
      </c>
      <c r="C459" s="372" t="s">
        <v>3458</v>
      </c>
      <c r="D459" s="372" t="s">
        <v>2582</v>
      </c>
      <c r="E459" s="372" t="s">
        <v>9</v>
      </c>
      <c r="F459" s="350">
        <v>45570.94027777778</v>
      </c>
      <c r="G459" s="349">
        <v>10</v>
      </c>
      <c r="H459" s="372" t="s">
        <v>7910</v>
      </c>
      <c r="I459" s="349">
        <v>19711</v>
      </c>
      <c r="J459" s="372"/>
      <c r="K459" s="349">
        <v>0</v>
      </c>
      <c r="L459" s="349">
        <v>-16.350000000000001</v>
      </c>
      <c r="M459" s="349">
        <v>241</v>
      </c>
      <c r="N459" s="349">
        <v>7.0185199999999996</v>
      </c>
      <c r="O459" s="349">
        <f t="shared" si="2"/>
        <v>-224.65</v>
      </c>
      <c r="P459" s="373">
        <f t="shared" si="3"/>
        <v>-32.008172663182556</v>
      </c>
    </row>
    <row r="460" spans="1:16">
      <c r="A460" s="348">
        <v>615</v>
      </c>
      <c r="B460" s="349">
        <v>479</v>
      </c>
      <c r="C460" s="372" t="s">
        <v>2964</v>
      </c>
      <c r="D460" s="372" t="s">
        <v>45</v>
      </c>
      <c r="E460" s="372" t="s">
        <v>2556</v>
      </c>
      <c r="F460" s="350">
        <v>45571.456944444442</v>
      </c>
      <c r="G460" s="349">
        <v>10</v>
      </c>
      <c r="H460" s="372" t="s">
        <v>2557</v>
      </c>
      <c r="I460" s="349">
        <v>19903</v>
      </c>
      <c r="J460" s="372" t="s">
        <v>7911</v>
      </c>
      <c r="K460" s="349">
        <v>1.0900000000000001</v>
      </c>
      <c r="L460" s="349">
        <v>0</v>
      </c>
      <c r="M460" s="349">
        <v>0</v>
      </c>
      <c r="N460" s="349">
        <v>1</v>
      </c>
      <c r="O460" s="349">
        <f t="shared" si="2"/>
        <v>1.0900000000000001</v>
      </c>
      <c r="P460" s="373">
        <f t="shared" si="3"/>
        <v>1.0900000000000001</v>
      </c>
    </row>
    <row r="461" spans="1:16">
      <c r="A461" s="348">
        <v>616</v>
      </c>
      <c r="B461" s="349">
        <v>1041</v>
      </c>
      <c r="C461" s="372" t="s">
        <v>7912</v>
      </c>
      <c r="D461" s="372" t="s">
        <v>45</v>
      </c>
      <c r="E461" s="372" t="s">
        <v>2556</v>
      </c>
      <c r="F461" s="350">
        <v>45571.519444444442</v>
      </c>
      <c r="G461" s="349">
        <v>10</v>
      </c>
      <c r="H461" s="372" t="s">
        <v>2557</v>
      </c>
      <c r="I461" s="349">
        <v>20023</v>
      </c>
      <c r="J461" s="372" t="s">
        <v>7913</v>
      </c>
      <c r="K461" s="349">
        <v>2.99</v>
      </c>
      <c r="L461" s="349">
        <v>0</v>
      </c>
      <c r="M461" s="349">
        <v>0</v>
      </c>
      <c r="N461" s="349">
        <v>1</v>
      </c>
      <c r="O461" s="349">
        <f t="shared" si="2"/>
        <v>2.99</v>
      </c>
      <c r="P461" s="373">
        <f t="shared" si="3"/>
        <v>2.99</v>
      </c>
    </row>
    <row r="462" spans="1:16">
      <c r="A462" s="348">
        <v>617</v>
      </c>
      <c r="B462" s="349">
        <v>1042</v>
      </c>
      <c r="C462" s="372" t="s">
        <v>5898</v>
      </c>
      <c r="D462" s="372" t="s">
        <v>45</v>
      </c>
      <c r="E462" s="372" t="s">
        <v>2556</v>
      </c>
      <c r="F462" s="350">
        <v>45571.544444444444</v>
      </c>
      <c r="G462" s="349">
        <v>10</v>
      </c>
      <c r="H462" s="372" t="s">
        <v>2557</v>
      </c>
      <c r="I462" s="349">
        <v>20035</v>
      </c>
      <c r="J462" s="372" t="s">
        <v>7914</v>
      </c>
      <c r="K462" s="349">
        <v>49.49</v>
      </c>
      <c r="L462" s="349">
        <v>0</v>
      </c>
      <c r="M462" s="349">
        <v>0</v>
      </c>
      <c r="N462" s="349">
        <v>1</v>
      </c>
      <c r="O462" s="349">
        <f t="shared" si="2"/>
        <v>49.49</v>
      </c>
      <c r="P462" s="373">
        <f t="shared" si="3"/>
        <v>49.49</v>
      </c>
    </row>
    <row r="463" spans="1:16">
      <c r="A463" s="348">
        <v>618</v>
      </c>
      <c r="B463" s="349">
        <v>1043</v>
      </c>
      <c r="C463" s="372" t="s">
        <v>7915</v>
      </c>
      <c r="D463" s="372" t="s">
        <v>45</v>
      </c>
      <c r="E463" s="372" t="s">
        <v>9</v>
      </c>
      <c r="F463" s="350">
        <v>45571.571527777778</v>
      </c>
      <c r="G463" s="349">
        <v>10</v>
      </c>
      <c r="H463" s="372" t="s">
        <v>2557</v>
      </c>
      <c r="I463" s="349">
        <v>20047</v>
      </c>
      <c r="J463" s="372" t="s">
        <v>7119</v>
      </c>
      <c r="K463" s="349">
        <v>32.94</v>
      </c>
      <c r="L463" s="349">
        <v>2.13</v>
      </c>
      <c r="M463" s="349">
        <v>0</v>
      </c>
      <c r="N463" s="349">
        <v>1</v>
      </c>
      <c r="O463" s="349">
        <f t="shared" si="2"/>
        <v>30.81</v>
      </c>
      <c r="P463" s="373">
        <f t="shared" si="3"/>
        <v>30.81</v>
      </c>
    </row>
    <row r="464" spans="1:16">
      <c r="A464" s="348">
        <v>619</v>
      </c>
      <c r="B464" s="349">
        <v>1044</v>
      </c>
      <c r="C464" s="372" t="s">
        <v>7916</v>
      </c>
      <c r="D464" s="372" t="s">
        <v>45</v>
      </c>
      <c r="E464" s="372" t="s">
        <v>9</v>
      </c>
      <c r="F464" s="350">
        <v>45571.729166666664</v>
      </c>
      <c r="G464" s="349">
        <v>10</v>
      </c>
      <c r="H464" s="372" t="s">
        <v>2557</v>
      </c>
      <c r="I464" s="349">
        <v>20071</v>
      </c>
      <c r="J464" s="372" t="s">
        <v>7121</v>
      </c>
      <c r="K464" s="349">
        <v>7.99</v>
      </c>
      <c r="L464" s="349">
        <v>0.89</v>
      </c>
      <c r="M464" s="349">
        <v>0</v>
      </c>
      <c r="N464" s="349">
        <v>1</v>
      </c>
      <c r="O464" s="349">
        <f t="shared" si="2"/>
        <v>7.1000000000000005</v>
      </c>
      <c r="P464" s="373">
        <f t="shared" si="3"/>
        <v>7.1000000000000005</v>
      </c>
    </row>
    <row r="465" spans="1:16">
      <c r="A465" s="348">
        <v>620</v>
      </c>
      <c r="B465" s="349">
        <v>1046</v>
      </c>
      <c r="C465" s="372" t="s">
        <v>2827</v>
      </c>
      <c r="D465" s="372" t="s">
        <v>45</v>
      </c>
      <c r="E465" s="372" t="s">
        <v>2556</v>
      </c>
      <c r="F465" s="350">
        <v>45571.995138888888</v>
      </c>
      <c r="G465" s="349">
        <v>10</v>
      </c>
      <c r="H465" s="372" t="s">
        <v>2557</v>
      </c>
      <c r="I465" s="349">
        <v>20083</v>
      </c>
      <c r="J465" s="372" t="s">
        <v>7917</v>
      </c>
      <c r="K465" s="349">
        <v>1.99</v>
      </c>
      <c r="L465" s="349">
        <v>0</v>
      </c>
      <c r="M465" s="349">
        <v>0</v>
      </c>
      <c r="N465" s="349">
        <v>1</v>
      </c>
      <c r="O465" s="349">
        <f t="shared" si="2"/>
        <v>1.99</v>
      </c>
      <c r="P465" s="373">
        <f t="shared" si="3"/>
        <v>1.99</v>
      </c>
    </row>
    <row r="466" spans="1:16">
      <c r="A466" s="348">
        <v>621</v>
      </c>
      <c r="B466" s="349">
        <v>393</v>
      </c>
      <c r="C466" s="372" t="s">
        <v>7781</v>
      </c>
      <c r="D466" s="372" t="s">
        <v>45</v>
      </c>
      <c r="E466" s="372" t="s">
        <v>2556</v>
      </c>
      <c r="F466" s="350">
        <v>45572.038888888892</v>
      </c>
      <c r="G466" s="349">
        <v>10</v>
      </c>
      <c r="H466" s="372" t="s">
        <v>2557</v>
      </c>
      <c r="I466" s="349">
        <v>19171</v>
      </c>
      <c r="J466" s="372" t="s">
        <v>7918</v>
      </c>
      <c r="K466" s="349">
        <v>1.0900000000000001</v>
      </c>
      <c r="L466" s="349">
        <v>0</v>
      </c>
      <c r="M466" s="349">
        <v>0</v>
      </c>
      <c r="N466" s="349">
        <v>1</v>
      </c>
      <c r="O466" s="349">
        <f t="shared" si="2"/>
        <v>1.0900000000000001</v>
      </c>
      <c r="P466" s="373">
        <f t="shared" si="3"/>
        <v>1.0900000000000001</v>
      </c>
    </row>
    <row r="467" spans="1:16">
      <c r="A467" s="348">
        <v>622</v>
      </c>
      <c r="B467" s="349">
        <v>1048</v>
      </c>
      <c r="C467" s="372" t="s">
        <v>7919</v>
      </c>
      <c r="D467" s="372" t="s">
        <v>45</v>
      </c>
      <c r="E467" s="372" t="s">
        <v>2556</v>
      </c>
      <c r="F467" s="350">
        <v>45572.536111111112</v>
      </c>
      <c r="G467" s="349">
        <v>10</v>
      </c>
      <c r="H467" s="372" t="s">
        <v>2557</v>
      </c>
      <c r="I467" s="349">
        <v>20323</v>
      </c>
      <c r="J467" s="372" t="s">
        <v>7920</v>
      </c>
      <c r="K467" s="349">
        <v>5.99</v>
      </c>
      <c r="L467" s="349">
        <v>0</v>
      </c>
      <c r="M467" s="349">
        <v>0</v>
      </c>
      <c r="N467" s="349">
        <v>1</v>
      </c>
      <c r="O467" s="349">
        <f t="shared" si="2"/>
        <v>5.99</v>
      </c>
      <c r="P467" s="373">
        <f t="shared" si="3"/>
        <v>5.99</v>
      </c>
    </row>
    <row r="468" spans="1:16">
      <c r="A468" s="348">
        <v>623</v>
      </c>
      <c r="B468" s="349">
        <v>1049</v>
      </c>
      <c r="C468" s="372" t="s">
        <v>7921</v>
      </c>
      <c r="D468" s="372" t="s">
        <v>2582</v>
      </c>
      <c r="E468" s="372" t="s">
        <v>2556</v>
      </c>
      <c r="F468" s="350">
        <v>45572.607638888891</v>
      </c>
      <c r="G468" s="349">
        <v>10</v>
      </c>
      <c r="H468" s="372" t="s">
        <v>2557</v>
      </c>
      <c r="I468" s="349">
        <v>20347</v>
      </c>
      <c r="J468" s="372" t="s">
        <v>7922</v>
      </c>
      <c r="K468" s="349">
        <v>42.04</v>
      </c>
      <c r="L468" s="349">
        <v>0</v>
      </c>
      <c r="M468" s="349">
        <v>0</v>
      </c>
      <c r="N468" s="349">
        <v>7.0185000000000004</v>
      </c>
      <c r="O468" s="349">
        <f t="shared" si="2"/>
        <v>42.04</v>
      </c>
      <c r="P468" s="373">
        <f t="shared" si="3"/>
        <v>5.989883878321578</v>
      </c>
    </row>
    <row r="469" spans="1:16">
      <c r="A469" s="348">
        <v>626</v>
      </c>
      <c r="B469" s="349">
        <v>330</v>
      </c>
      <c r="C469" s="372" t="s">
        <v>7706</v>
      </c>
      <c r="D469" s="372" t="s">
        <v>45</v>
      </c>
      <c r="E469" s="372" t="s">
        <v>2556</v>
      </c>
      <c r="F469" s="350">
        <v>45573</v>
      </c>
      <c r="G469" s="349">
        <v>10</v>
      </c>
      <c r="H469" s="372" t="s">
        <v>2557</v>
      </c>
      <c r="I469" s="349">
        <v>20407</v>
      </c>
      <c r="J469" s="372"/>
      <c r="K469" s="349">
        <v>0</v>
      </c>
      <c r="L469" s="349">
        <v>0</v>
      </c>
      <c r="M469" s="349">
        <v>0</v>
      </c>
      <c r="N469" s="349">
        <v>1</v>
      </c>
      <c r="O469" s="349">
        <f t="shared" si="2"/>
        <v>0</v>
      </c>
      <c r="P469" s="373">
        <f t="shared" si="3"/>
        <v>0</v>
      </c>
    </row>
    <row r="470" spans="1:16">
      <c r="A470" s="348">
        <v>624</v>
      </c>
      <c r="B470" s="349">
        <v>254</v>
      </c>
      <c r="C470" s="372" t="s">
        <v>2751</v>
      </c>
      <c r="D470" s="372" t="s">
        <v>2582</v>
      </c>
      <c r="E470" s="372" t="s">
        <v>2556</v>
      </c>
      <c r="F470" s="350">
        <v>45573.374305555553</v>
      </c>
      <c r="G470" s="349">
        <v>10</v>
      </c>
      <c r="H470" s="372" t="s">
        <v>2557</v>
      </c>
      <c r="I470" s="349">
        <v>19783</v>
      </c>
      <c r="J470" s="372" t="s">
        <v>7923</v>
      </c>
      <c r="K470" s="349">
        <v>7.72</v>
      </c>
      <c r="L470" s="349">
        <v>0</v>
      </c>
      <c r="M470" s="349">
        <v>0</v>
      </c>
      <c r="N470" s="349">
        <v>7.0185000000000004</v>
      </c>
      <c r="O470" s="349">
        <f t="shared" si="2"/>
        <v>7.72</v>
      </c>
      <c r="P470" s="373">
        <f t="shared" si="3"/>
        <v>1.0999501317945428</v>
      </c>
    </row>
    <row r="471" spans="1:16">
      <c r="A471" s="348">
        <v>625</v>
      </c>
      <c r="B471" s="349">
        <v>1052</v>
      </c>
      <c r="C471" s="372" t="s">
        <v>7924</v>
      </c>
      <c r="D471" s="372" t="s">
        <v>45</v>
      </c>
      <c r="E471" s="372" t="s">
        <v>2556</v>
      </c>
      <c r="F471" s="350">
        <v>45573.867361111108</v>
      </c>
      <c r="G471" s="349">
        <v>10</v>
      </c>
      <c r="H471" s="372" t="s">
        <v>2557</v>
      </c>
      <c r="I471" s="349">
        <v>20395</v>
      </c>
      <c r="J471" s="372" t="s">
        <v>7925</v>
      </c>
      <c r="K471" s="349">
        <v>1.0900000000000001</v>
      </c>
      <c r="L471" s="349">
        <v>0</v>
      </c>
      <c r="M471" s="349">
        <v>0</v>
      </c>
      <c r="N471" s="349">
        <v>1</v>
      </c>
      <c r="O471" s="349">
        <f t="shared" si="2"/>
        <v>1.0900000000000001</v>
      </c>
      <c r="P471" s="373">
        <f t="shared" si="3"/>
        <v>1.0900000000000001</v>
      </c>
    </row>
    <row r="472" spans="1:16">
      <c r="A472" s="348">
        <v>627</v>
      </c>
      <c r="B472" s="349">
        <v>1053</v>
      </c>
      <c r="C472" s="372" t="s">
        <v>7926</v>
      </c>
      <c r="D472" s="372" t="s">
        <v>2582</v>
      </c>
      <c r="E472" s="372" t="s">
        <v>2556</v>
      </c>
      <c r="F472" s="350">
        <v>45574.086111111108</v>
      </c>
      <c r="G472" s="349">
        <v>10</v>
      </c>
      <c r="H472" s="372" t="s">
        <v>2557</v>
      </c>
      <c r="I472" s="349">
        <v>20419</v>
      </c>
      <c r="J472" s="372" t="s">
        <v>7927</v>
      </c>
      <c r="K472" s="349">
        <v>35.020000000000003</v>
      </c>
      <c r="L472" s="349">
        <v>0</v>
      </c>
      <c r="M472" s="349">
        <v>0</v>
      </c>
      <c r="N472" s="349">
        <v>7.0184800000000003</v>
      </c>
      <c r="O472" s="349">
        <f t="shared" si="2"/>
        <v>35.020000000000003</v>
      </c>
      <c r="P472" s="373">
        <f t="shared" si="3"/>
        <v>4.9896843761042282</v>
      </c>
    </row>
    <row r="473" spans="1:16">
      <c r="A473" s="348">
        <v>628</v>
      </c>
      <c r="B473" s="349">
        <v>1054</v>
      </c>
      <c r="C473" s="372" t="s">
        <v>7928</v>
      </c>
      <c r="D473" s="372" t="s">
        <v>2582</v>
      </c>
      <c r="E473" s="372" t="s">
        <v>2556</v>
      </c>
      <c r="F473" s="350">
        <v>45574.613888888889</v>
      </c>
      <c r="G473" s="349">
        <v>10</v>
      </c>
      <c r="H473" s="372" t="s">
        <v>2557</v>
      </c>
      <c r="I473" s="349">
        <v>20467</v>
      </c>
      <c r="J473" s="372" t="s">
        <v>7929</v>
      </c>
      <c r="K473" s="349">
        <v>21.09</v>
      </c>
      <c r="L473" s="349">
        <v>0</v>
      </c>
      <c r="M473" s="349">
        <v>0</v>
      </c>
      <c r="N473" s="349">
        <v>7.0523600000000002</v>
      </c>
      <c r="O473" s="349">
        <f t="shared" si="2"/>
        <v>21.09</v>
      </c>
      <c r="P473" s="373">
        <f t="shared" si="3"/>
        <v>2.9904882904446168</v>
      </c>
    </row>
    <row r="474" spans="1:16">
      <c r="A474" s="348">
        <v>629</v>
      </c>
      <c r="B474" s="349">
        <v>370</v>
      </c>
      <c r="C474" s="372" t="s">
        <v>3009</v>
      </c>
      <c r="D474" s="372" t="s">
        <v>45</v>
      </c>
      <c r="E474" s="372" t="s">
        <v>2556</v>
      </c>
      <c r="F474" s="350">
        <v>45575.431250000001</v>
      </c>
      <c r="G474" s="349">
        <v>10</v>
      </c>
      <c r="H474" s="372" t="s">
        <v>2557</v>
      </c>
      <c r="I474" s="349">
        <v>19003</v>
      </c>
      <c r="J474" s="372" t="s">
        <v>7930</v>
      </c>
      <c r="K474" s="349">
        <v>1.0900000000000001</v>
      </c>
      <c r="L474" s="349">
        <v>0</v>
      </c>
      <c r="M474" s="349">
        <v>0</v>
      </c>
      <c r="N474" s="349">
        <v>1</v>
      </c>
      <c r="O474" s="349">
        <f t="shared" si="2"/>
        <v>1.0900000000000001</v>
      </c>
      <c r="P474" s="373">
        <f t="shared" si="3"/>
        <v>1.0900000000000001</v>
      </c>
    </row>
    <row r="475" spans="1:16">
      <c r="A475" s="348">
        <v>630</v>
      </c>
      <c r="B475" s="349">
        <v>36</v>
      </c>
      <c r="C475" s="372" t="s">
        <v>2646</v>
      </c>
      <c r="D475" s="372" t="s">
        <v>45</v>
      </c>
      <c r="E475" s="372" t="s">
        <v>2572</v>
      </c>
      <c r="F475" s="350">
        <v>45575.645833333336</v>
      </c>
      <c r="G475" s="349">
        <v>10</v>
      </c>
      <c r="H475" s="372" t="s">
        <v>2557</v>
      </c>
      <c r="I475" s="349">
        <v>19099</v>
      </c>
      <c r="J475" s="372"/>
      <c r="K475" s="349">
        <v>500</v>
      </c>
      <c r="L475" s="349">
        <v>0</v>
      </c>
      <c r="M475" s="349">
        <v>0</v>
      </c>
      <c r="N475" s="349">
        <v>1</v>
      </c>
      <c r="O475" s="349">
        <f t="shared" si="2"/>
        <v>500</v>
      </c>
      <c r="P475" s="373">
        <f t="shared" si="3"/>
        <v>500</v>
      </c>
    </row>
    <row r="476" spans="1:16">
      <c r="A476" s="348">
        <v>631</v>
      </c>
      <c r="B476" s="349">
        <v>1054</v>
      </c>
      <c r="C476" s="372" t="s">
        <v>7928</v>
      </c>
      <c r="D476" s="372" t="s">
        <v>2582</v>
      </c>
      <c r="E476" s="372" t="s">
        <v>2556</v>
      </c>
      <c r="F476" s="350">
        <v>45575.956250000003</v>
      </c>
      <c r="G476" s="349">
        <v>10</v>
      </c>
      <c r="H476" s="372" t="s">
        <v>7931</v>
      </c>
      <c r="I476" s="349">
        <v>20467</v>
      </c>
      <c r="J476" s="372"/>
      <c r="K476" s="349">
        <v>0</v>
      </c>
      <c r="L476" s="349">
        <v>0</v>
      </c>
      <c r="M476" s="349">
        <v>21.09</v>
      </c>
      <c r="N476" s="349">
        <v>7.0523600000000002</v>
      </c>
      <c r="O476" s="349">
        <f t="shared" si="2"/>
        <v>-21.09</v>
      </c>
      <c r="P476" s="373">
        <f t="shared" si="3"/>
        <v>-2.9904882904446168</v>
      </c>
    </row>
    <row r="477" spans="1:16">
      <c r="A477" s="348">
        <v>632</v>
      </c>
      <c r="B477" s="349">
        <v>1060</v>
      </c>
      <c r="C477" s="372" t="s">
        <v>7932</v>
      </c>
      <c r="D477" s="372" t="s">
        <v>2582</v>
      </c>
      <c r="E477" s="372" t="s">
        <v>2556</v>
      </c>
      <c r="F477" s="350">
        <v>45576.45208333333</v>
      </c>
      <c r="G477" s="349">
        <v>10</v>
      </c>
      <c r="H477" s="372" t="s">
        <v>2557</v>
      </c>
      <c r="I477" s="349">
        <v>20611</v>
      </c>
      <c r="J477" s="372" t="s">
        <v>7933</v>
      </c>
      <c r="K477" s="349">
        <v>21.16</v>
      </c>
      <c r="L477" s="349">
        <v>0</v>
      </c>
      <c r="M477" s="349">
        <v>0</v>
      </c>
      <c r="N477" s="349">
        <v>7.0779399999999999</v>
      </c>
      <c r="O477" s="349">
        <f t="shared" si="2"/>
        <v>21.16</v>
      </c>
      <c r="P477" s="373">
        <f t="shared" si="3"/>
        <v>2.9895704117299666</v>
      </c>
    </row>
    <row r="478" spans="1:16">
      <c r="A478" s="348">
        <v>633</v>
      </c>
      <c r="B478" s="349">
        <v>314</v>
      </c>
      <c r="C478" s="372" t="s">
        <v>7694</v>
      </c>
      <c r="D478" s="372" t="s">
        <v>45</v>
      </c>
      <c r="E478" s="372" t="s">
        <v>2556</v>
      </c>
      <c r="F478" s="350">
        <v>45576.856249999997</v>
      </c>
      <c r="G478" s="349">
        <v>10</v>
      </c>
      <c r="H478" s="372" t="s">
        <v>2557</v>
      </c>
      <c r="I478" s="349">
        <v>20635</v>
      </c>
      <c r="J478" s="372" t="s">
        <v>7934</v>
      </c>
      <c r="K478" s="349">
        <v>1.0900000000000001</v>
      </c>
      <c r="L478" s="349">
        <v>0</v>
      </c>
      <c r="M478" s="349">
        <v>0</v>
      </c>
      <c r="N478" s="349">
        <v>1</v>
      </c>
      <c r="O478" s="349">
        <f t="shared" si="2"/>
        <v>1.0900000000000001</v>
      </c>
      <c r="P478" s="373">
        <f t="shared" si="3"/>
        <v>1.0900000000000001</v>
      </c>
    </row>
    <row r="479" spans="1:16">
      <c r="A479" s="348">
        <v>634</v>
      </c>
      <c r="B479" s="349">
        <v>282</v>
      </c>
      <c r="C479" s="372" t="s">
        <v>7666</v>
      </c>
      <c r="D479" s="372" t="s">
        <v>45</v>
      </c>
      <c r="E479" s="372" t="s">
        <v>2572</v>
      </c>
      <c r="F479" s="350">
        <v>45576.86041666667</v>
      </c>
      <c r="G479" s="349">
        <v>10</v>
      </c>
      <c r="H479" s="372" t="s">
        <v>2557</v>
      </c>
      <c r="I479" s="349">
        <v>16446</v>
      </c>
      <c r="J479" s="372" t="s">
        <v>7935</v>
      </c>
      <c r="K479" s="349">
        <v>16.989999999999998</v>
      </c>
      <c r="L479" s="349">
        <v>0</v>
      </c>
      <c r="M479" s="349">
        <v>0</v>
      </c>
      <c r="N479" s="349">
        <v>1</v>
      </c>
      <c r="O479" s="349">
        <f t="shared" si="2"/>
        <v>16.989999999999998</v>
      </c>
      <c r="P479" s="373">
        <f t="shared" si="3"/>
        <v>16.989999999999998</v>
      </c>
    </row>
    <row r="480" spans="1:16">
      <c r="A480" s="348">
        <v>639</v>
      </c>
      <c r="B480" s="349">
        <v>1070</v>
      </c>
      <c r="C480" s="372" t="s">
        <v>7936</v>
      </c>
      <c r="D480" s="372" t="s">
        <v>45</v>
      </c>
      <c r="E480" s="372" t="s">
        <v>9</v>
      </c>
      <c r="F480" s="350">
        <v>45577</v>
      </c>
      <c r="G480" s="349">
        <v>10</v>
      </c>
      <c r="H480" s="372" t="s">
        <v>2557</v>
      </c>
      <c r="I480" s="349">
        <v>20659</v>
      </c>
      <c r="J480" s="372"/>
      <c r="K480" s="349">
        <v>0</v>
      </c>
      <c r="L480" s="349">
        <v>0</v>
      </c>
      <c r="M480" s="349">
        <v>0</v>
      </c>
      <c r="N480" s="349">
        <v>1</v>
      </c>
      <c r="O480" s="349">
        <f t="shared" si="2"/>
        <v>0</v>
      </c>
      <c r="P480" s="373">
        <f t="shared" si="3"/>
        <v>0</v>
      </c>
    </row>
    <row r="481" spans="1:16">
      <c r="A481" s="348">
        <v>641</v>
      </c>
      <c r="B481" s="349">
        <v>1071</v>
      </c>
      <c r="C481" s="372" t="s">
        <v>7787</v>
      </c>
      <c r="D481" s="372" t="s">
        <v>45</v>
      </c>
      <c r="E481" s="372" t="s">
        <v>2556</v>
      </c>
      <c r="F481" s="350">
        <v>45577</v>
      </c>
      <c r="G481" s="349">
        <v>10</v>
      </c>
      <c r="H481" s="372" t="s">
        <v>2557</v>
      </c>
      <c r="I481" s="349">
        <v>20683</v>
      </c>
      <c r="J481" s="372"/>
      <c r="K481" s="349">
        <v>0</v>
      </c>
      <c r="L481" s="349">
        <v>0</v>
      </c>
      <c r="M481" s="349">
        <v>0</v>
      </c>
      <c r="N481" s="349">
        <v>1</v>
      </c>
      <c r="O481" s="349">
        <f t="shared" si="2"/>
        <v>0</v>
      </c>
      <c r="P481" s="373">
        <f t="shared" si="3"/>
        <v>0</v>
      </c>
    </row>
    <row r="482" spans="1:16">
      <c r="A482" s="348">
        <v>635</v>
      </c>
      <c r="B482" s="349">
        <v>127</v>
      </c>
      <c r="C482" s="372" t="s">
        <v>7478</v>
      </c>
      <c r="D482" s="372" t="s">
        <v>45</v>
      </c>
      <c r="E482" s="372" t="s">
        <v>2556</v>
      </c>
      <c r="F482" s="350">
        <v>45577.384027777778</v>
      </c>
      <c r="G482" s="349">
        <v>10</v>
      </c>
      <c r="H482" s="372" t="s">
        <v>2557</v>
      </c>
      <c r="I482" s="349">
        <v>19423</v>
      </c>
      <c r="J482" s="372" t="s">
        <v>7937</v>
      </c>
      <c r="K482" s="349">
        <v>1.0900000000000001</v>
      </c>
      <c r="L482" s="349">
        <v>0</v>
      </c>
      <c r="M482" s="349">
        <v>0</v>
      </c>
      <c r="N482" s="349">
        <v>1</v>
      </c>
      <c r="O482" s="349">
        <f t="shared" si="2"/>
        <v>1.0900000000000001</v>
      </c>
      <c r="P482" s="373">
        <f t="shared" si="3"/>
        <v>1.0900000000000001</v>
      </c>
    </row>
    <row r="483" spans="1:16">
      <c r="A483" s="348">
        <v>636</v>
      </c>
      <c r="B483" s="349">
        <v>1068</v>
      </c>
      <c r="C483" s="372" t="s">
        <v>7938</v>
      </c>
      <c r="D483" s="372" t="s">
        <v>45</v>
      </c>
      <c r="E483" s="372" t="s">
        <v>2556</v>
      </c>
      <c r="F483" s="350">
        <v>45577.571527777778</v>
      </c>
      <c r="G483" s="349">
        <v>10</v>
      </c>
      <c r="H483" s="372" t="s">
        <v>2557</v>
      </c>
      <c r="I483" s="349">
        <v>20647</v>
      </c>
      <c r="J483" s="372" t="s">
        <v>7939</v>
      </c>
      <c r="K483" s="349">
        <v>4.99</v>
      </c>
      <c r="L483" s="349">
        <v>0</v>
      </c>
      <c r="M483" s="349">
        <v>0</v>
      </c>
      <c r="N483" s="349">
        <v>1</v>
      </c>
      <c r="O483" s="349">
        <f t="shared" si="2"/>
        <v>4.99</v>
      </c>
      <c r="P483" s="373">
        <f t="shared" si="3"/>
        <v>4.99</v>
      </c>
    </row>
    <row r="484" spans="1:16">
      <c r="A484" s="348">
        <v>637</v>
      </c>
      <c r="B484" s="349">
        <v>127</v>
      </c>
      <c r="C484" s="372" t="s">
        <v>7478</v>
      </c>
      <c r="D484" s="372" t="s">
        <v>45</v>
      </c>
      <c r="E484" s="372" t="s">
        <v>2556</v>
      </c>
      <c r="F484" s="350">
        <v>45577.588194444441</v>
      </c>
      <c r="G484" s="349">
        <v>10</v>
      </c>
      <c r="H484" s="372" t="s">
        <v>2557</v>
      </c>
      <c r="I484" s="349">
        <v>19915</v>
      </c>
      <c r="J484" s="372" t="s">
        <v>7940</v>
      </c>
      <c r="K484" s="349">
        <v>1.0900000000000001</v>
      </c>
      <c r="L484" s="349">
        <v>0</v>
      </c>
      <c r="M484" s="349">
        <v>0</v>
      </c>
      <c r="N484" s="349">
        <v>1</v>
      </c>
      <c r="O484" s="349">
        <f t="shared" si="2"/>
        <v>1.0900000000000001</v>
      </c>
      <c r="P484" s="373">
        <f t="shared" si="3"/>
        <v>1.0900000000000001</v>
      </c>
    </row>
    <row r="485" spans="1:16">
      <c r="A485" s="348">
        <v>638</v>
      </c>
      <c r="B485" s="349">
        <v>392</v>
      </c>
      <c r="C485" s="372" t="s">
        <v>2876</v>
      </c>
      <c r="D485" s="372" t="s">
        <v>2582</v>
      </c>
      <c r="E485" s="372" t="s">
        <v>9</v>
      </c>
      <c r="F485" s="350">
        <v>45577.649305555555</v>
      </c>
      <c r="G485" s="349">
        <v>10</v>
      </c>
      <c r="H485" s="372" t="s">
        <v>2557</v>
      </c>
      <c r="I485" s="349">
        <v>19195</v>
      </c>
      <c r="J485" s="372" t="s">
        <v>7122</v>
      </c>
      <c r="K485" s="349">
        <v>7.75</v>
      </c>
      <c r="L485" s="349">
        <v>3.82</v>
      </c>
      <c r="M485" s="349">
        <v>0</v>
      </c>
      <c r="N485" s="349">
        <v>7.0654599999999999</v>
      </c>
      <c r="O485" s="349">
        <f t="shared" si="2"/>
        <v>3.93</v>
      </c>
      <c r="P485" s="373">
        <f t="shared" si="3"/>
        <v>0.55622705386485805</v>
      </c>
    </row>
    <row r="486" spans="1:16">
      <c r="A486" s="348">
        <v>640</v>
      </c>
      <c r="B486" s="349">
        <v>1070</v>
      </c>
      <c r="C486" s="372" t="s">
        <v>7936</v>
      </c>
      <c r="D486" s="372" t="s">
        <v>45</v>
      </c>
      <c r="E486" s="372" t="s">
        <v>9</v>
      </c>
      <c r="F486" s="350">
        <v>45577.911805555559</v>
      </c>
      <c r="G486" s="349">
        <v>10</v>
      </c>
      <c r="H486" s="372" t="s">
        <v>2557</v>
      </c>
      <c r="I486" s="349">
        <v>20671</v>
      </c>
      <c r="J486" s="372" t="s">
        <v>7124</v>
      </c>
      <c r="K486" s="349">
        <v>32.94</v>
      </c>
      <c r="L486" s="349">
        <v>2.13</v>
      </c>
      <c r="M486" s="349">
        <v>0</v>
      </c>
      <c r="N486" s="349">
        <v>1</v>
      </c>
      <c r="O486" s="349">
        <f t="shared" si="2"/>
        <v>30.81</v>
      </c>
      <c r="P486" s="373">
        <f t="shared" si="3"/>
        <v>30.81</v>
      </c>
    </row>
    <row r="487" spans="1:16">
      <c r="A487" s="348">
        <v>642</v>
      </c>
      <c r="B487" s="349">
        <v>1078</v>
      </c>
      <c r="C487" s="372" t="s">
        <v>7941</v>
      </c>
      <c r="D487" s="372" t="s">
        <v>2582</v>
      </c>
      <c r="E487" s="372" t="s">
        <v>2556</v>
      </c>
      <c r="F487" s="350">
        <v>45578</v>
      </c>
      <c r="G487" s="349">
        <v>10</v>
      </c>
      <c r="H487" s="372" t="s">
        <v>2557</v>
      </c>
      <c r="I487" s="349">
        <v>20707</v>
      </c>
      <c r="J487" s="372"/>
      <c r="K487" s="349">
        <v>0</v>
      </c>
      <c r="L487" s="349">
        <v>0</v>
      </c>
      <c r="M487" s="349">
        <v>0</v>
      </c>
      <c r="N487" s="349">
        <v>7.0654599999999999</v>
      </c>
      <c r="O487" s="349">
        <f t="shared" si="2"/>
        <v>0</v>
      </c>
      <c r="P487" s="373">
        <f t="shared" si="3"/>
        <v>0</v>
      </c>
    </row>
    <row r="488" spans="1:16">
      <c r="A488" s="348">
        <v>644</v>
      </c>
      <c r="B488" s="349">
        <v>777</v>
      </c>
      <c r="C488" s="372" t="s">
        <v>7942</v>
      </c>
      <c r="D488" s="372" t="s">
        <v>45</v>
      </c>
      <c r="E488" s="372" t="s">
        <v>2556</v>
      </c>
      <c r="F488" s="350">
        <v>45578</v>
      </c>
      <c r="G488" s="349">
        <v>10</v>
      </c>
      <c r="H488" s="372" t="s">
        <v>2557</v>
      </c>
      <c r="I488" s="349">
        <v>20731</v>
      </c>
      <c r="J488" s="372"/>
      <c r="K488" s="349">
        <v>0</v>
      </c>
      <c r="L488" s="349">
        <v>0</v>
      </c>
      <c r="M488" s="349">
        <v>0</v>
      </c>
      <c r="N488" s="349">
        <v>1</v>
      </c>
      <c r="O488" s="349">
        <f t="shared" si="2"/>
        <v>0</v>
      </c>
      <c r="P488" s="373">
        <f t="shared" si="3"/>
        <v>0</v>
      </c>
    </row>
    <row r="489" spans="1:16">
      <c r="A489" s="348">
        <v>645</v>
      </c>
      <c r="B489" s="349">
        <v>1042</v>
      </c>
      <c r="C489" s="372" t="s">
        <v>5898</v>
      </c>
      <c r="D489" s="372" t="s">
        <v>45</v>
      </c>
      <c r="E489" s="372" t="s">
        <v>2556</v>
      </c>
      <c r="F489" s="350">
        <v>45578</v>
      </c>
      <c r="G489" s="349">
        <v>10</v>
      </c>
      <c r="H489" s="372" t="s">
        <v>2557</v>
      </c>
      <c r="I489" s="349">
        <v>20743</v>
      </c>
      <c r="J489" s="372"/>
      <c r="K489" s="349">
        <v>0</v>
      </c>
      <c r="L489" s="349">
        <v>0</v>
      </c>
      <c r="M489" s="349">
        <v>0</v>
      </c>
      <c r="N489" s="349">
        <v>1</v>
      </c>
      <c r="O489" s="349">
        <f t="shared" si="2"/>
        <v>0</v>
      </c>
      <c r="P489" s="373">
        <f t="shared" si="3"/>
        <v>0</v>
      </c>
    </row>
    <row r="490" spans="1:16">
      <c r="A490" s="348">
        <v>646</v>
      </c>
      <c r="B490" s="349">
        <v>1079</v>
      </c>
      <c r="C490" s="372" t="s">
        <v>7943</v>
      </c>
      <c r="D490" s="372" t="s">
        <v>45</v>
      </c>
      <c r="E490" s="372" t="s">
        <v>9</v>
      </c>
      <c r="F490" s="350">
        <v>45578</v>
      </c>
      <c r="G490" s="349">
        <v>10</v>
      </c>
      <c r="H490" s="372" t="s">
        <v>2557</v>
      </c>
      <c r="I490" s="349">
        <v>20755</v>
      </c>
      <c r="J490" s="372"/>
      <c r="K490" s="349">
        <v>0</v>
      </c>
      <c r="L490" s="349">
        <v>0</v>
      </c>
      <c r="M490" s="349">
        <v>0</v>
      </c>
      <c r="N490" s="349">
        <v>1</v>
      </c>
      <c r="O490" s="349">
        <f t="shared" si="2"/>
        <v>0</v>
      </c>
      <c r="P490" s="373">
        <f t="shared" si="3"/>
        <v>0</v>
      </c>
    </row>
    <row r="491" spans="1:16">
      <c r="A491" s="348">
        <v>643</v>
      </c>
      <c r="B491" s="349">
        <v>1077</v>
      </c>
      <c r="C491" s="372" t="s">
        <v>7944</v>
      </c>
      <c r="D491" s="372" t="s">
        <v>45</v>
      </c>
      <c r="E491" s="372" t="s">
        <v>2556</v>
      </c>
      <c r="F491" s="350">
        <v>45578.861805555556</v>
      </c>
      <c r="G491" s="349">
        <v>10</v>
      </c>
      <c r="H491" s="372" t="s">
        <v>2557</v>
      </c>
      <c r="I491" s="349">
        <v>20719</v>
      </c>
      <c r="J491" s="372" t="s">
        <v>7945</v>
      </c>
      <c r="K491" s="349">
        <v>5.99</v>
      </c>
      <c r="L491" s="349">
        <v>0</v>
      </c>
      <c r="M491" s="349">
        <v>0</v>
      </c>
      <c r="N491" s="349">
        <v>1</v>
      </c>
      <c r="O491" s="349">
        <f t="shared" si="2"/>
        <v>5.99</v>
      </c>
      <c r="P491" s="373">
        <f t="shared" si="3"/>
        <v>5.99</v>
      </c>
    </row>
    <row r="492" spans="1:16">
      <c r="A492" s="348">
        <v>648</v>
      </c>
      <c r="B492" s="349">
        <v>1087</v>
      </c>
      <c r="C492" s="372" t="s">
        <v>7946</v>
      </c>
      <c r="D492" s="372" t="s">
        <v>45</v>
      </c>
      <c r="E492" s="372" t="s">
        <v>2556</v>
      </c>
      <c r="F492" s="350">
        <v>45579</v>
      </c>
      <c r="G492" s="349">
        <v>10</v>
      </c>
      <c r="H492" s="372" t="s">
        <v>2557</v>
      </c>
      <c r="I492" s="349">
        <v>20839</v>
      </c>
      <c r="J492" s="372"/>
      <c r="K492" s="349">
        <v>0</v>
      </c>
      <c r="L492" s="349">
        <v>0</v>
      </c>
      <c r="M492" s="349">
        <v>0</v>
      </c>
      <c r="N492" s="349">
        <v>1</v>
      </c>
      <c r="O492" s="349">
        <f t="shared" si="2"/>
        <v>0</v>
      </c>
      <c r="P492" s="373">
        <f t="shared" si="3"/>
        <v>0</v>
      </c>
    </row>
    <row r="493" spans="1:16">
      <c r="A493" s="348">
        <v>647</v>
      </c>
      <c r="B493" s="349">
        <v>1063</v>
      </c>
      <c r="C493" s="372" t="s">
        <v>7947</v>
      </c>
      <c r="D493" s="372" t="s">
        <v>45</v>
      </c>
      <c r="E493" s="372" t="s">
        <v>2556</v>
      </c>
      <c r="F493" s="350">
        <v>45579.432638888888</v>
      </c>
      <c r="G493" s="349">
        <v>10</v>
      </c>
      <c r="H493" s="372" t="s">
        <v>2557</v>
      </c>
      <c r="I493" s="349">
        <v>20827</v>
      </c>
      <c r="J493" s="372" t="s">
        <v>7948</v>
      </c>
      <c r="K493" s="349">
        <v>4.99</v>
      </c>
      <c r="L493" s="349">
        <v>0</v>
      </c>
      <c r="M493" s="349">
        <v>0</v>
      </c>
      <c r="N493" s="349">
        <v>1</v>
      </c>
      <c r="O493" s="349">
        <f t="shared" si="2"/>
        <v>4.99</v>
      </c>
      <c r="P493" s="373">
        <f t="shared" si="3"/>
        <v>4.99</v>
      </c>
    </row>
    <row r="494" spans="1:16">
      <c r="A494" s="348">
        <v>651</v>
      </c>
      <c r="B494" s="349">
        <v>1089</v>
      </c>
      <c r="C494" s="372" t="s">
        <v>7949</v>
      </c>
      <c r="D494" s="372" t="s">
        <v>45</v>
      </c>
      <c r="E494" s="372" t="s">
        <v>2556</v>
      </c>
      <c r="F494" s="350">
        <v>45580</v>
      </c>
      <c r="G494" s="349">
        <v>10</v>
      </c>
      <c r="H494" s="372" t="s">
        <v>2557</v>
      </c>
      <c r="I494" s="349">
        <v>20887</v>
      </c>
      <c r="J494" s="372"/>
      <c r="K494" s="349">
        <v>0</v>
      </c>
      <c r="L494" s="349">
        <v>0</v>
      </c>
      <c r="M494" s="349">
        <v>0</v>
      </c>
      <c r="N494" s="349">
        <v>1</v>
      </c>
      <c r="O494" s="349">
        <f t="shared" si="2"/>
        <v>0</v>
      </c>
      <c r="P494" s="373">
        <f t="shared" si="3"/>
        <v>0</v>
      </c>
    </row>
    <row r="495" spans="1:16">
      <c r="A495" s="348">
        <v>652</v>
      </c>
      <c r="B495" s="349">
        <v>327</v>
      </c>
      <c r="C495" s="372" t="s">
        <v>2598</v>
      </c>
      <c r="D495" s="372" t="s">
        <v>2582</v>
      </c>
      <c r="E495" s="372" t="s">
        <v>2556</v>
      </c>
      <c r="F495" s="350">
        <v>45580</v>
      </c>
      <c r="G495" s="349">
        <v>10</v>
      </c>
      <c r="H495" s="372" t="s">
        <v>2557</v>
      </c>
      <c r="I495" s="349">
        <v>20899</v>
      </c>
      <c r="J495" s="372"/>
      <c r="K495" s="349">
        <v>0</v>
      </c>
      <c r="L495" s="349">
        <v>0</v>
      </c>
      <c r="M495" s="349">
        <v>0</v>
      </c>
      <c r="N495" s="349">
        <v>7.0849299999999999</v>
      </c>
      <c r="O495" s="349">
        <f t="shared" si="2"/>
        <v>0</v>
      </c>
      <c r="P495" s="373">
        <f t="shared" si="3"/>
        <v>0</v>
      </c>
    </row>
    <row r="496" spans="1:16">
      <c r="A496" s="348">
        <v>653</v>
      </c>
      <c r="B496" s="349">
        <v>1094</v>
      </c>
      <c r="C496" s="372" t="s">
        <v>4064</v>
      </c>
      <c r="D496" s="372" t="s">
        <v>45</v>
      </c>
      <c r="E496" s="372" t="s">
        <v>2556</v>
      </c>
      <c r="F496" s="350">
        <v>45580</v>
      </c>
      <c r="G496" s="349">
        <v>10</v>
      </c>
      <c r="H496" s="372" t="s">
        <v>2557</v>
      </c>
      <c r="I496" s="349">
        <v>20911</v>
      </c>
      <c r="J496" s="372"/>
      <c r="K496" s="349">
        <v>0</v>
      </c>
      <c r="L496" s="349">
        <v>0</v>
      </c>
      <c r="M496" s="349">
        <v>0</v>
      </c>
      <c r="N496" s="349">
        <v>1</v>
      </c>
      <c r="O496" s="349">
        <f t="shared" si="2"/>
        <v>0</v>
      </c>
      <c r="P496" s="373">
        <f t="shared" si="3"/>
        <v>0</v>
      </c>
    </row>
    <row r="497" spans="1:16">
      <c r="A497" s="348">
        <v>649</v>
      </c>
      <c r="B497" s="349">
        <v>510</v>
      </c>
      <c r="C497" s="372" t="s">
        <v>2935</v>
      </c>
      <c r="D497" s="372" t="s">
        <v>45</v>
      </c>
      <c r="E497" s="372" t="s">
        <v>2556</v>
      </c>
      <c r="F497" s="350">
        <v>45580.030555555553</v>
      </c>
      <c r="G497" s="349">
        <v>10</v>
      </c>
      <c r="H497" s="372" t="s">
        <v>2557</v>
      </c>
      <c r="I497" s="349">
        <v>19891</v>
      </c>
      <c r="J497" s="372" t="s">
        <v>7950</v>
      </c>
      <c r="K497" s="349">
        <v>1.0900000000000001</v>
      </c>
      <c r="L497" s="349">
        <v>0</v>
      </c>
      <c r="M497" s="349">
        <v>0</v>
      </c>
      <c r="N497" s="349">
        <v>1</v>
      </c>
      <c r="O497" s="349">
        <f t="shared" si="2"/>
        <v>1.0900000000000001</v>
      </c>
      <c r="P497" s="373">
        <f t="shared" si="3"/>
        <v>1.0900000000000001</v>
      </c>
    </row>
    <row r="498" spans="1:16">
      <c r="A498" s="348">
        <v>650</v>
      </c>
      <c r="B498" s="349">
        <v>654</v>
      </c>
      <c r="C498" s="372" t="s">
        <v>7098</v>
      </c>
      <c r="D498" s="372" t="s">
        <v>2582</v>
      </c>
      <c r="E498" s="372" t="s">
        <v>9</v>
      </c>
      <c r="F498" s="350">
        <v>45580.113888888889</v>
      </c>
      <c r="G498" s="349">
        <v>10</v>
      </c>
      <c r="H498" s="372" t="s">
        <v>2557</v>
      </c>
      <c r="I498" s="349">
        <v>20203</v>
      </c>
      <c r="J498" s="372" t="s">
        <v>7125</v>
      </c>
      <c r="K498" s="349">
        <v>7.72</v>
      </c>
      <c r="L498" s="349">
        <v>3.82</v>
      </c>
      <c r="M498" s="349">
        <v>0</v>
      </c>
      <c r="N498" s="349">
        <v>7.0654599999999999</v>
      </c>
      <c r="O498" s="349">
        <f t="shared" si="2"/>
        <v>3.9</v>
      </c>
      <c r="P498" s="373">
        <f t="shared" si="3"/>
        <v>0.55198104582008811</v>
      </c>
    </row>
    <row r="499" spans="1:16">
      <c r="A499" s="348">
        <v>654</v>
      </c>
      <c r="B499" s="349">
        <v>1099</v>
      </c>
      <c r="C499" s="372" t="s">
        <v>7951</v>
      </c>
      <c r="D499" s="372" t="s">
        <v>45</v>
      </c>
      <c r="E499" s="372" t="s">
        <v>2572</v>
      </c>
      <c r="F499" s="350">
        <v>45581.532638888886</v>
      </c>
      <c r="G499" s="349">
        <v>10</v>
      </c>
      <c r="H499" s="372" t="s">
        <v>2557</v>
      </c>
      <c r="I499" s="349">
        <v>20959</v>
      </c>
      <c r="J499" s="372" t="s">
        <v>7952</v>
      </c>
      <c r="K499" s="349">
        <v>32.94</v>
      </c>
      <c r="L499" s="349">
        <v>0</v>
      </c>
      <c r="M499" s="349">
        <v>0</v>
      </c>
      <c r="N499" s="349">
        <v>1</v>
      </c>
      <c r="O499" s="349">
        <f t="shared" si="2"/>
        <v>32.94</v>
      </c>
      <c r="P499" s="373">
        <f t="shared" si="3"/>
        <v>32.94</v>
      </c>
    </row>
    <row r="500" spans="1:16">
      <c r="A500" s="348">
        <v>655</v>
      </c>
      <c r="B500" s="349">
        <v>1102</v>
      </c>
      <c r="C500" s="372" t="s">
        <v>7953</v>
      </c>
      <c r="D500" s="372" t="s">
        <v>2582</v>
      </c>
      <c r="E500" s="372" t="s">
        <v>2556</v>
      </c>
      <c r="F500" s="350">
        <v>45581.743750000001</v>
      </c>
      <c r="G500" s="349">
        <v>10</v>
      </c>
      <c r="H500" s="372" t="s">
        <v>2557</v>
      </c>
      <c r="I500" s="349">
        <v>20971</v>
      </c>
      <c r="J500" s="372" t="s">
        <v>7954</v>
      </c>
      <c r="K500" s="349">
        <v>21.27</v>
      </c>
      <c r="L500" s="349">
        <v>0</v>
      </c>
      <c r="M500" s="349">
        <v>0</v>
      </c>
      <c r="N500" s="349">
        <v>7.1149199999999997</v>
      </c>
      <c r="O500" s="349">
        <f t="shared" si="2"/>
        <v>21.27</v>
      </c>
      <c r="P500" s="373">
        <f t="shared" si="3"/>
        <v>2.989492503078039</v>
      </c>
    </row>
    <row r="501" spans="1:16">
      <c r="A501" s="348">
        <v>656</v>
      </c>
      <c r="B501" s="349">
        <v>423</v>
      </c>
      <c r="C501" s="372" t="s">
        <v>7830</v>
      </c>
      <c r="D501" s="372" t="s">
        <v>2582</v>
      </c>
      <c r="E501" s="372" t="s">
        <v>2556</v>
      </c>
      <c r="F501" s="350">
        <v>45582.37777777778</v>
      </c>
      <c r="G501" s="349">
        <v>10</v>
      </c>
      <c r="H501" s="372" t="s">
        <v>2557</v>
      </c>
      <c r="I501" s="349">
        <v>19975</v>
      </c>
      <c r="J501" s="372" t="s">
        <v>7955</v>
      </c>
      <c r="K501" s="349">
        <v>7.75</v>
      </c>
      <c r="L501" s="349">
        <v>0</v>
      </c>
      <c r="M501" s="349">
        <v>0</v>
      </c>
      <c r="N501" s="349">
        <v>7.1130599999999999</v>
      </c>
      <c r="O501" s="349">
        <f t="shared" si="2"/>
        <v>7.75</v>
      </c>
      <c r="P501" s="373">
        <f t="shared" si="3"/>
        <v>1.0895451465332782</v>
      </c>
    </row>
    <row r="502" spans="1:16">
      <c r="A502" s="348">
        <v>657</v>
      </c>
      <c r="B502" s="349">
        <v>1109</v>
      </c>
      <c r="C502" s="372" t="s">
        <v>7956</v>
      </c>
      <c r="D502" s="372" t="s">
        <v>45</v>
      </c>
      <c r="E502" s="372" t="s">
        <v>2556</v>
      </c>
      <c r="F502" s="350">
        <v>45582.68472222222</v>
      </c>
      <c r="G502" s="349">
        <v>10</v>
      </c>
      <c r="H502" s="372" t="s">
        <v>2557</v>
      </c>
      <c r="I502" s="349">
        <v>20983</v>
      </c>
      <c r="J502" s="372" t="s">
        <v>7957</v>
      </c>
      <c r="K502" s="349">
        <v>7.99</v>
      </c>
      <c r="L502" s="349">
        <v>0</v>
      </c>
      <c r="M502" s="349">
        <v>0</v>
      </c>
      <c r="N502" s="349">
        <v>1</v>
      </c>
      <c r="O502" s="349">
        <f t="shared" si="2"/>
        <v>7.99</v>
      </c>
      <c r="P502" s="373">
        <f t="shared" si="3"/>
        <v>7.99</v>
      </c>
    </row>
    <row r="503" spans="1:16">
      <c r="A503" s="348">
        <v>658</v>
      </c>
      <c r="B503" s="349">
        <v>286</v>
      </c>
      <c r="C503" s="372" t="s">
        <v>7668</v>
      </c>
      <c r="D503" s="372" t="s">
        <v>2582</v>
      </c>
      <c r="E503" s="372" t="s">
        <v>2556</v>
      </c>
      <c r="F503" s="350">
        <v>45584.760416666664</v>
      </c>
      <c r="G503" s="349">
        <v>10</v>
      </c>
      <c r="H503" s="372" t="s">
        <v>2557</v>
      </c>
      <c r="I503" s="349">
        <v>20251</v>
      </c>
      <c r="J503" s="372" t="s">
        <v>7958</v>
      </c>
      <c r="K503" s="349">
        <v>7.74</v>
      </c>
      <c r="L503" s="349">
        <v>0</v>
      </c>
      <c r="M503" s="349">
        <v>0</v>
      </c>
      <c r="N503" s="349">
        <v>7.10473</v>
      </c>
      <c r="O503" s="349">
        <f t="shared" si="2"/>
        <v>7.74</v>
      </c>
      <c r="P503" s="373">
        <f t="shared" si="3"/>
        <v>1.089415079813026</v>
      </c>
    </row>
    <row r="504" spans="1:16">
      <c r="A504" s="348">
        <v>661</v>
      </c>
      <c r="B504" s="349">
        <v>1221</v>
      </c>
      <c r="C504" s="372" t="s">
        <v>4741</v>
      </c>
      <c r="D504" s="372" t="s">
        <v>45</v>
      </c>
      <c r="E504" s="372" t="s">
        <v>2556</v>
      </c>
      <c r="F504" s="350">
        <v>45585</v>
      </c>
      <c r="G504" s="349">
        <v>10</v>
      </c>
      <c r="H504" s="372" t="s">
        <v>2557</v>
      </c>
      <c r="I504" s="349">
        <v>22447</v>
      </c>
      <c r="J504" s="372"/>
      <c r="K504" s="349">
        <v>0</v>
      </c>
      <c r="L504" s="349">
        <v>0</v>
      </c>
      <c r="M504" s="349">
        <v>0</v>
      </c>
      <c r="N504" s="349">
        <v>1</v>
      </c>
      <c r="O504" s="349">
        <f t="shared" si="2"/>
        <v>0</v>
      </c>
      <c r="P504" s="373">
        <f t="shared" si="3"/>
        <v>0</v>
      </c>
    </row>
    <row r="505" spans="1:16">
      <c r="A505" s="348">
        <v>659</v>
      </c>
      <c r="B505" s="349">
        <v>1209</v>
      </c>
      <c r="C505" s="372" t="s">
        <v>7724</v>
      </c>
      <c r="D505" s="372" t="s">
        <v>2582</v>
      </c>
      <c r="E505" s="372" t="s">
        <v>2556</v>
      </c>
      <c r="F505" s="350">
        <v>45585.814583333333</v>
      </c>
      <c r="G505" s="349">
        <v>10</v>
      </c>
      <c r="H505" s="372" t="s">
        <v>2557</v>
      </c>
      <c r="I505" s="349">
        <v>22387</v>
      </c>
      <c r="J505" s="372" t="s">
        <v>7959</v>
      </c>
      <c r="K505" s="349">
        <v>21.24</v>
      </c>
      <c r="L505" s="349">
        <v>0</v>
      </c>
      <c r="M505" s="349">
        <v>0</v>
      </c>
      <c r="N505" s="349">
        <v>7.10473</v>
      </c>
      <c r="O505" s="349">
        <f t="shared" si="2"/>
        <v>21.24</v>
      </c>
      <c r="P505" s="373">
        <f t="shared" si="3"/>
        <v>2.9895576608822569</v>
      </c>
    </row>
    <row r="506" spans="1:16">
      <c r="A506" s="348">
        <v>660</v>
      </c>
      <c r="B506" s="349">
        <v>654</v>
      </c>
      <c r="C506" s="372" t="s">
        <v>7098</v>
      </c>
      <c r="D506" s="372" t="s">
        <v>2582</v>
      </c>
      <c r="E506" s="372" t="s">
        <v>9</v>
      </c>
      <c r="F506" s="350">
        <v>45585.815972222219</v>
      </c>
      <c r="G506" s="349">
        <v>10</v>
      </c>
      <c r="H506" s="372" t="s">
        <v>2557</v>
      </c>
      <c r="I506" s="349">
        <v>20203</v>
      </c>
      <c r="J506" s="372" t="s">
        <v>7126</v>
      </c>
      <c r="K506" s="349">
        <v>7.72</v>
      </c>
      <c r="L506" s="349">
        <v>3.84</v>
      </c>
      <c r="M506" s="349">
        <v>0</v>
      </c>
      <c r="N506" s="349">
        <v>7.10473</v>
      </c>
      <c r="O506" s="349">
        <f t="shared" si="2"/>
        <v>3.88</v>
      </c>
      <c r="P506" s="373">
        <f t="shared" si="3"/>
        <v>0.54611505292952722</v>
      </c>
    </row>
    <row r="507" spans="1:16">
      <c r="A507" s="348">
        <v>662</v>
      </c>
      <c r="B507" s="349">
        <v>747</v>
      </c>
      <c r="C507" s="372" t="s">
        <v>7847</v>
      </c>
      <c r="D507" s="372" t="s">
        <v>45</v>
      </c>
      <c r="E507" s="372" t="s">
        <v>2556</v>
      </c>
      <c r="F507" s="350">
        <v>45586.35833333333</v>
      </c>
      <c r="G507" s="349">
        <v>10</v>
      </c>
      <c r="H507" s="372" t="s">
        <v>2557</v>
      </c>
      <c r="I507" s="349">
        <v>20299</v>
      </c>
      <c r="J507" s="372" t="s">
        <v>7960</v>
      </c>
      <c r="K507" s="349">
        <v>1.0900000000000001</v>
      </c>
      <c r="L507" s="349">
        <v>0</v>
      </c>
      <c r="M507" s="349">
        <v>0</v>
      </c>
      <c r="N507" s="349">
        <v>1</v>
      </c>
      <c r="O507" s="349">
        <f t="shared" si="2"/>
        <v>1.0900000000000001</v>
      </c>
      <c r="P507" s="373">
        <f t="shared" si="3"/>
        <v>1.0900000000000001</v>
      </c>
    </row>
    <row r="508" spans="1:16">
      <c r="A508" s="348">
        <v>663</v>
      </c>
      <c r="B508" s="349">
        <v>334</v>
      </c>
      <c r="C508" s="372" t="s">
        <v>7715</v>
      </c>
      <c r="D508" s="372" t="s">
        <v>45</v>
      </c>
      <c r="E508" s="372" t="s">
        <v>2556</v>
      </c>
      <c r="F508" s="350">
        <v>45586.453472222223</v>
      </c>
      <c r="G508" s="349">
        <v>10</v>
      </c>
      <c r="H508" s="372" t="s">
        <v>2557</v>
      </c>
      <c r="I508" s="349">
        <v>22531</v>
      </c>
      <c r="J508" s="372" t="s">
        <v>7961</v>
      </c>
      <c r="K508" s="349">
        <v>1.0900000000000001</v>
      </c>
      <c r="L508" s="349">
        <v>0</v>
      </c>
      <c r="M508" s="349">
        <v>0</v>
      </c>
      <c r="N508" s="349">
        <v>1</v>
      </c>
      <c r="O508" s="349">
        <f t="shared" si="2"/>
        <v>1.0900000000000001</v>
      </c>
      <c r="P508" s="373">
        <f t="shared" si="3"/>
        <v>1.0900000000000001</v>
      </c>
    </row>
    <row r="509" spans="1:16">
      <c r="A509" s="348">
        <v>664</v>
      </c>
      <c r="B509" s="349">
        <v>1232</v>
      </c>
      <c r="C509" s="372" t="s">
        <v>7720</v>
      </c>
      <c r="D509" s="372" t="s">
        <v>2582</v>
      </c>
      <c r="E509" s="372" t="s">
        <v>2556</v>
      </c>
      <c r="F509" s="350">
        <v>45586.455555555556</v>
      </c>
      <c r="G509" s="349">
        <v>10</v>
      </c>
      <c r="H509" s="372" t="s">
        <v>2557</v>
      </c>
      <c r="I509" s="349">
        <v>22555</v>
      </c>
      <c r="J509" s="372" t="s">
        <v>7962</v>
      </c>
      <c r="K509" s="349">
        <v>21.24</v>
      </c>
      <c r="L509" s="349">
        <v>0</v>
      </c>
      <c r="M509" s="349">
        <v>0</v>
      </c>
      <c r="N509" s="349">
        <v>7.10473</v>
      </c>
      <c r="O509" s="349">
        <f t="shared" si="2"/>
        <v>21.24</v>
      </c>
      <c r="P509" s="373">
        <f t="shared" si="3"/>
        <v>2.9895576608822569</v>
      </c>
    </row>
    <row r="510" spans="1:16">
      <c r="A510" s="348">
        <v>665</v>
      </c>
      <c r="B510" s="349">
        <v>1021</v>
      </c>
      <c r="C510" s="372" t="s">
        <v>2598</v>
      </c>
      <c r="D510" s="372" t="s">
        <v>2582</v>
      </c>
      <c r="E510" s="372" t="s">
        <v>2556</v>
      </c>
      <c r="F510" s="350">
        <v>45586.716666666667</v>
      </c>
      <c r="G510" s="349">
        <v>10</v>
      </c>
      <c r="H510" s="372" t="s">
        <v>2557</v>
      </c>
      <c r="I510" s="349">
        <v>22603</v>
      </c>
      <c r="J510" s="372" t="s">
        <v>7963</v>
      </c>
      <c r="K510" s="349">
        <v>21.24</v>
      </c>
      <c r="L510" s="349">
        <v>0</v>
      </c>
      <c r="M510" s="349">
        <v>0</v>
      </c>
      <c r="N510" s="349">
        <v>7.10473</v>
      </c>
      <c r="O510" s="349">
        <f t="shared" si="2"/>
        <v>21.24</v>
      </c>
      <c r="P510" s="373">
        <f t="shared" si="3"/>
        <v>2.9895576608822569</v>
      </c>
    </row>
    <row r="511" spans="1:16">
      <c r="A511" s="348">
        <v>666</v>
      </c>
      <c r="B511" s="349">
        <v>1021</v>
      </c>
      <c r="C511" s="372" t="s">
        <v>2598</v>
      </c>
      <c r="D511" s="372" t="s">
        <v>2582</v>
      </c>
      <c r="E511" s="372" t="s">
        <v>2556</v>
      </c>
      <c r="F511" s="350">
        <v>45586.829861111109</v>
      </c>
      <c r="G511" s="349">
        <v>10</v>
      </c>
      <c r="H511" s="372" t="s">
        <v>2557</v>
      </c>
      <c r="I511" s="349">
        <v>22615</v>
      </c>
      <c r="J511" s="372"/>
      <c r="K511" s="349">
        <v>21.24</v>
      </c>
      <c r="L511" s="349">
        <v>0</v>
      </c>
      <c r="M511" s="349">
        <v>0</v>
      </c>
      <c r="N511" s="349">
        <v>7.10473</v>
      </c>
      <c r="O511" s="349">
        <f t="shared" si="2"/>
        <v>21.24</v>
      </c>
      <c r="P511" s="373">
        <f t="shared" si="3"/>
        <v>2.9895576608822569</v>
      </c>
    </row>
    <row r="512" spans="1:16">
      <c r="A512" s="348">
        <v>667</v>
      </c>
      <c r="B512" s="349">
        <v>1248</v>
      </c>
      <c r="C512" s="372" t="s">
        <v>7964</v>
      </c>
      <c r="D512" s="372" t="s">
        <v>2582</v>
      </c>
      <c r="E512" s="372" t="s">
        <v>2556</v>
      </c>
      <c r="F512" s="350">
        <v>45586.865972222222</v>
      </c>
      <c r="G512" s="349">
        <v>10</v>
      </c>
      <c r="H512" s="372" t="s">
        <v>2557</v>
      </c>
      <c r="I512" s="349">
        <v>22627</v>
      </c>
      <c r="J512" s="372" t="s">
        <v>7965</v>
      </c>
      <c r="K512" s="349">
        <v>21.24</v>
      </c>
      <c r="L512" s="349">
        <v>0</v>
      </c>
      <c r="M512" s="349">
        <v>0</v>
      </c>
      <c r="N512" s="349">
        <v>7.10473</v>
      </c>
      <c r="O512" s="349">
        <f t="shared" ref="O512:O766" si="4">K512-L512-M512</f>
        <v>21.24</v>
      </c>
      <c r="P512" s="373">
        <f t="shared" ref="P512:P766" si="5">IF(D512="USD",O512,O512/N512)</f>
        <v>2.9895576608822569</v>
      </c>
    </row>
    <row r="513" spans="1:16">
      <c r="A513" s="348">
        <v>668</v>
      </c>
      <c r="B513" s="349">
        <v>1070</v>
      </c>
      <c r="C513" s="372" t="s">
        <v>7936</v>
      </c>
      <c r="D513" s="372" t="s">
        <v>45</v>
      </c>
      <c r="E513" s="372" t="s">
        <v>9</v>
      </c>
      <c r="F513" s="350">
        <v>45586.942361111112</v>
      </c>
      <c r="G513" s="349">
        <v>10</v>
      </c>
      <c r="H513" s="372" t="s">
        <v>7966</v>
      </c>
      <c r="I513" s="349">
        <v>20671</v>
      </c>
      <c r="J513" s="372" t="s">
        <v>7127</v>
      </c>
      <c r="K513" s="349">
        <v>0</v>
      </c>
      <c r="L513" s="349">
        <v>-2.13</v>
      </c>
      <c r="M513" s="349">
        <v>32.94</v>
      </c>
      <c r="N513" s="349">
        <v>1</v>
      </c>
      <c r="O513" s="349">
        <f t="shared" si="4"/>
        <v>-30.81</v>
      </c>
      <c r="P513" s="373">
        <f t="shared" si="5"/>
        <v>-30.81</v>
      </c>
    </row>
    <row r="514" spans="1:16">
      <c r="A514" s="348">
        <v>669</v>
      </c>
      <c r="B514" s="349">
        <v>1007</v>
      </c>
      <c r="C514" s="372" t="s">
        <v>7887</v>
      </c>
      <c r="D514" s="372" t="s">
        <v>45</v>
      </c>
      <c r="E514" s="372" t="s">
        <v>2556</v>
      </c>
      <c r="F514" s="350">
        <v>45587.381249999999</v>
      </c>
      <c r="G514" s="349">
        <v>10</v>
      </c>
      <c r="H514" s="372" t="s">
        <v>2557</v>
      </c>
      <c r="I514" s="349">
        <v>20875</v>
      </c>
      <c r="J514" s="372" t="s">
        <v>7967</v>
      </c>
      <c r="K514" s="349">
        <v>2.99</v>
      </c>
      <c r="L514" s="349">
        <v>0</v>
      </c>
      <c r="M514" s="349">
        <v>0</v>
      </c>
      <c r="N514" s="349">
        <v>1</v>
      </c>
      <c r="O514" s="349">
        <f t="shared" si="4"/>
        <v>2.99</v>
      </c>
      <c r="P514" s="373">
        <f t="shared" si="5"/>
        <v>2.99</v>
      </c>
    </row>
    <row r="515" spans="1:16">
      <c r="A515" s="348">
        <v>670</v>
      </c>
      <c r="B515" s="349">
        <v>351</v>
      </c>
      <c r="C515" s="372" t="s">
        <v>2707</v>
      </c>
      <c r="D515" s="372" t="s">
        <v>45</v>
      </c>
      <c r="E515" s="372" t="s">
        <v>9</v>
      </c>
      <c r="F515" s="350">
        <v>45587.800694444442</v>
      </c>
      <c r="G515" s="349">
        <v>10</v>
      </c>
      <c r="H515" s="372" t="s">
        <v>2557</v>
      </c>
      <c r="I515" s="349">
        <v>18475</v>
      </c>
      <c r="J515" s="372" t="s">
        <v>7128</v>
      </c>
      <c r="K515" s="349">
        <v>1.0900000000000001</v>
      </c>
      <c r="L515" s="349">
        <v>0.54</v>
      </c>
      <c r="M515" s="349">
        <v>0</v>
      </c>
      <c r="N515" s="349">
        <v>1</v>
      </c>
      <c r="O515" s="349">
        <f t="shared" si="4"/>
        <v>0.55000000000000004</v>
      </c>
      <c r="P515" s="373">
        <f t="shared" si="5"/>
        <v>0.55000000000000004</v>
      </c>
    </row>
    <row r="516" spans="1:16">
      <c r="A516" s="348">
        <v>671</v>
      </c>
      <c r="B516" s="349">
        <v>417</v>
      </c>
      <c r="C516" s="372" t="s">
        <v>2682</v>
      </c>
      <c r="D516" s="372" t="s">
        <v>2582</v>
      </c>
      <c r="E516" s="372" t="s">
        <v>2556</v>
      </c>
      <c r="F516" s="350">
        <v>45588.57916666667</v>
      </c>
      <c r="G516" s="349">
        <v>10</v>
      </c>
      <c r="H516" s="372" t="s">
        <v>2557</v>
      </c>
      <c r="I516" s="349">
        <v>19687</v>
      </c>
      <c r="J516" s="372" t="s">
        <v>7968</v>
      </c>
      <c r="K516" s="349">
        <v>7.76</v>
      </c>
      <c r="L516" s="349">
        <v>0</v>
      </c>
      <c r="M516" s="349">
        <v>0</v>
      </c>
      <c r="N516" s="349">
        <v>7.1205999999999996</v>
      </c>
      <c r="O516" s="349">
        <f t="shared" si="4"/>
        <v>7.76</v>
      </c>
      <c r="P516" s="373">
        <f t="shared" si="5"/>
        <v>1.0897958037244053</v>
      </c>
    </row>
    <row r="517" spans="1:16">
      <c r="A517" s="348">
        <v>672</v>
      </c>
      <c r="B517" s="349">
        <v>1375</v>
      </c>
      <c r="C517" s="372" t="s">
        <v>5798</v>
      </c>
      <c r="D517" s="372" t="s">
        <v>45</v>
      </c>
      <c r="E517" s="372" t="s">
        <v>2572</v>
      </c>
      <c r="F517" s="350">
        <v>45588.77847222222</v>
      </c>
      <c r="G517" s="349">
        <v>10</v>
      </c>
      <c r="H517" s="372" t="s">
        <v>2557</v>
      </c>
      <c r="I517" s="349">
        <v>22711</v>
      </c>
      <c r="J517" s="372"/>
      <c r="K517" s="349">
        <v>200</v>
      </c>
      <c r="L517" s="349">
        <v>0</v>
      </c>
      <c r="M517" s="349">
        <v>0</v>
      </c>
      <c r="N517" s="349">
        <v>1</v>
      </c>
      <c r="O517" s="349">
        <f t="shared" si="4"/>
        <v>200</v>
      </c>
      <c r="P517" s="373">
        <f t="shared" si="5"/>
        <v>200</v>
      </c>
    </row>
    <row r="518" spans="1:16">
      <c r="A518" s="348">
        <v>673</v>
      </c>
      <c r="B518" s="349">
        <v>1387</v>
      </c>
      <c r="C518" s="372" t="s">
        <v>7969</v>
      </c>
      <c r="D518" s="372" t="s">
        <v>45</v>
      </c>
      <c r="E518" s="372" t="s">
        <v>2556</v>
      </c>
      <c r="F518" s="350">
        <v>45588.992361111108</v>
      </c>
      <c r="G518" s="349">
        <v>10</v>
      </c>
      <c r="H518" s="372" t="s">
        <v>2557</v>
      </c>
      <c r="I518" s="349">
        <v>22795</v>
      </c>
      <c r="J518" s="372" t="s">
        <v>7970</v>
      </c>
      <c r="K518" s="349">
        <v>2.99</v>
      </c>
      <c r="L518" s="349">
        <v>0</v>
      </c>
      <c r="M518" s="349">
        <v>0</v>
      </c>
      <c r="N518" s="349">
        <v>1</v>
      </c>
      <c r="O518" s="349">
        <f t="shared" si="4"/>
        <v>2.99</v>
      </c>
      <c r="P518" s="373">
        <f t="shared" si="5"/>
        <v>2.99</v>
      </c>
    </row>
    <row r="519" spans="1:16">
      <c r="A519" s="348">
        <v>674</v>
      </c>
      <c r="B519" s="349">
        <v>1391</v>
      </c>
      <c r="C519" s="372" t="s">
        <v>7971</v>
      </c>
      <c r="D519" s="372" t="s">
        <v>45</v>
      </c>
      <c r="E519" s="372" t="s">
        <v>2556</v>
      </c>
      <c r="F519" s="350">
        <v>45589.036111111112</v>
      </c>
      <c r="G519" s="349">
        <v>10</v>
      </c>
      <c r="H519" s="372" t="s">
        <v>2557</v>
      </c>
      <c r="I519" s="349">
        <v>22807</v>
      </c>
      <c r="J519" s="372" t="s">
        <v>7972</v>
      </c>
      <c r="K519" s="349">
        <v>7.99</v>
      </c>
      <c r="L519" s="349">
        <v>0</v>
      </c>
      <c r="M519" s="349">
        <v>0</v>
      </c>
      <c r="N519" s="349">
        <v>1</v>
      </c>
      <c r="O519" s="349">
        <f t="shared" si="4"/>
        <v>7.99</v>
      </c>
      <c r="P519" s="373">
        <f t="shared" si="5"/>
        <v>7.99</v>
      </c>
    </row>
    <row r="520" spans="1:16">
      <c r="A520" s="348">
        <v>675</v>
      </c>
      <c r="B520" s="349">
        <v>1425</v>
      </c>
      <c r="C520" s="372" t="s">
        <v>7973</v>
      </c>
      <c r="D520" s="372" t="s">
        <v>45</v>
      </c>
      <c r="E520" s="372" t="s">
        <v>9</v>
      </c>
      <c r="F520" s="350">
        <v>45589.44027777778</v>
      </c>
      <c r="G520" s="349">
        <v>10</v>
      </c>
      <c r="H520" s="372" t="s">
        <v>2557</v>
      </c>
      <c r="I520" s="349">
        <v>22831</v>
      </c>
      <c r="J520" s="372" t="s">
        <v>7130</v>
      </c>
      <c r="K520" s="349">
        <v>2.99</v>
      </c>
      <c r="L520" s="349">
        <v>0.64</v>
      </c>
      <c r="M520" s="349">
        <v>0</v>
      </c>
      <c r="N520" s="349">
        <v>1</v>
      </c>
      <c r="O520" s="349">
        <f t="shared" si="4"/>
        <v>2.35</v>
      </c>
      <c r="P520" s="373">
        <f t="shared" si="5"/>
        <v>2.35</v>
      </c>
    </row>
    <row r="521" spans="1:16">
      <c r="A521" s="348">
        <v>676</v>
      </c>
      <c r="B521" s="349">
        <v>752</v>
      </c>
      <c r="C521" s="372" t="s">
        <v>7763</v>
      </c>
      <c r="D521" s="372" t="s">
        <v>2582</v>
      </c>
      <c r="E521" s="372" t="s">
        <v>2556</v>
      </c>
      <c r="F521" s="350">
        <v>45589.489583333336</v>
      </c>
      <c r="G521" s="349">
        <v>10</v>
      </c>
      <c r="H521" s="372" t="s">
        <v>2557</v>
      </c>
      <c r="I521" s="349">
        <v>20131</v>
      </c>
      <c r="J521" s="372" t="s">
        <v>7974</v>
      </c>
      <c r="K521" s="349">
        <v>7.7</v>
      </c>
      <c r="L521" s="349">
        <v>0</v>
      </c>
      <c r="M521" s="349">
        <v>0</v>
      </c>
      <c r="N521" s="349">
        <v>7.1291000000000002</v>
      </c>
      <c r="O521" s="349">
        <f t="shared" si="4"/>
        <v>7.7</v>
      </c>
      <c r="P521" s="373">
        <f t="shared" si="5"/>
        <v>1.080080234531708</v>
      </c>
    </row>
    <row r="522" spans="1:16">
      <c r="A522" s="348">
        <v>677</v>
      </c>
      <c r="B522" s="349">
        <v>1431</v>
      </c>
      <c r="C522" s="372" t="s">
        <v>7975</v>
      </c>
      <c r="D522" s="372" t="s">
        <v>45</v>
      </c>
      <c r="E522" s="372" t="s">
        <v>2556</v>
      </c>
      <c r="F522" s="350">
        <v>45589.520833333336</v>
      </c>
      <c r="G522" s="349">
        <v>10</v>
      </c>
      <c r="H522" s="372" t="s">
        <v>2557</v>
      </c>
      <c r="I522" s="349">
        <v>22843</v>
      </c>
      <c r="J522" s="372" t="s">
        <v>7976</v>
      </c>
      <c r="K522" s="349">
        <v>5.99</v>
      </c>
      <c r="L522" s="349">
        <v>0</v>
      </c>
      <c r="M522" s="349">
        <v>0</v>
      </c>
      <c r="N522" s="349">
        <v>1</v>
      </c>
      <c r="O522" s="349">
        <f t="shared" si="4"/>
        <v>5.99</v>
      </c>
      <c r="P522" s="373">
        <f t="shared" si="5"/>
        <v>5.99</v>
      </c>
    </row>
    <row r="523" spans="1:16">
      <c r="A523" s="348">
        <v>678</v>
      </c>
      <c r="B523" s="349">
        <v>1448</v>
      </c>
      <c r="C523" s="372" t="s">
        <v>7977</v>
      </c>
      <c r="D523" s="372" t="s">
        <v>45</v>
      </c>
      <c r="E523" s="372" t="s">
        <v>2556</v>
      </c>
      <c r="F523" s="350">
        <v>45589.84097222222</v>
      </c>
      <c r="G523" s="349">
        <v>10</v>
      </c>
      <c r="H523" s="372" t="s">
        <v>2557</v>
      </c>
      <c r="I523" s="349">
        <v>22867</v>
      </c>
      <c r="J523" s="372" t="s">
        <v>7978</v>
      </c>
      <c r="K523" s="349">
        <v>5.99</v>
      </c>
      <c r="L523" s="349">
        <v>0</v>
      </c>
      <c r="M523" s="349">
        <v>0</v>
      </c>
      <c r="N523" s="349">
        <v>1</v>
      </c>
      <c r="O523" s="349">
        <f t="shared" si="4"/>
        <v>5.99</v>
      </c>
      <c r="P523" s="373">
        <f t="shared" si="5"/>
        <v>5.99</v>
      </c>
    </row>
    <row r="524" spans="1:16">
      <c r="A524" s="348">
        <v>679</v>
      </c>
      <c r="B524" s="349">
        <v>1449</v>
      </c>
      <c r="C524" s="372" t="s">
        <v>7979</v>
      </c>
      <c r="D524" s="372" t="s">
        <v>45</v>
      </c>
      <c r="E524" s="372" t="s">
        <v>2556</v>
      </c>
      <c r="F524" s="350">
        <v>45589.852083333331</v>
      </c>
      <c r="G524" s="349">
        <v>10</v>
      </c>
      <c r="H524" s="372" t="s">
        <v>2557</v>
      </c>
      <c r="I524" s="349">
        <v>22879</v>
      </c>
      <c r="J524" s="372" t="s">
        <v>7980</v>
      </c>
      <c r="K524" s="349">
        <v>2.99</v>
      </c>
      <c r="L524" s="349">
        <v>0</v>
      </c>
      <c r="M524" s="349">
        <v>0</v>
      </c>
      <c r="N524" s="349">
        <v>1</v>
      </c>
      <c r="O524" s="349">
        <f t="shared" si="4"/>
        <v>2.99</v>
      </c>
      <c r="P524" s="373">
        <f t="shared" si="5"/>
        <v>2.99</v>
      </c>
    </row>
    <row r="525" spans="1:16">
      <c r="A525" s="348">
        <v>680</v>
      </c>
      <c r="B525" s="349">
        <v>1449</v>
      </c>
      <c r="C525" s="372" t="s">
        <v>7979</v>
      </c>
      <c r="D525" s="372" t="s">
        <v>45</v>
      </c>
      <c r="E525" s="372" t="s">
        <v>2556</v>
      </c>
      <c r="F525" s="350">
        <v>45589.975694444445</v>
      </c>
      <c r="G525" s="349">
        <v>10</v>
      </c>
      <c r="H525" s="372" t="s">
        <v>7981</v>
      </c>
      <c r="I525" s="349">
        <v>22879</v>
      </c>
      <c r="J525" s="372"/>
      <c r="K525" s="349">
        <v>0</v>
      </c>
      <c r="L525" s="349">
        <v>0</v>
      </c>
      <c r="M525" s="349">
        <v>2.99</v>
      </c>
      <c r="N525" s="349">
        <v>1</v>
      </c>
      <c r="O525" s="349">
        <f t="shared" si="4"/>
        <v>-2.99</v>
      </c>
      <c r="P525" s="373">
        <f t="shared" si="5"/>
        <v>-2.99</v>
      </c>
    </row>
    <row r="526" spans="1:16">
      <c r="A526" s="348">
        <v>681</v>
      </c>
      <c r="B526" s="349">
        <v>1519</v>
      </c>
      <c r="C526" s="372" t="s">
        <v>7982</v>
      </c>
      <c r="D526" s="372" t="s">
        <v>45</v>
      </c>
      <c r="E526" s="372" t="s">
        <v>2556</v>
      </c>
      <c r="F526" s="350">
        <v>45590.955555555556</v>
      </c>
      <c r="G526" s="349">
        <v>10</v>
      </c>
      <c r="H526" s="372" t="s">
        <v>2557</v>
      </c>
      <c r="I526" s="349">
        <v>22951</v>
      </c>
      <c r="J526" s="372" t="s">
        <v>7983</v>
      </c>
      <c r="K526" s="349">
        <v>2.99</v>
      </c>
      <c r="L526" s="349">
        <v>0</v>
      </c>
      <c r="M526" s="349">
        <v>0</v>
      </c>
      <c r="N526" s="349">
        <v>1</v>
      </c>
      <c r="O526" s="349">
        <f t="shared" si="4"/>
        <v>2.99</v>
      </c>
      <c r="P526" s="373">
        <f t="shared" si="5"/>
        <v>2.99</v>
      </c>
    </row>
    <row r="527" spans="1:16">
      <c r="A527" s="348">
        <v>682</v>
      </c>
      <c r="B527" s="349">
        <v>396</v>
      </c>
      <c r="C527" s="372" t="s">
        <v>2674</v>
      </c>
      <c r="D527" s="372" t="s">
        <v>45</v>
      </c>
      <c r="E527" s="372" t="s">
        <v>2556</v>
      </c>
      <c r="F527" s="350">
        <v>45591.145833333336</v>
      </c>
      <c r="G527" s="349">
        <v>10</v>
      </c>
      <c r="H527" s="372" t="s">
        <v>2557</v>
      </c>
      <c r="I527" s="349">
        <v>19939</v>
      </c>
      <c r="J527" s="372" t="s">
        <v>7984</v>
      </c>
      <c r="K527" s="349">
        <v>1.0900000000000001</v>
      </c>
      <c r="L527" s="349">
        <v>0</v>
      </c>
      <c r="M527" s="349">
        <v>0</v>
      </c>
      <c r="N527" s="349">
        <v>1</v>
      </c>
      <c r="O527" s="349">
        <f t="shared" si="4"/>
        <v>1.0900000000000001</v>
      </c>
      <c r="P527" s="373">
        <f t="shared" si="5"/>
        <v>1.0900000000000001</v>
      </c>
    </row>
    <row r="528" spans="1:16">
      <c r="A528" s="348">
        <v>683</v>
      </c>
      <c r="B528" s="349">
        <v>1008</v>
      </c>
      <c r="C528" s="374">
        <v>45658</v>
      </c>
      <c r="D528" s="372" t="s">
        <v>2582</v>
      </c>
      <c r="E528" s="372" t="s">
        <v>2556</v>
      </c>
      <c r="F528" s="350">
        <v>45591.197916666664</v>
      </c>
      <c r="G528" s="349">
        <v>10</v>
      </c>
      <c r="H528" s="372" t="s">
        <v>2557</v>
      </c>
      <c r="I528" s="349">
        <v>22963</v>
      </c>
      <c r="J528" s="372" t="s">
        <v>7985</v>
      </c>
      <c r="K528" s="349">
        <v>1366.13</v>
      </c>
      <c r="L528" s="349">
        <v>0</v>
      </c>
      <c r="M528" s="349">
        <v>0</v>
      </c>
      <c r="N528" s="349">
        <v>7.1148999999999996</v>
      </c>
      <c r="O528" s="349">
        <f t="shared" si="4"/>
        <v>1366.13</v>
      </c>
      <c r="P528" s="373">
        <f t="shared" si="5"/>
        <v>192.00972606782952</v>
      </c>
    </row>
    <row r="529" spans="1:16">
      <c r="A529" s="348">
        <v>684</v>
      </c>
      <c r="B529" s="349">
        <v>1437</v>
      </c>
      <c r="C529" s="372" t="s">
        <v>2598</v>
      </c>
      <c r="D529" s="372" t="s">
        <v>2582</v>
      </c>
      <c r="E529" s="372" t="s">
        <v>9</v>
      </c>
      <c r="F529" s="350">
        <v>45591.347222222219</v>
      </c>
      <c r="G529" s="349">
        <v>10</v>
      </c>
      <c r="H529" s="372" t="s">
        <v>2557</v>
      </c>
      <c r="I529" s="349">
        <v>22975</v>
      </c>
      <c r="J529" s="372" t="s">
        <v>7135</v>
      </c>
      <c r="K529" s="349">
        <v>128.69999999999999</v>
      </c>
      <c r="L529" s="349">
        <v>9.89</v>
      </c>
      <c r="M529" s="349">
        <v>0</v>
      </c>
      <c r="N529" s="349">
        <v>7.1148999999999996</v>
      </c>
      <c r="O529" s="349">
        <f t="shared" si="4"/>
        <v>118.80999999999999</v>
      </c>
      <c r="P529" s="373">
        <f t="shared" si="5"/>
        <v>16.698758942500948</v>
      </c>
    </row>
    <row r="530" spans="1:16">
      <c r="A530" s="348">
        <v>685</v>
      </c>
      <c r="B530" s="349">
        <v>1042</v>
      </c>
      <c r="C530" s="372" t="s">
        <v>5898</v>
      </c>
      <c r="D530" s="372" t="s">
        <v>45</v>
      </c>
      <c r="E530" s="372" t="s">
        <v>9</v>
      </c>
      <c r="F530" s="350">
        <v>45591.459027777775</v>
      </c>
      <c r="G530" s="349">
        <v>10</v>
      </c>
      <c r="H530" s="372" t="s">
        <v>2557</v>
      </c>
      <c r="I530" s="349">
        <v>23023</v>
      </c>
      <c r="J530" s="372" t="s">
        <v>7137</v>
      </c>
      <c r="K530" s="349">
        <v>192.01</v>
      </c>
      <c r="L530" s="349">
        <v>10.07</v>
      </c>
      <c r="M530" s="349">
        <v>0</v>
      </c>
      <c r="N530" s="349">
        <v>1</v>
      </c>
      <c r="O530" s="349">
        <f t="shared" si="4"/>
        <v>181.94</v>
      </c>
      <c r="P530" s="373">
        <f t="shared" si="5"/>
        <v>181.94</v>
      </c>
    </row>
    <row r="531" spans="1:16">
      <c r="A531" s="348">
        <v>686</v>
      </c>
      <c r="B531" s="349">
        <v>752</v>
      </c>
      <c r="C531" s="372" t="s">
        <v>7763</v>
      </c>
      <c r="D531" s="372" t="s">
        <v>2582</v>
      </c>
      <c r="E531" s="372" t="s">
        <v>2556</v>
      </c>
      <c r="F531" s="350">
        <v>45591.530555555553</v>
      </c>
      <c r="G531" s="349">
        <v>10</v>
      </c>
      <c r="H531" s="372" t="s">
        <v>2557</v>
      </c>
      <c r="I531" s="349">
        <v>23011</v>
      </c>
      <c r="J531" s="372" t="s">
        <v>7986</v>
      </c>
      <c r="K531" s="349">
        <v>23.44</v>
      </c>
      <c r="L531" s="349">
        <v>0</v>
      </c>
      <c r="M531" s="349">
        <v>0</v>
      </c>
      <c r="N531" s="349">
        <v>7.12453</v>
      </c>
      <c r="O531" s="349">
        <f t="shared" si="4"/>
        <v>23.44</v>
      </c>
      <c r="P531" s="373">
        <f t="shared" si="5"/>
        <v>3.2900415887083079</v>
      </c>
    </row>
    <row r="532" spans="1:16">
      <c r="A532" s="348">
        <v>687</v>
      </c>
      <c r="B532" s="349">
        <v>752</v>
      </c>
      <c r="C532" s="372" t="s">
        <v>7763</v>
      </c>
      <c r="D532" s="372" t="s">
        <v>2582</v>
      </c>
      <c r="E532" s="372" t="s">
        <v>2556</v>
      </c>
      <c r="F532" s="350">
        <v>45591.538888888892</v>
      </c>
      <c r="G532" s="349">
        <v>10</v>
      </c>
      <c r="H532" s="372" t="s">
        <v>2557</v>
      </c>
      <c r="I532" s="349">
        <v>23011</v>
      </c>
      <c r="J532" s="372"/>
      <c r="K532" s="349">
        <v>0.02</v>
      </c>
      <c r="L532" s="349">
        <v>0</v>
      </c>
      <c r="M532" s="349">
        <v>0</v>
      </c>
      <c r="N532" s="349">
        <v>7.12453</v>
      </c>
      <c r="O532" s="349">
        <f t="shared" si="4"/>
        <v>0.02</v>
      </c>
      <c r="P532" s="373">
        <f t="shared" si="5"/>
        <v>2.8072027207408771E-3</v>
      </c>
    </row>
    <row r="533" spans="1:16">
      <c r="A533" s="348">
        <v>688</v>
      </c>
      <c r="B533" s="349">
        <v>1008</v>
      </c>
      <c r="C533" s="374">
        <v>45658</v>
      </c>
      <c r="D533" s="372" t="s">
        <v>2582</v>
      </c>
      <c r="E533" s="372" t="s">
        <v>2556</v>
      </c>
      <c r="F533" s="350">
        <v>45591.588888888888</v>
      </c>
      <c r="G533" s="349">
        <v>10</v>
      </c>
      <c r="H533" s="372" t="s">
        <v>2557</v>
      </c>
      <c r="I533" s="349">
        <v>22963</v>
      </c>
      <c r="J533" s="372"/>
      <c r="K533" s="349">
        <v>0.01</v>
      </c>
      <c r="L533" s="349">
        <v>0</v>
      </c>
      <c r="M533" s="349">
        <v>0</v>
      </c>
      <c r="N533" s="349">
        <v>7.12453</v>
      </c>
      <c r="O533" s="349">
        <f t="shared" si="4"/>
        <v>0.01</v>
      </c>
      <c r="P533" s="373">
        <f t="shared" si="5"/>
        <v>1.4036013603704385E-3</v>
      </c>
    </row>
    <row r="534" spans="1:16">
      <c r="A534" s="348">
        <v>689</v>
      </c>
      <c r="B534" s="349">
        <v>1391</v>
      </c>
      <c r="C534" s="372" t="s">
        <v>7971</v>
      </c>
      <c r="D534" s="372" t="s">
        <v>45</v>
      </c>
      <c r="E534" s="372" t="s">
        <v>2556</v>
      </c>
      <c r="F534" s="350">
        <v>45591.621527777781</v>
      </c>
      <c r="G534" s="349">
        <v>10</v>
      </c>
      <c r="H534" s="372" t="s">
        <v>2557</v>
      </c>
      <c r="I534" s="349">
        <v>23071</v>
      </c>
      <c r="J534" s="372" t="s">
        <v>7987</v>
      </c>
      <c r="K534" s="349">
        <v>30.19</v>
      </c>
      <c r="L534" s="349">
        <v>0</v>
      </c>
      <c r="M534" s="349">
        <v>0</v>
      </c>
      <c r="N534" s="349">
        <v>1</v>
      </c>
      <c r="O534" s="349">
        <f t="shared" si="4"/>
        <v>30.19</v>
      </c>
      <c r="P534" s="373">
        <f t="shared" si="5"/>
        <v>30.19</v>
      </c>
    </row>
    <row r="535" spans="1:16">
      <c r="A535" s="348">
        <v>690</v>
      </c>
      <c r="B535" s="349">
        <v>1550</v>
      </c>
      <c r="C535" s="372" t="s">
        <v>7988</v>
      </c>
      <c r="D535" s="372" t="s">
        <v>2582</v>
      </c>
      <c r="E535" s="372" t="s">
        <v>2556</v>
      </c>
      <c r="F535" s="350">
        <v>45591.712500000001</v>
      </c>
      <c r="G535" s="349">
        <v>10</v>
      </c>
      <c r="H535" s="372" t="s">
        <v>2557</v>
      </c>
      <c r="I535" s="349">
        <v>23095</v>
      </c>
      <c r="J535" s="372" t="s">
        <v>7989</v>
      </c>
      <c r="K535" s="349">
        <v>34.130000000000003</v>
      </c>
      <c r="L535" s="349">
        <v>0</v>
      </c>
      <c r="M535" s="349">
        <v>0</v>
      </c>
      <c r="N535" s="349">
        <v>7.12453</v>
      </c>
      <c r="O535" s="349">
        <f t="shared" si="4"/>
        <v>34.130000000000003</v>
      </c>
      <c r="P535" s="373">
        <f t="shared" si="5"/>
        <v>4.7904914429443064</v>
      </c>
    </row>
    <row r="536" spans="1:16">
      <c r="A536" s="348">
        <v>691</v>
      </c>
      <c r="B536" s="349">
        <v>1550</v>
      </c>
      <c r="C536" s="372" t="s">
        <v>7988</v>
      </c>
      <c r="D536" s="372" t="s">
        <v>2582</v>
      </c>
      <c r="E536" s="372" t="s">
        <v>2556</v>
      </c>
      <c r="F536" s="350">
        <v>45591.716666666667</v>
      </c>
      <c r="G536" s="349">
        <v>10</v>
      </c>
      <c r="H536" s="372" t="s">
        <v>2557</v>
      </c>
      <c r="I536" s="349">
        <v>23095</v>
      </c>
      <c r="J536" s="372"/>
      <c r="K536" s="349">
        <v>0.01</v>
      </c>
      <c r="L536" s="349">
        <v>0</v>
      </c>
      <c r="M536" s="349">
        <v>0</v>
      </c>
      <c r="N536" s="349">
        <v>7.12453</v>
      </c>
      <c r="O536" s="349">
        <f t="shared" si="4"/>
        <v>0.01</v>
      </c>
      <c r="P536" s="373">
        <f t="shared" si="5"/>
        <v>1.4036013603704385E-3</v>
      </c>
    </row>
    <row r="537" spans="1:16">
      <c r="A537" s="348">
        <v>692</v>
      </c>
      <c r="B537" s="349">
        <v>1551</v>
      </c>
      <c r="C537" s="372" t="s">
        <v>7990</v>
      </c>
      <c r="D537" s="372" t="s">
        <v>45</v>
      </c>
      <c r="E537" s="372" t="s">
        <v>2556</v>
      </c>
      <c r="F537" s="350">
        <v>45591.734027777777</v>
      </c>
      <c r="G537" s="349">
        <v>10</v>
      </c>
      <c r="H537" s="372" t="s">
        <v>2557</v>
      </c>
      <c r="I537" s="349">
        <v>23119</v>
      </c>
      <c r="J537" s="372" t="s">
        <v>7991</v>
      </c>
      <c r="K537" s="349">
        <v>4.3899999999999997</v>
      </c>
      <c r="L537" s="349">
        <v>0</v>
      </c>
      <c r="M537" s="349">
        <v>0</v>
      </c>
      <c r="N537" s="349">
        <v>1</v>
      </c>
      <c r="O537" s="349">
        <f t="shared" si="4"/>
        <v>4.3899999999999997</v>
      </c>
      <c r="P537" s="373">
        <f t="shared" si="5"/>
        <v>4.3899999999999997</v>
      </c>
    </row>
    <row r="538" spans="1:16">
      <c r="A538" s="348">
        <v>693</v>
      </c>
      <c r="B538" s="349">
        <v>1552</v>
      </c>
      <c r="C538" s="372" t="s">
        <v>5372</v>
      </c>
      <c r="D538" s="372" t="s">
        <v>2582</v>
      </c>
      <c r="E538" s="372" t="s">
        <v>2556</v>
      </c>
      <c r="F538" s="350">
        <v>45591.834722222222</v>
      </c>
      <c r="G538" s="349">
        <v>10</v>
      </c>
      <c r="H538" s="372" t="s">
        <v>2557</v>
      </c>
      <c r="I538" s="349">
        <v>23143</v>
      </c>
      <c r="J538" s="372" t="s">
        <v>7992</v>
      </c>
      <c r="K538" s="349">
        <v>21.3</v>
      </c>
      <c r="L538" s="349">
        <v>0</v>
      </c>
      <c r="M538" s="349">
        <v>0</v>
      </c>
      <c r="N538" s="349">
        <v>7.12453</v>
      </c>
      <c r="O538" s="349">
        <f t="shared" si="4"/>
        <v>21.3</v>
      </c>
      <c r="P538" s="373">
        <f t="shared" si="5"/>
        <v>2.989670897589034</v>
      </c>
    </row>
    <row r="539" spans="1:16">
      <c r="A539" s="348">
        <v>694</v>
      </c>
      <c r="B539" s="349">
        <v>403</v>
      </c>
      <c r="C539" s="372" t="s">
        <v>7795</v>
      </c>
      <c r="D539" s="372" t="s">
        <v>45</v>
      </c>
      <c r="E539" s="372" t="s">
        <v>2556</v>
      </c>
      <c r="F539" s="350">
        <v>45592.470833333333</v>
      </c>
      <c r="G539" s="349">
        <v>10</v>
      </c>
      <c r="H539" s="372" t="s">
        <v>2557</v>
      </c>
      <c r="I539" s="349">
        <v>19363</v>
      </c>
      <c r="J539" s="372" t="s">
        <v>7993</v>
      </c>
      <c r="K539" s="349">
        <v>1.0900000000000001</v>
      </c>
      <c r="L539" s="349">
        <v>0</v>
      </c>
      <c r="M539" s="349">
        <v>0</v>
      </c>
      <c r="N539" s="349">
        <v>1</v>
      </c>
      <c r="O539" s="349">
        <f t="shared" si="4"/>
        <v>1.0900000000000001</v>
      </c>
      <c r="P539" s="373">
        <f t="shared" si="5"/>
        <v>1.0900000000000001</v>
      </c>
    </row>
    <row r="540" spans="1:16">
      <c r="A540" s="348">
        <v>695</v>
      </c>
      <c r="B540" s="349">
        <v>1553</v>
      </c>
      <c r="C540" s="372" t="s">
        <v>7994</v>
      </c>
      <c r="D540" s="372" t="s">
        <v>45</v>
      </c>
      <c r="E540" s="372" t="s">
        <v>9</v>
      </c>
      <c r="F540" s="350">
        <v>45592.579861111109</v>
      </c>
      <c r="G540" s="349">
        <v>10</v>
      </c>
      <c r="H540" s="372" t="s">
        <v>2557</v>
      </c>
      <c r="I540" s="349">
        <v>23191</v>
      </c>
      <c r="J540" s="372" t="s">
        <v>7139</v>
      </c>
      <c r="K540" s="349">
        <v>4.3899999999999997</v>
      </c>
      <c r="L540" s="349">
        <v>0.71</v>
      </c>
      <c r="M540" s="349">
        <v>0</v>
      </c>
      <c r="N540" s="349">
        <v>1</v>
      </c>
      <c r="O540" s="349">
        <f t="shared" si="4"/>
        <v>3.6799999999999997</v>
      </c>
      <c r="P540" s="373">
        <f t="shared" si="5"/>
        <v>3.6799999999999997</v>
      </c>
    </row>
    <row r="541" spans="1:16">
      <c r="A541" s="348">
        <v>696</v>
      </c>
      <c r="B541" s="349">
        <v>1554</v>
      </c>
      <c r="C541" s="372" t="s">
        <v>6186</v>
      </c>
      <c r="D541" s="372" t="s">
        <v>45</v>
      </c>
      <c r="E541" s="372" t="s">
        <v>2572</v>
      </c>
      <c r="F541" s="350">
        <v>45592.604861111111</v>
      </c>
      <c r="G541" s="349">
        <v>10</v>
      </c>
      <c r="H541" s="372" t="s">
        <v>2557</v>
      </c>
      <c r="I541" s="349">
        <v>23203</v>
      </c>
      <c r="J541" s="372" t="s">
        <v>7995</v>
      </c>
      <c r="K541" s="349">
        <v>197.25</v>
      </c>
      <c r="L541" s="349">
        <v>0</v>
      </c>
      <c r="M541" s="349">
        <v>0</v>
      </c>
      <c r="N541" s="349">
        <v>1</v>
      </c>
      <c r="O541" s="349">
        <f t="shared" si="4"/>
        <v>197.25</v>
      </c>
      <c r="P541" s="373">
        <f t="shared" si="5"/>
        <v>197.25</v>
      </c>
    </row>
    <row r="542" spans="1:16">
      <c r="A542" s="348">
        <v>697</v>
      </c>
      <c r="B542" s="349">
        <v>1555</v>
      </c>
      <c r="C542" s="372" t="s">
        <v>7690</v>
      </c>
      <c r="D542" s="372" t="s">
        <v>45</v>
      </c>
      <c r="E542" s="372" t="s">
        <v>2556</v>
      </c>
      <c r="F542" s="350">
        <v>45592.734722222223</v>
      </c>
      <c r="G542" s="349">
        <v>10</v>
      </c>
      <c r="H542" s="372" t="s">
        <v>2557</v>
      </c>
      <c r="I542" s="349">
        <v>23215</v>
      </c>
      <c r="J542" s="372" t="s">
        <v>7996</v>
      </c>
      <c r="K542" s="349">
        <v>3.29</v>
      </c>
      <c r="L542" s="349">
        <v>0</v>
      </c>
      <c r="M542" s="349">
        <v>0</v>
      </c>
      <c r="N542" s="349">
        <v>1</v>
      </c>
      <c r="O542" s="349">
        <f t="shared" si="4"/>
        <v>3.29</v>
      </c>
      <c r="P542" s="373">
        <f t="shared" si="5"/>
        <v>3.29</v>
      </c>
    </row>
    <row r="543" spans="1:16">
      <c r="A543" s="348">
        <v>698</v>
      </c>
      <c r="B543" s="349">
        <v>1557</v>
      </c>
      <c r="C543" s="372" t="s">
        <v>7997</v>
      </c>
      <c r="D543" s="372" t="s">
        <v>2582</v>
      </c>
      <c r="E543" s="372" t="s">
        <v>2556</v>
      </c>
      <c r="F543" s="350">
        <v>45592.879166666666</v>
      </c>
      <c r="G543" s="349">
        <v>10</v>
      </c>
      <c r="H543" s="372" t="s">
        <v>2557</v>
      </c>
      <c r="I543" s="349">
        <v>23227</v>
      </c>
      <c r="J543" s="372" t="s">
        <v>7998</v>
      </c>
      <c r="K543" s="349">
        <v>31.28</v>
      </c>
      <c r="L543" s="349">
        <v>0</v>
      </c>
      <c r="M543" s="349">
        <v>0</v>
      </c>
      <c r="N543" s="349">
        <v>7.12453</v>
      </c>
      <c r="O543" s="349">
        <f t="shared" si="4"/>
        <v>31.28</v>
      </c>
      <c r="P543" s="373">
        <f t="shared" si="5"/>
        <v>4.3904650552387317</v>
      </c>
    </row>
    <row r="544" spans="1:16">
      <c r="A544" s="348">
        <v>699</v>
      </c>
      <c r="B544" s="349">
        <v>1557</v>
      </c>
      <c r="C544" s="372" t="s">
        <v>7997</v>
      </c>
      <c r="D544" s="372" t="s">
        <v>2582</v>
      </c>
      <c r="E544" s="372" t="s">
        <v>2556</v>
      </c>
      <c r="F544" s="350">
        <v>45592.88958333333</v>
      </c>
      <c r="G544" s="349">
        <v>10</v>
      </c>
      <c r="H544" s="372" t="s">
        <v>2557</v>
      </c>
      <c r="I544" s="349">
        <v>23227</v>
      </c>
      <c r="J544" s="372"/>
      <c r="K544" s="349">
        <v>0.02</v>
      </c>
      <c r="L544" s="349">
        <v>0</v>
      </c>
      <c r="M544" s="349">
        <v>0</v>
      </c>
      <c r="N544" s="349">
        <v>7.12453</v>
      </c>
      <c r="O544" s="349">
        <f t="shared" si="4"/>
        <v>0.02</v>
      </c>
      <c r="P544" s="373">
        <f t="shared" si="5"/>
        <v>2.8072027207408771E-3</v>
      </c>
    </row>
    <row r="545" spans="1:16">
      <c r="A545" s="348">
        <v>700</v>
      </c>
      <c r="B545" s="349">
        <v>1556</v>
      </c>
      <c r="C545" s="372" t="s">
        <v>7999</v>
      </c>
      <c r="D545" s="372" t="s">
        <v>45</v>
      </c>
      <c r="E545" s="372" t="s">
        <v>9</v>
      </c>
      <c r="F545" s="350">
        <v>45592.893750000003</v>
      </c>
      <c r="G545" s="349">
        <v>10</v>
      </c>
      <c r="H545" s="372" t="s">
        <v>2557</v>
      </c>
      <c r="I545" s="349">
        <v>23239</v>
      </c>
      <c r="J545" s="372" t="s">
        <v>7140</v>
      </c>
      <c r="K545" s="349">
        <v>28.75</v>
      </c>
      <c r="L545" s="349">
        <v>1.92</v>
      </c>
      <c r="M545" s="349">
        <v>0</v>
      </c>
      <c r="N545" s="349">
        <v>1</v>
      </c>
      <c r="O545" s="349">
        <f t="shared" si="4"/>
        <v>26.83</v>
      </c>
      <c r="P545" s="373">
        <f t="shared" si="5"/>
        <v>26.83</v>
      </c>
    </row>
    <row r="546" spans="1:16">
      <c r="A546" s="348">
        <v>701</v>
      </c>
      <c r="B546" s="349">
        <v>1558</v>
      </c>
      <c r="C546" s="372" t="s">
        <v>8000</v>
      </c>
      <c r="D546" s="372" t="s">
        <v>2582</v>
      </c>
      <c r="E546" s="372" t="s">
        <v>9</v>
      </c>
      <c r="F546" s="350">
        <v>45593.115277777775</v>
      </c>
      <c r="G546" s="349">
        <v>10</v>
      </c>
      <c r="H546" s="372" t="s">
        <v>2557</v>
      </c>
      <c r="I546" s="349">
        <v>23251</v>
      </c>
      <c r="J546" s="372" t="s">
        <v>7142</v>
      </c>
      <c r="K546" s="349">
        <v>258.19</v>
      </c>
      <c r="L546" s="349">
        <v>16.39</v>
      </c>
      <c r="M546" s="349">
        <v>0</v>
      </c>
      <c r="N546" s="349">
        <v>7.12453</v>
      </c>
      <c r="O546" s="349">
        <f t="shared" si="4"/>
        <v>241.8</v>
      </c>
      <c r="P546" s="373">
        <f t="shared" si="5"/>
        <v>33.9390808937572</v>
      </c>
    </row>
    <row r="547" spans="1:16">
      <c r="A547" s="348">
        <v>702</v>
      </c>
      <c r="B547" s="349">
        <v>1559</v>
      </c>
      <c r="C547" s="372" t="s">
        <v>3541</v>
      </c>
      <c r="D547" s="372" t="s">
        <v>45</v>
      </c>
      <c r="E547" s="372" t="s">
        <v>2572</v>
      </c>
      <c r="F547" s="350">
        <v>45593.538194444445</v>
      </c>
      <c r="G547" s="349">
        <v>10</v>
      </c>
      <c r="H547" s="372" t="s">
        <v>2557</v>
      </c>
      <c r="I547" s="349">
        <v>23299</v>
      </c>
      <c r="J547" s="372"/>
      <c r="K547" s="349">
        <v>40</v>
      </c>
      <c r="L547" s="349">
        <v>0</v>
      </c>
      <c r="M547" s="349">
        <v>0</v>
      </c>
      <c r="N547" s="349">
        <v>1</v>
      </c>
      <c r="O547" s="349">
        <f t="shared" si="4"/>
        <v>40</v>
      </c>
      <c r="P547" s="373">
        <f t="shared" si="5"/>
        <v>40</v>
      </c>
    </row>
    <row r="548" spans="1:16">
      <c r="A548" s="348">
        <v>703</v>
      </c>
      <c r="B548" s="349">
        <v>1560</v>
      </c>
      <c r="C548" s="372" t="s">
        <v>2630</v>
      </c>
      <c r="D548" s="372" t="s">
        <v>45</v>
      </c>
      <c r="E548" s="372" t="s">
        <v>2556</v>
      </c>
      <c r="F548" s="350">
        <v>45593.595833333333</v>
      </c>
      <c r="G548" s="349">
        <v>10</v>
      </c>
      <c r="H548" s="372" t="s">
        <v>2557</v>
      </c>
      <c r="I548" s="349">
        <v>23323</v>
      </c>
      <c r="J548" s="372" t="s">
        <v>8001</v>
      </c>
      <c r="K548" s="349">
        <v>2.99</v>
      </c>
      <c r="L548" s="349">
        <v>0</v>
      </c>
      <c r="M548" s="349">
        <v>0</v>
      </c>
      <c r="N548" s="349">
        <v>1</v>
      </c>
      <c r="O548" s="349">
        <f t="shared" si="4"/>
        <v>2.99</v>
      </c>
      <c r="P548" s="373">
        <f t="shared" si="5"/>
        <v>2.99</v>
      </c>
    </row>
    <row r="549" spans="1:16">
      <c r="A549" s="348">
        <v>704</v>
      </c>
      <c r="B549" s="349">
        <v>1558</v>
      </c>
      <c r="C549" s="372" t="s">
        <v>8000</v>
      </c>
      <c r="D549" s="372" t="s">
        <v>2582</v>
      </c>
      <c r="E549" s="372" t="s">
        <v>9</v>
      </c>
      <c r="F549" s="350">
        <v>45593.668749999997</v>
      </c>
      <c r="G549" s="349">
        <v>10</v>
      </c>
      <c r="H549" s="372" t="s">
        <v>8002</v>
      </c>
      <c r="I549" s="349">
        <v>23251</v>
      </c>
      <c r="J549" s="372"/>
      <c r="K549" s="349">
        <v>0</v>
      </c>
      <c r="L549" s="349">
        <v>-16.39</v>
      </c>
      <c r="M549" s="349">
        <v>258.19</v>
      </c>
      <c r="N549" s="349">
        <v>7.12453</v>
      </c>
      <c r="O549" s="349">
        <f t="shared" si="4"/>
        <v>-241.8</v>
      </c>
      <c r="P549" s="373">
        <f t="shared" si="5"/>
        <v>-33.9390808937572</v>
      </c>
    </row>
    <row r="550" spans="1:16">
      <c r="A550" s="348">
        <v>705</v>
      </c>
      <c r="B550" s="349">
        <v>319</v>
      </c>
      <c r="C550" s="372" t="s">
        <v>7699</v>
      </c>
      <c r="D550" s="372" t="s">
        <v>45</v>
      </c>
      <c r="E550" s="372" t="s">
        <v>2556</v>
      </c>
      <c r="F550" s="350">
        <v>45593.668749999997</v>
      </c>
      <c r="G550" s="349">
        <v>10</v>
      </c>
      <c r="H550" s="372" t="s">
        <v>2557</v>
      </c>
      <c r="I550" s="349">
        <v>23335</v>
      </c>
      <c r="J550" s="372" t="s">
        <v>8003</v>
      </c>
      <c r="K550" s="349">
        <v>18.09</v>
      </c>
      <c r="L550" s="349">
        <v>0</v>
      </c>
      <c r="M550" s="349">
        <v>0</v>
      </c>
      <c r="N550" s="349">
        <v>1</v>
      </c>
      <c r="O550" s="349">
        <f t="shared" si="4"/>
        <v>18.09</v>
      </c>
      <c r="P550" s="373">
        <f t="shared" si="5"/>
        <v>18.09</v>
      </c>
    </row>
    <row r="551" spans="1:16">
      <c r="A551" s="348">
        <v>706</v>
      </c>
      <c r="B551" s="349">
        <v>1009</v>
      </c>
      <c r="C551" s="372" t="s">
        <v>7890</v>
      </c>
      <c r="D551" s="372" t="s">
        <v>45</v>
      </c>
      <c r="E551" s="372" t="s">
        <v>2572</v>
      </c>
      <c r="F551" s="350">
        <v>45593.677083333336</v>
      </c>
      <c r="G551" s="349">
        <v>10</v>
      </c>
      <c r="H551" s="372" t="s">
        <v>2557</v>
      </c>
      <c r="I551" s="349">
        <v>20935</v>
      </c>
      <c r="J551" s="372"/>
      <c r="K551" s="349">
        <v>7.99</v>
      </c>
      <c r="L551" s="349">
        <v>0</v>
      </c>
      <c r="M551" s="349">
        <v>0</v>
      </c>
      <c r="N551" s="349">
        <v>1</v>
      </c>
      <c r="O551" s="349">
        <f t="shared" si="4"/>
        <v>7.99</v>
      </c>
      <c r="P551" s="373">
        <f t="shared" si="5"/>
        <v>7.99</v>
      </c>
    </row>
    <row r="552" spans="1:16">
      <c r="A552" s="348">
        <v>707</v>
      </c>
      <c r="B552" s="349">
        <v>1561</v>
      </c>
      <c r="C552" s="372" t="s">
        <v>8004</v>
      </c>
      <c r="D552" s="372" t="s">
        <v>45</v>
      </c>
      <c r="E552" s="372" t="s">
        <v>2556</v>
      </c>
      <c r="F552" s="350">
        <v>45593.727777777778</v>
      </c>
      <c r="G552" s="349">
        <v>10</v>
      </c>
      <c r="H552" s="372" t="s">
        <v>2557</v>
      </c>
      <c r="I552" s="349">
        <v>23347</v>
      </c>
      <c r="J552" s="372" t="s">
        <v>8005</v>
      </c>
      <c r="K552" s="349">
        <v>24.14</v>
      </c>
      <c r="L552" s="349">
        <v>0</v>
      </c>
      <c r="M552" s="349">
        <v>0</v>
      </c>
      <c r="N552" s="349">
        <v>1</v>
      </c>
      <c r="O552" s="349">
        <f t="shared" si="4"/>
        <v>24.14</v>
      </c>
      <c r="P552" s="373">
        <f t="shared" si="5"/>
        <v>24.14</v>
      </c>
    </row>
    <row r="553" spans="1:16">
      <c r="A553" s="348">
        <v>708</v>
      </c>
      <c r="B553" s="349">
        <v>153</v>
      </c>
      <c r="C553" s="372" t="s">
        <v>4935</v>
      </c>
      <c r="D553" s="372" t="s">
        <v>45</v>
      </c>
      <c r="E553" s="372" t="s">
        <v>2556</v>
      </c>
      <c r="F553" s="350">
        <v>45593.837500000001</v>
      </c>
      <c r="G553" s="349">
        <v>10</v>
      </c>
      <c r="H553" s="372" t="s">
        <v>2557</v>
      </c>
      <c r="I553" s="349">
        <v>23371</v>
      </c>
      <c r="J553" s="372" t="s">
        <v>8006</v>
      </c>
      <c r="K553" s="349">
        <v>4.3899999999999997</v>
      </c>
      <c r="L553" s="349">
        <v>0</v>
      </c>
      <c r="M553" s="349">
        <v>0</v>
      </c>
      <c r="N553" s="349">
        <v>1</v>
      </c>
      <c r="O553" s="349">
        <f t="shared" si="4"/>
        <v>4.3899999999999997</v>
      </c>
      <c r="P553" s="373">
        <f t="shared" si="5"/>
        <v>4.3899999999999997</v>
      </c>
    </row>
    <row r="554" spans="1:16">
      <c r="A554" s="348">
        <v>709</v>
      </c>
      <c r="B554" s="349">
        <v>99</v>
      </c>
      <c r="C554" s="372" t="s">
        <v>7450</v>
      </c>
      <c r="D554" s="372" t="s">
        <v>45</v>
      </c>
      <c r="E554" s="372" t="s">
        <v>2556</v>
      </c>
      <c r="F554" s="350">
        <v>45594.012499999997</v>
      </c>
      <c r="G554" s="349">
        <v>10</v>
      </c>
      <c r="H554" s="372" t="s">
        <v>2557</v>
      </c>
      <c r="I554" s="349">
        <v>23395</v>
      </c>
      <c r="J554" s="372" t="s">
        <v>8007</v>
      </c>
      <c r="K554" s="349">
        <v>10.16</v>
      </c>
      <c r="L554" s="349">
        <v>0</v>
      </c>
      <c r="M554" s="349">
        <v>0</v>
      </c>
      <c r="N554" s="349">
        <v>1</v>
      </c>
      <c r="O554" s="349">
        <f t="shared" si="4"/>
        <v>10.16</v>
      </c>
      <c r="P554" s="373">
        <f t="shared" si="5"/>
        <v>10.16</v>
      </c>
    </row>
    <row r="555" spans="1:16">
      <c r="A555" s="348">
        <v>710</v>
      </c>
      <c r="B555" s="349">
        <v>1560</v>
      </c>
      <c r="C555" s="372" t="s">
        <v>2630</v>
      </c>
      <c r="D555" s="372" t="s">
        <v>45</v>
      </c>
      <c r="E555" s="372" t="s">
        <v>2556</v>
      </c>
      <c r="F555" s="350">
        <v>45594.468055555553</v>
      </c>
      <c r="G555" s="349">
        <v>10</v>
      </c>
      <c r="H555" s="372" t="s">
        <v>2557</v>
      </c>
      <c r="I555" s="349">
        <v>23467</v>
      </c>
      <c r="J555" s="372" t="s">
        <v>8008</v>
      </c>
      <c r="K555" s="349">
        <v>2.99</v>
      </c>
      <c r="L555" s="349">
        <v>0</v>
      </c>
      <c r="M555" s="349">
        <v>0</v>
      </c>
      <c r="N555" s="349">
        <v>1</v>
      </c>
      <c r="O555" s="349">
        <f t="shared" si="4"/>
        <v>2.99</v>
      </c>
      <c r="P555" s="373">
        <f t="shared" si="5"/>
        <v>2.99</v>
      </c>
    </row>
    <row r="556" spans="1:16">
      <c r="A556" s="348">
        <v>711</v>
      </c>
      <c r="B556" s="349">
        <v>1560</v>
      </c>
      <c r="C556" s="372" t="s">
        <v>2630</v>
      </c>
      <c r="D556" s="372" t="s">
        <v>45</v>
      </c>
      <c r="E556" s="372" t="s">
        <v>2556</v>
      </c>
      <c r="F556" s="350">
        <v>45594.569444444445</v>
      </c>
      <c r="G556" s="349">
        <v>10</v>
      </c>
      <c r="H556" s="372" t="s">
        <v>2557</v>
      </c>
      <c r="I556" s="349">
        <v>23479</v>
      </c>
      <c r="J556" s="372" t="s">
        <v>8009</v>
      </c>
      <c r="K556" s="349">
        <v>5.98</v>
      </c>
      <c r="L556" s="349">
        <v>0</v>
      </c>
      <c r="M556" s="349">
        <v>0</v>
      </c>
      <c r="N556" s="349">
        <v>1</v>
      </c>
      <c r="O556" s="349">
        <f t="shared" si="4"/>
        <v>5.98</v>
      </c>
      <c r="P556" s="373">
        <f t="shared" si="5"/>
        <v>5.98</v>
      </c>
    </row>
    <row r="557" spans="1:16">
      <c r="A557" s="348">
        <v>712</v>
      </c>
      <c r="B557" s="349">
        <v>1564</v>
      </c>
      <c r="C557" s="374">
        <v>45658</v>
      </c>
      <c r="D557" s="372" t="s">
        <v>45</v>
      </c>
      <c r="E557" s="372" t="s">
        <v>2556</v>
      </c>
      <c r="F557" s="350">
        <v>45594.724999999999</v>
      </c>
      <c r="G557" s="349">
        <v>10</v>
      </c>
      <c r="H557" s="372" t="s">
        <v>2557</v>
      </c>
      <c r="I557" s="349">
        <v>23515</v>
      </c>
      <c r="J557" s="372" t="s">
        <v>8010</v>
      </c>
      <c r="K557" s="349">
        <v>3.29</v>
      </c>
      <c r="L557" s="349">
        <v>0</v>
      </c>
      <c r="M557" s="349">
        <v>0</v>
      </c>
      <c r="N557" s="349">
        <v>1</v>
      </c>
      <c r="O557" s="349">
        <f t="shared" si="4"/>
        <v>3.29</v>
      </c>
      <c r="P557" s="373">
        <f t="shared" si="5"/>
        <v>3.29</v>
      </c>
    </row>
    <row r="558" spans="1:16">
      <c r="A558" s="348">
        <v>713</v>
      </c>
      <c r="B558" s="349">
        <v>393</v>
      </c>
      <c r="C558" s="372" t="s">
        <v>7781</v>
      </c>
      <c r="D558" s="372" t="s">
        <v>45</v>
      </c>
      <c r="E558" s="372" t="s">
        <v>2556</v>
      </c>
      <c r="F558" s="350">
        <v>45594.904861111114</v>
      </c>
      <c r="G558" s="349">
        <v>10</v>
      </c>
      <c r="H558" s="372" t="s">
        <v>2557</v>
      </c>
      <c r="I558" s="349">
        <v>23443</v>
      </c>
      <c r="J558" s="372" t="s">
        <v>8011</v>
      </c>
      <c r="K558" s="349">
        <v>1.0900000000000001</v>
      </c>
      <c r="L558" s="349">
        <v>0</v>
      </c>
      <c r="M558" s="349">
        <v>0</v>
      </c>
      <c r="N558" s="349">
        <v>1</v>
      </c>
      <c r="O558" s="349">
        <f t="shared" si="4"/>
        <v>1.0900000000000001</v>
      </c>
      <c r="P558" s="373">
        <f t="shared" si="5"/>
        <v>1.0900000000000001</v>
      </c>
    </row>
    <row r="559" spans="1:16">
      <c r="A559" s="348">
        <v>714</v>
      </c>
      <c r="B559" s="349">
        <v>1567</v>
      </c>
      <c r="C559" s="372" t="s">
        <v>8012</v>
      </c>
      <c r="D559" s="372" t="s">
        <v>45</v>
      </c>
      <c r="E559" s="372" t="s">
        <v>9</v>
      </c>
      <c r="F559" s="350">
        <v>45594.936111111114</v>
      </c>
      <c r="G559" s="349">
        <v>10</v>
      </c>
      <c r="H559" s="372" t="s">
        <v>2557</v>
      </c>
      <c r="I559" s="349">
        <v>23527</v>
      </c>
      <c r="J559" s="372" t="s">
        <v>7146</v>
      </c>
      <c r="K559" s="349">
        <v>4.3899999999999997</v>
      </c>
      <c r="L559" s="349">
        <v>0.71</v>
      </c>
      <c r="M559" s="349">
        <v>0</v>
      </c>
      <c r="N559" s="349">
        <v>1</v>
      </c>
      <c r="O559" s="349">
        <f t="shared" si="4"/>
        <v>3.6799999999999997</v>
      </c>
      <c r="P559" s="373">
        <f t="shared" si="5"/>
        <v>3.6799999999999997</v>
      </c>
    </row>
    <row r="560" spans="1:16">
      <c r="A560" s="348">
        <v>722</v>
      </c>
      <c r="B560" s="349">
        <v>1578</v>
      </c>
      <c r="C560" s="372" t="s">
        <v>8013</v>
      </c>
      <c r="D560" s="372" t="s">
        <v>45</v>
      </c>
      <c r="E560" s="372" t="s">
        <v>2556</v>
      </c>
      <c r="F560" s="350">
        <v>45595</v>
      </c>
      <c r="G560" s="349">
        <v>10</v>
      </c>
      <c r="H560" s="372" t="s">
        <v>2557</v>
      </c>
      <c r="I560" s="349">
        <v>23743</v>
      </c>
      <c r="J560" s="372"/>
      <c r="K560" s="349">
        <v>0</v>
      </c>
      <c r="L560" s="349">
        <v>0</v>
      </c>
      <c r="M560" s="349">
        <v>0</v>
      </c>
      <c r="N560" s="349">
        <v>1</v>
      </c>
      <c r="O560" s="349">
        <f t="shared" si="4"/>
        <v>0</v>
      </c>
      <c r="P560" s="373">
        <f t="shared" si="5"/>
        <v>0</v>
      </c>
    </row>
    <row r="561" spans="1:16">
      <c r="A561" s="348">
        <v>723</v>
      </c>
      <c r="B561" s="349">
        <v>367</v>
      </c>
      <c r="C561" s="372" t="s">
        <v>2598</v>
      </c>
      <c r="D561" s="372" t="s">
        <v>45</v>
      </c>
      <c r="E561" s="372" t="s">
        <v>2556</v>
      </c>
      <c r="F561" s="350">
        <v>45595</v>
      </c>
      <c r="G561" s="349">
        <v>10</v>
      </c>
      <c r="H561" s="372" t="s">
        <v>2557</v>
      </c>
      <c r="I561" s="349">
        <v>23755</v>
      </c>
      <c r="J561" s="372"/>
      <c r="K561" s="349">
        <v>0</v>
      </c>
      <c r="L561" s="349">
        <v>0</v>
      </c>
      <c r="M561" s="349">
        <v>0</v>
      </c>
      <c r="N561" s="349">
        <v>1</v>
      </c>
      <c r="O561" s="349">
        <f t="shared" si="4"/>
        <v>0</v>
      </c>
      <c r="P561" s="373">
        <f t="shared" si="5"/>
        <v>0</v>
      </c>
    </row>
    <row r="562" spans="1:16">
      <c r="A562" s="348">
        <v>715</v>
      </c>
      <c r="B562" s="349">
        <v>1567</v>
      </c>
      <c r="C562" s="372" t="s">
        <v>8012</v>
      </c>
      <c r="D562" s="372" t="s">
        <v>45</v>
      </c>
      <c r="E562" s="372" t="s">
        <v>9</v>
      </c>
      <c r="F562" s="350">
        <v>45595.384722222225</v>
      </c>
      <c r="G562" s="349">
        <v>10</v>
      </c>
      <c r="H562" s="372" t="s">
        <v>2557</v>
      </c>
      <c r="I562" s="349">
        <v>23623</v>
      </c>
      <c r="J562" s="372" t="s">
        <v>7147</v>
      </c>
      <c r="K562" s="349">
        <v>13.7</v>
      </c>
      <c r="L562" s="349">
        <v>1.17</v>
      </c>
      <c r="M562" s="349">
        <v>0</v>
      </c>
      <c r="N562" s="349">
        <v>1</v>
      </c>
      <c r="O562" s="349">
        <f t="shared" si="4"/>
        <v>12.53</v>
      </c>
      <c r="P562" s="373">
        <f t="shared" si="5"/>
        <v>12.53</v>
      </c>
    </row>
    <row r="563" spans="1:16">
      <c r="A563" s="348">
        <v>716</v>
      </c>
      <c r="B563" s="349">
        <v>1570</v>
      </c>
      <c r="C563" s="372" t="s">
        <v>6308</v>
      </c>
      <c r="D563" s="372" t="s">
        <v>45</v>
      </c>
      <c r="E563" s="372" t="s">
        <v>2556</v>
      </c>
      <c r="F563" s="350">
        <v>45595.501388888886</v>
      </c>
      <c r="G563" s="349">
        <v>10</v>
      </c>
      <c r="H563" s="372" t="s">
        <v>2557</v>
      </c>
      <c r="I563" s="349">
        <v>23635</v>
      </c>
      <c r="J563" s="372" t="s">
        <v>8014</v>
      </c>
      <c r="K563" s="349">
        <v>18.09</v>
      </c>
      <c r="L563" s="349">
        <v>0</v>
      </c>
      <c r="M563" s="349">
        <v>0</v>
      </c>
      <c r="N563" s="349">
        <v>1</v>
      </c>
      <c r="O563" s="349">
        <f t="shared" si="4"/>
        <v>18.09</v>
      </c>
      <c r="P563" s="373">
        <f t="shared" si="5"/>
        <v>18.09</v>
      </c>
    </row>
    <row r="564" spans="1:16">
      <c r="A564" s="348">
        <v>717</v>
      </c>
      <c r="B564" s="349">
        <v>1571</v>
      </c>
      <c r="C564" s="372" t="s">
        <v>6152</v>
      </c>
      <c r="D564" s="372" t="s">
        <v>45</v>
      </c>
      <c r="E564" s="372" t="s">
        <v>2556</v>
      </c>
      <c r="F564" s="350">
        <v>45595.542361111111</v>
      </c>
      <c r="G564" s="349">
        <v>10</v>
      </c>
      <c r="H564" s="372" t="s">
        <v>2557</v>
      </c>
      <c r="I564" s="349">
        <v>23647</v>
      </c>
      <c r="J564" s="372" t="s">
        <v>8015</v>
      </c>
      <c r="K564" s="349">
        <v>7.99</v>
      </c>
      <c r="L564" s="349">
        <v>0</v>
      </c>
      <c r="M564" s="349">
        <v>0</v>
      </c>
      <c r="N564" s="349">
        <v>1</v>
      </c>
      <c r="O564" s="349">
        <f t="shared" si="4"/>
        <v>7.99</v>
      </c>
      <c r="P564" s="373">
        <f t="shared" si="5"/>
        <v>7.99</v>
      </c>
    </row>
    <row r="565" spans="1:16">
      <c r="A565" s="348">
        <v>718</v>
      </c>
      <c r="B565" s="349">
        <v>1571</v>
      </c>
      <c r="C565" s="372" t="s">
        <v>6152</v>
      </c>
      <c r="D565" s="372" t="s">
        <v>45</v>
      </c>
      <c r="E565" s="372" t="s">
        <v>2556</v>
      </c>
      <c r="F565" s="350">
        <v>45595.545138888891</v>
      </c>
      <c r="G565" s="349">
        <v>10</v>
      </c>
      <c r="H565" s="372" t="s">
        <v>2557</v>
      </c>
      <c r="I565" s="349">
        <v>23659</v>
      </c>
      <c r="J565" s="372" t="s">
        <v>8016</v>
      </c>
      <c r="K565" s="349">
        <v>4.3899999999999997</v>
      </c>
      <c r="L565" s="349">
        <v>0</v>
      </c>
      <c r="M565" s="349">
        <v>0</v>
      </c>
      <c r="N565" s="349">
        <v>1</v>
      </c>
      <c r="O565" s="349">
        <f t="shared" si="4"/>
        <v>4.3899999999999997</v>
      </c>
      <c r="P565" s="373">
        <f t="shared" si="5"/>
        <v>4.3899999999999997</v>
      </c>
    </row>
    <row r="566" spans="1:16">
      <c r="A566" s="348">
        <v>719</v>
      </c>
      <c r="B566" s="349">
        <v>1560</v>
      </c>
      <c r="C566" s="372" t="s">
        <v>2630</v>
      </c>
      <c r="D566" s="372" t="s">
        <v>45</v>
      </c>
      <c r="E566" s="372" t="s">
        <v>2556</v>
      </c>
      <c r="F566" s="350">
        <v>45595.604166666664</v>
      </c>
      <c r="G566" s="349">
        <v>10</v>
      </c>
      <c r="H566" s="372" t="s">
        <v>2557</v>
      </c>
      <c r="I566" s="349">
        <v>23671</v>
      </c>
      <c r="J566" s="372" t="s">
        <v>8017</v>
      </c>
      <c r="K566" s="349">
        <v>3.99</v>
      </c>
      <c r="L566" s="349">
        <v>0</v>
      </c>
      <c r="M566" s="349">
        <v>0</v>
      </c>
      <c r="N566" s="349">
        <v>1</v>
      </c>
      <c r="O566" s="349">
        <f t="shared" si="4"/>
        <v>3.99</v>
      </c>
      <c r="P566" s="373">
        <f t="shared" si="5"/>
        <v>3.99</v>
      </c>
    </row>
    <row r="567" spans="1:16">
      <c r="A567" s="348">
        <v>720</v>
      </c>
      <c r="B567" s="349">
        <v>1572</v>
      </c>
      <c r="C567" s="372" t="s">
        <v>8018</v>
      </c>
      <c r="D567" s="372" t="s">
        <v>2582</v>
      </c>
      <c r="E567" s="372" t="s">
        <v>2556</v>
      </c>
      <c r="F567" s="350">
        <v>45595.614583333336</v>
      </c>
      <c r="G567" s="349">
        <v>10</v>
      </c>
      <c r="H567" s="372" t="s">
        <v>2557</v>
      </c>
      <c r="I567" s="349">
        <v>23683</v>
      </c>
      <c r="J567" s="372" t="s">
        <v>8019</v>
      </c>
      <c r="K567" s="349">
        <v>85.93</v>
      </c>
      <c r="L567" s="349">
        <v>0</v>
      </c>
      <c r="M567" s="349">
        <v>0</v>
      </c>
      <c r="N567" s="349">
        <v>7.1370899999999997</v>
      </c>
      <c r="O567" s="349">
        <f t="shared" si="4"/>
        <v>85.93</v>
      </c>
      <c r="P567" s="373">
        <f t="shared" si="5"/>
        <v>12.039921032241432</v>
      </c>
    </row>
    <row r="568" spans="1:16">
      <c r="A568" s="348">
        <v>721</v>
      </c>
      <c r="B568" s="349">
        <v>1574</v>
      </c>
      <c r="C568" s="372" t="s">
        <v>2575</v>
      </c>
      <c r="D568" s="372" t="s">
        <v>45</v>
      </c>
      <c r="E568" s="372" t="s">
        <v>2556</v>
      </c>
      <c r="F568" s="350">
        <v>45595.824999999997</v>
      </c>
      <c r="G568" s="349">
        <v>10</v>
      </c>
      <c r="H568" s="372" t="s">
        <v>2557</v>
      </c>
      <c r="I568" s="349">
        <v>23695</v>
      </c>
      <c r="J568" s="372" t="s">
        <v>8020</v>
      </c>
      <c r="K568" s="349">
        <v>4.3899999999999997</v>
      </c>
      <c r="L568" s="349">
        <v>0</v>
      </c>
      <c r="M568" s="349">
        <v>0</v>
      </c>
      <c r="N568" s="349">
        <v>1</v>
      </c>
      <c r="O568" s="349">
        <f t="shared" si="4"/>
        <v>4.3899999999999997</v>
      </c>
      <c r="P568" s="373">
        <f t="shared" si="5"/>
        <v>4.3899999999999997</v>
      </c>
    </row>
    <row r="569" spans="1:16">
      <c r="A569" s="348">
        <v>724</v>
      </c>
      <c r="B569" s="349">
        <v>1580</v>
      </c>
      <c r="C569" s="372" t="s">
        <v>8021</v>
      </c>
      <c r="D569" s="372" t="s">
        <v>45</v>
      </c>
      <c r="E569" s="372" t="s">
        <v>9</v>
      </c>
      <c r="F569" s="350">
        <v>45595.989583333336</v>
      </c>
      <c r="G569" s="349">
        <v>10</v>
      </c>
      <c r="H569" s="372" t="s">
        <v>2557</v>
      </c>
      <c r="I569" s="349">
        <v>23767</v>
      </c>
      <c r="J569" s="372" t="s">
        <v>7149</v>
      </c>
      <c r="K569" s="349">
        <v>3.29</v>
      </c>
      <c r="L569" s="349">
        <v>0.65</v>
      </c>
      <c r="M569" s="349">
        <v>0</v>
      </c>
      <c r="N569" s="349">
        <v>1</v>
      </c>
      <c r="O569" s="349">
        <f t="shared" si="4"/>
        <v>2.64</v>
      </c>
      <c r="P569" s="373">
        <f t="shared" si="5"/>
        <v>2.64</v>
      </c>
    </row>
    <row r="570" spans="1:16">
      <c r="A570" s="348">
        <v>728</v>
      </c>
      <c r="B570" s="349">
        <v>1575</v>
      </c>
      <c r="C570" s="372" t="s">
        <v>3345</v>
      </c>
      <c r="D570" s="372" t="s">
        <v>45</v>
      </c>
      <c r="E570" s="372" t="s">
        <v>9</v>
      </c>
      <c r="F570" s="350">
        <v>45596</v>
      </c>
      <c r="G570" s="349">
        <v>10</v>
      </c>
      <c r="H570" s="372" t="s">
        <v>2557</v>
      </c>
      <c r="I570" s="349">
        <v>23863</v>
      </c>
      <c r="J570" s="372"/>
      <c r="K570" s="349">
        <v>0</v>
      </c>
      <c r="L570" s="349">
        <v>0</v>
      </c>
      <c r="M570" s="349">
        <v>0</v>
      </c>
      <c r="N570" s="349">
        <v>1</v>
      </c>
      <c r="O570" s="349">
        <f t="shared" si="4"/>
        <v>0</v>
      </c>
      <c r="P570" s="373">
        <f t="shared" si="5"/>
        <v>0</v>
      </c>
    </row>
    <row r="571" spans="1:16">
      <c r="A571" s="348">
        <v>733</v>
      </c>
      <c r="B571" s="349">
        <v>1178</v>
      </c>
      <c r="C571" s="372" t="s">
        <v>8022</v>
      </c>
      <c r="D571" s="372" t="s">
        <v>45</v>
      </c>
      <c r="E571" s="372" t="s">
        <v>2556</v>
      </c>
      <c r="F571" s="350">
        <v>45596</v>
      </c>
      <c r="G571" s="349">
        <v>10</v>
      </c>
      <c r="H571" s="372" t="s">
        <v>2557</v>
      </c>
      <c r="I571" s="349">
        <v>23971</v>
      </c>
      <c r="J571" s="372"/>
      <c r="K571" s="349">
        <v>0</v>
      </c>
      <c r="L571" s="349">
        <v>0</v>
      </c>
      <c r="M571" s="349">
        <v>0</v>
      </c>
      <c r="N571" s="349">
        <v>1</v>
      </c>
      <c r="O571" s="349">
        <f t="shared" si="4"/>
        <v>0</v>
      </c>
      <c r="P571" s="373">
        <f t="shared" si="5"/>
        <v>0</v>
      </c>
    </row>
    <row r="572" spans="1:16">
      <c r="A572" s="348">
        <v>725</v>
      </c>
      <c r="B572" s="349">
        <v>1581</v>
      </c>
      <c r="C572" s="372" t="s">
        <v>2575</v>
      </c>
      <c r="D572" s="372" t="s">
        <v>45</v>
      </c>
      <c r="E572" s="372" t="s">
        <v>2556</v>
      </c>
      <c r="F572" s="350">
        <v>45596.38958333333</v>
      </c>
      <c r="G572" s="349">
        <v>10</v>
      </c>
      <c r="H572" s="372" t="s">
        <v>2557</v>
      </c>
      <c r="I572" s="349">
        <v>23815</v>
      </c>
      <c r="J572" s="372" t="s">
        <v>8023</v>
      </c>
      <c r="K572" s="349">
        <v>1.99</v>
      </c>
      <c r="L572" s="349">
        <v>0</v>
      </c>
      <c r="M572" s="349">
        <v>0</v>
      </c>
      <c r="N572" s="349">
        <v>1</v>
      </c>
      <c r="O572" s="349">
        <f t="shared" si="4"/>
        <v>1.99</v>
      </c>
      <c r="P572" s="373">
        <f t="shared" si="5"/>
        <v>1.99</v>
      </c>
    </row>
    <row r="573" spans="1:16">
      <c r="A573" s="348">
        <v>726</v>
      </c>
      <c r="B573" s="349">
        <v>1583</v>
      </c>
      <c r="C573" s="372" t="s">
        <v>8024</v>
      </c>
      <c r="D573" s="372" t="s">
        <v>2582</v>
      </c>
      <c r="E573" s="372" t="s">
        <v>2556</v>
      </c>
      <c r="F573" s="350">
        <v>45596.443055555559</v>
      </c>
      <c r="G573" s="349">
        <v>10</v>
      </c>
      <c r="H573" s="372" t="s">
        <v>2557</v>
      </c>
      <c r="I573" s="349">
        <v>23827</v>
      </c>
      <c r="J573" s="372" t="s">
        <v>8025</v>
      </c>
      <c r="K573" s="349">
        <v>344.41</v>
      </c>
      <c r="L573" s="349">
        <v>0</v>
      </c>
      <c r="M573" s="349">
        <v>0</v>
      </c>
      <c r="N573" s="349">
        <v>7.1247299999999996</v>
      </c>
      <c r="O573" s="349">
        <f t="shared" si="4"/>
        <v>344.41</v>
      </c>
      <c r="P573" s="373">
        <f t="shared" si="5"/>
        <v>48.340077448548932</v>
      </c>
    </row>
    <row r="574" spans="1:16">
      <c r="A574" s="348">
        <v>727</v>
      </c>
      <c r="B574" s="349">
        <v>1060</v>
      </c>
      <c r="C574" s="372" t="s">
        <v>7932</v>
      </c>
      <c r="D574" s="372" t="s">
        <v>2582</v>
      </c>
      <c r="E574" s="372" t="s">
        <v>2556</v>
      </c>
      <c r="F574" s="350">
        <v>45596.459722222222</v>
      </c>
      <c r="G574" s="349">
        <v>10</v>
      </c>
      <c r="H574" s="372" t="s">
        <v>2557</v>
      </c>
      <c r="I574" s="349">
        <v>23839</v>
      </c>
      <c r="J574" s="372" t="s">
        <v>8026</v>
      </c>
      <c r="K574" s="349">
        <v>14.18</v>
      </c>
      <c r="L574" s="349">
        <v>0</v>
      </c>
      <c r="M574" s="349">
        <v>0</v>
      </c>
      <c r="N574" s="349">
        <v>7.1247299999999996</v>
      </c>
      <c r="O574" s="349">
        <f t="shared" si="4"/>
        <v>14.18</v>
      </c>
      <c r="P574" s="373">
        <f t="shared" si="5"/>
        <v>1.9902508586290288</v>
      </c>
    </row>
    <row r="575" spans="1:16">
      <c r="A575" s="348">
        <v>729</v>
      </c>
      <c r="B575" s="349">
        <v>1585</v>
      </c>
      <c r="C575" s="372" t="s">
        <v>2598</v>
      </c>
      <c r="D575" s="372" t="s">
        <v>45</v>
      </c>
      <c r="E575" s="372" t="s">
        <v>2556</v>
      </c>
      <c r="F575" s="350">
        <v>45596.572916666664</v>
      </c>
      <c r="G575" s="349">
        <v>10</v>
      </c>
      <c r="H575" s="372" t="s">
        <v>2557</v>
      </c>
      <c r="I575" s="349">
        <v>23935</v>
      </c>
      <c r="J575" s="372" t="s">
        <v>8027</v>
      </c>
      <c r="K575" s="349">
        <v>1.99</v>
      </c>
      <c r="L575" s="349">
        <v>0</v>
      </c>
      <c r="M575" s="349">
        <v>0</v>
      </c>
      <c r="N575" s="349">
        <v>1</v>
      </c>
      <c r="O575" s="349">
        <f t="shared" si="4"/>
        <v>1.99</v>
      </c>
      <c r="P575" s="373">
        <f t="shared" si="5"/>
        <v>1.99</v>
      </c>
    </row>
    <row r="576" spans="1:16">
      <c r="A576" s="348">
        <v>730</v>
      </c>
      <c r="B576" s="349">
        <v>333</v>
      </c>
      <c r="C576" s="372" t="s">
        <v>7713</v>
      </c>
      <c r="D576" s="372" t="s">
        <v>2582</v>
      </c>
      <c r="E576" s="372" t="s">
        <v>2556</v>
      </c>
      <c r="F576" s="350">
        <v>45596.65347222222</v>
      </c>
      <c r="G576" s="349">
        <v>10</v>
      </c>
      <c r="H576" s="372" t="s">
        <v>2557</v>
      </c>
      <c r="I576" s="349">
        <v>22519</v>
      </c>
      <c r="J576" s="372" t="s">
        <v>8028</v>
      </c>
      <c r="K576" s="349">
        <v>7.69</v>
      </c>
      <c r="L576" s="349">
        <v>0</v>
      </c>
      <c r="M576" s="349">
        <v>0</v>
      </c>
      <c r="N576" s="349">
        <v>7.1247299999999996</v>
      </c>
      <c r="O576" s="349">
        <f t="shared" si="4"/>
        <v>7.69</v>
      </c>
      <c r="P576" s="373">
        <f t="shared" si="5"/>
        <v>1.07933914688697</v>
      </c>
    </row>
    <row r="577" spans="1:16">
      <c r="A577" s="348">
        <v>731</v>
      </c>
      <c r="B577" s="349">
        <v>333</v>
      </c>
      <c r="C577" s="372" t="s">
        <v>7713</v>
      </c>
      <c r="D577" s="372" t="s">
        <v>2582</v>
      </c>
      <c r="E577" s="372" t="s">
        <v>2556</v>
      </c>
      <c r="F577" s="350">
        <v>45596.661111111112</v>
      </c>
      <c r="G577" s="349">
        <v>10</v>
      </c>
      <c r="H577" s="372" t="s">
        <v>2557</v>
      </c>
      <c r="I577" s="349">
        <v>22519</v>
      </c>
      <c r="J577" s="372"/>
      <c r="K577" s="349">
        <v>0.04</v>
      </c>
      <c r="L577" s="349">
        <v>0</v>
      </c>
      <c r="M577" s="349">
        <v>0</v>
      </c>
      <c r="N577" s="349">
        <v>7.1247299999999996</v>
      </c>
      <c r="O577" s="349">
        <f t="shared" si="4"/>
        <v>0.04</v>
      </c>
      <c r="P577" s="373">
        <f t="shared" si="5"/>
        <v>5.6142478381636923E-3</v>
      </c>
    </row>
    <row r="578" spans="1:16">
      <c r="A578" s="348">
        <v>732</v>
      </c>
      <c r="B578" s="349">
        <v>1560</v>
      </c>
      <c r="C578" s="372" t="s">
        <v>2630</v>
      </c>
      <c r="D578" s="372" t="s">
        <v>45</v>
      </c>
      <c r="E578" s="372" t="s">
        <v>2556</v>
      </c>
      <c r="F578" s="350">
        <v>45596.678472222222</v>
      </c>
      <c r="G578" s="349">
        <v>10</v>
      </c>
      <c r="H578" s="372" t="s">
        <v>2557</v>
      </c>
      <c r="I578" s="349">
        <v>23947</v>
      </c>
      <c r="J578" s="372" t="s">
        <v>8029</v>
      </c>
      <c r="K578" s="349">
        <v>3.99</v>
      </c>
      <c r="L578" s="349">
        <v>0</v>
      </c>
      <c r="M578" s="349">
        <v>0</v>
      </c>
      <c r="N578" s="349">
        <v>1</v>
      </c>
      <c r="O578" s="349">
        <f t="shared" si="4"/>
        <v>3.99</v>
      </c>
      <c r="P578" s="373">
        <f t="shared" si="5"/>
        <v>3.99</v>
      </c>
    </row>
    <row r="579" spans="1:16">
      <c r="A579" s="348">
        <v>734</v>
      </c>
      <c r="B579" s="349">
        <v>1589</v>
      </c>
      <c r="C579" s="372" t="s">
        <v>8030</v>
      </c>
      <c r="D579" s="372" t="s">
        <v>45</v>
      </c>
      <c r="E579" s="372" t="s">
        <v>2572</v>
      </c>
      <c r="F579" s="350">
        <v>45596.816666666666</v>
      </c>
      <c r="G579" s="349">
        <v>10</v>
      </c>
      <c r="H579" s="372" t="s">
        <v>2557</v>
      </c>
      <c r="I579" s="349">
        <v>23983</v>
      </c>
      <c r="J579" s="372" t="s">
        <v>8031</v>
      </c>
      <c r="K579" s="349">
        <v>3.29</v>
      </c>
      <c r="L579" s="349">
        <v>0</v>
      </c>
      <c r="M579" s="349">
        <v>0</v>
      </c>
      <c r="N579" s="349">
        <v>1</v>
      </c>
      <c r="O579" s="349">
        <f t="shared" si="4"/>
        <v>3.29</v>
      </c>
      <c r="P579" s="373">
        <f t="shared" si="5"/>
        <v>3.29</v>
      </c>
    </row>
    <row r="580" spans="1:16">
      <c r="A580" s="348">
        <v>735</v>
      </c>
      <c r="B580" s="349">
        <v>1606</v>
      </c>
      <c r="C580" s="372" t="s">
        <v>8032</v>
      </c>
      <c r="D580" s="372" t="s">
        <v>45</v>
      </c>
      <c r="E580" s="372" t="s">
        <v>2556</v>
      </c>
      <c r="F580" s="350">
        <v>45596.875</v>
      </c>
      <c r="G580" s="349">
        <v>10</v>
      </c>
      <c r="H580" s="372" t="s">
        <v>2557</v>
      </c>
      <c r="I580" s="349">
        <v>24163</v>
      </c>
      <c r="J580" s="372" t="s">
        <v>8033</v>
      </c>
      <c r="K580" s="349">
        <v>2.99</v>
      </c>
      <c r="L580" s="349">
        <v>0</v>
      </c>
      <c r="M580" s="349">
        <v>0</v>
      </c>
      <c r="N580" s="349">
        <v>1</v>
      </c>
      <c r="O580" s="349">
        <f t="shared" si="4"/>
        <v>2.99</v>
      </c>
      <c r="P580" s="373">
        <f t="shared" si="5"/>
        <v>2.99</v>
      </c>
    </row>
    <row r="581" spans="1:16">
      <c r="A581" s="348">
        <v>736</v>
      </c>
      <c r="B581" s="349">
        <v>372</v>
      </c>
      <c r="C581" s="372" t="s">
        <v>8034</v>
      </c>
      <c r="D581" s="372" t="s">
        <v>45</v>
      </c>
      <c r="E581" s="372" t="s">
        <v>9</v>
      </c>
      <c r="F581" s="350">
        <v>45596.907638888886</v>
      </c>
      <c r="G581" s="349">
        <v>10</v>
      </c>
      <c r="H581" s="372" t="s">
        <v>2557</v>
      </c>
      <c r="I581" s="349">
        <v>24187</v>
      </c>
      <c r="J581" s="372" t="s">
        <v>7151</v>
      </c>
      <c r="K581" s="349">
        <v>12.04</v>
      </c>
      <c r="L581" s="349">
        <v>1.0900000000000001</v>
      </c>
      <c r="M581" s="349">
        <v>0</v>
      </c>
      <c r="N581" s="349">
        <v>1</v>
      </c>
      <c r="O581" s="349">
        <f t="shared" si="4"/>
        <v>10.95</v>
      </c>
      <c r="P581" s="373">
        <f t="shared" si="5"/>
        <v>10.95</v>
      </c>
    </row>
    <row r="582" spans="1:16">
      <c r="A582" s="348">
        <v>737</v>
      </c>
      <c r="B582" s="349">
        <v>1617</v>
      </c>
      <c r="C582" s="372" t="s">
        <v>8035</v>
      </c>
      <c r="D582" s="372" t="s">
        <v>45</v>
      </c>
      <c r="E582" s="372" t="s">
        <v>2556</v>
      </c>
      <c r="F582" s="350">
        <v>45596.927083333336</v>
      </c>
      <c r="G582" s="349">
        <v>10</v>
      </c>
      <c r="H582" s="372" t="s">
        <v>2557</v>
      </c>
      <c r="I582" s="349">
        <v>24295</v>
      </c>
      <c r="J582" s="372"/>
      <c r="K582" s="349">
        <v>5.99</v>
      </c>
      <c r="L582" s="349">
        <v>0</v>
      </c>
      <c r="M582" s="349">
        <v>0</v>
      </c>
      <c r="N582" s="349">
        <v>1</v>
      </c>
      <c r="O582" s="349">
        <f t="shared" si="4"/>
        <v>5.99</v>
      </c>
      <c r="P582" s="373">
        <f t="shared" si="5"/>
        <v>5.99</v>
      </c>
    </row>
    <row r="583" spans="1:16">
      <c r="A583" s="348">
        <v>738</v>
      </c>
      <c r="B583" s="349">
        <v>1172</v>
      </c>
      <c r="C583" s="372" t="s">
        <v>8036</v>
      </c>
      <c r="D583" s="372" t="s">
        <v>45</v>
      </c>
      <c r="E583" s="372" t="s">
        <v>2556</v>
      </c>
      <c r="F583" s="350">
        <v>45596.927777777775</v>
      </c>
      <c r="G583" s="349">
        <v>10</v>
      </c>
      <c r="H583" s="372" t="s">
        <v>2557</v>
      </c>
      <c r="I583" s="349">
        <v>24307</v>
      </c>
      <c r="J583" s="372"/>
      <c r="K583" s="349">
        <v>5.99</v>
      </c>
      <c r="L583" s="349">
        <v>0</v>
      </c>
      <c r="M583" s="349">
        <v>0</v>
      </c>
      <c r="N583" s="349">
        <v>1</v>
      </c>
      <c r="O583" s="349">
        <f t="shared" si="4"/>
        <v>5.99</v>
      </c>
      <c r="P583" s="373">
        <f t="shared" si="5"/>
        <v>5.99</v>
      </c>
    </row>
    <row r="584" spans="1:16">
      <c r="A584" s="348">
        <v>739</v>
      </c>
      <c r="B584" s="349">
        <v>1620</v>
      </c>
      <c r="C584" s="372" t="s">
        <v>8037</v>
      </c>
      <c r="D584" s="372" t="s">
        <v>45</v>
      </c>
      <c r="E584" s="372" t="s">
        <v>2556</v>
      </c>
      <c r="F584" s="350">
        <v>45596.927777777775</v>
      </c>
      <c r="G584" s="349">
        <v>10</v>
      </c>
      <c r="H584" s="372" t="s">
        <v>2557</v>
      </c>
      <c r="I584" s="349">
        <v>24319</v>
      </c>
      <c r="J584" s="372"/>
      <c r="K584" s="349">
        <v>5.99</v>
      </c>
      <c r="L584" s="349">
        <v>0</v>
      </c>
      <c r="M584" s="349">
        <v>0</v>
      </c>
      <c r="N584" s="349">
        <v>1</v>
      </c>
      <c r="O584" s="349">
        <f t="shared" si="4"/>
        <v>5.99</v>
      </c>
      <c r="P584" s="373">
        <f t="shared" si="5"/>
        <v>5.99</v>
      </c>
    </row>
    <row r="585" spans="1:16">
      <c r="A585" s="348">
        <v>740</v>
      </c>
      <c r="B585" s="349">
        <v>1621</v>
      </c>
      <c r="C585" s="372" t="s">
        <v>2598</v>
      </c>
      <c r="D585" s="372" t="s">
        <v>45</v>
      </c>
      <c r="E585" s="372" t="s">
        <v>2556</v>
      </c>
      <c r="F585" s="350">
        <v>45596.927777777775</v>
      </c>
      <c r="G585" s="349">
        <v>10</v>
      </c>
      <c r="H585" s="372" t="s">
        <v>2557</v>
      </c>
      <c r="I585" s="349">
        <v>24331</v>
      </c>
      <c r="J585" s="372"/>
      <c r="K585" s="349">
        <v>5.99</v>
      </c>
      <c r="L585" s="349">
        <v>0</v>
      </c>
      <c r="M585" s="349">
        <v>0</v>
      </c>
      <c r="N585" s="349">
        <v>1</v>
      </c>
      <c r="O585" s="349">
        <f t="shared" si="4"/>
        <v>5.99</v>
      </c>
      <c r="P585" s="373">
        <f t="shared" si="5"/>
        <v>5.99</v>
      </c>
    </row>
    <row r="586" spans="1:16">
      <c r="A586" s="348">
        <v>741</v>
      </c>
      <c r="B586" s="349">
        <v>1622</v>
      </c>
      <c r="C586" s="372" t="s">
        <v>8038</v>
      </c>
      <c r="D586" s="372" t="s">
        <v>2582</v>
      </c>
      <c r="E586" s="372" t="s">
        <v>2556</v>
      </c>
      <c r="F586" s="350">
        <v>45596.950694444444</v>
      </c>
      <c r="G586" s="349">
        <v>10</v>
      </c>
      <c r="H586" s="372" t="s">
        <v>2557</v>
      </c>
      <c r="I586" s="349">
        <v>24343</v>
      </c>
      <c r="J586" s="372" t="s">
        <v>8039</v>
      </c>
      <c r="K586" s="349">
        <v>35.549999999999997</v>
      </c>
      <c r="L586" s="349">
        <v>0</v>
      </c>
      <c r="M586" s="349">
        <v>0</v>
      </c>
      <c r="N586" s="349">
        <v>7.1247299999999996</v>
      </c>
      <c r="O586" s="349">
        <f t="shared" si="4"/>
        <v>35.549999999999997</v>
      </c>
      <c r="P586" s="373">
        <f t="shared" si="5"/>
        <v>4.9896627661679807</v>
      </c>
    </row>
    <row r="587" spans="1:16">
      <c r="A587" s="348">
        <v>742</v>
      </c>
      <c r="B587" s="349">
        <v>1018</v>
      </c>
      <c r="C587" s="372" t="s">
        <v>7894</v>
      </c>
      <c r="D587" s="372" t="s">
        <v>45</v>
      </c>
      <c r="E587" s="372" t="s">
        <v>9</v>
      </c>
      <c r="F587" s="350">
        <v>45596.959722222222</v>
      </c>
      <c r="G587" s="349">
        <v>10</v>
      </c>
      <c r="H587" s="372" t="s">
        <v>2557</v>
      </c>
      <c r="I587" s="349">
        <v>20995</v>
      </c>
      <c r="J587" s="372" t="s">
        <v>7152</v>
      </c>
      <c r="K587" s="349">
        <v>2.99</v>
      </c>
      <c r="L587" s="349">
        <v>0.64</v>
      </c>
      <c r="M587" s="349">
        <v>0</v>
      </c>
      <c r="N587" s="349">
        <v>1</v>
      </c>
      <c r="O587" s="349">
        <f t="shared" si="4"/>
        <v>2.35</v>
      </c>
      <c r="P587" s="373">
        <f t="shared" si="5"/>
        <v>2.35</v>
      </c>
    </row>
    <row r="588" spans="1:16">
      <c r="A588" s="348">
        <v>752</v>
      </c>
      <c r="B588" s="349">
        <v>1623</v>
      </c>
      <c r="C588" s="372" t="s">
        <v>8040</v>
      </c>
      <c r="D588" s="372" t="s">
        <v>2582</v>
      </c>
      <c r="E588" s="372" t="s">
        <v>2556</v>
      </c>
      <c r="F588" s="350">
        <v>45597</v>
      </c>
      <c r="G588" s="372">
        <v>11</v>
      </c>
      <c r="H588" s="372" t="s">
        <v>2557</v>
      </c>
      <c r="I588" s="349">
        <v>24739</v>
      </c>
      <c r="J588" s="372"/>
      <c r="K588" s="349">
        <v>0</v>
      </c>
      <c r="L588" s="349">
        <v>0</v>
      </c>
      <c r="M588" s="349">
        <v>0</v>
      </c>
      <c r="N588" s="349">
        <v>7.1159699999999999</v>
      </c>
      <c r="O588" s="349">
        <f t="shared" si="4"/>
        <v>0</v>
      </c>
      <c r="P588" s="373">
        <f t="shared" si="5"/>
        <v>0</v>
      </c>
    </row>
    <row r="589" spans="1:16">
      <c r="A589" s="348">
        <v>753</v>
      </c>
      <c r="B589" s="349">
        <v>410</v>
      </c>
      <c r="C589" s="372" t="s">
        <v>8041</v>
      </c>
      <c r="D589" s="372" t="s">
        <v>2582</v>
      </c>
      <c r="E589" s="372" t="s">
        <v>2556</v>
      </c>
      <c r="F589" s="350">
        <v>45597</v>
      </c>
      <c r="G589" s="372">
        <v>11</v>
      </c>
      <c r="H589" s="372" t="s">
        <v>2557</v>
      </c>
      <c r="I589" s="349">
        <v>24715</v>
      </c>
      <c r="J589" s="372"/>
      <c r="K589" s="349">
        <v>0</v>
      </c>
      <c r="L589" s="349">
        <v>0</v>
      </c>
      <c r="M589" s="349">
        <v>0</v>
      </c>
      <c r="N589" s="349">
        <v>7.1159699999999999</v>
      </c>
      <c r="O589" s="349">
        <f t="shared" si="4"/>
        <v>0</v>
      </c>
      <c r="P589" s="373">
        <f t="shared" si="5"/>
        <v>0</v>
      </c>
    </row>
    <row r="590" spans="1:16">
      <c r="A590" s="348">
        <v>754</v>
      </c>
      <c r="B590" s="349">
        <v>834</v>
      </c>
      <c r="C590" s="372" t="s">
        <v>8042</v>
      </c>
      <c r="D590" s="372" t="s">
        <v>45</v>
      </c>
      <c r="E590" s="372" t="s">
        <v>2556</v>
      </c>
      <c r="F590" s="350">
        <v>45597</v>
      </c>
      <c r="G590" s="372">
        <v>11</v>
      </c>
      <c r="H590" s="372" t="s">
        <v>2557</v>
      </c>
      <c r="I590" s="349">
        <v>24883</v>
      </c>
      <c r="J590" s="372"/>
      <c r="K590" s="349">
        <v>0</v>
      </c>
      <c r="L590" s="349">
        <v>0</v>
      </c>
      <c r="M590" s="349">
        <v>0</v>
      </c>
      <c r="N590" s="349">
        <v>1</v>
      </c>
      <c r="O590" s="349">
        <f t="shared" si="4"/>
        <v>0</v>
      </c>
      <c r="P590" s="373">
        <f t="shared" si="5"/>
        <v>0</v>
      </c>
    </row>
    <row r="591" spans="1:16">
      <c r="A591" s="348">
        <v>755</v>
      </c>
      <c r="B591" s="349">
        <v>731</v>
      </c>
      <c r="C591" s="372" t="s">
        <v>2598</v>
      </c>
      <c r="D591" s="372" t="s">
        <v>2582</v>
      </c>
      <c r="E591" s="372" t="s">
        <v>2556</v>
      </c>
      <c r="F591" s="350">
        <v>45597</v>
      </c>
      <c r="G591" s="372">
        <v>11</v>
      </c>
      <c r="H591" s="372" t="s">
        <v>2557</v>
      </c>
      <c r="I591" s="349">
        <v>24751</v>
      </c>
      <c r="J591" s="372"/>
      <c r="K591" s="349">
        <v>0</v>
      </c>
      <c r="L591" s="349">
        <v>0</v>
      </c>
      <c r="M591" s="349">
        <v>0</v>
      </c>
      <c r="N591" s="349">
        <v>7.1159699999999999</v>
      </c>
      <c r="O591" s="349">
        <f t="shared" si="4"/>
        <v>0</v>
      </c>
      <c r="P591" s="373">
        <f t="shared" si="5"/>
        <v>0</v>
      </c>
    </row>
    <row r="592" spans="1:16">
      <c r="A592" s="348">
        <v>743</v>
      </c>
      <c r="B592" s="349">
        <v>1624</v>
      </c>
      <c r="C592" s="372" t="s">
        <v>8043</v>
      </c>
      <c r="D592" s="372" t="s">
        <v>45</v>
      </c>
      <c r="E592" s="372" t="s">
        <v>2556</v>
      </c>
      <c r="F592" s="350">
        <v>45597</v>
      </c>
      <c r="G592" s="372">
        <v>11</v>
      </c>
      <c r="H592" s="372" t="s">
        <v>2557</v>
      </c>
      <c r="I592" s="349">
        <v>24355</v>
      </c>
      <c r="J592" s="372" t="s">
        <v>8044</v>
      </c>
      <c r="K592" s="349">
        <v>3.29</v>
      </c>
      <c r="L592" s="349">
        <v>0</v>
      </c>
      <c r="M592" s="349">
        <v>0</v>
      </c>
      <c r="N592" s="349">
        <v>1</v>
      </c>
      <c r="O592" s="349">
        <f t="shared" si="4"/>
        <v>3.29</v>
      </c>
      <c r="P592" s="373">
        <f t="shared" si="5"/>
        <v>3.29</v>
      </c>
    </row>
    <row r="593" spans="1:16">
      <c r="A593" s="348">
        <v>744</v>
      </c>
      <c r="B593" s="349">
        <v>1625</v>
      </c>
      <c r="C593" s="372" t="s">
        <v>8045</v>
      </c>
      <c r="D593" s="372" t="s">
        <v>2582</v>
      </c>
      <c r="E593" s="372" t="s">
        <v>2556</v>
      </c>
      <c r="F593" s="350">
        <v>45597.00277777778</v>
      </c>
      <c r="G593" s="372">
        <v>11</v>
      </c>
      <c r="H593" s="372" t="s">
        <v>2557</v>
      </c>
      <c r="I593" s="349">
        <v>24367</v>
      </c>
      <c r="J593" s="372" t="s">
        <v>8046</v>
      </c>
      <c r="K593" s="349">
        <v>56.93</v>
      </c>
      <c r="L593" s="349">
        <v>0</v>
      </c>
      <c r="M593" s="349">
        <v>0</v>
      </c>
      <c r="N593" s="349">
        <v>7.1247299999999996</v>
      </c>
      <c r="O593" s="349">
        <f t="shared" si="4"/>
        <v>56.93</v>
      </c>
      <c r="P593" s="373">
        <f t="shared" si="5"/>
        <v>7.9904782356664752</v>
      </c>
    </row>
    <row r="594" spans="1:16">
      <c r="A594" s="348">
        <v>745</v>
      </c>
      <c r="B594" s="349">
        <v>1626</v>
      </c>
      <c r="C594" s="372" t="s">
        <v>3051</v>
      </c>
      <c r="D594" s="372" t="s">
        <v>45</v>
      </c>
      <c r="E594" s="372" t="s">
        <v>9</v>
      </c>
      <c r="F594" s="350">
        <v>45597.004861111112</v>
      </c>
      <c r="G594" s="372">
        <v>11</v>
      </c>
      <c r="H594" s="372" t="s">
        <v>2557</v>
      </c>
      <c r="I594" s="349">
        <v>24379</v>
      </c>
      <c r="J594" s="372" t="s">
        <v>7153</v>
      </c>
      <c r="K594" s="349">
        <v>4.3899999999999997</v>
      </c>
      <c r="L594" s="349">
        <v>0.71</v>
      </c>
      <c r="M594" s="349">
        <v>0</v>
      </c>
      <c r="N594" s="349">
        <v>1</v>
      </c>
      <c r="O594" s="349">
        <f t="shared" si="4"/>
        <v>3.6799999999999997</v>
      </c>
      <c r="P594" s="373">
        <f t="shared" si="5"/>
        <v>3.6799999999999997</v>
      </c>
    </row>
    <row r="595" spans="1:16">
      <c r="A595" s="348">
        <v>746</v>
      </c>
      <c r="B595" s="349">
        <v>1627</v>
      </c>
      <c r="C595" s="372" t="s">
        <v>3983</v>
      </c>
      <c r="D595" s="372" t="s">
        <v>45</v>
      </c>
      <c r="E595" s="372" t="s">
        <v>2556</v>
      </c>
      <c r="F595" s="350">
        <v>45597.351388888892</v>
      </c>
      <c r="G595" s="372">
        <v>11</v>
      </c>
      <c r="H595" s="372" t="s">
        <v>2557</v>
      </c>
      <c r="I595" s="349">
        <v>24403</v>
      </c>
      <c r="J595" s="372" t="s">
        <v>8047</v>
      </c>
      <c r="K595" s="349">
        <v>12.04</v>
      </c>
      <c r="L595" s="349">
        <v>0</v>
      </c>
      <c r="M595" s="349">
        <v>0</v>
      </c>
      <c r="N595" s="349">
        <v>1</v>
      </c>
      <c r="O595" s="349">
        <f t="shared" si="4"/>
        <v>12.04</v>
      </c>
      <c r="P595" s="373">
        <f t="shared" si="5"/>
        <v>12.04</v>
      </c>
    </row>
    <row r="596" spans="1:16">
      <c r="A596" s="348">
        <v>747</v>
      </c>
      <c r="B596" s="349">
        <v>1627</v>
      </c>
      <c r="C596" s="372" t="s">
        <v>3983</v>
      </c>
      <c r="D596" s="372" t="s">
        <v>45</v>
      </c>
      <c r="E596" s="372" t="s">
        <v>2556</v>
      </c>
      <c r="F596" s="350">
        <v>45597.356944444444</v>
      </c>
      <c r="G596" s="372">
        <v>11</v>
      </c>
      <c r="H596" s="372" t="s">
        <v>2557</v>
      </c>
      <c r="I596" s="349">
        <v>24427</v>
      </c>
      <c r="J596" s="372" t="s">
        <v>8048</v>
      </c>
      <c r="K596" s="349">
        <v>4.3899999999999997</v>
      </c>
      <c r="L596" s="349">
        <v>0</v>
      </c>
      <c r="M596" s="349">
        <v>0</v>
      </c>
      <c r="N596" s="349">
        <v>1</v>
      </c>
      <c r="O596" s="349">
        <f t="shared" si="4"/>
        <v>4.3899999999999997</v>
      </c>
      <c r="P596" s="373">
        <f t="shared" si="5"/>
        <v>4.3899999999999997</v>
      </c>
    </row>
    <row r="597" spans="1:16">
      <c r="A597" s="348">
        <v>748</v>
      </c>
      <c r="B597" s="349">
        <v>1631</v>
      </c>
      <c r="C597" s="372" t="s">
        <v>8049</v>
      </c>
      <c r="D597" s="372" t="s">
        <v>45</v>
      </c>
      <c r="E597" s="372" t="s">
        <v>2572</v>
      </c>
      <c r="F597" s="350">
        <v>45597.486805555556</v>
      </c>
      <c r="G597" s="372">
        <v>11</v>
      </c>
      <c r="H597" s="372" t="s">
        <v>2557</v>
      </c>
      <c r="I597" s="349">
        <v>24475</v>
      </c>
      <c r="J597" s="372" t="s">
        <v>8050</v>
      </c>
      <c r="K597" s="349">
        <v>2.99</v>
      </c>
      <c r="L597" s="349">
        <v>0</v>
      </c>
      <c r="M597" s="349">
        <v>0</v>
      </c>
      <c r="N597" s="349">
        <v>1</v>
      </c>
      <c r="O597" s="349">
        <f t="shared" si="4"/>
        <v>2.99</v>
      </c>
      <c r="P597" s="373">
        <f t="shared" si="5"/>
        <v>2.99</v>
      </c>
    </row>
    <row r="598" spans="1:16">
      <c r="A598" s="348">
        <v>749</v>
      </c>
      <c r="B598" s="349">
        <v>1635</v>
      </c>
      <c r="C598" s="372" t="s">
        <v>8051</v>
      </c>
      <c r="D598" s="372" t="s">
        <v>45</v>
      </c>
      <c r="E598" s="372" t="s">
        <v>2556</v>
      </c>
      <c r="F598" s="350">
        <v>45597.644444444442</v>
      </c>
      <c r="G598" s="372">
        <v>11</v>
      </c>
      <c r="H598" s="372" t="s">
        <v>2557</v>
      </c>
      <c r="I598" s="349">
        <v>24499</v>
      </c>
      <c r="J598" s="372" t="s">
        <v>8052</v>
      </c>
      <c r="K598" s="349">
        <v>2.99</v>
      </c>
      <c r="L598" s="349">
        <v>0</v>
      </c>
      <c r="M598" s="349">
        <v>0</v>
      </c>
      <c r="N598" s="349">
        <v>1</v>
      </c>
      <c r="O598" s="349">
        <f t="shared" si="4"/>
        <v>2.99</v>
      </c>
      <c r="P598" s="373">
        <f t="shared" si="5"/>
        <v>2.99</v>
      </c>
    </row>
    <row r="599" spans="1:16">
      <c r="A599" s="348">
        <v>750</v>
      </c>
      <c r="B599" s="349">
        <v>1603</v>
      </c>
      <c r="C599" s="372" t="s">
        <v>8053</v>
      </c>
      <c r="D599" s="372" t="s">
        <v>2582</v>
      </c>
      <c r="E599" s="372" t="s">
        <v>2556</v>
      </c>
      <c r="F599" s="350">
        <v>45597.734722222223</v>
      </c>
      <c r="G599" s="372">
        <v>11</v>
      </c>
      <c r="H599" s="372" t="s">
        <v>2557</v>
      </c>
      <c r="I599" s="349">
        <v>24523</v>
      </c>
      <c r="J599" s="372" t="s">
        <v>8054</v>
      </c>
      <c r="K599" s="349">
        <v>85.68</v>
      </c>
      <c r="L599" s="349">
        <v>0</v>
      </c>
      <c r="M599" s="349">
        <v>0</v>
      </c>
      <c r="N599" s="349">
        <v>7.1159699999999999</v>
      </c>
      <c r="O599" s="349">
        <f t="shared" si="4"/>
        <v>85.68</v>
      </c>
      <c r="P599" s="373">
        <f t="shared" si="5"/>
        <v>12.040522936437339</v>
      </c>
    </row>
    <row r="600" spans="1:16">
      <c r="A600" s="348">
        <v>751</v>
      </c>
      <c r="B600" s="349">
        <v>1640</v>
      </c>
      <c r="C600" s="372" t="s">
        <v>8055</v>
      </c>
      <c r="D600" s="372" t="s">
        <v>45</v>
      </c>
      <c r="E600" s="372" t="s">
        <v>2556</v>
      </c>
      <c r="F600" s="350">
        <v>45597.770833333336</v>
      </c>
      <c r="G600" s="372">
        <v>11</v>
      </c>
      <c r="H600" s="372" t="s">
        <v>2557</v>
      </c>
      <c r="I600" s="349">
        <v>24535</v>
      </c>
      <c r="J600" s="372" t="s">
        <v>8056</v>
      </c>
      <c r="K600" s="349">
        <v>3.29</v>
      </c>
      <c r="L600" s="349">
        <v>0</v>
      </c>
      <c r="M600" s="349">
        <v>0</v>
      </c>
      <c r="N600" s="349">
        <v>1</v>
      </c>
      <c r="O600" s="349">
        <f t="shared" si="4"/>
        <v>3.29</v>
      </c>
      <c r="P600" s="373">
        <f t="shared" si="5"/>
        <v>3.29</v>
      </c>
    </row>
    <row r="601" spans="1:16">
      <c r="A601" s="348">
        <v>756</v>
      </c>
      <c r="B601" s="349">
        <v>1560</v>
      </c>
      <c r="C601" s="372" t="s">
        <v>2630</v>
      </c>
      <c r="D601" s="372" t="s">
        <v>45</v>
      </c>
      <c r="E601" s="372" t="s">
        <v>2556</v>
      </c>
      <c r="F601" s="350">
        <v>45597.951388888891</v>
      </c>
      <c r="G601" s="372">
        <v>11</v>
      </c>
      <c r="H601" s="372" t="s">
        <v>2557</v>
      </c>
      <c r="I601" s="349">
        <v>24919</v>
      </c>
      <c r="J601" s="372" t="s">
        <v>8057</v>
      </c>
      <c r="K601" s="349">
        <v>5.98</v>
      </c>
      <c r="L601" s="349">
        <v>0</v>
      </c>
      <c r="M601" s="349">
        <v>0</v>
      </c>
      <c r="N601" s="349">
        <v>1</v>
      </c>
      <c r="O601" s="349">
        <f t="shared" si="4"/>
        <v>5.98</v>
      </c>
      <c r="P601" s="373">
        <f t="shared" si="5"/>
        <v>5.98</v>
      </c>
    </row>
    <row r="602" spans="1:16">
      <c r="A602" s="348">
        <v>768</v>
      </c>
      <c r="B602" s="349">
        <v>1071</v>
      </c>
      <c r="C602" s="372" t="s">
        <v>7787</v>
      </c>
      <c r="D602" s="372" t="s">
        <v>45</v>
      </c>
      <c r="E602" s="372" t="s">
        <v>9</v>
      </c>
      <c r="F602" s="350">
        <v>45598</v>
      </c>
      <c r="G602" s="372">
        <v>11</v>
      </c>
      <c r="H602" s="372" t="s">
        <v>2557</v>
      </c>
      <c r="I602" s="349">
        <v>25363</v>
      </c>
      <c r="J602" s="372"/>
      <c r="K602" s="349">
        <v>0</v>
      </c>
      <c r="L602" s="349">
        <v>0</v>
      </c>
      <c r="M602" s="349">
        <v>0</v>
      </c>
      <c r="N602" s="349">
        <v>1</v>
      </c>
      <c r="O602" s="349">
        <f t="shared" si="4"/>
        <v>0</v>
      </c>
      <c r="P602" s="373">
        <f t="shared" si="5"/>
        <v>0</v>
      </c>
    </row>
    <row r="603" spans="1:16">
      <c r="A603" s="348">
        <v>767</v>
      </c>
      <c r="B603" s="349">
        <v>327</v>
      </c>
      <c r="C603" s="372" t="s">
        <v>2598</v>
      </c>
      <c r="D603" s="372" t="s">
        <v>2582</v>
      </c>
      <c r="E603" s="372" t="s">
        <v>2556</v>
      </c>
      <c r="F603" s="350">
        <v>45598</v>
      </c>
      <c r="G603" s="372">
        <v>11</v>
      </c>
      <c r="H603" s="372" t="s">
        <v>2557</v>
      </c>
      <c r="I603" s="349">
        <v>24439</v>
      </c>
      <c r="J603" s="372"/>
      <c r="K603" s="349">
        <v>0</v>
      </c>
      <c r="L603" s="349">
        <v>0</v>
      </c>
      <c r="M603" s="349">
        <v>0</v>
      </c>
      <c r="N603" s="349">
        <v>7.1109799999999996</v>
      </c>
      <c r="O603" s="349">
        <f t="shared" si="4"/>
        <v>0</v>
      </c>
      <c r="P603" s="373">
        <f t="shared" si="5"/>
        <v>0</v>
      </c>
    </row>
    <row r="604" spans="1:16">
      <c r="A604" s="348">
        <v>757</v>
      </c>
      <c r="B604" s="349">
        <v>1682</v>
      </c>
      <c r="C604" s="372" t="s">
        <v>8058</v>
      </c>
      <c r="D604" s="372" t="s">
        <v>45</v>
      </c>
      <c r="E604" s="372" t="s">
        <v>2556</v>
      </c>
      <c r="F604" s="350">
        <v>45598.015277777777</v>
      </c>
      <c r="G604" s="372">
        <v>11</v>
      </c>
      <c r="H604" s="372" t="s">
        <v>2557</v>
      </c>
      <c r="I604" s="349">
        <v>24931</v>
      </c>
      <c r="J604" s="372" t="s">
        <v>8059</v>
      </c>
      <c r="K604" s="349">
        <v>7.99</v>
      </c>
      <c r="L604" s="349">
        <v>0</v>
      </c>
      <c r="M604" s="349">
        <v>0</v>
      </c>
      <c r="N604" s="349">
        <v>1</v>
      </c>
      <c r="O604" s="349">
        <f t="shared" si="4"/>
        <v>7.99</v>
      </c>
      <c r="P604" s="373">
        <f t="shared" si="5"/>
        <v>7.99</v>
      </c>
    </row>
    <row r="605" spans="1:16">
      <c r="A605" s="348">
        <v>758</v>
      </c>
      <c r="B605" s="349">
        <v>1683</v>
      </c>
      <c r="C605" s="372" t="s">
        <v>8060</v>
      </c>
      <c r="D605" s="372" t="s">
        <v>2582</v>
      </c>
      <c r="E605" s="372" t="s">
        <v>2556</v>
      </c>
      <c r="F605" s="350">
        <v>45598.024305555555</v>
      </c>
      <c r="G605" s="372">
        <v>11</v>
      </c>
      <c r="H605" s="372" t="s">
        <v>2557</v>
      </c>
      <c r="I605" s="349">
        <v>24943</v>
      </c>
      <c r="J605" s="372" t="s">
        <v>8061</v>
      </c>
      <c r="K605" s="349">
        <v>128.72999999999999</v>
      </c>
      <c r="L605" s="349">
        <v>0</v>
      </c>
      <c r="M605" s="349">
        <v>0</v>
      </c>
      <c r="N605" s="349">
        <v>7.1159699999999999</v>
      </c>
      <c r="O605" s="349">
        <f t="shared" si="4"/>
        <v>128.72999999999999</v>
      </c>
      <c r="P605" s="373">
        <f t="shared" si="5"/>
        <v>18.090295490284529</v>
      </c>
    </row>
    <row r="606" spans="1:16">
      <c r="A606" s="348">
        <v>759</v>
      </c>
      <c r="B606" s="349">
        <v>1682</v>
      </c>
      <c r="C606" s="372" t="s">
        <v>8058</v>
      </c>
      <c r="D606" s="372" t="s">
        <v>45</v>
      </c>
      <c r="E606" s="372" t="s">
        <v>2556</v>
      </c>
      <c r="F606" s="350">
        <v>45598.025694444441</v>
      </c>
      <c r="G606" s="372">
        <v>11</v>
      </c>
      <c r="H606" s="372" t="s">
        <v>2557</v>
      </c>
      <c r="I606" s="349">
        <v>24955</v>
      </c>
      <c r="J606" s="372" t="s">
        <v>8062</v>
      </c>
      <c r="K606" s="349">
        <v>18.09</v>
      </c>
      <c r="L606" s="349">
        <v>0</v>
      </c>
      <c r="M606" s="349">
        <v>0</v>
      </c>
      <c r="N606" s="349">
        <v>1</v>
      </c>
      <c r="O606" s="349">
        <f t="shared" si="4"/>
        <v>18.09</v>
      </c>
      <c r="P606" s="373">
        <f t="shared" si="5"/>
        <v>18.09</v>
      </c>
    </row>
    <row r="607" spans="1:16">
      <c r="A607" s="348">
        <v>760</v>
      </c>
      <c r="B607" s="349">
        <v>1686</v>
      </c>
      <c r="C607" s="372" t="s">
        <v>8063</v>
      </c>
      <c r="D607" s="372" t="s">
        <v>2582</v>
      </c>
      <c r="E607" s="372" t="s">
        <v>2556</v>
      </c>
      <c r="F607" s="350">
        <v>45598.031944444447</v>
      </c>
      <c r="G607" s="372">
        <v>11</v>
      </c>
      <c r="H607" s="372" t="s">
        <v>2557</v>
      </c>
      <c r="I607" s="349">
        <v>24967</v>
      </c>
      <c r="J607" s="372" t="s">
        <v>8064</v>
      </c>
      <c r="K607" s="349">
        <v>31.24</v>
      </c>
      <c r="L607" s="349">
        <v>0</v>
      </c>
      <c r="M607" s="349">
        <v>0</v>
      </c>
      <c r="N607" s="349">
        <v>7.1159699999999999</v>
      </c>
      <c r="O607" s="349">
        <f t="shared" si="4"/>
        <v>31.24</v>
      </c>
      <c r="P607" s="373">
        <f t="shared" si="5"/>
        <v>4.3901253096907373</v>
      </c>
    </row>
    <row r="608" spans="1:16">
      <c r="A608" s="348">
        <v>761</v>
      </c>
      <c r="B608" s="349">
        <v>1021</v>
      </c>
      <c r="C608" s="372" t="s">
        <v>2598</v>
      </c>
      <c r="D608" s="372" t="s">
        <v>2582</v>
      </c>
      <c r="E608" s="372" t="s">
        <v>2556</v>
      </c>
      <c r="F608" s="350">
        <v>45598.398611111108</v>
      </c>
      <c r="G608" s="372">
        <v>11</v>
      </c>
      <c r="H608" s="372" t="s">
        <v>2557</v>
      </c>
      <c r="I608" s="349">
        <v>25027</v>
      </c>
      <c r="J608" s="372" t="s">
        <v>8065</v>
      </c>
      <c r="K608" s="349">
        <v>252.01</v>
      </c>
      <c r="L608" s="349">
        <v>0</v>
      </c>
      <c r="M608" s="349">
        <v>0</v>
      </c>
      <c r="N608" s="349">
        <v>7.1109799999999996</v>
      </c>
      <c r="O608" s="349">
        <f t="shared" si="4"/>
        <v>252.01</v>
      </c>
      <c r="P608" s="373">
        <f t="shared" si="5"/>
        <v>35.439559666881358</v>
      </c>
    </row>
    <row r="609" spans="1:16">
      <c r="A609" s="348">
        <v>762</v>
      </c>
      <c r="B609" s="349">
        <v>1021</v>
      </c>
      <c r="C609" s="372" t="s">
        <v>2598</v>
      </c>
      <c r="D609" s="372" t="s">
        <v>2582</v>
      </c>
      <c r="E609" s="372" t="s">
        <v>2556</v>
      </c>
      <c r="F609" s="350">
        <v>45598.400000000001</v>
      </c>
      <c r="G609" s="372">
        <v>11</v>
      </c>
      <c r="H609" s="372" t="s">
        <v>2557</v>
      </c>
      <c r="I609" s="349">
        <v>25027</v>
      </c>
      <c r="J609" s="372"/>
      <c r="K609" s="349">
        <v>0.02</v>
      </c>
      <c r="L609" s="349">
        <v>0</v>
      </c>
      <c r="M609" s="349">
        <v>0</v>
      </c>
      <c r="N609" s="349">
        <v>7.1109799999999996</v>
      </c>
      <c r="O609" s="349">
        <f t="shared" si="4"/>
        <v>0.02</v>
      </c>
      <c r="P609" s="373">
        <f t="shared" si="5"/>
        <v>2.8125518564248529E-3</v>
      </c>
    </row>
    <row r="610" spans="1:16">
      <c r="A610" s="348">
        <v>763</v>
      </c>
      <c r="B610" s="349">
        <v>1686</v>
      </c>
      <c r="C610" s="372" t="s">
        <v>8063</v>
      </c>
      <c r="D610" s="372" t="s">
        <v>2582</v>
      </c>
      <c r="E610" s="372" t="s">
        <v>2556</v>
      </c>
      <c r="F610" s="350">
        <v>45598.505555555559</v>
      </c>
      <c r="G610" s="372">
        <v>11</v>
      </c>
      <c r="H610" s="372" t="s">
        <v>2557</v>
      </c>
      <c r="I610" s="349">
        <v>24967</v>
      </c>
      <c r="J610" s="372"/>
      <c r="K610" s="349">
        <v>0.03</v>
      </c>
      <c r="L610" s="349">
        <v>0</v>
      </c>
      <c r="M610" s="349">
        <v>0</v>
      </c>
      <c r="N610" s="349">
        <v>7.1109799999999996</v>
      </c>
      <c r="O610" s="349">
        <f t="shared" si="4"/>
        <v>0.03</v>
      </c>
      <c r="P610" s="373">
        <f t="shared" si="5"/>
        <v>4.2188277846372793E-3</v>
      </c>
    </row>
    <row r="611" spans="1:16">
      <c r="A611" s="348">
        <v>764</v>
      </c>
      <c r="B611" s="349">
        <v>1622</v>
      </c>
      <c r="C611" s="372" t="s">
        <v>8038</v>
      </c>
      <c r="D611" s="372" t="s">
        <v>2582</v>
      </c>
      <c r="E611" s="372" t="s">
        <v>2556</v>
      </c>
      <c r="F611" s="350">
        <v>45598.623611111114</v>
      </c>
      <c r="G611" s="372">
        <v>11</v>
      </c>
      <c r="H611" s="372" t="s">
        <v>8066</v>
      </c>
      <c r="I611" s="349">
        <v>24343</v>
      </c>
      <c r="J611" s="372"/>
      <c r="K611" s="349">
        <v>0</v>
      </c>
      <c r="L611" s="349">
        <v>0</v>
      </c>
      <c r="M611" s="349">
        <v>32.549999999999997</v>
      </c>
      <c r="N611" s="349">
        <v>7.1247299999999996</v>
      </c>
      <c r="O611" s="349">
        <f t="shared" si="4"/>
        <v>-32.549999999999997</v>
      </c>
      <c r="P611" s="373">
        <f t="shared" si="5"/>
        <v>-4.5685941783057045</v>
      </c>
    </row>
    <row r="612" spans="1:16">
      <c r="A612" s="348">
        <v>765</v>
      </c>
      <c r="B612" s="349">
        <v>1052</v>
      </c>
      <c r="C612" s="372" t="s">
        <v>7924</v>
      </c>
      <c r="D612" s="372" t="s">
        <v>45</v>
      </c>
      <c r="E612" s="372" t="s">
        <v>2556</v>
      </c>
      <c r="F612" s="350">
        <v>45598.643750000003</v>
      </c>
      <c r="G612" s="372">
        <v>11</v>
      </c>
      <c r="H612" s="372" t="s">
        <v>2557</v>
      </c>
      <c r="I612" s="349">
        <v>22903</v>
      </c>
      <c r="J612" s="372" t="s">
        <v>8067</v>
      </c>
      <c r="K612" s="349">
        <v>1.0900000000000001</v>
      </c>
      <c r="L612" s="349">
        <v>0</v>
      </c>
      <c r="M612" s="349">
        <v>0</v>
      </c>
      <c r="N612" s="349">
        <v>1</v>
      </c>
      <c r="O612" s="349">
        <f t="shared" si="4"/>
        <v>1.0900000000000001</v>
      </c>
      <c r="P612" s="373">
        <f t="shared" si="5"/>
        <v>1.0900000000000001</v>
      </c>
    </row>
    <row r="613" spans="1:16">
      <c r="A613" s="348">
        <v>766</v>
      </c>
      <c r="B613" s="349">
        <v>1060</v>
      </c>
      <c r="C613" s="372" t="s">
        <v>7932</v>
      </c>
      <c r="D613" s="372" t="s">
        <v>2582</v>
      </c>
      <c r="E613" s="372" t="s">
        <v>2556</v>
      </c>
      <c r="F613" s="350">
        <v>45598.723611111112</v>
      </c>
      <c r="G613" s="372">
        <v>11</v>
      </c>
      <c r="H613" s="372" t="s">
        <v>2557</v>
      </c>
      <c r="I613" s="349">
        <v>25063</v>
      </c>
      <c r="J613" s="372" t="s">
        <v>8068</v>
      </c>
      <c r="K613" s="349">
        <v>14.15</v>
      </c>
      <c r="L613" s="349">
        <v>0</v>
      </c>
      <c r="M613" s="349">
        <v>0</v>
      </c>
      <c r="N613" s="349">
        <v>7.1109799999999996</v>
      </c>
      <c r="O613" s="349">
        <f t="shared" si="4"/>
        <v>14.15</v>
      </c>
      <c r="P613" s="373">
        <f t="shared" si="5"/>
        <v>1.9898804384205835</v>
      </c>
    </row>
    <row r="614" spans="1:16">
      <c r="A614" s="348">
        <v>786</v>
      </c>
      <c r="B614" s="349">
        <v>1793</v>
      </c>
      <c r="C614" s="372" t="s">
        <v>8069</v>
      </c>
      <c r="D614" s="372" t="s">
        <v>45</v>
      </c>
      <c r="E614" s="372" t="s">
        <v>2556</v>
      </c>
      <c r="F614" s="350">
        <v>45599</v>
      </c>
      <c r="G614" s="372">
        <v>11</v>
      </c>
      <c r="H614" s="372" t="s">
        <v>2557</v>
      </c>
      <c r="I614" s="349">
        <v>25723</v>
      </c>
      <c r="J614" s="372"/>
      <c r="K614" s="349">
        <v>0</v>
      </c>
      <c r="L614" s="349">
        <v>0</v>
      </c>
      <c r="M614" s="349">
        <v>0</v>
      </c>
      <c r="N614" s="349">
        <v>1</v>
      </c>
      <c r="O614" s="349">
        <f t="shared" si="4"/>
        <v>0</v>
      </c>
      <c r="P614" s="373">
        <f t="shared" si="5"/>
        <v>0</v>
      </c>
    </row>
    <row r="615" spans="1:16">
      <c r="A615" s="348">
        <v>769</v>
      </c>
      <c r="B615" s="349">
        <v>1756</v>
      </c>
      <c r="C615" s="372" t="s">
        <v>8070</v>
      </c>
      <c r="D615" s="372" t="s">
        <v>2582</v>
      </c>
      <c r="E615" s="372" t="s">
        <v>2556</v>
      </c>
      <c r="F615" s="350">
        <v>45599.00277777778</v>
      </c>
      <c r="G615" s="372">
        <v>11</v>
      </c>
      <c r="H615" s="372" t="s">
        <v>2557</v>
      </c>
      <c r="I615" s="349">
        <v>25387</v>
      </c>
      <c r="J615" s="372" t="s">
        <v>8071</v>
      </c>
      <c r="K615" s="349">
        <v>14.15</v>
      </c>
      <c r="L615" s="349">
        <v>0</v>
      </c>
      <c r="M615" s="349">
        <v>0</v>
      </c>
      <c r="N615" s="349">
        <v>7.1109799999999996</v>
      </c>
      <c r="O615" s="349">
        <f t="shared" si="4"/>
        <v>14.15</v>
      </c>
      <c r="P615" s="373">
        <f t="shared" si="5"/>
        <v>1.9898804384205835</v>
      </c>
    </row>
    <row r="616" spans="1:16">
      <c r="A616" s="348">
        <v>770</v>
      </c>
      <c r="B616" s="349">
        <v>1757</v>
      </c>
      <c r="C616" s="372" t="s">
        <v>8072</v>
      </c>
      <c r="D616" s="372" t="s">
        <v>45</v>
      </c>
      <c r="E616" s="372" t="s">
        <v>2556</v>
      </c>
      <c r="F616" s="350">
        <v>45599.04583333333</v>
      </c>
      <c r="G616" s="372">
        <v>11</v>
      </c>
      <c r="H616" s="372" t="s">
        <v>2557</v>
      </c>
      <c r="I616" s="349">
        <v>25399</v>
      </c>
      <c r="J616" s="372" t="s">
        <v>8073</v>
      </c>
      <c r="K616" s="349">
        <v>12.04</v>
      </c>
      <c r="L616" s="349">
        <v>0</v>
      </c>
      <c r="M616" s="349">
        <v>0</v>
      </c>
      <c r="N616" s="349">
        <v>1</v>
      </c>
      <c r="O616" s="349">
        <f t="shared" si="4"/>
        <v>12.04</v>
      </c>
      <c r="P616" s="373">
        <f t="shared" si="5"/>
        <v>12.04</v>
      </c>
    </row>
    <row r="617" spans="1:16">
      <c r="A617" s="348">
        <v>771</v>
      </c>
      <c r="B617" s="349">
        <v>318</v>
      </c>
      <c r="C617" s="372" t="s">
        <v>2580</v>
      </c>
      <c r="D617" s="372" t="s">
        <v>45</v>
      </c>
      <c r="E617" s="372" t="s">
        <v>2556</v>
      </c>
      <c r="F617" s="350">
        <v>45599.527777777781</v>
      </c>
      <c r="G617" s="372">
        <v>11</v>
      </c>
      <c r="H617" s="372" t="s">
        <v>2557</v>
      </c>
      <c r="I617" s="349">
        <v>21115</v>
      </c>
      <c r="J617" s="372" t="s">
        <v>8074</v>
      </c>
      <c r="K617" s="349">
        <v>1.0900000000000001</v>
      </c>
      <c r="L617" s="349">
        <v>0</v>
      </c>
      <c r="M617" s="349">
        <v>0</v>
      </c>
      <c r="N617" s="349">
        <v>1</v>
      </c>
      <c r="O617" s="349">
        <f t="shared" si="4"/>
        <v>1.0900000000000001</v>
      </c>
      <c r="P617" s="373">
        <f t="shared" si="5"/>
        <v>1.0900000000000001</v>
      </c>
    </row>
    <row r="618" spans="1:16">
      <c r="A618" s="348">
        <v>772</v>
      </c>
      <c r="B618" s="349">
        <v>1770</v>
      </c>
      <c r="C618" s="372" t="s">
        <v>8075</v>
      </c>
      <c r="D618" s="372" t="s">
        <v>45</v>
      </c>
      <c r="E618" s="372" t="s">
        <v>2556</v>
      </c>
      <c r="F618" s="350">
        <v>45599.540972222225</v>
      </c>
      <c r="G618" s="372">
        <v>11</v>
      </c>
      <c r="H618" s="372" t="s">
        <v>2557</v>
      </c>
      <c r="I618" s="349">
        <v>25459</v>
      </c>
      <c r="J618" s="372" t="s">
        <v>8076</v>
      </c>
      <c r="K618" s="349">
        <v>28.75</v>
      </c>
      <c r="L618" s="349">
        <v>0</v>
      </c>
      <c r="M618" s="349">
        <v>0</v>
      </c>
      <c r="N618" s="349">
        <v>1</v>
      </c>
      <c r="O618" s="349">
        <f t="shared" si="4"/>
        <v>28.75</v>
      </c>
      <c r="P618" s="373">
        <f t="shared" si="5"/>
        <v>28.75</v>
      </c>
    </row>
    <row r="619" spans="1:16">
      <c r="A619" s="348">
        <v>773</v>
      </c>
      <c r="B619" s="349">
        <v>1770</v>
      </c>
      <c r="C619" s="372" t="s">
        <v>8075</v>
      </c>
      <c r="D619" s="372" t="s">
        <v>45</v>
      </c>
      <c r="E619" s="372" t="s">
        <v>2556</v>
      </c>
      <c r="F619" s="350">
        <v>45599.553472222222</v>
      </c>
      <c r="G619" s="372">
        <v>11</v>
      </c>
      <c r="H619" s="372" t="s">
        <v>2557</v>
      </c>
      <c r="I619" s="349">
        <v>25471</v>
      </c>
      <c r="J619" s="372" t="s">
        <v>8077</v>
      </c>
      <c r="K619" s="349">
        <v>18.09</v>
      </c>
      <c r="L619" s="349">
        <v>0</v>
      </c>
      <c r="M619" s="349">
        <v>0</v>
      </c>
      <c r="N619" s="349">
        <v>1</v>
      </c>
      <c r="O619" s="349">
        <f t="shared" si="4"/>
        <v>18.09</v>
      </c>
      <c r="P619" s="373">
        <f t="shared" si="5"/>
        <v>18.09</v>
      </c>
    </row>
    <row r="620" spans="1:16">
      <c r="A620" s="348">
        <v>774</v>
      </c>
      <c r="B620" s="349">
        <v>1772</v>
      </c>
      <c r="C620" s="372" t="s">
        <v>8078</v>
      </c>
      <c r="D620" s="372" t="s">
        <v>45</v>
      </c>
      <c r="E620" s="372" t="s">
        <v>2556</v>
      </c>
      <c r="F620" s="350">
        <v>45599.591666666667</v>
      </c>
      <c r="G620" s="372">
        <v>11</v>
      </c>
      <c r="H620" s="372" t="s">
        <v>2557</v>
      </c>
      <c r="I620" s="349">
        <v>25495</v>
      </c>
      <c r="J620" s="372" t="s">
        <v>8079</v>
      </c>
      <c r="K620" s="349">
        <v>65.89</v>
      </c>
      <c r="L620" s="349">
        <v>0</v>
      </c>
      <c r="M620" s="349">
        <v>0</v>
      </c>
      <c r="N620" s="349">
        <v>1</v>
      </c>
      <c r="O620" s="349">
        <f t="shared" si="4"/>
        <v>65.89</v>
      </c>
      <c r="P620" s="373">
        <f t="shared" si="5"/>
        <v>65.89</v>
      </c>
    </row>
    <row r="621" spans="1:16">
      <c r="A621" s="348">
        <v>775</v>
      </c>
      <c r="B621" s="349">
        <v>370</v>
      </c>
      <c r="C621" s="372" t="s">
        <v>3009</v>
      </c>
      <c r="D621" s="372" t="s">
        <v>45</v>
      </c>
      <c r="E621" s="372" t="s">
        <v>2556</v>
      </c>
      <c r="F621" s="350">
        <v>45599.597916666666</v>
      </c>
      <c r="G621" s="372">
        <v>11</v>
      </c>
      <c r="H621" s="372" t="s">
        <v>2557</v>
      </c>
      <c r="I621" s="349">
        <v>25507</v>
      </c>
      <c r="J621" s="372" t="s">
        <v>8080</v>
      </c>
      <c r="K621" s="349">
        <v>1.99</v>
      </c>
      <c r="L621" s="349">
        <v>0</v>
      </c>
      <c r="M621" s="349">
        <v>0</v>
      </c>
      <c r="N621" s="349">
        <v>1</v>
      </c>
      <c r="O621" s="349">
        <f t="shared" si="4"/>
        <v>1.99</v>
      </c>
      <c r="P621" s="373">
        <f t="shared" si="5"/>
        <v>1.99</v>
      </c>
    </row>
    <row r="622" spans="1:16">
      <c r="A622" s="348">
        <v>776</v>
      </c>
      <c r="B622" s="349">
        <v>370</v>
      </c>
      <c r="C622" s="372" t="s">
        <v>3009</v>
      </c>
      <c r="D622" s="372" t="s">
        <v>45</v>
      </c>
      <c r="E622" s="372" t="s">
        <v>2556</v>
      </c>
      <c r="F622" s="350">
        <v>45599.598611111112</v>
      </c>
      <c r="G622" s="372">
        <v>11</v>
      </c>
      <c r="H622" s="372" t="s">
        <v>2557</v>
      </c>
      <c r="I622" s="349">
        <v>23179</v>
      </c>
      <c r="J622" s="372" t="s">
        <v>8081</v>
      </c>
      <c r="K622" s="349">
        <v>1.0900000000000001</v>
      </c>
      <c r="L622" s="349">
        <v>0</v>
      </c>
      <c r="M622" s="349">
        <v>0</v>
      </c>
      <c r="N622" s="349">
        <v>1</v>
      </c>
      <c r="O622" s="349">
        <f t="shared" si="4"/>
        <v>1.0900000000000001</v>
      </c>
      <c r="P622" s="373">
        <f t="shared" si="5"/>
        <v>1.0900000000000001</v>
      </c>
    </row>
    <row r="623" spans="1:16">
      <c r="A623" s="348">
        <v>777</v>
      </c>
      <c r="B623" s="349">
        <v>1771</v>
      </c>
      <c r="C623" s="372" t="s">
        <v>8082</v>
      </c>
      <c r="D623" s="372" t="s">
        <v>45</v>
      </c>
      <c r="E623" s="372" t="s">
        <v>2556</v>
      </c>
      <c r="F623" s="350">
        <v>45599.652777777781</v>
      </c>
      <c r="G623" s="372">
        <v>11</v>
      </c>
      <c r="H623" s="372" t="s">
        <v>2557</v>
      </c>
      <c r="I623" s="349">
        <v>25483</v>
      </c>
      <c r="J623" s="372" t="s">
        <v>8083</v>
      </c>
      <c r="K623" s="349">
        <v>12.04</v>
      </c>
      <c r="L623" s="349">
        <v>0</v>
      </c>
      <c r="M623" s="349">
        <v>0</v>
      </c>
      <c r="N623" s="349">
        <v>1</v>
      </c>
      <c r="O623" s="349">
        <f t="shared" si="4"/>
        <v>12.04</v>
      </c>
      <c r="P623" s="373">
        <f t="shared" si="5"/>
        <v>12.04</v>
      </c>
    </row>
    <row r="624" spans="1:16">
      <c r="A624" s="348">
        <v>778</v>
      </c>
      <c r="B624" s="349">
        <v>1759</v>
      </c>
      <c r="C624" s="372" t="s">
        <v>2783</v>
      </c>
      <c r="D624" s="372" t="s">
        <v>45</v>
      </c>
      <c r="E624" s="372" t="s">
        <v>2556</v>
      </c>
      <c r="F624" s="350">
        <v>45599.681944444441</v>
      </c>
      <c r="G624" s="372">
        <v>11</v>
      </c>
      <c r="H624" s="372" t="s">
        <v>2557</v>
      </c>
      <c r="I624" s="349">
        <v>25423</v>
      </c>
      <c r="J624" s="372" t="s">
        <v>8084</v>
      </c>
      <c r="K624" s="349">
        <v>18.09</v>
      </c>
      <c r="L624" s="349">
        <v>0</v>
      </c>
      <c r="M624" s="349">
        <v>0</v>
      </c>
      <c r="N624" s="349">
        <v>1</v>
      </c>
      <c r="O624" s="349">
        <f t="shared" si="4"/>
        <v>18.09</v>
      </c>
      <c r="P624" s="373">
        <f t="shared" si="5"/>
        <v>18.09</v>
      </c>
    </row>
    <row r="625" spans="1:16">
      <c r="A625" s="348">
        <v>779</v>
      </c>
      <c r="B625" s="349">
        <v>1026</v>
      </c>
      <c r="C625" s="372"/>
      <c r="D625" s="372" t="s">
        <v>45</v>
      </c>
      <c r="E625" s="372" t="s">
        <v>9</v>
      </c>
      <c r="F625" s="350">
        <v>45599.75277777778</v>
      </c>
      <c r="G625" s="372">
        <v>11</v>
      </c>
      <c r="H625" s="372" t="s">
        <v>2557</v>
      </c>
      <c r="I625" s="349">
        <v>19711</v>
      </c>
      <c r="J625" s="372" t="s">
        <v>7154</v>
      </c>
      <c r="K625" s="349">
        <v>258.92</v>
      </c>
      <c r="L625" s="349">
        <v>16.57</v>
      </c>
      <c r="M625" s="349">
        <v>0</v>
      </c>
      <c r="N625" s="349">
        <v>7.1109799999999996</v>
      </c>
      <c r="O625" s="349">
        <f t="shared" si="4"/>
        <v>242.35000000000002</v>
      </c>
      <c r="P625" s="373">
        <f t="shared" si="5"/>
        <v>242.35000000000002</v>
      </c>
    </row>
    <row r="626" spans="1:16">
      <c r="A626" s="348">
        <v>780</v>
      </c>
      <c r="B626" s="349">
        <v>1026</v>
      </c>
      <c r="C626" s="372"/>
      <c r="D626" s="372" t="s">
        <v>45</v>
      </c>
      <c r="E626" s="372" t="s">
        <v>9</v>
      </c>
      <c r="F626" s="350">
        <v>45599.817361111112</v>
      </c>
      <c r="G626" s="372">
        <v>11</v>
      </c>
      <c r="H626" s="372" t="s">
        <v>8085</v>
      </c>
      <c r="I626" s="349">
        <v>19711</v>
      </c>
      <c r="J626" s="372"/>
      <c r="K626" s="349">
        <v>0</v>
      </c>
      <c r="L626" s="349">
        <v>-16.57</v>
      </c>
      <c r="M626" s="349">
        <v>258.92</v>
      </c>
      <c r="N626" s="349">
        <v>7.1109799999999996</v>
      </c>
      <c r="O626" s="349">
        <f t="shared" si="4"/>
        <v>-242.35000000000002</v>
      </c>
      <c r="P626" s="373">
        <f t="shared" si="5"/>
        <v>-242.35000000000002</v>
      </c>
    </row>
    <row r="627" spans="1:16">
      <c r="A627" s="348">
        <v>782</v>
      </c>
      <c r="B627" s="349">
        <v>1777</v>
      </c>
      <c r="C627" s="372" t="s">
        <v>8086</v>
      </c>
      <c r="D627" s="372" t="s">
        <v>45</v>
      </c>
      <c r="E627" s="372" t="s">
        <v>2556</v>
      </c>
      <c r="F627" s="350">
        <v>45599.828472222223</v>
      </c>
      <c r="G627" s="372">
        <v>11</v>
      </c>
      <c r="H627" s="372" t="s">
        <v>2557</v>
      </c>
      <c r="I627" s="349">
        <v>25567</v>
      </c>
      <c r="J627" s="372" t="s">
        <v>8087</v>
      </c>
      <c r="K627" s="349">
        <v>36.24</v>
      </c>
      <c r="L627" s="349">
        <v>0</v>
      </c>
      <c r="M627" s="349">
        <v>0</v>
      </c>
      <c r="N627" s="349">
        <v>1</v>
      </c>
      <c r="O627" s="349">
        <f t="shared" si="4"/>
        <v>36.24</v>
      </c>
      <c r="P627" s="373">
        <f t="shared" si="5"/>
        <v>36.24</v>
      </c>
    </row>
    <row r="628" spans="1:16">
      <c r="A628" s="348">
        <v>783</v>
      </c>
      <c r="B628" s="349">
        <v>1781</v>
      </c>
      <c r="C628" s="372" t="s">
        <v>423</v>
      </c>
      <c r="D628" s="372" t="s">
        <v>45</v>
      </c>
      <c r="E628" s="372" t="s">
        <v>2556</v>
      </c>
      <c r="F628" s="350">
        <v>45599.85833333333</v>
      </c>
      <c r="G628" s="372">
        <v>11</v>
      </c>
      <c r="H628" s="372" t="s">
        <v>2557</v>
      </c>
      <c r="I628" s="349">
        <v>25663</v>
      </c>
      <c r="J628" s="372" t="s">
        <v>8088</v>
      </c>
      <c r="K628" s="349">
        <v>18.09</v>
      </c>
      <c r="L628" s="349">
        <v>0</v>
      </c>
      <c r="M628" s="349">
        <v>0</v>
      </c>
      <c r="N628" s="349">
        <v>1</v>
      </c>
      <c r="O628" s="349">
        <f t="shared" si="4"/>
        <v>18.09</v>
      </c>
      <c r="P628" s="373">
        <f t="shared" si="5"/>
        <v>18.09</v>
      </c>
    </row>
    <row r="629" spans="1:16">
      <c r="A629" s="348">
        <v>784</v>
      </c>
      <c r="B629" s="349">
        <v>1783</v>
      </c>
      <c r="C629" s="372" t="s">
        <v>4357</v>
      </c>
      <c r="D629" s="372" t="s">
        <v>2582</v>
      </c>
      <c r="E629" s="372" t="s">
        <v>2556</v>
      </c>
      <c r="F629" s="350">
        <v>45599.871527777781</v>
      </c>
      <c r="G629" s="372">
        <v>11</v>
      </c>
      <c r="H629" s="372" t="s">
        <v>2557</v>
      </c>
      <c r="I629" s="349">
        <v>25675</v>
      </c>
      <c r="J629" s="372" t="s">
        <v>8089</v>
      </c>
      <c r="K629" s="349">
        <v>128.63999999999999</v>
      </c>
      <c r="L629" s="349">
        <v>0</v>
      </c>
      <c r="M629" s="349">
        <v>0</v>
      </c>
      <c r="N629" s="349">
        <v>7.1109799999999996</v>
      </c>
      <c r="O629" s="349">
        <f t="shared" si="4"/>
        <v>128.63999999999999</v>
      </c>
      <c r="P629" s="373">
        <f t="shared" si="5"/>
        <v>18.090333540524654</v>
      </c>
    </row>
    <row r="630" spans="1:16">
      <c r="A630" s="348">
        <v>785</v>
      </c>
      <c r="B630" s="349">
        <v>1785</v>
      </c>
      <c r="C630" s="372" t="s">
        <v>7787</v>
      </c>
      <c r="D630" s="372" t="s">
        <v>2582</v>
      </c>
      <c r="E630" s="372" t="s">
        <v>2556</v>
      </c>
      <c r="F630" s="350">
        <v>45599.888194444444</v>
      </c>
      <c r="G630" s="372">
        <v>11</v>
      </c>
      <c r="H630" s="372" t="s">
        <v>2557</v>
      </c>
      <c r="I630" s="349">
        <v>25699</v>
      </c>
      <c r="J630" s="372" t="s">
        <v>8090</v>
      </c>
      <c r="K630" s="349">
        <v>63.93</v>
      </c>
      <c r="L630" s="349">
        <v>0</v>
      </c>
      <c r="M630" s="349">
        <v>0</v>
      </c>
      <c r="N630" s="349">
        <v>7.1109799999999996</v>
      </c>
      <c r="O630" s="349">
        <f t="shared" si="4"/>
        <v>63.93</v>
      </c>
      <c r="P630" s="373">
        <f t="shared" si="5"/>
        <v>8.9903220090620426</v>
      </c>
    </row>
    <row r="631" spans="1:16">
      <c r="A631" s="348">
        <v>787</v>
      </c>
      <c r="B631" s="349">
        <v>1804</v>
      </c>
      <c r="C631" s="372" t="s">
        <v>8091</v>
      </c>
      <c r="D631" s="372" t="s">
        <v>45</v>
      </c>
      <c r="E631" s="372" t="s">
        <v>2556</v>
      </c>
      <c r="F631" s="350">
        <v>45600</v>
      </c>
      <c r="G631" s="372">
        <v>11</v>
      </c>
      <c r="H631" s="372" t="s">
        <v>2557</v>
      </c>
      <c r="I631" s="349">
        <v>25831</v>
      </c>
      <c r="J631" s="372"/>
      <c r="K631" s="349">
        <v>0</v>
      </c>
      <c r="L631" s="349">
        <v>0</v>
      </c>
      <c r="M631" s="349">
        <v>0</v>
      </c>
      <c r="N631" s="349">
        <v>1</v>
      </c>
      <c r="O631" s="349">
        <f t="shared" si="4"/>
        <v>0</v>
      </c>
      <c r="P631" s="373">
        <f t="shared" si="5"/>
        <v>0</v>
      </c>
    </row>
    <row r="632" spans="1:16">
      <c r="A632" s="348">
        <v>795</v>
      </c>
      <c r="B632" s="349">
        <v>93</v>
      </c>
      <c r="C632" s="372" t="s">
        <v>2598</v>
      </c>
      <c r="D632" s="372" t="s">
        <v>45</v>
      </c>
      <c r="E632" s="372" t="s">
        <v>2556</v>
      </c>
      <c r="F632" s="350">
        <v>45600</v>
      </c>
      <c r="G632" s="372">
        <v>11</v>
      </c>
      <c r="H632" s="372" t="s">
        <v>2557</v>
      </c>
      <c r="I632" s="349">
        <v>26095</v>
      </c>
      <c r="J632" s="372"/>
      <c r="K632" s="349">
        <v>0</v>
      </c>
      <c r="L632" s="349">
        <v>0</v>
      </c>
      <c r="M632" s="349">
        <v>0</v>
      </c>
      <c r="N632" s="349">
        <v>1</v>
      </c>
      <c r="O632" s="349">
        <f t="shared" si="4"/>
        <v>0</v>
      </c>
      <c r="P632" s="373">
        <f t="shared" si="5"/>
        <v>0</v>
      </c>
    </row>
    <row r="633" spans="1:16">
      <c r="A633" s="348">
        <v>788</v>
      </c>
      <c r="B633" s="349">
        <v>1833</v>
      </c>
      <c r="C633" s="372" t="s">
        <v>7720</v>
      </c>
      <c r="D633" s="372" t="s">
        <v>2582</v>
      </c>
      <c r="E633" s="372" t="s">
        <v>9</v>
      </c>
      <c r="F633" s="350">
        <v>45600.48333333333</v>
      </c>
      <c r="G633" s="372">
        <v>11</v>
      </c>
      <c r="H633" s="372" t="s">
        <v>2557</v>
      </c>
      <c r="I633" s="349">
        <v>25903</v>
      </c>
      <c r="J633" s="372" t="s">
        <v>7159</v>
      </c>
      <c r="K633" s="349">
        <v>85.61</v>
      </c>
      <c r="L633" s="349">
        <v>7.75</v>
      </c>
      <c r="M633" s="349">
        <v>0</v>
      </c>
      <c r="N633" s="349">
        <v>7.1109799999999996</v>
      </c>
      <c r="O633" s="349">
        <f t="shared" si="4"/>
        <v>77.86</v>
      </c>
      <c r="P633" s="373">
        <f t="shared" si="5"/>
        <v>10.949264377061953</v>
      </c>
    </row>
    <row r="634" spans="1:16">
      <c r="A634" s="348">
        <v>789</v>
      </c>
      <c r="B634" s="349">
        <v>752</v>
      </c>
      <c r="C634" s="372" t="s">
        <v>7763</v>
      </c>
      <c r="D634" s="372" t="s">
        <v>2582</v>
      </c>
      <c r="E634" s="372" t="s">
        <v>2556</v>
      </c>
      <c r="F634" s="350">
        <v>45600.522222222222</v>
      </c>
      <c r="G634" s="372">
        <v>11</v>
      </c>
      <c r="H634" s="372" t="s">
        <v>2557</v>
      </c>
      <c r="I634" s="349">
        <v>25915</v>
      </c>
      <c r="J634" s="372" t="s">
        <v>8092</v>
      </c>
      <c r="K634" s="349">
        <v>31.22</v>
      </c>
      <c r="L634" s="349">
        <v>0</v>
      </c>
      <c r="M634" s="349">
        <v>0</v>
      </c>
      <c r="N634" s="349">
        <v>7.1109799999999996</v>
      </c>
      <c r="O634" s="349">
        <f t="shared" si="4"/>
        <v>31.22</v>
      </c>
      <c r="P634" s="373">
        <f t="shared" si="5"/>
        <v>4.3903934478791955</v>
      </c>
    </row>
    <row r="635" spans="1:16">
      <c r="A635" s="348">
        <v>790</v>
      </c>
      <c r="B635" s="349">
        <v>752</v>
      </c>
      <c r="C635" s="372" t="s">
        <v>7763</v>
      </c>
      <c r="D635" s="372" t="s">
        <v>2582</v>
      </c>
      <c r="E635" s="372" t="s">
        <v>2556</v>
      </c>
      <c r="F635" s="350">
        <v>45600.525000000001</v>
      </c>
      <c r="G635" s="372">
        <v>11</v>
      </c>
      <c r="H635" s="372" t="s">
        <v>2557</v>
      </c>
      <c r="I635" s="349">
        <v>25915</v>
      </c>
      <c r="J635" s="372"/>
      <c r="K635" s="349">
        <v>0.03</v>
      </c>
      <c r="L635" s="349">
        <v>0</v>
      </c>
      <c r="M635" s="349">
        <v>0</v>
      </c>
      <c r="N635" s="349">
        <v>7.1109799999999996</v>
      </c>
      <c r="O635" s="349">
        <f t="shared" si="4"/>
        <v>0.03</v>
      </c>
      <c r="P635" s="373">
        <f t="shared" si="5"/>
        <v>4.2188277846372793E-3</v>
      </c>
    </row>
    <row r="636" spans="1:16">
      <c r="A636" s="348">
        <v>791</v>
      </c>
      <c r="B636" s="349">
        <v>1834</v>
      </c>
      <c r="C636" s="372" t="s">
        <v>8093</v>
      </c>
      <c r="D636" s="372" t="s">
        <v>45</v>
      </c>
      <c r="E636" s="372" t="s">
        <v>2556</v>
      </c>
      <c r="F636" s="350">
        <v>45600.558333333334</v>
      </c>
      <c r="G636" s="372">
        <v>11</v>
      </c>
      <c r="H636" s="372" t="s">
        <v>2557</v>
      </c>
      <c r="I636" s="349">
        <v>25927</v>
      </c>
      <c r="J636" s="372" t="s">
        <v>8094</v>
      </c>
      <c r="K636" s="349">
        <v>5.99</v>
      </c>
      <c r="L636" s="349">
        <v>0</v>
      </c>
      <c r="M636" s="349">
        <v>0</v>
      </c>
      <c r="N636" s="349">
        <v>1</v>
      </c>
      <c r="O636" s="349">
        <f t="shared" si="4"/>
        <v>5.99</v>
      </c>
      <c r="P636" s="373">
        <f t="shared" si="5"/>
        <v>5.99</v>
      </c>
    </row>
    <row r="637" spans="1:16">
      <c r="A637" s="348">
        <v>792</v>
      </c>
      <c r="B637" s="349">
        <v>1836</v>
      </c>
      <c r="C637" s="372" t="s">
        <v>2598</v>
      </c>
      <c r="D637" s="372" t="s">
        <v>2582</v>
      </c>
      <c r="E637" s="372" t="s">
        <v>2556</v>
      </c>
      <c r="F637" s="350">
        <v>45600.584027777775</v>
      </c>
      <c r="G637" s="372">
        <v>11</v>
      </c>
      <c r="H637" s="372" t="s">
        <v>2557</v>
      </c>
      <c r="I637" s="349">
        <v>25939</v>
      </c>
      <c r="J637" s="372" t="s">
        <v>8095</v>
      </c>
      <c r="K637" s="349">
        <v>85.26</v>
      </c>
      <c r="L637" s="349">
        <v>0</v>
      </c>
      <c r="M637" s="349">
        <v>0</v>
      </c>
      <c r="N637" s="349">
        <v>7.1109799999999996</v>
      </c>
      <c r="O637" s="349">
        <f t="shared" si="4"/>
        <v>85.26</v>
      </c>
      <c r="P637" s="373">
        <f t="shared" si="5"/>
        <v>11.989908563939149</v>
      </c>
    </row>
    <row r="638" spans="1:16">
      <c r="A638" s="348">
        <v>793</v>
      </c>
      <c r="B638" s="349">
        <v>1037</v>
      </c>
      <c r="C638" s="372" t="s">
        <v>7906</v>
      </c>
      <c r="D638" s="372" t="s">
        <v>2582</v>
      </c>
      <c r="E638" s="372" t="s">
        <v>2556</v>
      </c>
      <c r="F638" s="350">
        <v>45600.59097222222</v>
      </c>
      <c r="G638" s="372">
        <v>11</v>
      </c>
      <c r="H638" s="372" t="s">
        <v>2557</v>
      </c>
      <c r="I638" s="349">
        <v>22507</v>
      </c>
      <c r="J638" s="372" t="s">
        <v>8096</v>
      </c>
      <c r="K638" s="349">
        <v>20.98</v>
      </c>
      <c r="L638" s="349">
        <v>0</v>
      </c>
      <c r="M638" s="349">
        <v>0</v>
      </c>
      <c r="N638" s="349">
        <v>7.1109799999999996</v>
      </c>
      <c r="O638" s="349">
        <f t="shared" si="4"/>
        <v>20.98</v>
      </c>
      <c r="P638" s="373">
        <f t="shared" si="5"/>
        <v>2.9503668973896708</v>
      </c>
    </row>
    <row r="639" spans="1:16">
      <c r="A639" s="348">
        <v>794</v>
      </c>
      <c r="B639" s="349">
        <v>1037</v>
      </c>
      <c r="C639" s="372" t="s">
        <v>7906</v>
      </c>
      <c r="D639" s="372" t="s">
        <v>2582</v>
      </c>
      <c r="E639" s="372" t="s">
        <v>2556</v>
      </c>
      <c r="F639" s="350">
        <v>45600.592361111114</v>
      </c>
      <c r="G639" s="372">
        <v>11</v>
      </c>
      <c r="H639" s="372" t="s">
        <v>2557</v>
      </c>
      <c r="I639" s="349">
        <v>22507</v>
      </c>
      <c r="J639" s="372"/>
      <c r="K639" s="349">
        <v>0.01</v>
      </c>
      <c r="L639" s="349">
        <v>0</v>
      </c>
      <c r="M639" s="349">
        <v>0</v>
      </c>
      <c r="N639" s="349">
        <v>7.1109799999999996</v>
      </c>
      <c r="O639" s="349">
        <f t="shared" si="4"/>
        <v>0.01</v>
      </c>
      <c r="P639" s="373">
        <f t="shared" si="5"/>
        <v>1.4062759282124264E-3</v>
      </c>
    </row>
    <row r="640" spans="1:16">
      <c r="A640" s="348">
        <v>796</v>
      </c>
      <c r="B640" s="349">
        <v>1865</v>
      </c>
      <c r="C640" s="372" t="s">
        <v>6124</v>
      </c>
      <c r="D640" s="372" t="s">
        <v>45</v>
      </c>
      <c r="E640" s="372" t="s">
        <v>2556</v>
      </c>
      <c r="F640" s="350">
        <v>45600.945833333331</v>
      </c>
      <c r="G640" s="372">
        <v>11</v>
      </c>
      <c r="H640" s="372" t="s">
        <v>2557</v>
      </c>
      <c r="I640" s="349">
        <v>26263</v>
      </c>
      <c r="J640" s="372" t="s">
        <v>8097</v>
      </c>
      <c r="K640" s="349">
        <v>12.04</v>
      </c>
      <c r="L640" s="349">
        <v>0</v>
      </c>
      <c r="M640" s="349">
        <v>0</v>
      </c>
      <c r="N640" s="349">
        <v>1</v>
      </c>
      <c r="O640" s="349">
        <f t="shared" si="4"/>
        <v>12.04</v>
      </c>
      <c r="P640" s="373">
        <f t="shared" si="5"/>
        <v>12.04</v>
      </c>
    </row>
    <row r="641" spans="1:16">
      <c r="A641" s="348">
        <v>797</v>
      </c>
      <c r="B641" s="349">
        <v>127</v>
      </c>
      <c r="C641" s="372" t="s">
        <v>7478</v>
      </c>
      <c r="D641" s="372" t="s">
        <v>45</v>
      </c>
      <c r="E641" s="372" t="s">
        <v>2556</v>
      </c>
      <c r="F641" s="350">
        <v>45600.980555555558</v>
      </c>
      <c r="G641" s="372">
        <v>11</v>
      </c>
      <c r="H641" s="372" t="s">
        <v>2557</v>
      </c>
      <c r="I641" s="349">
        <v>23803</v>
      </c>
      <c r="J641" s="372" t="s">
        <v>8098</v>
      </c>
      <c r="K641" s="349">
        <v>1.0900000000000001</v>
      </c>
      <c r="L641" s="349">
        <v>0</v>
      </c>
      <c r="M641" s="349">
        <v>0</v>
      </c>
      <c r="N641" s="349">
        <v>1</v>
      </c>
      <c r="O641" s="349">
        <f t="shared" si="4"/>
        <v>1.0900000000000001</v>
      </c>
      <c r="P641" s="373">
        <f t="shared" si="5"/>
        <v>1.0900000000000001</v>
      </c>
    </row>
    <row r="642" spans="1:16">
      <c r="A642" s="348">
        <v>798</v>
      </c>
      <c r="B642" s="349">
        <v>1876</v>
      </c>
      <c r="C642" s="372" t="s">
        <v>8099</v>
      </c>
      <c r="D642" s="372" t="s">
        <v>45</v>
      </c>
      <c r="E642" s="372" t="s">
        <v>2556</v>
      </c>
      <c r="F642" s="350">
        <v>45600.992361111108</v>
      </c>
      <c r="G642" s="372">
        <v>11</v>
      </c>
      <c r="H642" s="372" t="s">
        <v>2557</v>
      </c>
      <c r="I642" s="349">
        <v>26287</v>
      </c>
      <c r="J642" s="372" t="s">
        <v>8100</v>
      </c>
      <c r="K642" s="349">
        <v>1.99</v>
      </c>
      <c r="L642" s="349">
        <v>0</v>
      </c>
      <c r="M642" s="349">
        <v>0</v>
      </c>
      <c r="N642" s="349">
        <v>1</v>
      </c>
      <c r="O642" s="349">
        <f t="shared" si="4"/>
        <v>1.99</v>
      </c>
      <c r="P642" s="373">
        <f t="shared" si="5"/>
        <v>1.99</v>
      </c>
    </row>
    <row r="643" spans="1:16">
      <c r="A643" s="348">
        <v>799</v>
      </c>
      <c r="B643" s="349">
        <v>62</v>
      </c>
      <c r="C643" s="372" t="s">
        <v>5466</v>
      </c>
      <c r="D643" s="372" t="s">
        <v>45</v>
      </c>
      <c r="E643" s="372" t="s">
        <v>2556</v>
      </c>
      <c r="F643" s="350">
        <v>45601.261805555558</v>
      </c>
      <c r="G643" s="372">
        <v>11</v>
      </c>
      <c r="H643" s="372" t="s">
        <v>2557</v>
      </c>
      <c r="I643" s="349">
        <v>26311</v>
      </c>
      <c r="J643" s="372" t="s">
        <v>8101</v>
      </c>
      <c r="K643" s="349">
        <v>1.99</v>
      </c>
      <c r="L643" s="349">
        <v>0</v>
      </c>
      <c r="M643" s="349">
        <v>0</v>
      </c>
      <c r="N643" s="349">
        <v>1</v>
      </c>
      <c r="O643" s="349">
        <f t="shared" si="4"/>
        <v>1.99</v>
      </c>
      <c r="P643" s="373">
        <f t="shared" si="5"/>
        <v>1.99</v>
      </c>
    </row>
    <row r="644" spans="1:16">
      <c r="A644" s="348">
        <v>800</v>
      </c>
      <c r="B644" s="349">
        <v>1979</v>
      </c>
      <c r="C644" s="372" t="s">
        <v>3943</v>
      </c>
      <c r="D644" s="372" t="s">
        <v>2582</v>
      </c>
      <c r="E644" s="372" t="s">
        <v>2556</v>
      </c>
      <c r="F644" s="350">
        <v>45601.613888888889</v>
      </c>
      <c r="G644" s="372">
        <v>11</v>
      </c>
      <c r="H644" s="372" t="s">
        <v>2557</v>
      </c>
      <c r="I644" s="349">
        <v>26431</v>
      </c>
      <c r="J644" s="372" t="s">
        <v>8102</v>
      </c>
      <c r="K644" s="349">
        <v>56.69</v>
      </c>
      <c r="L644" s="349">
        <v>0</v>
      </c>
      <c r="M644" s="349">
        <v>0</v>
      </c>
      <c r="N644" s="349">
        <v>7.0949200000000001</v>
      </c>
      <c r="O644" s="349">
        <f t="shared" si="4"/>
        <v>56.69</v>
      </c>
      <c r="P644" s="373">
        <f t="shared" si="5"/>
        <v>7.990223991250077</v>
      </c>
    </row>
    <row r="645" spans="1:16">
      <c r="A645" s="348">
        <v>801</v>
      </c>
      <c r="B645" s="349">
        <v>1980</v>
      </c>
      <c r="C645" s="372" t="s">
        <v>3346</v>
      </c>
      <c r="D645" s="372" t="s">
        <v>45</v>
      </c>
      <c r="E645" s="372" t="s">
        <v>2556</v>
      </c>
      <c r="F645" s="350">
        <v>45601.626388888886</v>
      </c>
      <c r="G645" s="372">
        <v>11</v>
      </c>
      <c r="H645" s="372" t="s">
        <v>2557</v>
      </c>
      <c r="I645" s="349">
        <v>26443</v>
      </c>
      <c r="J645" s="372" t="s">
        <v>8103</v>
      </c>
      <c r="K645" s="349">
        <v>293.20999999999998</v>
      </c>
      <c r="L645" s="349">
        <v>0</v>
      </c>
      <c r="M645" s="349">
        <v>0</v>
      </c>
      <c r="N645" s="349">
        <v>1</v>
      </c>
      <c r="O645" s="349">
        <f t="shared" si="4"/>
        <v>293.20999999999998</v>
      </c>
      <c r="P645" s="373">
        <f t="shared" si="5"/>
        <v>293.20999999999998</v>
      </c>
    </row>
    <row r="646" spans="1:16">
      <c r="A646" s="348">
        <v>802</v>
      </c>
      <c r="B646" s="349">
        <v>1777</v>
      </c>
      <c r="C646" s="372" t="s">
        <v>8086</v>
      </c>
      <c r="D646" s="372" t="s">
        <v>45</v>
      </c>
      <c r="E646" s="372" t="s">
        <v>2556</v>
      </c>
      <c r="F646" s="350">
        <v>45601.6875</v>
      </c>
      <c r="G646" s="372">
        <v>11</v>
      </c>
      <c r="H646" s="372" t="s">
        <v>2557</v>
      </c>
      <c r="I646" s="349">
        <v>26455</v>
      </c>
      <c r="J646" s="372" t="s">
        <v>8104</v>
      </c>
      <c r="K646" s="349">
        <v>6.96</v>
      </c>
      <c r="L646" s="349">
        <v>0</v>
      </c>
      <c r="M646" s="349">
        <v>0</v>
      </c>
      <c r="N646" s="349">
        <v>1</v>
      </c>
      <c r="O646" s="349">
        <f t="shared" si="4"/>
        <v>6.96</v>
      </c>
      <c r="P646" s="373">
        <f t="shared" si="5"/>
        <v>6.96</v>
      </c>
    </row>
    <row r="647" spans="1:16">
      <c r="A647" s="348">
        <v>803</v>
      </c>
      <c r="B647" s="349">
        <v>1990</v>
      </c>
      <c r="C647" s="372"/>
      <c r="D647" s="372" t="s">
        <v>45</v>
      </c>
      <c r="E647" s="372" t="s">
        <v>2556</v>
      </c>
      <c r="F647" s="350">
        <v>45601.832638888889</v>
      </c>
      <c r="G647" s="372">
        <v>11</v>
      </c>
      <c r="H647" s="372" t="s">
        <v>2557</v>
      </c>
      <c r="I647" s="349">
        <v>26467</v>
      </c>
      <c r="J647" s="372" t="s">
        <v>8105</v>
      </c>
      <c r="K647" s="349">
        <v>2.99</v>
      </c>
      <c r="L647" s="349">
        <v>0</v>
      </c>
      <c r="M647" s="349">
        <v>0</v>
      </c>
      <c r="N647" s="349">
        <v>1</v>
      </c>
      <c r="O647" s="349">
        <f t="shared" si="4"/>
        <v>2.99</v>
      </c>
      <c r="P647" s="373">
        <f t="shared" si="5"/>
        <v>2.99</v>
      </c>
    </row>
    <row r="648" spans="1:16">
      <c r="A648" s="348">
        <v>804</v>
      </c>
      <c r="B648" s="349">
        <v>510</v>
      </c>
      <c r="C648" s="372" t="s">
        <v>2935</v>
      </c>
      <c r="D648" s="372" t="s">
        <v>45</v>
      </c>
      <c r="E648" s="372" t="s">
        <v>2556</v>
      </c>
      <c r="F648" s="350">
        <v>45601.923611111109</v>
      </c>
      <c r="G648" s="372">
        <v>11</v>
      </c>
      <c r="H648" s="372" t="s">
        <v>2557</v>
      </c>
      <c r="I648" s="349">
        <v>26359</v>
      </c>
      <c r="J648" s="372" t="s">
        <v>8106</v>
      </c>
      <c r="K648" s="349">
        <v>1.0900000000000001</v>
      </c>
      <c r="L648" s="349">
        <v>0</v>
      </c>
      <c r="M648" s="349">
        <v>0</v>
      </c>
      <c r="N648" s="349">
        <v>1</v>
      </c>
      <c r="O648" s="349">
        <f t="shared" si="4"/>
        <v>1.0900000000000001</v>
      </c>
      <c r="P648" s="373">
        <f t="shared" si="5"/>
        <v>1.0900000000000001</v>
      </c>
    </row>
    <row r="649" spans="1:16">
      <c r="A649" s="348">
        <v>807</v>
      </c>
      <c r="B649" s="349">
        <v>2147</v>
      </c>
      <c r="C649" s="372" t="s">
        <v>8107</v>
      </c>
      <c r="D649" s="372" t="s">
        <v>45</v>
      </c>
      <c r="E649" s="372" t="s">
        <v>2556</v>
      </c>
      <c r="F649" s="350">
        <v>45602</v>
      </c>
      <c r="G649" s="372">
        <v>11</v>
      </c>
      <c r="H649" s="372" t="s">
        <v>2557</v>
      </c>
      <c r="I649" s="349">
        <v>27799</v>
      </c>
      <c r="J649" s="372"/>
      <c r="K649" s="349">
        <v>0</v>
      </c>
      <c r="L649" s="349">
        <v>0</v>
      </c>
      <c r="M649" s="349">
        <v>0</v>
      </c>
      <c r="N649" s="349">
        <v>1</v>
      </c>
      <c r="O649" s="349">
        <f t="shared" si="4"/>
        <v>0</v>
      </c>
      <c r="P649" s="373">
        <f t="shared" si="5"/>
        <v>0</v>
      </c>
    </row>
    <row r="650" spans="1:16">
      <c r="A650" s="348">
        <v>805</v>
      </c>
      <c r="B650" s="349">
        <v>2115</v>
      </c>
      <c r="C650" s="372" t="s">
        <v>272</v>
      </c>
      <c r="D650" s="372" t="s">
        <v>45</v>
      </c>
      <c r="E650" s="372" t="s">
        <v>9</v>
      </c>
      <c r="F650" s="350">
        <v>45602.508333333331</v>
      </c>
      <c r="G650" s="372">
        <v>11</v>
      </c>
      <c r="H650" s="372" t="s">
        <v>2557</v>
      </c>
      <c r="I650" s="349">
        <v>27715</v>
      </c>
      <c r="J650" s="372" t="s">
        <v>7160</v>
      </c>
      <c r="K650" s="349">
        <v>4.99</v>
      </c>
      <c r="L650" s="349">
        <v>0.66</v>
      </c>
      <c r="M650" s="349">
        <v>0</v>
      </c>
      <c r="N650" s="349">
        <v>1</v>
      </c>
      <c r="O650" s="349">
        <f t="shared" si="4"/>
        <v>4.33</v>
      </c>
      <c r="P650" s="373">
        <f t="shared" si="5"/>
        <v>4.33</v>
      </c>
    </row>
    <row r="651" spans="1:16">
      <c r="A651" s="348">
        <v>806</v>
      </c>
      <c r="B651" s="349">
        <v>2130</v>
      </c>
      <c r="C651" s="372" t="s">
        <v>8108</v>
      </c>
      <c r="D651" s="372" t="s">
        <v>45</v>
      </c>
      <c r="E651" s="372" t="s">
        <v>9</v>
      </c>
      <c r="F651" s="350">
        <v>45602.719444444447</v>
      </c>
      <c r="G651" s="372">
        <v>11</v>
      </c>
      <c r="H651" s="372" t="s">
        <v>2557</v>
      </c>
      <c r="I651" s="349">
        <v>27727</v>
      </c>
      <c r="J651" s="372" t="s">
        <v>7162</v>
      </c>
      <c r="K651" s="349">
        <v>3.29</v>
      </c>
      <c r="L651" s="349">
        <v>0.65</v>
      </c>
      <c r="M651" s="349">
        <v>0</v>
      </c>
      <c r="N651" s="349">
        <v>1</v>
      </c>
      <c r="O651" s="349">
        <f t="shared" si="4"/>
        <v>2.64</v>
      </c>
      <c r="P651" s="373">
        <f t="shared" si="5"/>
        <v>2.64</v>
      </c>
    </row>
    <row r="652" spans="1:16">
      <c r="A652" s="348">
        <v>808</v>
      </c>
      <c r="B652" s="349">
        <v>2161</v>
      </c>
      <c r="C652" s="372" t="s">
        <v>2685</v>
      </c>
      <c r="D652" s="372" t="s">
        <v>45</v>
      </c>
      <c r="E652" s="372" t="s">
        <v>2556</v>
      </c>
      <c r="F652" s="350">
        <v>45602.923611111109</v>
      </c>
      <c r="G652" s="372">
        <v>11</v>
      </c>
      <c r="H652" s="372" t="s">
        <v>2557</v>
      </c>
      <c r="I652" s="349">
        <v>27931</v>
      </c>
      <c r="J652" s="372" t="s">
        <v>8109</v>
      </c>
      <c r="K652" s="349">
        <v>3.29</v>
      </c>
      <c r="L652" s="349">
        <v>0</v>
      </c>
      <c r="M652" s="349">
        <v>0</v>
      </c>
      <c r="N652" s="349">
        <v>1</v>
      </c>
      <c r="O652" s="349">
        <f t="shared" si="4"/>
        <v>3.29</v>
      </c>
      <c r="P652" s="373">
        <f t="shared" si="5"/>
        <v>3.29</v>
      </c>
    </row>
    <row r="653" spans="1:16">
      <c r="A653" s="348">
        <v>810</v>
      </c>
      <c r="B653" s="349">
        <v>2229</v>
      </c>
      <c r="C653" s="372" t="s">
        <v>8110</v>
      </c>
      <c r="D653" s="372" t="s">
        <v>2582</v>
      </c>
      <c r="E653" s="372" t="s">
        <v>2556</v>
      </c>
      <c r="F653" s="350">
        <v>45603</v>
      </c>
      <c r="G653" s="372">
        <v>11</v>
      </c>
      <c r="H653" s="372" t="s">
        <v>2557</v>
      </c>
      <c r="I653" s="349">
        <v>28099</v>
      </c>
      <c r="J653" s="372"/>
      <c r="K653" s="349">
        <v>0</v>
      </c>
      <c r="L653" s="349">
        <v>0</v>
      </c>
      <c r="M653" s="349">
        <v>0</v>
      </c>
      <c r="N653" s="349">
        <v>7.17896</v>
      </c>
      <c r="O653" s="349">
        <f t="shared" si="4"/>
        <v>0</v>
      </c>
      <c r="P653" s="373">
        <f t="shared" si="5"/>
        <v>0</v>
      </c>
    </row>
    <row r="654" spans="1:16">
      <c r="A654" s="348">
        <v>813</v>
      </c>
      <c r="B654" s="349">
        <v>1856</v>
      </c>
      <c r="C654" s="372" t="s">
        <v>8111</v>
      </c>
      <c r="D654" s="372" t="s">
        <v>45</v>
      </c>
      <c r="E654" s="372" t="s">
        <v>2556</v>
      </c>
      <c r="F654" s="350">
        <v>45603</v>
      </c>
      <c r="G654" s="372">
        <v>11</v>
      </c>
      <c r="H654" s="372" t="s">
        <v>2557</v>
      </c>
      <c r="I654" s="349">
        <v>26107</v>
      </c>
      <c r="J654" s="372"/>
      <c r="K654" s="349">
        <v>0</v>
      </c>
      <c r="L654" s="349">
        <v>0</v>
      </c>
      <c r="M654" s="349">
        <v>0</v>
      </c>
      <c r="N654" s="349">
        <v>1</v>
      </c>
      <c r="O654" s="349">
        <f t="shared" si="4"/>
        <v>0</v>
      </c>
      <c r="P654" s="373">
        <f t="shared" si="5"/>
        <v>0</v>
      </c>
    </row>
    <row r="655" spans="1:16">
      <c r="A655" s="348">
        <v>809</v>
      </c>
      <c r="B655" s="349">
        <v>2230</v>
      </c>
      <c r="C655" s="372" t="s">
        <v>8112</v>
      </c>
      <c r="D655" s="372" t="s">
        <v>45</v>
      </c>
      <c r="E655" s="372" t="s">
        <v>9</v>
      </c>
      <c r="F655" s="350">
        <v>45603.472222222219</v>
      </c>
      <c r="G655" s="372">
        <v>11</v>
      </c>
      <c r="H655" s="372" t="s">
        <v>2557</v>
      </c>
      <c r="I655" s="349">
        <v>28111</v>
      </c>
      <c r="J655" s="372" t="s">
        <v>7163</v>
      </c>
      <c r="K655" s="349">
        <v>2.99</v>
      </c>
      <c r="L655" s="349">
        <v>0.64</v>
      </c>
      <c r="M655" s="349">
        <v>0</v>
      </c>
      <c r="N655" s="349">
        <v>1</v>
      </c>
      <c r="O655" s="349">
        <f t="shared" si="4"/>
        <v>2.35</v>
      </c>
      <c r="P655" s="373">
        <f t="shared" si="5"/>
        <v>2.35</v>
      </c>
    </row>
    <row r="656" spans="1:16">
      <c r="A656" s="348">
        <v>811</v>
      </c>
      <c r="B656" s="349">
        <v>2233</v>
      </c>
      <c r="C656" s="372" t="s">
        <v>2842</v>
      </c>
      <c r="D656" s="372" t="s">
        <v>45</v>
      </c>
      <c r="E656" s="372" t="s">
        <v>2556</v>
      </c>
      <c r="F656" s="350">
        <v>45603.626388888886</v>
      </c>
      <c r="G656" s="372">
        <v>11</v>
      </c>
      <c r="H656" s="372" t="s">
        <v>2557</v>
      </c>
      <c r="I656" s="349">
        <v>28123</v>
      </c>
      <c r="J656" s="372" t="s">
        <v>8113</v>
      </c>
      <c r="K656" s="349">
        <v>4.3899999999999997</v>
      </c>
      <c r="L656" s="349">
        <v>0</v>
      </c>
      <c r="M656" s="349">
        <v>0</v>
      </c>
      <c r="N656" s="349">
        <v>1</v>
      </c>
      <c r="O656" s="349">
        <f t="shared" si="4"/>
        <v>4.3899999999999997</v>
      </c>
      <c r="P656" s="373">
        <f t="shared" si="5"/>
        <v>4.3899999999999997</v>
      </c>
    </row>
    <row r="657" spans="1:16">
      <c r="A657" s="348">
        <v>812</v>
      </c>
      <c r="B657" s="349">
        <v>1630</v>
      </c>
      <c r="C657" s="372" t="s">
        <v>2753</v>
      </c>
      <c r="D657" s="372" t="s">
        <v>45</v>
      </c>
      <c r="E657" s="372" t="s">
        <v>2556</v>
      </c>
      <c r="F657" s="350">
        <v>45603.834722222222</v>
      </c>
      <c r="G657" s="372">
        <v>11</v>
      </c>
      <c r="H657" s="372" t="s">
        <v>2557</v>
      </c>
      <c r="I657" s="349">
        <v>28147</v>
      </c>
      <c r="J657" s="372" t="s">
        <v>8114</v>
      </c>
      <c r="K657" s="349">
        <v>3.29</v>
      </c>
      <c r="L657" s="349">
        <v>0</v>
      </c>
      <c r="M657" s="349">
        <v>0</v>
      </c>
      <c r="N657" s="349">
        <v>1</v>
      </c>
      <c r="O657" s="349">
        <f t="shared" si="4"/>
        <v>3.29</v>
      </c>
      <c r="P657" s="373">
        <f t="shared" si="5"/>
        <v>3.29</v>
      </c>
    </row>
    <row r="658" spans="1:16">
      <c r="A658" s="348">
        <v>814</v>
      </c>
      <c r="B658" s="349">
        <v>2281</v>
      </c>
      <c r="C658" s="372" t="s">
        <v>7787</v>
      </c>
      <c r="D658" s="372" t="s">
        <v>45</v>
      </c>
      <c r="E658" s="372" t="s">
        <v>9</v>
      </c>
      <c r="F658" s="350">
        <v>45604</v>
      </c>
      <c r="G658" s="372">
        <v>11</v>
      </c>
      <c r="H658" s="372" t="s">
        <v>2557</v>
      </c>
      <c r="I658" s="349">
        <v>28219</v>
      </c>
      <c r="J658" s="372"/>
      <c r="K658" s="349">
        <v>0</v>
      </c>
      <c r="L658" s="349">
        <v>0</v>
      </c>
      <c r="M658" s="349">
        <v>0</v>
      </c>
      <c r="N658" s="349">
        <v>1</v>
      </c>
      <c r="O658" s="349">
        <f t="shared" si="4"/>
        <v>0</v>
      </c>
      <c r="P658" s="373">
        <f t="shared" si="5"/>
        <v>0</v>
      </c>
    </row>
    <row r="659" spans="1:16">
      <c r="A659" s="348">
        <v>815</v>
      </c>
      <c r="B659" s="349">
        <v>2300</v>
      </c>
      <c r="C659" s="372" t="s">
        <v>2962</v>
      </c>
      <c r="D659" s="372" t="s">
        <v>45</v>
      </c>
      <c r="E659" s="372" t="s">
        <v>2556</v>
      </c>
      <c r="F659" s="350">
        <v>45604.092361111114</v>
      </c>
      <c r="G659" s="372">
        <v>11</v>
      </c>
      <c r="H659" s="372" t="s">
        <v>2557</v>
      </c>
      <c r="I659" s="349">
        <v>28231</v>
      </c>
      <c r="J659" s="372" t="s">
        <v>8115</v>
      </c>
      <c r="K659" s="349">
        <v>18.09</v>
      </c>
      <c r="L659" s="349">
        <v>0</v>
      </c>
      <c r="M659" s="349">
        <v>0</v>
      </c>
      <c r="N659" s="349">
        <v>1</v>
      </c>
      <c r="O659" s="349">
        <f t="shared" si="4"/>
        <v>18.09</v>
      </c>
      <c r="P659" s="373">
        <f t="shared" si="5"/>
        <v>18.09</v>
      </c>
    </row>
    <row r="660" spans="1:16">
      <c r="A660" s="348">
        <v>816</v>
      </c>
      <c r="B660" s="349">
        <v>334</v>
      </c>
      <c r="C660" s="372" t="s">
        <v>7715</v>
      </c>
      <c r="D660" s="372" t="s">
        <v>45</v>
      </c>
      <c r="E660" s="372" t="s">
        <v>2556</v>
      </c>
      <c r="F660" s="350">
        <v>45604.241666666669</v>
      </c>
      <c r="G660" s="372">
        <v>11</v>
      </c>
      <c r="H660" s="372" t="s">
        <v>2557</v>
      </c>
      <c r="I660" s="349">
        <v>28243</v>
      </c>
      <c r="J660" s="372" t="s">
        <v>8116</v>
      </c>
      <c r="K660" s="349">
        <v>4.3899999999999997</v>
      </c>
      <c r="L660" s="349">
        <v>0</v>
      </c>
      <c r="M660" s="349">
        <v>0</v>
      </c>
      <c r="N660" s="349">
        <v>1</v>
      </c>
      <c r="O660" s="349">
        <f t="shared" si="4"/>
        <v>4.3899999999999997</v>
      </c>
      <c r="P660" s="373">
        <f t="shared" si="5"/>
        <v>4.3899999999999997</v>
      </c>
    </row>
    <row r="661" spans="1:16">
      <c r="A661" s="348">
        <v>817</v>
      </c>
      <c r="B661" s="349">
        <v>2351</v>
      </c>
      <c r="C661" s="372" t="s">
        <v>8117</v>
      </c>
      <c r="D661" s="372" t="s">
        <v>45</v>
      </c>
      <c r="E661" s="372" t="s">
        <v>2556</v>
      </c>
      <c r="F661" s="350">
        <v>45604.656944444447</v>
      </c>
      <c r="G661" s="372">
        <v>11</v>
      </c>
      <c r="H661" s="372" t="s">
        <v>2557</v>
      </c>
      <c r="I661" s="349">
        <v>28279</v>
      </c>
      <c r="J661" s="372" t="s">
        <v>8118</v>
      </c>
      <c r="K661" s="349">
        <v>18.09</v>
      </c>
      <c r="L661" s="349">
        <v>0</v>
      </c>
      <c r="M661" s="349">
        <v>0</v>
      </c>
      <c r="N661" s="349">
        <v>1</v>
      </c>
      <c r="O661" s="349">
        <f t="shared" si="4"/>
        <v>18.09</v>
      </c>
      <c r="P661" s="373">
        <f t="shared" si="5"/>
        <v>18.09</v>
      </c>
    </row>
    <row r="662" spans="1:16">
      <c r="A662" s="348">
        <v>818</v>
      </c>
      <c r="B662" s="349">
        <v>2265</v>
      </c>
      <c r="C662" s="372" t="s">
        <v>8119</v>
      </c>
      <c r="D662" s="372" t="s">
        <v>45</v>
      </c>
      <c r="E662" s="372" t="s">
        <v>2556</v>
      </c>
      <c r="F662" s="350">
        <v>45604.776388888888</v>
      </c>
      <c r="G662" s="372">
        <v>11</v>
      </c>
      <c r="H662" s="372" t="s">
        <v>2557</v>
      </c>
      <c r="I662" s="349">
        <v>28291</v>
      </c>
      <c r="J662" s="372" t="s">
        <v>8120</v>
      </c>
      <c r="K662" s="349">
        <v>3.29</v>
      </c>
      <c r="L662" s="349">
        <v>0</v>
      </c>
      <c r="M662" s="349">
        <v>0</v>
      </c>
      <c r="N662" s="349">
        <v>1</v>
      </c>
      <c r="O662" s="349">
        <f t="shared" si="4"/>
        <v>3.29</v>
      </c>
      <c r="P662" s="373">
        <f t="shared" si="5"/>
        <v>3.29</v>
      </c>
    </row>
    <row r="663" spans="1:16">
      <c r="A663" s="348">
        <v>819</v>
      </c>
      <c r="B663" s="349">
        <v>2372</v>
      </c>
      <c r="C663" s="372" t="s">
        <v>8121</v>
      </c>
      <c r="D663" s="372" t="s">
        <v>45</v>
      </c>
      <c r="E663" s="372" t="s">
        <v>2556</v>
      </c>
      <c r="F663" s="350">
        <v>45604.917361111111</v>
      </c>
      <c r="G663" s="372">
        <v>11</v>
      </c>
      <c r="H663" s="372" t="s">
        <v>2557</v>
      </c>
      <c r="I663" s="349">
        <v>28327</v>
      </c>
      <c r="J663" s="372" t="s">
        <v>8122</v>
      </c>
      <c r="K663" s="349">
        <v>3.29</v>
      </c>
      <c r="L663" s="349">
        <v>0</v>
      </c>
      <c r="M663" s="349">
        <v>0</v>
      </c>
      <c r="N663" s="349">
        <v>1</v>
      </c>
      <c r="O663" s="349">
        <f t="shared" si="4"/>
        <v>3.29</v>
      </c>
      <c r="P663" s="373">
        <f t="shared" si="5"/>
        <v>3.29</v>
      </c>
    </row>
    <row r="664" spans="1:16">
      <c r="A664" s="348">
        <v>824</v>
      </c>
      <c r="B664" s="349">
        <v>2398</v>
      </c>
      <c r="C664" s="372" t="s">
        <v>8123</v>
      </c>
      <c r="D664" s="372" t="s">
        <v>2582</v>
      </c>
      <c r="E664" s="372" t="s">
        <v>2556</v>
      </c>
      <c r="F664" s="350">
        <v>45605</v>
      </c>
      <c r="G664" s="372">
        <v>11</v>
      </c>
      <c r="H664" s="372" t="s">
        <v>2557</v>
      </c>
      <c r="I664" s="349">
        <v>28387</v>
      </c>
      <c r="J664" s="372"/>
      <c r="K664" s="349">
        <v>0</v>
      </c>
      <c r="L664" s="349">
        <v>0</v>
      </c>
      <c r="M664" s="349">
        <v>0</v>
      </c>
      <c r="N664" s="349">
        <v>7.1697899999999999</v>
      </c>
      <c r="O664" s="349">
        <f t="shared" si="4"/>
        <v>0</v>
      </c>
      <c r="P664" s="373">
        <f t="shared" si="5"/>
        <v>0</v>
      </c>
    </row>
    <row r="665" spans="1:16">
      <c r="A665" s="348">
        <v>820</v>
      </c>
      <c r="B665" s="349">
        <v>396</v>
      </c>
      <c r="C665" s="372" t="s">
        <v>2674</v>
      </c>
      <c r="D665" s="372" t="s">
        <v>45</v>
      </c>
      <c r="E665" s="372" t="s">
        <v>2556</v>
      </c>
      <c r="F665" s="350">
        <v>45605.067361111112</v>
      </c>
      <c r="G665" s="372">
        <v>11</v>
      </c>
      <c r="H665" s="372" t="s">
        <v>2557</v>
      </c>
      <c r="I665" s="349">
        <v>26395</v>
      </c>
      <c r="J665" s="372" t="s">
        <v>8124</v>
      </c>
      <c r="K665" s="349">
        <v>1.0900000000000001</v>
      </c>
      <c r="L665" s="349">
        <v>0</v>
      </c>
      <c r="M665" s="349">
        <v>0</v>
      </c>
      <c r="N665" s="349">
        <v>1</v>
      </c>
      <c r="O665" s="349">
        <f t="shared" si="4"/>
        <v>1.0900000000000001</v>
      </c>
      <c r="P665" s="373">
        <f t="shared" si="5"/>
        <v>1.0900000000000001</v>
      </c>
    </row>
    <row r="666" spans="1:16">
      <c r="A666" s="348">
        <v>821</v>
      </c>
      <c r="B666" s="349">
        <v>2409</v>
      </c>
      <c r="C666" s="372" t="s">
        <v>8125</v>
      </c>
      <c r="D666" s="372" t="s">
        <v>45</v>
      </c>
      <c r="E666" s="372" t="s">
        <v>2556</v>
      </c>
      <c r="F666" s="350">
        <v>45605.175694444442</v>
      </c>
      <c r="G666" s="372">
        <v>11</v>
      </c>
      <c r="H666" s="372" t="s">
        <v>2557</v>
      </c>
      <c r="I666" s="349">
        <v>28339</v>
      </c>
      <c r="J666" s="372" t="s">
        <v>8126</v>
      </c>
      <c r="K666" s="349">
        <v>3.29</v>
      </c>
      <c r="L666" s="349">
        <v>0</v>
      </c>
      <c r="M666" s="349">
        <v>0</v>
      </c>
      <c r="N666" s="349">
        <v>1</v>
      </c>
      <c r="O666" s="349">
        <f t="shared" si="4"/>
        <v>3.29</v>
      </c>
      <c r="P666" s="373">
        <f t="shared" si="5"/>
        <v>3.29</v>
      </c>
    </row>
    <row r="667" spans="1:16">
      <c r="A667" s="348">
        <v>822</v>
      </c>
      <c r="B667" s="349">
        <v>2421</v>
      </c>
      <c r="C667" s="372" t="s">
        <v>8127</v>
      </c>
      <c r="D667" s="372" t="s">
        <v>2582</v>
      </c>
      <c r="E667" s="372" t="s">
        <v>2556</v>
      </c>
      <c r="F667" s="350">
        <v>45605.477083333331</v>
      </c>
      <c r="G667" s="372">
        <v>11</v>
      </c>
      <c r="H667" s="372" t="s">
        <v>2557</v>
      </c>
      <c r="I667" s="349">
        <v>28375</v>
      </c>
      <c r="J667" s="372" t="s">
        <v>8128</v>
      </c>
      <c r="K667" s="349">
        <v>393.55</v>
      </c>
      <c r="L667" s="349">
        <v>0</v>
      </c>
      <c r="M667" s="349">
        <v>0</v>
      </c>
      <c r="N667" s="349">
        <v>7.1697899999999999</v>
      </c>
      <c r="O667" s="349">
        <f t="shared" si="4"/>
        <v>393.55</v>
      </c>
      <c r="P667" s="373">
        <f t="shared" si="5"/>
        <v>54.890031646673059</v>
      </c>
    </row>
    <row r="668" spans="1:16">
      <c r="A668" s="348">
        <v>823</v>
      </c>
      <c r="B668" s="349">
        <v>2366</v>
      </c>
      <c r="C668" s="372" t="s">
        <v>8129</v>
      </c>
      <c r="D668" s="372" t="s">
        <v>45</v>
      </c>
      <c r="E668" s="372" t="s">
        <v>9</v>
      </c>
      <c r="F668" s="350">
        <v>45605.603472222225</v>
      </c>
      <c r="G668" s="372">
        <v>11</v>
      </c>
      <c r="H668" s="372" t="s">
        <v>2557</v>
      </c>
      <c r="I668" s="349">
        <v>28399</v>
      </c>
      <c r="J668" s="372" t="s">
        <v>7165</v>
      </c>
      <c r="K668" s="349">
        <v>1.99</v>
      </c>
      <c r="L668" s="349">
        <v>0.59</v>
      </c>
      <c r="M668" s="349">
        <v>0</v>
      </c>
      <c r="N668" s="349">
        <v>1</v>
      </c>
      <c r="O668" s="349">
        <f t="shared" si="4"/>
        <v>1.4</v>
      </c>
      <c r="P668" s="373">
        <f t="shared" si="5"/>
        <v>1.4</v>
      </c>
    </row>
    <row r="669" spans="1:16">
      <c r="A669" s="348">
        <v>825</v>
      </c>
      <c r="B669" s="349">
        <v>2424</v>
      </c>
      <c r="C669" s="372" t="s">
        <v>8130</v>
      </c>
      <c r="D669" s="372" t="s">
        <v>45</v>
      </c>
      <c r="E669" s="372" t="s">
        <v>2556</v>
      </c>
      <c r="F669" s="350">
        <v>45605.727777777778</v>
      </c>
      <c r="G669" s="372">
        <v>11</v>
      </c>
      <c r="H669" s="372" t="s">
        <v>2557</v>
      </c>
      <c r="I669" s="349">
        <v>28411</v>
      </c>
      <c r="J669" s="372" t="s">
        <v>8131</v>
      </c>
      <c r="K669" s="349">
        <v>1.99</v>
      </c>
      <c r="L669" s="349">
        <v>0</v>
      </c>
      <c r="M669" s="349">
        <v>0</v>
      </c>
      <c r="N669" s="349">
        <v>1</v>
      </c>
      <c r="O669" s="349">
        <f t="shared" si="4"/>
        <v>1.99</v>
      </c>
      <c r="P669" s="373">
        <f t="shared" si="5"/>
        <v>1.99</v>
      </c>
    </row>
    <row r="670" spans="1:16">
      <c r="A670" s="348">
        <v>826</v>
      </c>
      <c r="B670" s="349">
        <v>1630</v>
      </c>
      <c r="C670" s="372" t="s">
        <v>2753</v>
      </c>
      <c r="D670" s="372" t="s">
        <v>45</v>
      </c>
      <c r="E670" s="372" t="s">
        <v>2556</v>
      </c>
      <c r="F670" s="350">
        <v>45605.87777777778</v>
      </c>
      <c r="G670" s="372">
        <v>11</v>
      </c>
      <c r="H670" s="372" t="s">
        <v>2557</v>
      </c>
      <c r="I670" s="349">
        <v>28591</v>
      </c>
      <c r="J670" s="372" t="s">
        <v>8132</v>
      </c>
      <c r="K670" s="349">
        <v>4.3899999999999997</v>
      </c>
      <c r="L670" s="349">
        <v>0</v>
      </c>
      <c r="M670" s="349">
        <v>0</v>
      </c>
      <c r="N670" s="349">
        <v>1</v>
      </c>
      <c r="O670" s="349">
        <f t="shared" si="4"/>
        <v>4.3899999999999997</v>
      </c>
      <c r="P670" s="373">
        <f t="shared" si="5"/>
        <v>4.3899999999999997</v>
      </c>
    </row>
    <row r="671" spans="1:16">
      <c r="A671" s="348">
        <v>827</v>
      </c>
      <c r="B671" s="349">
        <v>2440</v>
      </c>
      <c r="C671" s="372" t="s">
        <v>2598</v>
      </c>
      <c r="D671" s="372" t="s">
        <v>2582</v>
      </c>
      <c r="E671" s="372" t="s">
        <v>2556</v>
      </c>
      <c r="F671" s="350">
        <v>45605.938888888886</v>
      </c>
      <c r="G671" s="372">
        <v>11</v>
      </c>
      <c r="H671" s="372" t="s">
        <v>2557</v>
      </c>
      <c r="I671" s="349">
        <v>28603</v>
      </c>
      <c r="J671" s="372" t="s">
        <v>8133</v>
      </c>
      <c r="K671" s="349">
        <v>14.27</v>
      </c>
      <c r="L671" s="349">
        <v>0</v>
      </c>
      <c r="M671" s="349">
        <v>0</v>
      </c>
      <c r="N671" s="349">
        <v>7.1697899999999999</v>
      </c>
      <c r="O671" s="349">
        <f t="shared" si="4"/>
        <v>14.27</v>
      </c>
      <c r="P671" s="373">
        <f t="shared" si="5"/>
        <v>1.9902953921941926</v>
      </c>
    </row>
    <row r="672" spans="1:16">
      <c r="A672" s="348">
        <v>830</v>
      </c>
      <c r="B672" s="349">
        <v>2462</v>
      </c>
      <c r="C672" s="372" t="s">
        <v>8134</v>
      </c>
      <c r="D672" s="372" t="s">
        <v>45</v>
      </c>
      <c r="E672" s="372" t="s">
        <v>2572</v>
      </c>
      <c r="F672" s="350">
        <v>45606</v>
      </c>
      <c r="G672" s="372">
        <v>11</v>
      </c>
      <c r="H672" s="372" t="s">
        <v>2557</v>
      </c>
      <c r="I672" s="349">
        <v>28663</v>
      </c>
      <c r="J672" s="372"/>
      <c r="K672" s="349">
        <v>0</v>
      </c>
      <c r="L672" s="349">
        <v>0</v>
      </c>
      <c r="M672" s="349">
        <v>0</v>
      </c>
      <c r="N672" s="349">
        <v>1</v>
      </c>
      <c r="O672" s="349">
        <f t="shared" si="4"/>
        <v>0</v>
      </c>
      <c r="P672" s="373">
        <f t="shared" si="5"/>
        <v>0</v>
      </c>
    </row>
    <row r="673" spans="1:16">
      <c r="A673" s="348">
        <v>828</v>
      </c>
      <c r="B673" s="349">
        <v>1836</v>
      </c>
      <c r="C673" s="372" t="s">
        <v>2598</v>
      </c>
      <c r="D673" s="372" t="s">
        <v>2582</v>
      </c>
      <c r="E673" s="372" t="s">
        <v>2556</v>
      </c>
      <c r="F673" s="350">
        <v>45606.531944444447</v>
      </c>
      <c r="G673" s="372">
        <v>11</v>
      </c>
      <c r="H673" s="372" t="s">
        <v>2557</v>
      </c>
      <c r="I673" s="349">
        <v>28639</v>
      </c>
      <c r="J673" s="372" t="s">
        <v>8135</v>
      </c>
      <c r="K673" s="349">
        <v>85.97</v>
      </c>
      <c r="L673" s="349">
        <v>0</v>
      </c>
      <c r="M673" s="349">
        <v>0</v>
      </c>
      <c r="N673" s="349">
        <v>7.1697899999999999</v>
      </c>
      <c r="O673" s="349">
        <f t="shared" si="4"/>
        <v>85.97</v>
      </c>
      <c r="P673" s="373">
        <f t="shared" si="5"/>
        <v>11.990588287802014</v>
      </c>
    </row>
    <row r="674" spans="1:16">
      <c r="A674" s="348">
        <v>829</v>
      </c>
      <c r="B674" s="349">
        <v>392</v>
      </c>
      <c r="C674" s="372" t="s">
        <v>2876</v>
      </c>
      <c r="D674" s="372" t="s">
        <v>2582</v>
      </c>
      <c r="E674" s="372" t="s">
        <v>9</v>
      </c>
      <c r="F674" s="350">
        <v>45606.609722222223</v>
      </c>
      <c r="G674" s="372">
        <v>11</v>
      </c>
      <c r="H674" s="372" t="s">
        <v>2557</v>
      </c>
      <c r="I674" s="349">
        <v>23455</v>
      </c>
      <c r="J674" s="372" t="s">
        <v>7166</v>
      </c>
      <c r="K674" s="349">
        <v>7.75</v>
      </c>
      <c r="L674" s="349">
        <v>3.87</v>
      </c>
      <c r="M674" s="349">
        <v>0</v>
      </c>
      <c r="N674" s="349">
        <v>7.1697899999999999</v>
      </c>
      <c r="O674" s="349">
        <f t="shared" si="4"/>
        <v>3.88</v>
      </c>
      <c r="P674" s="373">
        <f t="shared" si="5"/>
        <v>0.54115950397431445</v>
      </c>
    </row>
    <row r="675" spans="1:16">
      <c r="A675" s="348">
        <v>831</v>
      </c>
      <c r="B675" s="349">
        <v>36</v>
      </c>
      <c r="C675" s="372" t="s">
        <v>2646</v>
      </c>
      <c r="D675" s="372" t="s">
        <v>45</v>
      </c>
      <c r="E675" s="372" t="s">
        <v>2572</v>
      </c>
      <c r="F675" s="350">
        <v>45607</v>
      </c>
      <c r="G675" s="372">
        <v>11</v>
      </c>
      <c r="H675" s="372" t="s">
        <v>2557</v>
      </c>
      <c r="I675" s="349">
        <v>23263</v>
      </c>
      <c r="J675" s="372" t="s">
        <v>8136</v>
      </c>
      <c r="K675" s="349">
        <v>600</v>
      </c>
      <c r="L675" s="349">
        <v>0</v>
      </c>
      <c r="M675" s="349">
        <v>0</v>
      </c>
      <c r="N675" s="349">
        <v>1</v>
      </c>
      <c r="O675" s="349">
        <f t="shared" si="4"/>
        <v>600</v>
      </c>
      <c r="P675" s="373">
        <f t="shared" si="5"/>
        <v>600</v>
      </c>
    </row>
    <row r="676" spans="1:16">
      <c r="A676" s="348">
        <v>832</v>
      </c>
      <c r="B676" s="349">
        <v>1060</v>
      </c>
      <c r="C676" s="372" t="s">
        <v>7932</v>
      </c>
      <c r="D676" s="372" t="s">
        <v>2582</v>
      </c>
      <c r="E676" s="372" t="s">
        <v>2556</v>
      </c>
      <c r="F676" s="350">
        <v>45607.57708333333</v>
      </c>
      <c r="G676" s="372">
        <v>11</v>
      </c>
      <c r="H676" s="372" t="s">
        <v>2557</v>
      </c>
      <c r="I676" s="349">
        <v>23275</v>
      </c>
      <c r="J676" s="372" t="s">
        <v>8137</v>
      </c>
      <c r="K676" s="349">
        <v>21.15</v>
      </c>
      <c r="L676" s="349">
        <v>0</v>
      </c>
      <c r="M676" s="349">
        <v>0</v>
      </c>
      <c r="N676" s="349">
        <v>7.1697899999999999</v>
      </c>
      <c r="O676" s="349">
        <f t="shared" si="4"/>
        <v>21.15</v>
      </c>
      <c r="P676" s="373">
        <f t="shared" si="5"/>
        <v>2.9498771930558636</v>
      </c>
    </row>
    <row r="677" spans="1:16">
      <c r="A677" s="348">
        <v>833</v>
      </c>
      <c r="B677" s="349">
        <v>1060</v>
      </c>
      <c r="C677" s="372" t="s">
        <v>7932</v>
      </c>
      <c r="D677" s="372" t="s">
        <v>2582</v>
      </c>
      <c r="E677" s="372" t="s">
        <v>2556</v>
      </c>
      <c r="F677" s="350">
        <v>45607.935416666667</v>
      </c>
      <c r="G677" s="372">
        <v>11</v>
      </c>
      <c r="H677" s="372" t="s">
        <v>2557</v>
      </c>
      <c r="I677" s="349">
        <v>23275</v>
      </c>
      <c r="J677" s="372"/>
      <c r="K677" s="349">
        <v>0.01</v>
      </c>
      <c r="L677" s="349">
        <v>0</v>
      </c>
      <c r="M677" s="349">
        <v>0</v>
      </c>
      <c r="N677" s="349">
        <v>7.1697899999999999</v>
      </c>
      <c r="O677" s="349">
        <f t="shared" si="4"/>
        <v>0.01</v>
      </c>
      <c r="P677" s="373">
        <f t="shared" si="5"/>
        <v>1.3947409896245219E-3</v>
      </c>
    </row>
    <row r="678" spans="1:16">
      <c r="A678" s="348">
        <v>834</v>
      </c>
      <c r="B678" s="349">
        <v>2518</v>
      </c>
      <c r="C678" s="372" t="s">
        <v>4748</v>
      </c>
      <c r="D678" s="372" t="s">
        <v>45</v>
      </c>
      <c r="E678" s="372" t="s">
        <v>2556</v>
      </c>
      <c r="F678" s="350">
        <v>45608.00277777778</v>
      </c>
      <c r="G678" s="372">
        <v>11</v>
      </c>
      <c r="H678" s="372" t="s">
        <v>2557</v>
      </c>
      <c r="I678" s="349">
        <v>28711</v>
      </c>
      <c r="J678" s="372" t="s">
        <v>8138</v>
      </c>
      <c r="K678" s="349">
        <v>12.04</v>
      </c>
      <c r="L678" s="349">
        <v>0</v>
      </c>
      <c r="M678" s="349">
        <v>0</v>
      </c>
      <c r="N678" s="349">
        <v>1</v>
      </c>
      <c r="O678" s="349">
        <f t="shared" si="4"/>
        <v>12.04</v>
      </c>
      <c r="P678" s="373">
        <f t="shared" si="5"/>
        <v>12.04</v>
      </c>
    </row>
    <row r="679" spans="1:16">
      <c r="A679" s="348">
        <v>835</v>
      </c>
      <c r="B679" s="349">
        <v>1560</v>
      </c>
      <c r="C679" s="372" t="s">
        <v>2630</v>
      </c>
      <c r="D679" s="372" t="s">
        <v>45</v>
      </c>
      <c r="E679" s="372" t="s">
        <v>2556</v>
      </c>
      <c r="F679" s="350">
        <v>45608.482638888891</v>
      </c>
      <c r="G679" s="372">
        <v>11</v>
      </c>
      <c r="H679" s="372" t="s">
        <v>2557</v>
      </c>
      <c r="I679" s="349">
        <v>28759</v>
      </c>
      <c r="J679" s="372" t="s">
        <v>8139</v>
      </c>
      <c r="K679" s="349">
        <v>8.9700000000000006</v>
      </c>
      <c r="L679" s="349">
        <v>0</v>
      </c>
      <c r="M679" s="349">
        <v>0</v>
      </c>
      <c r="N679" s="349">
        <v>1</v>
      </c>
      <c r="O679" s="349">
        <f t="shared" si="4"/>
        <v>8.9700000000000006</v>
      </c>
      <c r="P679" s="373">
        <f t="shared" si="5"/>
        <v>8.9700000000000006</v>
      </c>
    </row>
    <row r="680" spans="1:16">
      <c r="A680" s="348">
        <v>836</v>
      </c>
      <c r="B680" s="349">
        <v>1836</v>
      </c>
      <c r="C680" s="372" t="s">
        <v>2598</v>
      </c>
      <c r="D680" s="372" t="s">
        <v>2582</v>
      </c>
      <c r="E680" s="372" t="s">
        <v>2556</v>
      </c>
      <c r="F680" s="350">
        <v>45608.938888888886</v>
      </c>
      <c r="G680" s="372">
        <v>11</v>
      </c>
      <c r="H680" s="372" t="s">
        <v>2557</v>
      </c>
      <c r="I680" s="349">
        <v>28783</v>
      </c>
      <c r="J680" s="372" t="s">
        <v>8140</v>
      </c>
      <c r="K680" s="349">
        <v>2074.25</v>
      </c>
      <c r="L680" s="349">
        <v>0</v>
      </c>
      <c r="M680" s="349">
        <v>0</v>
      </c>
      <c r="N680" s="349">
        <v>7.2029899999999998</v>
      </c>
      <c r="O680" s="349">
        <f t="shared" si="4"/>
        <v>2074.25</v>
      </c>
      <c r="P680" s="373">
        <f t="shared" si="5"/>
        <v>287.97068994959039</v>
      </c>
    </row>
    <row r="681" spans="1:16">
      <c r="A681" s="348">
        <v>837</v>
      </c>
      <c r="B681" s="349">
        <v>1836</v>
      </c>
      <c r="C681" s="372" t="s">
        <v>2598</v>
      </c>
      <c r="D681" s="372" t="s">
        <v>2582</v>
      </c>
      <c r="E681" s="372" t="s">
        <v>2556</v>
      </c>
      <c r="F681" s="350">
        <v>45608.942361111112</v>
      </c>
      <c r="G681" s="372">
        <v>11</v>
      </c>
      <c r="H681" s="372" t="s">
        <v>2557</v>
      </c>
      <c r="I681" s="349">
        <v>28783</v>
      </c>
      <c r="J681" s="372"/>
      <c r="K681" s="349">
        <v>0.03</v>
      </c>
      <c r="L681" s="349">
        <v>0</v>
      </c>
      <c r="M681" s="349">
        <v>0</v>
      </c>
      <c r="N681" s="349">
        <v>7.2029899999999998</v>
      </c>
      <c r="O681" s="349">
        <f t="shared" si="4"/>
        <v>0.03</v>
      </c>
      <c r="P681" s="373">
        <f t="shared" si="5"/>
        <v>4.1649370608594482E-3</v>
      </c>
    </row>
    <row r="682" spans="1:16">
      <c r="A682" s="348">
        <v>838</v>
      </c>
      <c r="B682" s="349">
        <v>2547</v>
      </c>
      <c r="C682" s="372" t="s">
        <v>8141</v>
      </c>
      <c r="D682" s="372" t="s">
        <v>45</v>
      </c>
      <c r="E682" s="372" t="s">
        <v>2556</v>
      </c>
      <c r="F682" s="350">
        <v>45608.995138888888</v>
      </c>
      <c r="G682" s="372">
        <v>11</v>
      </c>
      <c r="H682" s="372" t="s">
        <v>2557</v>
      </c>
      <c r="I682" s="349">
        <v>28807</v>
      </c>
      <c r="J682" s="372" t="s">
        <v>8142</v>
      </c>
      <c r="K682" s="349">
        <v>2.99</v>
      </c>
      <c r="L682" s="349">
        <v>0</v>
      </c>
      <c r="M682" s="349">
        <v>0</v>
      </c>
      <c r="N682" s="349">
        <v>1</v>
      </c>
      <c r="O682" s="349">
        <f t="shared" si="4"/>
        <v>2.99</v>
      </c>
      <c r="P682" s="373">
        <f t="shared" si="5"/>
        <v>2.99</v>
      </c>
    </row>
    <row r="683" spans="1:16">
      <c r="A683" s="348">
        <v>839</v>
      </c>
      <c r="B683" s="349">
        <v>479</v>
      </c>
      <c r="C683" s="372" t="s">
        <v>2964</v>
      </c>
      <c r="D683" s="372" t="s">
        <v>45</v>
      </c>
      <c r="E683" s="372" t="s">
        <v>2556</v>
      </c>
      <c r="F683" s="350">
        <v>45609.45</v>
      </c>
      <c r="G683" s="372">
        <v>11</v>
      </c>
      <c r="H683" s="372" t="s">
        <v>2557</v>
      </c>
      <c r="I683" s="349">
        <v>26371</v>
      </c>
      <c r="J683" s="372" t="s">
        <v>8143</v>
      </c>
      <c r="K683" s="349">
        <v>1.0900000000000001</v>
      </c>
      <c r="L683" s="349">
        <v>0</v>
      </c>
      <c r="M683" s="349">
        <v>0</v>
      </c>
      <c r="N683" s="349">
        <v>1</v>
      </c>
      <c r="O683" s="349">
        <f t="shared" si="4"/>
        <v>1.0900000000000001</v>
      </c>
      <c r="P683" s="373">
        <f t="shared" si="5"/>
        <v>1.0900000000000001</v>
      </c>
    </row>
    <row r="684" spans="1:16">
      <c r="A684" s="348">
        <v>840</v>
      </c>
      <c r="B684" s="349">
        <v>254</v>
      </c>
      <c r="C684" s="372" t="s">
        <v>2751</v>
      </c>
      <c r="D684" s="372" t="s">
        <v>2582</v>
      </c>
      <c r="E684" s="372" t="s">
        <v>2556</v>
      </c>
      <c r="F684" s="350">
        <v>45609.694444444445</v>
      </c>
      <c r="G684" s="372">
        <v>11</v>
      </c>
      <c r="H684" s="372" t="s">
        <v>2557</v>
      </c>
      <c r="I684" s="349">
        <v>25891</v>
      </c>
      <c r="J684" s="372" t="s">
        <v>8144</v>
      </c>
      <c r="K684" s="349">
        <v>7.74</v>
      </c>
      <c r="L684" s="349">
        <v>0</v>
      </c>
      <c r="M684" s="349">
        <v>0</v>
      </c>
      <c r="N684" s="349">
        <v>7.2318899999999999</v>
      </c>
      <c r="O684" s="349">
        <f t="shared" si="4"/>
        <v>7.74</v>
      </c>
      <c r="P684" s="373">
        <f t="shared" si="5"/>
        <v>1.0702596416704346</v>
      </c>
    </row>
    <row r="685" spans="1:16">
      <c r="A685" s="348">
        <v>841</v>
      </c>
      <c r="B685" s="349">
        <v>2626</v>
      </c>
      <c r="C685" s="372" t="s">
        <v>8145</v>
      </c>
      <c r="D685" s="372" t="s">
        <v>45</v>
      </c>
      <c r="E685" s="372" t="s">
        <v>2556</v>
      </c>
      <c r="F685" s="350">
        <v>45610.001388888886</v>
      </c>
      <c r="G685" s="372">
        <v>11</v>
      </c>
      <c r="H685" s="372" t="s">
        <v>2557</v>
      </c>
      <c r="I685" s="349">
        <v>28831</v>
      </c>
      <c r="J685" s="372" t="s">
        <v>8146</v>
      </c>
      <c r="K685" s="349">
        <v>2.99</v>
      </c>
      <c r="L685" s="349">
        <v>0</v>
      </c>
      <c r="M685" s="349">
        <v>0</v>
      </c>
      <c r="N685" s="349">
        <v>1</v>
      </c>
      <c r="O685" s="349">
        <f t="shared" si="4"/>
        <v>2.99</v>
      </c>
      <c r="P685" s="373">
        <f t="shared" si="5"/>
        <v>2.99</v>
      </c>
    </row>
    <row r="686" spans="1:16">
      <c r="A686" s="348">
        <v>842</v>
      </c>
      <c r="B686" s="349">
        <v>1580</v>
      </c>
      <c r="C686" s="372" t="s">
        <v>8021</v>
      </c>
      <c r="D686" s="372" t="s">
        <v>45</v>
      </c>
      <c r="E686" s="372" t="s">
        <v>9</v>
      </c>
      <c r="F686" s="350">
        <v>45610.436805555553</v>
      </c>
      <c r="G686" s="372">
        <v>11</v>
      </c>
      <c r="H686" s="372" t="s">
        <v>2557</v>
      </c>
      <c r="I686" s="349">
        <v>28939</v>
      </c>
      <c r="J686" s="372" t="s">
        <v>7168</v>
      </c>
      <c r="K686" s="349">
        <v>2.99</v>
      </c>
      <c r="L686" s="349">
        <v>0.64</v>
      </c>
      <c r="M686" s="349">
        <v>0</v>
      </c>
      <c r="N686" s="349">
        <v>1</v>
      </c>
      <c r="O686" s="349">
        <f t="shared" si="4"/>
        <v>2.35</v>
      </c>
      <c r="P686" s="373">
        <f t="shared" si="5"/>
        <v>2.35</v>
      </c>
    </row>
    <row r="687" spans="1:16">
      <c r="A687" s="348">
        <v>843</v>
      </c>
      <c r="B687" s="349">
        <v>1560</v>
      </c>
      <c r="C687" s="372" t="s">
        <v>2630</v>
      </c>
      <c r="D687" s="372" t="s">
        <v>45</v>
      </c>
      <c r="E687" s="372" t="s">
        <v>2556</v>
      </c>
      <c r="F687" s="350">
        <v>45610.453472222223</v>
      </c>
      <c r="G687" s="372">
        <v>11</v>
      </c>
      <c r="H687" s="372" t="s">
        <v>2557</v>
      </c>
      <c r="I687" s="349">
        <v>28951</v>
      </c>
      <c r="J687" s="372" t="s">
        <v>8147</v>
      </c>
      <c r="K687" s="349">
        <v>5.98</v>
      </c>
      <c r="L687" s="349">
        <v>0</v>
      </c>
      <c r="M687" s="349">
        <v>0</v>
      </c>
      <c r="N687" s="349">
        <v>1</v>
      </c>
      <c r="O687" s="349">
        <f t="shared" si="4"/>
        <v>5.98</v>
      </c>
      <c r="P687" s="373">
        <f t="shared" si="5"/>
        <v>5.98</v>
      </c>
    </row>
    <row r="688" spans="1:16">
      <c r="A688" s="348">
        <v>844</v>
      </c>
      <c r="B688" s="349">
        <v>2666</v>
      </c>
      <c r="C688" s="372" t="s">
        <v>8148</v>
      </c>
      <c r="D688" s="372" t="s">
        <v>45</v>
      </c>
      <c r="E688" s="372" t="s">
        <v>9</v>
      </c>
      <c r="F688" s="350">
        <v>45610.578472222223</v>
      </c>
      <c r="G688" s="372">
        <v>11</v>
      </c>
      <c r="H688" s="372" t="s">
        <v>2557</v>
      </c>
      <c r="I688" s="349">
        <v>28963</v>
      </c>
      <c r="J688" s="372" t="s">
        <v>7170</v>
      </c>
      <c r="K688" s="349">
        <v>2.99</v>
      </c>
      <c r="L688" s="349">
        <v>0.64</v>
      </c>
      <c r="M688" s="349">
        <v>0</v>
      </c>
      <c r="N688" s="349">
        <v>1</v>
      </c>
      <c r="O688" s="349">
        <f t="shared" si="4"/>
        <v>2.35</v>
      </c>
      <c r="P688" s="373">
        <f t="shared" si="5"/>
        <v>2.35</v>
      </c>
    </row>
    <row r="689" spans="1:16">
      <c r="A689" s="348">
        <v>845</v>
      </c>
      <c r="B689" s="349">
        <v>1175</v>
      </c>
      <c r="C689" s="372" t="s">
        <v>8149</v>
      </c>
      <c r="D689" s="372" t="s">
        <v>45</v>
      </c>
      <c r="E689" s="372" t="s">
        <v>2556</v>
      </c>
      <c r="F689" s="350">
        <v>45610.59375</v>
      </c>
      <c r="G689" s="372">
        <v>11</v>
      </c>
      <c r="H689" s="372" t="s">
        <v>2557</v>
      </c>
      <c r="I689" s="349">
        <v>28975</v>
      </c>
      <c r="J689" s="372" t="s">
        <v>8150</v>
      </c>
      <c r="K689" s="349">
        <v>3.99</v>
      </c>
      <c r="L689" s="349">
        <v>0</v>
      </c>
      <c r="M689" s="349">
        <v>0</v>
      </c>
      <c r="N689" s="349">
        <v>1</v>
      </c>
      <c r="O689" s="349">
        <f t="shared" si="4"/>
        <v>3.99</v>
      </c>
      <c r="P689" s="373">
        <f t="shared" si="5"/>
        <v>3.99</v>
      </c>
    </row>
    <row r="690" spans="1:16">
      <c r="A690" s="348">
        <v>846</v>
      </c>
      <c r="B690" s="349">
        <v>1175</v>
      </c>
      <c r="C690" s="372" t="s">
        <v>8149</v>
      </c>
      <c r="D690" s="372" t="s">
        <v>45</v>
      </c>
      <c r="E690" s="372" t="s">
        <v>2556</v>
      </c>
      <c r="F690" s="350">
        <v>45610.594444444447</v>
      </c>
      <c r="G690" s="372">
        <v>11</v>
      </c>
      <c r="H690" s="372" t="s">
        <v>2557</v>
      </c>
      <c r="I690" s="349">
        <v>28975</v>
      </c>
      <c r="J690" s="372" t="s">
        <v>8150</v>
      </c>
      <c r="K690" s="349">
        <v>3.99</v>
      </c>
      <c r="L690" s="349">
        <v>0</v>
      </c>
      <c r="M690" s="349">
        <v>0</v>
      </c>
      <c r="N690" s="349">
        <v>1</v>
      </c>
      <c r="O690" s="349">
        <f t="shared" si="4"/>
        <v>3.99</v>
      </c>
      <c r="P690" s="373">
        <f t="shared" si="5"/>
        <v>3.99</v>
      </c>
    </row>
    <row r="691" spans="1:16">
      <c r="A691" s="348">
        <v>847</v>
      </c>
      <c r="B691" s="349">
        <v>2676</v>
      </c>
      <c r="C691" s="372" t="s">
        <v>2598</v>
      </c>
      <c r="D691" s="372" t="s">
        <v>45</v>
      </c>
      <c r="E691" s="372" t="s">
        <v>2556</v>
      </c>
      <c r="F691" s="350">
        <v>45610.776388888888</v>
      </c>
      <c r="G691" s="372">
        <v>11</v>
      </c>
      <c r="H691" s="372" t="s">
        <v>2557</v>
      </c>
      <c r="I691" s="349">
        <v>28999</v>
      </c>
      <c r="J691" s="372" t="s">
        <v>8151</v>
      </c>
      <c r="K691" s="349">
        <v>7.19</v>
      </c>
      <c r="L691" s="349">
        <v>0</v>
      </c>
      <c r="M691" s="349">
        <v>0</v>
      </c>
      <c r="N691" s="349">
        <v>1</v>
      </c>
      <c r="O691" s="349">
        <f t="shared" si="4"/>
        <v>7.19</v>
      </c>
      <c r="P691" s="373">
        <f t="shared" si="5"/>
        <v>7.19</v>
      </c>
    </row>
    <row r="692" spans="1:16">
      <c r="A692" s="348">
        <v>848</v>
      </c>
      <c r="B692" s="349">
        <v>2686</v>
      </c>
      <c r="C692" s="372" t="s">
        <v>8152</v>
      </c>
      <c r="D692" s="372" t="s">
        <v>45</v>
      </c>
      <c r="E692" s="372" t="s">
        <v>2556</v>
      </c>
      <c r="F692" s="350">
        <v>45610.929861111108</v>
      </c>
      <c r="G692" s="372">
        <v>11</v>
      </c>
      <c r="H692" s="372" t="s">
        <v>2557</v>
      </c>
      <c r="I692" s="349">
        <v>29011</v>
      </c>
      <c r="J692" s="372" t="s">
        <v>8153</v>
      </c>
      <c r="K692" s="349">
        <v>3.99</v>
      </c>
      <c r="L692" s="349">
        <v>0</v>
      </c>
      <c r="M692" s="349">
        <v>0</v>
      </c>
      <c r="N692" s="349">
        <v>1</v>
      </c>
      <c r="O692" s="349">
        <f t="shared" si="4"/>
        <v>3.99</v>
      </c>
      <c r="P692" s="373">
        <f t="shared" si="5"/>
        <v>3.99</v>
      </c>
    </row>
    <row r="693" spans="1:16">
      <c r="A693" s="348">
        <v>849</v>
      </c>
      <c r="B693" s="349">
        <v>2696</v>
      </c>
      <c r="C693" s="372" t="s">
        <v>8154</v>
      </c>
      <c r="D693" s="372" t="s">
        <v>45</v>
      </c>
      <c r="E693" s="372" t="s">
        <v>2556</v>
      </c>
      <c r="F693" s="350">
        <v>45611.001388888886</v>
      </c>
      <c r="G693" s="372">
        <v>11</v>
      </c>
      <c r="H693" s="372" t="s">
        <v>2557</v>
      </c>
      <c r="I693" s="349">
        <v>29023</v>
      </c>
      <c r="J693" s="372" t="s">
        <v>8155</v>
      </c>
      <c r="K693" s="349">
        <v>3.99</v>
      </c>
      <c r="L693" s="349">
        <v>0</v>
      </c>
      <c r="M693" s="349">
        <v>0</v>
      </c>
      <c r="N693" s="349">
        <v>1</v>
      </c>
      <c r="O693" s="349">
        <f t="shared" si="4"/>
        <v>3.99</v>
      </c>
      <c r="P693" s="373">
        <f t="shared" si="5"/>
        <v>3.99</v>
      </c>
    </row>
    <row r="694" spans="1:16">
      <c r="A694" s="348">
        <v>850</v>
      </c>
      <c r="B694" s="349">
        <v>2667</v>
      </c>
      <c r="C694" s="372" t="s">
        <v>8119</v>
      </c>
      <c r="D694" s="372" t="s">
        <v>45</v>
      </c>
      <c r="E694" s="372" t="s">
        <v>2556</v>
      </c>
      <c r="F694" s="350">
        <v>45611.109722222223</v>
      </c>
      <c r="G694" s="372">
        <v>11</v>
      </c>
      <c r="H694" s="372" t="s">
        <v>2557</v>
      </c>
      <c r="I694" s="349">
        <v>28987</v>
      </c>
      <c r="J694" s="372" t="s">
        <v>8156</v>
      </c>
      <c r="K694" s="349">
        <v>3.99</v>
      </c>
      <c r="L694" s="349">
        <v>0</v>
      </c>
      <c r="M694" s="349">
        <v>0</v>
      </c>
      <c r="N694" s="349">
        <v>1</v>
      </c>
      <c r="O694" s="349">
        <f t="shared" si="4"/>
        <v>3.99</v>
      </c>
      <c r="P694" s="373">
        <f t="shared" si="5"/>
        <v>3.99</v>
      </c>
    </row>
    <row r="695" spans="1:16">
      <c r="A695" s="348">
        <v>851</v>
      </c>
      <c r="B695" s="349">
        <v>2742</v>
      </c>
      <c r="C695" s="372" t="s">
        <v>2598</v>
      </c>
      <c r="D695" s="372" t="s">
        <v>45</v>
      </c>
      <c r="E695" s="372" t="s">
        <v>9</v>
      </c>
      <c r="F695" s="350">
        <v>45611.696527777778</v>
      </c>
      <c r="G695" s="372">
        <v>11</v>
      </c>
      <c r="H695" s="372" t="s">
        <v>2557</v>
      </c>
      <c r="I695" s="349">
        <v>29071</v>
      </c>
      <c r="J695" s="372" t="s">
        <v>7171</v>
      </c>
      <c r="K695" s="349">
        <v>17.989999999999998</v>
      </c>
      <c r="L695" s="349">
        <v>1.39</v>
      </c>
      <c r="M695" s="349">
        <v>0</v>
      </c>
      <c r="N695" s="349">
        <v>1</v>
      </c>
      <c r="O695" s="349">
        <f t="shared" si="4"/>
        <v>16.599999999999998</v>
      </c>
      <c r="P695" s="373">
        <f t="shared" si="5"/>
        <v>16.599999999999998</v>
      </c>
    </row>
    <row r="696" spans="1:16">
      <c r="A696" s="348">
        <v>852</v>
      </c>
      <c r="B696" s="349">
        <v>417</v>
      </c>
      <c r="C696" s="372" t="s">
        <v>2682</v>
      </c>
      <c r="D696" s="372" t="s">
        <v>2582</v>
      </c>
      <c r="E696" s="372" t="s">
        <v>2556</v>
      </c>
      <c r="F696" s="350">
        <v>45611.712500000001</v>
      </c>
      <c r="G696" s="372">
        <v>11</v>
      </c>
      <c r="H696" s="372" t="s">
        <v>2557</v>
      </c>
      <c r="I696" s="349">
        <v>25447</v>
      </c>
      <c r="J696" s="372" t="s">
        <v>8157</v>
      </c>
      <c r="K696" s="349">
        <v>7.68</v>
      </c>
      <c r="L696" s="349">
        <v>0</v>
      </c>
      <c r="M696" s="349">
        <v>0</v>
      </c>
      <c r="N696" s="349">
        <v>7.2407700000000004</v>
      </c>
      <c r="O696" s="349">
        <f t="shared" si="4"/>
        <v>7.68</v>
      </c>
      <c r="P696" s="373">
        <f t="shared" si="5"/>
        <v>1.0606606755911319</v>
      </c>
    </row>
    <row r="697" spans="1:16">
      <c r="A697" s="348">
        <v>853</v>
      </c>
      <c r="B697" s="349">
        <v>417</v>
      </c>
      <c r="C697" s="372" t="s">
        <v>2682</v>
      </c>
      <c r="D697" s="372" t="s">
        <v>2582</v>
      </c>
      <c r="E697" s="372" t="s">
        <v>2556</v>
      </c>
      <c r="F697" s="350">
        <v>45611.718055555553</v>
      </c>
      <c r="G697" s="372">
        <v>11</v>
      </c>
      <c r="H697" s="372" t="s">
        <v>2557</v>
      </c>
      <c r="I697" s="349">
        <v>25447</v>
      </c>
      <c r="J697" s="372"/>
      <c r="K697" s="349">
        <v>0.02</v>
      </c>
      <c r="L697" s="349">
        <v>0</v>
      </c>
      <c r="M697" s="349">
        <v>0</v>
      </c>
      <c r="N697" s="349">
        <v>7.2407700000000004</v>
      </c>
      <c r="O697" s="349">
        <f t="shared" si="4"/>
        <v>0.02</v>
      </c>
      <c r="P697" s="373">
        <f t="shared" si="5"/>
        <v>2.7621371760185726E-3</v>
      </c>
    </row>
    <row r="698" spans="1:16">
      <c r="A698" s="348">
        <v>854</v>
      </c>
      <c r="B698" s="349">
        <v>1836</v>
      </c>
      <c r="C698" s="372" t="s">
        <v>2598</v>
      </c>
      <c r="D698" s="372" t="s">
        <v>2582</v>
      </c>
      <c r="E698" s="372" t="s">
        <v>2556</v>
      </c>
      <c r="F698" s="350">
        <v>45612.59375</v>
      </c>
      <c r="G698" s="372">
        <v>11</v>
      </c>
      <c r="H698" s="372" t="s">
        <v>2557</v>
      </c>
      <c r="I698" s="349">
        <v>28795</v>
      </c>
      <c r="J698" s="372" t="s">
        <v>8158</v>
      </c>
      <c r="K698" s="349">
        <v>86.44</v>
      </c>
      <c r="L698" s="349">
        <v>0</v>
      </c>
      <c r="M698" s="349">
        <v>0</v>
      </c>
      <c r="N698" s="349">
        <v>7.2278200000000004</v>
      </c>
      <c r="O698" s="349">
        <f t="shared" si="4"/>
        <v>86.44</v>
      </c>
      <c r="P698" s="373">
        <f t="shared" si="5"/>
        <v>11.959345971537752</v>
      </c>
    </row>
    <row r="699" spans="1:16">
      <c r="A699" s="348">
        <v>855</v>
      </c>
      <c r="B699" s="349">
        <v>2048</v>
      </c>
      <c r="C699" s="372" t="s">
        <v>8159</v>
      </c>
      <c r="D699" s="372" t="s">
        <v>45</v>
      </c>
      <c r="E699" s="372" t="s">
        <v>9</v>
      </c>
      <c r="F699" s="350">
        <v>45612.779166666667</v>
      </c>
      <c r="G699" s="372">
        <v>11</v>
      </c>
      <c r="H699" s="372" t="s">
        <v>2557</v>
      </c>
      <c r="I699" s="349">
        <v>29179</v>
      </c>
      <c r="J699" s="372" t="s">
        <v>7173</v>
      </c>
      <c r="K699" s="349">
        <v>3.99</v>
      </c>
      <c r="L699" s="349">
        <v>0.69</v>
      </c>
      <c r="M699" s="349">
        <v>0</v>
      </c>
      <c r="N699" s="349">
        <v>1</v>
      </c>
      <c r="O699" s="349">
        <f t="shared" si="4"/>
        <v>3.3000000000000003</v>
      </c>
      <c r="P699" s="373">
        <f t="shared" si="5"/>
        <v>3.3000000000000003</v>
      </c>
    </row>
    <row r="700" spans="1:16">
      <c r="A700" s="348">
        <v>856</v>
      </c>
      <c r="B700" s="349">
        <v>351</v>
      </c>
      <c r="C700" s="372" t="s">
        <v>2707</v>
      </c>
      <c r="D700" s="372" t="s">
        <v>45</v>
      </c>
      <c r="E700" s="372" t="s">
        <v>9</v>
      </c>
      <c r="F700" s="350">
        <v>45613.470833333333</v>
      </c>
      <c r="G700" s="372">
        <v>11</v>
      </c>
      <c r="H700" s="372" t="s">
        <v>2557</v>
      </c>
      <c r="I700" s="349">
        <v>29743</v>
      </c>
      <c r="J700" s="372" t="s">
        <v>7174</v>
      </c>
      <c r="K700" s="349">
        <v>1.0900000000000001</v>
      </c>
      <c r="L700" s="349">
        <v>0.54</v>
      </c>
      <c r="M700" s="349">
        <v>0</v>
      </c>
      <c r="N700" s="349">
        <v>1</v>
      </c>
      <c r="O700" s="349">
        <f t="shared" si="4"/>
        <v>0.55000000000000004</v>
      </c>
      <c r="P700" s="373">
        <f t="shared" si="5"/>
        <v>0.55000000000000004</v>
      </c>
    </row>
    <row r="701" spans="1:16">
      <c r="A701" s="348">
        <v>857</v>
      </c>
      <c r="B701" s="349">
        <v>1021</v>
      </c>
      <c r="C701" s="372" t="s">
        <v>2598</v>
      </c>
      <c r="D701" s="372" t="s">
        <v>2582</v>
      </c>
      <c r="E701" s="372" t="s">
        <v>2556</v>
      </c>
      <c r="F701" s="350">
        <v>45613.615277777775</v>
      </c>
      <c r="G701" s="372">
        <v>11</v>
      </c>
      <c r="H701" s="372" t="s">
        <v>2557</v>
      </c>
      <c r="I701" s="349">
        <v>27991</v>
      </c>
      <c r="J701" s="372" t="s">
        <v>8160</v>
      </c>
      <c r="K701" s="349">
        <v>21.25</v>
      </c>
      <c r="L701" s="349">
        <v>0</v>
      </c>
      <c r="M701" s="349">
        <v>0</v>
      </c>
      <c r="N701" s="349">
        <v>7.2278200000000004</v>
      </c>
      <c r="O701" s="349">
        <f t="shared" si="4"/>
        <v>21.25</v>
      </c>
      <c r="P701" s="373">
        <f t="shared" si="5"/>
        <v>2.9400289437202365</v>
      </c>
    </row>
    <row r="702" spans="1:16">
      <c r="A702" s="348">
        <v>858</v>
      </c>
      <c r="B702" s="349">
        <v>423</v>
      </c>
      <c r="C702" s="372" t="s">
        <v>7830</v>
      </c>
      <c r="D702" s="372" t="s">
        <v>2582</v>
      </c>
      <c r="E702" s="372" t="s">
        <v>2556</v>
      </c>
      <c r="F702" s="350">
        <v>45613.655555555553</v>
      </c>
      <c r="G702" s="372">
        <v>11</v>
      </c>
      <c r="H702" s="372" t="s">
        <v>2557</v>
      </c>
      <c r="I702" s="349">
        <v>26419</v>
      </c>
      <c r="J702" s="372" t="s">
        <v>8161</v>
      </c>
      <c r="K702" s="349">
        <v>7.66</v>
      </c>
      <c r="L702" s="349">
        <v>0</v>
      </c>
      <c r="M702" s="349">
        <v>0</v>
      </c>
      <c r="N702" s="349">
        <v>7.2278200000000004</v>
      </c>
      <c r="O702" s="349">
        <f t="shared" si="4"/>
        <v>7.66</v>
      </c>
      <c r="P702" s="373">
        <f t="shared" si="5"/>
        <v>1.059793962771624</v>
      </c>
    </row>
    <row r="703" spans="1:16">
      <c r="A703" s="348">
        <v>859</v>
      </c>
      <c r="B703" s="349">
        <v>423</v>
      </c>
      <c r="C703" s="372" t="s">
        <v>7830</v>
      </c>
      <c r="D703" s="372" t="s">
        <v>2582</v>
      </c>
      <c r="E703" s="372" t="s">
        <v>2556</v>
      </c>
      <c r="F703" s="350">
        <v>45613.665972222225</v>
      </c>
      <c r="G703" s="372">
        <v>11</v>
      </c>
      <c r="H703" s="372" t="s">
        <v>2557</v>
      </c>
      <c r="I703" s="349">
        <v>26419</v>
      </c>
      <c r="J703" s="372"/>
      <c r="K703" s="349">
        <v>0.03</v>
      </c>
      <c r="L703" s="349">
        <v>0</v>
      </c>
      <c r="M703" s="349">
        <v>0</v>
      </c>
      <c r="N703" s="349">
        <v>7.2278200000000004</v>
      </c>
      <c r="O703" s="349">
        <f t="shared" si="4"/>
        <v>0.03</v>
      </c>
      <c r="P703" s="373">
        <f t="shared" si="5"/>
        <v>4.1506290970168037E-3</v>
      </c>
    </row>
    <row r="704" spans="1:16">
      <c r="A704" s="348">
        <v>860</v>
      </c>
      <c r="B704" s="349">
        <v>127</v>
      </c>
      <c r="C704" s="372" t="s">
        <v>7478</v>
      </c>
      <c r="D704" s="372" t="s">
        <v>45</v>
      </c>
      <c r="E704" s="372" t="s">
        <v>2556</v>
      </c>
      <c r="F704" s="350">
        <v>45614.402777777781</v>
      </c>
      <c r="G704" s="372">
        <v>11</v>
      </c>
      <c r="H704" s="372" t="s">
        <v>2557</v>
      </c>
      <c r="I704" s="349">
        <v>26383</v>
      </c>
      <c r="J704" s="372" t="s">
        <v>8162</v>
      </c>
      <c r="K704" s="349">
        <v>1.0900000000000001</v>
      </c>
      <c r="L704" s="349">
        <v>0</v>
      </c>
      <c r="M704" s="349">
        <v>0</v>
      </c>
      <c r="N704" s="349">
        <v>1</v>
      </c>
      <c r="O704" s="349">
        <f t="shared" si="4"/>
        <v>1.0900000000000001</v>
      </c>
      <c r="P704" s="373">
        <f t="shared" si="5"/>
        <v>1.0900000000000001</v>
      </c>
    </row>
    <row r="705" spans="1:16">
      <c r="A705" s="348">
        <v>861</v>
      </c>
      <c r="B705" s="349">
        <v>2847</v>
      </c>
      <c r="C705" s="372" t="s">
        <v>8163</v>
      </c>
      <c r="D705" s="372" t="s">
        <v>45</v>
      </c>
      <c r="E705" s="372" t="s">
        <v>2556</v>
      </c>
      <c r="F705" s="350">
        <v>45614.524305555555</v>
      </c>
      <c r="G705" s="372">
        <v>11</v>
      </c>
      <c r="H705" s="372" t="s">
        <v>2557</v>
      </c>
      <c r="I705" s="349">
        <v>29911</v>
      </c>
      <c r="J705" s="372" t="s">
        <v>8164</v>
      </c>
      <c r="K705" s="349">
        <v>5.99</v>
      </c>
      <c r="L705" s="349">
        <v>0</v>
      </c>
      <c r="M705" s="349">
        <v>0</v>
      </c>
      <c r="N705" s="349">
        <v>1</v>
      </c>
      <c r="O705" s="349">
        <f t="shared" si="4"/>
        <v>5.99</v>
      </c>
      <c r="P705" s="373">
        <f t="shared" si="5"/>
        <v>5.99</v>
      </c>
    </row>
    <row r="706" spans="1:16">
      <c r="A706" s="348">
        <v>862</v>
      </c>
      <c r="B706" s="349">
        <v>2867</v>
      </c>
      <c r="C706" s="372" t="s">
        <v>8165</v>
      </c>
      <c r="D706" s="372" t="s">
        <v>45</v>
      </c>
      <c r="E706" s="372" t="s">
        <v>2556</v>
      </c>
      <c r="F706" s="350">
        <v>45614.772916666669</v>
      </c>
      <c r="G706" s="372">
        <v>11</v>
      </c>
      <c r="H706" s="372" t="s">
        <v>2557</v>
      </c>
      <c r="I706" s="349">
        <v>29947</v>
      </c>
      <c r="J706" s="372" t="s">
        <v>8166</v>
      </c>
      <c r="K706" s="349">
        <v>4.79</v>
      </c>
      <c r="L706" s="349">
        <v>0</v>
      </c>
      <c r="M706" s="349">
        <v>0</v>
      </c>
      <c r="N706" s="349">
        <v>1</v>
      </c>
      <c r="O706" s="349">
        <f t="shared" si="4"/>
        <v>4.79</v>
      </c>
      <c r="P706" s="373">
        <f t="shared" si="5"/>
        <v>4.79</v>
      </c>
    </row>
    <row r="707" spans="1:16">
      <c r="A707" s="348">
        <v>863</v>
      </c>
      <c r="B707" s="349">
        <v>2864</v>
      </c>
      <c r="C707" s="372" t="s">
        <v>8167</v>
      </c>
      <c r="D707" s="372" t="s">
        <v>45</v>
      </c>
      <c r="E707" s="372" t="s">
        <v>2556</v>
      </c>
      <c r="F707" s="350">
        <v>45614.785416666666</v>
      </c>
      <c r="G707" s="372">
        <v>11</v>
      </c>
      <c r="H707" s="372" t="s">
        <v>2557</v>
      </c>
      <c r="I707" s="349">
        <v>29935</v>
      </c>
      <c r="J707" s="372" t="s">
        <v>8168</v>
      </c>
      <c r="K707" s="349">
        <v>2.99</v>
      </c>
      <c r="L707" s="349">
        <v>0</v>
      </c>
      <c r="M707" s="349">
        <v>0</v>
      </c>
      <c r="N707" s="349">
        <v>1</v>
      </c>
      <c r="O707" s="349">
        <f t="shared" si="4"/>
        <v>2.99</v>
      </c>
      <c r="P707" s="373">
        <f t="shared" si="5"/>
        <v>2.99</v>
      </c>
    </row>
    <row r="708" spans="1:16">
      <c r="A708" s="348">
        <v>864</v>
      </c>
      <c r="B708" s="349">
        <v>2667</v>
      </c>
      <c r="C708" s="372" t="s">
        <v>8119</v>
      </c>
      <c r="D708" s="372" t="s">
        <v>45</v>
      </c>
      <c r="E708" s="372" t="s">
        <v>2556</v>
      </c>
      <c r="F708" s="350">
        <v>45615.613194444442</v>
      </c>
      <c r="G708" s="372">
        <v>11</v>
      </c>
      <c r="H708" s="372" t="s">
        <v>2557</v>
      </c>
      <c r="I708" s="349">
        <v>30223</v>
      </c>
      <c r="J708" s="372" t="s">
        <v>8169</v>
      </c>
      <c r="K708" s="349">
        <v>1</v>
      </c>
      <c r="L708" s="349">
        <v>0</v>
      </c>
      <c r="M708" s="349">
        <v>0</v>
      </c>
      <c r="N708" s="349">
        <v>1</v>
      </c>
      <c r="O708" s="349">
        <f t="shared" si="4"/>
        <v>1</v>
      </c>
      <c r="P708" s="373">
        <f t="shared" si="5"/>
        <v>1</v>
      </c>
    </row>
    <row r="709" spans="1:16">
      <c r="A709" s="348">
        <v>865</v>
      </c>
      <c r="B709" s="349">
        <v>1560</v>
      </c>
      <c r="C709" s="372" t="s">
        <v>2630</v>
      </c>
      <c r="D709" s="372" t="s">
        <v>45</v>
      </c>
      <c r="E709" s="372" t="s">
        <v>2556</v>
      </c>
      <c r="F709" s="350">
        <v>45616.390277777777</v>
      </c>
      <c r="G709" s="372">
        <v>11</v>
      </c>
      <c r="H709" s="372" t="s">
        <v>2557</v>
      </c>
      <c r="I709" s="349">
        <v>30511</v>
      </c>
      <c r="J709" s="372" t="s">
        <v>8170</v>
      </c>
      <c r="K709" s="349">
        <v>2.99</v>
      </c>
      <c r="L709" s="349">
        <v>0</v>
      </c>
      <c r="M709" s="349">
        <v>0</v>
      </c>
      <c r="N709" s="349">
        <v>1</v>
      </c>
      <c r="O709" s="349">
        <f t="shared" si="4"/>
        <v>2.99</v>
      </c>
      <c r="P709" s="373">
        <f t="shared" si="5"/>
        <v>2.99</v>
      </c>
    </row>
    <row r="710" spans="1:16">
      <c r="A710" s="348">
        <v>866</v>
      </c>
      <c r="B710" s="349">
        <v>3179</v>
      </c>
      <c r="C710" s="372" t="s">
        <v>8171</v>
      </c>
      <c r="D710" s="372" t="s">
        <v>45</v>
      </c>
      <c r="E710" s="372" t="s">
        <v>9</v>
      </c>
      <c r="F710" s="350">
        <v>45616.703472222223</v>
      </c>
      <c r="G710" s="372">
        <v>11</v>
      </c>
      <c r="H710" s="372" t="s">
        <v>2557</v>
      </c>
      <c r="I710" s="349">
        <v>30571</v>
      </c>
      <c r="J710" s="372" t="s">
        <v>7176</v>
      </c>
      <c r="K710" s="349">
        <v>29.99</v>
      </c>
      <c r="L710" s="349">
        <v>1.99</v>
      </c>
      <c r="M710" s="349">
        <v>0</v>
      </c>
      <c r="N710" s="349">
        <v>1</v>
      </c>
      <c r="O710" s="349">
        <f t="shared" si="4"/>
        <v>28</v>
      </c>
      <c r="P710" s="373">
        <f t="shared" si="5"/>
        <v>28</v>
      </c>
    </row>
    <row r="711" spans="1:16">
      <c r="A711" s="348">
        <v>867</v>
      </c>
      <c r="B711" s="349">
        <v>3216</v>
      </c>
      <c r="C711" s="372" t="s">
        <v>8172</v>
      </c>
      <c r="D711" s="372" t="s">
        <v>45</v>
      </c>
      <c r="E711" s="372" t="s">
        <v>2556</v>
      </c>
      <c r="F711" s="350">
        <v>45616.948611111111</v>
      </c>
      <c r="G711" s="372">
        <v>11</v>
      </c>
      <c r="H711" s="372" t="s">
        <v>2557</v>
      </c>
      <c r="I711" s="349">
        <v>30607</v>
      </c>
      <c r="J711" s="372" t="s">
        <v>8173</v>
      </c>
      <c r="K711" s="349">
        <v>23.99</v>
      </c>
      <c r="L711" s="349">
        <v>0</v>
      </c>
      <c r="M711" s="349">
        <v>0</v>
      </c>
      <c r="N711" s="349">
        <v>1</v>
      </c>
      <c r="O711" s="349">
        <f t="shared" si="4"/>
        <v>23.99</v>
      </c>
      <c r="P711" s="373">
        <f t="shared" si="5"/>
        <v>23.99</v>
      </c>
    </row>
    <row r="712" spans="1:16">
      <c r="A712" s="348">
        <v>868</v>
      </c>
      <c r="B712" s="349">
        <v>3219</v>
      </c>
      <c r="C712" s="372" t="s">
        <v>8174</v>
      </c>
      <c r="D712" s="372" t="s">
        <v>45</v>
      </c>
      <c r="E712" s="372" t="s">
        <v>2556</v>
      </c>
      <c r="F712" s="350">
        <v>45616.96597222222</v>
      </c>
      <c r="G712" s="372">
        <v>11</v>
      </c>
      <c r="H712" s="372" t="s">
        <v>2557</v>
      </c>
      <c r="I712" s="349">
        <v>30631</v>
      </c>
      <c r="J712" s="372" t="s">
        <v>8175</v>
      </c>
      <c r="K712" s="349">
        <v>14.39</v>
      </c>
      <c r="L712" s="349">
        <v>0</v>
      </c>
      <c r="M712" s="349">
        <v>0</v>
      </c>
      <c r="N712" s="349">
        <v>1</v>
      </c>
      <c r="O712" s="349">
        <f t="shared" si="4"/>
        <v>14.39</v>
      </c>
      <c r="P712" s="373">
        <f t="shared" si="5"/>
        <v>14.39</v>
      </c>
    </row>
    <row r="713" spans="1:16">
      <c r="A713" s="348">
        <v>869</v>
      </c>
      <c r="B713" s="349">
        <v>3224</v>
      </c>
      <c r="C713" s="372" t="s">
        <v>6404</v>
      </c>
      <c r="D713" s="372" t="s">
        <v>45</v>
      </c>
      <c r="E713" s="372" t="s">
        <v>2556</v>
      </c>
      <c r="F713" s="350">
        <v>45616.968055555553</v>
      </c>
      <c r="G713" s="372">
        <v>11</v>
      </c>
      <c r="H713" s="372" t="s">
        <v>2557</v>
      </c>
      <c r="I713" s="349">
        <v>30643</v>
      </c>
      <c r="J713" s="372" t="s">
        <v>8176</v>
      </c>
      <c r="K713" s="349">
        <v>1.0900000000000001</v>
      </c>
      <c r="L713" s="349">
        <v>0</v>
      </c>
      <c r="M713" s="349">
        <v>0</v>
      </c>
      <c r="N713" s="349">
        <v>1</v>
      </c>
      <c r="O713" s="349">
        <f t="shared" si="4"/>
        <v>1.0900000000000001</v>
      </c>
      <c r="P713" s="373">
        <f t="shared" si="5"/>
        <v>1.0900000000000001</v>
      </c>
    </row>
    <row r="714" spans="1:16">
      <c r="A714" s="348">
        <v>870</v>
      </c>
      <c r="B714" s="349">
        <v>3229</v>
      </c>
      <c r="C714" s="372" t="s">
        <v>2762</v>
      </c>
      <c r="D714" s="372" t="s">
        <v>45</v>
      </c>
      <c r="E714" s="372" t="s">
        <v>2556</v>
      </c>
      <c r="F714" s="350">
        <v>45616.996527777781</v>
      </c>
      <c r="G714" s="372">
        <v>11</v>
      </c>
      <c r="H714" s="372" t="s">
        <v>2557</v>
      </c>
      <c r="I714" s="349">
        <v>30655</v>
      </c>
      <c r="J714" s="372" t="s">
        <v>8177</v>
      </c>
      <c r="K714" s="349">
        <v>1.99</v>
      </c>
      <c r="L714" s="349">
        <v>0</v>
      </c>
      <c r="M714" s="349">
        <v>0</v>
      </c>
      <c r="N714" s="349">
        <v>1</v>
      </c>
      <c r="O714" s="349">
        <f t="shared" si="4"/>
        <v>1.99</v>
      </c>
      <c r="P714" s="373">
        <f t="shared" si="5"/>
        <v>1.99</v>
      </c>
    </row>
    <row r="715" spans="1:16">
      <c r="A715" s="348">
        <v>871</v>
      </c>
      <c r="B715" s="349">
        <v>3239</v>
      </c>
      <c r="C715" s="372" t="s">
        <v>4663</v>
      </c>
      <c r="D715" s="372" t="s">
        <v>45</v>
      </c>
      <c r="E715" s="372" t="s">
        <v>2556</v>
      </c>
      <c r="F715" s="350">
        <v>45617.123611111114</v>
      </c>
      <c r="G715" s="372">
        <v>11</v>
      </c>
      <c r="H715" s="372" t="s">
        <v>2557</v>
      </c>
      <c r="I715" s="349">
        <v>30679</v>
      </c>
      <c r="J715" s="372" t="s">
        <v>8178</v>
      </c>
      <c r="K715" s="349">
        <v>12.59</v>
      </c>
      <c r="L715" s="349">
        <v>0</v>
      </c>
      <c r="M715" s="349">
        <v>0</v>
      </c>
      <c r="N715" s="349">
        <v>1</v>
      </c>
      <c r="O715" s="349">
        <f t="shared" si="4"/>
        <v>12.59</v>
      </c>
      <c r="P715" s="373">
        <f t="shared" si="5"/>
        <v>12.59</v>
      </c>
    </row>
    <row r="716" spans="1:16">
      <c r="A716" s="348">
        <v>872</v>
      </c>
      <c r="B716" s="349">
        <v>3252</v>
      </c>
      <c r="C716" s="372"/>
      <c r="D716" s="372" t="s">
        <v>45</v>
      </c>
      <c r="E716" s="372" t="s">
        <v>2556</v>
      </c>
      <c r="F716" s="350">
        <v>45617.59375</v>
      </c>
      <c r="G716" s="372">
        <v>11</v>
      </c>
      <c r="H716" s="372" t="s">
        <v>2557</v>
      </c>
      <c r="I716" s="349">
        <v>30859</v>
      </c>
      <c r="J716" s="372" t="s">
        <v>8179</v>
      </c>
      <c r="K716" s="349">
        <v>57.89</v>
      </c>
      <c r="L716" s="349">
        <v>0</v>
      </c>
      <c r="M716" s="349">
        <v>0</v>
      </c>
      <c r="N716" s="349">
        <v>7.2455999999999996</v>
      </c>
      <c r="O716" s="349">
        <f t="shared" si="4"/>
        <v>57.89</v>
      </c>
      <c r="P716" s="373">
        <f t="shared" si="5"/>
        <v>57.89</v>
      </c>
    </row>
    <row r="717" spans="1:16">
      <c r="A717" s="348">
        <v>873</v>
      </c>
      <c r="B717" s="349">
        <v>3229</v>
      </c>
      <c r="C717" s="372" t="s">
        <v>2762</v>
      </c>
      <c r="D717" s="372" t="s">
        <v>45</v>
      </c>
      <c r="E717" s="372" t="s">
        <v>2556</v>
      </c>
      <c r="F717" s="350">
        <v>45617.663194444445</v>
      </c>
      <c r="G717" s="372">
        <v>11</v>
      </c>
      <c r="H717" s="372" t="s">
        <v>2557</v>
      </c>
      <c r="I717" s="349">
        <v>30883</v>
      </c>
      <c r="J717" s="372" t="s">
        <v>8180</v>
      </c>
      <c r="K717" s="349">
        <v>4.79</v>
      </c>
      <c r="L717" s="349">
        <v>0</v>
      </c>
      <c r="M717" s="349">
        <v>0</v>
      </c>
      <c r="N717" s="349">
        <v>1</v>
      </c>
      <c r="O717" s="349">
        <f t="shared" si="4"/>
        <v>4.79</v>
      </c>
      <c r="P717" s="373">
        <f t="shared" si="5"/>
        <v>4.79</v>
      </c>
    </row>
    <row r="718" spans="1:16">
      <c r="A718" s="348">
        <v>874</v>
      </c>
      <c r="B718" s="349">
        <v>3256</v>
      </c>
      <c r="C718" s="372" t="s">
        <v>8181</v>
      </c>
      <c r="D718" s="372" t="s">
        <v>45</v>
      </c>
      <c r="E718" s="372" t="s">
        <v>2556</v>
      </c>
      <c r="F718" s="350">
        <v>45617.679166666669</v>
      </c>
      <c r="G718" s="372">
        <v>11</v>
      </c>
      <c r="H718" s="372" t="s">
        <v>2557</v>
      </c>
      <c r="I718" s="349">
        <v>30895</v>
      </c>
      <c r="J718" s="372" t="s">
        <v>8182</v>
      </c>
      <c r="K718" s="349">
        <v>2.99</v>
      </c>
      <c r="L718" s="349">
        <v>0</v>
      </c>
      <c r="M718" s="349">
        <v>0</v>
      </c>
      <c r="N718" s="349">
        <v>1</v>
      </c>
      <c r="O718" s="349">
        <f t="shared" si="4"/>
        <v>2.99</v>
      </c>
      <c r="P718" s="373">
        <f t="shared" si="5"/>
        <v>2.99</v>
      </c>
    </row>
    <row r="719" spans="1:16">
      <c r="A719" s="348">
        <v>875</v>
      </c>
      <c r="B719" s="349">
        <v>3259</v>
      </c>
      <c r="C719" s="372" t="s">
        <v>8183</v>
      </c>
      <c r="D719" s="372" t="s">
        <v>45</v>
      </c>
      <c r="E719" s="372" t="s">
        <v>2556</v>
      </c>
      <c r="F719" s="350">
        <v>45617.713194444441</v>
      </c>
      <c r="G719" s="372">
        <v>11</v>
      </c>
      <c r="H719" s="372" t="s">
        <v>2557</v>
      </c>
      <c r="I719" s="349">
        <v>30919</v>
      </c>
      <c r="J719" s="372" t="s">
        <v>8184</v>
      </c>
      <c r="K719" s="349">
        <v>2.99</v>
      </c>
      <c r="L719" s="349">
        <v>0</v>
      </c>
      <c r="M719" s="349">
        <v>0</v>
      </c>
      <c r="N719" s="349">
        <v>1</v>
      </c>
      <c r="O719" s="349">
        <f t="shared" si="4"/>
        <v>2.99</v>
      </c>
      <c r="P719" s="373">
        <f t="shared" si="5"/>
        <v>2.99</v>
      </c>
    </row>
    <row r="720" spans="1:16">
      <c r="A720" s="348">
        <v>876</v>
      </c>
      <c r="B720" s="349">
        <v>2864</v>
      </c>
      <c r="C720" s="372" t="s">
        <v>8167</v>
      </c>
      <c r="D720" s="372" t="s">
        <v>45</v>
      </c>
      <c r="E720" s="372" t="s">
        <v>2556</v>
      </c>
      <c r="F720" s="350">
        <v>45617.715277777781</v>
      </c>
      <c r="G720" s="372">
        <v>11</v>
      </c>
      <c r="H720" s="372" t="s">
        <v>2557</v>
      </c>
      <c r="I720" s="349">
        <v>30931</v>
      </c>
      <c r="J720" s="372" t="s">
        <v>8185</v>
      </c>
      <c r="K720" s="349">
        <v>1.99</v>
      </c>
      <c r="L720" s="349">
        <v>0</v>
      </c>
      <c r="M720" s="349">
        <v>0</v>
      </c>
      <c r="N720" s="349">
        <v>1</v>
      </c>
      <c r="O720" s="349">
        <f t="shared" si="4"/>
        <v>1.99</v>
      </c>
      <c r="P720" s="373">
        <f t="shared" si="5"/>
        <v>1.99</v>
      </c>
    </row>
    <row r="721" spans="1:16">
      <c r="A721" s="348">
        <v>877</v>
      </c>
      <c r="B721" s="349">
        <v>3254</v>
      </c>
      <c r="C721" s="372" t="s">
        <v>8186</v>
      </c>
      <c r="D721" s="372" t="s">
        <v>2582</v>
      </c>
      <c r="E721" s="372" t="s">
        <v>2556</v>
      </c>
      <c r="F721" s="350">
        <v>45617.856249999997</v>
      </c>
      <c r="G721" s="372">
        <v>11</v>
      </c>
      <c r="H721" s="372" t="s">
        <v>2557</v>
      </c>
      <c r="I721" s="349">
        <v>30979</v>
      </c>
      <c r="J721" s="372" t="s">
        <v>8187</v>
      </c>
      <c r="K721" s="349">
        <v>173.89</v>
      </c>
      <c r="L721" s="349">
        <v>0</v>
      </c>
      <c r="M721" s="349">
        <v>0</v>
      </c>
      <c r="N721" s="349">
        <v>7.2455999999999996</v>
      </c>
      <c r="O721" s="349">
        <f t="shared" si="4"/>
        <v>173.89</v>
      </c>
      <c r="P721" s="373">
        <f t="shared" si="5"/>
        <v>23.999392734901182</v>
      </c>
    </row>
    <row r="722" spans="1:16">
      <c r="A722" s="348">
        <v>878</v>
      </c>
      <c r="B722" s="349">
        <v>3257</v>
      </c>
      <c r="C722" s="372" t="s">
        <v>8188</v>
      </c>
      <c r="D722" s="372" t="s">
        <v>2582</v>
      </c>
      <c r="E722" s="372" t="s">
        <v>2556</v>
      </c>
      <c r="F722" s="350">
        <v>45617.915277777778</v>
      </c>
      <c r="G722" s="372">
        <v>11</v>
      </c>
      <c r="H722" s="372" t="s">
        <v>2557</v>
      </c>
      <c r="I722" s="349">
        <v>31015</v>
      </c>
      <c r="J722" s="372" t="s">
        <v>8189</v>
      </c>
      <c r="K722" s="349">
        <v>91.29</v>
      </c>
      <c r="L722" s="349">
        <v>0</v>
      </c>
      <c r="M722" s="349">
        <v>0</v>
      </c>
      <c r="N722" s="349">
        <v>7.2455999999999996</v>
      </c>
      <c r="O722" s="349">
        <f t="shared" si="4"/>
        <v>91.29</v>
      </c>
      <c r="P722" s="373">
        <f t="shared" si="5"/>
        <v>12.599370652533953</v>
      </c>
    </row>
    <row r="723" spans="1:16">
      <c r="A723" s="348">
        <v>879</v>
      </c>
      <c r="B723" s="349">
        <v>3258</v>
      </c>
      <c r="C723" s="372" t="s">
        <v>8190</v>
      </c>
      <c r="D723" s="372" t="s">
        <v>2582</v>
      </c>
      <c r="E723" s="372" t="s">
        <v>2556</v>
      </c>
      <c r="F723" s="350">
        <v>45617.92083333333</v>
      </c>
      <c r="G723" s="372">
        <v>11</v>
      </c>
      <c r="H723" s="372" t="s">
        <v>2557</v>
      </c>
      <c r="I723" s="349">
        <v>31051</v>
      </c>
      <c r="J723" s="372" t="s">
        <v>8191</v>
      </c>
      <c r="K723" s="349">
        <v>91.29</v>
      </c>
      <c r="L723" s="349">
        <v>0</v>
      </c>
      <c r="M723" s="349">
        <v>0</v>
      </c>
      <c r="N723" s="349">
        <v>7.2455999999999996</v>
      </c>
      <c r="O723" s="349">
        <f t="shared" si="4"/>
        <v>91.29</v>
      </c>
      <c r="P723" s="373">
        <f t="shared" si="5"/>
        <v>12.599370652533953</v>
      </c>
    </row>
    <row r="724" spans="1:16">
      <c r="A724" s="348">
        <v>880</v>
      </c>
      <c r="B724" s="349">
        <v>3265</v>
      </c>
      <c r="C724" s="372" t="s">
        <v>288</v>
      </c>
      <c r="D724" s="372" t="s">
        <v>45</v>
      </c>
      <c r="E724" s="372" t="s">
        <v>9</v>
      </c>
      <c r="F724" s="350">
        <v>45617.921527777777</v>
      </c>
      <c r="G724" s="372">
        <v>11</v>
      </c>
      <c r="H724" s="372" t="s">
        <v>2557</v>
      </c>
      <c r="I724" s="349">
        <v>31039</v>
      </c>
      <c r="J724" s="372" t="s">
        <v>7177</v>
      </c>
      <c r="K724" s="349">
        <v>1.0900000000000001</v>
      </c>
      <c r="L724" s="349">
        <v>0.53</v>
      </c>
      <c r="M724" s="349">
        <v>0</v>
      </c>
      <c r="N724" s="349">
        <v>1</v>
      </c>
      <c r="O724" s="349">
        <f t="shared" si="4"/>
        <v>0.56000000000000005</v>
      </c>
      <c r="P724" s="373">
        <f t="shared" si="5"/>
        <v>0.56000000000000005</v>
      </c>
    </row>
    <row r="725" spans="1:16">
      <c r="A725" s="348">
        <v>881</v>
      </c>
      <c r="B725" s="349">
        <v>3271</v>
      </c>
      <c r="C725" s="372" t="s">
        <v>3288</v>
      </c>
      <c r="D725" s="372" t="s">
        <v>45</v>
      </c>
      <c r="E725" s="372" t="s">
        <v>2556</v>
      </c>
      <c r="F725" s="350">
        <v>45617.925694444442</v>
      </c>
      <c r="G725" s="372">
        <v>11</v>
      </c>
      <c r="H725" s="372" t="s">
        <v>2557</v>
      </c>
      <c r="I725" s="349">
        <v>31111</v>
      </c>
      <c r="J725" s="372" t="s">
        <v>8192</v>
      </c>
      <c r="K725" s="349">
        <v>12.59</v>
      </c>
      <c r="L725" s="349">
        <v>0</v>
      </c>
      <c r="M725" s="349">
        <v>0</v>
      </c>
      <c r="N725" s="349">
        <v>1</v>
      </c>
      <c r="O725" s="349">
        <f t="shared" si="4"/>
        <v>12.59</v>
      </c>
      <c r="P725" s="373">
        <f t="shared" si="5"/>
        <v>12.59</v>
      </c>
    </row>
    <row r="726" spans="1:16">
      <c r="A726" s="348">
        <v>882</v>
      </c>
      <c r="B726" s="349">
        <v>3270</v>
      </c>
      <c r="C726" s="372" t="s">
        <v>8193</v>
      </c>
      <c r="D726" s="372" t="s">
        <v>45</v>
      </c>
      <c r="E726" s="372" t="s">
        <v>9</v>
      </c>
      <c r="F726" s="350">
        <v>45617.927777777775</v>
      </c>
      <c r="G726" s="372">
        <v>11</v>
      </c>
      <c r="H726" s="372" t="s">
        <v>2557</v>
      </c>
      <c r="I726" s="349">
        <v>31099</v>
      </c>
      <c r="J726" s="372" t="s">
        <v>7179</v>
      </c>
      <c r="K726" s="349">
        <v>12.59</v>
      </c>
      <c r="L726" s="349">
        <v>1.1200000000000001</v>
      </c>
      <c r="M726" s="349">
        <v>0</v>
      </c>
      <c r="N726" s="349">
        <v>1</v>
      </c>
      <c r="O726" s="349">
        <f t="shared" si="4"/>
        <v>11.469999999999999</v>
      </c>
      <c r="P726" s="373">
        <f t="shared" si="5"/>
        <v>11.469999999999999</v>
      </c>
    </row>
    <row r="727" spans="1:16">
      <c r="A727" s="348">
        <v>883</v>
      </c>
      <c r="B727" s="349">
        <v>3269</v>
      </c>
      <c r="C727" s="372" t="s">
        <v>8194</v>
      </c>
      <c r="D727" s="372" t="s">
        <v>45</v>
      </c>
      <c r="E727" s="372" t="s">
        <v>2556</v>
      </c>
      <c r="F727" s="350">
        <v>45617.932638888888</v>
      </c>
      <c r="G727" s="372">
        <v>11</v>
      </c>
      <c r="H727" s="372" t="s">
        <v>2557</v>
      </c>
      <c r="I727" s="349">
        <v>31087</v>
      </c>
      <c r="J727" s="372" t="s">
        <v>8195</v>
      </c>
      <c r="K727" s="349">
        <v>12.59</v>
      </c>
      <c r="L727" s="349">
        <v>0</v>
      </c>
      <c r="M727" s="349">
        <v>0</v>
      </c>
      <c r="N727" s="349">
        <v>1</v>
      </c>
      <c r="O727" s="349">
        <f t="shared" si="4"/>
        <v>12.59</v>
      </c>
      <c r="P727" s="373">
        <f t="shared" si="5"/>
        <v>12.59</v>
      </c>
    </row>
    <row r="728" spans="1:16">
      <c r="A728" s="348">
        <v>884</v>
      </c>
      <c r="B728" s="349">
        <v>3272</v>
      </c>
      <c r="C728" s="372" t="s">
        <v>4084</v>
      </c>
      <c r="D728" s="372" t="s">
        <v>45</v>
      </c>
      <c r="E728" s="372" t="s">
        <v>2556</v>
      </c>
      <c r="F728" s="350">
        <v>45617.935416666667</v>
      </c>
      <c r="G728" s="372">
        <v>11</v>
      </c>
      <c r="H728" s="372" t="s">
        <v>2557</v>
      </c>
      <c r="I728" s="349">
        <v>31135</v>
      </c>
      <c r="J728" s="372" t="s">
        <v>8196</v>
      </c>
      <c r="K728" s="349">
        <v>12.59</v>
      </c>
      <c r="L728" s="349">
        <v>0</v>
      </c>
      <c r="M728" s="349">
        <v>0</v>
      </c>
      <c r="N728" s="349">
        <v>1</v>
      </c>
      <c r="O728" s="349">
        <f t="shared" si="4"/>
        <v>12.59</v>
      </c>
      <c r="P728" s="373">
        <f t="shared" si="5"/>
        <v>12.59</v>
      </c>
    </row>
    <row r="729" spans="1:16">
      <c r="A729" s="348">
        <v>885</v>
      </c>
      <c r="B729" s="349">
        <v>1747</v>
      </c>
      <c r="C729" s="372" t="s">
        <v>8197</v>
      </c>
      <c r="D729" s="372" t="s">
        <v>2582</v>
      </c>
      <c r="E729" s="372" t="s">
        <v>2556</v>
      </c>
      <c r="F729" s="350">
        <v>45617.939583333333</v>
      </c>
      <c r="G729" s="372">
        <v>11</v>
      </c>
      <c r="H729" s="372" t="s">
        <v>2557</v>
      </c>
      <c r="I729" s="349">
        <v>31027</v>
      </c>
      <c r="J729" s="372" t="s">
        <v>8198</v>
      </c>
      <c r="K729" s="349">
        <v>91.29</v>
      </c>
      <c r="L729" s="349">
        <v>0</v>
      </c>
      <c r="M729" s="349">
        <v>0</v>
      </c>
      <c r="N729" s="349">
        <v>7.2455999999999996</v>
      </c>
      <c r="O729" s="349">
        <f t="shared" si="4"/>
        <v>91.29</v>
      </c>
      <c r="P729" s="373">
        <f t="shared" si="5"/>
        <v>12.599370652533953</v>
      </c>
    </row>
    <row r="730" spans="1:16">
      <c r="A730" s="348">
        <v>886</v>
      </c>
      <c r="B730" s="349">
        <v>127</v>
      </c>
      <c r="C730" s="372" t="s">
        <v>7478</v>
      </c>
      <c r="D730" s="372" t="s">
        <v>45</v>
      </c>
      <c r="E730" s="372" t="s">
        <v>2556</v>
      </c>
      <c r="F730" s="350">
        <v>45617.963194444441</v>
      </c>
      <c r="G730" s="372">
        <v>11</v>
      </c>
      <c r="H730" s="372" t="s">
        <v>2557</v>
      </c>
      <c r="I730" s="349">
        <v>31171</v>
      </c>
      <c r="J730" s="372" t="s">
        <v>8199</v>
      </c>
      <c r="K730" s="349">
        <v>12.59</v>
      </c>
      <c r="L730" s="349">
        <v>0</v>
      </c>
      <c r="M730" s="349">
        <v>0</v>
      </c>
      <c r="N730" s="349">
        <v>1</v>
      </c>
      <c r="O730" s="349">
        <f t="shared" si="4"/>
        <v>12.59</v>
      </c>
      <c r="P730" s="373">
        <f t="shared" si="5"/>
        <v>12.59</v>
      </c>
    </row>
    <row r="731" spans="1:16">
      <c r="A731" s="348">
        <v>887</v>
      </c>
      <c r="B731" s="349">
        <v>3256</v>
      </c>
      <c r="C731" s="372" t="s">
        <v>8181</v>
      </c>
      <c r="D731" s="372" t="s">
        <v>45</v>
      </c>
      <c r="E731" s="372" t="s">
        <v>2556</v>
      </c>
      <c r="F731" s="350">
        <v>45617.966666666667</v>
      </c>
      <c r="G731" s="372">
        <v>11</v>
      </c>
      <c r="H731" s="372" t="s">
        <v>2557</v>
      </c>
      <c r="I731" s="349">
        <v>30943</v>
      </c>
      <c r="J731" s="372" t="s">
        <v>8200</v>
      </c>
      <c r="K731" s="349">
        <v>17.989999999999998</v>
      </c>
      <c r="L731" s="349">
        <v>0</v>
      </c>
      <c r="M731" s="349">
        <v>0</v>
      </c>
      <c r="N731" s="349">
        <v>1</v>
      </c>
      <c r="O731" s="349">
        <f t="shared" si="4"/>
        <v>17.989999999999998</v>
      </c>
      <c r="P731" s="373">
        <f t="shared" si="5"/>
        <v>17.989999999999998</v>
      </c>
    </row>
    <row r="732" spans="1:16">
      <c r="A732" s="348">
        <v>893</v>
      </c>
      <c r="B732" s="349">
        <v>3290</v>
      </c>
      <c r="C732" s="372" t="s">
        <v>8201</v>
      </c>
      <c r="D732" s="372" t="s">
        <v>45</v>
      </c>
      <c r="E732" s="372" t="s">
        <v>2556</v>
      </c>
      <c r="F732" s="350">
        <v>45618</v>
      </c>
      <c r="G732" s="372">
        <v>11</v>
      </c>
      <c r="H732" s="372" t="s">
        <v>2557</v>
      </c>
      <c r="I732" s="349">
        <v>31399</v>
      </c>
      <c r="J732" s="372"/>
      <c r="K732" s="349">
        <v>0</v>
      </c>
      <c r="L732" s="349">
        <v>0</v>
      </c>
      <c r="M732" s="349">
        <v>0</v>
      </c>
      <c r="N732" s="349">
        <v>1</v>
      </c>
      <c r="O732" s="349">
        <f t="shared" si="4"/>
        <v>0</v>
      </c>
      <c r="P732" s="373">
        <f t="shared" si="5"/>
        <v>0</v>
      </c>
    </row>
    <row r="733" spans="1:16">
      <c r="A733" s="348">
        <v>888</v>
      </c>
      <c r="B733" s="349">
        <v>3274</v>
      </c>
      <c r="C733" s="372" t="s">
        <v>6189</v>
      </c>
      <c r="D733" s="372" t="s">
        <v>45</v>
      </c>
      <c r="E733" s="372" t="s">
        <v>2572</v>
      </c>
      <c r="F733" s="350">
        <v>45618.006944444445</v>
      </c>
      <c r="G733" s="372">
        <v>11</v>
      </c>
      <c r="H733" s="372" t="s">
        <v>2557</v>
      </c>
      <c r="I733" s="349">
        <v>31183</v>
      </c>
      <c r="J733" s="372" t="s">
        <v>8202</v>
      </c>
      <c r="K733" s="349">
        <v>16.190000000000001</v>
      </c>
      <c r="L733" s="349">
        <v>0</v>
      </c>
      <c r="M733" s="349">
        <v>0</v>
      </c>
      <c r="N733" s="349">
        <v>1</v>
      </c>
      <c r="O733" s="349">
        <f t="shared" si="4"/>
        <v>16.190000000000001</v>
      </c>
      <c r="P733" s="373">
        <f t="shared" si="5"/>
        <v>16.190000000000001</v>
      </c>
    </row>
    <row r="734" spans="1:16">
      <c r="A734" s="348">
        <v>889</v>
      </c>
      <c r="B734" s="349">
        <v>3276</v>
      </c>
      <c r="C734" s="372" t="s">
        <v>8203</v>
      </c>
      <c r="D734" s="372" t="s">
        <v>45</v>
      </c>
      <c r="E734" s="372" t="s">
        <v>2556</v>
      </c>
      <c r="F734" s="350">
        <v>45618.111805555556</v>
      </c>
      <c r="G734" s="372">
        <v>11</v>
      </c>
      <c r="H734" s="372" t="s">
        <v>2557</v>
      </c>
      <c r="I734" s="349">
        <v>31195</v>
      </c>
      <c r="J734" s="372" t="s">
        <v>8204</v>
      </c>
      <c r="K734" s="349">
        <v>2.99</v>
      </c>
      <c r="L734" s="349">
        <v>0</v>
      </c>
      <c r="M734" s="349">
        <v>0</v>
      </c>
      <c r="N734" s="349">
        <v>1</v>
      </c>
      <c r="O734" s="349">
        <f t="shared" si="4"/>
        <v>2.99</v>
      </c>
      <c r="P734" s="373">
        <f t="shared" si="5"/>
        <v>2.99</v>
      </c>
    </row>
    <row r="735" spans="1:16">
      <c r="A735" s="348">
        <v>890</v>
      </c>
      <c r="B735" s="349">
        <v>3275</v>
      </c>
      <c r="C735" s="372" t="s">
        <v>8205</v>
      </c>
      <c r="D735" s="372" t="s">
        <v>45</v>
      </c>
      <c r="E735" s="372" t="s">
        <v>2572</v>
      </c>
      <c r="F735" s="350">
        <v>45618.117361111108</v>
      </c>
      <c r="G735" s="372">
        <v>11</v>
      </c>
      <c r="H735" s="372" t="s">
        <v>2557</v>
      </c>
      <c r="I735" s="349">
        <v>31207</v>
      </c>
      <c r="J735" s="372" t="s">
        <v>8206</v>
      </c>
      <c r="K735" s="349">
        <v>16.190000000000001</v>
      </c>
      <c r="L735" s="349">
        <v>0</v>
      </c>
      <c r="M735" s="349">
        <v>0</v>
      </c>
      <c r="N735" s="349">
        <v>1</v>
      </c>
      <c r="O735" s="349">
        <f t="shared" si="4"/>
        <v>16.190000000000001</v>
      </c>
      <c r="P735" s="373">
        <f t="shared" si="5"/>
        <v>16.190000000000001</v>
      </c>
    </row>
    <row r="736" spans="1:16">
      <c r="A736" s="348">
        <v>891</v>
      </c>
      <c r="B736" s="349">
        <v>3283</v>
      </c>
      <c r="C736" s="372" t="s">
        <v>6302</v>
      </c>
      <c r="D736" s="372" t="s">
        <v>45</v>
      </c>
      <c r="E736" s="372" t="s">
        <v>2556</v>
      </c>
      <c r="F736" s="350">
        <v>45618.397916666669</v>
      </c>
      <c r="G736" s="372">
        <v>11</v>
      </c>
      <c r="H736" s="372" t="s">
        <v>2557</v>
      </c>
      <c r="I736" s="349">
        <v>31363</v>
      </c>
      <c r="J736" s="372" t="s">
        <v>8207</v>
      </c>
      <c r="K736" s="349">
        <v>16.190000000000001</v>
      </c>
      <c r="L736" s="349">
        <v>0</v>
      </c>
      <c r="M736" s="349">
        <v>0</v>
      </c>
      <c r="N736" s="349">
        <v>1</v>
      </c>
      <c r="O736" s="349">
        <f t="shared" si="4"/>
        <v>16.190000000000001</v>
      </c>
      <c r="P736" s="373">
        <f t="shared" si="5"/>
        <v>16.190000000000001</v>
      </c>
    </row>
    <row r="737" spans="1:16">
      <c r="A737" s="348">
        <v>892</v>
      </c>
      <c r="B737" s="349">
        <v>3287</v>
      </c>
      <c r="C737" s="372" t="s">
        <v>8208</v>
      </c>
      <c r="D737" s="372" t="s">
        <v>45</v>
      </c>
      <c r="E737" s="372" t="s">
        <v>9</v>
      </c>
      <c r="F737" s="350">
        <v>45618.421527777777</v>
      </c>
      <c r="G737" s="372">
        <v>11</v>
      </c>
      <c r="H737" s="372" t="s">
        <v>2557</v>
      </c>
      <c r="I737" s="349">
        <v>31387</v>
      </c>
      <c r="J737" s="372" t="s">
        <v>7181</v>
      </c>
      <c r="K737" s="349">
        <v>16.190000000000001</v>
      </c>
      <c r="L737" s="349">
        <v>1.3</v>
      </c>
      <c r="M737" s="349">
        <v>0</v>
      </c>
      <c r="N737" s="349">
        <v>1</v>
      </c>
      <c r="O737" s="349">
        <f t="shared" si="4"/>
        <v>14.89</v>
      </c>
      <c r="P737" s="373">
        <f t="shared" si="5"/>
        <v>14.89</v>
      </c>
    </row>
    <row r="738" spans="1:16">
      <c r="A738" s="348">
        <v>894</v>
      </c>
      <c r="B738" s="349">
        <v>3293</v>
      </c>
      <c r="C738" s="372" t="s">
        <v>2584</v>
      </c>
      <c r="D738" s="372" t="s">
        <v>45</v>
      </c>
      <c r="E738" s="372" t="s">
        <v>9</v>
      </c>
      <c r="F738" s="350">
        <v>45618.68472222222</v>
      </c>
      <c r="G738" s="372">
        <v>11</v>
      </c>
      <c r="H738" s="372" t="s">
        <v>2557</v>
      </c>
      <c r="I738" s="349">
        <v>31411</v>
      </c>
      <c r="J738" s="372" t="s">
        <v>7183</v>
      </c>
      <c r="K738" s="349">
        <v>2.99</v>
      </c>
      <c r="L738" s="349">
        <v>0.64</v>
      </c>
      <c r="M738" s="349">
        <v>0</v>
      </c>
      <c r="N738" s="349">
        <v>1</v>
      </c>
      <c r="O738" s="349">
        <f t="shared" si="4"/>
        <v>2.35</v>
      </c>
      <c r="P738" s="373">
        <f t="shared" si="5"/>
        <v>2.35</v>
      </c>
    </row>
    <row r="739" spans="1:16">
      <c r="A739" s="348">
        <v>895</v>
      </c>
      <c r="B739" s="349">
        <v>3288</v>
      </c>
      <c r="C739" s="372" t="s">
        <v>8209</v>
      </c>
      <c r="D739" s="372" t="s">
        <v>2582</v>
      </c>
      <c r="E739" s="372" t="s">
        <v>2556</v>
      </c>
      <c r="F739" s="350">
        <v>45618.686111111114</v>
      </c>
      <c r="G739" s="372">
        <v>11</v>
      </c>
      <c r="H739" s="372" t="s">
        <v>2557</v>
      </c>
      <c r="I739" s="349">
        <v>31423</v>
      </c>
      <c r="J739" s="372" t="s">
        <v>8210</v>
      </c>
      <c r="K739" s="349">
        <v>117.21</v>
      </c>
      <c r="L739" s="349">
        <v>0</v>
      </c>
      <c r="M739" s="349">
        <v>0</v>
      </c>
      <c r="N739" s="349">
        <v>7.2396000000000003</v>
      </c>
      <c r="O739" s="349">
        <f t="shared" si="4"/>
        <v>117.21</v>
      </c>
      <c r="P739" s="373">
        <f t="shared" si="5"/>
        <v>16.190121001160282</v>
      </c>
    </row>
    <row r="740" spans="1:16">
      <c r="A740" s="348">
        <v>896</v>
      </c>
      <c r="B740" s="349">
        <v>1630</v>
      </c>
      <c r="C740" s="372" t="s">
        <v>2753</v>
      </c>
      <c r="D740" s="372" t="s">
        <v>45</v>
      </c>
      <c r="E740" s="372" t="s">
        <v>2556</v>
      </c>
      <c r="F740" s="350">
        <v>45618.717361111114</v>
      </c>
      <c r="G740" s="372">
        <v>11</v>
      </c>
      <c r="H740" s="372" t="s">
        <v>2557</v>
      </c>
      <c r="I740" s="349">
        <v>31435</v>
      </c>
      <c r="J740" s="372" t="s">
        <v>8211</v>
      </c>
      <c r="K740" s="349">
        <v>8.99</v>
      </c>
      <c r="L740" s="349">
        <v>0</v>
      </c>
      <c r="M740" s="349">
        <v>0</v>
      </c>
      <c r="N740" s="349">
        <v>1</v>
      </c>
      <c r="O740" s="349">
        <f t="shared" si="4"/>
        <v>8.99</v>
      </c>
      <c r="P740" s="373">
        <f t="shared" si="5"/>
        <v>8.99</v>
      </c>
    </row>
    <row r="741" spans="1:16">
      <c r="A741" s="348">
        <v>897</v>
      </c>
      <c r="B741" s="349">
        <v>396</v>
      </c>
      <c r="C741" s="372" t="s">
        <v>2674</v>
      </c>
      <c r="D741" s="372" t="s">
        <v>45</v>
      </c>
      <c r="E741" s="372" t="s">
        <v>9</v>
      </c>
      <c r="F741" s="350">
        <v>45618.718055555553</v>
      </c>
      <c r="G741" s="372">
        <v>11</v>
      </c>
      <c r="H741" s="372" t="s">
        <v>2557</v>
      </c>
      <c r="I741" s="349">
        <v>19339</v>
      </c>
      <c r="J741" s="372" t="s">
        <v>7184</v>
      </c>
      <c r="K741" s="349">
        <v>1.0900000000000001</v>
      </c>
      <c r="L741" s="349">
        <v>0.54</v>
      </c>
      <c r="M741" s="349">
        <v>0</v>
      </c>
      <c r="N741" s="349">
        <v>1</v>
      </c>
      <c r="O741" s="349">
        <f t="shared" si="4"/>
        <v>0.55000000000000004</v>
      </c>
      <c r="P741" s="373">
        <f t="shared" si="5"/>
        <v>0.55000000000000004</v>
      </c>
    </row>
    <row r="742" spans="1:16">
      <c r="A742" s="348">
        <v>898</v>
      </c>
      <c r="B742" s="349">
        <v>3288</v>
      </c>
      <c r="C742" s="372" t="s">
        <v>8209</v>
      </c>
      <c r="D742" s="372" t="s">
        <v>2582</v>
      </c>
      <c r="E742" s="372" t="s">
        <v>2556</v>
      </c>
      <c r="F742" s="350">
        <v>45618.749305555553</v>
      </c>
      <c r="G742" s="372">
        <v>11</v>
      </c>
      <c r="H742" s="372" t="s">
        <v>2557</v>
      </c>
      <c r="I742" s="349">
        <v>31423</v>
      </c>
      <c r="J742" s="372"/>
      <c r="K742" s="349">
        <v>0.03</v>
      </c>
      <c r="L742" s="349">
        <v>0</v>
      </c>
      <c r="M742" s="349">
        <v>0</v>
      </c>
      <c r="N742" s="349">
        <v>7.2396000000000003</v>
      </c>
      <c r="O742" s="349">
        <f t="shared" si="4"/>
        <v>0.03</v>
      </c>
      <c r="P742" s="373">
        <f t="shared" si="5"/>
        <v>4.1438753522294045E-3</v>
      </c>
    </row>
    <row r="743" spans="1:16">
      <c r="A743" s="348">
        <v>899</v>
      </c>
      <c r="B743" s="349">
        <v>3284</v>
      </c>
      <c r="C743" s="372" t="s">
        <v>8212</v>
      </c>
      <c r="D743" s="372" t="s">
        <v>2582</v>
      </c>
      <c r="E743" s="372" t="s">
        <v>2556</v>
      </c>
      <c r="F743" s="350">
        <v>45618.814583333333</v>
      </c>
      <c r="G743" s="372">
        <v>11</v>
      </c>
      <c r="H743" s="372" t="s">
        <v>2557</v>
      </c>
      <c r="I743" s="349">
        <v>31375</v>
      </c>
      <c r="J743" s="372" t="s">
        <v>8213</v>
      </c>
      <c r="K743" s="349">
        <v>57.84</v>
      </c>
      <c r="L743" s="349">
        <v>0</v>
      </c>
      <c r="M743" s="349">
        <v>0</v>
      </c>
      <c r="N743" s="349">
        <v>7.2396000000000003</v>
      </c>
      <c r="O743" s="349">
        <f t="shared" si="4"/>
        <v>57.84</v>
      </c>
      <c r="P743" s="373">
        <f t="shared" si="5"/>
        <v>7.9893916790982926</v>
      </c>
    </row>
    <row r="744" spans="1:16">
      <c r="A744" s="348">
        <v>900</v>
      </c>
      <c r="B744" s="349">
        <v>3216</v>
      </c>
      <c r="C744" s="372" t="s">
        <v>8172</v>
      </c>
      <c r="D744" s="372" t="s">
        <v>45</v>
      </c>
      <c r="E744" s="372" t="s">
        <v>2556</v>
      </c>
      <c r="F744" s="350">
        <v>45618.852083333331</v>
      </c>
      <c r="G744" s="372">
        <v>11</v>
      </c>
      <c r="H744" s="372" t="s">
        <v>8214</v>
      </c>
      <c r="I744" s="349">
        <v>30607</v>
      </c>
      <c r="J744" s="372"/>
      <c r="K744" s="349">
        <v>0</v>
      </c>
      <c r="L744" s="349">
        <v>0</v>
      </c>
      <c r="M744" s="349">
        <v>6.8</v>
      </c>
      <c r="N744" s="349">
        <v>1</v>
      </c>
      <c r="O744" s="349">
        <f t="shared" si="4"/>
        <v>-6.8</v>
      </c>
      <c r="P744" s="373">
        <f t="shared" si="5"/>
        <v>-6.8</v>
      </c>
    </row>
    <row r="745" spans="1:16">
      <c r="A745" s="348">
        <v>901</v>
      </c>
      <c r="B745" s="349">
        <v>3297</v>
      </c>
      <c r="C745" s="372" t="s">
        <v>8215</v>
      </c>
      <c r="D745" s="372" t="s">
        <v>45</v>
      </c>
      <c r="E745" s="372" t="s">
        <v>2556</v>
      </c>
      <c r="F745" s="350">
        <v>45618.874305555553</v>
      </c>
      <c r="G745" s="372">
        <v>11</v>
      </c>
      <c r="H745" s="372" t="s">
        <v>2557</v>
      </c>
      <c r="I745" s="349">
        <v>31459</v>
      </c>
      <c r="J745" s="372" t="s">
        <v>8216</v>
      </c>
      <c r="K745" s="349">
        <v>71.989999999999995</v>
      </c>
      <c r="L745" s="349">
        <v>0</v>
      </c>
      <c r="M745" s="349">
        <v>0</v>
      </c>
      <c r="N745" s="349">
        <v>1</v>
      </c>
      <c r="O745" s="349">
        <f t="shared" si="4"/>
        <v>71.989999999999995</v>
      </c>
      <c r="P745" s="373">
        <f t="shared" si="5"/>
        <v>71.989999999999995</v>
      </c>
    </row>
    <row r="746" spans="1:16">
      <c r="A746" s="348">
        <v>902</v>
      </c>
      <c r="B746" s="349">
        <v>3299</v>
      </c>
      <c r="C746" s="372" t="s">
        <v>2598</v>
      </c>
      <c r="D746" s="372" t="s">
        <v>45</v>
      </c>
      <c r="E746" s="372" t="s">
        <v>2556</v>
      </c>
      <c r="F746" s="350">
        <v>45618.879861111112</v>
      </c>
      <c r="G746" s="372">
        <v>11</v>
      </c>
      <c r="H746" s="372" t="s">
        <v>2557</v>
      </c>
      <c r="I746" s="349">
        <v>31471</v>
      </c>
      <c r="J746" s="372" t="s">
        <v>8217</v>
      </c>
      <c r="K746" s="349">
        <v>16.989999999999998</v>
      </c>
      <c r="L746" s="349">
        <v>0</v>
      </c>
      <c r="M746" s="349">
        <v>0</v>
      </c>
      <c r="N746" s="349">
        <v>1</v>
      </c>
      <c r="O746" s="349">
        <f t="shared" si="4"/>
        <v>16.989999999999998</v>
      </c>
      <c r="P746" s="373">
        <f t="shared" si="5"/>
        <v>16.989999999999998</v>
      </c>
    </row>
    <row r="747" spans="1:16">
      <c r="A747" s="348">
        <v>903</v>
      </c>
      <c r="B747" s="349">
        <v>3302</v>
      </c>
      <c r="C747" s="372" t="s">
        <v>8218</v>
      </c>
      <c r="D747" s="372" t="s">
        <v>45</v>
      </c>
      <c r="E747" s="372" t="s">
        <v>2556</v>
      </c>
      <c r="F747" s="350">
        <v>45618.890277777777</v>
      </c>
      <c r="G747" s="372">
        <v>11</v>
      </c>
      <c r="H747" s="372" t="s">
        <v>2557</v>
      </c>
      <c r="I747" s="349">
        <v>31495</v>
      </c>
      <c r="J747" s="372" t="s">
        <v>8219</v>
      </c>
      <c r="K747" s="349">
        <v>35.99</v>
      </c>
      <c r="L747" s="349">
        <v>0</v>
      </c>
      <c r="M747" s="349">
        <v>0</v>
      </c>
      <c r="N747" s="349">
        <v>1</v>
      </c>
      <c r="O747" s="349">
        <f t="shared" si="4"/>
        <v>35.99</v>
      </c>
      <c r="P747" s="373">
        <f t="shared" si="5"/>
        <v>35.99</v>
      </c>
    </row>
    <row r="748" spans="1:16">
      <c r="A748" s="348">
        <v>904</v>
      </c>
      <c r="B748" s="349">
        <v>3305</v>
      </c>
      <c r="C748" s="372" t="s">
        <v>7506</v>
      </c>
      <c r="D748" s="372" t="s">
        <v>2582</v>
      </c>
      <c r="E748" s="372" t="s">
        <v>2556</v>
      </c>
      <c r="F748" s="350">
        <v>45618.922222222223</v>
      </c>
      <c r="G748" s="372">
        <v>11</v>
      </c>
      <c r="H748" s="372" t="s">
        <v>2557</v>
      </c>
      <c r="I748" s="349">
        <v>31531</v>
      </c>
      <c r="J748" s="372" t="s">
        <v>8220</v>
      </c>
      <c r="K748" s="349">
        <v>91.22</v>
      </c>
      <c r="L748" s="349">
        <v>0</v>
      </c>
      <c r="M748" s="349">
        <v>0</v>
      </c>
      <c r="N748" s="349">
        <v>7.2396000000000003</v>
      </c>
      <c r="O748" s="349">
        <f t="shared" si="4"/>
        <v>91.22</v>
      </c>
      <c r="P748" s="373">
        <f t="shared" si="5"/>
        <v>12.600143654345544</v>
      </c>
    </row>
    <row r="749" spans="1:16">
      <c r="A749" s="348">
        <v>905</v>
      </c>
      <c r="B749" s="349">
        <v>3303</v>
      </c>
      <c r="C749" s="372" t="s">
        <v>8221</v>
      </c>
      <c r="D749" s="372" t="s">
        <v>45</v>
      </c>
      <c r="E749" s="372" t="s">
        <v>2556</v>
      </c>
      <c r="F749" s="350">
        <v>45618.92291666667</v>
      </c>
      <c r="G749" s="372">
        <v>11</v>
      </c>
      <c r="H749" s="372" t="s">
        <v>2557</v>
      </c>
      <c r="I749" s="349">
        <v>31567</v>
      </c>
      <c r="J749" s="372" t="s">
        <v>8222</v>
      </c>
      <c r="K749" s="349">
        <v>12.59</v>
      </c>
      <c r="L749" s="349">
        <v>0</v>
      </c>
      <c r="M749" s="349">
        <v>0</v>
      </c>
      <c r="N749" s="349">
        <v>1</v>
      </c>
      <c r="O749" s="349">
        <f t="shared" si="4"/>
        <v>12.59</v>
      </c>
      <c r="P749" s="373">
        <f t="shared" si="5"/>
        <v>12.59</v>
      </c>
    </row>
    <row r="750" spans="1:16">
      <c r="A750" s="348">
        <v>906</v>
      </c>
      <c r="B750" s="349">
        <v>3306</v>
      </c>
      <c r="C750" s="372" t="s">
        <v>3018</v>
      </c>
      <c r="D750" s="372" t="s">
        <v>45</v>
      </c>
      <c r="E750" s="372" t="s">
        <v>9</v>
      </c>
      <c r="F750" s="350">
        <v>45618.92291666667</v>
      </c>
      <c r="G750" s="372">
        <v>11</v>
      </c>
      <c r="H750" s="372" t="s">
        <v>2557</v>
      </c>
      <c r="I750" s="349">
        <v>31555</v>
      </c>
      <c r="J750" s="372" t="s">
        <v>7186</v>
      </c>
      <c r="K750" s="349">
        <v>12.59</v>
      </c>
      <c r="L750" s="349">
        <v>1.1200000000000001</v>
      </c>
      <c r="M750" s="349">
        <v>0</v>
      </c>
      <c r="N750" s="349">
        <v>1</v>
      </c>
      <c r="O750" s="349">
        <f t="shared" si="4"/>
        <v>11.469999999999999</v>
      </c>
      <c r="P750" s="373">
        <f t="shared" si="5"/>
        <v>11.469999999999999</v>
      </c>
    </row>
    <row r="751" spans="1:16">
      <c r="A751" s="348">
        <v>907</v>
      </c>
      <c r="B751" s="349">
        <v>305</v>
      </c>
      <c r="C751" s="372" t="s">
        <v>7681</v>
      </c>
      <c r="D751" s="372" t="s">
        <v>45</v>
      </c>
      <c r="E751" s="372" t="s">
        <v>2556</v>
      </c>
      <c r="F751" s="350">
        <v>45618.923611111109</v>
      </c>
      <c r="G751" s="372">
        <v>11</v>
      </c>
      <c r="H751" s="372" t="s">
        <v>2557</v>
      </c>
      <c r="I751" s="349">
        <v>31591</v>
      </c>
      <c r="J751" s="372" t="s">
        <v>8223</v>
      </c>
      <c r="K751" s="349">
        <v>12.59</v>
      </c>
      <c r="L751" s="349">
        <v>0</v>
      </c>
      <c r="M751" s="349">
        <v>0</v>
      </c>
      <c r="N751" s="349">
        <v>1</v>
      </c>
      <c r="O751" s="349">
        <f t="shared" si="4"/>
        <v>12.59</v>
      </c>
      <c r="P751" s="373">
        <f t="shared" si="5"/>
        <v>12.59</v>
      </c>
    </row>
    <row r="752" spans="1:16">
      <c r="A752" s="348">
        <v>908</v>
      </c>
      <c r="B752" s="349">
        <v>3307</v>
      </c>
      <c r="C752" s="372" t="s">
        <v>8224</v>
      </c>
      <c r="D752" s="372" t="s">
        <v>45</v>
      </c>
      <c r="E752" s="372" t="s">
        <v>2556</v>
      </c>
      <c r="F752" s="350">
        <v>45618.929861111108</v>
      </c>
      <c r="G752" s="372">
        <v>11</v>
      </c>
      <c r="H752" s="372" t="s">
        <v>2557</v>
      </c>
      <c r="I752" s="349">
        <v>31627</v>
      </c>
      <c r="J752" s="372" t="s">
        <v>8225</v>
      </c>
      <c r="K752" s="349">
        <v>12.59</v>
      </c>
      <c r="L752" s="349">
        <v>0</v>
      </c>
      <c r="M752" s="349">
        <v>0</v>
      </c>
      <c r="N752" s="349">
        <v>1</v>
      </c>
      <c r="O752" s="349">
        <f t="shared" si="4"/>
        <v>12.59</v>
      </c>
      <c r="P752" s="373">
        <f t="shared" si="5"/>
        <v>12.59</v>
      </c>
    </row>
    <row r="753" spans="1:16">
      <c r="A753" s="348">
        <v>909</v>
      </c>
      <c r="B753" s="349">
        <v>1788</v>
      </c>
      <c r="C753" s="372" t="s">
        <v>6314</v>
      </c>
      <c r="D753" s="372" t="s">
        <v>45</v>
      </c>
      <c r="E753" s="372" t="s">
        <v>2556</v>
      </c>
      <c r="F753" s="350">
        <v>45618.940972222219</v>
      </c>
      <c r="G753" s="372">
        <v>11</v>
      </c>
      <c r="H753" s="372" t="s">
        <v>2557</v>
      </c>
      <c r="I753" s="349">
        <v>31651</v>
      </c>
      <c r="J753" s="372" t="s">
        <v>8226</v>
      </c>
      <c r="K753" s="349">
        <v>12.59</v>
      </c>
      <c r="L753" s="349">
        <v>0</v>
      </c>
      <c r="M753" s="349">
        <v>0</v>
      </c>
      <c r="N753" s="349">
        <v>1</v>
      </c>
      <c r="O753" s="349">
        <f t="shared" si="4"/>
        <v>12.59</v>
      </c>
      <c r="P753" s="373">
        <f t="shared" si="5"/>
        <v>12.59</v>
      </c>
    </row>
    <row r="754" spans="1:16">
      <c r="A754" s="348">
        <v>910</v>
      </c>
      <c r="B754" s="349">
        <v>3224</v>
      </c>
      <c r="C754" s="372" t="s">
        <v>6404</v>
      </c>
      <c r="D754" s="372" t="s">
        <v>45</v>
      </c>
      <c r="E754" s="372" t="s">
        <v>2556</v>
      </c>
      <c r="F754" s="350">
        <v>45618.941666666666</v>
      </c>
      <c r="G754" s="372">
        <v>11</v>
      </c>
      <c r="H754" s="372" t="s">
        <v>2557</v>
      </c>
      <c r="I754" s="349">
        <v>31663</v>
      </c>
      <c r="J754" s="372" t="s">
        <v>8227</v>
      </c>
      <c r="K754" s="349">
        <v>12.59</v>
      </c>
      <c r="L754" s="349">
        <v>0</v>
      </c>
      <c r="M754" s="349">
        <v>0</v>
      </c>
      <c r="N754" s="349">
        <v>1</v>
      </c>
      <c r="O754" s="349">
        <f t="shared" si="4"/>
        <v>12.59</v>
      </c>
      <c r="P754" s="373">
        <f t="shared" si="5"/>
        <v>12.59</v>
      </c>
    </row>
    <row r="755" spans="1:16">
      <c r="A755" s="348">
        <v>911</v>
      </c>
      <c r="B755" s="349">
        <v>3291</v>
      </c>
      <c r="C755" s="372" t="s">
        <v>6337</v>
      </c>
      <c r="D755" s="372" t="s">
        <v>45</v>
      </c>
      <c r="E755" s="372" t="s">
        <v>9</v>
      </c>
      <c r="F755" s="350">
        <v>45618.944444444445</v>
      </c>
      <c r="G755" s="372">
        <v>11</v>
      </c>
      <c r="H755" s="372" t="s">
        <v>2557</v>
      </c>
      <c r="I755" s="349">
        <v>31579</v>
      </c>
      <c r="J755" s="372" t="s">
        <v>7188</v>
      </c>
      <c r="K755" s="349">
        <v>12.59</v>
      </c>
      <c r="L755" s="349">
        <v>1.1200000000000001</v>
      </c>
      <c r="M755" s="349">
        <v>0</v>
      </c>
      <c r="N755" s="349">
        <v>1</v>
      </c>
      <c r="O755" s="349">
        <f t="shared" si="4"/>
        <v>11.469999999999999</v>
      </c>
      <c r="P755" s="373">
        <f t="shared" si="5"/>
        <v>11.469999999999999</v>
      </c>
    </row>
    <row r="756" spans="1:16">
      <c r="A756" s="348">
        <v>912</v>
      </c>
      <c r="B756" s="349">
        <v>3309</v>
      </c>
      <c r="C756" s="372" t="s">
        <v>2722</v>
      </c>
      <c r="D756" s="372" t="s">
        <v>45</v>
      </c>
      <c r="E756" s="372" t="s">
        <v>2556</v>
      </c>
      <c r="F756" s="350">
        <v>45618.963194444441</v>
      </c>
      <c r="G756" s="372">
        <v>11</v>
      </c>
      <c r="H756" s="372" t="s">
        <v>2557</v>
      </c>
      <c r="I756" s="349">
        <v>31675</v>
      </c>
      <c r="J756" s="372" t="s">
        <v>8228</v>
      </c>
      <c r="K756" s="349">
        <v>1.99</v>
      </c>
      <c r="L756" s="349">
        <v>0</v>
      </c>
      <c r="M756" s="349">
        <v>0</v>
      </c>
      <c r="N756" s="349">
        <v>1</v>
      </c>
      <c r="O756" s="349">
        <f t="shared" si="4"/>
        <v>1.99</v>
      </c>
      <c r="P756" s="373">
        <f t="shared" si="5"/>
        <v>1.99</v>
      </c>
    </row>
    <row r="757" spans="1:16">
      <c r="A757" s="348">
        <v>913</v>
      </c>
      <c r="B757" s="349">
        <v>3298</v>
      </c>
      <c r="C757" s="372" t="s">
        <v>8229</v>
      </c>
      <c r="D757" s="372" t="s">
        <v>45</v>
      </c>
      <c r="E757" s="372" t="s">
        <v>9</v>
      </c>
      <c r="F757" s="350">
        <v>45618.966666666667</v>
      </c>
      <c r="G757" s="372">
        <v>11</v>
      </c>
      <c r="H757" s="372" t="s">
        <v>2557</v>
      </c>
      <c r="I757" s="349">
        <v>31615</v>
      </c>
      <c r="J757" s="372" t="s">
        <v>7190</v>
      </c>
      <c r="K757" s="349">
        <v>12.59</v>
      </c>
      <c r="L757" s="349">
        <v>1.1200000000000001</v>
      </c>
      <c r="M757" s="349">
        <v>0</v>
      </c>
      <c r="N757" s="349">
        <v>1</v>
      </c>
      <c r="O757" s="349">
        <f t="shared" si="4"/>
        <v>11.469999999999999</v>
      </c>
      <c r="P757" s="373">
        <f t="shared" si="5"/>
        <v>11.469999999999999</v>
      </c>
    </row>
    <row r="758" spans="1:16">
      <c r="A758" s="348">
        <v>914</v>
      </c>
      <c r="B758" s="349">
        <v>3311</v>
      </c>
      <c r="C758" s="372" t="s">
        <v>8230</v>
      </c>
      <c r="D758" s="372" t="s">
        <v>45</v>
      </c>
      <c r="E758" s="372" t="s">
        <v>2556</v>
      </c>
      <c r="F758" s="350">
        <v>45618.997916666667</v>
      </c>
      <c r="G758" s="372">
        <v>11</v>
      </c>
      <c r="H758" s="372" t="s">
        <v>2557</v>
      </c>
      <c r="I758" s="349">
        <v>31699</v>
      </c>
      <c r="J758" s="372" t="s">
        <v>8231</v>
      </c>
      <c r="K758" s="349">
        <v>14.39</v>
      </c>
      <c r="L758" s="349">
        <v>0</v>
      </c>
      <c r="M758" s="349">
        <v>0</v>
      </c>
      <c r="N758" s="349">
        <v>1</v>
      </c>
      <c r="O758" s="349">
        <f t="shared" si="4"/>
        <v>14.39</v>
      </c>
      <c r="P758" s="373">
        <f t="shared" si="5"/>
        <v>14.39</v>
      </c>
    </row>
    <row r="759" spans="1:16">
      <c r="A759" s="348">
        <v>915</v>
      </c>
      <c r="B759" s="349">
        <v>3317</v>
      </c>
      <c r="C759" s="372" t="s">
        <v>8232</v>
      </c>
      <c r="D759" s="372" t="s">
        <v>45</v>
      </c>
      <c r="E759" s="372" t="s">
        <v>9</v>
      </c>
      <c r="F759" s="350">
        <v>45619.261111111111</v>
      </c>
      <c r="G759" s="372">
        <v>11</v>
      </c>
      <c r="H759" s="372" t="s">
        <v>2557</v>
      </c>
      <c r="I759" s="349">
        <v>31747</v>
      </c>
      <c r="J759" s="372" t="s">
        <v>7192</v>
      </c>
      <c r="K759" s="349">
        <v>14.39</v>
      </c>
      <c r="L759" s="349">
        <v>1.21</v>
      </c>
      <c r="M759" s="349">
        <v>0</v>
      </c>
      <c r="N759" s="349">
        <v>1</v>
      </c>
      <c r="O759" s="349">
        <f t="shared" si="4"/>
        <v>13.18</v>
      </c>
      <c r="P759" s="373">
        <f t="shared" si="5"/>
        <v>13.18</v>
      </c>
    </row>
    <row r="760" spans="1:16">
      <c r="A760" s="348">
        <v>916</v>
      </c>
      <c r="B760" s="349">
        <v>3321</v>
      </c>
      <c r="C760" s="372" t="s">
        <v>8233</v>
      </c>
      <c r="D760" s="372" t="s">
        <v>45</v>
      </c>
      <c r="E760" s="372" t="s">
        <v>2556</v>
      </c>
      <c r="F760" s="350">
        <v>45619.434027777781</v>
      </c>
      <c r="G760" s="372">
        <v>11</v>
      </c>
      <c r="H760" s="372" t="s">
        <v>2557</v>
      </c>
      <c r="I760" s="349">
        <v>31831</v>
      </c>
      <c r="J760" s="372" t="s">
        <v>8234</v>
      </c>
      <c r="K760" s="349">
        <v>14.39</v>
      </c>
      <c r="L760" s="349">
        <v>0</v>
      </c>
      <c r="M760" s="349">
        <v>0</v>
      </c>
      <c r="N760" s="349">
        <v>1</v>
      </c>
      <c r="O760" s="349">
        <f t="shared" si="4"/>
        <v>14.39</v>
      </c>
      <c r="P760" s="373">
        <f t="shared" si="5"/>
        <v>14.39</v>
      </c>
    </row>
    <row r="761" spans="1:16">
      <c r="A761" s="348">
        <v>917</v>
      </c>
      <c r="B761" s="349">
        <v>3324</v>
      </c>
      <c r="C761" s="372" t="s">
        <v>2784</v>
      </c>
      <c r="D761" s="372" t="s">
        <v>45</v>
      </c>
      <c r="E761" s="372" t="s">
        <v>2556</v>
      </c>
      <c r="F761" s="350">
        <v>45619.49722222222</v>
      </c>
      <c r="G761" s="372">
        <v>11</v>
      </c>
      <c r="H761" s="372" t="s">
        <v>2557</v>
      </c>
      <c r="I761" s="349">
        <v>31843</v>
      </c>
      <c r="J761" s="372" t="s">
        <v>8235</v>
      </c>
      <c r="K761" s="349">
        <v>2.99</v>
      </c>
      <c r="L761" s="349">
        <v>0</v>
      </c>
      <c r="M761" s="349">
        <v>0</v>
      </c>
      <c r="N761" s="349">
        <v>1</v>
      </c>
      <c r="O761" s="349">
        <f t="shared" si="4"/>
        <v>2.99</v>
      </c>
      <c r="P761" s="373">
        <f t="shared" si="5"/>
        <v>2.99</v>
      </c>
    </row>
    <row r="762" spans="1:16">
      <c r="A762" s="348">
        <v>918</v>
      </c>
      <c r="B762" s="349">
        <v>3325</v>
      </c>
      <c r="C762" s="372" t="s">
        <v>8236</v>
      </c>
      <c r="D762" s="372" t="s">
        <v>45</v>
      </c>
      <c r="E762" s="372" t="s">
        <v>2556</v>
      </c>
      <c r="F762" s="350">
        <v>45619.530555555553</v>
      </c>
      <c r="G762" s="372">
        <v>11</v>
      </c>
      <c r="H762" s="372" t="s">
        <v>2557</v>
      </c>
      <c r="I762" s="349">
        <v>31855</v>
      </c>
      <c r="J762" s="372" t="s">
        <v>8237</v>
      </c>
      <c r="K762" s="349">
        <v>14.39</v>
      </c>
      <c r="L762" s="349">
        <v>0</v>
      </c>
      <c r="M762" s="349">
        <v>0</v>
      </c>
      <c r="N762" s="349">
        <v>1</v>
      </c>
      <c r="O762" s="349">
        <f t="shared" si="4"/>
        <v>14.39</v>
      </c>
      <c r="P762" s="373">
        <f t="shared" si="5"/>
        <v>14.39</v>
      </c>
    </row>
    <row r="763" spans="1:16">
      <c r="A763" s="348">
        <v>919</v>
      </c>
      <c r="B763" s="349">
        <v>3327</v>
      </c>
      <c r="C763" s="372" t="s">
        <v>2575</v>
      </c>
      <c r="D763" s="372" t="s">
        <v>45</v>
      </c>
      <c r="E763" s="372" t="s">
        <v>2556</v>
      </c>
      <c r="F763" s="350">
        <v>45619.539583333331</v>
      </c>
      <c r="G763" s="372">
        <v>11</v>
      </c>
      <c r="H763" s="372" t="s">
        <v>2557</v>
      </c>
      <c r="I763" s="349">
        <v>31867</v>
      </c>
      <c r="J763" s="372" t="s">
        <v>8238</v>
      </c>
      <c r="K763" s="349">
        <v>1.0900000000000001</v>
      </c>
      <c r="L763" s="349">
        <v>0</v>
      </c>
      <c r="M763" s="349">
        <v>0</v>
      </c>
      <c r="N763" s="349">
        <v>1</v>
      </c>
      <c r="O763" s="349">
        <f t="shared" si="4"/>
        <v>1.0900000000000001</v>
      </c>
      <c r="P763" s="373">
        <f t="shared" si="5"/>
        <v>1.0900000000000001</v>
      </c>
    </row>
    <row r="764" spans="1:16">
      <c r="A764" s="348">
        <v>920</v>
      </c>
      <c r="B764" s="349">
        <v>3329</v>
      </c>
      <c r="C764" s="372"/>
      <c r="D764" s="372" t="s">
        <v>45</v>
      </c>
      <c r="E764" s="372" t="s">
        <v>2556</v>
      </c>
      <c r="F764" s="350">
        <v>45619.624305555553</v>
      </c>
      <c r="G764" s="372">
        <v>11</v>
      </c>
      <c r="H764" s="372" t="s">
        <v>2557</v>
      </c>
      <c r="I764" s="349">
        <v>31879</v>
      </c>
      <c r="J764" s="372" t="s">
        <v>8239</v>
      </c>
      <c r="K764" s="349">
        <v>1.0900000000000001</v>
      </c>
      <c r="L764" s="349">
        <v>0</v>
      </c>
      <c r="M764" s="349">
        <v>0</v>
      </c>
      <c r="N764" s="349">
        <v>1</v>
      </c>
      <c r="O764" s="349">
        <f t="shared" si="4"/>
        <v>1.0900000000000001</v>
      </c>
      <c r="P764" s="373">
        <f t="shared" si="5"/>
        <v>1.0900000000000001</v>
      </c>
    </row>
    <row r="765" spans="1:16">
      <c r="A765" s="348">
        <v>921</v>
      </c>
      <c r="B765" s="349">
        <v>3330</v>
      </c>
      <c r="C765" s="372" t="s">
        <v>8240</v>
      </c>
      <c r="D765" s="372" t="s">
        <v>45</v>
      </c>
      <c r="E765" s="372" t="s">
        <v>2556</v>
      </c>
      <c r="F765" s="350">
        <v>45619.646527777775</v>
      </c>
      <c r="G765" s="372">
        <v>11</v>
      </c>
      <c r="H765" s="372" t="s">
        <v>2557</v>
      </c>
      <c r="I765" s="349">
        <v>31891</v>
      </c>
      <c r="J765" s="372" t="s">
        <v>8241</v>
      </c>
      <c r="K765" s="349">
        <v>12.59</v>
      </c>
      <c r="L765" s="349">
        <v>0</v>
      </c>
      <c r="M765" s="349">
        <v>0</v>
      </c>
      <c r="N765" s="349">
        <v>1</v>
      </c>
      <c r="O765" s="349">
        <f t="shared" si="4"/>
        <v>12.59</v>
      </c>
      <c r="P765" s="373">
        <f t="shared" si="5"/>
        <v>12.59</v>
      </c>
    </row>
    <row r="766" spans="1:16">
      <c r="A766" s="348">
        <v>922</v>
      </c>
      <c r="B766" s="349">
        <v>2676</v>
      </c>
      <c r="C766" s="372" t="s">
        <v>2598</v>
      </c>
      <c r="D766" s="372" t="s">
        <v>45</v>
      </c>
      <c r="E766" s="372" t="s">
        <v>2556</v>
      </c>
      <c r="F766" s="350">
        <v>45619.762499999997</v>
      </c>
      <c r="G766" s="372">
        <v>11</v>
      </c>
      <c r="H766" s="372" t="s">
        <v>2557</v>
      </c>
      <c r="I766" s="349">
        <v>31903</v>
      </c>
      <c r="J766" s="372" t="s">
        <v>8242</v>
      </c>
      <c r="K766" s="349">
        <v>7.19</v>
      </c>
      <c r="L766" s="349">
        <v>0</v>
      </c>
      <c r="M766" s="349">
        <v>0</v>
      </c>
      <c r="N766" s="349">
        <v>1</v>
      </c>
      <c r="O766" s="349">
        <f t="shared" si="4"/>
        <v>7.19</v>
      </c>
      <c r="P766" s="373">
        <f t="shared" si="5"/>
        <v>7.19</v>
      </c>
    </row>
    <row r="767" spans="1:16">
      <c r="A767" s="348">
        <v>923</v>
      </c>
      <c r="B767" s="349">
        <v>3336</v>
      </c>
      <c r="C767" s="372" t="s">
        <v>7994</v>
      </c>
      <c r="D767" s="372" t="s">
        <v>2582</v>
      </c>
      <c r="E767" s="372" t="s">
        <v>2556</v>
      </c>
      <c r="F767" s="350">
        <v>45619.867361111108</v>
      </c>
      <c r="G767" s="372">
        <v>11</v>
      </c>
      <c r="H767" s="372" t="s">
        <v>2557</v>
      </c>
      <c r="I767" s="349">
        <v>31927</v>
      </c>
      <c r="J767" s="372" t="s">
        <v>8243</v>
      </c>
      <c r="K767" s="349">
        <v>91.31</v>
      </c>
      <c r="L767" s="349">
        <v>0</v>
      </c>
      <c r="M767" s="349">
        <v>0</v>
      </c>
      <c r="N767" s="349">
        <v>7.2472099999999999</v>
      </c>
      <c r="O767" s="349">
        <f t="shared" ref="O767:O1021" si="6">K767-L767-M767</f>
        <v>91.31</v>
      </c>
      <c r="P767" s="373">
        <f t="shared" ref="P767:P1021" si="7">IF(D767="USD",O767,O767/N767)</f>
        <v>12.599331328883805</v>
      </c>
    </row>
    <row r="768" spans="1:16">
      <c r="A768" s="348">
        <v>924</v>
      </c>
      <c r="B768" s="349">
        <v>3338</v>
      </c>
      <c r="C768" s="372" t="s">
        <v>8244</v>
      </c>
      <c r="D768" s="372" t="s">
        <v>45</v>
      </c>
      <c r="E768" s="372" t="s">
        <v>2556</v>
      </c>
      <c r="F768" s="350">
        <v>45619.87222222222</v>
      </c>
      <c r="G768" s="372">
        <v>11</v>
      </c>
      <c r="H768" s="372" t="s">
        <v>2557</v>
      </c>
      <c r="I768" s="349">
        <v>31939</v>
      </c>
      <c r="J768" s="372" t="s">
        <v>8245</v>
      </c>
      <c r="K768" s="349">
        <v>12.59</v>
      </c>
      <c r="L768" s="349">
        <v>0</v>
      </c>
      <c r="M768" s="349">
        <v>0</v>
      </c>
      <c r="N768" s="349">
        <v>1</v>
      </c>
      <c r="O768" s="349">
        <f t="shared" si="6"/>
        <v>12.59</v>
      </c>
      <c r="P768" s="373">
        <f t="shared" si="7"/>
        <v>12.59</v>
      </c>
    </row>
    <row r="769" spans="1:16">
      <c r="A769" s="348">
        <v>925</v>
      </c>
      <c r="B769" s="349">
        <v>3340</v>
      </c>
      <c r="C769" s="372" t="s">
        <v>6255</v>
      </c>
      <c r="D769" s="372" t="s">
        <v>45</v>
      </c>
      <c r="E769" s="372" t="s">
        <v>2556</v>
      </c>
      <c r="F769" s="350">
        <v>45619.879861111112</v>
      </c>
      <c r="G769" s="372">
        <v>11</v>
      </c>
      <c r="H769" s="372" t="s">
        <v>2557</v>
      </c>
      <c r="I769" s="349">
        <v>31963</v>
      </c>
      <c r="J769" s="372" t="s">
        <v>8246</v>
      </c>
      <c r="K769" s="349">
        <v>12.59</v>
      </c>
      <c r="L769" s="349">
        <v>0</v>
      </c>
      <c r="M769" s="349">
        <v>0</v>
      </c>
      <c r="N769" s="349">
        <v>1</v>
      </c>
      <c r="O769" s="349">
        <f t="shared" si="6"/>
        <v>12.59</v>
      </c>
      <c r="P769" s="373">
        <f t="shared" si="7"/>
        <v>12.59</v>
      </c>
    </row>
    <row r="770" spans="1:16">
      <c r="A770" s="348">
        <v>926</v>
      </c>
      <c r="B770" s="349">
        <v>3339</v>
      </c>
      <c r="C770" s="372" t="s">
        <v>6133</v>
      </c>
      <c r="D770" s="372" t="s">
        <v>45</v>
      </c>
      <c r="E770" s="372" t="s">
        <v>9</v>
      </c>
      <c r="F770" s="350">
        <v>45619.879861111112</v>
      </c>
      <c r="G770" s="372">
        <v>11</v>
      </c>
      <c r="H770" s="372" t="s">
        <v>2557</v>
      </c>
      <c r="I770" s="349">
        <v>31951</v>
      </c>
      <c r="J770" s="372" t="s">
        <v>7194</v>
      </c>
      <c r="K770" s="349">
        <v>12.59</v>
      </c>
      <c r="L770" s="349">
        <v>1.1200000000000001</v>
      </c>
      <c r="M770" s="349">
        <v>0</v>
      </c>
      <c r="N770" s="349">
        <v>1</v>
      </c>
      <c r="O770" s="349">
        <f t="shared" si="6"/>
        <v>11.469999999999999</v>
      </c>
      <c r="P770" s="373">
        <f t="shared" si="7"/>
        <v>11.469999999999999</v>
      </c>
    </row>
    <row r="771" spans="1:16">
      <c r="A771" s="348">
        <v>927</v>
      </c>
      <c r="B771" s="349">
        <v>3341</v>
      </c>
      <c r="C771" s="372" t="s">
        <v>8247</v>
      </c>
      <c r="D771" s="372" t="s">
        <v>45</v>
      </c>
      <c r="E771" s="372" t="s">
        <v>2556</v>
      </c>
      <c r="F771" s="350">
        <v>45619.886111111111</v>
      </c>
      <c r="G771" s="372">
        <v>11</v>
      </c>
      <c r="H771" s="372" t="s">
        <v>2557</v>
      </c>
      <c r="I771" s="349">
        <v>31975</v>
      </c>
      <c r="J771" s="372" t="s">
        <v>8248</v>
      </c>
      <c r="K771" s="349">
        <v>12.59</v>
      </c>
      <c r="L771" s="349">
        <v>0</v>
      </c>
      <c r="M771" s="349">
        <v>0</v>
      </c>
      <c r="N771" s="349">
        <v>1</v>
      </c>
      <c r="O771" s="349">
        <f t="shared" si="6"/>
        <v>12.59</v>
      </c>
      <c r="P771" s="373">
        <f t="shared" si="7"/>
        <v>12.59</v>
      </c>
    </row>
    <row r="772" spans="1:16">
      <c r="A772" s="348">
        <v>928</v>
      </c>
      <c r="B772" s="349">
        <v>3342</v>
      </c>
      <c r="C772" s="372" t="s">
        <v>6312</v>
      </c>
      <c r="D772" s="372" t="s">
        <v>45</v>
      </c>
      <c r="E772" s="372" t="s">
        <v>2556</v>
      </c>
      <c r="F772" s="350">
        <v>45619.919444444444</v>
      </c>
      <c r="G772" s="372">
        <v>11</v>
      </c>
      <c r="H772" s="372" t="s">
        <v>2557</v>
      </c>
      <c r="I772" s="349">
        <v>31999</v>
      </c>
      <c r="J772" s="372" t="s">
        <v>8249</v>
      </c>
      <c r="K772" s="349">
        <v>12.59</v>
      </c>
      <c r="L772" s="349">
        <v>0</v>
      </c>
      <c r="M772" s="349">
        <v>0</v>
      </c>
      <c r="N772" s="349">
        <v>1</v>
      </c>
      <c r="O772" s="349">
        <f t="shared" si="6"/>
        <v>12.59</v>
      </c>
      <c r="P772" s="373">
        <f t="shared" si="7"/>
        <v>12.59</v>
      </c>
    </row>
    <row r="773" spans="1:16">
      <c r="A773" s="348">
        <v>929</v>
      </c>
      <c r="B773" s="349">
        <v>3344</v>
      </c>
      <c r="C773" s="372" t="s">
        <v>7921</v>
      </c>
      <c r="D773" s="372" t="s">
        <v>45</v>
      </c>
      <c r="E773" s="372" t="s">
        <v>2556</v>
      </c>
      <c r="F773" s="350">
        <v>45619.920138888891</v>
      </c>
      <c r="G773" s="372">
        <v>11</v>
      </c>
      <c r="H773" s="372" t="s">
        <v>2557</v>
      </c>
      <c r="I773" s="349">
        <v>32011</v>
      </c>
      <c r="J773" s="372" t="s">
        <v>8250</v>
      </c>
      <c r="K773" s="349">
        <v>12.59</v>
      </c>
      <c r="L773" s="349">
        <v>0</v>
      </c>
      <c r="M773" s="349">
        <v>0</v>
      </c>
      <c r="N773" s="349">
        <v>1</v>
      </c>
      <c r="O773" s="349">
        <f t="shared" si="6"/>
        <v>12.59</v>
      </c>
      <c r="P773" s="373">
        <f t="shared" si="7"/>
        <v>12.59</v>
      </c>
    </row>
    <row r="774" spans="1:16">
      <c r="A774" s="348">
        <v>930</v>
      </c>
      <c r="B774" s="349">
        <v>3347</v>
      </c>
      <c r="C774" s="372" t="s">
        <v>6327</v>
      </c>
      <c r="D774" s="372" t="s">
        <v>45</v>
      </c>
      <c r="E774" s="372" t="s">
        <v>2572</v>
      </c>
      <c r="F774" s="350">
        <v>45619.94027777778</v>
      </c>
      <c r="G774" s="372">
        <v>11</v>
      </c>
      <c r="H774" s="372" t="s">
        <v>2557</v>
      </c>
      <c r="I774" s="349">
        <v>32059</v>
      </c>
      <c r="J774" s="372" t="s">
        <v>8251</v>
      </c>
      <c r="K774" s="349">
        <v>12.59</v>
      </c>
      <c r="L774" s="349">
        <v>0</v>
      </c>
      <c r="M774" s="349">
        <v>0</v>
      </c>
      <c r="N774" s="349">
        <v>1</v>
      </c>
      <c r="O774" s="349">
        <f t="shared" si="6"/>
        <v>12.59</v>
      </c>
      <c r="P774" s="373">
        <f t="shared" si="7"/>
        <v>12.59</v>
      </c>
    </row>
    <row r="775" spans="1:16">
      <c r="A775" s="348">
        <v>931</v>
      </c>
      <c r="B775" s="349">
        <v>209</v>
      </c>
      <c r="C775" s="372" t="s">
        <v>4974</v>
      </c>
      <c r="D775" s="372" t="s">
        <v>45</v>
      </c>
      <c r="E775" s="372" t="s">
        <v>9</v>
      </c>
      <c r="F775" s="350">
        <v>45620.026388888888</v>
      </c>
      <c r="G775" s="372">
        <v>11</v>
      </c>
      <c r="H775" s="372" t="s">
        <v>2557</v>
      </c>
      <c r="I775" s="349">
        <v>32119</v>
      </c>
      <c r="J775" s="372" t="s">
        <v>7196</v>
      </c>
      <c r="K775" s="349">
        <v>12.59</v>
      </c>
      <c r="L775" s="349">
        <v>1.1200000000000001</v>
      </c>
      <c r="M775" s="349">
        <v>0</v>
      </c>
      <c r="N775" s="349">
        <v>1</v>
      </c>
      <c r="O775" s="349">
        <f t="shared" si="6"/>
        <v>11.469999999999999</v>
      </c>
      <c r="P775" s="373">
        <f t="shared" si="7"/>
        <v>11.469999999999999</v>
      </c>
    </row>
    <row r="776" spans="1:16">
      <c r="A776" s="348">
        <v>932</v>
      </c>
      <c r="B776" s="349">
        <v>2867</v>
      </c>
      <c r="C776" s="372" t="s">
        <v>8165</v>
      </c>
      <c r="D776" s="372" t="s">
        <v>45</v>
      </c>
      <c r="E776" s="372" t="s">
        <v>2556</v>
      </c>
      <c r="F776" s="350">
        <v>45620.052777777775</v>
      </c>
      <c r="G776" s="372">
        <v>11</v>
      </c>
      <c r="H776" s="372" t="s">
        <v>2557</v>
      </c>
      <c r="I776" s="349">
        <v>32131</v>
      </c>
      <c r="J776" s="372" t="s">
        <v>8252</v>
      </c>
      <c r="K776" s="349">
        <v>2.99</v>
      </c>
      <c r="L776" s="349">
        <v>0</v>
      </c>
      <c r="M776" s="349">
        <v>0</v>
      </c>
      <c r="N776" s="349">
        <v>1</v>
      </c>
      <c r="O776" s="349">
        <f t="shared" si="6"/>
        <v>2.99</v>
      </c>
      <c r="P776" s="373">
        <f t="shared" si="7"/>
        <v>2.99</v>
      </c>
    </row>
    <row r="777" spans="1:16">
      <c r="A777" s="348">
        <v>933</v>
      </c>
      <c r="B777" s="349">
        <v>3357</v>
      </c>
      <c r="C777" s="372" t="s">
        <v>8253</v>
      </c>
      <c r="D777" s="372" t="s">
        <v>45</v>
      </c>
      <c r="E777" s="372" t="s">
        <v>2556</v>
      </c>
      <c r="F777" s="350">
        <v>45620.185416666667</v>
      </c>
      <c r="G777" s="372">
        <v>11</v>
      </c>
      <c r="H777" s="372" t="s">
        <v>2557</v>
      </c>
      <c r="I777" s="349">
        <v>32167</v>
      </c>
      <c r="J777" s="372" t="s">
        <v>8254</v>
      </c>
      <c r="K777" s="349">
        <v>12.59</v>
      </c>
      <c r="L777" s="349">
        <v>0</v>
      </c>
      <c r="M777" s="349">
        <v>0</v>
      </c>
      <c r="N777" s="349">
        <v>1</v>
      </c>
      <c r="O777" s="349">
        <f t="shared" si="6"/>
        <v>12.59</v>
      </c>
      <c r="P777" s="373">
        <f t="shared" si="7"/>
        <v>12.59</v>
      </c>
    </row>
    <row r="778" spans="1:16">
      <c r="A778" s="348">
        <v>934</v>
      </c>
      <c r="B778" s="349">
        <v>3361</v>
      </c>
      <c r="C778" s="372" t="s">
        <v>8255</v>
      </c>
      <c r="D778" s="372" t="s">
        <v>2582</v>
      </c>
      <c r="E778" s="372" t="s">
        <v>2556</v>
      </c>
      <c r="F778" s="350">
        <v>45620.331250000003</v>
      </c>
      <c r="G778" s="372">
        <v>11</v>
      </c>
      <c r="H778" s="372" t="s">
        <v>2557</v>
      </c>
      <c r="I778" s="349">
        <v>32179</v>
      </c>
      <c r="J778" s="372" t="s">
        <v>8256</v>
      </c>
      <c r="K778" s="349">
        <v>7.9</v>
      </c>
      <c r="L778" s="349">
        <v>0</v>
      </c>
      <c r="M778" s="349">
        <v>0</v>
      </c>
      <c r="N778" s="349">
        <v>7.2472099999999999</v>
      </c>
      <c r="O778" s="349">
        <f t="shared" si="6"/>
        <v>7.9</v>
      </c>
      <c r="P778" s="373">
        <f t="shared" si="7"/>
        <v>1.0900746632152236</v>
      </c>
    </row>
    <row r="779" spans="1:16">
      <c r="A779" s="348">
        <v>935</v>
      </c>
      <c r="B779" s="349">
        <v>1570</v>
      </c>
      <c r="C779" s="372" t="s">
        <v>6308</v>
      </c>
      <c r="D779" s="372" t="s">
        <v>45</v>
      </c>
      <c r="E779" s="372" t="s">
        <v>2556</v>
      </c>
      <c r="F779" s="350">
        <v>45620.341666666667</v>
      </c>
      <c r="G779" s="372">
        <v>11</v>
      </c>
      <c r="H779" s="372" t="s">
        <v>2557</v>
      </c>
      <c r="I779" s="349">
        <v>32191</v>
      </c>
      <c r="J779" s="372" t="s">
        <v>8257</v>
      </c>
      <c r="K779" s="349">
        <v>25.19</v>
      </c>
      <c r="L779" s="349">
        <v>0</v>
      </c>
      <c r="M779" s="349">
        <v>0</v>
      </c>
      <c r="N779" s="349">
        <v>1</v>
      </c>
      <c r="O779" s="349">
        <f t="shared" si="6"/>
        <v>25.19</v>
      </c>
      <c r="P779" s="373">
        <f t="shared" si="7"/>
        <v>25.19</v>
      </c>
    </row>
    <row r="780" spans="1:16">
      <c r="A780" s="348">
        <v>936</v>
      </c>
      <c r="B780" s="349">
        <v>3363</v>
      </c>
      <c r="C780" s="372" t="s">
        <v>6295</v>
      </c>
      <c r="D780" s="372" t="s">
        <v>45</v>
      </c>
      <c r="E780" s="372" t="s">
        <v>9</v>
      </c>
      <c r="F780" s="350">
        <v>45620.382638888892</v>
      </c>
      <c r="G780" s="372">
        <v>11</v>
      </c>
      <c r="H780" s="372" t="s">
        <v>2557</v>
      </c>
      <c r="I780" s="349">
        <v>32227</v>
      </c>
      <c r="J780" s="372" t="s">
        <v>7197</v>
      </c>
      <c r="K780" s="349">
        <v>12.59</v>
      </c>
      <c r="L780" s="349">
        <v>0.93</v>
      </c>
      <c r="M780" s="349">
        <v>0</v>
      </c>
      <c r="N780" s="349">
        <v>1</v>
      </c>
      <c r="O780" s="349">
        <f t="shared" si="6"/>
        <v>11.66</v>
      </c>
      <c r="P780" s="373">
        <f t="shared" si="7"/>
        <v>11.66</v>
      </c>
    </row>
    <row r="781" spans="1:16">
      <c r="A781" s="348">
        <v>937</v>
      </c>
      <c r="B781" s="349">
        <v>3364</v>
      </c>
      <c r="C781" s="372" t="s">
        <v>2677</v>
      </c>
      <c r="D781" s="372" t="s">
        <v>45</v>
      </c>
      <c r="E781" s="372" t="s">
        <v>2556</v>
      </c>
      <c r="F781" s="350">
        <v>45620.429166666669</v>
      </c>
      <c r="G781" s="372">
        <v>11</v>
      </c>
      <c r="H781" s="372" t="s">
        <v>2557</v>
      </c>
      <c r="I781" s="349">
        <v>32239</v>
      </c>
      <c r="J781" s="372" t="s">
        <v>8258</v>
      </c>
      <c r="K781" s="349">
        <v>1.0900000000000001</v>
      </c>
      <c r="L781" s="349">
        <v>0</v>
      </c>
      <c r="M781" s="349">
        <v>0</v>
      </c>
      <c r="N781" s="349">
        <v>1</v>
      </c>
      <c r="O781" s="349">
        <f t="shared" si="6"/>
        <v>1.0900000000000001</v>
      </c>
      <c r="P781" s="373">
        <f t="shared" si="7"/>
        <v>1.0900000000000001</v>
      </c>
    </row>
    <row r="782" spans="1:16">
      <c r="A782" s="348">
        <v>938</v>
      </c>
      <c r="B782" s="349">
        <v>3365</v>
      </c>
      <c r="C782" s="372" t="s">
        <v>6742</v>
      </c>
      <c r="D782" s="372" t="s">
        <v>45</v>
      </c>
      <c r="E782" s="372" t="s">
        <v>2556</v>
      </c>
      <c r="F782" s="350">
        <v>45620.432638888888</v>
      </c>
      <c r="G782" s="372">
        <v>11</v>
      </c>
      <c r="H782" s="372" t="s">
        <v>2557</v>
      </c>
      <c r="I782" s="349">
        <v>32251</v>
      </c>
      <c r="J782" s="372" t="s">
        <v>8259</v>
      </c>
      <c r="K782" s="349">
        <v>12.59</v>
      </c>
      <c r="L782" s="349">
        <v>0</v>
      </c>
      <c r="M782" s="349">
        <v>0</v>
      </c>
      <c r="N782" s="349">
        <v>1</v>
      </c>
      <c r="O782" s="349">
        <f t="shared" si="6"/>
        <v>12.59</v>
      </c>
      <c r="P782" s="373">
        <f t="shared" si="7"/>
        <v>12.59</v>
      </c>
    </row>
    <row r="783" spans="1:16">
      <c r="A783" s="348">
        <v>939</v>
      </c>
      <c r="B783" s="349">
        <v>3367</v>
      </c>
      <c r="C783" s="372" t="s">
        <v>8260</v>
      </c>
      <c r="D783" s="372" t="s">
        <v>45</v>
      </c>
      <c r="E783" s="372" t="s">
        <v>2556</v>
      </c>
      <c r="F783" s="350">
        <v>45620.447916666664</v>
      </c>
      <c r="G783" s="372">
        <v>11</v>
      </c>
      <c r="H783" s="372" t="s">
        <v>2557</v>
      </c>
      <c r="I783" s="349">
        <v>32275</v>
      </c>
      <c r="J783" s="372" t="s">
        <v>8261</v>
      </c>
      <c r="K783" s="349">
        <v>2.99</v>
      </c>
      <c r="L783" s="349">
        <v>0</v>
      </c>
      <c r="M783" s="349">
        <v>0</v>
      </c>
      <c r="N783" s="349">
        <v>1</v>
      </c>
      <c r="O783" s="349">
        <f t="shared" si="6"/>
        <v>2.99</v>
      </c>
      <c r="P783" s="373">
        <f t="shared" si="7"/>
        <v>2.99</v>
      </c>
    </row>
    <row r="784" spans="1:16">
      <c r="A784" s="348">
        <v>940</v>
      </c>
      <c r="B784" s="349">
        <v>3368</v>
      </c>
      <c r="C784" s="372" t="s">
        <v>8262</v>
      </c>
      <c r="D784" s="372" t="s">
        <v>2582</v>
      </c>
      <c r="E784" s="372" t="s">
        <v>2556</v>
      </c>
      <c r="F784" s="350">
        <v>45620.48541666667</v>
      </c>
      <c r="G784" s="372">
        <v>11</v>
      </c>
      <c r="H784" s="372" t="s">
        <v>2557</v>
      </c>
      <c r="I784" s="349">
        <v>32311</v>
      </c>
      <c r="J784" s="372" t="s">
        <v>8263</v>
      </c>
      <c r="K784" s="349">
        <v>91.31</v>
      </c>
      <c r="L784" s="349">
        <v>0</v>
      </c>
      <c r="M784" s="349">
        <v>0</v>
      </c>
      <c r="N784" s="349">
        <v>7.2472099999999999</v>
      </c>
      <c r="O784" s="349">
        <f t="shared" si="6"/>
        <v>91.31</v>
      </c>
      <c r="P784" s="373">
        <f t="shared" si="7"/>
        <v>12.599331328883805</v>
      </c>
    </row>
    <row r="785" spans="1:16">
      <c r="A785" s="348">
        <v>941</v>
      </c>
      <c r="B785" s="349">
        <v>3371</v>
      </c>
      <c r="C785" s="372" t="s">
        <v>2625</v>
      </c>
      <c r="D785" s="372" t="s">
        <v>45</v>
      </c>
      <c r="E785" s="372" t="s">
        <v>2556</v>
      </c>
      <c r="F785" s="350">
        <v>45620.586111111108</v>
      </c>
      <c r="G785" s="372">
        <v>11</v>
      </c>
      <c r="H785" s="372" t="s">
        <v>2557</v>
      </c>
      <c r="I785" s="349">
        <v>32323</v>
      </c>
      <c r="J785" s="372" t="s">
        <v>8264</v>
      </c>
      <c r="K785" s="349">
        <v>1.0900000000000001</v>
      </c>
      <c r="L785" s="349">
        <v>0</v>
      </c>
      <c r="M785" s="349">
        <v>0</v>
      </c>
      <c r="N785" s="349">
        <v>1</v>
      </c>
      <c r="O785" s="349">
        <f t="shared" si="6"/>
        <v>1.0900000000000001</v>
      </c>
      <c r="P785" s="373">
        <f t="shared" si="7"/>
        <v>1.0900000000000001</v>
      </c>
    </row>
    <row r="786" spans="1:16">
      <c r="A786" s="348">
        <v>942</v>
      </c>
      <c r="B786" s="349">
        <v>3350</v>
      </c>
      <c r="C786" s="372" t="s">
        <v>6340</v>
      </c>
      <c r="D786" s="372" t="s">
        <v>45</v>
      </c>
      <c r="E786" s="372" t="s">
        <v>2556</v>
      </c>
      <c r="F786" s="350">
        <v>45620.697222222225</v>
      </c>
      <c r="G786" s="372">
        <v>11</v>
      </c>
      <c r="H786" s="372" t="s">
        <v>2557</v>
      </c>
      <c r="I786" s="349">
        <v>32095</v>
      </c>
      <c r="J786" s="372" t="s">
        <v>8265</v>
      </c>
      <c r="K786" s="349">
        <v>12.59</v>
      </c>
      <c r="L786" s="349">
        <v>0</v>
      </c>
      <c r="M786" s="349">
        <v>0</v>
      </c>
      <c r="N786" s="349">
        <v>1</v>
      </c>
      <c r="O786" s="349">
        <f t="shared" si="6"/>
        <v>12.59</v>
      </c>
      <c r="P786" s="373">
        <f t="shared" si="7"/>
        <v>12.59</v>
      </c>
    </row>
    <row r="787" spans="1:16">
      <c r="A787" s="348">
        <v>943</v>
      </c>
      <c r="B787" s="349">
        <v>3375</v>
      </c>
      <c r="C787" s="374">
        <v>45658</v>
      </c>
      <c r="D787" s="372" t="s">
        <v>45</v>
      </c>
      <c r="E787" s="372" t="s">
        <v>2556</v>
      </c>
      <c r="F787" s="350">
        <v>45620.768055555556</v>
      </c>
      <c r="G787" s="372">
        <v>11</v>
      </c>
      <c r="H787" s="372" t="s">
        <v>2557</v>
      </c>
      <c r="I787" s="349">
        <v>32335</v>
      </c>
      <c r="J787" s="372" t="s">
        <v>8266</v>
      </c>
      <c r="K787" s="349">
        <v>35.99</v>
      </c>
      <c r="L787" s="349">
        <v>0</v>
      </c>
      <c r="M787" s="349">
        <v>0</v>
      </c>
      <c r="N787" s="349">
        <v>1</v>
      </c>
      <c r="O787" s="349">
        <f t="shared" si="6"/>
        <v>35.99</v>
      </c>
      <c r="P787" s="373">
        <f t="shared" si="7"/>
        <v>35.99</v>
      </c>
    </row>
    <row r="788" spans="1:16">
      <c r="A788" s="348">
        <v>944</v>
      </c>
      <c r="B788" s="349">
        <v>3369</v>
      </c>
      <c r="C788" s="372" t="s">
        <v>7198</v>
      </c>
      <c r="D788" s="372" t="s">
        <v>45</v>
      </c>
      <c r="E788" s="372" t="s">
        <v>9</v>
      </c>
      <c r="F788" s="350">
        <v>45620.881249999999</v>
      </c>
      <c r="G788" s="372">
        <v>11</v>
      </c>
      <c r="H788" s="372" t="s">
        <v>2557</v>
      </c>
      <c r="I788" s="349">
        <v>32299</v>
      </c>
      <c r="J788" s="372" t="s">
        <v>7199</v>
      </c>
      <c r="K788" s="349">
        <v>12.59</v>
      </c>
      <c r="L788" s="349">
        <v>0.93</v>
      </c>
      <c r="M788" s="349">
        <v>0</v>
      </c>
      <c r="N788" s="349">
        <v>1</v>
      </c>
      <c r="O788" s="349">
        <f t="shared" si="6"/>
        <v>11.66</v>
      </c>
      <c r="P788" s="373">
        <f t="shared" si="7"/>
        <v>11.66</v>
      </c>
    </row>
    <row r="789" spans="1:16">
      <c r="A789" s="348">
        <v>945</v>
      </c>
      <c r="B789" s="349">
        <v>3379</v>
      </c>
      <c r="C789" s="372" t="s">
        <v>8267</v>
      </c>
      <c r="D789" s="372" t="s">
        <v>45</v>
      </c>
      <c r="E789" s="372" t="s">
        <v>2556</v>
      </c>
      <c r="F789" s="350">
        <v>45620.942361111112</v>
      </c>
      <c r="G789" s="372">
        <v>11</v>
      </c>
      <c r="H789" s="372" t="s">
        <v>2557</v>
      </c>
      <c r="I789" s="349">
        <v>32395</v>
      </c>
      <c r="J789" s="372" t="s">
        <v>8268</v>
      </c>
      <c r="K789" s="349">
        <v>503.99</v>
      </c>
      <c r="L789" s="349">
        <v>0</v>
      </c>
      <c r="M789" s="349">
        <v>0</v>
      </c>
      <c r="N789" s="349">
        <v>1</v>
      </c>
      <c r="O789" s="349">
        <f t="shared" si="6"/>
        <v>503.99</v>
      </c>
      <c r="P789" s="373">
        <f t="shared" si="7"/>
        <v>503.99</v>
      </c>
    </row>
    <row r="790" spans="1:16">
      <c r="A790" s="348">
        <v>946</v>
      </c>
      <c r="B790" s="349">
        <v>3379</v>
      </c>
      <c r="C790" s="372" t="s">
        <v>8267</v>
      </c>
      <c r="D790" s="372" t="s">
        <v>45</v>
      </c>
      <c r="E790" s="372" t="s">
        <v>2556</v>
      </c>
      <c r="F790" s="350">
        <v>45620.950694444444</v>
      </c>
      <c r="G790" s="372">
        <v>11</v>
      </c>
      <c r="H790" s="372" t="s">
        <v>2557</v>
      </c>
      <c r="I790" s="349">
        <v>32407</v>
      </c>
      <c r="J790" s="372" t="s">
        <v>8269</v>
      </c>
      <c r="K790" s="349">
        <v>12.59</v>
      </c>
      <c r="L790" s="349">
        <v>0</v>
      </c>
      <c r="M790" s="349">
        <v>0</v>
      </c>
      <c r="N790" s="349">
        <v>1</v>
      </c>
      <c r="O790" s="349">
        <f t="shared" si="6"/>
        <v>12.59</v>
      </c>
      <c r="P790" s="373">
        <f t="shared" si="7"/>
        <v>12.59</v>
      </c>
    </row>
    <row r="791" spans="1:16">
      <c r="A791" s="348">
        <v>947</v>
      </c>
      <c r="B791" s="349">
        <v>3382</v>
      </c>
      <c r="C791" s="372" t="s">
        <v>8270</v>
      </c>
      <c r="D791" s="372" t="s">
        <v>45</v>
      </c>
      <c r="E791" s="372" t="s">
        <v>2556</v>
      </c>
      <c r="F791" s="350">
        <v>45620.98541666667</v>
      </c>
      <c r="G791" s="372">
        <v>11</v>
      </c>
      <c r="H791" s="372" t="s">
        <v>2557</v>
      </c>
      <c r="I791" s="349">
        <v>32443</v>
      </c>
      <c r="J791" s="372" t="s">
        <v>8271</v>
      </c>
      <c r="K791" s="349">
        <v>12.59</v>
      </c>
      <c r="L791" s="349">
        <v>0</v>
      </c>
      <c r="M791" s="349">
        <v>0</v>
      </c>
      <c r="N791" s="349">
        <v>1</v>
      </c>
      <c r="O791" s="349">
        <f t="shared" si="6"/>
        <v>12.59</v>
      </c>
      <c r="P791" s="373">
        <f t="shared" si="7"/>
        <v>12.59</v>
      </c>
    </row>
    <row r="792" spans="1:16">
      <c r="A792" s="348">
        <v>948</v>
      </c>
      <c r="B792" s="349">
        <v>1606</v>
      </c>
      <c r="C792" s="372" t="s">
        <v>8032</v>
      </c>
      <c r="D792" s="372" t="s">
        <v>45</v>
      </c>
      <c r="E792" s="372" t="s">
        <v>2556</v>
      </c>
      <c r="F792" s="350">
        <v>45621.09097222222</v>
      </c>
      <c r="G792" s="372">
        <v>11</v>
      </c>
      <c r="H792" s="372" t="s">
        <v>2557</v>
      </c>
      <c r="I792" s="349">
        <v>29407</v>
      </c>
      <c r="J792" s="372" t="s">
        <v>8272</v>
      </c>
      <c r="K792" s="349">
        <v>2.99</v>
      </c>
      <c r="L792" s="349">
        <v>0</v>
      </c>
      <c r="M792" s="349">
        <v>0</v>
      </c>
      <c r="N792" s="349">
        <v>1</v>
      </c>
      <c r="O792" s="349">
        <f t="shared" si="6"/>
        <v>2.99</v>
      </c>
      <c r="P792" s="373">
        <f t="shared" si="7"/>
        <v>2.99</v>
      </c>
    </row>
    <row r="793" spans="1:16">
      <c r="A793" s="348">
        <v>949</v>
      </c>
      <c r="B793" s="349">
        <v>3405</v>
      </c>
      <c r="C793" s="372" t="s">
        <v>3618</v>
      </c>
      <c r="D793" s="372" t="s">
        <v>45</v>
      </c>
      <c r="E793" s="372" t="s">
        <v>2556</v>
      </c>
      <c r="F793" s="350">
        <v>45621.456944444442</v>
      </c>
      <c r="G793" s="372">
        <v>11</v>
      </c>
      <c r="H793" s="372" t="s">
        <v>2557</v>
      </c>
      <c r="I793" s="349">
        <v>32623</v>
      </c>
      <c r="J793" s="372" t="s">
        <v>8273</v>
      </c>
      <c r="K793" s="349">
        <v>12.59</v>
      </c>
      <c r="L793" s="349">
        <v>0</v>
      </c>
      <c r="M793" s="349">
        <v>0</v>
      </c>
      <c r="N793" s="349">
        <v>1</v>
      </c>
      <c r="O793" s="349">
        <f t="shared" si="6"/>
        <v>12.59</v>
      </c>
      <c r="P793" s="373">
        <f t="shared" si="7"/>
        <v>12.59</v>
      </c>
    </row>
    <row r="794" spans="1:16">
      <c r="A794" s="348">
        <v>950</v>
      </c>
      <c r="B794" s="349">
        <v>3406</v>
      </c>
      <c r="C794" s="372" t="s">
        <v>8274</v>
      </c>
      <c r="D794" s="372" t="s">
        <v>45</v>
      </c>
      <c r="E794" s="372" t="s">
        <v>9</v>
      </c>
      <c r="F794" s="350">
        <v>45621.504166666666</v>
      </c>
      <c r="G794" s="372">
        <v>11</v>
      </c>
      <c r="H794" s="372" t="s">
        <v>2557</v>
      </c>
      <c r="I794" s="349">
        <v>32647</v>
      </c>
      <c r="J794" s="372" t="s">
        <v>7201</v>
      </c>
      <c r="K794" s="349">
        <v>12.59</v>
      </c>
      <c r="L794" s="349">
        <v>1.1200000000000001</v>
      </c>
      <c r="M794" s="349">
        <v>0</v>
      </c>
      <c r="N794" s="349">
        <v>1</v>
      </c>
      <c r="O794" s="349">
        <f t="shared" si="6"/>
        <v>11.469999999999999</v>
      </c>
      <c r="P794" s="373">
        <f t="shared" si="7"/>
        <v>11.469999999999999</v>
      </c>
    </row>
    <row r="795" spans="1:16">
      <c r="A795" s="348">
        <v>951</v>
      </c>
      <c r="B795" s="349">
        <v>1011</v>
      </c>
      <c r="C795" s="372" t="s">
        <v>3449</v>
      </c>
      <c r="D795" s="372" t="s">
        <v>45</v>
      </c>
      <c r="E795" s="372" t="s">
        <v>2556</v>
      </c>
      <c r="F795" s="350">
        <v>45621.753472222219</v>
      </c>
      <c r="G795" s="372">
        <v>11</v>
      </c>
      <c r="H795" s="372" t="s">
        <v>2557</v>
      </c>
      <c r="I795" s="349">
        <v>32659</v>
      </c>
      <c r="J795" s="372" t="s">
        <v>8275</v>
      </c>
      <c r="K795" s="349">
        <v>2.99</v>
      </c>
      <c r="L795" s="349">
        <v>0</v>
      </c>
      <c r="M795" s="349">
        <v>0</v>
      </c>
      <c r="N795" s="349">
        <v>1</v>
      </c>
      <c r="O795" s="349">
        <f t="shared" si="6"/>
        <v>2.99</v>
      </c>
      <c r="P795" s="373">
        <f t="shared" si="7"/>
        <v>2.99</v>
      </c>
    </row>
    <row r="796" spans="1:16">
      <c r="A796" s="348">
        <v>952</v>
      </c>
      <c r="B796" s="349">
        <v>3445</v>
      </c>
      <c r="C796" s="372" t="s">
        <v>6380</v>
      </c>
      <c r="D796" s="372" t="s">
        <v>45</v>
      </c>
      <c r="E796" s="372" t="s">
        <v>2556</v>
      </c>
      <c r="F796" s="350">
        <v>45622.012499999997</v>
      </c>
      <c r="G796" s="372">
        <v>11</v>
      </c>
      <c r="H796" s="372" t="s">
        <v>2557</v>
      </c>
      <c r="I796" s="349">
        <v>32719</v>
      </c>
      <c r="J796" s="372" t="s">
        <v>8276</v>
      </c>
      <c r="K796" s="349">
        <v>12.59</v>
      </c>
      <c r="L796" s="349">
        <v>0</v>
      </c>
      <c r="M796" s="349">
        <v>0</v>
      </c>
      <c r="N796" s="349">
        <v>1</v>
      </c>
      <c r="O796" s="349">
        <f t="shared" si="6"/>
        <v>12.59</v>
      </c>
      <c r="P796" s="373">
        <f t="shared" si="7"/>
        <v>12.59</v>
      </c>
    </row>
    <row r="797" spans="1:16">
      <c r="A797" s="348">
        <v>953</v>
      </c>
      <c r="B797" s="349">
        <v>3448</v>
      </c>
      <c r="C797" s="372" t="s">
        <v>8277</v>
      </c>
      <c r="D797" s="372" t="s">
        <v>45</v>
      </c>
      <c r="E797" s="372" t="s">
        <v>2556</v>
      </c>
      <c r="F797" s="350">
        <v>45622.020138888889</v>
      </c>
      <c r="G797" s="372">
        <v>11</v>
      </c>
      <c r="H797" s="372" t="s">
        <v>2557</v>
      </c>
      <c r="I797" s="349">
        <v>32731</v>
      </c>
      <c r="J797" s="372" t="s">
        <v>8278</v>
      </c>
      <c r="K797" s="349">
        <v>16.989999999999998</v>
      </c>
      <c r="L797" s="349">
        <v>0</v>
      </c>
      <c r="M797" s="349">
        <v>0</v>
      </c>
      <c r="N797" s="349">
        <v>1</v>
      </c>
      <c r="O797" s="349">
        <f t="shared" si="6"/>
        <v>16.989999999999998</v>
      </c>
      <c r="P797" s="373">
        <f t="shared" si="7"/>
        <v>16.989999999999998</v>
      </c>
    </row>
    <row r="798" spans="1:16">
      <c r="A798" s="348">
        <v>954</v>
      </c>
      <c r="B798" s="349">
        <v>3477</v>
      </c>
      <c r="C798" s="372" t="s">
        <v>8279</v>
      </c>
      <c r="D798" s="372" t="s">
        <v>45</v>
      </c>
      <c r="E798" s="372" t="s">
        <v>2556</v>
      </c>
      <c r="F798" s="350">
        <v>45622.384722222225</v>
      </c>
      <c r="G798" s="372">
        <v>11</v>
      </c>
      <c r="H798" s="372" t="s">
        <v>2557</v>
      </c>
      <c r="I798" s="349">
        <v>32779</v>
      </c>
      <c r="J798" s="372" t="s">
        <v>8280</v>
      </c>
      <c r="K798" s="349">
        <v>1.0900000000000001</v>
      </c>
      <c r="L798" s="349">
        <v>0</v>
      </c>
      <c r="M798" s="349">
        <v>0</v>
      </c>
      <c r="N798" s="349">
        <v>1</v>
      </c>
      <c r="O798" s="349">
        <f t="shared" si="6"/>
        <v>1.0900000000000001</v>
      </c>
      <c r="P798" s="373">
        <f t="shared" si="7"/>
        <v>1.0900000000000001</v>
      </c>
    </row>
    <row r="799" spans="1:16">
      <c r="A799" s="348">
        <v>955</v>
      </c>
      <c r="B799" s="349">
        <v>3478</v>
      </c>
      <c r="C799" s="372" t="s">
        <v>8281</v>
      </c>
      <c r="D799" s="372" t="s">
        <v>45</v>
      </c>
      <c r="E799" s="372" t="s">
        <v>2556</v>
      </c>
      <c r="F799" s="350">
        <v>45622.390972222223</v>
      </c>
      <c r="G799" s="372">
        <v>11</v>
      </c>
      <c r="H799" s="372" t="s">
        <v>2557</v>
      </c>
      <c r="I799" s="349">
        <v>32791</v>
      </c>
      <c r="J799" s="372" t="s">
        <v>8282</v>
      </c>
      <c r="K799" s="349">
        <v>12.59</v>
      </c>
      <c r="L799" s="349">
        <v>0</v>
      </c>
      <c r="M799" s="349">
        <v>0</v>
      </c>
      <c r="N799" s="349">
        <v>1</v>
      </c>
      <c r="O799" s="349">
        <f t="shared" si="6"/>
        <v>12.59</v>
      </c>
      <c r="P799" s="373">
        <f t="shared" si="7"/>
        <v>12.59</v>
      </c>
    </row>
    <row r="800" spans="1:16">
      <c r="A800" s="348">
        <v>956</v>
      </c>
      <c r="B800" s="349">
        <v>3477</v>
      </c>
      <c r="C800" s="372" t="s">
        <v>8279</v>
      </c>
      <c r="D800" s="372" t="s">
        <v>45</v>
      </c>
      <c r="E800" s="372" t="s">
        <v>2556</v>
      </c>
      <c r="F800" s="350">
        <v>45622.395833333336</v>
      </c>
      <c r="G800" s="372">
        <v>11</v>
      </c>
      <c r="H800" s="372" t="s">
        <v>2557</v>
      </c>
      <c r="I800" s="349">
        <v>32803</v>
      </c>
      <c r="J800" s="372" t="s">
        <v>8283</v>
      </c>
      <c r="K800" s="349">
        <v>12.59</v>
      </c>
      <c r="L800" s="349">
        <v>0</v>
      </c>
      <c r="M800" s="349">
        <v>0</v>
      </c>
      <c r="N800" s="349">
        <v>1</v>
      </c>
      <c r="O800" s="349">
        <f t="shared" si="6"/>
        <v>12.59</v>
      </c>
      <c r="P800" s="373">
        <f t="shared" si="7"/>
        <v>12.59</v>
      </c>
    </row>
    <row r="801" spans="1:16">
      <c r="A801" s="348">
        <v>957</v>
      </c>
      <c r="B801" s="349">
        <v>3479</v>
      </c>
      <c r="C801" s="372" t="s">
        <v>6442</v>
      </c>
      <c r="D801" s="372" t="s">
        <v>2582</v>
      </c>
      <c r="E801" s="372" t="s">
        <v>9</v>
      </c>
      <c r="F801" s="350">
        <v>45622.413888888892</v>
      </c>
      <c r="G801" s="372">
        <v>11</v>
      </c>
      <c r="H801" s="372" t="s">
        <v>2557</v>
      </c>
      <c r="I801" s="349">
        <v>32815</v>
      </c>
      <c r="J801" s="372" t="s">
        <v>7202</v>
      </c>
      <c r="K801" s="349">
        <v>91.23</v>
      </c>
      <c r="L801" s="349">
        <v>6.74</v>
      </c>
      <c r="M801" s="349">
        <v>0</v>
      </c>
      <c r="N801" s="349">
        <v>7.2432600000000003</v>
      </c>
      <c r="O801" s="349">
        <f t="shared" si="6"/>
        <v>84.490000000000009</v>
      </c>
      <c r="P801" s="373">
        <f t="shared" si="7"/>
        <v>11.664637193749776</v>
      </c>
    </row>
    <row r="802" spans="1:16">
      <c r="A802" s="348">
        <v>958</v>
      </c>
      <c r="B802" s="349">
        <v>3480</v>
      </c>
      <c r="C802" s="372" t="s">
        <v>8284</v>
      </c>
      <c r="D802" s="372" t="s">
        <v>45</v>
      </c>
      <c r="E802" s="372" t="s">
        <v>2556</v>
      </c>
      <c r="F802" s="350">
        <v>45622.422222222223</v>
      </c>
      <c r="G802" s="372">
        <v>11</v>
      </c>
      <c r="H802" s="372" t="s">
        <v>2557</v>
      </c>
      <c r="I802" s="349">
        <v>32827</v>
      </c>
      <c r="J802" s="372" t="s">
        <v>8285</v>
      </c>
      <c r="K802" s="349">
        <v>11.99</v>
      </c>
      <c r="L802" s="349">
        <v>0</v>
      </c>
      <c r="M802" s="349">
        <v>0</v>
      </c>
      <c r="N802" s="349">
        <v>1</v>
      </c>
      <c r="O802" s="349">
        <f t="shared" si="6"/>
        <v>11.99</v>
      </c>
      <c r="P802" s="373">
        <f t="shared" si="7"/>
        <v>11.99</v>
      </c>
    </row>
    <row r="803" spans="1:16">
      <c r="A803" s="348">
        <v>959</v>
      </c>
      <c r="B803" s="349">
        <v>3483</v>
      </c>
      <c r="C803" s="372" t="s">
        <v>6428</v>
      </c>
      <c r="D803" s="372" t="s">
        <v>45</v>
      </c>
      <c r="E803" s="372" t="s">
        <v>9</v>
      </c>
      <c r="F803" s="350">
        <v>45622.443055555559</v>
      </c>
      <c r="G803" s="372">
        <v>11</v>
      </c>
      <c r="H803" s="372" t="s">
        <v>2557</v>
      </c>
      <c r="I803" s="349">
        <v>32851</v>
      </c>
      <c r="J803" s="372" t="s">
        <v>7203</v>
      </c>
      <c r="K803" s="349">
        <v>12.59</v>
      </c>
      <c r="L803" s="349">
        <v>0.93</v>
      </c>
      <c r="M803" s="349">
        <v>0</v>
      </c>
      <c r="N803" s="349">
        <v>1</v>
      </c>
      <c r="O803" s="349">
        <f t="shared" si="6"/>
        <v>11.66</v>
      </c>
      <c r="P803" s="373">
        <f t="shared" si="7"/>
        <v>11.66</v>
      </c>
    </row>
    <row r="804" spans="1:16">
      <c r="A804" s="348">
        <v>960</v>
      </c>
      <c r="B804" s="349">
        <v>3480</v>
      </c>
      <c r="C804" s="372" t="s">
        <v>8284</v>
      </c>
      <c r="D804" s="372" t="s">
        <v>45</v>
      </c>
      <c r="E804" s="372" t="s">
        <v>2556</v>
      </c>
      <c r="F804" s="350">
        <v>45622.472222222219</v>
      </c>
      <c r="G804" s="372">
        <v>11</v>
      </c>
      <c r="H804" s="372" t="s">
        <v>2557</v>
      </c>
      <c r="I804" s="349">
        <v>32839</v>
      </c>
      <c r="J804" s="372" t="s">
        <v>8286</v>
      </c>
      <c r="K804" s="349">
        <v>0.6</v>
      </c>
      <c r="L804" s="349">
        <v>0</v>
      </c>
      <c r="M804" s="349">
        <v>0</v>
      </c>
      <c r="N804" s="349">
        <v>1</v>
      </c>
      <c r="O804" s="349">
        <f t="shared" si="6"/>
        <v>0.6</v>
      </c>
      <c r="P804" s="373">
        <f t="shared" si="7"/>
        <v>0.6</v>
      </c>
    </row>
    <row r="805" spans="1:16">
      <c r="A805" s="348">
        <v>961</v>
      </c>
      <c r="B805" s="349">
        <v>370</v>
      </c>
      <c r="C805" s="372" t="s">
        <v>3009</v>
      </c>
      <c r="D805" s="372" t="s">
        <v>45</v>
      </c>
      <c r="E805" s="372" t="s">
        <v>2556</v>
      </c>
      <c r="F805" s="350">
        <v>45622.54791666667</v>
      </c>
      <c r="G805" s="372">
        <v>11</v>
      </c>
      <c r="H805" s="372" t="s">
        <v>2557</v>
      </c>
      <c r="I805" s="349">
        <v>30139</v>
      </c>
      <c r="J805" s="372" t="s">
        <v>8287</v>
      </c>
      <c r="K805" s="349">
        <v>1.99</v>
      </c>
      <c r="L805" s="349">
        <v>0</v>
      </c>
      <c r="M805" s="349">
        <v>0</v>
      </c>
      <c r="N805" s="349">
        <v>1</v>
      </c>
      <c r="O805" s="349">
        <f t="shared" si="6"/>
        <v>1.99</v>
      </c>
      <c r="P805" s="373">
        <f t="shared" si="7"/>
        <v>1.99</v>
      </c>
    </row>
    <row r="806" spans="1:16">
      <c r="A806" s="348">
        <v>962</v>
      </c>
      <c r="B806" s="349">
        <v>370</v>
      </c>
      <c r="C806" s="372" t="s">
        <v>3009</v>
      </c>
      <c r="D806" s="372" t="s">
        <v>45</v>
      </c>
      <c r="E806" s="372" t="s">
        <v>2556</v>
      </c>
      <c r="F806" s="350">
        <v>45622.548611111109</v>
      </c>
      <c r="G806" s="372">
        <v>11</v>
      </c>
      <c r="H806" s="372" t="s">
        <v>2557</v>
      </c>
      <c r="I806" s="349">
        <v>32767</v>
      </c>
      <c r="J806" s="372" t="s">
        <v>8288</v>
      </c>
      <c r="K806" s="349">
        <v>1.0900000000000001</v>
      </c>
      <c r="L806" s="349">
        <v>0</v>
      </c>
      <c r="M806" s="349">
        <v>0</v>
      </c>
      <c r="N806" s="349">
        <v>1</v>
      </c>
      <c r="O806" s="349">
        <f t="shared" si="6"/>
        <v>1.0900000000000001</v>
      </c>
      <c r="P806" s="373">
        <f t="shared" si="7"/>
        <v>1.0900000000000001</v>
      </c>
    </row>
    <row r="807" spans="1:16">
      <c r="A807" s="348">
        <v>963</v>
      </c>
      <c r="B807" s="349">
        <v>1021</v>
      </c>
      <c r="C807" s="372" t="s">
        <v>2598</v>
      </c>
      <c r="D807" s="372" t="s">
        <v>2582</v>
      </c>
      <c r="E807" s="372" t="s">
        <v>2556</v>
      </c>
      <c r="F807" s="350">
        <v>45622.587500000001</v>
      </c>
      <c r="G807" s="372">
        <v>11</v>
      </c>
      <c r="H807" s="372" t="s">
        <v>2557</v>
      </c>
      <c r="I807" s="349">
        <v>29215</v>
      </c>
      <c r="J807" s="372" t="s">
        <v>8289</v>
      </c>
      <c r="K807" s="349">
        <v>252.36</v>
      </c>
      <c r="L807" s="349">
        <v>0</v>
      </c>
      <c r="M807" s="349">
        <v>0</v>
      </c>
      <c r="N807" s="349">
        <v>7.2432600000000003</v>
      </c>
      <c r="O807" s="349">
        <f t="shared" si="6"/>
        <v>252.36</v>
      </c>
      <c r="P807" s="373">
        <f t="shared" si="7"/>
        <v>34.840665667116738</v>
      </c>
    </row>
    <row r="808" spans="1:16">
      <c r="A808" s="348">
        <v>964</v>
      </c>
      <c r="B808" s="349">
        <v>3497</v>
      </c>
      <c r="C808" s="372" t="s">
        <v>8290</v>
      </c>
      <c r="D808" s="372" t="s">
        <v>45</v>
      </c>
      <c r="E808" s="372" t="s">
        <v>2556</v>
      </c>
      <c r="F808" s="350">
        <v>45622.67291666667</v>
      </c>
      <c r="G808" s="372">
        <v>11</v>
      </c>
      <c r="H808" s="372" t="s">
        <v>2557</v>
      </c>
      <c r="I808" s="349">
        <v>32875</v>
      </c>
      <c r="J808" s="372" t="s">
        <v>8291</v>
      </c>
      <c r="K808" s="349">
        <v>1.0900000000000001</v>
      </c>
      <c r="L808" s="349">
        <v>0</v>
      </c>
      <c r="M808" s="349">
        <v>0</v>
      </c>
      <c r="N808" s="349">
        <v>1</v>
      </c>
      <c r="O808" s="349">
        <f t="shared" si="6"/>
        <v>1.0900000000000001</v>
      </c>
      <c r="P808" s="373">
        <f t="shared" si="7"/>
        <v>1.0900000000000001</v>
      </c>
    </row>
    <row r="809" spans="1:16">
      <c r="A809" s="348">
        <v>965</v>
      </c>
      <c r="B809" s="349">
        <v>3499</v>
      </c>
      <c r="C809" s="372" t="s">
        <v>2641</v>
      </c>
      <c r="D809" s="372" t="s">
        <v>45</v>
      </c>
      <c r="E809" s="372" t="s">
        <v>2556</v>
      </c>
      <c r="F809" s="350">
        <v>45622.681250000001</v>
      </c>
      <c r="G809" s="372">
        <v>11</v>
      </c>
      <c r="H809" s="372" t="s">
        <v>2557</v>
      </c>
      <c r="I809" s="349">
        <v>32887</v>
      </c>
      <c r="J809" s="372" t="s">
        <v>8292</v>
      </c>
      <c r="K809" s="349">
        <v>1.0900000000000001</v>
      </c>
      <c r="L809" s="349">
        <v>0</v>
      </c>
      <c r="M809" s="349">
        <v>0</v>
      </c>
      <c r="N809" s="349">
        <v>1</v>
      </c>
      <c r="O809" s="349">
        <f t="shared" si="6"/>
        <v>1.0900000000000001</v>
      </c>
      <c r="P809" s="373">
        <f t="shared" si="7"/>
        <v>1.0900000000000001</v>
      </c>
    </row>
    <row r="810" spans="1:16">
      <c r="A810" s="348">
        <v>966</v>
      </c>
      <c r="B810" s="349">
        <v>3506</v>
      </c>
      <c r="C810" s="372" t="s">
        <v>8293</v>
      </c>
      <c r="D810" s="372" t="s">
        <v>45</v>
      </c>
      <c r="E810" s="372" t="s">
        <v>2556</v>
      </c>
      <c r="F810" s="350">
        <v>45622.8</v>
      </c>
      <c r="G810" s="372">
        <v>11</v>
      </c>
      <c r="H810" s="372" t="s">
        <v>2557</v>
      </c>
      <c r="I810" s="349">
        <v>32899</v>
      </c>
      <c r="J810" s="372" t="s">
        <v>8294</v>
      </c>
      <c r="K810" s="349">
        <v>2.99</v>
      </c>
      <c r="L810" s="349">
        <v>0</v>
      </c>
      <c r="M810" s="349">
        <v>0</v>
      </c>
      <c r="N810" s="349">
        <v>1</v>
      </c>
      <c r="O810" s="349">
        <f t="shared" si="6"/>
        <v>2.99</v>
      </c>
      <c r="P810" s="373">
        <f t="shared" si="7"/>
        <v>2.99</v>
      </c>
    </row>
    <row r="811" spans="1:16">
      <c r="A811" s="348">
        <v>967</v>
      </c>
      <c r="B811" s="349">
        <v>3511</v>
      </c>
      <c r="C811" s="372" t="s">
        <v>8295</v>
      </c>
      <c r="D811" s="372" t="s">
        <v>45</v>
      </c>
      <c r="E811" s="372" t="s">
        <v>9</v>
      </c>
      <c r="F811" s="350">
        <v>45622.839583333334</v>
      </c>
      <c r="G811" s="372">
        <v>11</v>
      </c>
      <c r="H811" s="372" t="s">
        <v>2557</v>
      </c>
      <c r="I811" s="349">
        <v>32911</v>
      </c>
      <c r="J811" s="372" t="s">
        <v>7205</v>
      </c>
      <c r="K811" s="349">
        <v>2.99</v>
      </c>
      <c r="L811" s="349">
        <v>0.64</v>
      </c>
      <c r="M811" s="349">
        <v>0</v>
      </c>
      <c r="N811" s="349">
        <v>1</v>
      </c>
      <c r="O811" s="349">
        <f t="shared" si="6"/>
        <v>2.35</v>
      </c>
      <c r="P811" s="373">
        <f t="shared" si="7"/>
        <v>2.35</v>
      </c>
    </row>
    <row r="812" spans="1:16">
      <c r="A812" s="348">
        <v>968</v>
      </c>
      <c r="B812" s="349">
        <v>3513</v>
      </c>
      <c r="C812" s="372" t="s">
        <v>6470</v>
      </c>
      <c r="D812" s="372" t="s">
        <v>45</v>
      </c>
      <c r="E812" s="372" t="s">
        <v>9</v>
      </c>
      <c r="F812" s="350">
        <v>45622.85833333333</v>
      </c>
      <c r="G812" s="372">
        <v>11</v>
      </c>
      <c r="H812" s="372" t="s">
        <v>2557</v>
      </c>
      <c r="I812" s="349">
        <v>32923</v>
      </c>
      <c r="J812" s="372" t="s">
        <v>7206</v>
      </c>
      <c r="K812" s="349">
        <v>12.59</v>
      </c>
      <c r="L812" s="349">
        <v>1.1200000000000001</v>
      </c>
      <c r="M812" s="349">
        <v>0</v>
      </c>
      <c r="N812" s="349">
        <v>1</v>
      </c>
      <c r="O812" s="349">
        <f t="shared" si="6"/>
        <v>11.469999999999999</v>
      </c>
      <c r="P812" s="373">
        <f t="shared" si="7"/>
        <v>11.469999999999999</v>
      </c>
    </row>
    <row r="813" spans="1:16">
      <c r="A813" s="348">
        <v>969</v>
      </c>
      <c r="B813" s="349">
        <v>311</v>
      </c>
      <c r="C813" s="372" t="s">
        <v>7686</v>
      </c>
      <c r="D813" s="372" t="s">
        <v>45</v>
      </c>
      <c r="E813" s="372" t="s">
        <v>2556</v>
      </c>
      <c r="F813" s="350">
        <v>45622.873611111114</v>
      </c>
      <c r="G813" s="372">
        <v>11</v>
      </c>
      <c r="H813" s="372" t="s">
        <v>2557</v>
      </c>
      <c r="I813" s="349">
        <v>32959</v>
      </c>
      <c r="J813" s="372" t="s">
        <v>8296</v>
      </c>
      <c r="K813" s="349">
        <v>12.59</v>
      </c>
      <c r="L813" s="349">
        <v>0</v>
      </c>
      <c r="M813" s="349">
        <v>0</v>
      </c>
      <c r="N813" s="349">
        <v>1</v>
      </c>
      <c r="O813" s="349">
        <f t="shared" si="6"/>
        <v>12.59</v>
      </c>
      <c r="P813" s="373">
        <f t="shared" si="7"/>
        <v>12.59</v>
      </c>
    </row>
    <row r="814" spans="1:16">
      <c r="A814" s="348">
        <v>970</v>
      </c>
      <c r="B814" s="349">
        <v>3520</v>
      </c>
      <c r="C814" s="372" t="s">
        <v>8297</v>
      </c>
      <c r="D814" s="372" t="s">
        <v>2582</v>
      </c>
      <c r="E814" s="372" t="s">
        <v>2556</v>
      </c>
      <c r="F814" s="350">
        <v>45622.890972222223</v>
      </c>
      <c r="G814" s="372">
        <v>11</v>
      </c>
      <c r="H814" s="372" t="s">
        <v>2557</v>
      </c>
      <c r="I814" s="349">
        <v>32983</v>
      </c>
      <c r="J814" s="372" t="s">
        <v>8298</v>
      </c>
      <c r="K814" s="349">
        <v>91.27</v>
      </c>
      <c r="L814" s="349">
        <v>0</v>
      </c>
      <c r="M814" s="349">
        <v>0</v>
      </c>
      <c r="N814" s="349">
        <v>7.2432600000000003</v>
      </c>
      <c r="O814" s="349">
        <f t="shared" si="6"/>
        <v>91.27</v>
      </c>
      <c r="P814" s="373">
        <f t="shared" si="7"/>
        <v>12.600679804397467</v>
      </c>
    </row>
    <row r="815" spans="1:16">
      <c r="A815" s="348">
        <v>971</v>
      </c>
      <c r="B815" s="349">
        <v>1571</v>
      </c>
      <c r="C815" s="372" t="s">
        <v>6152</v>
      </c>
      <c r="D815" s="372" t="s">
        <v>45</v>
      </c>
      <c r="E815" s="372" t="s">
        <v>2556</v>
      </c>
      <c r="F815" s="350">
        <v>45622.925000000003</v>
      </c>
      <c r="G815" s="372">
        <v>11</v>
      </c>
      <c r="H815" s="372" t="s">
        <v>2557</v>
      </c>
      <c r="I815" s="349">
        <v>33043</v>
      </c>
      <c r="J815" s="372" t="s">
        <v>8299</v>
      </c>
      <c r="K815" s="349">
        <v>8.99</v>
      </c>
      <c r="L815" s="349">
        <v>0</v>
      </c>
      <c r="M815" s="349">
        <v>0</v>
      </c>
      <c r="N815" s="349">
        <v>1</v>
      </c>
      <c r="O815" s="349">
        <f t="shared" si="6"/>
        <v>8.99</v>
      </c>
      <c r="P815" s="373">
        <f t="shared" si="7"/>
        <v>8.99</v>
      </c>
    </row>
    <row r="816" spans="1:16">
      <c r="A816" s="348">
        <v>972</v>
      </c>
      <c r="B816" s="349">
        <v>3522</v>
      </c>
      <c r="C816" s="372" t="s">
        <v>7412</v>
      </c>
      <c r="D816" s="372" t="s">
        <v>2582</v>
      </c>
      <c r="E816" s="372" t="s">
        <v>9</v>
      </c>
      <c r="F816" s="350">
        <v>45622.927083333336</v>
      </c>
      <c r="G816" s="372">
        <v>11</v>
      </c>
      <c r="H816" s="372" t="s">
        <v>2557</v>
      </c>
      <c r="I816" s="349">
        <v>33055</v>
      </c>
      <c r="J816" s="372" t="s">
        <v>7208</v>
      </c>
      <c r="K816" s="349">
        <v>91.23</v>
      </c>
      <c r="L816" s="349">
        <v>6.74</v>
      </c>
      <c r="M816" s="349">
        <v>0</v>
      </c>
      <c r="N816" s="349">
        <v>7.2432600000000003</v>
      </c>
      <c r="O816" s="349">
        <f t="shared" si="6"/>
        <v>84.490000000000009</v>
      </c>
      <c r="P816" s="373">
        <f t="shared" si="7"/>
        <v>11.664637193749776</v>
      </c>
    </row>
    <row r="817" spans="1:16">
      <c r="A817" s="348">
        <v>973</v>
      </c>
      <c r="B817" s="349">
        <v>3533</v>
      </c>
      <c r="C817" s="372"/>
      <c r="D817" s="372" t="s">
        <v>45</v>
      </c>
      <c r="E817" s="372" t="s">
        <v>2556</v>
      </c>
      <c r="F817" s="350">
        <v>45622.964583333334</v>
      </c>
      <c r="G817" s="372">
        <v>11</v>
      </c>
      <c r="H817" s="372" t="s">
        <v>2557</v>
      </c>
      <c r="I817" s="349">
        <v>33067</v>
      </c>
      <c r="J817" s="372" t="s">
        <v>8300</v>
      </c>
      <c r="K817" s="349">
        <v>5.99</v>
      </c>
      <c r="L817" s="349">
        <v>0</v>
      </c>
      <c r="M817" s="349">
        <v>0</v>
      </c>
      <c r="N817" s="349">
        <v>1</v>
      </c>
      <c r="O817" s="349">
        <f t="shared" si="6"/>
        <v>5.99</v>
      </c>
      <c r="P817" s="373">
        <f t="shared" si="7"/>
        <v>5.99</v>
      </c>
    </row>
    <row r="818" spans="1:16">
      <c r="A818" s="348">
        <v>974</v>
      </c>
      <c r="B818" s="349">
        <v>3521</v>
      </c>
      <c r="C818" s="372" t="s">
        <v>6334</v>
      </c>
      <c r="D818" s="372" t="s">
        <v>45</v>
      </c>
      <c r="E818" s="372" t="s">
        <v>2556</v>
      </c>
      <c r="F818" s="350">
        <v>45622.979166666664</v>
      </c>
      <c r="G818" s="372">
        <v>11</v>
      </c>
      <c r="H818" s="372" t="s">
        <v>2557</v>
      </c>
      <c r="I818" s="349">
        <v>33007</v>
      </c>
      <c r="J818" s="372" t="s">
        <v>8301</v>
      </c>
      <c r="K818" s="349">
        <v>12.59</v>
      </c>
      <c r="L818" s="349">
        <v>0</v>
      </c>
      <c r="M818" s="349">
        <v>0</v>
      </c>
      <c r="N818" s="349">
        <v>1</v>
      </c>
      <c r="O818" s="349">
        <f t="shared" si="6"/>
        <v>12.59</v>
      </c>
      <c r="P818" s="373">
        <f t="shared" si="7"/>
        <v>12.59</v>
      </c>
    </row>
    <row r="819" spans="1:16">
      <c r="A819" s="348">
        <v>982</v>
      </c>
      <c r="B819" s="349">
        <v>1221</v>
      </c>
      <c r="C819" s="372" t="s">
        <v>4741</v>
      </c>
      <c r="D819" s="372" t="s">
        <v>45</v>
      </c>
      <c r="E819" s="372" t="s">
        <v>2556</v>
      </c>
      <c r="F819" s="350">
        <v>45623</v>
      </c>
      <c r="G819" s="372">
        <v>11</v>
      </c>
      <c r="H819" s="372" t="s">
        <v>2557</v>
      </c>
      <c r="I819" s="349">
        <v>33271</v>
      </c>
      <c r="J819" s="372"/>
      <c r="K819" s="349">
        <v>0</v>
      </c>
      <c r="L819" s="349">
        <v>0</v>
      </c>
      <c r="M819" s="349">
        <v>0</v>
      </c>
      <c r="N819" s="349">
        <v>1</v>
      </c>
      <c r="O819" s="349">
        <f t="shared" si="6"/>
        <v>0</v>
      </c>
      <c r="P819" s="373">
        <f t="shared" si="7"/>
        <v>0</v>
      </c>
    </row>
    <row r="820" spans="1:16">
      <c r="A820" s="348">
        <v>983</v>
      </c>
      <c r="B820" s="349">
        <v>1221</v>
      </c>
      <c r="C820" s="372" t="s">
        <v>4741</v>
      </c>
      <c r="D820" s="372" t="s">
        <v>45</v>
      </c>
      <c r="E820" s="372" t="s">
        <v>2556</v>
      </c>
      <c r="F820" s="350">
        <v>45623</v>
      </c>
      <c r="G820" s="372">
        <v>11</v>
      </c>
      <c r="H820" s="372" t="s">
        <v>2557</v>
      </c>
      <c r="I820" s="349">
        <v>33283</v>
      </c>
      <c r="J820" s="372"/>
      <c r="K820" s="349">
        <v>0</v>
      </c>
      <c r="L820" s="349">
        <v>0</v>
      </c>
      <c r="M820" s="349">
        <v>0</v>
      </c>
      <c r="N820" s="349">
        <v>1</v>
      </c>
      <c r="O820" s="349">
        <f t="shared" si="6"/>
        <v>0</v>
      </c>
      <c r="P820" s="373">
        <f t="shared" si="7"/>
        <v>0</v>
      </c>
    </row>
    <row r="821" spans="1:16">
      <c r="A821" s="348">
        <v>975</v>
      </c>
      <c r="B821" s="349">
        <v>1021</v>
      </c>
      <c r="C821" s="372" t="s">
        <v>2598</v>
      </c>
      <c r="D821" s="372" t="s">
        <v>2582</v>
      </c>
      <c r="E821" s="372" t="s">
        <v>2556</v>
      </c>
      <c r="F821" s="350">
        <v>45623.46597222222</v>
      </c>
      <c r="G821" s="372">
        <v>11</v>
      </c>
      <c r="H821" s="372" t="s">
        <v>2557</v>
      </c>
      <c r="I821" s="349">
        <v>29215</v>
      </c>
      <c r="J821" s="372"/>
      <c r="K821" s="349">
        <v>0.03</v>
      </c>
      <c r="L821" s="349">
        <v>0</v>
      </c>
      <c r="M821" s="349">
        <v>0</v>
      </c>
      <c r="N821" s="349">
        <v>7.2481499999999999</v>
      </c>
      <c r="O821" s="349">
        <f t="shared" si="6"/>
        <v>0.03</v>
      </c>
      <c r="P821" s="373">
        <f t="shared" si="7"/>
        <v>4.1389871898346474E-3</v>
      </c>
    </row>
    <row r="822" spans="1:16">
      <c r="A822" s="348">
        <v>976</v>
      </c>
      <c r="B822" s="349">
        <v>1009</v>
      </c>
      <c r="C822" s="372" t="s">
        <v>7890</v>
      </c>
      <c r="D822" s="372" t="s">
        <v>45</v>
      </c>
      <c r="E822" s="372" t="s">
        <v>2572</v>
      </c>
      <c r="F822" s="350">
        <v>45623.46875</v>
      </c>
      <c r="G822" s="372">
        <v>11</v>
      </c>
      <c r="H822" s="372" t="s">
        <v>2557</v>
      </c>
      <c r="I822" s="349">
        <v>29107</v>
      </c>
      <c r="J822" s="372" t="s">
        <v>8302</v>
      </c>
      <c r="K822" s="349">
        <v>7.99</v>
      </c>
      <c r="L822" s="349">
        <v>0</v>
      </c>
      <c r="M822" s="349">
        <v>0</v>
      </c>
      <c r="N822" s="349">
        <v>1</v>
      </c>
      <c r="O822" s="349">
        <f t="shared" si="6"/>
        <v>7.99</v>
      </c>
      <c r="P822" s="373">
        <f t="shared" si="7"/>
        <v>7.99</v>
      </c>
    </row>
    <row r="823" spans="1:16">
      <c r="A823" s="348">
        <v>977</v>
      </c>
      <c r="B823" s="349">
        <v>3575</v>
      </c>
      <c r="C823" s="372" t="s">
        <v>6317</v>
      </c>
      <c r="D823" s="372" t="s">
        <v>45</v>
      </c>
      <c r="E823" s="372" t="s">
        <v>9</v>
      </c>
      <c r="F823" s="350">
        <v>45623.522916666669</v>
      </c>
      <c r="G823" s="372">
        <v>11</v>
      </c>
      <c r="H823" s="372" t="s">
        <v>2557</v>
      </c>
      <c r="I823" s="349">
        <v>33175</v>
      </c>
      <c r="J823" s="372" t="s">
        <v>7209</v>
      </c>
      <c r="K823" s="349">
        <v>12.59</v>
      </c>
      <c r="L823" s="349">
        <v>1.1200000000000001</v>
      </c>
      <c r="M823" s="349">
        <v>0</v>
      </c>
      <c r="N823" s="349">
        <v>1</v>
      </c>
      <c r="O823" s="349">
        <f t="shared" si="6"/>
        <v>11.469999999999999</v>
      </c>
      <c r="P823" s="373">
        <f t="shared" si="7"/>
        <v>11.469999999999999</v>
      </c>
    </row>
    <row r="824" spans="1:16">
      <c r="A824" s="348">
        <v>978</v>
      </c>
      <c r="B824" s="349">
        <v>3578</v>
      </c>
      <c r="C824" s="372" t="s">
        <v>2598</v>
      </c>
      <c r="D824" s="372" t="s">
        <v>45</v>
      </c>
      <c r="E824" s="372" t="s">
        <v>2556</v>
      </c>
      <c r="F824" s="350">
        <v>45623.54791666667</v>
      </c>
      <c r="G824" s="372">
        <v>11</v>
      </c>
      <c r="H824" s="372" t="s">
        <v>2557</v>
      </c>
      <c r="I824" s="349">
        <v>33199</v>
      </c>
      <c r="J824" s="372" t="s">
        <v>8303</v>
      </c>
      <c r="K824" s="349">
        <v>12.59</v>
      </c>
      <c r="L824" s="349">
        <v>0</v>
      </c>
      <c r="M824" s="349">
        <v>0</v>
      </c>
      <c r="N824" s="349">
        <v>1</v>
      </c>
      <c r="O824" s="349">
        <f t="shared" si="6"/>
        <v>12.59</v>
      </c>
      <c r="P824" s="373">
        <f t="shared" si="7"/>
        <v>12.59</v>
      </c>
    </row>
    <row r="825" spans="1:16">
      <c r="A825" s="348">
        <v>979</v>
      </c>
      <c r="B825" s="349">
        <v>3582</v>
      </c>
      <c r="C825" s="372" t="s">
        <v>3371</v>
      </c>
      <c r="D825" s="372" t="s">
        <v>45</v>
      </c>
      <c r="E825" s="372" t="s">
        <v>2556</v>
      </c>
      <c r="F825" s="350">
        <v>45623.594444444447</v>
      </c>
      <c r="G825" s="372">
        <v>11</v>
      </c>
      <c r="H825" s="372" t="s">
        <v>2557</v>
      </c>
      <c r="I825" s="349">
        <v>33223</v>
      </c>
      <c r="J825" s="372" t="s">
        <v>8304</v>
      </c>
      <c r="K825" s="349">
        <v>12.59</v>
      </c>
      <c r="L825" s="349">
        <v>0</v>
      </c>
      <c r="M825" s="349">
        <v>0</v>
      </c>
      <c r="N825" s="349">
        <v>1</v>
      </c>
      <c r="O825" s="349">
        <f t="shared" si="6"/>
        <v>12.59</v>
      </c>
      <c r="P825" s="373">
        <f t="shared" si="7"/>
        <v>12.59</v>
      </c>
    </row>
    <row r="826" spans="1:16">
      <c r="A826" s="348">
        <v>980</v>
      </c>
      <c r="B826" s="349">
        <v>3287</v>
      </c>
      <c r="C826" s="372" t="s">
        <v>8208</v>
      </c>
      <c r="D826" s="372" t="s">
        <v>45</v>
      </c>
      <c r="E826" s="372" t="s">
        <v>9</v>
      </c>
      <c r="F826" s="350">
        <v>45623.621527777781</v>
      </c>
      <c r="G826" s="372">
        <v>11</v>
      </c>
      <c r="H826" s="372" t="s">
        <v>2557</v>
      </c>
      <c r="I826" s="349">
        <v>33211</v>
      </c>
      <c r="J826" s="372" t="s">
        <v>7210</v>
      </c>
      <c r="K826" s="349">
        <v>12.59</v>
      </c>
      <c r="L826" s="349">
        <v>1.1200000000000001</v>
      </c>
      <c r="M826" s="349">
        <v>0</v>
      </c>
      <c r="N826" s="349">
        <v>1</v>
      </c>
      <c r="O826" s="349">
        <f t="shared" si="6"/>
        <v>11.469999999999999</v>
      </c>
      <c r="P826" s="373">
        <f t="shared" si="7"/>
        <v>11.469999999999999</v>
      </c>
    </row>
    <row r="827" spans="1:16">
      <c r="A827" s="348">
        <v>981</v>
      </c>
      <c r="B827" s="349">
        <v>3585</v>
      </c>
      <c r="C827" s="372" t="s">
        <v>8305</v>
      </c>
      <c r="D827" s="372" t="s">
        <v>45</v>
      </c>
      <c r="E827" s="372" t="s">
        <v>2556</v>
      </c>
      <c r="F827" s="350">
        <v>45623.62777777778</v>
      </c>
      <c r="G827" s="372">
        <v>11</v>
      </c>
      <c r="H827" s="372" t="s">
        <v>2557</v>
      </c>
      <c r="I827" s="349">
        <v>33235</v>
      </c>
      <c r="J827" s="372" t="s">
        <v>8306</v>
      </c>
      <c r="K827" s="349">
        <v>2.99</v>
      </c>
      <c r="L827" s="349">
        <v>0</v>
      </c>
      <c r="M827" s="349">
        <v>0</v>
      </c>
      <c r="N827" s="349">
        <v>1</v>
      </c>
      <c r="O827" s="349">
        <f t="shared" si="6"/>
        <v>2.99</v>
      </c>
      <c r="P827" s="373">
        <f t="shared" si="7"/>
        <v>2.99</v>
      </c>
    </row>
    <row r="828" spans="1:16">
      <c r="A828" s="348">
        <v>984</v>
      </c>
      <c r="B828" s="349">
        <v>3229</v>
      </c>
      <c r="C828" s="372" t="s">
        <v>2762</v>
      </c>
      <c r="D828" s="372" t="s">
        <v>45</v>
      </c>
      <c r="E828" s="372" t="s">
        <v>2556</v>
      </c>
      <c r="F828" s="350">
        <v>45623.836805555555</v>
      </c>
      <c r="G828" s="372">
        <v>11</v>
      </c>
      <c r="H828" s="372" t="s">
        <v>2557</v>
      </c>
      <c r="I828" s="349">
        <v>33295</v>
      </c>
      <c r="J828" s="372" t="s">
        <v>8307</v>
      </c>
      <c r="K828" s="349">
        <v>2.99</v>
      </c>
      <c r="L828" s="349">
        <v>0</v>
      </c>
      <c r="M828" s="349">
        <v>0</v>
      </c>
      <c r="N828" s="349">
        <v>1</v>
      </c>
      <c r="O828" s="349">
        <f t="shared" si="6"/>
        <v>2.99</v>
      </c>
      <c r="P828" s="373">
        <f t="shared" si="7"/>
        <v>2.99</v>
      </c>
    </row>
    <row r="829" spans="1:16">
      <c r="A829" s="348">
        <v>985</v>
      </c>
      <c r="B829" s="349">
        <v>3607</v>
      </c>
      <c r="C829" s="372" t="s">
        <v>2606</v>
      </c>
      <c r="D829" s="372" t="s">
        <v>45</v>
      </c>
      <c r="E829" s="372" t="s">
        <v>2556</v>
      </c>
      <c r="F829" s="350">
        <v>45623.838194444441</v>
      </c>
      <c r="G829" s="372">
        <v>11</v>
      </c>
      <c r="H829" s="372" t="s">
        <v>2557</v>
      </c>
      <c r="I829" s="349">
        <v>33307</v>
      </c>
      <c r="J829" s="372" t="s">
        <v>8308</v>
      </c>
      <c r="K829" s="349">
        <v>1.0900000000000001</v>
      </c>
      <c r="L829" s="349">
        <v>0</v>
      </c>
      <c r="M829" s="349">
        <v>0</v>
      </c>
      <c r="N829" s="349">
        <v>1</v>
      </c>
      <c r="O829" s="349">
        <f t="shared" si="6"/>
        <v>1.0900000000000001</v>
      </c>
      <c r="P829" s="373">
        <f t="shared" si="7"/>
        <v>1.0900000000000001</v>
      </c>
    </row>
    <row r="830" spans="1:16">
      <c r="A830" s="348">
        <v>986</v>
      </c>
      <c r="B830" s="349">
        <v>3610</v>
      </c>
      <c r="C830" s="372" t="s">
        <v>8119</v>
      </c>
      <c r="D830" s="372" t="s">
        <v>45</v>
      </c>
      <c r="E830" s="372" t="s">
        <v>9</v>
      </c>
      <c r="F830" s="350">
        <v>45623.856944444444</v>
      </c>
      <c r="G830" s="372">
        <v>11</v>
      </c>
      <c r="H830" s="372" t="s">
        <v>2557</v>
      </c>
      <c r="I830" s="349">
        <v>33331</v>
      </c>
      <c r="J830" s="372" t="s">
        <v>7212</v>
      </c>
      <c r="K830" s="349">
        <v>12.59</v>
      </c>
      <c r="L830" s="349">
        <v>1.1200000000000001</v>
      </c>
      <c r="M830" s="349">
        <v>0</v>
      </c>
      <c r="N830" s="349">
        <v>1</v>
      </c>
      <c r="O830" s="349">
        <f t="shared" si="6"/>
        <v>11.469999999999999</v>
      </c>
      <c r="P830" s="373">
        <f t="shared" si="7"/>
        <v>11.469999999999999</v>
      </c>
    </row>
    <row r="831" spans="1:16">
      <c r="A831" s="348">
        <v>987</v>
      </c>
      <c r="B831" s="349">
        <v>3611</v>
      </c>
      <c r="C831" s="372" t="s">
        <v>8309</v>
      </c>
      <c r="D831" s="372" t="s">
        <v>45</v>
      </c>
      <c r="E831" s="372" t="s">
        <v>2556</v>
      </c>
      <c r="F831" s="350">
        <v>45623.859027777777</v>
      </c>
      <c r="G831" s="372">
        <v>11</v>
      </c>
      <c r="H831" s="372" t="s">
        <v>2557</v>
      </c>
      <c r="I831" s="349">
        <v>33343</v>
      </c>
      <c r="J831" s="372" t="s">
        <v>8310</v>
      </c>
      <c r="K831" s="349">
        <v>1.0900000000000001</v>
      </c>
      <c r="L831" s="349">
        <v>0</v>
      </c>
      <c r="M831" s="349">
        <v>0</v>
      </c>
      <c r="N831" s="349">
        <v>1</v>
      </c>
      <c r="O831" s="349">
        <f t="shared" si="6"/>
        <v>1.0900000000000001</v>
      </c>
      <c r="P831" s="373">
        <f t="shared" si="7"/>
        <v>1.0900000000000001</v>
      </c>
    </row>
    <row r="832" spans="1:16">
      <c r="A832" s="348">
        <v>988</v>
      </c>
      <c r="B832" s="349">
        <v>3578</v>
      </c>
      <c r="C832" s="372" t="s">
        <v>2598</v>
      </c>
      <c r="D832" s="372" t="s">
        <v>45</v>
      </c>
      <c r="E832" s="372" t="s">
        <v>2556</v>
      </c>
      <c r="F832" s="350">
        <v>45623.896527777775</v>
      </c>
      <c r="G832" s="372">
        <v>11</v>
      </c>
      <c r="H832" s="372" t="s">
        <v>2557</v>
      </c>
      <c r="I832" s="349">
        <v>33403</v>
      </c>
      <c r="J832" s="372" t="s">
        <v>8311</v>
      </c>
      <c r="K832" s="349">
        <v>12.59</v>
      </c>
      <c r="L832" s="349">
        <v>0</v>
      </c>
      <c r="M832" s="349">
        <v>0</v>
      </c>
      <c r="N832" s="349">
        <v>1</v>
      </c>
      <c r="O832" s="349">
        <f t="shared" si="6"/>
        <v>12.59</v>
      </c>
      <c r="P832" s="373">
        <f t="shared" si="7"/>
        <v>12.59</v>
      </c>
    </row>
    <row r="833" spans="1:16">
      <c r="A833" s="348">
        <v>989</v>
      </c>
      <c r="B833" s="349">
        <v>3616</v>
      </c>
      <c r="C833" s="372" t="s">
        <v>8312</v>
      </c>
      <c r="D833" s="372" t="s">
        <v>45</v>
      </c>
      <c r="E833" s="372" t="s">
        <v>2556</v>
      </c>
      <c r="F833" s="350">
        <v>45623.898611111108</v>
      </c>
      <c r="G833" s="372">
        <v>11</v>
      </c>
      <c r="H833" s="372" t="s">
        <v>2557</v>
      </c>
      <c r="I833" s="349">
        <v>33391</v>
      </c>
      <c r="J833" s="372" t="s">
        <v>8313</v>
      </c>
      <c r="K833" s="349">
        <v>12.59</v>
      </c>
      <c r="L833" s="349">
        <v>0</v>
      </c>
      <c r="M833" s="349">
        <v>0</v>
      </c>
      <c r="N833" s="349">
        <v>1</v>
      </c>
      <c r="O833" s="349">
        <f t="shared" si="6"/>
        <v>12.59</v>
      </c>
      <c r="P833" s="373">
        <f t="shared" si="7"/>
        <v>12.59</v>
      </c>
    </row>
    <row r="834" spans="1:16">
      <c r="A834" s="348">
        <v>990</v>
      </c>
      <c r="B834" s="349">
        <v>3618</v>
      </c>
      <c r="C834" s="372" t="s">
        <v>6434</v>
      </c>
      <c r="D834" s="372" t="s">
        <v>45</v>
      </c>
      <c r="E834" s="372" t="s">
        <v>9</v>
      </c>
      <c r="F834" s="350">
        <v>45623.925694444442</v>
      </c>
      <c r="G834" s="372">
        <v>11</v>
      </c>
      <c r="H834" s="372" t="s">
        <v>2557</v>
      </c>
      <c r="I834" s="349">
        <v>33427</v>
      </c>
      <c r="J834" s="372" t="s">
        <v>7213</v>
      </c>
      <c r="K834" s="349">
        <v>12.59</v>
      </c>
      <c r="L834" s="349">
        <v>1.1200000000000001</v>
      </c>
      <c r="M834" s="349">
        <v>0</v>
      </c>
      <c r="N834" s="349">
        <v>1</v>
      </c>
      <c r="O834" s="349">
        <f t="shared" si="6"/>
        <v>11.469999999999999</v>
      </c>
      <c r="P834" s="373">
        <f t="shared" si="7"/>
        <v>11.469999999999999</v>
      </c>
    </row>
    <row r="835" spans="1:16">
      <c r="A835" s="348">
        <v>991</v>
      </c>
      <c r="B835" s="349">
        <v>3623</v>
      </c>
      <c r="C835" s="372" t="s">
        <v>8314</v>
      </c>
      <c r="D835" s="372" t="s">
        <v>45</v>
      </c>
      <c r="E835" s="372" t="s">
        <v>9</v>
      </c>
      <c r="F835" s="350">
        <v>45623.967361111114</v>
      </c>
      <c r="G835" s="372">
        <v>11</v>
      </c>
      <c r="H835" s="372" t="s">
        <v>2557</v>
      </c>
      <c r="I835" s="349">
        <v>33439</v>
      </c>
      <c r="J835" s="372" t="s">
        <v>7215</v>
      </c>
      <c r="K835" s="349">
        <v>12.59</v>
      </c>
      <c r="L835" s="349">
        <v>1.1200000000000001</v>
      </c>
      <c r="M835" s="349">
        <v>0</v>
      </c>
      <c r="N835" s="349">
        <v>1</v>
      </c>
      <c r="O835" s="349">
        <f t="shared" si="6"/>
        <v>11.469999999999999</v>
      </c>
      <c r="P835" s="373">
        <f t="shared" si="7"/>
        <v>11.469999999999999</v>
      </c>
    </row>
    <row r="836" spans="1:16">
      <c r="A836" s="348">
        <v>992</v>
      </c>
      <c r="B836" s="349">
        <v>99</v>
      </c>
      <c r="C836" s="372" t="s">
        <v>8315</v>
      </c>
      <c r="D836" s="372" t="s">
        <v>45</v>
      </c>
      <c r="E836" s="372" t="s">
        <v>2556</v>
      </c>
      <c r="F836" s="350">
        <v>45623.993055555555</v>
      </c>
      <c r="G836" s="372">
        <v>11</v>
      </c>
      <c r="H836" s="372" t="s">
        <v>2557</v>
      </c>
      <c r="I836" s="349">
        <v>33463</v>
      </c>
      <c r="J836" s="372" t="s">
        <v>8316</v>
      </c>
      <c r="K836" s="349">
        <v>1.55</v>
      </c>
      <c r="L836" s="349">
        <v>0</v>
      </c>
      <c r="M836" s="349">
        <v>0</v>
      </c>
      <c r="N836" s="349">
        <v>1</v>
      </c>
      <c r="O836" s="349">
        <f t="shared" si="6"/>
        <v>1.55</v>
      </c>
      <c r="P836" s="373">
        <f t="shared" si="7"/>
        <v>1.55</v>
      </c>
    </row>
    <row r="837" spans="1:16">
      <c r="A837" s="348">
        <v>993</v>
      </c>
      <c r="B837" s="349">
        <v>1550</v>
      </c>
      <c r="C837" s="372" t="s">
        <v>7988</v>
      </c>
      <c r="D837" s="372" t="s">
        <v>2582</v>
      </c>
      <c r="E837" s="372" t="s">
        <v>2556</v>
      </c>
      <c r="F837" s="350">
        <v>45624</v>
      </c>
      <c r="G837" s="372">
        <v>11</v>
      </c>
      <c r="H837" s="372" t="s">
        <v>2557</v>
      </c>
      <c r="I837" s="349">
        <v>28747</v>
      </c>
      <c r="J837" s="372" t="s">
        <v>8317</v>
      </c>
      <c r="K837" s="349">
        <v>34.14</v>
      </c>
      <c r="L837" s="349">
        <v>0</v>
      </c>
      <c r="M837" s="349">
        <v>0</v>
      </c>
      <c r="N837" s="349">
        <v>7.2481499999999999</v>
      </c>
      <c r="O837" s="349">
        <f t="shared" si="6"/>
        <v>34.14</v>
      </c>
      <c r="P837" s="373">
        <f t="shared" si="7"/>
        <v>4.7101674220318293</v>
      </c>
    </row>
    <row r="838" spans="1:16">
      <c r="A838" s="348">
        <v>994</v>
      </c>
      <c r="B838" s="349">
        <v>3629</v>
      </c>
      <c r="C838" s="372" t="s">
        <v>6233</v>
      </c>
      <c r="D838" s="372" t="s">
        <v>45</v>
      </c>
      <c r="E838" s="372" t="s">
        <v>9</v>
      </c>
      <c r="F838" s="350">
        <v>45624.03125</v>
      </c>
      <c r="G838" s="372">
        <v>11</v>
      </c>
      <c r="H838" s="372" t="s">
        <v>2557</v>
      </c>
      <c r="I838" s="349">
        <v>33475</v>
      </c>
      <c r="J838" s="372" t="s">
        <v>7217</v>
      </c>
      <c r="K838" s="349">
        <v>12.59</v>
      </c>
      <c r="L838" s="349">
        <v>0.93</v>
      </c>
      <c r="M838" s="349">
        <v>0</v>
      </c>
      <c r="N838" s="349">
        <v>1</v>
      </c>
      <c r="O838" s="349">
        <f t="shared" si="6"/>
        <v>11.66</v>
      </c>
      <c r="P838" s="373">
        <f t="shared" si="7"/>
        <v>11.66</v>
      </c>
    </row>
    <row r="839" spans="1:16">
      <c r="A839" s="348">
        <v>995</v>
      </c>
      <c r="B839" s="349">
        <v>3634</v>
      </c>
      <c r="C839" s="372" t="s">
        <v>8318</v>
      </c>
      <c r="D839" s="372" t="s">
        <v>2582</v>
      </c>
      <c r="E839" s="372" t="s">
        <v>2556</v>
      </c>
      <c r="F839" s="350">
        <v>45624.052083333336</v>
      </c>
      <c r="G839" s="372">
        <v>11</v>
      </c>
      <c r="H839" s="372" t="s">
        <v>2557</v>
      </c>
      <c r="I839" s="349">
        <v>33487</v>
      </c>
      <c r="J839" s="372" t="s">
        <v>8319</v>
      </c>
      <c r="K839" s="349">
        <v>28.92</v>
      </c>
      <c r="L839" s="349">
        <v>0</v>
      </c>
      <c r="M839" s="349">
        <v>0</v>
      </c>
      <c r="N839" s="349">
        <v>7.2481499999999999</v>
      </c>
      <c r="O839" s="349">
        <f t="shared" si="6"/>
        <v>28.92</v>
      </c>
      <c r="P839" s="373">
        <f t="shared" si="7"/>
        <v>3.9899836510006006</v>
      </c>
    </row>
    <row r="840" spans="1:16">
      <c r="A840" s="348">
        <v>996</v>
      </c>
      <c r="B840" s="349">
        <v>1550</v>
      </c>
      <c r="C840" s="372" t="s">
        <v>7988</v>
      </c>
      <c r="D840" s="372" t="s">
        <v>2582</v>
      </c>
      <c r="E840" s="372" t="s">
        <v>2556</v>
      </c>
      <c r="F840" s="350">
        <v>45624.05972222222</v>
      </c>
      <c r="G840" s="372">
        <v>11</v>
      </c>
      <c r="H840" s="372" t="s">
        <v>2557</v>
      </c>
      <c r="I840" s="349">
        <v>28747</v>
      </c>
      <c r="J840" s="372" t="s">
        <v>8317</v>
      </c>
      <c r="K840" s="349">
        <v>34.14</v>
      </c>
      <c r="L840" s="349">
        <v>0</v>
      </c>
      <c r="M840" s="349">
        <v>0</v>
      </c>
      <c r="N840" s="349">
        <v>7.2481499999999999</v>
      </c>
      <c r="O840" s="349">
        <f t="shared" si="6"/>
        <v>34.14</v>
      </c>
      <c r="P840" s="373">
        <f t="shared" si="7"/>
        <v>4.7101674220318293</v>
      </c>
    </row>
    <row r="841" spans="1:16">
      <c r="A841" s="348">
        <v>997</v>
      </c>
      <c r="B841" s="349">
        <v>3537</v>
      </c>
      <c r="C841" s="372" t="s">
        <v>2896</v>
      </c>
      <c r="D841" s="372" t="s">
        <v>45</v>
      </c>
      <c r="E841" s="372" t="s">
        <v>2556</v>
      </c>
      <c r="F841" s="350">
        <v>45624.170138888891</v>
      </c>
      <c r="G841" s="372">
        <v>11</v>
      </c>
      <c r="H841" s="372" t="s">
        <v>2557</v>
      </c>
      <c r="I841" s="349">
        <v>33499</v>
      </c>
      <c r="J841" s="372" t="s">
        <v>8320</v>
      </c>
      <c r="K841" s="349">
        <v>1.0900000000000001</v>
      </c>
      <c r="L841" s="349">
        <v>0</v>
      </c>
      <c r="M841" s="349">
        <v>0</v>
      </c>
      <c r="N841" s="349">
        <v>1</v>
      </c>
      <c r="O841" s="349">
        <f t="shared" si="6"/>
        <v>1.0900000000000001</v>
      </c>
      <c r="P841" s="373">
        <f t="shared" si="7"/>
        <v>1.0900000000000001</v>
      </c>
    </row>
    <row r="842" spans="1:16">
      <c r="A842" s="348">
        <v>998</v>
      </c>
      <c r="B842" s="349">
        <v>3673</v>
      </c>
      <c r="C842" s="372" t="s">
        <v>8321</v>
      </c>
      <c r="D842" s="372" t="s">
        <v>2582</v>
      </c>
      <c r="E842" s="372" t="s">
        <v>2556</v>
      </c>
      <c r="F842" s="350">
        <v>45624.361805555556</v>
      </c>
      <c r="G842" s="372">
        <v>11</v>
      </c>
      <c r="H842" s="372" t="s">
        <v>2557</v>
      </c>
      <c r="I842" s="349">
        <v>33523</v>
      </c>
      <c r="J842" s="372" t="s">
        <v>8322</v>
      </c>
      <c r="K842" s="349">
        <v>91.33</v>
      </c>
      <c r="L842" s="349">
        <v>0</v>
      </c>
      <c r="M842" s="349">
        <v>0</v>
      </c>
      <c r="N842" s="349">
        <v>7.2481499999999999</v>
      </c>
      <c r="O842" s="349">
        <f t="shared" si="6"/>
        <v>91.33</v>
      </c>
      <c r="P842" s="373">
        <f t="shared" si="7"/>
        <v>12.600456668253278</v>
      </c>
    </row>
    <row r="843" spans="1:16">
      <c r="A843" s="348">
        <v>999</v>
      </c>
      <c r="B843" s="349">
        <v>1560</v>
      </c>
      <c r="C843" s="372" t="s">
        <v>2630</v>
      </c>
      <c r="D843" s="372" t="s">
        <v>45</v>
      </c>
      <c r="E843" s="372" t="s">
        <v>2556</v>
      </c>
      <c r="F843" s="350">
        <v>45624.462500000001</v>
      </c>
      <c r="G843" s="372">
        <v>11</v>
      </c>
      <c r="H843" s="372" t="s">
        <v>2557</v>
      </c>
      <c r="I843" s="349">
        <v>28927</v>
      </c>
      <c r="J843" s="372" t="s">
        <v>8323</v>
      </c>
      <c r="K843" s="349">
        <v>2.99</v>
      </c>
      <c r="L843" s="349">
        <v>0</v>
      </c>
      <c r="M843" s="349">
        <v>0</v>
      </c>
      <c r="N843" s="349">
        <v>1</v>
      </c>
      <c r="O843" s="349">
        <f t="shared" si="6"/>
        <v>2.99</v>
      </c>
      <c r="P843" s="373">
        <f t="shared" si="7"/>
        <v>2.99</v>
      </c>
    </row>
    <row r="844" spans="1:16">
      <c r="A844" s="348">
        <v>1000</v>
      </c>
      <c r="B844" s="349">
        <v>1560</v>
      </c>
      <c r="C844" s="372" t="s">
        <v>2630</v>
      </c>
      <c r="D844" s="372" t="s">
        <v>45</v>
      </c>
      <c r="E844" s="372" t="s">
        <v>2556</v>
      </c>
      <c r="F844" s="350">
        <v>45624.474999999999</v>
      </c>
      <c r="G844" s="372">
        <v>11</v>
      </c>
      <c r="H844" s="372" t="s">
        <v>2557</v>
      </c>
      <c r="I844" s="349">
        <v>29059</v>
      </c>
      <c r="J844" s="372" t="s">
        <v>8324</v>
      </c>
      <c r="K844" s="349">
        <v>8.9700000000000006</v>
      </c>
      <c r="L844" s="349">
        <v>0</v>
      </c>
      <c r="M844" s="349">
        <v>0</v>
      </c>
      <c r="N844" s="349">
        <v>1</v>
      </c>
      <c r="O844" s="349">
        <f t="shared" si="6"/>
        <v>8.9700000000000006</v>
      </c>
      <c r="P844" s="373">
        <f t="shared" si="7"/>
        <v>8.9700000000000006</v>
      </c>
    </row>
    <row r="845" spans="1:16">
      <c r="A845" s="348">
        <v>1001</v>
      </c>
      <c r="B845" s="349">
        <v>1560</v>
      </c>
      <c r="C845" s="372" t="s">
        <v>2630</v>
      </c>
      <c r="D845" s="372" t="s">
        <v>45</v>
      </c>
      <c r="E845" s="372" t="s">
        <v>2556</v>
      </c>
      <c r="F845" s="350">
        <v>45624.479166666664</v>
      </c>
      <c r="G845" s="372">
        <v>11</v>
      </c>
      <c r="H845" s="372" t="s">
        <v>2557</v>
      </c>
      <c r="I845" s="349">
        <v>33559</v>
      </c>
      <c r="J845" s="372"/>
      <c r="K845" s="349">
        <v>8.9700000000000006</v>
      </c>
      <c r="L845" s="349">
        <v>0</v>
      </c>
      <c r="M845" s="349">
        <v>0</v>
      </c>
      <c r="N845" s="349">
        <v>1</v>
      </c>
      <c r="O845" s="349">
        <f t="shared" si="6"/>
        <v>8.9700000000000006</v>
      </c>
      <c r="P845" s="373">
        <f t="shared" si="7"/>
        <v>8.9700000000000006</v>
      </c>
    </row>
    <row r="846" spans="1:16">
      <c r="A846" s="348">
        <v>1002</v>
      </c>
      <c r="B846" s="349">
        <v>1560</v>
      </c>
      <c r="C846" s="372" t="s">
        <v>2630</v>
      </c>
      <c r="D846" s="372" t="s">
        <v>45</v>
      </c>
      <c r="E846" s="372" t="s">
        <v>2556</v>
      </c>
      <c r="F846" s="350">
        <v>45624.481249999997</v>
      </c>
      <c r="G846" s="372">
        <v>11</v>
      </c>
      <c r="H846" s="372" t="s">
        <v>2557</v>
      </c>
      <c r="I846" s="349">
        <v>29119</v>
      </c>
      <c r="J846" s="372" t="s">
        <v>8325</v>
      </c>
      <c r="K846" s="349">
        <v>3.99</v>
      </c>
      <c r="L846" s="349">
        <v>0</v>
      </c>
      <c r="M846" s="349">
        <v>0</v>
      </c>
      <c r="N846" s="349">
        <v>1</v>
      </c>
      <c r="O846" s="349">
        <f t="shared" si="6"/>
        <v>3.99</v>
      </c>
      <c r="P846" s="373">
        <f t="shared" si="7"/>
        <v>3.99</v>
      </c>
    </row>
    <row r="847" spans="1:16">
      <c r="A847" s="348">
        <v>1003</v>
      </c>
      <c r="B847" s="349">
        <v>1560</v>
      </c>
      <c r="C847" s="372" t="s">
        <v>2630</v>
      </c>
      <c r="D847" s="372" t="s">
        <v>45</v>
      </c>
      <c r="E847" s="372" t="s">
        <v>2556</v>
      </c>
      <c r="F847" s="350">
        <v>45624.481944444444</v>
      </c>
      <c r="G847" s="372">
        <v>11</v>
      </c>
      <c r="H847" s="372" t="s">
        <v>2557</v>
      </c>
      <c r="I847" s="349">
        <v>29491</v>
      </c>
      <c r="J847" s="372" t="s">
        <v>8326</v>
      </c>
      <c r="K847" s="349">
        <v>9.9700000000000006</v>
      </c>
      <c r="L847" s="349">
        <v>0</v>
      </c>
      <c r="M847" s="349">
        <v>0</v>
      </c>
      <c r="N847" s="349">
        <v>1</v>
      </c>
      <c r="O847" s="349">
        <f t="shared" si="6"/>
        <v>9.9700000000000006</v>
      </c>
      <c r="P847" s="373">
        <f t="shared" si="7"/>
        <v>9.9700000000000006</v>
      </c>
    </row>
    <row r="848" spans="1:16">
      <c r="A848" s="348">
        <v>1004</v>
      </c>
      <c r="B848" s="349">
        <v>1560</v>
      </c>
      <c r="C848" s="372" t="s">
        <v>2630</v>
      </c>
      <c r="D848" s="372" t="s">
        <v>45</v>
      </c>
      <c r="E848" s="372" t="s">
        <v>2556</v>
      </c>
      <c r="F848" s="350">
        <v>45624.489583333336</v>
      </c>
      <c r="G848" s="372">
        <v>11</v>
      </c>
      <c r="H848" s="372" t="s">
        <v>2557</v>
      </c>
      <c r="I848" s="349">
        <v>33619</v>
      </c>
      <c r="J848" s="372" t="s">
        <v>8327</v>
      </c>
      <c r="K848" s="349">
        <v>5.98</v>
      </c>
      <c r="L848" s="349">
        <v>0</v>
      </c>
      <c r="M848" s="349">
        <v>0</v>
      </c>
      <c r="N848" s="349">
        <v>1</v>
      </c>
      <c r="O848" s="349">
        <f t="shared" si="6"/>
        <v>5.98</v>
      </c>
      <c r="P848" s="373">
        <f t="shared" si="7"/>
        <v>5.98</v>
      </c>
    </row>
    <row r="849" spans="1:16">
      <c r="A849" s="348">
        <v>1005</v>
      </c>
      <c r="B849" s="349">
        <v>1560</v>
      </c>
      <c r="C849" s="372" t="s">
        <v>2630</v>
      </c>
      <c r="D849" s="372" t="s">
        <v>45</v>
      </c>
      <c r="E849" s="372" t="s">
        <v>2556</v>
      </c>
      <c r="F849" s="350">
        <v>45624.490277777775</v>
      </c>
      <c r="G849" s="372">
        <v>11</v>
      </c>
      <c r="H849" s="372" t="s">
        <v>2557</v>
      </c>
      <c r="I849" s="349">
        <v>33619</v>
      </c>
      <c r="J849" s="372" t="s">
        <v>8327</v>
      </c>
      <c r="K849" s="349">
        <v>5.98</v>
      </c>
      <c r="L849" s="349">
        <v>0</v>
      </c>
      <c r="M849" s="349">
        <v>0</v>
      </c>
      <c r="N849" s="349">
        <v>1</v>
      </c>
      <c r="O849" s="349">
        <f t="shared" si="6"/>
        <v>5.98</v>
      </c>
      <c r="P849" s="373">
        <f t="shared" si="7"/>
        <v>5.98</v>
      </c>
    </row>
    <row r="850" spans="1:16">
      <c r="A850" s="348">
        <v>1006</v>
      </c>
      <c r="B850" s="349">
        <v>3679</v>
      </c>
      <c r="C850" s="372" t="s">
        <v>8328</v>
      </c>
      <c r="D850" s="372" t="s">
        <v>45</v>
      </c>
      <c r="E850" s="372" t="s">
        <v>2556</v>
      </c>
      <c r="F850" s="350">
        <v>45624.511805555558</v>
      </c>
      <c r="G850" s="372">
        <v>11</v>
      </c>
      <c r="H850" s="372" t="s">
        <v>2557</v>
      </c>
      <c r="I850" s="349">
        <v>33631</v>
      </c>
      <c r="J850" s="372" t="s">
        <v>8329</v>
      </c>
      <c r="K850" s="349">
        <v>5.99</v>
      </c>
      <c r="L850" s="349">
        <v>0</v>
      </c>
      <c r="M850" s="349">
        <v>0</v>
      </c>
      <c r="N850" s="349">
        <v>1</v>
      </c>
      <c r="O850" s="349">
        <f t="shared" si="6"/>
        <v>5.99</v>
      </c>
      <c r="P850" s="373">
        <f t="shared" si="7"/>
        <v>5.99</v>
      </c>
    </row>
    <row r="851" spans="1:16">
      <c r="A851" s="348">
        <v>1007</v>
      </c>
      <c r="B851" s="349">
        <v>48</v>
      </c>
      <c r="C851" s="372" t="s">
        <v>7394</v>
      </c>
      <c r="D851" s="372" t="s">
        <v>45</v>
      </c>
      <c r="E851" s="372" t="s">
        <v>2556</v>
      </c>
      <c r="F851" s="350">
        <v>45624.614583333336</v>
      </c>
      <c r="G851" s="372">
        <v>11</v>
      </c>
      <c r="H851" s="372" t="s">
        <v>2557</v>
      </c>
      <c r="I851" s="349">
        <v>33667</v>
      </c>
      <c r="J851" s="372" t="s">
        <v>8330</v>
      </c>
      <c r="K851" s="349">
        <v>1.0900000000000001</v>
      </c>
      <c r="L851" s="349">
        <v>0</v>
      </c>
      <c r="M851" s="349">
        <v>0</v>
      </c>
      <c r="N851" s="349">
        <v>1</v>
      </c>
      <c r="O851" s="349">
        <f t="shared" si="6"/>
        <v>1.0900000000000001</v>
      </c>
      <c r="P851" s="373">
        <f t="shared" si="7"/>
        <v>1.0900000000000001</v>
      </c>
    </row>
    <row r="852" spans="1:16">
      <c r="A852" s="348">
        <v>1008</v>
      </c>
      <c r="B852" s="349">
        <v>3682</v>
      </c>
      <c r="C852" s="372" t="s">
        <v>8331</v>
      </c>
      <c r="D852" s="372" t="s">
        <v>2582</v>
      </c>
      <c r="E852" s="372" t="s">
        <v>2556</v>
      </c>
      <c r="F852" s="350">
        <v>45624.615277777775</v>
      </c>
      <c r="G852" s="372">
        <v>11</v>
      </c>
      <c r="H852" s="372" t="s">
        <v>2557</v>
      </c>
      <c r="I852" s="349">
        <v>33679</v>
      </c>
      <c r="J852" s="372" t="s">
        <v>8332</v>
      </c>
      <c r="K852" s="349">
        <v>91.35</v>
      </c>
      <c r="L852" s="349">
        <v>0</v>
      </c>
      <c r="M852" s="349">
        <v>0</v>
      </c>
      <c r="N852" s="349">
        <v>7.2497400000000001</v>
      </c>
      <c r="O852" s="349">
        <f t="shared" si="6"/>
        <v>91.35</v>
      </c>
      <c r="P852" s="373">
        <f t="shared" si="7"/>
        <v>12.600451878274255</v>
      </c>
    </row>
    <row r="853" spans="1:16">
      <c r="A853" s="348">
        <v>1009</v>
      </c>
      <c r="B853" s="349">
        <v>3683</v>
      </c>
      <c r="C853" s="372" t="s">
        <v>8333</v>
      </c>
      <c r="D853" s="372" t="s">
        <v>2582</v>
      </c>
      <c r="E853" s="372" t="s">
        <v>2556</v>
      </c>
      <c r="F853" s="350">
        <v>45624.647222222222</v>
      </c>
      <c r="G853" s="372">
        <v>11</v>
      </c>
      <c r="H853" s="372" t="s">
        <v>2557</v>
      </c>
      <c r="I853" s="349">
        <v>33691</v>
      </c>
      <c r="J853" s="372" t="s">
        <v>8334</v>
      </c>
      <c r="K853" s="349">
        <v>91.35</v>
      </c>
      <c r="L853" s="349">
        <v>0</v>
      </c>
      <c r="M853" s="349">
        <v>0</v>
      </c>
      <c r="N853" s="349">
        <v>7.2497400000000001</v>
      </c>
      <c r="O853" s="349">
        <f t="shared" si="6"/>
        <v>91.35</v>
      </c>
      <c r="P853" s="373">
        <f t="shared" si="7"/>
        <v>12.600451878274255</v>
      </c>
    </row>
    <row r="854" spans="1:16">
      <c r="A854" s="348">
        <v>1010</v>
      </c>
      <c r="B854" s="349">
        <v>3634</v>
      </c>
      <c r="C854" s="372" t="s">
        <v>8318</v>
      </c>
      <c r="D854" s="372" t="s">
        <v>2582</v>
      </c>
      <c r="E854" s="372" t="s">
        <v>2556</v>
      </c>
      <c r="F854" s="350">
        <v>45624.654166666667</v>
      </c>
      <c r="G854" s="372">
        <v>11</v>
      </c>
      <c r="H854" s="372" t="s">
        <v>2557</v>
      </c>
      <c r="I854" s="349">
        <v>33703</v>
      </c>
      <c r="J854" s="372" t="s">
        <v>8335</v>
      </c>
      <c r="K854" s="349">
        <v>62.42</v>
      </c>
      <c r="L854" s="349">
        <v>0</v>
      </c>
      <c r="M854" s="349">
        <v>0</v>
      </c>
      <c r="N854" s="349">
        <v>7.2497400000000001</v>
      </c>
      <c r="O854" s="349">
        <f t="shared" si="6"/>
        <v>62.42</v>
      </c>
      <c r="P854" s="373">
        <f t="shared" si="7"/>
        <v>8.6099639435345274</v>
      </c>
    </row>
    <row r="855" spans="1:16">
      <c r="A855" s="348">
        <v>1011</v>
      </c>
      <c r="B855" s="349">
        <v>3684</v>
      </c>
      <c r="C855" s="372" t="s">
        <v>8336</v>
      </c>
      <c r="D855" s="372" t="s">
        <v>45</v>
      </c>
      <c r="E855" s="372" t="s">
        <v>2572</v>
      </c>
      <c r="F855" s="350">
        <v>45624.694444444445</v>
      </c>
      <c r="G855" s="372">
        <v>11</v>
      </c>
      <c r="H855" s="372" t="s">
        <v>2557</v>
      </c>
      <c r="I855" s="349">
        <v>33715</v>
      </c>
      <c r="J855" s="372" t="s">
        <v>8337</v>
      </c>
      <c r="K855" s="349">
        <v>12.59</v>
      </c>
      <c r="L855" s="349">
        <v>0</v>
      </c>
      <c r="M855" s="349">
        <v>0</v>
      </c>
      <c r="N855" s="349">
        <v>1</v>
      </c>
      <c r="O855" s="349">
        <f t="shared" si="6"/>
        <v>12.59</v>
      </c>
      <c r="P855" s="373">
        <f t="shared" si="7"/>
        <v>12.59</v>
      </c>
    </row>
    <row r="856" spans="1:16">
      <c r="A856" s="348">
        <v>1012</v>
      </c>
      <c r="B856" s="349">
        <v>200</v>
      </c>
      <c r="C856" s="372" t="s">
        <v>6002</v>
      </c>
      <c r="D856" s="372" t="s">
        <v>2582</v>
      </c>
      <c r="E856" s="372" t="s">
        <v>2556</v>
      </c>
      <c r="F856" s="350">
        <v>45624.745138888888</v>
      </c>
      <c r="G856" s="372">
        <v>11</v>
      </c>
      <c r="H856" s="372" t="s">
        <v>2557</v>
      </c>
      <c r="I856" s="349">
        <v>33739</v>
      </c>
      <c r="J856" s="372" t="s">
        <v>8338</v>
      </c>
      <c r="K856" s="349">
        <v>91.27</v>
      </c>
      <c r="L856" s="349">
        <v>0</v>
      </c>
      <c r="M856" s="349">
        <v>0</v>
      </c>
      <c r="N856" s="349">
        <v>7.2497400000000001</v>
      </c>
      <c r="O856" s="349">
        <f t="shared" si="6"/>
        <v>91.27</v>
      </c>
      <c r="P856" s="373">
        <f t="shared" si="7"/>
        <v>12.58941699978206</v>
      </c>
    </row>
    <row r="857" spans="1:16">
      <c r="A857" s="348">
        <v>1013</v>
      </c>
      <c r="B857" s="349">
        <v>200</v>
      </c>
      <c r="C857" s="372" t="s">
        <v>6002</v>
      </c>
      <c r="D857" s="372" t="s">
        <v>2582</v>
      </c>
      <c r="E857" s="372" t="s">
        <v>2556</v>
      </c>
      <c r="F857" s="350">
        <v>45624.755555555559</v>
      </c>
      <c r="G857" s="372">
        <v>11</v>
      </c>
      <c r="H857" s="372" t="s">
        <v>2557</v>
      </c>
      <c r="I857" s="349">
        <v>33739</v>
      </c>
      <c r="J857" s="372"/>
      <c r="K857" s="349">
        <v>0.04</v>
      </c>
      <c r="L857" s="349">
        <v>0</v>
      </c>
      <c r="M857" s="349">
        <v>0</v>
      </c>
      <c r="N857" s="349">
        <v>7.2497400000000001</v>
      </c>
      <c r="O857" s="349">
        <f t="shared" si="6"/>
        <v>0.04</v>
      </c>
      <c r="P857" s="373">
        <f t="shared" si="7"/>
        <v>5.5174392460971017E-3</v>
      </c>
    </row>
    <row r="858" spans="1:16">
      <c r="A858" s="348">
        <v>1014</v>
      </c>
      <c r="B858" s="349">
        <v>1630</v>
      </c>
      <c r="C858" s="372" t="s">
        <v>2753</v>
      </c>
      <c r="D858" s="372" t="s">
        <v>45</v>
      </c>
      <c r="E858" s="372" t="s">
        <v>2556</v>
      </c>
      <c r="F858" s="350">
        <v>45624.868750000001</v>
      </c>
      <c r="G858" s="372">
        <v>11</v>
      </c>
      <c r="H858" s="372" t="s">
        <v>2557</v>
      </c>
      <c r="I858" s="349">
        <v>33775</v>
      </c>
      <c r="J858" s="372" t="s">
        <v>8339</v>
      </c>
      <c r="K858" s="349">
        <v>8.99</v>
      </c>
      <c r="L858" s="349">
        <v>0</v>
      </c>
      <c r="M858" s="349">
        <v>0</v>
      </c>
      <c r="N858" s="349">
        <v>1</v>
      </c>
      <c r="O858" s="349">
        <f t="shared" si="6"/>
        <v>8.99</v>
      </c>
      <c r="P858" s="373">
        <f t="shared" si="7"/>
        <v>8.99</v>
      </c>
    </row>
    <row r="859" spans="1:16">
      <c r="A859" s="348">
        <v>1015</v>
      </c>
      <c r="B859" s="349">
        <v>3699</v>
      </c>
      <c r="C859" s="372" t="s">
        <v>8340</v>
      </c>
      <c r="D859" s="372" t="s">
        <v>45</v>
      </c>
      <c r="E859" s="372" t="s">
        <v>2556</v>
      </c>
      <c r="F859" s="350">
        <v>45624.947222222225</v>
      </c>
      <c r="G859" s="372">
        <v>11</v>
      </c>
      <c r="H859" s="372" t="s">
        <v>2557</v>
      </c>
      <c r="I859" s="349">
        <v>33799</v>
      </c>
      <c r="J859" s="372" t="s">
        <v>8341</v>
      </c>
      <c r="K859" s="349">
        <v>12.59</v>
      </c>
      <c r="L859" s="349">
        <v>0</v>
      </c>
      <c r="M859" s="349">
        <v>0</v>
      </c>
      <c r="N859" s="349">
        <v>1</v>
      </c>
      <c r="O859" s="349">
        <f t="shared" si="6"/>
        <v>12.59</v>
      </c>
      <c r="P859" s="373">
        <f t="shared" si="7"/>
        <v>12.59</v>
      </c>
    </row>
    <row r="860" spans="1:16">
      <c r="A860" s="348">
        <v>1016</v>
      </c>
      <c r="B860" s="349">
        <v>3705</v>
      </c>
      <c r="C860" s="374">
        <v>45719</v>
      </c>
      <c r="D860" s="372" t="s">
        <v>2582</v>
      </c>
      <c r="E860" s="372" t="s">
        <v>2556</v>
      </c>
      <c r="F860" s="350">
        <v>45624.952777777777</v>
      </c>
      <c r="G860" s="372">
        <v>11</v>
      </c>
      <c r="H860" s="372" t="s">
        <v>2557</v>
      </c>
      <c r="I860" s="349">
        <v>33811</v>
      </c>
      <c r="J860" s="372" t="s">
        <v>8342</v>
      </c>
      <c r="K860" s="349">
        <v>91.35</v>
      </c>
      <c r="L860" s="349">
        <v>0</v>
      </c>
      <c r="M860" s="349">
        <v>0</v>
      </c>
      <c r="N860" s="349">
        <v>7.2497400000000001</v>
      </c>
      <c r="O860" s="349">
        <f t="shared" si="6"/>
        <v>91.35</v>
      </c>
      <c r="P860" s="373">
        <f t="shared" si="7"/>
        <v>12.600451878274255</v>
      </c>
    </row>
    <row r="861" spans="1:16">
      <c r="A861" s="348">
        <v>1017</v>
      </c>
      <c r="B861" s="349">
        <v>3287</v>
      </c>
      <c r="C861" s="372" t="s">
        <v>8208</v>
      </c>
      <c r="D861" s="372" t="s">
        <v>45</v>
      </c>
      <c r="E861" s="372" t="s">
        <v>9</v>
      </c>
      <c r="F861" s="350">
        <v>45625.375694444447</v>
      </c>
      <c r="G861" s="372">
        <v>11</v>
      </c>
      <c r="H861" s="372" t="s">
        <v>2557</v>
      </c>
      <c r="I861" s="349">
        <v>33835</v>
      </c>
      <c r="J861" s="372" t="s">
        <v>7218</v>
      </c>
      <c r="K861" s="349">
        <v>5.99</v>
      </c>
      <c r="L861" s="349">
        <v>0.79</v>
      </c>
      <c r="M861" s="349">
        <v>0</v>
      </c>
      <c r="N861" s="349">
        <v>1</v>
      </c>
      <c r="O861" s="349">
        <f t="shared" si="6"/>
        <v>5.2</v>
      </c>
      <c r="P861" s="373">
        <f t="shared" si="7"/>
        <v>5.2</v>
      </c>
    </row>
    <row r="862" spans="1:16">
      <c r="A862" s="348">
        <v>1018</v>
      </c>
      <c r="B862" s="349">
        <v>3672</v>
      </c>
      <c r="C862" s="372" t="s">
        <v>8343</v>
      </c>
      <c r="D862" s="372" t="s">
        <v>45</v>
      </c>
      <c r="E862" s="372" t="s">
        <v>2556</v>
      </c>
      <c r="F862" s="350">
        <v>45625.429166666669</v>
      </c>
      <c r="G862" s="372">
        <v>11</v>
      </c>
      <c r="H862" s="372" t="s">
        <v>2557</v>
      </c>
      <c r="I862" s="349">
        <v>33511</v>
      </c>
      <c r="J862" s="372" t="s">
        <v>8344</v>
      </c>
      <c r="K862" s="349">
        <v>12.59</v>
      </c>
      <c r="L862" s="349">
        <v>0</v>
      </c>
      <c r="M862" s="349">
        <v>0</v>
      </c>
      <c r="N862" s="349">
        <v>1</v>
      </c>
      <c r="O862" s="349">
        <f t="shared" si="6"/>
        <v>12.59</v>
      </c>
      <c r="P862" s="373">
        <f t="shared" si="7"/>
        <v>12.59</v>
      </c>
    </row>
    <row r="863" spans="1:16">
      <c r="A863" s="348">
        <v>1019</v>
      </c>
      <c r="B863" s="349">
        <v>3747</v>
      </c>
      <c r="C863" s="372" t="s">
        <v>2825</v>
      </c>
      <c r="D863" s="372" t="s">
        <v>2582</v>
      </c>
      <c r="E863" s="372" t="s">
        <v>2572</v>
      </c>
      <c r="F863" s="350">
        <v>45625.524305555555</v>
      </c>
      <c r="G863" s="372">
        <v>11</v>
      </c>
      <c r="H863" s="372" t="s">
        <v>2557</v>
      </c>
      <c r="I863" s="349">
        <v>33871</v>
      </c>
      <c r="J863" s="372" t="s">
        <v>8345</v>
      </c>
      <c r="K863" s="349">
        <v>52.12</v>
      </c>
      <c r="L863" s="349">
        <v>0</v>
      </c>
      <c r="M863" s="349">
        <v>0</v>
      </c>
      <c r="N863" s="349">
        <v>7.24749</v>
      </c>
      <c r="O863" s="349">
        <f t="shared" si="6"/>
        <v>52.12</v>
      </c>
      <c r="P863" s="373">
        <f t="shared" si="7"/>
        <v>7.1914552486447025</v>
      </c>
    </row>
    <row r="864" spans="1:16">
      <c r="A864" s="348">
        <v>1020</v>
      </c>
      <c r="B864" s="349">
        <v>3751</v>
      </c>
      <c r="C864" s="372" t="s">
        <v>6502</v>
      </c>
      <c r="D864" s="372" t="s">
        <v>45</v>
      </c>
      <c r="E864" s="372" t="s">
        <v>2556</v>
      </c>
      <c r="F864" s="350">
        <v>45625.572916666664</v>
      </c>
      <c r="G864" s="372">
        <v>11</v>
      </c>
      <c r="H864" s="372" t="s">
        <v>2557</v>
      </c>
      <c r="I864" s="349">
        <v>33907</v>
      </c>
      <c r="J864" s="372" t="s">
        <v>8346</v>
      </c>
      <c r="K864" s="349">
        <v>12.59</v>
      </c>
      <c r="L864" s="349">
        <v>0</v>
      </c>
      <c r="M864" s="349">
        <v>0</v>
      </c>
      <c r="N864" s="349">
        <v>1</v>
      </c>
      <c r="O864" s="349">
        <f t="shared" si="6"/>
        <v>12.59</v>
      </c>
      <c r="P864" s="373">
        <f t="shared" si="7"/>
        <v>12.59</v>
      </c>
    </row>
    <row r="865" spans="1:16">
      <c r="A865" s="348">
        <v>1021</v>
      </c>
      <c r="B865" s="349">
        <v>3752</v>
      </c>
      <c r="C865" s="372" t="s">
        <v>8347</v>
      </c>
      <c r="D865" s="372" t="s">
        <v>45</v>
      </c>
      <c r="E865" s="372" t="s">
        <v>2556</v>
      </c>
      <c r="F865" s="350">
        <v>45625.632638888892</v>
      </c>
      <c r="G865" s="372">
        <v>11</v>
      </c>
      <c r="H865" s="372" t="s">
        <v>2557</v>
      </c>
      <c r="I865" s="349">
        <v>33931</v>
      </c>
      <c r="J865" s="372" t="s">
        <v>8348</v>
      </c>
      <c r="K865" s="349">
        <v>12.59</v>
      </c>
      <c r="L865" s="349">
        <v>0</v>
      </c>
      <c r="M865" s="349">
        <v>0</v>
      </c>
      <c r="N865" s="349">
        <v>1</v>
      </c>
      <c r="O865" s="349">
        <f t="shared" si="6"/>
        <v>12.59</v>
      </c>
      <c r="P865" s="373">
        <f t="shared" si="7"/>
        <v>12.59</v>
      </c>
    </row>
    <row r="866" spans="1:16">
      <c r="A866" s="348">
        <v>1022</v>
      </c>
      <c r="B866" s="349">
        <v>3754</v>
      </c>
      <c r="C866" s="372" t="s">
        <v>2575</v>
      </c>
      <c r="D866" s="372" t="s">
        <v>45</v>
      </c>
      <c r="E866" s="372" t="s">
        <v>2556</v>
      </c>
      <c r="F866" s="350">
        <v>45625.646527777775</v>
      </c>
      <c r="G866" s="372">
        <v>11</v>
      </c>
      <c r="H866" s="372" t="s">
        <v>2557</v>
      </c>
      <c r="I866" s="349">
        <v>33955</v>
      </c>
      <c r="J866" s="372" t="s">
        <v>8349</v>
      </c>
      <c r="K866" s="349">
        <v>12.59</v>
      </c>
      <c r="L866" s="349">
        <v>0</v>
      </c>
      <c r="M866" s="349">
        <v>0</v>
      </c>
      <c r="N866" s="349">
        <v>1</v>
      </c>
      <c r="O866" s="349">
        <f t="shared" si="6"/>
        <v>12.59</v>
      </c>
      <c r="P866" s="373">
        <f t="shared" si="7"/>
        <v>12.59</v>
      </c>
    </row>
    <row r="867" spans="1:16">
      <c r="A867" s="348">
        <v>1023</v>
      </c>
      <c r="B867" s="349">
        <v>1599</v>
      </c>
      <c r="C867" s="372" t="s">
        <v>2575</v>
      </c>
      <c r="D867" s="372" t="s">
        <v>2582</v>
      </c>
      <c r="E867" s="372" t="s">
        <v>2556</v>
      </c>
      <c r="F867" s="350">
        <v>45625.811111111114</v>
      </c>
      <c r="G867" s="372">
        <v>11</v>
      </c>
      <c r="H867" s="372" t="s">
        <v>2557</v>
      </c>
      <c r="I867" s="349">
        <v>33967</v>
      </c>
      <c r="J867" s="372" t="s">
        <v>8350</v>
      </c>
      <c r="K867" s="349">
        <v>182.64</v>
      </c>
      <c r="L867" s="349">
        <v>0</v>
      </c>
      <c r="M867" s="349">
        <v>0</v>
      </c>
      <c r="N867" s="349">
        <v>7.24749</v>
      </c>
      <c r="O867" s="349">
        <f t="shared" si="6"/>
        <v>182.64</v>
      </c>
      <c r="P867" s="373">
        <f t="shared" si="7"/>
        <v>25.200448707069619</v>
      </c>
    </row>
    <row r="868" spans="1:16">
      <c r="A868" s="348">
        <v>1024</v>
      </c>
      <c r="B868" s="349">
        <v>3763</v>
      </c>
      <c r="C868" s="372" t="s">
        <v>8351</v>
      </c>
      <c r="D868" s="372" t="s">
        <v>45</v>
      </c>
      <c r="E868" s="372" t="s">
        <v>9</v>
      </c>
      <c r="F868" s="350">
        <v>45625.874305555553</v>
      </c>
      <c r="G868" s="372">
        <v>11</v>
      </c>
      <c r="H868" s="372" t="s">
        <v>2557</v>
      </c>
      <c r="I868" s="349">
        <v>33979</v>
      </c>
      <c r="J868" s="372" t="s">
        <v>7221</v>
      </c>
      <c r="K868" s="349">
        <v>12.59</v>
      </c>
      <c r="L868" s="349">
        <v>1.1200000000000001</v>
      </c>
      <c r="M868" s="349">
        <v>0</v>
      </c>
      <c r="N868" s="349">
        <v>1</v>
      </c>
      <c r="O868" s="349">
        <f t="shared" si="6"/>
        <v>11.469999999999999</v>
      </c>
      <c r="P868" s="373">
        <f t="shared" si="7"/>
        <v>11.469999999999999</v>
      </c>
    </row>
    <row r="869" spans="1:16">
      <c r="A869" s="348">
        <v>1025</v>
      </c>
      <c r="B869" s="349">
        <v>3299</v>
      </c>
      <c r="C869" s="372" t="s">
        <v>2598</v>
      </c>
      <c r="D869" s="372" t="s">
        <v>45</v>
      </c>
      <c r="E869" s="372" t="s">
        <v>2556</v>
      </c>
      <c r="F869" s="350">
        <v>45625.902083333334</v>
      </c>
      <c r="G869" s="372">
        <v>11</v>
      </c>
      <c r="H869" s="372" t="s">
        <v>2557</v>
      </c>
      <c r="I869" s="349">
        <v>34003</v>
      </c>
      <c r="J869" s="372" t="s">
        <v>8352</v>
      </c>
      <c r="K869" s="349">
        <v>42.99</v>
      </c>
      <c r="L869" s="349">
        <v>0</v>
      </c>
      <c r="M869" s="349">
        <v>0</v>
      </c>
      <c r="N869" s="349">
        <v>1</v>
      </c>
      <c r="O869" s="349">
        <f t="shared" si="6"/>
        <v>42.99</v>
      </c>
      <c r="P869" s="373">
        <f t="shared" si="7"/>
        <v>42.99</v>
      </c>
    </row>
    <row r="870" spans="1:16">
      <c r="A870" s="348">
        <v>1026</v>
      </c>
      <c r="B870" s="349">
        <v>3765</v>
      </c>
      <c r="C870" s="372" t="s">
        <v>8353</v>
      </c>
      <c r="D870" s="372" t="s">
        <v>45</v>
      </c>
      <c r="E870" s="372" t="s">
        <v>2556</v>
      </c>
      <c r="F870" s="350">
        <v>45625.902777777781</v>
      </c>
      <c r="G870" s="372">
        <v>11</v>
      </c>
      <c r="H870" s="372" t="s">
        <v>2557</v>
      </c>
      <c r="I870" s="349">
        <v>33991</v>
      </c>
      <c r="J870" s="372" t="s">
        <v>8354</v>
      </c>
      <c r="K870" s="349">
        <v>12.59</v>
      </c>
      <c r="L870" s="349">
        <v>0</v>
      </c>
      <c r="M870" s="349">
        <v>0</v>
      </c>
      <c r="N870" s="349">
        <v>1</v>
      </c>
      <c r="O870" s="349">
        <f t="shared" si="6"/>
        <v>12.59</v>
      </c>
      <c r="P870" s="373">
        <f t="shared" si="7"/>
        <v>12.59</v>
      </c>
    </row>
    <row r="871" spans="1:16">
      <c r="A871" s="348">
        <v>1027</v>
      </c>
      <c r="B871" s="349">
        <v>3775</v>
      </c>
      <c r="C871" s="372" t="s">
        <v>8355</v>
      </c>
      <c r="D871" s="372" t="s">
        <v>45</v>
      </c>
      <c r="E871" s="372" t="s">
        <v>2556</v>
      </c>
      <c r="F871" s="350">
        <v>45625.986111111109</v>
      </c>
      <c r="G871" s="372">
        <v>11</v>
      </c>
      <c r="H871" s="372" t="s">
        <v>2557</v>
      </c>
      <c r="I871" s="349">
        <v>34015</v>
      </c>
      <c r="J871" s="372" t="s">
        <v>8356</v>
      </c>
      <c r="K871" s="349">
        <v>25.19</v>
      </c>
      <c r="L871" s="349">
        <v>0</v>
      </c>
      <c r="M871" s="349">
        <v>0</v>
      </c>
      <c r="N871" s="349">
        <v>1</v>
      </c>
      <c r="O871" s="349">
        <f t="shared" si="6"/>
        <v>25.19</v>
      </c>
      <c r="P871" s="373">
        <f t="shared" si="7"/>
        <v>25.19</v>
      </c>
    </row>
    <row r="872" spans="1:16">
      <c r="A872" s="348">
        <v>1028</v>
      </c>
      <c r="B872" s="349">
        <v>3809</v>
      </c>
      <c r="C872" s="372" t="s">
        <v>8357</v>
      </c>
      <c r="D872" s="372" t="s">
        <v>45</v>
      </c>
      <c r="E872" s="372" t="s">
        <v>2556</v>
      </c>
      <c r="F872" s="350">
        <v>45626.472916666666</v>
      </c>
      <c r="G872" s="372">
        <v>11</v>
      </c>
      <c r="H872" s="372" t="s">
        <v>2557</v>
      </c>
      <c r="I872" s="349">
        <v>34123</v>
      </c>
      <c r="J872" s="372" t="s">
        <v>8358</v>
      </c>
      <c r="K872" s="349">
        <v>2.99</v>
      </c>
      <c r="L872" s="349">
        <v>0</v>
      </c>
      <c r="M872" s="349">
        <v>0</v>
      </c>
      <c r="N872" s="349">
        <v>1</v>
      </c>
      <c r="O872" s="349">
        <f t="shared" si="6"/>
        <v>2.99</v>
      </c>
      <c r="P872" s="373">
        <f t="shared" si="7"/>
        <v>2.99</v>
      </c>
    </row>
    <row r="873" spans="1:16">
      <c r="A873" s="348">
        <v>1029</v>
      </c>
      <c r="B873" s="349">
        <v>3812</v>
      </c>
      <c r="C873" s="372" t="s">
        <v>6500</v>
      </c>
      <c r="D873" s="372" t="s">
        <v>45</v>
      </c>
      <c r="E873" s="372" t="s">
        <v>9</v>
      </c>
      <c r="F873" s="350">
        <v>45626.636805555558</v>
      </c>
      <c r="G873" s="372">
        <v>11</v>
      </c>
      <c r="H873" s="372" t="s">
        <v>2557</v>
      </c>
      <c r="I873" s="349">
        <v>34135</v>
      </c>
      <c r="J873" s="372" t="s">
        <v>7222</v>
      </c>
      <c r="K873" s="349">
        <v>12.59</v>
      </c>
      <c r="L873" s="349">
        <v>0.93</v>
      </c>
      <c r="M873" s="349">
        <v>0</v>
      </c>
      <c r="N873" s="349">
        <v>1</v>
      </c>
      <c r="O873" s="349">
        <f t="shared" si="6"/>
        <v>11.66</v>
      </c>
      <c r="P873" s="373">
        <f t="shared" si="7"/>
        <v>11.66</v>
      </c>
    </row>
    <row r="874" spans="1:16">
      <c r="A874" s="348">
        <v>1030</v>
      </c>
      <c r="B874" s="349">
        <v>3816</v>
      </c>
      <c r="C874" s="372" t="s">
        <v>2565</v>
      </c>
      <c r="D874" s="372" t="s">
        <v>45</v>
      </c>
      <c r="E874" s="372" t="s">
        <v>9</v>
      </c>
      <c r="F874" s="350">
        <v>45626.793749999997</v>
      </c>
      <c r="G874" s="372">
        <v>11</v>
      </c>
      <c r="H874" s="372" t="s">
        <v>2557</v>
      </c>
      <c r="I874" s="349">
        <v>34159</v>
      </c>
      <c r="J874" s="372" t="s">
        <v>7224</v>
      </c>
      <c r="K874" s="349">
        <v>59.99</v>
      </c>
      <c r="L874" s="349">
        <v>3.48</v>
      </c>
      <c r="M874" s="349">
        <v>0</v>
      </c>
      <c r="N874" s="349">
        <v>1</v>
      </c>
      <c r="O874" s="349">
        <f t="shared" si="6"/>
        <v>56.510000000000005</v>
      </c>
      <c r="P874" s="373">
        <f t="shared" si="7"/>
        <v>56.510000000000005</v>
      </c>
    </row>
    <row r="875" spans="1:16">
      <c r="A875" s="348">
        <v>1031</v>
      </c>
      <c r="B875" s="349">
        <v>3819</v>
      </c>
      <c r="C875" s="372" t="s">
        <v>7225</v>
      </c>
      <c r="D875" s="372" t="s">
        <v>45</v>
      </c>
      <c r="E875" s="372" t="s">
        <v>9</v>
      </c>
      <c r="F875" s="350">
        <v>45626.84375</v>
      </c>
      <c r="G875" s="372">
        <v>11</v>
      </c>
      <c r="H875" s="372" t="s">
        <v>2557</v>
      </c>
      <c r="I875" s="349">
        <v>34195</v>
      </c>
      <c r="J875" s="372" t="s">
        <v>7226</v>
      </c>
      <c r="K875" s="349">
        <v>77.989999999999995</v>
      </c>
      <c r="L875" s="349">
        <v>3.21</v>
      </c>
      <c r="M875" s="349">
        <v>0</v>
      </c>
      <c r="N875" s="349">
        <v>1</v>
      </c>
      <c r="O875" s="349">
        <f t="shared" si="6"/>
        <v>74.78</v>
      </c>
      <c r="P875" s="373">
        <f t="shared" si="7"/>
        <v>74.78</v>
      </c>
    </row>
    <row r="876" spans="1:16">
      <c r="A876" s="348">
        <v>1032</v>
      </c>
      <c r="B876" s="349">
        <v>3822</v>
      </c>
      <c r="C876" s="372" t="s">
        <v>2575</v>
      </c>
      <c r="D876" s="372" t="s">
        <v>45</v>
      </c>
      <c r="E876" s="372" t="s">
        <v>9</v>
      </c>
      <c r="F876" s="350">
        <v>45626.855555555558</v>
      </c>
      <c r="G876" s="372">
        <v>11</v>
      </c>
      <c r="H876" s="372" t="s">
        <v>2557</v>
      </c>
      <c r="I876" s="349">
        <v>34207</v>
      </c>
      <c r="J876" s="372" t="s">
        <v>7228</v>
      </c>
      <c r="K876" s="349">
        <v>12.59</v>
      </c>
      <c r="L876" s="349">
        <v>0.93</v>
      </c>
      <c r="M876" s="349">
        <v>0</v>
      </c>
      <c r="N876" s="349">
        <v>1</v>
      </c>
      <c r="O876" s="349">
        <f t="shared" si="6"/>
        <v>11.66</v>
      </c>
      <c r="P876" s="373">
        <f t="shared" si="7"/>
        <v>11.66</v>
      </c>
    </row>
    <row r="877" spans="1:16">
      <c r="A877" s="348">
        <v>1033</v>
      </c>
      <c r="B877" s="349">
        <v>3824</v>
      </c>
      <c r="C877" s="372" t="s">
        <v>6410</v>
      </c>
      <c r="D877" s="372" t="s">
        <v>45</v>
      </c>
      <c r="E877" s="372" t="s">
        <v>2556</v>
      </c>
      <c r="F877" s="350">
        <v>45626.871527777781</v>
      </c>
      <c r="G877" s="372">
        <v>11</v>
      </c>
      <c r="H877" s="372" t="s">
        <v>2557</v>
      </c>
      <c r="I877" s="349">
        <v>34219</v>
      </c>
      <c r="J877" s="372" t="s">
        <v>8359</v>
      </c>
      <c r="K877" s="349">
        <v>12.59</v>
      </c>
      <c r="L877" s="349">
        <v>0</v>
      </c>
      <c r="M877" s="349">
        <v>0</v>
      </c>
      <c r="N877" s="349">
        <v>1</v>
      </c>
      <c r="O877" s="349">
        <f t="shared" si="6"/>
        <v>12.59</v>
      </c>
      <c r="P877" s="373">
        <f t="shared" si="7"/>
        <v>12.59</v>
      </c>
    </row>
    <row r="878" spans="1:16">
      <c r="A878" s="348">
        <v>1034</v>
      </c>
      <c r="B878" s="349">
        <v>3826</v>
      </c>
      <c r="C878" s="372" t="s">
        <v>423</v>
      </c>
      <c r="D878" s="372" t="s">
        <v>45</v>
      </c>
      <c r="E878" s="372" t="s">
        <v>9</v>
      </c>
      <c r="F878" s="350">
        <v>45626.928472222222</v>
      </c>
      <c r="G878" s="372">
        <v>11</v>
      </c>
      <c r="H878" s="372" t="s">
        <v>2557</v>
      </c>
      <c r="I878" s="349">
        <v>34243</v>
      </c>
      <c r="J878" s="372" t="s">
        <v>7229</v>
      </c>
      <c r="K878" s="349">
        <v>1.0900000000000001</v>
      </c>
      <c r="L878" s="349">
        <v>0.54</v>
      </c>
      <c r="M878" s="349">
        <v>0</v>
      </c>
      <c r="N878" s="349">
        <v>1</v>
      </c>
      <c r="O878" s="349">
        <f t="shared" si="6"/>
        <v>0.55000000000000004</v>
      </c>
      <c r="P878" s="373">
        <f t="shared" si="7"/>
        <v>0.55000000000000004</v>
      </c>
    </row>
    <row r="879" spans="1:16">
      <c r="A879" s="348">
        <v>1035</v>
      </c>
      <c r="B879" s="349">
        <v>3242</v>
      </c>
      <c r="C879" s="372" t="s">
        <v>6316</v>
      </c>
      <c r="D879" s="372" t="s">
        <v>45</v>
      </c>
      <c r="E879" s="372" t="s">
        <v>2556</v>
      </c>
      <c r="F879" s="350">
        <v>45627.088888888888</v>
      </c>
      <c r="G879" s="372">
        <v>12</v>
      </c>
      <c r="H879" s="372" t="s">
        <v>2557</v>
      </c>
      <c r="I879" s="349">
        <v>30691</v>
      </c>
      <c r="J879" s="372" t="s">
        <v>8360</v>
      </c>
      <c r="K879" s="349">
        <v>12.59</v>
      </c>
      <c r="L879" s="349">
        <v>0</v>
      </c>
      <c r="M879" s="349">
        <v>0</v>
      </c>
      <c r="N879" s="349">
        <v>1</v>
      </c>
      <c r="O879" s="349">
        <f t="shared" si="6"/>
        <v>12.59</v>
      </c>
      <c r="P879" s="373">
        <f t="shared" si="7"/>
        <v>12.59</v>
      </c>
    </row>
    <row r="880" spans="1:16">
      <c r="A880" s="348">
        <v>1036</v>
      </c>
      <c r="B880" s="349">
        <v>3847</v>
      </c>
      <c r="C880" s="372" t="s">
        <v>8361</v>
      </c>
      <c r="D880" s="372" t="s">
        <v>45</v>
      </c>
      <c r="E880" s="372" t="s">
        <v>2556</v>
      </c>
      <c r="F880" s="350">
        <v>45627.372916666667</v>
      </c>
      <c r="G880" s="372">
        <v>12</v>
      </c>
      <c r="H880" s="372" t="s">
        <v>2557</v>
      </c>
      <c r="I880" s="349">
        <v>34279</v>
      </c>
      <c r="J880" s="372" t="s">
        <v>8362</v>
      </c>
      <c r="K880" s="349">
        <v>29.99</v>
      </c>
      <c r="L880" s="349">
        <v>0</v>
      </c>
      <c r="M880" s="349">
        <v>0</v>
      </c>
      <c r="N880" s="349">
        <v>1</v>
      </c>
      <c r="O880" s="349">
        <f t="shared" si="6"/>
        <v>29.99</v>
      </c>
      <c r="P880" s="373">
        <f t="shared" si="7"/>
        <v>29.99</v>
      </c>
    </row>
    <row r="881" spans="1:16">
      <c r="A881" s="348">
        <v>1037</v>
      </c>
      <c r="B881" s="349">
        <v>3851</v>
      </c>
      <c r="C881" s="372" t="s">
        <v>8363</v>
      </c>
      <c r="D881" s="372" t="s">
        <v>2582</v>
      </c>
      <c r="E881" s="372" t="s">
        <v>2556</v>
      </c>
      <c r="F881" s="350">
        <v>45627.461111111108</v>
      </c>
      <c r="G881" s="372">
        <v>12</v>
      </c>
      <c r="H881" s="372" t="s">
        <v>2557</v>
      </c>
      <c r="I881" s="349">
        <v>34315</v>
      </c>
      <c r="J881" s="372" t="s">
        <v>8364</v>
      </c>
      <c r="K881" s="349">
        <v>36.130000000000003</v>
      </c>
      <c r="L881" s="349">
        <v>0</v>
      </c>
      <c r="M881" s="349">
        <v>0</v>
      </c>
      <c r="N881" s="349">
        <v>7.2414300000000003</v>
      </c>
      <c r="O881" s="349">
        <f t="shared" si="6"/>
        <v>36.130000000000003</v>
      </c>
      <c r="P881" s="373">
        <f t="shared" si="7"/>
        <v>4.9893460269587635</v>
      </c>
    </row>
    <row r="882" spans="1:16">
      <c r="A882" s="348">
        <v>1038</v>
      </c>
      <c r="B882" s="349">
        <v>3854</v>
      </c>
      <c r="C882" s="372" t="s">
        <v>8365</v>
      </c>
      <c r="D882" s="372" t="s">
        <v>45</v>
      </c>
      <c r="E882" s="372" t="s">
        <v>2556</v>
      </c>
      <c r="F882" s="350">
        <v>45627.595833333333</v>
      </c>
      <c r="G882" s="372">
        <v>12</v>
      </c>
      <c r="H882" s="372" t="s">
        <v>2557</v>
      </c>
      <c r="I882" s="349">
        <v>34339</v>
      </c>
      <c r="J882" s="372" t="s">
        <v>8366</v>
      </c>
      <c r="K882" s="349">
        <v>2.99</v>
      </c>
      <c r="L882" s="349">
        <v>0</v>
      </c>
      <c r="M882" s="349">
        <v>0</v>
      </c>
      <c r="N882" s="349">
        <v>1</v>
      </c>
      <c r="O882" s="349">
        <f t="shared" si="6"/>
        <v>2.99</v>
      </c>
      <c r="P882" s="373">
        <f t="shared" si="7"/>
        <v>2.99</v>
      </c>
    </row>
    <row r="883" spans="1:16">
      <c r="A883" s="348">
        <v>1039</v>
      </c>
      <c r="B883" s="349">
        <v>3379</v>
      </c>
      <c r="C883" s="372" t="s">
        <v>8267</v>
      </c>
      <c r="D883" s="372" t="s">
        <v>45</v>
      </c>
      <c r="E883" s="372" t="s">
        <v>2556</v>
      </c>
      <c r="F883" s="350">
        <v>45627.984722222223</v>
      </c>
      <c r="G883" s="372">
        <v>12</v>
      </c>
      <c r="H883" s="372" t="s">
        <v>2557</v>
      </c>
      <c r="I883" s="349">
        <v>34351</v>
      </c>
      <c r="J883" s="372" t="s">
        <v>8367</v>
      </c>
      <c r="K883" s="349">
        <v>12</v>
      </c>
      <c r="L883" s="349">
        <v>0</v>
      </c>
      <c r="M883" s="349">
        <v>0</v>
      </c>
      <c r="N883" s="349">
        <v>1</v>
      </c>
      <c r="O883" s="349">
        <f t="shared" si="6"/>
        <v>12</v>
      </c>
      <c r="P883" s="373">
        <f t="shared" si="7"/>
        <v>12</v>
      </c>
    </row>
    <row r="884" spans="1:16">
      <c r="A884" s="348">
        <v>1045</v>
      </c>
      <c r="B884" s="349">
        <v>219</v>
      </c>
      <c r="C884" s="372" t="s">
        <v>2598</v>
      </c>
      <c r="D884" s="372" t="s">
        <v>2582</v>
      </c>
      <c r="E884" s="372" t="s">
        <v>2556</v>
      </c>
      <c r="F884" s="350">
        <v>45628</v>
      </c>
      <c r="G884" s="372">
        <v>12</v>
      </c>
      <c r="H884" s="372" t="s">
        <v>2557</v>
      </c>
      <c r="I884" s="349">
        <v>34447</v>
      </c>
      <c r="J884" s="372"/>
      <c r="K884" s="349">
        <v>0</v>
      </c>
      <c r="L884" s="349">
        <v>0</v>
      </c>
      <c r="M884" s="349">
        <v>0</v>
      </c>
      <c r="N884" s="349">
        <v>7.2414300000000003</v>
      </c>
      <c r="O884" s="349">
        <f t="shared" si="6"/>
        <v>0</v>
      </c>
      <c r="P884" s="373">
        <f t="shared" si="7"/>
        <v>0</v>
      </c>
    </row>
    <row r="885" spans="1:16">
      <c r="A885" s="348">
        <v>1047</v>
      </c>
      <c r="B885" s="349">
        <v>163</v>
      </c>
      <c r="C885" s="372" t="s">
        <v>8368</v>
      </c>
      <c r="D885" s="372" t="s">
        <v>45</v>
      </c>
      <c r="E885" s="372" t="s">
        <v>2556</v>
      </c>
      <c r="F885" s="350">
        <v>45628</v>
      </c>
      <c r="G885" s="372">
        <v>12</v>
      </c>
      <c r="H885" s="372" t="s">
        <v>2557</v>
      </c>
      <c r="I885" s="349">
        <v>34495</v>
      </c>
      <c r="J885" s="372"/>
      <c r="K885" s="349">
        <v>0</v>
      </c>
      <c r="L885" s="349">
        <v>0</v>
      </c>
      <c r="M885" s="349">
        <v>0</v>
      </c>
      <c r="N885" s="349">
        <v>1</v>
      </c>
      <c r="O885" s="349">
        <f t="shared" si="6"/>
        <v>0</v>
      </c>
      <c r="P885" s="373">
        <f t="shared" si="7"/>
        <v>0</v>
      </c>
    </row>
    <row r="886" spans="1:16">
      <c r="A886" s="348">
        <v>1040</v>
      </c>
      <c r="B886" s="349">
        <v>3867</v>
      </c>
      <c r="C886" s="372" t="s">
        <v>2598</v>
      </c>
      <c r="D886" s="372" t="s">
        <v>45</v>
      </c>
      <c r="E886" s="372" t="s">
        <v>2556</v>
      </c>
      <c r="F886" s="350">
        <v>45628.006944444445</v>
      </c>
      <c r="G886" s="372">
        <v>12</v>
      </c>
      <c r="H886" s="372" t="s">
        <v>2557</v>
      </c>
      <c r="I886" s="349">
        <v>34375</v>
      </c>
      <c r="J886" s="372" t="s">
        <v>8369</v>
      </c>
      <c r="K886" s="349">
        <v>11.99</v>
      </c>
      <c r="L886" s="349">
        <v>0</v>
      </c>
      <c r="M886" s="349">
        <v>0</v>
      </c>
      <c r="N886" s="349">
        <v>1</v>
      </c>
      <c r="O886" s="349">
        <f t="shared" si="6"/>
        <v>11.99</v>
      </c>
      <c r="P886" s="373">
        <f t="shared" si="7"/>
        <v>11.99</v>
      </c>
    </row>
    <row r="887" spans="1:16">
      <c r="A887" s="348">
        <v>1041</v>
      </c>
      <c r="B887" s="349">
        <v>3870</v>
      </c>
      <c r="C887" s="372" t="s">
        <v>2598</v>
      </c>
      <c r="D887" s="372" t="s">
        <v>2582</v>
      </c>
      <c r="E887" s="372" t="s">
        <v>2556</v>
      </c>
      <c r="F887" s="350">
        <v>45628.107638888891</v>
      </c>
      <c r="G887" s="372">
        <v>12</v>
      </c>
      <c r="H887" s="372" t="s">
        <v>2557</v>
      </c>
      <c r="I887" s="349">
        <v>34387</v>
      </c>
      <c r="J887" s="372" t="s">
        <v>8370</v>
      </c>
      <c r="K887" s="349">
        <v>57.86</v>
      </c>
      <c r="L887" s="349">
        <v>0</v>
      </c>
      <c r="M887" s="349">
        <v>0</v>
      </c>
      <c r="N887" s="349">
        <v>7.2414300000000003</v>
      </c>
      <c r="O887" s="349">
        <f t="shared" si="6"/>
        <v>57.86</v>
      </c>
      <c r="P887" s="373">
        <f t="shared" si="7"/>
        <v>7.990134545248659</v>
      </c>
    </row>
    <row r="888" spans="1:16">
      <c r="A888" s="348">
        <v>1042</v>
      </c>
      <c r="B888" s="349">
        <v>3851</v>
      </c>
      <c r="C888" s="372" t="s">
        <v>8363</v>
      </c>
      <c r="D888" s="372" t="s">
        <v>2582</v>
      </c>
      <c r="E888" s="372" t="s">
        <v>2556</v>
      </c>
      <c r="F888" s="350">
        <v>45628.548611111109</v>
      </c>
      <c r="G888" s="372">
        <v>12</v>
      </c>
      <c r="H888" s="372" t="s">
        <v>2557</v>
      </c>
      <c r="I888" s="349">
        <v>34423</v>
      </c>
      <c r="J888" s="372" t="s">
        <v>8371</v>
      </c>
      <c r="K888" s="349">
        <v>14.41</v>
      </c>
      <c r="L888" s="349">
        <v>0</v>
      </c>
      <c r="M888" s="349">
        <v>0</v>
      </c>
      <c r="N888" s="349">
        <v>7.2414300000000003</v>
      </c>
      <c r="O888" s="349">
        <f t="shared" si="6"/>
        <v>14.41</v>
      </c>
      <c r="P888" s="373">
        <f t="shared" si="7"/>
        <v>1.9899384513832212</v>
      </c>
    </row>
    <row r="889" spans="1:16">
      <c r="A889" s="348">
        <v>1043</v>
      </c>
      <c r="B889" s="349">
        <v>3870</v>
      </c>
      <c r="C889" s="372" t="s">
        <v>2598</v>
      </c>
      <c r="D889" s="372" t="s">
        <v>2582</v>
      </c>
      <c r="E889" s="372" t="s">
        <v>2556</v>
      </c>
      <c r="F889" s="350">
        <v>45628.660416666666</v>
      </c>
      <c r="G889" s="372">
        <v>12</v>
      </c>
      <c r="H889" s="372" t="s">
        <v>8372</v>
      </c>
      <c r="I889" s="349">
        <v>34387</v>
      </c>
      <c r="J889" s="372"/>
      <c r="K889" s="349">
        <v>0</v>
      </c>
      <c r="L889" s="349">
        <v>0</v>
      </c>
      <c r="M889" s="349">
        <v>50</v>
      </c>
      <c r="N889" s="349">
        <v>7.2414300000000003</v>
      </c>
      <c r="O889" s="349">
        <f t="shared" si="6"/>
        <v>-50</v>
      </c>
      <c r="P889" s="373">
        <f t="shared" si="7"/>
        <v>-6.9047135717669024</v>
      </c>
    </row>
    <row r="890" spans="1:16">
      <c r="A890" s="348">
        <v>1044</v>
      </c>
      <c r="B890" s="349">
        <v>3366</v>
      </c>
      <c r="C890" s="372" t="s">
        <v>7230</v>
      </c>
      <c r="D890" s="372" t="s">
        <v>45</v>
      </c>
      <c r="E890" s="372" t="s">
        <v>9</v>
      </c>
      <c r="F890" s="350">
        <v>45628.697916666664</v>
      </c>
      <c r="G890" s="372">
        <v>12</v>
      </c>
      <c r="H890" s="372" t="s">
        <v>2557</v>
      </c>
      <c r="I890" s="349">
        <v>32263</v>
      </c>
      <c r="J890" s="372" t="s">
        <v>7231</v>
      </c>
      <c r="K890" s="349">
        <v>12.59</v>
      </c>
      <c r="L890" s="349">
        <v>0.93</v>
      </c>
      <c r="M890" s="349">
        <v>0</v>
      </c>
      <c r="N890" s="349">
        <v>1</v>
      </c>
      <c r="O890" s="349">
        <f t="shared" si="6"/>
        <v>11.66</v>
      </c>
      <c r="P890" s="373">
        <f t="shared" si="7"/>
        <v>11.66</v>
      </c>
    </row>
    <row r="891" spans="1:16">
      <c r="A891" s="348">
        <v>1046</v>
      </c>
      <c r="B891" s="349">
        <v>3271</v>
      </c>
      <c r="C891" s="372" t="s">
        <v>3288</v>
      </c>
      <c r="D891" s="372" t="s">
        <v>45</v>
      </c>
      <c r="E891" s="372" t="s">
        <v>2556</v>
      </c>
      <c r="F891" s="350">
        <v>45628.918055555558</v>
      </c>
      <c r="G891" s="372">
        <v>12</v>
      </c>
      <c r="H891" s="372" t="s">
        <v>2557</v>
      </c>
      <c r="I891" s="349">
        <v>34471</v>
      </c>
      <c r="J891" s="372" t="s">
        <v>8373</v>
      </c>
      <c r="K891" s="349">
        <v>16.79</v>
      </c>
      <c r="L891" s="349">
        <v>0</v>
      </c>
      <c r="M891" s="349">
        <v>0</v>
      </c>
      <c r="N891" s="349">
        <v>1</v>
      </c>
      <c r="O891" s="349">
        <f t="shared" si="6"/>
        <v>16.79</v>
      </c>
      <c r="P891" s="373">
        <f t="shared" si="7"/>
        <v>16.79</v>
      </c>
    </row>
    <row r="892" spans="1:16">
      <c r="A892" s="348">
        <v>1048</v>
      </c>
      <c r="B892" s="349">
        <v>254</v>
      </c>
      <c r="C892" s="372" t="s">
        <v>2751</v>
      </c>
      <c r="D892" s="372" t="s">
        <v>2582</v>
      </c>
      <c r="E892" s="372" t="s">
        <v>2556</v>
      </c>
      <c r="F892" s="350">
        <v>45629.036111111112</v>
      </c>
      <c r="G892" s="372">
        <v>12</v>
      </c>
      <c r="H892" s="372" t="s">
        <v>2557</v>
      </c>
      <c r="I892" s="349">
        <v>34507</v>
      </c>
      <c r="J892" s="372" t="s">
        <v>8374</v>
      </c>
      <c r="K892" s="349">
        <v>7.75</v>
      </c>
      <c r="L892" s="349">
        <v>0</v>
      </c>
      <c r="M892" s="349">
        <v>0</v>
      </c>
      <c r="N892" s="349">
        <v>7.2414300000000003</v>
      </c>
      <c r="O892" s="349">
        <f t="shared" si="6"/>
        <v>7.75</v>
      </c>
      <c r="P892" s="373">
        <f t="shared" si="7"/>
        <v>1.0702306036238698</v>
      </c>
    </row>
    <row r="893" spans="1:16">
      <c r="A893" s="348">
        <v>1049</v>
      </c>
      <c r="B893" s="349">
        <v>3935</v>
      </c>
      <c r="C893" s="372" t="s">
        <v>2981</v>
      </c>
      <c r="D893" s="372" t="s">
        <v>45</v>
      </c>
      <c r="E893" s="372" t="s">
        <v>2556</v>
      </c>
      <c r="F893" s="350">
        <v>45629.432638888888</v>
      </c>
      <c r="G893" s="372">
        <v>12</v>
      </c>
      <c r="H893" s="372" t="s">
        <v>2557</v>
      </c>
      <c r="I893" s="349">
        <v>34531</v>
      </c>
      <c r="J893" s="372" t="s">
        <v>8375</v>
      </c>
      <c r="K893" s="349">
        <v>35.99</v>
      </c>
      <c r="L893" s="349">
        <v>0</v>
      </c>
      <c r="M893" s="349">
        <v>0</v>
      </c>
      <c r="N893" s="349">
        <v>1</v>
      </c>
      <c r="O893" s="349">
        <f t="shared" si="6"/>
        <v>35.99</v>
      </c>
      <c r="P893" s="373">
        <f t="shared" si="7"/>
        <v>35.99</v>
      </c>
    </row>
    <row r="894" spans="1:16">
      <c r="A894" s="348">
        <v>1050</v>
      </c>
      <c r="B894" s="349">
        <v>2366</v>
      </c>
      <c r="C894" s="372" t="s">
        <v>8129</v>
      </c>
      <c r="D894" s="372" t="s">
        <v>45</v>
      </c>
      <c r="E894" s="372" t="s">
        <v>9</v>
      </c>
      <c r="F894" s="350">
        <v>45629.513194444444</v>
      </c>
      <c r="G894" s="372">
        <v>12</v>
      </c>
      <c r="H894" s="372" t="s">
        <v>2557</v>
      </c>
      <c r="I894" s="349">
        <v>32467</v>
      </c>
      <c r="J894" s="372" t="s">
        <v>7232</v>
      </c>
      <c r="K894" s="349">
        <v>1.99</v>
      </c>
      <c r="L894" s="349">
        <v>0.59</v>
      </c>
      <c r="M894" s="349">
        <v>0</v>
      </c>
      <c r="N894" s="349">
        <v>1</v>
      </c>
      <c r="O894" s="349">
        <f t="shared" si="6"/>
        <v>1.4</v>
      </c>
      <c r="P894" s="373">
        <f t="shared" si="7"/>
        <v>1.4</v>
      </c>
    </row>
    <row r="895" spans="1:16">
      <c r="A895" s="348">
        <v>1051</v>
      </c>
      <c r="B895" s="349">
        <v>3964</v>
      </c>
      <c r="C895" s="372" t="s">
        <v>6826</v>
      </c>
      <c r="D895" s="372" t="s">
        <v>45</v>
      </c>
      <c r="E895" s="372" t="s">
        <v>9</v>
      </c>
      <c r="F895" s="350">
        <v>45629.788194444445</v>
      </c>
      <c r="G895" s="372">
        <v>12</v>
      </c>
      <c r="H895" s="372" t="s">
        <v>2557</v>
      </c>
      <c r="I895" s="349">
        <v>34567</v>
      </c>
      <c r="J895" s="372" t="s">
        <v>7234</v>
      </c>
      <c r="K895" s="349">
        <v>16.79</v>
      </c>
      <c r="L895" s="349">
        <v>1.33</v>
      </c>
      <c r="M895" s="349">
        <v>0</v>
      </c>
      <c r="N895" s="349">
        <v>1</v>
      </c>
      <c r="O895" s="349">
        <f t="shared" si="6"/>
        <v>15.459999999999999</v>
      </c>
      <c r="P895" s="373">
        <f t="shared" si="7"/>
        <v>15.459999999999999</v>
      </c>
    </row>
    <row r="896" spans="1:16">
      <c r="A896" s="348">
        <v>1052</v>
      </c>
      <c r="B896" s="349">
        <v>3972</v>
      </c>
      <c r="C896" s="372" t="s">
        <v>8376</v>
      </c>
      <c r="D896" s="372" t="s">
        <v>45</v>
      </c>
      <c r="E896" s="372" t="s">
        <v>2556</v>
      </c>
      <c r="F896" s="350">
        <v>45629.822916666664</v>
      </c>
      <c r="G896" s="372">
        <v>12</v>
      </c>
      <c r="H896" s="372" t="s">
        <v>2557</v>
      </c>
      <c r="I896" s="349">
        <v>34615</v>
      </c>
      <c r="J896" s="372" t="s">
        <v>8377</v>
      </c>
      <c r="K896" s="349">
        <v>23.99</v>
      </c>
      <c r="L896" s="349">
        <v>0</v>
      </c>
      <c r="M896" s="349">
        <v>0</v>
      </c>
      <c r="N896" s="349">
        <v>1</v>
      </c>
      <c r="O896" s="349">
        <f t="shared" si="6"/>
        <v>23.99</v>
      </c>
      <c r="P896" s="373">
        <f t="shared" si="7"/>
        <v>23.99</v>
      </c>
    </row>
    <row r="897" spans="1:16">
      <c r="A897" s="348">
        <v>1053</v>
      </c>
      <c r="B897" s="349">
        <v>3974</v>
      </c>
      <c r="C897" s="372" t="s">
        <v>2844</v>
      </c>
      <c r="D897" s="372" t="s">
        <v>45</v>
      </c>
      <c r="E897" s="372" t="s">
        <v>2556</v>
      </c>
      <c r="F897" s="350">
        <v>45629.835416666669</v>
      </c>
      <c r="G897" s="372">
        <v>12</v>
      </c>
      <c r="H897" s="372" t="s">
        <v>2557</v>
      </c>
      <c r="I897" s="349">
        <v>34639</v>
      </c>
      <c r="J897" s="372" t="s">
        <v>8378</v>
      </c>
      <c r="K897" s="349">
        <v>1.99</v>
      </c>
      <c r="L897" s="349">
        <v>0</v>
      </c>
      <c r="M897" s="349">
        <v>0</v>
      </c>
      <c r="N897" s="349">
        <v>1</v>
      </c>
      <c r="O897" s="349">
        <f t="shared" si="6"/>
        <v>1.99</v>
      </c>
      <c r="P897" s="373">
        <f t="shared" si="7"/>
        <v>1.99</v>
      </c>
    </row>
    <row r="898" spans="1:16">
      <c r="A898" s="348">
        <v>1054</v>
      </c>
      <c r="B898" s="349">
        <v>3380</v>
      </c>
      <c r="C898" s="372" t="s">
        <v>8379</v>
      </c>
      <c r="D898" s="372" t="s">
        <v>45</v>
      </c>
      <c r="E898" s="372" t="s">
        <v>9</v>
      </c>
      <c r="F898" s="350">
        <v>45629.838194444441</v>
      </c>
      <c r="G898" s="372">
        <v>12</v>
      </c>
      <c r="H898" s="372" t="s">
        <v>2557</v>
      </c>
      <c r="I898" s="349">
        <v>32431</v>
      </c>
      <c r="J898" s="372" t="s">
        <v>7236</v>
      </c>
      <c r="K898" s="349">
        <v>12.59</v>
      </c>
      <c r="L898" s="349">
        <v>1.1200000000000001</v>
      </c>
      <c r="M898" s="349">
        <v>0</v>
      </c>
      <c r="N898" s="349">
        <v>1</v>
      </c>
      <c r="O898" s="349">
        <f t="shared" si="6"/>
        <v>11.469999999999999</v>
      </c>
      <c r="P898" s="373">
        <f t="shared" si="7"/>
        <v>11.469999999999999</v>
      </c>
    </row>
    <row r="899" spans="1:16">
      <c r="A899" s="348">
        <v>1055</v>
      </c>
      <c r="B899" s="349">
        <v>3975</v>
      </c>
      <c r="C899" s="372" t="s">
        <v>3273</v>
      </c>
      <c r="D899" s="372" t="s">
        <v>45</v>
      </c>
      <c r="E899" s="372" t="s">
        <v>2556</v>
      </c>
      <c r="F899" s="350">
        <v>45629.838194444441</v>
      </c>
      <c r="G899" s="372">
        <v>12</v>
      </c>
      <c r="H899" s="372" t="s">
        <v>2557</v>
      </c>
      <c r="I899" s="349">
        <v>34651</v>
      </c>
      <c r="J899" s="372" t="s">
        <v>8380</v>
      </c>
      <c r="K899" s="349">
        <v>1.99</v>
      </c>
      <c r="L899" s="349">
        <v>0</v>
      </c>
      <c r="M899" s="349">
        <v>0</v>
      </c>
      <c r="N899" s="349">
        <v>1</v>
      </c>
      <c r="O899" s="349">
        <f t="shared" si="6"/>
        <v>1.99</v>
      </c>
      <c r="P899" s="373">
        <f t="shared" si="7"/>
        <v>1.99</v>
      </c>
    </row>
    <row r="900" spans="1:16">
      <c r="A900" s="348">
        <v>1056</v>
      </c>
      <c r="B900" s="349">
        <v>318</v>
      </c>
      <c r="C900" s="372" t="s">
        <v>2580</v>
      </c>
      <c r="D900" s="372" t="s">
        <v>45</v>
      </c>
      <c r="E900" s="372" t="s">
        <v>2556</v>
      </c>
      <c r="F900" s="350">
        <v>45629.893055555556</v>
      </c>
      <c r="G900" s="372">
        <v>12</v>
      </c>
      <c r="H900" s="372" t="s">
        <v>2557</v>
      </c>
      <c r="I900" s="349">
        <v>17335</v>
      </c>
      <c r="J900" s="372" t="s">
        <v>8381</v>
      </c>
      <c r="K900" s="349">
        <v>1.0900000000000001</v>
      </c>
      <c r="L900" s="349">
        <v>0</v>
      </c>
      <c r="M900" s="349">
        <v>0</v>
      </c>
      <c r="N900" s="349">
        <v>1</v>
      </c>
      <c r="O900" s="349">
        <f t="shared" si="6"/>
        <v>1.0900000000000001</v>
      </c>
      <c r="P900" s="373">
        <f t="shared" si="7"/>
        <v>1.0900000000000001</v>
      </c>
    </row>
    <row r="901" spans="1:16">
      <c r="A901" s="348">
        <v>1057</v>
      </c>
      <c r="B901" s="349">
        <v>3986</v>
      </c>
      <c r="C901" s="372" t="s">
        <v>6802</v>
      </c>
      <c r="D901" s="372" t="s">
        <v>45</v>
      </c>
      <c r="E901" s="372" t="s">
        <v>9</v>
      </c>
      <c r="F901" s="350">
        <v>45629.918055555558</v>
      </c>
      <c r="G901" s="372">
        <v>12</v>
      </c>
      <c r="H901" s="372" t="s">
        <v>2557</v>
      </c>
      <c r="I901" s="349">
        <v>34699</v>
      </c>
      <c r="J901" s="372" t="s">
        <v>7237</v>
      </c>
      <c r="K901" s="349">
        <v>16.79</v>
      </c>
      <c r="L901" s="349">
        <v>1.08</v>
      </c>
      <c r="M901" s="349">
        <v>0</v>
      </c>
      <c r="N901" s="349">
        <v>1</v>
      </c>
      <c r="O901" s="349">
        <f t="shared" si="6"/>
        <v>15.709999999999999</v>
      </c>
      <c r="P901" s="373">
        <f t="shared" si="7"/>
        <v>15.709999999999999</v>
      </c>
    </row>
    <row r="902" spans="1:16">
      <c r="A902" s="348">
        <v>1058</v>
      </c>
      <c r="B902" s="349">
        <v>3978</v>
      </c>
      <c r="C902" s="372" t="s">
        <v>8382</v>
      </c>
      <c r="D902" s="372" t="s">
        <v>45</v>
      </c>
      <c r="E902" s="372" t="s">
        <v>2556</v>
      </c>
      <c r="F902" s="350">
        <v>45629.919444444444</v>
      </c>
      <c r="G902" s="372">
        <v>12</v>
      </c>
      <c r="H902" s="372" t="s">
        <v>2557</v>
      </c>
      <c r="I902" s="349">
        <v>34735</v>
      </c>
      <c r="J902" s="372" t="s">
        <v>8383</v>
      </c>
      <c r="K902" s="349">
        <v>20.99</v>
      </c>
      <c r="L902" s="349">
        <v>0</v>
      </c>
      <c r="M902" s="349">
        <v>0</v>
      </c>
      <c r="N902" s="349">
        <v>1</v>
      </c>
      <c r="O902" s="349">
        <f t="shared" si="6"/>
        <v>20.99</v>
      </c>
      <c r="P902" s="373">
        <f t="shared" si="7"/>
        <v>20.99</v>
      </c>
    </row>
    <row r="903" spans="1:16">
      <c r="A903" s="348">
        <v>1059</v>
      </c>
      <c r="B903" s="349">
        <v>3983</v>
      </c>
      <c r="C903" s="372" t="s">
        <v>8384</v>
      </c>
      <c r="D903" s="372" t="s">
        <v>2582</v>
      </c>
      <c r="E903" s="372" t="s">
        <v>2556</v>
      </c>
      <c r="F903" s="350">
        <v>45629.919444444444</v>
      </c>
      <c r="G903" s="372">
        <v>12</v>
      </c>
      <c r="H903" s="372" t="s">
        <v>2557</v>
      </c>
      <c r="I903" s="349">
        <v>34723</v>
      </c>
      <c r="J903" s="372" t="s">
        <v>8385</v>
      </c>
      <c r="K903" s="349">
        <v>122.19</v>
      </c>
      <c r="L903" s="349">
        <v>0</v>
      </c>
      <c r="M903" s="349">
        <v>0</v>
      </c>
      <c r="N903" s="349">
        <v>7.2733400000000001</v>
      </c>
      <c r="O903" s="349">
        <f t="shared" si="6"/>
        <v>122.19</v>
      </c>
      <c r="P903" s="373">
        <f t="shared" si="7"/>
        <v>16.799709624464139</v>
      </c>
    </row>
    <row r="904" spans="1:16">
      <c r="A904" s="348">
        <v>1060</v>
      </c>
      <c r="B904" s="349">
        <v>3985</v>
      </c>
      <c r="C904" s="372" t="s">
        <v>8386</v>
      </c>
      <c r="D904" s="372" t="s">
        <v>45</v>
      </c>
      <c r="E904" s="372" t="s">
        <v>9</v>
      </c>
      <c r="F904" s="350">
        <v>45629.920138888891</v>
      </c>
      <c r="G904" s="372">
        <v>12</v>
      </c>
      <c r="H904" s="372" t="s">
        <v>2557</v>
      </c>
      <c r="I904" s="349">
        <v>34747</v>
      </c>
      <c r="J904" s="372" t="s">
        <v>7239</v>
      </c>
      <c r="K904" s="349">
        <v>20.99</v>
      </c>
      <c r="L904" s="349">
        <v>1.22</v>
      </c>
      <c r="M904" s="349">
        <v>0</v>
      </c>
      <c r="N904" s="349">
        <v>1</v>
      </c>
      <c r="O904" s="349">
        <f t="shared" si="6"/>
        <v>19.77</v>
      </c>
      <c r="P904" s="373">
        <f t="shared" si="7"/>
        <v>19.77</v>
      </c>
    </row>
    <row r="905" spans="1:16">
      <c r="A905" s="348">
        <v>1061</v>
      </c>
      <c r="B905" s="349">
        <v>3970</v>
      </c>
      <c r="C905" s="372" t="s">
        <v>8387</v>
      </c>
      <c r="D905" s="372" t="s">
        <v>2582</v>
      </c>
      <c r="E905" s="372" t="s">
        <v>2572</v>
      </c>
      <c r="F905" s="350">
        <v>45629.920138888891</v>
      </c>
      <c r="G905" s="372">
        <v>12</v>
      </c>
      <c r="H905" s="372" t="s">
        <v>2557</v>
      </c>
      <c r="I905" s="349">
        <v>34711</v>
      </c>
      <c r="J905" s="372" t="s">
        <v>8388</v>
      </c>
      <c r="K905" s="349">
        <v>122.16</v>
      </c>
      <c r="L905" s="349">
        <v>0</v>
      </c>
      <c r="M905" s="349">
        <v>0</v>
      </c>
      <c r="N905" s="349">
        <v>7.2733400000000001</v>
      </c>
      <c r="O905" s="349">
        <f t="shared" si="6"/>
        <v>122.16</v>
      </c>
      <c r="P905" s="373">
        <f t="shared" si="7"/>
        <v>16.795584971966111</v>
      </c>
    </row>
    <row r="906" spans="1:16">
      <c r="A906" s="348">
        <v>1062</v>
      </c>
      <c r="B906" s="349">
        <v>3989</v>
      </c>
      <c r="C906" s="372" t="s">
        <v>6511</v>
      </c>
      <c r="D906" s="372" t="s">
        <v>45</v>
      </c>
      <c r="E906" s="372" t="s">
        <v>2556</v>
      </c>
      <c r="F906" s="350">
        <v>45629.991666666669</v>
      </c>
      <c r="G906" s="372">
        <v>12</v>
      </c>
      <c r="H906" s="372" t="s">
        <v>2557</v>
      </c>
      <c r="I906" s="349">
        <v>34759</v>
      </c>
      <c r="J906" s="372" t="s">
        <v>8389</v>
      </c>
      <c r="K906" s="349">
        <v>17.989999999999998</v>
      </c>
      <c r="L906" s="349">
        <v>0</v>
      </c>
      <c r="M906" s="349">
        <v>0</v>
      </c>
      <c r="N906" s="349">
        <v>1</v>
      </c>
      <c r="O906" s="349">
        <f t="shared" si="6"/>
        <v>17.989999999999998</v>
      </c>
      <c r="P906" s="373">
        <f t="shared" si="7"/>
        <v>17.989999999999998</v>
      </c>
    </row>
    <row r="907" spans="1:16">
      <c r="A907" s="348">
        <v>1065</v>
      </c>
      <c r="B907" s="349">
        <v>163</v>
      </c>
      <c r="C907" s="372" t="s">
        <v>8368</v>
      </c>
      <c r="D907" s="372" t="s">
        <v>45</v>
      </c>
      <c r="E907" s="372" t="s">
        <v>2556</v>
      </c>
      <c r="F907" s="350">
        <v>45630</v>
      </c>
      <c r="G907" s="372">
        <v>12</v>
      </c>
      <c r="H907" s="372" t="s">
        <v>2557</v>
      </c>
      <c r="I907" s="349">
        <v>34483</v>
      </c>
      <c r="J907" s="372"/>
      <c r="K907" s="349">
        <v>0</v>
      </c>
      <c r="L907" s="349">
        <v>0</v>
      </c>
      <c r="M907" s="349">
        <v>0</v>
      </c>
      <c r="N907" s="349">
        <v>1</v>
      </c>
      <c r="O907" s="349">
        <f t="shared" si="6"/>
        <v>0</v>
      </c>
      <c r="P907" s="373">
        <f t="shared" si="7"/>
        <v>0</v>
      </c>
    </row>
    <row r="908" spans="1:16">
      <c r="A908" s="348">
        <v>1063</v>
      </c>
      <c r="B908" s="349">
        <v>2686</v>
      </c>
      <c r="C908" s="372" t="s">
        <v>8152</v>
      </c>
      <c r="D908" s="372" t="s">
        <v>45</v>
      </c>
      <c r="E908" s="372" t="s">
        <v>2556</v>
      </c>
      <c r="F908" s="350">
        <v>45630.017361111109</v>
      </c>
      <c r="G908" s="372">
        <v>12</v>
      </c>
      <c r="H908" s="372" t="s">
        <v>2557</v>
      </c>
      <c r="I908" s="349">
        <v>34075</v>
      </c>
      <c r="J908" s="372" t="s">
        <v>8390</v>
      </c>
      <c r="K908" s="349">
        <v>3.99</v>
      </c>
      <c r="L908" s="349">
        <v>0</v>
      </c>
      <c r="M908" s="349">
        <v>0</v>
      </c>
      <c r="N908" s="349">
        <v>1</v>
      </c>
      <c r="O908" s="349">
        <f t="shared" si="6"/>
        <v>3.99</v>
      </c>
      <c r="P908" s="373">
        <f t="shared" si="7"/>
        <v>3.99</v>
      </c>
    </row>
    <row r="909" spans="1:16">
      <c r="A909" s="348">
        <v>1064</v>
      </c>
      <c r="B909" s="349">
        <v>3935</v>
      </c>
      <c r="C909" s="372" t="s">
        <v>2981</v>
      </c>
      <c r="D909" s="372" t="s">
        <v>45</v>
      </c>
      <c r="E909" s="372" t="s">
        <v>2556</v>
      </c>
      <c r="F909" s="350">
        <v>45630.396527777775</v>
      </c>
      <c r="G909" s="372">
        <v>12</v>
      </c>
      <c r="H909" s="372" t="s">
        <v>2557</v>
      </c>
      <c r="I909" s="349">
        <v>34819</v>
      </c>
      <c r="J909" s="372" t="s">
        <v>8391</v>
      </c>
      <c r="K909" s="349">
        <v>35.99</v>
      </c>
      <c r="L909" s="349">
        <v>0</v>
      </c>
      <c r="M909" s="349">
        <v>0</v>
      </c>
      <c r="N909" s="349">
        <v>1</v>
      </c>
      <c r="O909" s="349">
        <f t="shared" si="6"/>
        <v>35.99</v>
      </c>
      <c r="P909" s="373">
        <f t="shared" si="7"/>
        <v>35.99</v>
      </c>
    </row>
    <row r="910" spans="1:16">
      <c r="A910" s="348">
        <v>1066</v>
      </c>
      <c r="B910" s="349">
        <v>1836</v>
      </c>
      <c r="C910" s="372" t="s">
        <v>2598</v>
      </c>
      <c r="D910" s="372" t="s">
        <v>2582</v>
      </c>
      <c r="E910" s="372" t="s">
        <v>2556</v>
      </c>
      <c r="F910" s="350">
        <v>45630.645138888889</v>
      </c>
      <c r="G910" s="372">
        <v>12</v>
      </c>
      <c r="H910" s="372" t="s">
        <v>2557</v>
      </c>
      <c r="I910" s="349">
        <v>32755</v>
      </c>
      <c r="J910" s="372" t="s">
        <v>8392</v>
      </c>
      <c r="K910" s="349">
        <v>85.97</v>
      </c>
      <c r="L910" s="349">
        <v>0</v>
      </c>
      <c r="M910" s="349">
        <v>0</v>
      </c>
      <c r="N910" s="349">
        <v>7.2858599999999996</v>
      </c>
      <c r="O910" s="349">
        <f t="shared" si="6"/>
        <v>85.97</v>
      </c>
      <c r="P910" s="373">
        <f t="shared" si="7"/>
        <v>11.799567930210024</v>
      </c>
    </row>
    <row r="911" spans="1:16">
      <c r="A911" s="348">
        <v>1067</v>
      </c>
      <c r="B911" s="349">
        <v>4035</v>
      </c>
      <c r="C911" s="372" t="s">
        <v>8393</v>
      </c>
      <c r="D911" s="372" t="s">
        <v>45</v>
      </c>
      <c r="E911" s="372" t="s">
        <v>2556</v>
      </c>
      <c r="F911" s="350">
        <v>45630.757638888892</v>
      </c>
      <c r="G911" s="372">
        <v>12</v>
      </c>
      <c r="H911" s="372" t="s">
        <v>2557</v>
      </c>
      <c r="I911" s="349">
        <v>34855</v>
      </c>
      <c r="J911" s="372" t="s">
        <v>8394</v>
      </c>
      <c r="K911" s="349">
        <v>23.99</v>
      </c>
      <c r="L911" s="349">
        <v>0</v>
      </c>
      <c r="M911" s="349">
        <v>0</v>
      </c>
      <c r="N911" s="349">
        <v>1</v>
      </c>
      <c r="O911" s="349">
        <f t="shared" si="6"/>
        <v>23.99</v>
      </c>
      <c r="P911" s="373">
        <f t="shared" si="7"/>
        <v>23.99</v>
      </c>
    </row>
    <row r="912" spans="1:16">
      <c r="A912" s="348">
        <v>1068</v>
      </c>
      <c r="B912" s="349">
        <v>3974</v>
      </c>
      <c r="C912" s="372" t="s">
        <v>2844</v>
      </c>
      <c r="D912" s="372" t="s">
        <v>45</v>
      </c>
      <c r="E912" s="372" t="s">
        <v>2556</v>
      </c>
      <c r="F912" s="350">
        <v>45630.802083333336</v>
      </c>
      <c r="G912" s="372">
        <v>12</v>
      </c>
      <c r="H912" s="372" t="s">
        <v>2557</v>
      </c>
      <c r="I912" s="349">
        <v>34867</v>
      </c>
      <c r="J912" s="372" t="s">
        <v>8395</v>
      </c>
      <c r="K912" s="349">
        <v>1.99</v>
      </c>
      <c r="L912" s="349">
        <v>0</v>
      </c>
      <c r="M912" s="349">
        <v>0</v>
      </c>
      <c r="N912" s="349">
        <v>1</v>
      </c>
      <c r="O912" s="349">
        <f t="shared" si="6"/>
        <v>1.99</v>
      </c>
      <c r="P912" s="373">
        <f t="shared" si="7"/>
        <v>1.99</v>
      </c>
    </row>
    <row r="913" spans="1:16">
      <c r="A913" s="348">
        <v>1069</v>
      </c>
      <c r="B913" s="349">
        <v>4042</v>
      </c>
      <c r="C913" s="372" t="s">
        <v>6538</v>
      </c>
      <c r="D913" s="372" t="s">
        <v>2582</v>
      </c>
      <c r="E913" s="372" t="s">
        <v>9</v>
      </c>
      <c r="F913" s="350">
        <v>45630.925694444442</v>
      </c>
      <c r="G913" s="372">
        <v>12</v>
      </c>
      <c r="H913" s="372" t="s">
        <v>2557</v>
      </c>
      <c r="I913" s="349">
        <v>34891</v>
      </c>
      <c r="J913" s="372" t="s">
        <v>7240</v>
      </c>
      <c r="K913" s="349">
        <v>122.37</v>
      </c>
      <c r="L913" s="349">
        <v>9.69</v>
      </c>
      <c r="M913" s="349">
        <v>0</v>
      </c>
      <c r="N913" s="349">
        <v>7.2858599999999996</v>
      </c>
      <c r="O913" s="349">
        <f t="shared" si="6"/>
        <v>112.68</v>
      </c>
      <c r="P913" s="373">
        <f t="shared" si="7"/>
        <v>15.465573041480349</v>
      </c>
    </row>
    <row r="914" spans="1:16">
      <c r="A914" s="348">
        <v>1070</v>
      </c>
      <c r="B914" s="349">
        <v>4046</v>
      </c>
      <c r="C914" s="372" t="s">
        <v>8396</v>
      </c>
      <c r="D914" s="372" t="s">
        <v>45</v>
      </c>
      <c r="E914" s="372" t="s">
        <v>9</v>
      </c>
      <c r="F914" s="350">
        <v>45631</v>
      </c>
      <c r="G914" s="372">
        <v>12</v>
      </c>
      <c r="H914" s="372" t="s">
        <v>2557</v>
      </c>
      <c r="I914" s="349">
        <v>34903</v>
      </c>
      <c r="J914" s="372"/>
      <c r="K914" s="349">
        <v>0</v>
      </c>
      <c r="L914" s="349">
        <v>0</v>
      </c>
      <c r="M914" s="349">
        <v>0</v>
      </c>
      <c r="N914" s="349">
        <v>1</v>
      </c>
      <c r="O914" s="349">
        <f t="shared" si="6"/>
        <v>0</v>
      </c>
      <c r="P914" s="373">
        <f t="shared" si="7"/>
        <v>0</v>
      </c>
    </row>
    <row r="915" spans="1:16">
      <c r="A915" s="348">
        <v>1077</v>
      </c>
      <c r="B915" s="349">
        <v>735</v>
      </c>
      <c r="C915" s="372" t="s">
        <v>8397</v>
      </c>
      <c r="D915" s="372" t="s">
        <v>2582</v>
      </c>
      <c r="E915" s="372" t="s">
        <v>2556</v>
      </c>
      <c r="F915" s="350">
        <v>45631</v>
      </c>
      <c r="G915" s="372">
        <v>12</v>
      </c>
      <c r="H915" s="372" t="s">
        <v>2557</v>
      </c>
      <c r="I915" s="349">
        <v>35047</v>
      </c>
      <c r="J915" s="372"/>
      <c r="K915" s="349">
        <v>0</v>
      </c>
      <c r="L915" s="349">
        <v>0</v>
      </c>
      <c r="M915" s="349">
        <v>0</v>
      </c>
      <c r="N915" s="349">
        <v>7.2707800000000002</v>
      </c>
      <c r="O915" s="349">
        <f t="shared" si="6"/>
        <v>0</v>
      </c>
      <c r="P915" s="373">
        <f t="shared" si="7"/>
        <v>0</v>
      </c>
    </row>
    <row r="916" spans="1:16">
      <c r="A916" s="348">
        <v>1071</v>
      </c>
      <c r="B916" s="349">
        <v>4056</v>
      </c>
      <c r="C916" s="372" t="s">
        <v>6688</v>
      </c>
      <c r="D916" s="372" t="s">
        <v>45</v>
      </c>
      <c r="E916" s="372" t="s">
        <v>2556</v>
      </c>
      <c r="F916" s="350">
        <v>45631.075694444444</v>
      </c>
      <c r="G916" s="372">
        <v>12</v>
      </c>
      <c r="H916" s="372" t="s">
        <v>2557</v>
      </c>
      <c r="I916" s="349">
        <v>34915</v>
      </c>
      <c r="J916" s="372" t="s">
        <v>8398</v>
      </c>
      <c r="K916" s="349">
        <v>7.99</v>
      </c>
      <c r="L916" s="349">
        <v>0</v>
      </c>
      <c r="M916" s="349">
        <v>0</v>
      </c>
      <c r="N916" s="349">
        <v>1</v>
      </c>
      <c r="O916" s="349">
        <f t="shared" si="6"/>
        <v>7.99</v>
      </c>
      <c r="P916" s="373">
        <f t="shared" si="7"/>
        <v>7.99</v>
      </c>
    </row>
    <row r="917" spans="1:16">
      <c r="A917" s="348">
        <v>1072</v>
      </c>
      <c r="B917" s="349">
        <v>4079</v>
      </c>
      <c r="C917" s="372" t="s">
        <v>3463</v>
      </c>
      <c r="D917" s="372" t="s">
        <v>45</v>
      </c>
      <c r="E917" s="372" t="s">
        <v>2556</v>
      </c>
      <c r="F917" s="350">
        <v>45631.386805555558</v>
      </c>
      <c r="G917" s="372">
        <v>12</v>
      </c>
      <c r="H917" s="372" t="s">
        <v>2557</v>
      </c>
      <c r="I917" s="349">
        <v>34999</v>
      </c>
      <c r="J917" s="372" t="s">
        <v>8399</v>
      </c>
      <c r="K917" s="349">
        <v>16.79</v>
      </c>
      <c r="L917" s="349">
        <v>0</v>
      </c>
      <c r="M917" s="349">
        <v>0</v>
      </c>
      <c r="N917" s="349">
        <v>1</v>
      </c>
      <c r="O917" s="349">
        <f t="shared" si="6"/>
        <v>16.79</v>
      </c>
      <c r="P917" s="373">
        <f t="shared" si="7"/>
        <v>16.79</v>
      </c>
    </row>
    <row r="918" spans="1:16">
      <c r="A918" s="348">
        <v>1073</v>
      </c>
      <c r="B918" s="349">
        <v>3851</v>
      </c>
      <c r="C918" s="372" t="s">
        <v>8363</v>
      </c>
      <c r="D918" s="372" t="s">
        <v>2582</v>
      </c>
      <c r="E918" s="372" t="s">
        <v>2556</v>
      </c>
      <c r="F918" s="350">
        <v>45631.393055555556</v>
      </c>
      <c r="G918" s="372">
        <v>12</v>
      </c>
      <c r="H918" s="372" t="s">
        <v>2557</v>
      </c>
      <c r="I918" s="349">
        <v>35011</v>
      </c>
      <c r="J918" s="372" t="s">
        <v>8400</v>
      </c>
      <c r="K918" s="349">
        <v>36.28</v>
      </c>
      <c r="L918" s="349">
        <v>0</v>
      </c>
      <c r="M918" s="349">
        <v>0</v>
      </c>
      <c r="N918" s="349">
        <v>7.2707800000000002</v>
      </c>
      <c r="O918" s="349">
        <f t="shared" si="6"/>
        <v>36.28</v>
      </c>
      <c r="P918" s="373">
        <f t="shared" si="7"/>
        <v>4.989836028596657</v>
      </c>
    </row>
    <row r="919" spans="1:16">
      <c r="A919" s="348">
        <v>1074</v>
      </c>
      <c r="B919" s="349">
        <v>3998</v>
      </c>
      <c r="C919" s="372" t="s">
        <v>8401</v>
      </c>
      <c r="D919" s="372" t="s">
        <v>45</v>
      </c>
      <c r="E919" s="372" t="s">
        <v>2556</v>
      </c>
      <c r="F919" s="350">
        <v>45631.472916666666</v>
      </c>
      <c r="G919" s="372">
        <v>12</v>
      </c>
      <c r="H919" s="372" t="s">
        <v>2557</v>
      </c>
      <c r="I919" s="349">
        <v>35023</v>
      </c>
      <c r="J919" s="372" t="s">
        <v>8402</v>
      </c>
      <c r="K919" s="349">
        <v>17.989999999999998</v>
      </c>
      <c r="L919" s="349">
        <v>0</v>
      </c>
      <c r="M919" s="349">
        <v>0</v>
      </c>
      <c r="N919" s="349">
        <v>1</v>
      </c>
      <c r="O919" s="349">
        <f t="shared" si="6"/>
        <v>17.989999999999998</v>
      </c>
      <c r="P919" s="373">
        <f t="shared" si="7"/>
        <v>17.989999999999998</v>
      </c>
    </row>
    <row r="920" spans="1:16">
      <c r="A920" s="348">
        <v>1075</v>
      </c>
      <c r="B920" s="349">
        <v>4091</v>
      </c>
      <c r="C920" s="372" t="s">
        <v>8403</v>
      </c>
      <c r="D920" s="372" t="s">
        <v>45</v>
      </c>
      <c r="E920" s="372" t="s">
        <v>2556</v>
      </c>
      <c r="F920" s="350">
        <v>45631.54583333333</v>
      </c>
      <c r="G920" s="372">
        <v>12</v>
      </c>
      <c r="H920" s="372" t="s">
        <v>2557</v>
      </c>
      <c r="I920" s="349">
        <v>35035</v>
      </c>
      <c r="J920" s="372" t="s">
        <v>8404</v>
      </c>
      <c r="K920" s="349">
        <v>16.79</v>
      </c>
      <c r="L920" s="349">
        <v>0</v>
      </c>
      <c r="M920" s="349">
        <v>0</v>
      </c>
      <c r="N920" s="349">
        <v>1</v>
      </c>
      <c r="O920" s="349">
        <f t="shared" si="6"/>
        <v>16.79</v>
      </c>
      <c r="P920" s="373">
        <f t="shared" si="7"/>
        <v>16.79</v>
      </c>
    </row>
    <row r="921" spans="1:16">
      <c r="A921" s="348">
        <v>1076</v>
      </c>
      <c r="B921" s="349">
        <v>4096</v>
      </c>
      <c r="C921" s="372" t="s">
        <v>2602</v>
      </c>
      <c r="D921" s="372" t="s">
        <v>45</v>
      </c>
      <c r="E921" s="372" t="s">
        <v>9</v>
      </c>
      <c r="F921" s="350">
        <v>45631.597222222219</v>
      </c>
      <c r="G921" s="372">
        <v>12</v>
      </c>
      <c r="H921" s="372" t="s">
        <v>2557</v>
      </c>
      <c r="I921" s="349">
        <v>35059</v>
      </c>
      <c r="J921" s="372" t="s">
        <v>7241</v>
      </c>
      <c r="K921" s="349">
        <v>11.99</v>
      </c>
      <c r="L921" s="349">
        <v>0.91</v>
      </c>
      <c r="M921" s="349">
        <v>0</v>
      </c>
      <c r="N921" s="349">
        <v>1</v>
      </c>
      <c r="O921" s="349">
        <f t="shared" si="6"/>
        <v>11.08</v>
      </c>
      <c r="P921" s="373">
        <f t="shared" si="7"/>
        <v>11.08</v>
      </c>
    </row>
    <row r="922" spans="1:16">
      <c r="A922" s="348">
        <v>1078</v>
      </c>
      <c r="B922" s="349">
        <v>4099</v>
      </c>
      <c r="C922" s="372" t="s">
        <v>8405</v>
      </c>
      <c r="D922" s="372" t="s">
        <v>2582</v>
      </c>
      <c r="E922" s="372" t="s">
        <v>2556</v>
      </c>
      <c r="F922" s="350">
        <v>45631.647222222222</v>
      </c>
      <c r="G922" s="372">
        <v>12</v>
      </c>
      <c r="H922" s="372" t="s">
        <v>2557</v>
      </c>
      <c r="I922" s="349">
        <v>35083</v>
      </c>
      <c r="J922" s="372" t="s">
        <v>8406</v>
      </c>
      <c r="K922" s="349">
        <v>174.43</v>
      </c>
      <c r="L922" s="349">
        <v>0</v>
      </c>
      <c r="M922" s="349">
        <v>0</v>
      </c>
      <c r="N922" s="349">
        <v>7.2707800000000002</v>
      </c>
      <c r="O922" s="349">
        <f t="shared" si="6"/>
        <v>174.43</v>
      </c>
      <c r="P922" s="373">
        <f t="shared" si="7"/>
        <v>23.990548469352671</v>
      </c>
    </row>
    <row r="923" spans="1:16">
      <c r="A923" s="348">
        <v>1079</v>
      </c>
      <c r="B923" s="349">
        <v>4100</v>
      </c>
      <c r="C923" s="372" t="s">
        <v>6520</v>
      </c>
      <c r="D923" s="372" t="s">
        <v>45</v>
      </c>
      <c r="E923" s="372" t="s">
        <v>9</v>
      </c>
      <c r="F923" s="350">
        <v>45631.652777777781</v>
      </c>
      <c r="G923" s="372">
        <v>12</v>
      </c>
      <c r="H923" s="372" t="s">
        <v>2557</v>
      </c>
      <c r="I923" s="349">
        <v>35095</v>
      </c>
      <c r="J923" s="372" t="s">
        <v>7242</v>
      </c>
      <c r="K923" s="349">
        <v>23.99</v>
      </c>
      <c r="L923" s="349">
        <v>1.33</v>
      </c>
      <c r="M923" s="349">
        <v>0</v>
      </c>
      <c r="N923" s="349">
        <v>1</v>
      </c>
      <c r="O923" s="349">
        <f t="shared" si="6"/>
        <v>22.659999999999997</v>
      </c>
      <c r="P923" s="373">
        <f t="shared" si="7"/>
        <v>22.659999999999997</v>
      </c>
    </row>
    <row r="924" spans="1:16">
      <c r="A924" s="348">
        <v>1080</v>
      </c>
      <c r="B924" s="349">
        <v>4099</v>
      </c>
      <c r="C924" s="372" t="s">
        <v>8405</v>
      </c>
      <c r="D924" s="372" t="s">
        <v>2582</v>
      </c>
      <c r="E924" s="372" t="s">
        <v>2556</v>
      </c>
      <c r="F924" s="350">
        <v>45631.662499999999</v>
      </c>
      <c r="G924" s="372">
        <v>12</v>
      </c>
      <c r="H924" s="372" t="s">
        <v>2557</v>
      </c>
      <c r="I924" s="349">
        <v>35083</v>
      </c>
      <c r="J924" s="372"/>
      <c r="K924" s="349">
        <v>0.03</v>
      </c>
      <c r="L924" s="349">
        <v>0</v>
      </c>
      <c r="M924" s="349">
        <v>0</v>
      </c>
      <c r="N924" s="349">
        <v>7.2707800000000002</v>
      </c>
      <c r="O924" s="349">
        <f t="shared" si="6"/>
        <v>0.03</v>
      </c>
      <c r="P924" s="373">
        <f t="shared" si="7"/>
        <v>4.1261047645507086E-3</v>
      </c>
    </row>
    <row r="925" spans="1:16">
      <c r="A925" s="348">
        <v>1081</v>
      </c>
      <c r="B925" s="349">
        <v>3499</v>
      </c>
      <c r="C925" s="372" t="s">
        <v>2641</v>
      </c>
      <c r="D925" s="372" t="s">
        <v>45</v>
      </c>
      <c r="E925" s="372" t="s">
        <v>2556</v>
      </c>
      <c r="F925" s="350">
        <v>45631.670138888891</v>
      </c>
      <c r="G925" s="372">
        <v>12</v>
      </c>
      <c r="H925" s="372" t="s">
        <v>2557</v>
      </c>
      <c r="I925" s="349">
        <v>35107</v>
      </c>
      <c r="J925" s="372" t="s">
        <v>8407</v>
      </c>
      <c r="K925" s="349">
        <v>1.0900000000000001</v>
      </c>
      <c r="L925" s="349">
        <v>0</v>
      </c>
      <c r="M925" s="349">
        <v>0</v>
      </c>
      <c r="N925" s="349">
        <v>1</v>
      </c>
      <c r="O925" s="349">
        <f t="shared" si="6"/>
        <v>1.0900000000000001</v>
      </c>
      <c r="P925" s="373">
        <f t="shared" si="7"/>
        <v>1.0900000000000001</v>
      </c>
    </row>
    <row r="926" spans="1:16">
      <c r="A926" s="348">
        <v>1082</v>
      </c>
      <c r="B926" s="349">
        <v>4056</v>
      </c>
      <c r="C926" s="372" t="s">
        <v>6688</v>
      </c>
      <c r="D926" s="372" t="s">
        <v>45</v>
      </c>
      <c r="E926" s="372" t="s">
        <v>2556</v>
      </c>
      <c r="F926" s="350">
        <v>45631.71875</v>
      </c>
      <c r="G926" s="372">
        <v>12</v>
      </c>
      <c r="H926" s="372" t="s">
        <v>2557</v>
      </c>
      <c r="I926" s="349">
        <v>35119</v>
      </c>
      <c r="J926" s="372" t="s">
        <v>8408</v>
      </c>
      <c r="K926" s="349">
        <v>4</v>
      </c>
      <c r="L926" s="349">
        <v>0</v>
      </c>
      <c r="M926" s="349">
        <v>0</v>
      </c>
      <c r="N926" s="349">
        <v>1</v>
      </c>
      <c r="O926" s="349">
        <f t="shared" si="6"/>
        <v>4</v>
      </c>
      <c r="P926" s="373">
        <f t="shared" si="7"/>
        <v>4</v>
      </c>
    </row>
    <row r="927" spans="1:16">
      <c r="A927" s="348">
        <v>1083</v>
      </c>
      <c r="B927" s="349">
        <v>61</v>
      </c>
      <c r="C927" s="372" t="s">
        <v>7412</v>
      </c>
      <c r="D927" s="372" t="s">
        <v>45</v>
      </c>
      <c r="E927" s="372" t="s">
        <v>2556</v>
      </c>
      <c r="F927" s="350">
        <v>45631.750694444447</v>
      </c>
      <c r="G927" s="372">
        <v>12</v>
      </c>
      <c r="H927" s="372" t="s">
        <v>2557</v>
      </c>
      <c r="I927" s="349">
        <v>35131</v>
      </c>
      <c r="J927" s="372" t="s">
        <v>8409</v>
      </c>
      <c r="K927" s="349">
        <v>1</v>
      </c>
      <c r="L927" s="349">
        <v>0</v>
      </c>
      <c r="M927" s="349">
        <v>0</v>
      </c>
      <c r="N927" s="349">
        <v>1</v>
      </c>
      <c r="O927" s="349">
        <f t="shared" si="6"/>
        <v>1</v>
      </c>
      <c r="P927" s="373">
        <f t="shared" si="7"/>
        <v>1</v>
      </c>
    </row>
    <row r="928" spans="1:16">
      <c r="A928" s="348">
        <v>1084</v>
      </c>
      <c r="B928" s="349">
        <v>396</v>
      </c>
      <c r="C928" s="372" t="s">
        <v>2674</v>
      </c>
      <c r="D928" s="372" t="s">
        <v>45</v>
      </c>
      <c r="E928" s="372" t="s">
        <v>9</v>
      </c>
      <c r="F928" s="350">
        <v>45631.849305555559</v>
      </c>
      <c r="G928" s="372">
        <v>12</v>
      </c>
      <c r="H928" s="372" t="s">
        <v>2557</v>
      </c>
      <c r="I928" s="349">
        <v>34975</v>
      </c>
      <c r="J928" s="372" t="s">
        <v>7243</v>
      </c>
      <c r="K928" s="349">
        <v>1.0900000000000001</v>
      </c>
      <c r="L928" s="349">
        <v>0.54</v>
      </c>
      <c r="M928" s="349">
        <v>0</v>
      </c>
      <c r="N928" s="349">
        <v>1</v>
      </c>
      <c r="O928" s="349">
        <f t="shared" si="6"/>
        <v>0.55000000000000004</v>
      </c>
      <c r="P928" s="373">
        <f t="shared" si="7"/>
        <v>0.55000000000000004</v>
      </c>
    </row>
    <row r="929" spans="1:16">
      <c r="A929" s="348">
        <v>1085</v>
      </c>
      <c r="B929" s="349">
        <v>4115</v>
      </c>
      <c r="C929" s="372" t="s">
        <v>8410</v>
      </c>
      <c r="D929" s="372" t="s">
        <v>45</v>
      </c>
      <c r="E929" s="372" t="s">
        <v>9</v>
      </c>
      <c r="F929" s="350">
        <v>45631.865277777775</v>
      </c>
      <c r="G929" s="372">
        <v>12</v>
      </c>
      <c r="H929" s="372" t="s">
        <v>2557</v>
      </c>
      <c r="I929" s="349">
        <v>35143</v>
      </c>
      <c r="J929" s="372" t="s">
        <v>7245</v>
      </c>
      <c r="K929" s="349">
        <v>23.99</v>
      </c>
      <c r="L929" s="349">
        <v>1.69</v>
      </c>
      <c r="M929" s="349">
        <v>0</v>
      </c>
      <c r="N929" s="349">
        <v>1</v>
      </c>
      <c r="O929" s="349">
        <f t="shared" si="6"/>
        <v>22.299999999999997</v>
      </c>
      <c r="P929" s="373">
        <f t="shared" si="7"/>
        <v>22.299999999999997</v>
      </c>
    </row>
    <row r="930" spans="1:16">
      <c r="A930" s="348">
        <v>1086</v>
      </c>
      <c r="B930" s="349">
        <v>3987</v>
      </c>
      <c r="C930" s="372" t="s">
        <v>8411</v>
      </c>
      <c r="D930" s="372" t="s">
        <v>2582</v>
      </c>
      <c r="E930" s="372" t="s">
        <v>2556</v>
      </c>
      <c r="F930" s="350">
        <v>45631.915972222225</v>
      </c>
      <c r="G930" s="372">
        <v>12</v>
      </c>
      <c r="H930" s="372" t="s">
        <v>2557</v>
      </c>
      <c r="I930" s="349">
        <v>35179</v>
      </c>
      <c r="J930" s="372" t="s">
        <v>8412</v>
      </c>
      <c r="K930" s="349">
        <v>87.18</v>
      </c>
      <c r="L930" s="349">
        <v>0</v>
      </c>
      <c r="M930" s="349">
        <v>0</v>
      </c>
      <c r="N930" s="349">
        <v>7.2707800000000002</v>
      </c>
      <c r="O930" s="349">
        <f t="shared" si="6"/>
        <v>87.18</v>
      </c>
      <c r="P930" s="373">
        <f t="shared" si="7"/>
        <v>11.990460445784359</v>
      </c>
    </row>
    <row r="931" spans="1:16">
      <c r="A931" s="348">
        <v>1087</v>
      </c>
      <c r="B931" s="349">
        <v>3987</v>
      </c>
      <c r="C931" s="372" t="s">
        <v>8411</v>
      </c>
      <c r="D931" s="372" t="s">
        <v>2582</v>
      </c>
      <c r="E931" s="372" t="s">
        <v>2556</v>
      </c>
      <c r="F931" s="350">
        <v>45631.921527777777</v>
      </c>
      <c r="G931" s="372">
        <v>12</v>
      </c>
      <c r="H931" s="372" t="s">
        <v>2557</v>
      </c>
      <c r="I931" s="349">
        <v>35179</v>
      </c>
      <c r="J931" s="372"/>
      <c r="K931" s="349">
        <v>0.03</v>
      </c>
      <c r="L931" s="349">
        <v>0</v>
      </c>
      <c r="M931" s="349">
        <v>0</v>
      </c>
      <c r="N931" s="349">
        <v>7.2707800000000002</v>
      </c>
      <c r="O931" s="349">
        <f t="shared" si="6"/>
        <v>0.03</v>
      </c>
      <c r="P931" s="373">
        <f t="shared" si="7"/>
        <v>4.1261047645507086E-3</v>
      </c>
    </row>
    <row r="932" spans="1:16">
      <c r="A932" s="348">
        <v>1088</v>
      </c>
      <c r="B932" s="349">
        <v>3309</v>
      </c>
      <c r="C932" s="372" t="s">
        <v>2722</v>
      </c>
      <c r="D932" s="372" t="s">
        <v>45</v>
      </c>
      <c r="E932" s="372" t="s">
        <v>2556</v>
      </c>
      <c r="F932" s="350">
        <v>45632.038888888892</v>
      </c>
      <c r="G932" s="372">
        <v>12</v>
      </c>
      <c r="H932" s="372" t="s">
        <v>2557</v>
      </c>
      <c r="I932" s="349">
        <v>35191</v>
      </c>
      <c r="J932" s="372" t="s">
        <v>8413</v>
      </c>
      <c r="K932" s="349">
        <v>59.99</v>
      </c>
      <c r="L932" s="349">
        <v>0</v>
      </c>
      <c r="M932" s="349">
        <v>0</v>
      </c>
      <c r="N932" s="349">
        <v>1</v>
      </c>
      <c r="O932" s="349">
        <f t="shared" si="6"/>
        <v>59.99</v>
      </c>
      <c r="P932" s="373">
        <f t="shared" si="7"/>
        <v>59.99</v>
      </c>
    </row>
    <row r="933" spans="1:16">
      <c r="A933" s="348">
        <v>1089</v>
      </c>
      <c r="B933" s="349">
        <v>4175</v>
      </c>
      <c r="C933" s="372" t="s">
        <v>8414</v>
      </c>
      <c r="D933" s="372" t="s">
        <v>45</v>
      </c>
      <c r="E933" s="372" t="s">
        <v>2556</v>
      </c>
      <c r="F933" s="350">
        <v>45632.26458333333</v>
      </c>
      <c r="G933" s="372">
        <v>12</v>
      </c>
      <c r="H933" s="372" t="s">
        <v>2557</v>
      </c>
      <c r="I933" s="349">
        <v>35203</v>
      </c>
      <c r="J933" s="372" t="s">
        <v>8415</v>
      </c>
      <c r="K933" s="349">
        <v>16.79</v>
      </c>
      <c r="L933" s="349">
        <v>0</v>
      </c>
      <c r="M933" s="349">
        <v>0</v>
      </c>
      <c r="N933" s="349">
        <v>1</v>
      </c>
      <c r="O933" s="349">
        <f t="shared" si="6"/>
        <v>16.79</v>
      </c>
      <c r="P933" s="373">
        <f t="shared" si="7"/>
        <v>16.79</v>
      </c>
    </row>
    <row r="934" spans="1:16">
      <c r="A934" s="348">
        <v>1090</v>
      </c>
      <c r="B934" s="349">
        <v>4196</v>
      </c>
      <c r="C934" s="372" t="s">
        <v>8416</v>
      </c>
      <c r="D934" s="372" t="s">
        <v>45</v>
      </c>
      <c r="E934" s="372" t="s">
        <v>9</v>
      </c>
      <c r="F934" s="350">
        <v>45632.383333333331</v>
      </c>
      <c r="G934" s="372">
        <v>12</v>
      </c>
      <c r="H934" s="372" t="s">
        <v>2557</v>
      </c>
      <c r="I934" s="349">
        <v>35287</v>
      </c>
      <c r="J934" s="372" t="s">
        <v>7247</v>
      </c>
      <c r="K934" s="349">
        <v>8.99</v>
      </c>
      <c r="L934" s="349">
        <v>0.94</v>
      </c>
      <c r="M934" s="349">
        <v>0</v>
      </c>
      <c r="N934" s="349">
        <v>1</v>
      </c>
      <c r="O934" s="349">
        <f t="shared" si="6"/>
        <v>8.0500000000000007</v>
      </c>
      <c r="P934" s="373">
        <f t="shared" si="7"/>
        <v>8.0500000000000007</v>
      </c>
    </row>
    <row r="935" spans="1:16">
      <c r="A935" s="348">
        <v>1091</v>
      </c>
      <c r="B935" s="349">
        <v>4209</v>
      </c>
      <c r="C935" s="372" t="s">
        <v>8417</v>
      </c>
      <c r="D935" s="372" t="s">
        <v>2582</v>
      </c>
      <c r="E935" s="372" t="s">
        <v>2556</v>
      </c>
      <c r="F935" s="350">
        <v>45632.482638888891</v>
      </c>
      <c r="G935" s="372">
        <v>12</v>
      </c>
      <c r="H935" s="372" t="s">
        <v>2557</v>
      </c>
      <c r="I935" s="349">
        <v>35299</v>
      </c>
      <c r="J935" s="372" t="s">
        <v>8418</v>
      </c>
      <c r="K935" s="349">
        <v>152.57</v>
      </c>
      <c r="L935" s="349">
        <v>0</v>
      </c>
      <c r="M935" s="349">
        <v>0</v>
      </c>
      <c r="N935" s="349">
        <v>7.2653699999999999</v>
      </c>
      <c r="O935" s="349">
        <f t="shared" si="6"/>
        <v>152.57</v>
      </c>
      <c r="P935" s="373">
        <f t="shared" si="7"/>
        <v>20.999618739307152</v>
      </c>
    </row>
    <row r="936" spans="1:16">
      <c r="A936" s="348">
        <v>1092</v>
      </c>
      <c r="B936" s="349">
        <v>4212</v>
      </c>
      <c r="C936" s="372" t="s">
        <v>2691</v>
      </c>
      <c r="D936" s="372" t="s">
        <v>45</v>
      </c>
      <c r="E936" s="372" t="s">
        <v>2572</v>
      </c>
      <c r="F936" s="350">
        <v>45632.499305555553</v>
      </c>
      <c r="G936" s="372">
        <v>12</v>
      </c>
      <c r="H936" s="372" t="s">
        <v>2557</v>
      </c>
      <c r="I936" s="349">
        <v>35311</v>
      </c>
      <c r="J936" s="372" t="s">
        <v>8419</v>
      </c>
      <c r="K936" s="349">
        <v>3.99</v>
      </c>
      <c r="L936" s="349">
        <v>0</v>
      </c>
      <c r="M936" s="349">
        <v>0</v>
      </c>
      <c r="N936" s="349">
        <v>1</v>
      </c>
      <c r="O936" s="349">
        <f t="shared" si="6"/>
        <v>3.99</v>
      </c>
      <c r="P936" s="373">
        <f t="shared" si="7"/>
        <v>3.99</v>
      </c>
    </row>
    <row r="937" spans="1:16">
      <c r="A937" s="348">
        <v>1093</v>
      </c>
      <c r="B937" s="349">
        <v>4235</v>
      </c>
      <c r="C937" s="372" t="s">
        <v>8420</v>
      </c>
      <c r="D937" s="372" t="s">
        <v>45</v>
      </c>
      <c r="E937" s="372" t="s">
        <v>2556</v>
      </c>
      <c r="F937" s="350">
        <v>45632.749305555553</v>
      </c>
      <c r="G937" s="372">
        <v>12</v>
      </c>
      <c r="H937" s="372" t="s">
        <v>2557</v>
      </c>
      <c r="I937" s="349">
        <v>35335</v>
      </c>
      <c r="J937" s="372" t="s">
        <v>8421</v>
      </c>
      <c r="K937" s="349">
        <v>11.99</v>
      </c>
      <c r="L937" s="349">
        <v>0</v>
      </c>
      <c r="M937" s="349">
        <v>0</v>
      </c>
      <c r="N937" s="349">
        <v>1</v>
      </c>
      <c r="O937" s="349">
        <f t="shared" si="6"/>
        <v>11.99</v>
      </c>
      <c r="P937" s="373">
        <f t="shared" si="7"/>
        <v>11.99</v>
      </c>
    </row>
    <row r="938" spans="1:16">
      <c r="A938" s="348">
        <v>1094</v>
      </c>
      <c r="B938" s="349">
        <v>1052</v>
      </c>
      <c r="C938" s="372" t="s">
        <v>7924</v>
      </c>
      <c r="D938" s="372" t="s">
        <v>45</v>
      </c>
      <c r="E938" s="372" t="s">
        <v>2556</v>
      </c>
      <c r="F938" s="350">
        <v>45632.781944444447</v>
      </c>
      <c r="G938" s="372">
        <v>12</v>
      </c>
      <c r="H938" s="372" t="s">
        <v>2557</v>
      </c>
      <c r="I938" s="349">
        <v>32203</v>
      </c>
      <c r="J938" s="372" t="s">
        <v>8422</v>
      </c>
      <c r="K938" s="349">
        <v>1.0900000000000001</v>
      </c>
      <c r="L938" s="349">
        <v>0</v>
      </c>
      <c r="M938" s="349">
        <v>0</v>
      </c>
      <c r="N938" s="349">
        <v>1</v>
      </c>
      <c r="O938" s="349">
        <f t="shared" si="6"/>
        <v>1.0900000000000001</v>
      </c>
      <c r="P938" s="373">
        <f t="shared" si="7"/>
        <v>1.0900000000000001</v>
      </c>
    </row>
    <row r="939" spans="1:16">
      <c r="A939" s="348">
        <v>1095</v>
      </c>
      <c r="B939" s="349">
        <v>2230</v>
      </c>
      <c r="C939" s="372"/>
      <c r="D939" s="372" t="s">
        <v>45</v>
      </c>
      <c r="E939" s="372" t="s">
        <v>9</v>
      </c>
      <c r="F939" s="350">
        <v>45632.817361111112</v>
      </c>
      <c r="G939" s="372">
        <v>12</v>
      </c>
      <c r="H939" s="372" t="s">
        <v>2557</v>
      </c>
      <c r="I939" s="349">
        <v>31783</v>
      </c>
      <c r="J939" s="372" t="s">
        <v>7249</v>
      </c>
      <c r="K939" s="349">
        <v>2.99</v>
      </c>
      <c r="L939" s="349">
        <v>0.64</v>
      </c>
      <c r="M939" s="349">
        <v>0</v>
      </c>
      <c r="N939" s="349">
        <v>1</v>
      </c>
      <c r="O939" s="349">
        <f t="shared" si="6"/>
        <v>2.35</v>
      </c>
      <c r="P939" s="373">
        <f t="shared" si="7"/>
        <v>2.35</v>
      </c>
    </row>
    <row r="940" spans="1:16">
      <c r="A940" s="348">
        <v>1096</v>
      </c>
      <c r="B940" s="349">
        <v>4257</v>
      </c>
      <c r="C940" s="372" t="s">
        <v>6789</v>
      </c>
      <c r="D940" s="372" t="s">
        <v>45</v>
      </c>
      <c r="E940" s="372" t="s">
        <v>2556</v>
      </c>
      <c r="F940" s="350">
        <v>45632.904166666667</v>
      </c>
      <c r="G940" s="372">
        <v>12</v>
      </c>
      <c r="H940" s="372" t="s">
        <v>2557</v>
      </c>
      <c r="I940" s="349">
        <v>35359</v>
      </c>
      <c r="J940" s="372" t="s">
        <v>8423</v>
      </c>
      <c r="K940" s="349">
        <v>16.79</v>
      </c>
      <c r="L940" s="349">
        <v>0</v>
      </c>
      <c r="M940" s="349">
        <v>0</v>
      </c>
      <c r="N940" s="349">
        <v>1</v>
      </c>
      <c r="O940" s="349">
        <f t="shared" si="6"/>
        <v>16.79</v>
      </c>
      <c r="P940" s="373">
        <f t="shared" si="7"/>
        <v>16.79</v>
      </c>
    </row>
    <row r="941" spans="1:16">
      <c r="A941" s="348">
        <v>1097</v>
      </c>
      <c r="B941" s="349">
        <v>3614</v>
      </c>
      <c r="C941" s="372" t="s">
        <v>8424</v>
      </c>
      <c r="D941" s="372" t="s">
        <v>45</v>
      </c>
      <c r="E941" s="372" t="s">
        <v>2556</v>
      </c>
      <c r="F941" s="350">
        <v>45632.931250000001</v>
      </c>
      <c r="G941" s="372">
        <v>12</v>
      </c>
      <c r="H941" s="372" t="s">
        <v>2557</v>
      </c>
      <c r="I941" s="349">
        <v>33367</v>
      </c>
      <c r="J941" s="372" t="s">
        <v>8425</v>
      </c>
      <c r="K941" s="349">
        <v>12.59</v>
      </c>
      <c r="L941" s="349">
        <v>0</v>
      </c>
      <c r="M941" s="349">
        <v>0</v>
      </c>
      <c r="N941" s="349">
        <v>1</v>
      </c>
      <c r="O941" s="349">
        <f t="shared" si="6"/>
        <v>12.59</v>
      </c>
      <c r="P941" s="373">
        <f t="shared" si="7"/>
        <v>12.59</v>
      </c>
    </row>
    <row r="942" spans="1:16">
      <c r="A942" s="348">
        <v>1098</v>
      </c>
      <c r="B942" s="349">
        <v>4283</v>
      </c>
      <c r="C942" s="372" t="s">
        <v>8426</v>
      </c>
      <c r="D942" s="372" t="s">
        <v>45</v>
      </c>
      <c r="E942" s="372" t="s">
        <v>2556</v>
      </c>
      <c r="F942" s="350">
        <v>45633.008333333331</v>
      </c>
      <c r="G942" s="372">
        <v>12</v>
      </c>
      <c r="H942" s="372" t="s">
        <v>2557</v>
      </c>
      <c r="I942" s="349">
        <v>35431</v>
      </c>
      <c r="J942" s="372" t="s">
        <v>8427</v>
      </c>
      <c r="K942" s="349">
        <v>20.99</v>
      </c>
      <c r="L942" s="349">
        <v>0</v>
      </c>
      <c r="M942" s="349">
        <v>0</v>
      </c>
      <c r="N942" s="349">
        <v>1</v>
      </c>
      <c r="O942" s="349">
        <f t="shared" si="6"/>
        <v>20.99</v>
      </c>
      <c r="P942" s="373">
        <f t="shared" si="7"/>
        <v>20.99</v>
      </c>
    </row>
    <row r="943" spans="1:16">
      <c r="A943" s="348">
        <v>1099</v>
      </c>
      <c r="B943" s="349">
        <v>4196</v>
      </c>
      <c r="C943" s="372" t="s">
        <v>8416</v>
      </c>
      <c r="D943" s="372" t="s">
        <v>45</v>
      </c>
      <c r="E943" s="372" t="s">
        <v>9</v>
      </c>
      <c r="F943" s="350">
        <v>45633.084722222222</v>
      </c>
      <c r="G943" s="372">
        <v>12</v>
      </c>
      <c r="H943" s="372" t="s">
        <v>2557</v>
      </c>
      <c r="I943" s="349">
        <v>35479</v>
      </c>
      <c r="J943" s="372" t="s">
        <v>7250</v>
      </c>
      <c r="K943" s="349">
        <v>23.99</v>
      </c>
      <c r="L943" s="349">
        <v>1.69</v>
      </c>
      <c r="M943" s="349">
        <v>0</v>
      </c>
      <c r="N943" s="349">
        <v>1</v>
      </c>
      <c r="O943" s="349">
        <f t="shared" si="6"/>
        <v>22.299999999999997</v>
      </c>
      <c r="P943" s="373">
        <f t="shared" si="7"/>
        <v>22.299999999999997</v>
      </c>
    </row>
    <row r="944" spans="1:16">
      <c r="A944" s="348">
        <v>1100</v>
      </c>
      <c r="B944" s="349">
        <v>4236</v>
      </c>
      <c r="C944" s="372" t="s">
        <v>8428</v>
      </c>
      <c r="D944" s="372" t="s">
        <v>45</v>
      </c>
      <c r="E944" s="372" t="s">
        <v>2556</v>
      </c>
      <c r="F944" s="350">
        <v>45633.263194444444</v>
      </c>
      <c r="G944" s="372">
        <v>12</v>
      </c>
      <c r="H944" s="372" t="s">
        <v>2557</v>
      </c>
      <c r="I944" s="349">
        <v>35491</v>
      </c>
      <c r="J944" s="372" t="s">
        <v>8429</v>
      </c>
      <c r="K944" s="349">
        <v>2.99</v>
      </c>
      <c r="L944" s="349">
        <v>0</v>
      </c>
      <c r="M944" s="349">
        <v>0</v>
      </c>
      <c r="N944" s="349">
        <v>1</v>
      </c>
      <c r="O944" s="349">
        <f t="shared" si="6"/>
        <v>2.99</v>
      </c>
      <c r="P944" s="373">
        <f t="shared" si="7"/>
        <v>2.99</v>
      </c>
    </row>
    <row r="945" spans="1:16">
      <c r="A945" s="348">
        <v>1101</v>
      </c>
      <c r="B945" s="349">
        <v>3265</v>
      </c>
      <c r="C945" s="372" t="s">
        <v>288</v>
      </c>
      <c r="D945" s="372" t="s">
        <v>45</v>
      </c>
      <c r="E945" s="372" t="s">
        <v>2556</v>
      </c>
      <c r="F945" s="350">
        <v>45633.39166666667</v>
      </c>
      <c r="G945" s="372">
        <v>12</v>
      </c>
      <c r="H945" s="372" t="s">
        <v>2557</v>
      </c>
      <c r="I945" s="349">
        <v>35539</v>
      </c>
      <c r="J945" s="372" t="s">
        <v>8430</v>
      </c>
      <c r="K945" s="349">
        <v>1.0900000000000001</v>
      </c>
      <c r="L945" s="349">
        <v>0</v>
      </c>
      <c r="M945" s="349">
        <v>0</v>
      </c>
      <c r="N945" s="349">
        <v>1</v>
      </c>
      <c r="O945" s="349">
        <f t="shared" si="6"/>
        <v>1.0900000000000001</v>
      </c>
      <c r="P945" s="373">
        <f t="shared" si="7"/>
        <v>1.0900000000000001</v>
      </c>
    </row>
    <row r="946" spans="1:16">
      <c r="A946" s="348">
        <v>1102</v>
      </c>
      <c r="B946" s="349">
        <v>4030</v>
      </c>
      <c r="C946" s="372" t="s">
        <v>2627</v>
      </c>
      <c r="D946" s="372" t="s">
        <v>2582</v>
      </c>
      <c r="E946" s="372" t="s">
        <v>9</v>
      </c>
      <c r="F946" s="350">
        <v>45633.450694444444</v>
      </c>
      <c r="G946" s="372">
        <v>12</v>
      </c>
      <c r="H946" s="372" t="s">
        <v>2557</v>
      </c>
      <c r="I946" s="349">
        <v>35623</v>
      </c>
      <c r="J946" s="372" t="s">
        <v>7251</v>
      </c>
      <c r="K946" s="349">
        <v>36.24</v>
      </c>
      <c r="L946" s="349">
        <v>5.37</v>
      </c>
      <c r="M946" s="349">
        <v>0</v>
      </c>
      <c r="N946" s="349">
        <v>7.2632099999999999</v>
      </c>
      <c r="O946" s="349">
        <f t="shared" si="6"/>
        <v>30.87</v>
      </c>
      <c r="P946" s="373">
        <f t="shared" si="7"/>
        <v>4.2501869008331026</v>
      </c>
    </row>
    <row r="947" spans="1:16">
      <c r="A947" s="348">
        <v>1103</v>
      </c>
      <c r="B947" s="349">
        <v>1836</v>
      </c>
      <c r="C947" s="372" t="s">
        <v>2598</v>
      </c>
      <c r="D947" s="372" t="s">
        <v>2582</v>
      </c>
      <c r="E947" s="372" t="s">
        <v>2556</v>
      </c>
      <c r="F947" s="350">
        <v>45633.560416666667</v>
      </c>
      <c r="G947" s="372">
        <v>12</v>
      </c>
      <c r="H947" s="372" t="s">
        <v>2557</v>
      </c>
      <c r="I947" s="349">
        <v>35635</v>
      </c>
      <c r="J947" s="372" t="s">
        <v>8431</v>
      </c>
      <c r="K947" s="349">
        <v>87.09</v>
      </c>
      <c r="L947" s="349">
        <v>0</v>
      </c>
      <c r="M947" s="349">
        <v>0</v>
      </c>
      <c r="N947" s="349">
        <v>7.2632099999999999</v>
      </c>
      <c r="O947" s="349">
        <f t="shared" si="6"/>
        <v>87.09</v>
      </c>
      <c r="P947" s="373">
        <f t="shared" si="7"/>
        <v>11.990566154634109</v>
      </c>
    </row>
    <row r="948" spans="1:16">
      <c r="A948" s="348">
        <v>1104</v>
      </c>
      <c r="B948" s="349">
        <v>4352</v>
      </c>
      <c r="C948" s="372" t="s">
        <v>4064</v>
      </c>
      <c r="D948" s="372" t="s">
        <v>2582</v>
      </c>
      <c r="E948" s="372" t="s">
        <v>2556</v>
      </c>
      <c r="F948" s="350">
        <v>45633.71597222222</v>
      </c>
      <c r="G948" s="372">
        <v>12</v>
      </c>
      <c r="H948" s="372" t="s">
        <v>2557</v>
      </c>
      <c r="I948" s="349">
        <v>35659</v>
      </c>
      <c r="J948" s="372" t="s">
        <v>8432</v>
      </c>
      <c r="K948" s="349">
        <v>130.66999999999999</v>
      </c>
      <c r="L948" s="349">
        <v>0</v>
      </c>
      <c r="M948" s="349">
        <v>0</v>
      </c>
      <c r="N948" s="349">
        <v>7.2632099999999999</v>
      </c>
      <c r="O948" s="349">
        <f t="shared" si="6"/>
        <v>130.66999999999999</v>
      </c>
      <c r="P948" s="373">
        <f t="shared" si="7"/>
        <v>17.990668037961175</v>
      </c>
    </row>
    <row r="949" spans="1:16">
      <c r="A949" s="348">
        <v>1105</v>
      </c>
      <c r="B949" s="349">
        <v>4352</v>
      </c>
      <c r="C949" s="372" t="s">
        <v>4064</v>
      </c>
      <c r="D949" s="372" t="s">
        <v>2582</v>
      </c>
      <c r="E949" s="372" t="s">
        <v>2556</v>
      </c>
      <c r="F949" s="350">
        <v>45633.770833333336</v>
      </c>
      <c r="G949" s="372">
        <v>12</v>
      </c>
      <c r="H949" s="372" t="s">
        <v>2557</v>
      </c>
      <c r="I949" s="349">
        <v>35659</v>
      </c>
      <c r="J949" s="372"/>
      <c r="K949" s="349">
        <v>0.03</v>
      </c>
      <c r="L949" s="349">
        <v>0</v>
      </c>
      <c r="M949" s="349">
        <v>0</v>
      </c>
      <c r="N949" s="349">
        <v>7.2632099999999999</v>
      </c>
      <c r="O949" s="349">
        <f t="shared" si="6"/>
        <v>0.03</v>
      </c>
      <c r="P949" s="373">
        <f t="shared" si="7"/>
        <v>4.130405151441305E-3</v>
      </c>
    </row>
    <row r="950" spans="1:16">
      <c r="A950" s="348">
        <v>1106</v>
      </c>
      <c r="B950" s="349">
        <v>4365</v>
      </c>
      <c r="C950" s="372" t="s">
        <v>8433</v>
      </c>
      <c r="D950" s="372" t="s">
        <v>45</v>
      </c>
      <c r="E950" s="372" t="s">
        <v>9</v>
      </c>
      <c r="F950" s="350">
        <v>45634.057638888888</v>
      </c>
      <c r="G950" s="372">
        <v>12</v>
      </c>
      <c r="H950" s="372" t="s">
        <v>2557</v>
      </c>
      <c r="I950" s="349">
        <v>35683</v>
      </c>
      <c r="J950" s="372" t="s">
        <v>7253</v>
      </c>
      <c r="K950" s="349">
        <v>16.79</v>
      </c>
      <c r="L950" s="349">
        <v>1.33</v>
      </c>
      <c r="M950" s="349">
        <v>0</v>
      </c>
      <c r="N950" s="349">
        <v>1</v>
      </c>
      <c r="O950" s="349">
        <f t="shared" si="6"/>
        <v>15.459999999999999</v>
      </c>
      <c r="P950" s="373">
        <f t="shared" si="7"/>
        <v>15.459999999999999</v>
      </c>
    </row>
    <row r="951" spans="1:16">
      <c r="A951" s="348">
        <v>1107</v>
      </c>
      <c r="B951" s="349">
        <v>4380</v>
      </c>
      <c r="C951" s="372" t="s">
        <v>8434</v>
      </c>
      <c r="D951" s="372" t="s">
        <v>45</v>
      </c>
      <c r="E951" s="372" t="s">
        <v>2556</v>
      </c>
      <c r="F951" s="350">
        <v>45634.19027777778</v>
      </c>
      <c r="G951" s="372">
        <v>12</v>
      </c>
      <c r="H951" s="372" t="s">
        <v>2557</v>
      </c>
      <c r="I951" s="349">
        <v>35695</v>
      </c>
      <c r="J951" s="372" t="s">
        <v>8435</v>
      </c>
      <c r="K951" s="349">
        <v>16.79</v>
      </c>
      <c r="L951" s="349">
        <v>0</v>
      </c>
      <c r="M951" s="349">
        <v>0</v>
      </c>
      <c r="N951" s="349">
        <v>1</v>
      </c>
      <c r="O951" s="349">
        <f t="shared" si="6"/>
        <v>16.79</v>
      </c>
      <c r="P951" s="373">
        <f t="shared" si="7"/>
        <v>16.79</v>
      </c>
    </row>
    <row r="952" spans="1:16">
      <c r="A952" s="348">
        <v>1108</v>
      </c>
      <c r="B952" s="349">
        <v>3990</v>
      </c>
      <c r="C952" s="372" t="s">
        <v>4929</v>
      </c>
      <c r="D952" s="372" t="s">
        <v>45</v>
      </c>
      <c r="E952" s="372" t="s">
        <v>2556</v>
      </c>
      <c r="F952" s="350">
        <v>45634.447916666664</v>
      </c>
      <c r="G952" s="372">
        <v>12</v>
      </c>
      <c r="H952" s="372" t="s">
        <v>2557</v>
      </c>
      <c r="I952" s="349">
        <v>35827</v>
      </c>
      <c r="J952" s="372" t="s">
        <v>8436</v>
      </c>
      <c r="K952" s="349">
        <v>16.79</v>
      </c>
      <c r="L952" s="349">
        <v>0</v>
      </c>
      <c r="M952" s="349">
        <v>0</v>
      </c>
      <c r="N952" s="349">
        <v>1</v>
      </c>
      <c r="O952" s="349">
        <f t="shared" si="6"/>
        <v>16.79</v>
      </c>
      <c r="P952" s="373">
        <f t="shared" si="7"/>
        <v>16.79</v>
      </c>
    </row>
    <row r="953" spans="1:16">
      <c r="A953" s="348">
        <v>1109</v>
      </c>
      <c r="B953" s="349">
        <v>2230</v>
      </c>
      <c r="C953" s="372"/>
      <c r="D953" s="372" t="s">
        <v>45</v>
      </c>
      <c r="E953" s="372" t="s">
        <v>9</v>
      </c>
      <c r="F953" s="350">
        <v>45635.570833333331</v>
      </c>
      <c r="G953" s="372">
        <v>12</v>
      </c>
      <c r="H953" s="372" t="s">
        <v>8437</v>
      </c>
      <c r="I953" s="349">
        <v>31783</v>
      </c>
      <c r="J953" s="372"/>
      <c r="K953" s="349">
        <v>0</v>
      </c>
      <c r="L953" s="349">
        <v>-0.64</v>
      </c>
      <c r="M953" s="349">
        <v>2.4900000000000002</v>
      </c>
      <c r="N953" s="349">
        <v>1</v>
      </c>
      <c r="O953" s="349">
        <f t="shared" si="6"/>
        <v>-1.85</v>
      </c>
      <c r="P953" s="373">
        <f t="shared" si="7"/>
        <v>-1.85</v>
      </c>
    </row>
    <row r="954" spans="1:16">
      <c r="A954" s="348">
        <v>1110</v>
      </c>
      <c r="B954" s="349">
        <v>4030</v>
      </c>
      <c r="C954" s="372" t="s">
        <v>2627</v>
      </c>
      <c r="D954" s="372" t="s">
        <v>2582</v>
      </c>
      <c r="E954" s="372" t="s">
        <v>9</v>
      </c>
      <c r="F954" s="350">
        <v>45635.574305555558</v>
      </c>
      <c r="G954" s="372">
        <v>12</v>
      </c>
      <c r="H954" s="372" t="s">
        <v>8438</v>
      </c>
      <c r="I954" s="349">
        <v>35623</v>
      </c>
      <c r="J954" s="372"/>
      <c r="K954" s="349">
        <v>0</v>
      </c>
      <c r="L954" s="349">
        <v>-5.37</v>
      </c>
      <c r="M954" s="349">
        <v>32.700000000000003</v>
      </c>
      <c r="N954" s="349">
        <v>7.2632099999999999</v>
      </c>
      <c r="O954" s="349">
        <f t="shared" si="6"/>
        <v>-27.330000000000002</v>
      </c>
      <c r="P954" s="373">
        <f t="shared" si="7"/>
        <v>-3.7627990929630291</v>
      </c>
    </row>
    <row r="955" spans="1:16">
      <c r="A955" s="348">
        <v>1111</v>
      </c>
      <c r="B955" s="349">
        <v>4468</v>
      </c>
      <c r="C955" s="372" t="s">
        <v>8439</v>
      </c>
      <c r="D955" s="372" t="s">
        <v>45</v>
      </c>
      <c r="E955" s="372" t="s">
        <v>2556</v>
      </c>
      <c r="F955" s="350">
        <v>45635.759722222225</v>
      </c>
      <c r="G955" s="372">
        <v>12</v>
      </c>
      <c r="H955" s="372" t="s">
        <v>2557</v>
      </c>
      <c r="I955" s="349">
        <v>35971</v>
      </c>
      <c r="J955" s="372" t="s">
        <v>8440</v>
      </c>
      <c r="K955" s="349">
        <v>23.99</v>
      </c>
      <c r="L955" s="349">
        <v>0</v>
      </c>
      <c r="M955" s="349">
        <v>0</v>
      </c>
      <c r="N955" s="349">
        <v>1</v>
      </c>
      <c r="O955" s="349">
        <f t="shared" si="6"/>
        <v>23.99</v>
      </c>
      <c r="P955" s="373">
        <f t="shared" si="7"/>
        <v>23.99</v>
      </c>
    </row>
    <row r="956" spans="1:16">
      <c r="A956" s="348">
        <v>1112</v>
      </c>
      <c r="B956" s="349">
        <v>4465</v>
      </c>
      <c r="C956" s="372" t="s">
        <v>8441</v>
      </c>
      <c r="D956" s="372" t="s">
        <v>45</v>
      </c>
      <c r="E956" s="372" t="s">
        <v>9</v>
      </c>
      <c r="F956" s="350">
        <v>45635.763888888891</v>
      </c>
      <c r="G956" s="372">
        <v>12</v>
      </c>
      <c r="H956" s="372" t="s">
        <v>2557</v>
      </c>
      <c r="I956" s="349">
        <v>35959</v>
      </c>
      <c r="J956" s="372" t="s">
        <v>7257</v>
      </c>
      <c r="K956" s="349">
        <v>23.99</v>
      </c>
      <c r="L956" s="349">
        <v>1.69</v>
      </c>
      <c r="M956" s="349">
        <v>0</v>
      </c>
      <c r="N956" s="349">
        <v>1</v>
      </c>
      <c r="O956" s="349">
        <f t="shared" si="6"/>
        <v>22.299999999999997</v>
      </c>
      <c r="P956" s="373">
        <f t="shared" si="7"/>
        <v>22.299999999999997</v>
      </c>
    </row>
    <row r="957" spans="1:16">
      <c r="A957" s="348">
        <v>1113</v>
      </c>
      <c r="B957" s="349">
        <v>4474</v>
      </c>
      <c r="C957" s="372" t="s">
        <v>6735</v>
      </c>
      <c r="D957" s="372" t="s">
        <v>45</v>
      </c>
      <c r="E957" s="372" t="s">
        <v>9</v>
      </c>
      <c r="F957" s="350">
        <v>45635.786805555559</v>
      </c>
      <c r="G957" s="372">
        <v>12</v>
      </c>
      <c r="H957" s="372" t="s">
        <v>2557</v>
      </c>
      <c r="I957" s="349">
        <v>36019</v>
      </c>
      <c r="J957" s="372" t="s">
        <v>7258</v>
      </c>
      <c r="K957" s="349">
        <v>23.99</v>
      </c>
      <c r="L957" s="349">
        <v>1.33</v>
      </c>
      <c r="M957" s="349">
        <v>0</v>
      </c>
      <c r="N957" s="349">
        <v>1</v>
      </c>
      <c r="O957" s="349">
        <f t="shared" si="6"/>
        <v>22.659999999999997</v>
      </c>
      <c r="P957" s="373">
        <f t="shared" si="7"/>
        <v>22.659999999999997</v>
      </c>
    </row>
    <row r="958" spans="1:16">
      <c r="A958" s="348">
        <v>1114</v>
      </c>
      <c r="B958" s="349">
        <v>4481</v>
      </c>
      <c r="C958" s="372" t="s">
        <v>3158</v>
      </c>
      <c r="D958" s="372" t="s">
        <v>45</v>
      </c>
      <c r="E958" s="372" t="s">
        <v>2556</v>
      </c>
      <c r="F958" s="350">
        <v>45635.826388888891</v>
      </c>
      <c r="G958" s="372">
        <v>12</v>
      </c>
      <c r="H958" s="372" t="s">
        <v>2557</v>
      </c>
      <c r="I958" s="349">
        <v>36067</v>
      </c>
      <c r="J958" s="372" t="s">
        <v>8442</v>
      </c>
      <c r="K958" s="349">
        <v>11.99</v>
      </c>
      <c r="L958" s="349">
        <v>0</v>
      </c>
      <c r="M958" s="349">
        <v>0</v>
      </c>
      <c r="N958" s="349">
        <v>1</v>
      </c>
      <c r="O958" s="349">
        <f t="shared" si="6"/>
        <v>11.99</v>
      </c>
      <c r="P958" s="373">
        <f t="shared" si="7"/>
        <v>11.99</v>
      </c>
    </row>
    <row r="959" spans="1:16">
      <c r="A959" s="348">
        <v>1115</v>
      </c>
      <c r="B959" s="349">
        <v>4483</v>
      </c>
      <c r="C959" s="372" t="s">
        <v>6523</v>
      </c>
      <c r="D959" s="372" t="s">
        <v>45</v>
      </c>
      <c r="E959" s="372" t="s">
        <v>2556</v>
      </c>
      <c r="F959" s="350">
        <v>45635.836805555555</v>
      </c>
      <c r="G959" s="372">
        <v>12</v>
      </c>
      <c r="H959" s="372" t="s">
        <v>2557</v>
      </c>
      <c r="I959" s="349">
        <v>36079</v>
      </c>
      <c r="J959" s="372" t="s">
        <v>8443</v>
      </c>
      <c r="K959" s="349">
        <v>17.989999999999998</v>
      </c>
      <c r="L959" s="349">
        <v>0</v>
      </c>
      <c r="M959" s="349">
        <v>0</v>
      </c>
      <c r="N959" s="349">
        <v>1</v>
      </c>
      <c r="O959" s="349">
        <f t="shared" si="6"/>
        <v>17.989999999999998</v>
      </c>
      <c r="P959" s="373">
        <f t="shared" si="7"/>
        <v>17.989999999999998</v>
      </c>
    </row>
    <row r="960" spans="1:16">
      <c r="A960" s="348">
        <v>1116</v>
      </c>
      <c r="B960" s="349">
        <v>4491</v>
      </c>
      <c r="C960" s="372" t="s">
        <v>4282</v>
      </c>
      <c r="D960" s="372" t="s">
        <v>2582</v>
      </c>
      <c r="E960" s="372" t="s">
        <v>2556</v>
      </c>
      <c r="F960" s="350">
        <v>45635.901388888888</v>
      </c>
      <c r="G960" s="372">
        <v>12</v>
      </c>
      <c r="H960" s="372" t="s">
        <v>2557</v>
      </c>
      <c r="I960" s="349">
        <v>36091</v>
      </c>
      <c r="J960" s="372" t="s">
        <v>8444</v>
      </c>
      <c r="K960" s="349">
        <v>18.09</v>
      </c>
      <c r="L960" s="349">
        <v>0</v>
      </c>
      <c r="M960" s="349">
        <v>0</v>
      </c>
      <c r="N960" s="349">
        <v>7.2632099999999999</v>
      </c>
      <c r="O960" s="349">
        <f t="shared" si="6"/>
        <v>18.09</v>
      </c>
      <c r="P960" s="373">
        <f t="shared" si="7"/>
        <v>2.490634306319107</v>
      </c>
    </row>
    <row r="961" spans="1:16">
      <c r="A961" s="348">
        <v>1117</v>
      </c>
      <c r="B961" s="349">
        <v>4493</v>
      </c>
      <c r="C961" s="372" t="s">
        <v>6566</v>
      </c>
      <c r="D961" s="372" t="s">
        <v>45</v>
      </c>
      <c r="E961" s="372" t="s">
        <v>9</v>
      </c>
      <c r="F961" s="350">
        <v>45635.922222222223</v>
      </c>
      <c r="G961" s="372">
        <v>12</v>
      </c>
      <c r="H961" s="372" t="s">
        <v>2557</v>
      </c>
      <c r="I961" s="349">
        <v>36103</v>
      </c>
      <c r="J961" s="372" t="s">
        <v>7259</v>
      </c>
      <c r="K961" s="349">
        <v>11.99</v>
      </c>
      <c r="L961" s="349">
        <v>1.0900000000000001</v>
      </c>
      <c r="M961" s="349">
        <v>0</v>
      </c>
      <c r="N961" s="349">
        <v>1</v>
      </c>
      <c r="O961" s="349">
        <f t="shared" si="6"/>
        <v>10.9</v>
      </c>
      <c r="P961" s="373">
        <f t="shared" si="7"/>
        <v>10.9</v>
      </c>
    </row>
    <row r="962" spans="1:16">
      <c r="A962" s="348">
        <v>1118</v>
      </c>
      <c r="B962" s="349">
        <v>4501</v>
      </c>
      <c r="C962" s="372" t="s">
        <v>7720</v>
      </c>
      <c r="D962" s="372" t="s">
        <v>45</v>
      </c>
      <c r="E962" s="372" t="s">
        <v>2556</v>
      </c>
      <c r="F962" s="350">
        <v>45635.969444444447</v>
      </c>
      <c r="G962" s="372">
        <v>12</v>
      </c>
      <c r="H962" s="372" t="s">
        <v>2557</v>
      </c>
      <c r="I962" s="349">
        <v>36151</v>
      </c>
      <c r="J962" s="372" t="s">
        <v>8445</v>
      </c>
      <c r="K962" s="349">
        <v>11.99</v>
      </c>
      <c r="L962" s="349">
        <v>0</v>
      </c>
      <c r="M962" s="349">
        <v>0</v>
      </c>
      <c r="N962" s="349">
        <v>1</v>
      </c>
      <c r="O962" s="349">
        <f t="shared" si="6"/>
        <v>11.99</v>
      </c>
      <c r="P962" s="373">
        <f t="shared" si="7"/>
        <v>11.99</v>
      </c>
    </row>
    <row r="963" spans="1:16">
      <c r="A963" s="348">
        <v>1119</v>
      </c>
      <c r="B963" s="349">
        <v>4518</v>
      </c>
      <c r="C963" s="372" t="s">
        <v>6609</v>
      </c>
      <c r="D963" s="372" t="s">
        <v>45</v>
      </c>
      <c r="E963" s="372" t="s">
        <v>2556</v>
      </c>
      <c r="F963" s="350">
        <v>45636.080555555556</v>
      </c>
      <c r="G963" s="372">
        <v>12</v>
      </c>
      <c r="H963" s="372" t="s">
        <v>2557</v>
      </c>
      <c r="I963" s="349">
        <v>36163</v>
      </c>
      <c r="J963" s="372" t="s">
        <v>8446</v>
      </c>
      <c r="K963" s="349">
        <v>23.99</v>
      </c>
      <c r="L963" s="349">
        <v>0</v>
      </c>
      <c r="M963" s="349">
        <v>0</v>
      </c>
      <c r="N963" s="349">
        <v>1</v>
      </c>
      <c r="O963" s="349">
        <f t="shared" si="6"/>
        <v>23.99</v>
      </c>
      <c r="P963" s="373">
        <f t="shared" si="7"/>
        <v>23.99</v>
      </c>
    </row>
    <row r="964" spans="1:16">
      <c r="A964" s="348">
        <v>1120</v>
      </c>
      <c r="B964" s="349">
        <v>4559</v>
      </c>
      <c r="C964" s="372" t="s">
        <v>8447</v>
      </c>
      <c r="D964" s="372" t="s">
        <v>45</v>
      </c>
      <c r="E964" s="372" t="s">
        <v>9</v>
      </c>
      <c r="F964" s="350">
        <v>45636.431250000001</v>
      </c>
      <c r="G964" s="372">
        <v>12</v>
      </c>
      <c r="H964" s="372" t="s">
        <v>2557</v>
      </c>
      <c r="I964" s="349">
        <v>36271</v>
      </c>
      <c r="J964" s="372" t="s">
        <v>7261</v>
      </c>
      <c r="K964" s="349">
        <v>35.99</v>
      </c>
      <c r="L964" s="349">
        <v>2.29</v>
      </c>
      <c r="M964" s="349">
        <v>0</v>
      </c>
      <c r="N964" s="349">
        <v>1</v>
      </c>
      <c r="O964" s="349">
        <f t="shared" si="6"/>
        <v>33.700000000000003</v>
      </c>
      <c r="P964" s="373">
        <f t="shared" si="7"/>
        <v>33.700000000000003</v>
      </c>
    </row>
    <row r="965" spans="1:16">
      <c r="A965" s="348">
        <v>1121</v>
      </c>
      <c r="B965" s="349">
        <v>4561</v>
      </c>
      <c r="C965" s="372" t="s">
        <v>3351</v>
      </c>
      <c r="D965" s="372" t="s">
        <v>2582</v>
      </c>
      <c r="E965" s="372" t="s">
        <v>2556</v>
      </c>
      <c r="F965" s="350">
        <v>45636.486111111109</v>
      </c>
      <c r="G965" s="372">
        <v>12</v>
      </c>
      <c r="H965" s="372" t="s">
        <v>2557</v>
      </c>
      <c r="I965" s="349">
        <v>36283</v>
      </c>
      <c r="J965" s="372" t="s">
        <v>8448</v>
      </c>
      <c r="K965" s="349">
        <v>43.51</v>
      </c>
      <c r="L965" s="349">
        <v>0</v>
      </c>
      <c r="M965" s="349">
        <v>0</v>
      </c>
      <c r="N965" s="349">
        <v>7.2643800000000001</v>
      </c>
      <c r="O965" s="349">
        <f t="shared" si="6"/>
        <v>43.51</v>
      </c>
      <c r="P965" s="373">
        <f t="shared" si="7"/>
        <v>5.9894994479914319</v>
      </c>
    </row>
    <row r="966" spans="1:16">
      <c r="A966" s="348">
        <v>1122</v>
      </c>
      <c r="B966" s="349">
        <v>4563</v>
      </c>
      <c r="C966" s="372" t="s">
        <v>8449</v>
      </c>
      <c r="D966" s="372" t="s">
        <v>45</v>
      </c>
      <c r="E966" s="372" t="s">
        <v>2572</v>
      </c>
      <c r="F966" s="350">
        <v>45636.507638888892</v>
      </c>
      <c r="G966" s="372">
        <v>12</v>
      </c>
      <c r="H966" s="372" t="s">
        <v>2557</v>
      </c>
      <c r="I966" s="349">
        <v>36295</v>
      </c>
      <c r="J966" s="372" t="s">
        <v>8450</v>
      </c>
      <c r="K966" s="349">
        <v>16.79</v>
      </c>
      <c r="L966" s="349">
        <v>0</v>
      </c>
      <c r="M966" s="349">
        <v>0</v>
      </c>
      <c r="N966" s="349">
        <v>1</v>
      </c>
      <c r="O966" s="349">
        <f t="shared" si="6"/>
        <v>16.79</v>
      </c>
      <c r="P966" s="373">
        <f t="shared" si="7"/>
        <v>16.79</v>
      </c>
    </row>
    <row r="967" spans="1:16">
      <c r="A967" s="348">
        <v>1123</v>
      </c>
      <c r="B967" s="349">
        <v>4570</v>
      </c>
      <c r="C967" s="372" t="s">
        <v>3187</v>
      </c>
      <c r="D967" s="372" t="s">
        <v>2582</v>
      </c>
      <c r="E967" s="372" t="s">
        <v>2556</v>
      </c>
      <c r="F967" s="350">
        <v>45636.547222222223</v>
      </c>
      <c r="G967" s="372">
        <v>12</v>
      </c>
      <c r="H967" s="372" t="s">
        <v>2557</v>
      </c>
      <c r="I967" s="349">
        <v>36319</v>
      </c>
      <c r="J967" s="372" t="s">
        <v>8451</v>
      </c>
      <c r="K967" s="349">
        <v>174.35</v>
      </c>
      <c r="L967" s="349">
        <v>0</v>
      </c>
      <c r="M967" s="349">
        <v>0</v>
      </c>
      <c r="N967" s="349">
        <v>7.2643800000000001</v>
      </c>
      <c r="O967" s="349">
        <f t="shared" si="6"/>
        <v>174.35</v>
      </c>
      <c r="P967" s="373">
        <f t="shared" si="7"/>
        <v>24.000671771025193</v>
      </c>
    </row>
    <row r="968" spans="1:16">
      <c r="A968" s="348">
        <v>1124</v>
      </c>
      <c r="B968" s="349">
        <v>2115</v>
      </c>
      <c r="C968" s="372" t="s">
        <v>272</v>
      </c>
      <c r="D968" s="372" t="s">
        <v>45</v>
      </c>
      <c r="E968" s="372" t="s">
        <v>9</v>
      </c>
      <c r="F968" s="350">
        <v>45636.765972222223</v>
      </c>
      <c r="G968" s="372">
        <v>12</v>
      </c>
      <c r="H968" s="372" t="s">
        <v>2557</v>
      </c>
      <c r="I968" s="349">
        <v>31219</v>
      </c>
      <c r="J968" s="372" t="s">
        <v>7262</v>
      </c>
      <c r="K968" s="349">
        <v>4.99</v>
      </c>
      <c r="L968" s="349">
        <v>0.66</v>
      </c>
      <c r="M968" s="349">
        <v>0</v>
      </c>
      <c r="N968" s="349">
        <v>1</v>
      </c>
      <c r="O968" s="349">
        <f t="shared" si="6"/>
        <v>4.33</v>
      </c>
      <c r="P968" s="373">
        <f t="shared" si="7"/>
        <v>4.33</v>
      </c>
    </row>
    <row r="969" spans="1:16">
      <c r="A969" s="348">
        <v>1125</v>
      </c>
      <c r="B969" s="349">
        <v>36</v>
      </c>
      <c r="C969" s="372" t="s">
        <v>2646</v>
      </c>
      <c r="D969" s="372" t="s">
        <v>45</v>
      </c>
      <c r="E969" s="372" t="s">
        <v>2572</v>
      </c>
      <c r="F969" s="350">
        <v>45636.843055555553</v>
      </c>
      <c r="G969" s="372">
        <v>12</v>
      </c>
      <c r="H969" s="372" t="s">
        <v>2557</v>
      </c>
      <c r="I969" s="349">
        <v>33139</v>
      </c>
      <c r="J969" s="372"/>
      <c r="K969" s="349">
        <v>600</v>
      </c>
      <c r="L969" s="349">
        <v>0</v>
      </c>
      <c r="M969" s="349">
        <v>0</v>
      </c>
      <c r="N969" s="349">
        <v>1</v>
      </c>
      <c r="O969" s="349">
        <f t="shared" si="6"/>
        <v>600</v>
      </c>
      <c r="P969" s="373">
        <f t="shared" si="7"/>
        <v>600</v>
      </c>
    </row>
    <row r="970" spans="1:16">
      <c r="A970" s="348">
        <v>1126</v>
      </c>
      <c r="B970" s="349">
        <v>4605</v>
      </c>
      <c r="C970" s="372" t="s">
        <v>8452</v>
      </c>
      <c r="D970" s="372" t="s">
        <v>45</v>
      </c>
      <c r="E970" s="372" t="s">
        <v>2556</v>
      </c>
      <c r="F970" s="350">
        <v>45636.880555555559</v>
      </c>
      <c r="G970" s="372">
        <v>12</v>
      </c>
      <c r="H970" s="372" t="s">
        <v>2557</v>
      </c>
      <c r="I970" s="349">
        <v>36379</v>
      </c>
      <c r="J970" s="372" t="s">
        <v>8453</v>
      </c>
      <c r="K970" s="349">
        <v>2.4900000000000002</v>
      </c>
      <c r="L970" s="349">
        <v>0</v>
      </c>
      <c r="M970" s="349">
        <v>0</v>
      </c>
      <c r="N970" s="349">
        <v>1</v>
      </c>
      <c r="O970" s="349">
        <f t="shared" si="6"/>
        <v>2.4900000000000002</v>
      </c>
      <c r="P970" s="373">
        <f t="shared" si="7"/>
        <v>2.4900000000000002</v>
      </c>
    </row>
    <row r="971" spans="1:16">
      <c r="A971" s="348">
        <v>1127</v>
      </c>
      <c r="B971" s="349">
        <v>4606</v>
      </c>
      <c r="C971" s="372" t="s">
        <v>2575</v>
      </c>
      <c r="D971" s="372" t="s">
        <v>2582</v>
      </c>
      <c r="E971" s="372" t="s">
        <v>2556</v>
      </c>
      <c r="F971" s="350">
        <v>45636.89166666667</v>
      </c>
      <c r="G971" s="372">
        <v>12</v>
      </c>
      <c r="H971" s="372" t="s">
        <v>2557</v>
      </c>
      <c r="I971" s="349">
        <v>36391</v>
      </c>
      <c r="J971" s="372" t="s">
        <v>8454</v>
      </c>
      <c r="K971" s="349">
        <v>43.51</v>
      </c>
      <c r="L971" s="349">
        <v>0</v>
      </c>
      <c r="M971" s="349">
        <v>0</v>
      </c>
      <c r="N971" s="349">
        <v>7.2643800000000001</v>
      </c>
      <c r="O971" s="349">
        <f t="shared" si="6"/>
        <v>43.51</v>
      </c>
      <c r="P971" s="373">
        <f t="shared" si="7"/>
        <v>5.9894994479914319</v>
      </c>
    </row>
    <row r="972" spans="1:16">
      <c r="A972" s="348">
        <v>1128</v>
      </c>
      <c r="B972" s="349">
        <v>4610</v>
      </c>
      <c r="C972" s="372" t="s">
        <v>6465</v>
      </c>
      <c r="D972" s="372" t="s">
        <v>45</v>
      </c>
      <c r="E972" s="372" t="s">
        <v>2556</v>
      </c>
      <c r="F972" s="350">
        <v>45636.939583333333</v>
      </c>
      <c r="G972" s="372">
        <v>12</v>
      </c>
      <c r="H972" s="372" t="s">
        <v>2557</v>
      </c>
      <c r="I972" s="349">
        <v>36403</v>
      </c>
      <c r="J972" s="372" t="s">
        <v>8455</v>
      </c>
      <c r="K972" s="349">
        <v>20.99</v>
      </c>
      <c r="L972" s="349">
        <v>0</v>
      </c>
      <c r="M972" s="349">
        <v>0</v>
      </c>
      <c r="N972" s="349">
        <v>1</v>
      </c>
      <c r="O972" s="349">
        <f t="shared" si="6"/>
        <v>20.99</v>
      </c>
      <c r="P972" s="373">
        <f t="shared" si="7"/>
        <v>20.99</v>
      </c>
    </row>
    <row r="973" spans="1:16">
      <c r="A973" s="348">
        <v>1132</v>
      </c>
      <c r="B973" s="349">
        <v>1221</v>
      </c>
      <c r="C973" s="372" t="s">
        <v>4741</v>
      </c>
      <c r="D973" s="372" t="s">
        <v>45</v>
      </c>
      <c r="E973" s="372" t="s">
        <v>2556</v>
      </c>
      <c r="F973" s="350">
        <v>45637</v>
      </c>
      <c r="G973" s="372">
        <v>12</v>
      </c>
      <c r="H973" s="372" t="s">
        <v>2557</v>
      </c>
      <c r="I973" s="349">
        <v>36487</v>
      </c>
      <c r="J973" s="372"/>
      <c r="K973" s="349">
        <v>0</v>
      </c>
      <c r="L973" s="349">
        <v>0</v>
      </c>
      <c r="M973" s="349">
        <v>0</v>
      </c>
      <c r="N973" s="349">
        <v>1</v>
      </c>
      <c r="O973" s="349">
        <f t="shared" si="6"/>
        <v>0</v>
      </c>
      <c r="P973" s="373">
        <f t="shared" si="7"/>
        <v>0</v>
      </c>
    </row>
    <row r="974" spans="1:16">
      <c r="A974" s="348">
        <v>1129</v>
      </c>
      <c r="B974" s="349">
        <v>4621</v>
      </c>
      <c r="C974" s="372" t="s">
        <v>8456</v>
      </c>
      <c r="D974" s="372" t="s">
        <v>2582</v>
      </c>
      <c r="E974" s="372" t="s">
        <v>2556</v>
      </c>
      <c r="F974" s="350">
        <v>45637.157638888886</v>
      </c>
      <c r="G974" s="372">
        <v>12</v>
      </c>
      <c r="H974" s="372" t="s">
        <v>2557</v>
      </c>
      <c r="I974" s="349">
        <v>36415</v>
      </c>
      <c r="J974" s="372" t="s">
        <v>8457</v>
      </c>
      <c r="K974" s="349">
        <v>36.25</v>
      </c>
      <c r="L974" s="349">
        <v>0</v>
      </c>
      <c r="M974" s="349">
        <v>0</v>
      </c>
      <c r="N974" s="349">
        <v>7.2643800000000001</v>
      </c>
      <c r="O974" s="349">
        <f t="shared" si="6"/>
        <v>36.25</v>
      </c>
      <c r="P974" s="373">
        <f t="shared" si="7"/>
        <v>4.9901023900181434</v>
      </c>
    </row>
    <row r="975" spans="1:16">
      <c r="A975" s="348">
        <v>1130</v>
      </c>
      <c r="B975" s="349">
        <v>3819</v>
      </c>
      <c r="C975" s="372" t="s">
        <v>7225</v>
      </c>
      <c r="D975" s="372" t="s">
        <v>45</v>
      </c>
      <c r="E975" s="372" t="s">
        <v>9</v>
      </c>
      <c r="F975" s="350">
        <v>45637.449305555558</v>
      </c>
      <c r="G975" s="372">
        <v>12</v>
      </c>
      <c r="H975" s="372" t="s">
        <v>8458</v>
      </c>
      <c r="I975" s="349">
        <v>34195</v>
      </c>
      <c r="J975" s="372" t="s">
        <v>7264</v>
      </c>
      <c r="K975" s="349">
        <v>0</v>
      </c>
      <c r="L975" s="349">
        <v>-3.21</v>
      </c>
      <c r="M975" s="349">
        <v>77.989999999999995</v>
      </c>
      <c r="N975" s="349">
        <v>1</v>
      </c>
      <c r="O975" s="349">
        <f t="shared" si="6"/>
        <v>-74.78</v>
      </c>
      <c r="P975" s="373">
        <f t="shared" si="7"/>
        <v>-74.78</v>
      </c>
    </row>
    <row r="976" spans="1:16">
      <c r="A976" s="348">
        <v>1131</v>
      </c>
      <c r="B976" s="349">
        <v>3985</v>
      </c>
      <c r="C976" s="372" t="s">
        <v>8386</v>
      </c>
      <c r="D976" s="372" t="s">
        <v>45</v>
      </c>
      <c r="E976" s="372" t="s">
        <v>9</v>
      </c>
      <c r="F976" s="350">
        <v>45637.512499999997</v>
      </c>
      <c r="G976" s="372">
        <v>12</v>
      </c>
      <c r="H976" s="372" t="s">
        <v>8459</v>
      </c>
      <c r="I976" s="349">
        <v>34747</v>
      </c>
      <c r="J976" s="372"/>
      <c r="K976" s="349">
        <v>0</v>
      </c>
      <c r="L976" s="349">
        <v>-1.22</v>
      </c>
      <c r="M976" s="349">
        <v>20.49</v>
      </c>
      <c r="N976" s="349">
        <v>1</v>
      </c>
      <c r="O976" s="349">
        <f t="shared" si="6"/>
        <v>-19.27</v>
      </c>
      <c r="P976" s="373">
        <f t="shared" si="7"/>
        <v>-19.27</v>
      </c>
    </row>
    <row r="977" spans="1:16">
      <c r="A977" s="348">
        <v>1133</v>
      </c>
      <c r="B977" s="349">
        <v>4740</v>
      </c>
      <c r="C977" s="372" t="s">
        <v>8460</v>
      </c>
      <c r="D977" s="372" t="s">
        <v>45</v>
      </c>
      <c r="E977" s="372" t="s">
        <v>2556</v>
      </c>
      <c r="F977" s="350">
        <v>45637.689583333333</v>
      </c>
      <c r="G977" s="372">
        <v>12</v>
      </c>
      <c r="H977" s="372" t="s">
        <v>2557</v>
      </c>
      <c r="I977" s="349">
        <v>36499</v>
      </c>
      <c r="J977" s="372" t="s">
        <v>8461</v>
      </c>
      <c r="K977" s="349">
        <v>3.99</v>
      </c>
      <c r="L977" s="349">
        <v>0</v>
      </c>
      <c r="M977" s="349">
        <v>0</v>
      </c>
      <c r="N977" s="349">
        <v>1</v>
      </c>
      <c r="O977" s="349">
        <f t="shared" si="6"/>
        <v>3.99</v>
      </c>
      <c r="P977" s="373">
        <f t="shared" si="7"/>
        <v>3.99</v>
      </c>
    </row>
    <row r="978" spans="1:16">
      <c r="A978" s="348">
        <v>1134</v>
      </c>
      <c r="B978" s="349">
        <v>3634</v>
      </c>
      <c r="C978" s="372" t="s">
        <v>8318</v>
      </c>
      <c r="D978" s="372" t="s">
        <v>2582</v>
      </c>
      <c r="E978" s="372" t="s">
        <v>2556</v>
      </c>
      <c r="F978" s="350">
        <v>45637.770138888889</v>
      </c>
      <c r="G978" s="372">
        <v>12</v>
      </c>
      <c r="H978" s="372" t="s">
        <v>2557</v>
      </c>
      <c r="I978" s="349">
        <v>36523</v>
      </c>
      <c r="J978" s="372" t="s">
        <v>8462</v>
      </c>
      <c r="K978" s="349">
        <v>121.78</v>
      </c>
      <c r="L978" s="349">
        <v>0</v>
      </c>
      <c r="M978" s="349">
        <v>0</v>
      </c>
      <c r="N978" s="349">
        <v>7.2531600000000003</v>
      </c>
      <c r="O978" s="349">
        <f t="shared" si="6"/>
        <v>121.78</v>
      </c>
      <c r="P978" s="373">
        <f t="shared" si="7"/>
        <v>16.789923288607998</v>
      </c>
    </row>
    <row r="979" spans="1:16">
      <c r="A979" s="348">
        <v>1135</v>
      </c>
      <c r="B979" s="349">
        <v>3634</v>
      </c>
      <c r="C979" s="372" t="s">
        <v>8318</v>
      </c>
      <c r="D979" s="372" t="s">
        <v>2582</v>
      </c>
      <c r="E979" s="372" t="s">
        <v>2556</v>
      </c>
      <c r="F979" s="350">
        <v>45637.77847222222</v>
      </c>
      <c r="G979" s="372">
        <v>12</v>
      </c>
      <c r="H979" s="372" t="s">
        <v>2557</v>
      </c>
      <c r="I979" s="349">
        <v>36523</v>
      </c>
      <c r="J979" s="372"/>
      <c r="K979" s="349">
        <v>0.02</v>
      </c>
      <c r="L979" s="349">
        <v>0</v>
      </c>
      <c r="M979" s="349">
        <v>0</v>
      </c>
      <c r="N979" s="349">
        <v>7.2531600000000003</v>
      </c>
      <c r="O979" s="349">
        <f t="shared" si="6"/>
        <v>0.02</v>
      </c>
      <c r="P979" s="373">
        <f t="shared" si="7"/>
        <v>2.7574188353765806E-3</v>
      </c>
    </row>
    <row r="980" spans="1:16">
      <c r="A980" s="348">
        <v>1136</v>
      </c>
      <c r="B980" s="349">
        <v>4758</v>
      </c>
      <c r="C980" s="372" t="s">
        <v>5811</v>
      </c>
      <c r="D980" s="372" t="s">
        <v>45</v>
      </c>
      <c r="E980" s="372" t="s">
        <v>2556</v>
      </c>
      <c r="F980" s="350">
        <v>45637.84375</v>
      </c>
      <c r="G980" s="372">
        <v>12</v>
      </c>
      <c r="H980" s="372" t="s">
        <v>2557</v>
      </c>
      <c r="I980" s="349">
        <v>36535</v>
      </c>
      <c r="J980" s="372" t="s">
        <v>8463</v>
      </c>
      <c r="K980" s="349">
        <v>11.99</v>
      </c>
      <c r="L980" s="349">
        <v>0</v>
      </c>
      <c r="M980" s="349">
        <v>0</v>
      </c>
      <c r="N980" s="349">
        <v>1</v>
      </c>
      <c r="O980" s="349">
        <f t="shared" si="6"/>
        <v>11.99</v>
      </c>
      <c r="P980" s="373">
        <f t="shared" si="7"/>
        <v>11.99</v>
      </c>
    </row>
    <row r="981" spans="1:16">
      <c r="A981" s="348">
        <v>1137</v>
      </c>
      <c r="B981" s="349">
        <v>4776</v>
      </c>
      <c r="C981" s="372" t="s">
        <v>2856</v>
      </c>
      <c r="D981" s="372" t="s">
        <v>45</v>
      </c>
      <c r="E981" s="372" t="s">
        <v>2556</v>
      </c>
      <c r="F981" s="350">
        <v>45637.972916666666</v>
      </c>
      <c r="G981" s="372">
        <v>12</v>
      </c>
      <c r="H981" s="372" t="s">
        <v>2557</v>
      </c>
      <c r="I981" s="349">
        <v>36547</v>
      </c>
      <c r="J981" s="372" t="s">
        <v>8464</v>
      </c>
      <c r="K981" s="349">
        <v>23.99</v>
      </c>
      <c r="L981" s="349">
        <v>0</v>
      </c>
      <c r="M981" s="349">
        <v>0</v>
      </c>
      <c r="N981" s="349">
        <v>1</v>
      </c>
      <c r="O981" s="349">
        <f t="shared" si="6"/>
        <v>23.99</v>
      </c>
      <c r="P981" s="373">
        <f t="shared" si="7"/>
        <v>23.99</v>
      </c>
    </row>
    <row r="982" spans="1:16">
      <c r="A982" s="348">
        <v>1138</v>
      </c>
      <c r="B982" s="349">
        <v>4794</v>
      </c>
      <c r="C982" s="372" t="s">
        <v>8465</v>
      </c>
      <c r="D982" s="372" t="s">
        <v>45</v>
      </c>
      <c r="E982" s="372" t="s">
        <v>2556</v>
      </c>
      <c r="F982" s="350">
        <v>45638.073611111111</v>
      </c>
      <c r="G982" s="372">
        <v>12</v>
      </c>
      <c r="H982" s="372" t="s">
        <v>2557</v>
      </c>
      <c r="I982" s="349">
        <v>36571</v>
      </c>
      <c r="J982" s="372" t="s">
        <v>8466</v>
      </c>
      <c r="K982" s="349">
        <v>20.99</v>
      </c>
      <c r="L982" s="349">
        <v>0</v>
      </c>
      <c r="M982" s="349">
        <v>0</v>
      </c>
      <c r="N982" s="349">
        <v>1</v>
      </c>
      <c r="O982" s="349">
        <f t="shared" si="6"/>
        <v>20.99</v>
      </c>
      <c r="P982" s="373">
        <f t="shared" si="7"/>
        <v>20.99</v>
      </c>
    </row>
    <row r="983" spans="1:16">
      <c r="A983" s="348">
        <v>1139</v>
      </c>
      <c r="B983" s="349">
        <v>4836</v>
      </c>
      <c r="C983" s="372" t="s">
        <v>8467</v>
      </c>
      <c r="D983" s="372" t="s">
        <v>45</v>
      </c>
      <c r="E983" s="372" t="s">
        <v>2556</v>
      </c>
      <c r="F983" s="350">
        <v>45638.3125</v>
      </c>
      <c r="G983" s="372">
        <v>12</v>
      </c>
      <c r="H983" s="372" t="s">
        <v>2557</v>
      </c>
      <c r="I983" s="349">
        <v>36583</v>
      </c>
      <c r="J983" s="372" t="s">
        <v>8468</v>
      </c>
      <c r="K983" s="349">
        <v>16.79</v>
      </c>
      <c r="L983" s="349">
        <v>0</v>
      </c>
      <c r="M983" s="349">
        <v>0</v>
      </c>
      <c r="N983" s="349">
        <v>1</v>
      </c>
      <c r="O983" s="349">
        <f t="shared" si="6"/>
        <v>16.79</v>
      </c>
      <c r="P983" s="373">
        <f t="shared" si="7"/>
        <v>16.79</v>
      </c>
    </row>
    <row r="984" spans="1:16">
      <c r="A984" s="348">
        <v>1140</v>
      </c>
      <c r="B984" s="349">
        <v>4846</v>
      </c>
      <c r="C984" s="372" t="s">
        <v>4278</v>
      </c>
      <c r="D984" s="372" t="s">
        <v>45</v>
      </c>
      <c r="E984" s="372" t="s">
        <v>2556</v>
      </c>
      <c r="F984" s="350">
        <v>45638.445833333331</v>
      </c>
      <c r="G984" s="372">
        <v>12</v>
      </c>
      <c r="H984" s="372" t="s">
        <v>2557</v>
      </c>
      <c r="I984" s="349">
        <v>36715</v>
      </c>
      <c r="J984" s="372" t="s">
        <v>8469</v>
      </c>
      <c r="K984" s="349">
        <v>16.79</v>
      </c>
      <c r="L984" s="349">
        <v>0</v>
      </c>
      <c r="M984" s="349">
        <v>0</v>
      </c>
      <c r="N984" s="349">
        <v>1</v>
      </c>
      <c r="O984" s="349">
        <f t="shared" si="6"/>
        <v>16.79</v>
      </c>
      <c r="P984" s="373">
        <f t="shared" si="7"/>
        <v>16.79</v>
      </c>
    </row>
    <row r="985" spans="1:16">
      <c r="A985" s="348">
        <v>1141</v>
      </c>
      <c r="B985" s="349">
        <v>4561</v>
      </c>
      <c r="C985" s="372" t="s">
        <v>3351</v>
      </c>
      <c r="D985" s="372" t="s">
        <v>2582</v>
      </c>
      <c r="E985" s="372" t="s">
        <v>2556</v>
      </c>
      <c r="F985" s="350">
        <v>45638.465277777781</v>
      </c>
      <c r="G985" s="372">
        <v>12</v>
      </c>
      <c r="H985" s="372" t="s">
        <v>2557</v>
      </c>
      <c r="I985" s="349">
        <v>36727</v>
      </c>
      <c r="J985" s="372" t="s">
        <v>8470</v>
      </c>
      <c r="K985" s="349">
        <v>515.64</v>
      </c>
      <c r="L985" s="349">
        <v>0</v>
      </c>
      <c r="M985" s="349">
        <v>0</v>
      </c>
      <c r="N985" s="349">
        <v>7.2635399999999999</v>
      </c>
      <c r="O985" s="349">
        <f t="shared" si="6"/>
        <v>515.64</v>
      </c>
      <c r="P985" s="373">
        <f t="shared" si="7"/>
        <v>70.990178342791538</v>
      </c>
    </row>
    <row r="986" spans="1:16">
      <c r="A986" s="348">
        <v>1142</v>
      </c>
      <c r="B986" s="349">
        <v>4786</v>
      </c>
      <c r="C986" s="372" t="s">
        <v>8471</v>
      </c>
      <c r="D986" s="372" t="s">
        <v>2582</v>
      </c>
      <c r="E986" s="372" t="s">
        <v>9</v>
      </c>
      <c r="F986" s="350">
        <v>45638.506249999999</v>
      </c>
      <c r="G986" s="372">
        <v>12</v>
      </c>
      <c r="H986" s="372" t="s">
        <v>2557</v>
      </c>
      <c r="I986" s="349">
        <v>36739</v>
      </c>
      <c r="J986" s="372" t="s">
        <v>7267</v>
      </c>
      <c r="K986" s="349">
        <v>232.33</v>
      </c>
      <c r="L986" s="349">
        <v>15.18</v>
      </c>
      <c r="M986" s="349">
        <v>0</v>
      </c>
      <c r="N986" s="349">
        <v>7.2635399999999999</v>
      </c>
      <c r="O986" s="349">
        <f t="shared" si="6"/>
        <v>217.15</v>
      </c>
      <c r="P986" s="373">
        <f t="shared" si="7"/>
        <v>29.895890984285899</v>
      </c>
    </row>
    <row r="987" spans="1:16">
      <c r="A987" s="348">
        <v>1143</v>
      </c>
      <c r="B987" s="349">
        <v>479</v>
      </c>
      <c r="C987" s="372" t="s">
        <v>2964</v>
      </c>
      <c r="D987" s="372" t="s">
        <v>45</v>
      </c>
      <c r="E987" s="372" t="s">
        <v>2556</v>
      </c>
      <c r="F987" s="350">
        <v>45638.591666666667</v>
      </c>
      <c r="G987" s="372">
        <v>12</v>
      </c>
      <c r="H987" s="372" t="s">
        <v>2557</v>
      </c>
      <c r="I987" s="349">
        <v>34951</v>
      </c>
      <c r="J987" s="372" t="s">
        <v>8472</v>
      </c>
      <c r="K987" s="349">
        <v>1.0900000000000001</v>
      </c>
      <c r="L987" s="349">
        <v>0</v>
      </c>
      <c r="M987" s="349">
        <v>0</v>
      </c>
      <c r="N987" s="349">
        <v>1</v>
      </c>
      <c r="O987" s="349">
        <f t="shared" si="6"/>
        <v>1.0900000000000001</v>
      </c>
      <c r="P987" s="373">
        <f t="shared" si="7"/>
        <v>1.0900000000000001</v>
      </c>
    </row>
    <row r="988" spans="1:16">
      <c r="A988" s="348">
        <v>1144</v>
      </c>
      <c r="B988" s="349">
        <v>4862</v>
      </c>
      <c r="C988" s="372" t="s">
        <v>8473</v>
      </c>
      <c r="D988" s="372" t="s">
        <v>45</v>
      </c>
      <c r="E988" s="372" t="s">
        <v>2556</v>
      </c>
      <c r="F988" s="350">
        <v>45638.633333333331</v>
      </c>
      <c r="G988" s="372">
        <v>12</v>
      </c>
      <c r="H988" s="372" t="s">
        <v>2557</v>
      </c>
      <c r="I988" s="349">
        <v>36751</v>
      </c>
      <c r="J988" s="372" t="s">
        <v>8474</v>
      </c>
      <c r="K988" s="349">
        <v>5.99</v>
      </c>
      <c r="L988" s="349">
        <v>0</v>
      </c>
      <c r="M988" s="349">
        <v>0</v>
      </c>
      <c r="N988" s="349">
        <v>1</v>
      </c>
      <c r="O988" s="349">
        <f t="shared" si="6"/>
        <v>5.99</v>
      </c>
      <c r="P988" s="373">
        <f t="shared" si="7"/>
        <v>5.99</v>
      </c>
    </row>
    <row r="989" spans="1:16">
      <c r="A989" s="348">
        <v>1145</v>
      </c>
      <c r="B989" s="349">
        <v>4863</v>
      </c>
      <c r="C989" s="372" t="s">
        <v>7720</v>
      </c>
      <c r="D989" s="372" t="s">
        <v>45</v>
      </c>
      <c r="E989" s="372" t="s">
        <v>2556</v>
      </c>
      <c r="F989" s="350">
        <v>45638.634027777778</v>
      </c>
      <c r="G989" s="372">
        <v>12</v>
      </c>
      <c r="H989" s="372" t="s">
        <v>2557</v>
      </c>
      <c r="I989" s="349">
        <v>36763</v>
      </c>
      <c r="J989" s="372" t="s">
        <v>8475</v>
      </c>
      <c r="K989" s="349">
        <v>16.79</v>
      </c>
      <c r="L989" s="349">
        <v>0</v>
      </c>
      <c r="M989" s="349">
        <v>0</v>
      </c>
      <c r="N989" s="349">
        <v>1</v>
      </c>
      <c r="O989" s="349">
        <f t="shared" si="6"/>
        <v>16.79</v>
      </c>
      <c r="P989" s="373">
        <f t="shared" si="7"/>
        <v>16.79</v>
      </c>
    </row>
    <row r="990" spans="1:16">
      <c r="A990" s="348">
        <v>1146</v>
      </c>
      <c r="B990" s="349">
        <v>4501</v>
      </c>
      <c r="C990" s="372" t="s">
        <v>7720</v>
      </c>
      <c r="D990" s="372" t="s">
        <v>45</v>
      </c>
      <c r="E990" s="372" t="s">
        <v>2556</v>
      </c>
      <c r="F990" s="350">
        <v>45638.635416666664</v>
      </c>
      <c r="G990" s="372">
        <v>12</v>
      </c>
      <c r="H990" s="372" t="s">
        <v>2557</v>
      </c>
      <c r="I990" s="349">
        <v>36775</v>
      </c>
      <c r="J990" s="372" t="s">
        <v>8476</v>
      </c>
      <c r="K990" s="349">
        <v>6</v>
      </c>
      <c r="L990" s="349">
        <v>0</v>
      </c>
      <c r="M990" s="349">
        <v>0</v>
      </c>
      <c r="N990" s="349">
        <v>1</v>
      </c>
      <c r="O990" s="349">
        <f t="shared" si="6"/>
        <v>6</v>
      </c>
      <c r="P990" s="373">
        <f t="shared" si="7"/>
        <v>6</v>
      </c>
    </row>
    <row r="991" spans="1:16">
      <c r="A991" s="348">
        <v>1147</v>
      </c>
      <c r="B991" s="349">
        <v>4876</v>
      </c>
      <c r="C991" s="372" t="s">
        <v>8477</v>
      </c>
      <c r="D991" s="372" t="s">
        <v>45</v>
      </c>
      <c r="E991" s="372" t="s">
        <v>2556</v>
      </c>
      <c r="F991" s="350">
        <v>45638.994444444441</v>
      </c>
      <c r="G991" s="372">
        <v>12</v>
      </c>
      <c r="H991" s="372" t="s">
        <v>2557</v>
      </c>
      <c r="I991" s="349">
        <v>36799</v>
      </c>
      <c r="J991" s="372" t="s">
        <v>8478</v>
      </c>
      <c r="K991" s="349">
        <v>16.79</v>
      </c>
      <c r="L991" s="349">
        <v>0</v>
      </c>
      <c r="M991" s="349">
        <v>0</v>
      </c>
      <c r="N991" s="349">
        <v>1</v>
      </c>
      <c r="O991" s="349">
        <f t="shared" si="6"/>
        <v>16.79</v>
      </c>
      <c r="P991" s="373">
        <f t="shared" si="7"/>
        <v>16.79</v>
      </c>
    </row>
    <row r="992" spans="1:16">
      <c r="A992" s="348">
        <v>1148</v>
      </c>
      <c r="B992" s="349">
        <v>392</v>
      </c>
      <c r="C992" s="372" t="s">
        <v>2876</v>
      </c>
      <c r="D992" s="372" t="s">
        <v>2582</v>
      </c>
      <c r="E992" s="372" t="s">
        <v>2556</v>
      </c>
      <c r="F992" s="350">
        <v>45639.093055555553</v>
      </c>
      <c r="G992" s="372">
        <v>12</v>
      </c>
      <c r="H992" s="372" t="s">
        <v>2557</v>
      </c>
      <c r="I992" s="349">
        <v>33595</v>
      </c>
      <c r="J992" s="372" t="s">
        <v>8479</v>
      </c>
      <c r="K992" s="349">
        <v>7.77</v>
      </c>
      <c r="L992" s="349">
        <v>0</v>
      </c>
      <c r="M992" s="349">
        <v>0</v>
      </c>
      <c r="N992" s="349">
        <v>7.2635399999999999</v>
      </c>
      <c r="O992" s="349">
        <f t="shared" si="6"/>
        <v>7.77</v>
      </c>
      <c r="P992" s="373">
        <f t="shared" si="7"/>
        <v>1.0697263317886319</v>
      </c>
    </row>
    <row r="993" spans="1:16">
      <c r="A993" s="348">
        <v>1149</v>
      </c>
      <c r="B993" s="349">
        <v>3607</v>
      </c>
      <c r="C993" s="372" t="s">
        <v>2606</v>
      </c>
      <c r="D993" s="372" t="s">
        <v>45</v>
      </c>
      <c r="E993" s="372" t="s">
        <v>2556</v>
      </c>
      <c r="F993" s="350">
        <v>45639.37777777778</v>
      </c>
      <c r="G993" s="372">
        <v>12</v>
      </c>
      <c r="H993" s="372" t="s">
        <v>2557</v>
      </c>
      <c r="I993" s="349">
        <v>36871</v>
      </c>
      <c r="J993" s="372" t="s">
        <v>8480</v>
      </c>
      <c r="K993" s="349">
        <v>1.0900000000000001</v>
      </c>
      <c r="L993" s="349">
        <v>0</v>
      </c>
      <c r="M993" s="349">
        <v>0</v>
      </c>
      <c r="N993" s="349">
        <v>1</v>
      </c>
      <c r="O993" s="349">
        <f t="shared" si="6"/>
        <v>1.0900000000000001</v>
      </c>
      <c r="P993" s="373">
        <f t="shared" si="7"/>
        <v>1.0900000000000001</v>
      </c>
    </row>
    <row r="994" spans="1:16">
      <c r="A994" s="348">
        <v>1150</v>
      </c>
      <c r="B994" s="349">
        <v>4908</v>
      </c>
      <c r="C994" s="372" t="s">
        <v>8481</v>
      </c>
      <c r="D994" s="372" t="s">
        <v>45</v>
      </c>
      <c r="E994" s="372" t="s">
        <v>2556</v>
      </c>
      <c r="F994" s="350">
        <v>45639.919444444444</v>
      </c>
      <c r="G994" s="372">
        <v>12</v>
      </c>
      <c r="H994" s="372" t="s">
        <v>2557</v>
      </c>
      <c r="I994" s="349">
        <v>36907</v>
      </c>
      <c r="J994" s="372" t="s">
        <v>8482</v>
      </c>
      <c r="K994" s="349">
        <v>5.49</v>
      </c>
      <c r="L994" s="349">
        <v>0</v>
      </c>
      <c r="M994" s="349">
        <v>0</v>
      </c>
      <c r="N994" s="349">
        <v>1</v>
      </c>
      <c r="O994" s="349">
        <f t="shared" si="6"/>
        <v>5.49</v>
      </c>
      <c r="P994" s="373">
        <f t="shared" si="7"/>
        <v>5.49</v>
      </c>
    </row>
    <row r="995" spans="1:16">
      <c r="A995" s="348">
        <v>1151</v>
      </c>
      <c r="B995" s="349">
        <v>1785</v>
      </c>
      <c r="C995" s="372" t="s">
        <v>7787</v>
      </c>
      <c r="D995" s="372" t="s">
        <v>2582</v>
      </c>
      <c r="E995" s="372" t="s">
        <v>2556</v>
      </c>
      <c r="F995" s="350">
        <v>45639.933333333334</v>
      </c>
      <c r="G995" s="372">
        <v>12</v>
      </c>
      <c r="H995" s="372" t="s">
        <v>2557</v>
      </c>
      <c r="I995" s="349">
        <v>36919</v>
      </c>
      <c r="J995" s="372" t="s">
        <v>8483</v>
      </c>
      <c r="K995" s="349">
        <v>152.66999999999999</v>
      </c>
      <c r="L995" s="349">
        <v>0</v>
      </c>
      <c r="M995" s="349">
        <v>0</v>
      </c>
      <c r="N995" s="349">
        <v>7.2702299999999997</v>
      </c>
      <c r="O995" s="349">
        <f t="shared" si="6"/>
        <v>152.66999999999999</v>
      </c>
      <c r="P995" s="373">
        <f t="shared" si="7"/>
        <v>20.999335646877746</v>
      </c>
    </row>
    <row r="996" spans="1:16">
      <c r="A996" s="348">
        <v>1152</v>
      </c>
      <c r="B996" s="349">
        <v>127</v>
      </c>
      <c r="C996" s="372" t="s">
        <v>7478</v>
      </c>
      <c r="D996" s="372" t="s">
        <v>45</v>
      </c>
      <c r="E996" s="372" t="s">
        <v>2556</v>
      </c>
      <c r="F996" s="350">
        <v>45640.729861111111</v>
      </c>
      <c r="G996" s="372">
        <v>12</v>
      </c>
      <c r="H996" s="372" t="s">
        <v>2557</v>
      </c>
      <c r="I996" s="349">
        <v>34099</v>
      </c>
      <c r="J996" s="372" t="s">
        <v>8484</v>
      </c>
      <c r="K996" s="349">
        <v>1.0900000000000001</v>
      </c>
      <c r="L996" s="349">
        <v>0</v>
      </c>
      <c r="M996" s="349">
        <v>0</v>
      </c>
      <c r="N996" s="349">
        <v>1</v>
      </c>
      <c r="O996" s="349">
        <f t="shared" si="6"/>
        <v>1.0900000000000001</v>
      </c>
      <c r="P996" s="373">
        <f t="shared" si="7"/>
        <v>1.0900000000000001</v>
      </c>
    </row>
    <row r="997" spans="1:16">
      <c r="A997" s="348">
        <v>1153</v>
      </c>
      <c r="B997" s="349">
        <v>4283</v>
      </c>
      <c r="C997" s="372" t="s">
        <v>8426</v>
      </c>
      <c r="D997" s="372" t="s">
        <v>45</v>
      </c>
      <c r="E997" s="372" t="s">
        <v>2556</v>
      </c>
      <c r="F997" s="350">
        <v>45640.943749999999</v>
      </c>
      <c r="G997" s="372">
        <v>12</v>
      </c>
      <c r="H997" s="372" t="s">
        <v>2557</v>
      </c>
      <c r="I997" s="349">
        <v>37063</v>
      </c>
      <c r="J997" s="372" t="s">
        <v>8485</v>
      </c>
      <c r="K997" s="349">
        <v>32.99</v>
      </c>
      <c r="L997" s="349">
        <v>0</v>
      </c>
      <c r="M997" s="349">
        <v>0</v>
      </c>
      <c r="N997" s="349">
        <v>1</v>
      </c>
      <c r="O997" s="349">
        <f t="shared" si="6"/>
        <v>32.99</v>
      </c>
      <c r="P997" s="373">
        <f t="shared" si="7"/>
        <v>32.99</v>
      </c>
    </row>
    <row r="998" spans="1:16">
      <c r="A998" s="348">
        <v>1154</v>
      </c>
      <c r="B998" s="349">
        <v>4994</v>
      </c>
      <c r="C998" s="372" t="s">
        <v>8486</v>
      </c>
      <c r="D998" s="372" t="s">
        <v>2582</v>
      </c>
      <c r="E998" s="372" t="s">
        <v>2556</v>
      </c>
      <c r="F998" s="350">
        <v>45641.538888888892</v>
      </c>
      <c r="G998" s="372">
        <v>12</v>
      </c>
      <c r="H998" s="372" t="s">
        <v>2557</v>
      </c>
      <c r="I998" s="349">
        <v>37195</v>
      </c>
      <c r="J998" s="372" t="s">
        <v>8487</v>
      </c>
      <c r="K998" s="349">
        <v>29.02</v>
      </c>
      <c r="L998" s="349">
        <v>0</v>
      </c>
      <c r="M998" s="349">
        <v>0</v>
      </c>
      <c r="N998" s="349">
        <v>7.2742000000000004</v>
      </c>
      <c r="O998" s="349">
        <f t="shared" si="6"/>
        <v>29.02</v>
      </c>
      <c r="P998" s="373">
        <f t="shared" si="7"/>
        <v>3.9894421379670613</v>
      </c>
    </row>
    <row r="999" spans="1:16">
      <c r="A999" s="348">
        <v>1155</v>
      </c>
      <c r="B999" s="349">
        <v>4994</v>
      </c>
      <c r="C999" s="372" t="s">
        <v>8486</v>
      </c>
      <c r="D999" s="372" t="s">
        <v>2582</v>
      </c>
      <c r="E999" s="372" t="s">
        <v>2556</v>
      </c>
      <c r="F999" s="350">
        <v>45641.582638888889</v>
      </c>
      <c r="G999" s="372">
        <v>12</v>
      </c>
      <c r="H999" s="372" t="s">
        <v>2557</v>
      </c>
      <c r="I999" s="349">
        <v>37207</v>
      </c>
      <c r="J999" s="372" t="s">
        <v>8488</v>
      </c>
      <c r="K999" s="349">
        <v>21.75</v>
      </c>
      <c r="L999" s="349">
        <v>0</v>
      </c>
      <c r="M999" s="349">
        <v>0</v>
      </c>
      <c r="N999" s="349">
        <v>7.2742000000000004</v>
      </c>
      <c r="O999" s="349">
        <f t="shared" si="6"/>
        <v>21.75</v>
      </c>
      <c r="P999" s="373">
        <f t="shared" si="7"/>
        <v>2.990019521046988</v>
      </c>
    </row>
    <row r="1000" spans="1:16">
      <c r="A1000" s="348">
        <v>1156</v>
      </c>
      <c r="B1000" s="349">
        <v>5000</v>
      </c>
      <c r="C1000" s="372" t="s">
        <v>8489</v>
      </c>
      <c r="D1000" s="372" t="s">
        <v>45</v>
      </c>
      <c r="E1000" s="372" t="s">
        <v>2556</v>
      </c>
      <c r="F1000" s="350">
        <v>45641.724999999999</v>
      </c>
      <c r="G1000" s="372">
        <v>12</v>
      </c>
      <c r="H1000" s="372" t="s">
        <v>2557</v>
      </c>
      <c r="I1000" s="349">
        <v>37219</v>
      </c>
      <c r="J1000" s="372" t="s">
        <v>8490</v>
      </c>
      <c r="K1000" s="349">
        <v>2.4900000000000002</v>
      </c>
      <c r="L1000" s="349">
        <v>0</v>
      </c>
      <c r="M1000" s="349">
        <v>0</v>
      </c>
      <c r="N1000" s="349">
        <v>1</v>
      </c>
      <c r="O1000" s="349">
        <f t="shared" si="6"/>
        <v>2.4900000000000002</v>
      </c>
      <c r="P1000" s="373">
        <f t="shared" si="7"/>
        <v>2.4900000000000002</v>
      </c>
    </row>
    <row r="1001" spans="1:16">
      <c r="A1001" s="348">
        <v>1157</v>
      </c>
      <c r="B1001" s="349">
        <v>5003</v>
      </c>
      <c r="C1001" s="372" t="s">
        <v>7661</v>
      </c>
      <c r="D1001" s="372" t="s">
        <v>45</v>
      </c>
      <c r="E1001" s="372" t="s">
        <v>9</v>
      </c>
      <c r="F1001" s="350">
        <v>45641.963194444441</v>
      </c>
      <c r="G1001" s="372">
        <v>12</v>
      </c>
      <c r="H1001" s="372" t="s">
        <v>2557</v>
      </c>
      <c r="I1001" s="349">
        <v>37231</v>
      </c>
      <c r="J1001" s="372" t="s">
        <v>7270</v>
      </c>
      <c r="K1001" s="349">
        <v>3.99</v>
      </c>
      <c r="L1001" s="349">
        <v>0.69</v>
      </c>
      <c r="M1001" s="349">
        <v>0</v>
      </c>
      <c r="N1001" s="349">
        <v>1</v>
      </c>
      <c r="O1001" s="349">
        <f t="shared" si="6"/>
        <v>3.3000000000000003</v>
      </c>
      <c r="P1001" s="373">
        <f t="shared" si="7"/>
        <v>3.3000000000000003</v>
      </c>
    </row>
    <row r="1002" spans="1:16">
      <c r="A1002" s="348">
        <v>1158</v>
      </c>
      <c r="B1002" s="349">
        <v>510</v>
      </c>
      <c r="C1002" s="372"/>
      <c r="D1002" s="372" t="s">
        <v>45</v>
      </c>
      <c r="E1002" s="372" t="s">
        <v>2556</v>
      </c>
      <c r="F1002" s="350">
        <v>45642.131249999999</v>
      </c>
      <c r="G1002" s="372">
        <v>12</v>
      </c>
      <c r="H1002" s="372" t="s">
        <v>2557</v>
      </c>
      <c r="I1002" s="349">
        <v>34939</v>
      </c>
      <c r="J1002" s="372" t="s">
        <v>8491</v>
      </c>
      <c r="K1002" s="349">
        <v>1.0900000000000001</v>
      </c>
      <c r="L1002" s="349">
        <v>0</v>
      </c>
      <c r="M1002" s="349">
        <v>0</v>
      </c>
      <c r="N1002" s="349">
        <v>1</v>
      </c>
      <c r="O1002" s="349">
        <f t="shared" si="6"/>
        <v>1.0900000000000001</v>
      </c>
      <c r="P1002" s="373">
        <f t="shared" si="7"/>
        <v>1.0900000000000001</v>
      </c>
    </row>
    <row r="1003" spans="1:16">
      <c r="A1003" s="348">
        <v>1159</v>
      </c>
      <c r="B1003" s="349">
        <v>3826</v>
      </c>
      <c r="C1003" s="372" t="s">
        <v>423</v>
      </c>
      <c r="D1003" s="372" t="s">
        <v>45</v>
      </c>
      <c r="E1003" s="372" t="s">
        <v>9</v>
      </c>
      <c r="F1003" s="350">
        <v>45642.422222222223</v>
      </c>
      <c r="G1003" s="372">
        <v>12</v>
      </c>
      <c r="H1003" s="372" t="s">
        <v>2557</v>
      </c>
      <c r="I1003" s="349">
        <v>37291</v>
      </c>
      <c r="J1003" s="372" t="s">
        <v>7271</v>
      </c>
      <c r="K1003" s="349">
        <v>1.0900000000000001</v>
      </c>
      <c r="L1003" s="349">
        <v>0.54</v>
      </c>
      <c r="M1003" s="349">
        <v>0</v>
      </c>
      <c r="N1003" s="349">
        <v>1</v>
      </c>
      <c r="O1003" s="349">
        <f t="shared" si="6"/>
        <v>0.55000000000000004</v>
      </c>
      <c r="P1003" s="373">
        <f t="shared" si="7"/>
        <v>0.55000000000000004</v>
      </c>
    </row>
    <row r="1004" spans="1:16">
      <c r="A1004" s="348">
        <v>1160</v>
      </c>
      <c r="B1004" s="349">
        <v>5025</v>
      </c>
      <c r="C1004" s="372" t="s">
        <v>8492</v>
      </c>
      <c r="D1004" s="372" t="s">
        <v>45</v>
      </c>
      <c r="E1004" s="372" t="s">
        <v>2556</v>
      </c>
      <c r="F1004" s="350">
        <v>45642.490277777775</v>
      </c>
      <c r="G1004" s="372">
        <v>12</v>
      </c>
      <c r="H1004" s="372" t="s">
        <v>2557</v>
      </c>
      <c r="I1004" s="349">
        <v>37339</v>
      </c>
      <c r="J1004" s="372" t="s">
        <v>8493</v>
      </c>
      <c r="K1004" s="349">
        <v>3.99</v>
      </c>
      <c r="L1004" s="349">
        <v>0</v>
      </c>
      <c r="M1004" s="349">
        <v>0</v>
      </c>
      <c r="N1004" s="349">
        <v>1</v>
      </c>
      <c r="O1004" s="349">
        <f t="shared" si="6"/>
        <v>3.99</v>
      </c>
      <c r="P1004" s="373">
        <f t="shared" si="7"/>
        <v>3.99</v>
      </c>
    </row>
    <row r="1005" spans="1:16">
      <c r="A1005" s="348">
        <v>1161</v>
      </c>
      <c r="B1005" s="349">
        <v>351</v>
      </c>
      <c r="C1005" s="372" t="s">
        <v>2707</v>
      </c>
      <c r="D1005" s="372" t="s">
        <v>45</v>
      </c>
      <c r="E1005" s="372" t="s">
        <v>9</v>
      </c>
      <c r="F1005" s="350">
        <v>45642.765277777777</v>
      </c>
      <c r="G1005" s="372">
        <v>12</v>
      </c>
      <c r="H1005" s="372" t="s">
        <v>2557</v>
      </c>
      <c r="I1005" s="349">
        <v>29743</v>
      </c>
      <c r="J1005" s="372" t="s">
        <v>7273</v>
      </c>
      <c r="K1005" s="349">
        <v>1.0900000000000001</v>
      </c>
      <c r="L1005" s="349">
        <v>0.54</v>
      </c>
      <c r="M1005" s="349">
        <v>0</v>
      </c>
      <c r="N1005" s="349">
        <v>1</v>
      </c>
      <c r="O1005" s="349">
        <f t="shared" si="6"/>
        <v>0.55000000000000004</v>
      </c>
      <c r="P1005" s="373">
        <f t="shared" si="7"/>
        <v>0.55000000000000004</v>
      </c>
    </row>
    <row r="1006" spans="1:16">
      <c r="A1006" s="348">
        <v>1162</v>
      </c>
      <c r="B1006" s="349">
        <v>272</v>
      </c>
      <c r="C1006" s="372" t="s">
        <v>7661</v>
      </c>
      <c r="D1006" s="372" t="s">
        <v>45</v>
      </c>
      <c r="E1006" s="372" t="s">
        <v>2556</v>
      </c>
      <c r="F1006" s="350">
        <v>45642.868055555555</v>
      </c>
      <c r="G1006" s="372">
        <v>12</v>
      </c>
      <c r="H1006" s="372" t="s">
        <v>2557</v>
      </c>
      <c r="I1006" s="349">
        <v>26335</v>
      </c>
      <c r="J1006" s="372" t="s">
        <v>8494</v>
      </c>
      <c r="K1006" s="349">
        <v>1.49</v>
      </c>
      <c r="L1006" s="349">
        <v>0</v>
      </c>
      <c r="M1006" s="349">
        <v>0</v>
      </c>
      <c r="N1006" s="349">
        <v>1</v>
      </c>
      <c r="O1006" s="349">
        <f t="shared" si="6"/>
        <v>1.49</v>
      </c>
      <c r="P1006" s="373">
        <f t="shared" si="7"/>
        <v>1.49</v>
      </c>
    </row>
    <row r="1007" spans="1:16">
      <c r="A1007" s="348">
        <v>1163</v>
      </c>
      <c r="B1007" s="349">
        <v>419</v>
      </c>
      <c r="C1007" s="372" t="s">
        <v>6584</v>
      </c>
      <c r="D1007" s="372" t="s">
        <v>2582</v>
      </c>
      <c r="E1007" s="372" t="s">
        <v>2556</v>
      </c>
      <c r="F1007" s="350">
        <v>45642.890972222223</v>
      </c>
      <c r="G1007" s="372">
        <v>12</v>
      </c>
      <c r="H1007" s="372" t="s">
        <v>2557</v>
      </c>
      <c r="I1007" s="349">
        <v>37363</v>
      </c>
      <c r="J1007" s="372" t="s">
        <v>8495</v>
      </c>
      <c r="K1007" s="349">
        <v>61.1</v>
      </c>
      <c r="L1007" s="349">
        <v>0</v>
      </c>
      <c r="M1007" s="349">
        <v>0</v>
      </c>
      <c r="N1007" s="349">
        <v>7.2742000000000004</v>
      </c>
      <c r="O1007" s="349">
        <f t="shared" si="6"/>
        <v>61.1</v>
      </c>
      <c r="P1007" s="373">
        <f t="shared" si="7"/>
        <v>8.3995490913090087</v>
      </c>
    </row>
    <row r="1008" spans="1:16">
      <c r="A1008" s="348">
        <v>1164</v>
      </c>
      <c r="B1008" s="349">
        <v>5081</v>
      </c>
      <c r="C1008" s="372" t="s">
        <v>6527</v>
      </c>
      <c r="D1008" s="372" t="s">
        <v>45</v>
      </c>
      <c r="E1008" s="372" t="s">
        <v>9</v>
      </c>
      <c r="F1008" s="350">
        <v>45642.898611111108</v>
      </c>
      <c r="G1008" s="372">
        <v>12</v>
      </c>
      <c r="H1008" s="372" t="s">
        <v>2557</v>
      </c>
      <c r="I1008" s="349">
        <v>37387</v>
      </c>
      <c r="J1008" s="372" t="s">
        <v>7275</v>
      </c>
      <c r="K1008" s="349">
        <v>8.39</v>
      </c>
      <c r="L1008" s="349">
        <v>0.91</v>
      </c>
      <c r="M1008" s="349">
        <v>0</v>
      </c>
      <c r="N1008" s="349">
        <v>1</v>
      </c>
      <c r="O1008" s="349">
        <f t="shared" si="6"/>
        <v>7.48</v>
      </c>
      <c r="P1008" s="373">
        <f t="shared" si="7"/>
        <v>7.48</v>
      </c>
    </row>
    <row r="1009" spans="1:16">
      <c r="A1009" s="348">
        <v>1165</v>
      </c>
      <c r="B1009" s="349">
        <v>5079</v>
      </c>
      <c r="C1009" s="372" t="s">
        <v>2970</v>
      </c>
      <c r="D1009" s="372" t="s">
        <v>45</v>
      </c>
      <c r="E1009" s="372" t="s">
        <v>2556</v>
      </c>
      <c r="F1009" s="350">
        <v>45642.909722222219</v>
      </c>
      <c r="G1009" s="372">
        <v>12</v>
      </c>
      <c r="H1009" s="372" t="s">
        <v>2557</v>
      </c>
      <c r="I1009" s="349">
        <v>37399</v>
      </c>
      <c r="J1009" s="372" t="s">
        <v>8496</v>
      </c>
      <c r="K1009" s="349">
        <v>8.39</v>
      </c>
      <c r="L1009" s="349">
        <v>0</v>
      </c>
      <c r="M1009" s="349">
        <v>0</v>
      </c>
      <c r="N1009" s="349">
        <v>1</v>
      </c>
      <c r="O1009" s="349">
        <f t="shared" si="6"/>
        <v>8.39</v>
      </c>
      <c r="P1009" s="373">
        <f t="shared" si="7"/>
        <v>8.39</v>
      </c>
    </row>
    <row r="1010" spans="1:16">
      <c r="A1010" s="348">
        <v>1166</v>
      </c>
      <c r="B1010" s="349">
        <v>5086</v>
      </c>
      <c r="C1010" s="372" t="s">
        <v>8497</v>
      </c>
      <c r="D1010" s="372" t="s">
        <v>45</v>
      </c>
      <c r="E1010" s="372" t="s">
        <v>9</v>
      </c>
      <c r="F1010" s="350">
        <v>45642.916666666664</v>
      </c>
      <c r="G1010" s="372">
        <v>12</v>
      </c>
      <c r="H1010" s="372" t="s">
        <v>2557</v>
      </c>
      <c r="I1010" s="349">
        <v>37411</v>
      </c>
      <c r="J1010" s="372" t="s">
        <v>7277</v>
      </c>
      <c r="K1010" s="349">
        <v>10.49</v>
      </c>
      <c r="L1010" s="349">
        <v>1.01</v>
      </c>
      <c r="M1010" s="349">
        <v>0</v>
      </c>
      <c r="N1010" s="349">
        <v>1</v>
      </c>
      <c r="O1010" s="349">
        <f t="shared" si="6"/>
        <v>9.48</v>
      </c>
      <c r="P1010" s="373">
        <f t="shared" si="7"/>
        <v>9.48</v>
      </c>
    </row>
    <row r="1011" spans="1:16">
      <c r="A1011" s="348">
        <v>1167</v>
      </c>
      <c r="B1011" s="349">
        <v>3329</v>
      </c>
      <c r="C1011" s="372"/>
      <c r="D1011" s="372" t="s">
        <v>45</v>
      </c>
      <c r="E1011" s="372" t="s">
        <v>2556</v>
      </c>
      <c r="F1011" s="350">
        <v>45642.920138888891</v>
      </c>
      <c r="G1011" s="372">
        <v>12</v>
      </c>
      <c r="H1011" s="372" t="s">
        <v>2557</v>
      </c>
      <c r="I1011" s="349">
        <v>37423</v>
      </c>
      <c r="J1011" s="372" t="s">
        <v>8498</v>
      </c>
      <c r="K1011" s="349">
        <v>10.49</v>
      </c>
      <c r="L1011" s="349">
        <v>0</v>
      </c>
      <c r="M1011" s="349">
        <v>0</v>
      </c>
      <c r="N1011" s="349">
        <v>1</v>
      </c>
      <c r="O1011" s="349">
        <f t="shared" si="6"/>
        <v>10.49</v>
      </c>
      <c r="P1011" s="373">
        <f t="shared" si="7"/>
        <v>10.49</v>
      </c>
    </row>
    <row r="1012" spans="1:16">
      <c r="A1012" s="348">
        <v>1168</v>
      </c>
      <c r="B1012" s="349">
        <v>5083</v>
      </c>
      <c r="C1012" s="372" t="s">
        <v>8499</v>
      </c>
      <c r="D1012" s="372" t="s">
        <v>45</v>
      </c>
      <c r="E1012" s="372" t="s">
        <v>9</v>
      </c>
      <c r="F1012" s="350">
        <v>45642.939583333333</v>
      </c>
      <c r="G1012" s="372">
        <v>12</v>
      </c>
      <c r="H1012" s="372" t="s">
        <v>2557</v>
      </c>
      <c r="I1012" s="349">
        <v>37435</v>
      </c>
      <c r="J1012" s="372" t="s">
        <v>7278</v>
      </c>
      <c r="K1012" s="349">
        <v>8.39</v>
      </c>
      <c r="L1012" s="349">
        <v>0.78</v>
      </c>
      <c r="M1012" s="349">
        <v>0</v>
      </c>
      <c r="N1012" s="349">
        <v>1</v>
      </c>
      <c r="O1012" s="349">
        <f t="shared" si="6"/>
        <v>7.61</v>
      </c>
      <c r="P1012" s="373">
        <f t="shared" si="7"/>
        <v>7.61</v>
      </c>
    </row>
    <row r="1013" spans="1:16">
      <c r="A1013" s="348">
        <v>1169</v>
      </c>
      <c r="B1013" s="349">
        <v>5090</v>
      </c>
      <c r="C1013" s="372" t="s">
        <v>2598</v>
      </c>
      <c r="D1013" s="372" t="s">
        <v>2582</v>
      </c>
      <c r="E1013" s="372" t="s">
        <v>2556</v>
      </c>
      <c r="F1013" s="350">
        <v>45642.94027777778</v>
      </c>
      <c r="G1013" s="372">
        <v>12</v>
      </c>
      <c r="H1013" s="372" t="s">
        <v>2557</v>
      </c>
      <c r="I1013" s="349">
        <v>37447</v>
      </c>
      <c r="J1013" s="372" t="s">
        <v>8500</v>
      </c>
      <c r="K1013" s="349">
        <v>61.1</v>
      </c>
      <c r="L1013" s="349">
        <v>0</v>
      </c>
      <c r="M1013" s="349">
        <v>0</v>
      </c>
      <c r="N1013" s="349">
        <v>7.2742000000000004</v>
      </c>
      <c r="O1013" s="349">
        <f t="shared" si="6"/>
        <v>61.1</v>
      </c>
      <c r="P1013" s="373">
        <f t="shared" si="7"/>
        <v>8.3995490913090087</v>
      </c>
    </row>
    <row r="1014" spans="1:16">
      <c r="A1014" s="348">
        <v>1170</v>
      </c>
      <c r="B1014" s="349">
        <v>5096</v>
      </c>
      <c r="C1014" s="372" t="s">
        <v>8501</v>
      </c>
      <c r="D1014" s="372" t="s">
        <v>45</v>
      </c>
      <c r="E1014" s="372" t="s">
        <v>9</v>
      </c>
      <c r="F1014" s="350">
        <v>45642.947222222225</v>
      </c>
      <c r="G1014" s="372">
        <v>12</v>
      </c>
      <c r="H1014" s="372" t="s">
        <v>2557</v>
      </c>
      <c r="I1014" s="349">
        <v>37459</v>
      </c>
      <c r="J1014" s="372" t="s">
        <v>7280</v>
      </c>
      <c r="K1014" s="349">
        <v>3.99</v>
      </c>
      <c r="L1014" s="349">
        <v>0.69</v>
      </c>
      <c r="M1014" s="349">
        <v>0</v>
      </c>
      <c r="N1014" s="349">
        <v>1</v>
      </c>
      <c r="O1014" s="349">
        <f t="shared" si="6"/>
        <v>3.3000000000000003</v>
      </c>
      <c r="P1014" s="373">
        <f t="shared" si="7"/>
        <v>3.3000000000000003</v>
      </c>
    </row>
    <row r="1015" spans="1:16">
      <c r="A1015" s="348">
        <v>1171</v>
      </c>
      <c r="B1015" s="349">
        <v>5096</v>
      </c>
      <c r="C1015" s="372" t="s">
        <v>8501</v>
      </c>
      <c r="D1015" s="372" t="s">
        <v>45</v>
      </c>
      <c r="E1015" s="372" t="s">
        <v>9</v>
      </c>
      <c r="F1015" s="350">
        <v>45642.964583333334</v>
      </c>
      <c r="G1015" s="372">
        <v>12</v>
      </c>
      <c r="H1015" s="372" t="s">
        <v>8502</v>
      </c>
      <c r="I1015" s="349">
        <v>37459</v>
      </c>
      <c r="J1015" s="372" t="s">
        <v>7281</v>
      </c>
      <c r="K1015" s="349">
        <v>0</v>
      </c>
      <c r="L1015" s="349">
        <v>-0.69</v>
      </c>
      <c r="M1015" s="349">
        <v>3.99</v>
      </c>
      <c r="N1015" s="349">
        <v>1</v>
      </c>
      <c r="O1015" s="349">
        <f t="shared" si="6"/>
        <v>-3.3000000000000003</v>
      </c>
      <c r="P1015" s="373">
        <f t="shared" si="7"/>
        <v>-3.3000000000000003</v>
      </c>
    </row>
    <row r="1016" spans="1:16">
      <c r="A1016" s="348">
        <v>1172</v>
      </c>
      <c r="B1016" s="349">
        <v>3364</v>
      </c>
      <c r="C1016" s="372" t="s">
        <v>2677</v>
      </c>
      <c r="D1016" s="372" t="s">
        <v>45</v>
      </c>
      <c r="E1016" s="372" t="s">
        <v>2556</v>
      </c>
      <c r="F1016" s="350">
        <v>45643.409722222219</v>
      </c>
      <c r="G1016" s="372">
        <v>12</v>
      </c>
      <c r="H1016" s="372" t="s">
        <v>2557</v>
      </c>
      <c r="I1016" s="349">
        <v>36211</v>
      </c>
      <c r="J1016" s="372" t="s">
        <v>8503</v>
      </c>
      <c r="K1016" s="349">
        <v>1.0900000000000001</v>
      </c>
      <c r="L1016" s="349">
        <v>0</v>
      </c>
      <c r="M1016" s="349">
        <v>0</v>
      </c>
      <c r="N1016" s="349">
        <v>1</v>
      </c>
      <c r="O1016" s="349">
        <f t="shared" si="6"/>
        <v>1.0900000000000001</v>
      </c>
      <c r="P1016" s="373">
        <f t="shared" si="7"/>
        <v>1.0900000000000001</v>
      </c>
    </row>
    <row r="1017" spans="1:16">
      <c r="A1017" s="348">
        <v>1173</v>
      </c>
      <c r="B1017" s="349">
        <v>417</v>
      </c>
      <c r="C1017" s="372" t="s">
        <v>2682</v>
      </c>
      <c r="D1017" s="372" t="s">
        <v>2582</v>
      </c>
      <c r="E1017" s="372" t="s">
        <v>2556</v>
      </c>
      <c r="F1017" s="350">
        <v>45643.491666666669</v>
      </c>
      <c r="G1017" s="372">
        <v>12</v>
      </c>
      <c r="H1017" s="372" t="s">
        <v>2557</v>
      </c>
      <c r="I1017" s="349">
        <v>34519</v>
      </c>
      <c r="J1017" s="372" t="s">
        <v>8504</v>
      </c>
      <c r="K1017" s="349">
        <v>7.72</v>
      </c>
      <c r="L1017" s="349">
        <v>0</v>
      </c>
      <c r="M1017" s="349">
        <v>0</v>
      </c>
      <c r="N1017" s="349">
        <v>7.2835799999999997</v>
      </c>
      <c r="O1017" s="349">
        <f t="shared" si="6"/>
        <v>7.72</v>
      </c>
      <c r="P1017" s="373">
        <f t="shared" si="7"/>
        <v>1.0599183368618179</v>
      </c>
    </row>
    <row r="1018" spans="1:16">
      <c r="A1018" s="348">
        <v>1174</v>
      </c>
      <c r="B1018" s="349">
        <v>5041</v>
      </c>
      <c r="C1018" s="372" t="s">
        <v>8505</v>
      </c>
      <c r="D1018" s="372" t="s">
        <v>45</v>
      </c>
      <c r="E1018" s="372" t="s">
        <v>2572</v>
      </c>
      <c r="F1018" s="350">
        <v>45643.529861111114</v>
      </c>
      <c r="G1018" s="372">
        <v>12</v>
      </c>
      <c r="H1018" s="372" t="s">
        <v>2557</v>
      </c>
      <c r="I1018" s="349">
        <v>37351</v>
      </c>
      <c r="J1018" s="372"/>
      <c r="K1018" s="349">
        <v>11.99</v>
      </c>
      <c r="L1018" s="349">
        <v>0</v>
      </c>
      <c r="M1018" s="349">
        <v>0</v>
      </c>
      <c r="N1018" s="349">
        <v>1</v>
      </c>
      <c r="O1018" s="349">
        <f t="shared" si="6"/>
        <v>11.99</v>
      </c>
      <c r="P1018" s="373">
        <f t="shared" si="7"/>
        <v>11.99</v>
      </c>
    </row>
    <row r="1019" spans="1:16">
      <c r="A1019" s="348">
        <v>1175</v>
      </c>
      <c r="B1019" s="349">
        <v>417</v>
      </c>
      <c r="C1019" s="372" t="s">
        <v>2682</v>
      </c>
      <c r="D1019" s="372" t="s">
        <v>2582</v>
      </c>
      <c r="E1019" s="372" t="s">
        <v>2556</v>
      </c>
      <c r="F1019" s="350">
        <v>45643.887499999997</v>
      </c>
      <c r="G1019" s="372">
        <v>12</v>
      </c>
      <c r="H1019" s="372" t="s">
        <v>2557</v>
      </c>
      <c r="I1019" s="349">
        <v>34519</v>
      </c>
      <c r="J1019" s="372"/>
      <c r="K1019" s="349">
        <v>0.01</v>
      </c>
      <c r="L1019" s="349">
        <v>0</v>
      </c>
      <c r="M1019" s="349">
        <v>0</v>
      </c>
      <c r="N1019" s="349">
        <v>7.2835799999999997</v>
      </c>
      <c r="O1019" s="349">
        <f t="shared" si="6"/>
        <v>0.01</v>
      </c>
      <c r="P1019" s="373">
        <f t="shared" si="7"/>
        <v>1.3729512135515778E-3</v>
      </c>
    </row>
    <row r="1020" spans="1:16">
      <c r="A1020" s="348">
        <v>1176</v>
      </c>
      <c r="B1020" s="349">
        <v>5254</v>
      </c>
      <c r="C1020" s="372" t="s">
        <v>8506</v>
      </c>
      <c r="D1020" s="372" t="s">
        <v>45</v>
      </c>
      <c r="E1020" s="372" t="s">
        <v>9</v>
      </c>
      <c r="F1020" s="350">
        <v>45643.895833333336</v>
      </c>
      <c r="G1020" s="372">
        <v>12</v>
      </c>
      <c r="H1020" s="372" t="s">
        <v>2557</v>
      </c>
      <c r="I1020" s="349">
        <v>37507</v>
      </c>
      <c r="J1020" s="372" t="s">
        <v>7285</v>
      </c>
      <c r="K1020" s="349">
        <v>8.39</v>
      </c>
      <c r="L1020" s="349">
        <v>0.91</v>
      </c>
      <c r="M1020" s="349">
        <v>0</v>
      </c>
      <c r="N1020" s="349">
        <v>1</v>
      </c>
      <c r="O1020" s="349">
        <f t="shared" si="6"/>
        <v>7.48</v>
      </c>
      <c r="P1020" s="373">
        <f t="shared" si="7"/>
        <v>7.48</v>
      </c>
    </row>
    <row r="1021" spans="1:16">
      <c r="A1021" s="348">
        <v>1177</v>
      </c>
      <c r="B1021" s="349">
        <v>4048</v>
      </c>
      <c r="C1021" s="372" t="s">
        <v>8507</v>
      </c>
      <c r="D1021" s="372" t="s">
        <v>45</v>
      </c>
      <c r="E1021" s="372" t="s">
        <v>2556</v>
      </c>
      <c r="F1021" s="350">
        <v>45643.897222222222</v>
      </c>
      <c r="G1021" s="372">
        <v>12</v>
      </c>
      <c r="H1021" s="372" t="s">
        <v>2557</v>
      </c>
      <c r="I1021" s="349">
        <v>37519</v>
      </c>
      <c r="J1021" s="372" t="s">
        <v>8508</v>
      </c>
      <c r="K1021" s="349">
        <v>8.39</v>
      </c>
      <c r="L1021" s="349">
        <v>0</v>
      </c>
      <c r="M1021" s="349">
        <v>0</v>
      </c>
      <c r="N1021" s="349">
        <v>1</v>
      </c>
      <c r="O1021" s="349">
        <f t="shared" si="6"/>
        <v>8.39</v>
      </c>
      <c r="P1021" s="373">
        <f t="shared" si="7"/>
        <v>8.39</v>
      </c>
    </row>
    <row r="1022" spans="1:16">
      <c r="A1022" s="348">
        <v>1178</v>
      </c>
      <c r="B1022" s="349">
        <v>5310</v>
      </c>
      <c r="C1022" s="372" t="s">
        <v>6620</v>
      </c>
      <c r="D1022" s="372" t="s">
        <v>45</v>
      </c>
      <c r="E1022" s="372" t="s">
        <v>9</v>
      </c>
      <c r="F1022" s="350">
        <v>45643.90625</v>
      </c>
      <c r="G1022" s="372">
        <v>12</v>
      </c>
      <c r="H1022" s="372" t="s">
        <v>2557</v>
      </c>
      <c r="I1022" s="349">
        <v>37531</v>
      </c>
      <c r="J1022" s="372" t="s">
        <v>7286</v>
      </c>
      <c r="K1022" s="349">
        <v>8.39</v>
      </c>
      <c r="L1022" s="349">
        <v>0.91</v>
      </c>
      <c r="M1022" s="349">
        <v>0</v>
      </c>
      <c r="N1022" s="349">
        <v>1</v>
      </c>
      <c r="O1022" s="349">
        <f t="shared" ref="O1022:O1172" si="8">K1022-L1022-M1022</f>
        <v>7.48</v>
      </c>
      <c r="P1022" s="373">
        <f t="shared" ref="P1022:P1172" si="9">IF(D1022="USD",O1022,O1022/N1022)</f>
        <v>7.48</v>
      </c>
    </row>
    <row r="1023" spans="1:16">
      <c r="A1023" s="348">
        <v>1179</v>
      </c>
      <c r="B1023" s="349">
        <v>5322</v>
      </c>
      <c r="C1023" s="372" t="s">
        <v>8509</v>
      </c>
      <c r="D1023" s="372" t="s">
        <v>45</v>
      </c>
      <c r="E1023" s="372" t="s">
        <v>2556</v>
      </c>
      <c r="F1023" s="350">
        <v>45643.935416666667</v>
      </c>
      <c r="G1023" s="372">
        <v>12</v>
      </c>
      <c r="H1023" s="372" t="s">
        <v>2557</v>
      </c>
      <c r="I1023" s="349">
        <v>37543</v>
      </c>
      <c r="J1023" s="372" t="s">
        <v>8510</v>
      </c>
      <c r="K1023" s="349">
        <v>8.39</v>
      </c>
      <c r="L1023" s="349">
        <v>0</v>
      </c>
      <c r="M1023" s="349">
        <v>0</v>
      </c>
      <c r="N1023" s="349">
        <v>1</v>
      </c>
      <c r="O1023" s="349">
        <f t="shared" si="8"/>
        <v>8.39</v>
      </c>
      <c r="P1023" s="373">
        <f t="shared" si="9"/>
        <v>8.39</v>
      </c>
    </row>
    <row r="1024" spans="1:16">
      <c r="A1024" s="348">
        <v>1180</v>
      </c>
      <c r="B1024" s="349">
        <v>1836</v>
      </c>
      <c r="C1024" s="372" t="s">
        <v>2598</v>
      </c>
      <c r="D1024" s="372" t="s">
        <v>2582</v>
      </c>
      <c r="E1024" s="372" t="s">
        <v>2556</v>
      </c>
      <c r="F1024" s="350">
        <v>45644.584027777775</v>
      </c>
      <c r="G1024" s="372">
        <v>12</v>
      </c>
      <c r="H1024" s="372" t="s">
        <v>2557</v>
      </c>
      <c r="I1024" s="349">
        <v>37687</v>
      </c>
      <c r="J1024" s="372" t="s">
        <v>8511</v>
      </c>
      <c r="K1024" s="349">
        <v>87.34</v>
      </c>
      <c r="L1024" s="349">
        <v>0</v>
      </c>
      <c r="M1024" s="349">
        <v>0</v>
      </c>
      <c r="N1024" s="349">
        <v>7.28437</v>
      </c>
      <c r="O1024" s="349">
        <f t="shared" si="8"/>
        <v>87.34</v>
      </c>
      <c r="P1024" s="373">
        <f t="shared" si="9"/>
        <v>11.99005542002946</v>
      </c>
    </row>
    <row r="1025" spans="1:16">
      <c r="A1025" s="348">
        <v>1181</v>
      </c>
      <c r="B1025" s="349">
        <v>5490</v>
      </c>
      <c r="C1025" s="372" t="s">
        <v>8512</v>
      </c>
      <c r="D1025" s="372" t="s">
        <v>45</v>
      </c>
      <c r="E1025" s="372" t="s">
        <v>2556</v>
      </c>
      <c r="F1025" s="350">
        <v>45644.780555555553</v>
      </c>
      <c r="G1025" s="372">
        <v>12</v>
      </c>
      <c r="H1025" s="372" t="s">
        <v>2557</v>
      </c>
      <c r="I1025" s="349">
        <v>37699</v>
      </c>
      <c r="J1025" s="372" t="s">
        <v>8513</v>
      </c>
      <c r="K1025" s="349">
        <v>12.59</v>
      </c>
      <c r="L1025" s="349">
        <v>0</v>
      </c>
      <c r="M1025" s="349">
        <v>0</v>
      </c>
      <c r="N1025" s="349">
        <v>1</v>
      </c>
      <c r="O1025" s="349">
        <f t="shared" si="8"/>
        <v>12.59</v>
      </c>
      <c r="P1025" s="373">
        <f t="shared" si="9"/>
        <v>12.59</v>
      </c>
    </row>
    <row r="1026" spans="1:16">
      <c r="A1026" s="348">
        <v>1182</v>
      </c>
      <c r="B1026" s="349">
        <v>5511</v>
      </c>
      <c r="C1026" s="372" t="s">
        <v>2575</v>
      </c>
      <c r="D1026" s="372" t="s">
        <v>2582</v>
      </c>
      <c r="E1026" s="372" t="s">
        <v>2556</v>
      </c>
      <c r="F1026" s="350">
        <v>45644.915277777778</v>
      </c>
      <c r="G1026" s="372">
        <v>12</v>
      </c>
      <c r="H1026" s="372" t="s">
        <v>2557</v>
      </c>
      <c r="I1026" s="349">
        <v>37711</v>
      </c>
      <c r="J1026" s="372" t="s">
        <v>8514</v>
      </c>
      <c r="K1026" s="349">
        <v>29.06</v>
      </c>
      <c r="L1026" s="349">
        <v>0</v>
      </c>
      <c r="M1026" s="349">
        <v>0</v>
      </c>
      <c r="N1026" s="349">
        <v>7.28437</v>
      </c>
      <c r="O1026" s="349">
        <f t="shared" si="8"/>
        <v>29.06</v>
      </c>
      <c r="P1026" s="373">
        <f t="shared" si="9"/>
        <v>3.9893635276626527</v>
      </c>
    </row>
    <row r="1027" spans="1:16">
      <c r="A1027" s="348">
        <v>1183</v>
      </c>
      <c r="B1027" s="349">
        <v>5536</v>
      </c>
      <c r="C1027" s="372" t="s">
        <v>5442</v>
      </c>
      <c r="D1027" s="372" t="s">
        <v>45</v>
      </c>
      <c r="E1027" s="372" t="s">
        <v>2556</v>
      </c>
      <c r="F1027" s="350">
        <v>45644.982638888891</v>
      </c>
      <c r="G1027" s="372">
        <v>12</v>
      </c>
      <c r="H1027" s="372" t="s">
        <v>2557</v>
      </c>
      <c r="I1027" s="349">
        <v>37723</v>
      </c>
      <c r="J1027" s="372" t="s">
        <v>8515</v>
      </c>
      <c r="K1027" s="349">
        <v>8.39</v>
      </c>
      <c r="L1027" s="349">
        <v>0</v>
      </c>
      <c r="M1027" s="349">
        <v>0</v>
      </c>
      <c r="N1027" s="349">
        <v>1</v>
      </c>
      <c r="O1027" s="349">
        <f t="shared" si="8"/>
        <v>8.39</v>
      </c>
      <c r="P1027" s="373">
        <f t="shared" si="9"/>
        <v>8.39</v>
      </c>
    </row>
    <row r="1028" spans="1:16">
      <c r="A1028" s="348">
        <v>1184</v>
      </c>
      <c r="B1028" s="349">
        <v>127</v>
      </c>
      <c r="C1028" s="372" t="s">
        <v>7478</v>
      </c>
      <c r="D1028" s="372" t="s">
        <v>45</v>
      </c>
      <c r="E1028" s="372" t="s">
        <v>2556</v>
      </c>
      <c r="F1028" s="350">
        <v>45645.418749999997</v>
      </c>
      <c r="G1028" s="372">
        <v>12</v>
      </c>
      <c r="H1028" s="372" t="s">
        <v>2557</v>
      </c>
      <c r="I1028" s="349">
        <v>34963</v>
      </c>
      <c r="J1028" s="372" t="s">
        <v>8516</v>
      </c>
      <c r="K1028" s="349">
        <v>1.0900000000000001</v>
      </c>
      <c r="L1028" s="349">
        <v>0</v>
      </c>
      <c r="M1028" s="349">
        <v>0</v>
      </c>
      <c r="N1028" s="349">
        <v>1</v>
      </c>
      <c r="O1028" s="349">
        <f t="shared" si="8"/>
        <v>1.0900000000000001</v>
      </c>
      <c r="P1028" s="373">
        <f t="shared" si="9"/>
        <v>1.0900000000000001</v>
      </c>
    </row>
    <row r="1029" spans="1:16">
      <c r="A1029" s="348">
        <v>1185</v>
      </c>
      <c r="B1029" s="349">
        <v>5546</v>
      </c>
      <c r="C1029" s="372" t="s">
        <v>8517</v>
      </c>
      <c r="D1029" s="372" t="s">
        <v>45</v>
      </c>
      <c r="E1029" s="372" t="s">
        <v>9</v>
      </c>
      <c r="F1029" s="350">
        <v>45645.496527777781</v>
      </c>
      <c r="G1029" s="372">
        <v>12</v>
      </c>
      <c r="H1029" s="372" t="s">
        <v>2557</v>
      </c>
      <c r="I1029" s="349">
        <v>37771</v>
      </c>
      <c r="J1029" s="372" t="s">
        <v>7289</v>
      </c>
      <c r="K1029" s="349">
        <v>11.99</v>
      </c>
      <c r="L1029" s="349">
        <v>1.0900000000000001</v>
      </c>
      <c r="M1029" s="349">
        <v>0</v>
      </c>
      <c r="N1029" s="349">
        <v>1</v>
      </c>
      <c r="O1029" s="349">
        <f t="shared" si="8"/>
        <v>10.9</v>
      </c>
      <c r="P1029" s="373">
        <f t="shared" si="9"/>
        <v>10.9</v>
      </c>
    </row>
    <row r="1030" spans="1:16">
      <c r="A1030" s="348">
        <v>1186</v>
      </c>
      <c r="B1030" s="349">
        <v>1037</v>
      </c>
      <c r="C1030" s="372" t="s">
        <v>7906</v>
      </c>
      <c r="D1030" s="372" t="s">
        <v>2582</v>
      </c>
      <c r="E1030" s="372" t="s">
        <v>2556</v>
      </c>
      <c r="F1030" s="350">
        <v>45645.961805555555</v>
      </c>
      <c r="G1030" s="372">
        <v>12</v>
      </c>
      <c r="H1030" s="372" t="s">
        <v>2557</v>
      </c>
      <c r="I1030" s="349">
        <v>30271</v>
      </c>
      <c r="J1030" s="372" t="s">
        <v>8518</v>
      </c>
      <c r="K1030" s="349">
        <v>20.98</v>
      </c>
      <c r="L1030" s="349">
        <v>0</v>
      </c>
      <c r="M1030" s="349">
        <v>0</v>
      </c>
      <c r="N1030" s="349">
        <v>7.2849700000000004</v>
      </c>
      <c r="O1030" s="349">
        <f t="shared" si="8"/>
        <v>20.98</v>
      </c>
      <c r="P1030" s="373">
        <f t="shared" si="9"/>
        <v>2.8799020448951747</v>
      </c>
    </row>
    <row r="1031" spans="1:16">
      <c r="A1031" s="348">
        <v>1187</v>
      </c>
      <c r="B1031" s="349">
        <v>1560</v>
      </c>
      <c r="C1031" s="372" t="s">
        <v>2630</v>
      </c>
      <c r="D1031" s="372" t="s">
        <v>45</v>
      </c>
      <c r="E1031" s="372" t="s">
        <v>2556</v>
      </c>
      <c r="F1031" s="350">
        <v>45646.44027777778</v>
      </c>
      <c r="G1031" s="372">
        <v>12</v>
      </c>
      <c r="H1031" s="372" t="s">
        <v>2557</v>
      </c>
      <c r="I1031" s="349">
        <v>35251</v>
      </c>
      <c r="J1031" s="372" t="s">
        <v>8519</v>
      </c>
      <c r="K1031" s="349">
        <v>2.99</v>
      </c>
      <c r="L1031" s="349">
        <v>0</v>
      </c>
      <c r="M1031" s="349">
        <v>0</v>
      </c>
      <c r="N1031" s="349">
        <v>1</v>
      </c>
      <c r="O1031" s="349">
        <f t="shared" si="8"/>
        <v>2.99</v>
      </c>
      <c r="P1031" s="373">
        <f t="shared" si="9"/>
        <v>2.99</v>
      </c>
    </row>
    <row r="1032" spans="1:16">
      <c r="A1032" s="348">
        <v>1188</v>
      </c>
      <c r="B1032" s="349">
        <v>1560</v>
      </c>
      <c r="C1032" s="372" t="s">
        <v>2630</v>
      </c>
      <c r="D1032" s="372" t="s">
        <v>45</v>
      </c>
      <c r="E1032" s="372" t="s">
        <v>2556</v>
      </c>
      <c r="F1032" s="350">
        <v>45646.440972222219</v>
      </c>
      <c r="G1032" s="372">
        <v>12</v>
      </c>
      <c r="H1032" s="372" t="s">
        <v>2557</v>
      </c>
      <c r="I1032" s="349">
        <v>37639</v>
      </c>
      <c r="J1032" s="372" t="s">
        <v>8520</v>
      </c>
      <c r="K1032" s="349">
        <v>9.9700000000000006</v>
      </c>
      <c r="L1032" s="349">
        <v>0</v>
      </c>
      <c r="M1032" s="349">
        <v>0</v>
      </c>
      <c r="N1032" s="349">
        <v>1</v>
      </c>
      <c r="O1032" s="349">
        <f t="shared" si="8"/>
        <v>9.9700000000000006</v>
      </c>
      <c r="P1032" s="373">
        <f t="shared" si="9"/>
        <v>9.9700000000000006</v>
      </c>
    </row>
    <row r="1033" spans="1:16">
      <c r="A1033" s="348">
        <v>1189</v>
      </c>
      <c r="B1033" s="349">
        <v>1560</v>
      </c>
      <c r="C1033" s="372" t="s">
        <v>2630</v>
      </c>
      <c r="D1033" s="372" t="s">
        <v>45</v>
      </c>
      <c r="E1033" s="372" t="s">
        <v>2556</v>
      </c>
      <c r="F1033" s="350">
        <v>45646.441666666666</v>
      </c>
      <c r="G1033" s="372">
        <v>12</v>
      </c>
      <c r="H1033" s="372" t="s">
        <v>2557</v>
      </c>
      <c r="I1033" s="349">
        <v>37267</v>
      </c>
      <c r="J1033" s="372" t="s">
        <v>8521</v>
      </c>
      <c r="K1033" s="349">
        <v>3.99</v>
      </c>
      <c r="L1033" s="349">
        <v>0</v>
      </c>
      <c r="M1033" s="349">
        <v>0</v>
      </c>
      <c r="N1033" s="349">
        <v>1</v>
      </c>
      <c r="O1033" s="349">
        <f t="shared" si="8"/>
        <v>3.99</v>
      </c>
      <c r="P1033" s="373">
        <f t="shared" si="9"/>
        <v>3.99</v>
      </c>
    </row>
    <row r="1034" spans="1:16">
      <c r="A1034" s="348">
        <v>1190</v>
      </c>
      <c r="B1034" s="349">
        <v>1560</v>
      </c>
      <c r="C1034" s="372" t="s">
        <v>2630</v>
      </c>
      <c r="D1034" s="372" t="s">
        <v>45</v>
      </c>
      <c r="E1034" s="372" t="s">
        <v>2556</v>
      </c>
      <c r="F1034" s="350">
        <v>45646.442361111112</v>
      </c>
      <c r="G1034" s="372">
        <v>12</v>
      </c>
      <c r="H1034" s="372" t="s">
        <v>2557</v>
      </c>
      <c r="I1034" s="349">
        <v>37147</v>
      </c>
      <c r="J1034" s="372" t="s">
        <v>8522</v>
      </c>
      <c r="K1034" s="349">
        <v>8.9700000000000006</v>
      </c>
      <c r="L1034" s="349">
        <v>0</v>
      </c>
      <c r="M1034" s="349">
        <v>0</v>
      </c>
      <c r="N1034" s="349">
        <v>1</v>
      </c>
      <c r="O1034" s="349">
        <f t="shared" si="8"/>
        <v>8.9700000000000006</v>
      </c>
      <c r="P1034" s="373">
        <f t="shared" si="9"/>
        <v>8.9700000000000006</v>
      </c>
    </row>
    <row r="1035" spans="1:16">
      <c r="A1035" s="348">
        <v>1191</v>
      </c>
      <c r="B1035" s="349">
        <v>1560</v>
      </c>
      <c r="C1035" s="372" t="s">
        <v>2630</v>
      </c>
      <c r="D1035" s="372" t="s">
        <v>45</v>
      </c>
      <c r="E1035" s="372" t="s">
        <v>2556</v>
      </c>
      <c r="F1035" s="350">
        <v>45646.443055555559</v>
      </c>
      <c r="G1035" s="372">
        <v>12</v>
      </c>
      <c r="H1035" s="372" t="s">
        <v>2557</v>
      </c>
      <c r="I1035" s="349">
        <v>36967</v>
      </c>
      <c r="J1035" s="372" t="s">
        <v>8523</v>
      </c>
      <c r="K1035" s="349">
        <v>8.9700000000000006</v>
      </c>
      <c r="L1035" s="349">
        <v>0</v>
      </c>
      <c r="M1035" s="349">
        <v>0</v>
      </c>
      <c r="N1035" s="349">
        <v>1</v>
      </c>
      <c r="O1035" s="349">
        <f t="shared" si="8"/>
        <v>8.9700000000000006</v>
      </c>
      <c r="P1035" s="373">
        <f t="shared" si="9"/>
        <v>8.9700000000000006</v>
      </c>
    </row>
    <row r="1036" spans="1:16">
      <c r="A1036" s="348">
        <v>1192</v>
      </c>
      <c r="B1036" s="349">
        <v>3229</v>
      </c>
      <c r="C1036" s="372" t="s">
        <v>2762</v>
      </c>
      <c r="D1036" s="372" t="s">
        <v>45</v>
      </c>
      <c r="E1036" s="372" t="s">
        <v>2556</v>
      </c>
      <c r="F1036" s="350">
        <v>45646.454861111109</v>
      </c>
      <c r="G1036" s="372">
        <v>12</v>
      </c>
      <c r="H1036" s="372" t="s">
        <v>2557</v>
      </c>
      <c r="I1036" s="349">
        <v>35239</v>
      </c>
      <c r="J1036" s="372" t="s">
        <v>8524</v>
      </c>
      <c r="K1036" s="349">
        <v>1.99</v>
      </c>
      <c r="L1036" s="349">
        <v>0</v>
      </c>
      <c r="M1036" s="349">
        <v>0</v>
      </c>
      <c r="N1036" s="349">
        <v>1</v>
      </c>
      <c r="O1036" s="349">
        <f t="shared" si="8"/>
        <v>1.99</v>
      </c>
      <c r="P1036" s="373">
        <f t="shared" si="9"/>
        <v>1.99</v>
      </c>
    </row>
    <row r="1037" spans="1:16">
      <c r="A1037" s="348">
        <v>1193</v>
      </c>
      <c r="B1037" s="349">
        <v>3324</v>
      </c>
      <c r="C1037" s="372" t="s">
        <v>2784</v>
      </c>
      <c r="D1037" s="372" t="s">
        <v>45</v>
      </c>
      <c r="E1037" s="372" t="s">
        <v>2556</v>
      </c>
      <c r="F1037" s="350">
        <v>45647.4375</v>
      </c>
      <c r="G1037" s="372">
        <v>12</v>
      </c>
      <c r="H1037" s="372" t="s">
        <v>2557</v>
      </c>
      <c r="I1037" s="349">
        <v>35911</v>
      </c>
      <c r="J1037" s="372" t="s">
        <v>8525</v>
      </c>
      <c r="K1037" s="349">
        <v>2.99</v>
      </c>
      <c r="L1037" s="349">
        <v>0</v>
      </c>
      <c r="M1037" s="349">
        <v>0</v>
      </c>
      <c r="N1037" s="349">
        <v>1</v>
      </c>
      <c r="O1037" s="349">
        <f t="shared" si="8"/>
        <v>2.99</v>
      </c>
      <c r="P1037" s="373">
        <f t="shared" si="9"/>
        <v>2.99</v>
      </c>
    </row>
    <row r="1038" spans="1:16">
      <c r="A1038" s="348">
        <v>1194</v>
      </c>
      <c r="B1038" s="349">
        <v>5905</v>
      </c>
      <c r="C1038" s="372" t="s">
        <v>6298</v>
      </c>
      <c r="D1038" s="372" t="s">
        <v>45</v>
      </c>
      <c r="E1038" s="372" t="s">
        <v>2556</v>
      </c>
      <c r="F1038" s="350">
        <v>45647.456944444442</v>
      </c>
      <c r="G1038" s="372">
        <v>12</v>
      </c>
      <c r="H1038" s="372" t="s">
        <v>2557</v>
      </c>
      <c r="I1038" s="349">
        <v>37963</v>
      </c>
      <c r="J1038" s="372" t="s">
        <v>8526</v>
      </c>
      <c r="K1038" s="349">
        <v>8.39</v>
      </c>
      <c r="L1038" s="349">
        <v>0</v>
      </c>
      <c r="M1038" s="349">
        <v>0</v>
      </c>
      <c r="N1038" s="349">
        <v>1</v>
      </c>
      <c r="O1038" s="349">
        <f t="shared" si="8"/>
        <v>8.39</v>
      </c>
      <c r="P1038" s="373">
        <f t="shared" si="9"/>
        <v>8.39</v>
      </c>
    </row>
    <row r="1039" spans="1:16">
      <c r="A1039" s="348">
        <v>1195</v>
      </c>
      <c r="B1039" s="349">
        <v>5906</v>
      </c>
      <c r="C1039" s="372" t="s">
        <v>2768</v>
      </c>
      <c r="D1039" s="372" t="s">
        <v>45</v>
      </c>
      <c r="E1039" s="372" t="s">
        <v>9</v>
      </c>
      <c r="F1039" s="350">
        <v>45647.470833333333</v>
      </c>
      <c r="G1039" s="372">
        <v>12</v>
      </c>
      <c r="H1039" s="372" t="s">
        <v>2557</v>
      </c>
      <c r="I1039" s="349">
        <v>37975</v>
      </c>
      <c r="J1039" s="372" t="s">
        <v>7291</v>
      </c>
      <c r="K1039" s="349">
        <v>4.99</v>
      </c>
      <c r="L1039" s="349">
        <v>0.74</v>
      </c>
      <c r="M1039" s="349">
        <v>0</v>
      </c>
      <c r="N1039" s="349">
        <v>1</v>
      </c>
      <c r="O1039" s="349">
        <f t="shared" si="8"/>
        <v>4.25</v>
      </c>
      <c r="P1039" s="373">
        <f t="shared" si="9"/>
        <v>4.25</v>
      </c>
    </row>
    <row r="1040" spans="1:16">
      <c r="A1040" s="348">
        <v>1196</v>
      </c>
      <c r="B1040" s="349">
        <v>1583</v>
      </c>
      <c r="C1040" s="372" t="s">
        <v>8024</v>
      </c>
      <c r="D1040" s="372" t="s">
        <v>2582</v>
      </c>
      <c r="E1040" s="372" t="s">
        <v>2556</v>
      </c>
      <c r="F1040" s="350">
        <v>45647.474999999999</v>
      </c>
      <c r="G1040" s="372">
        <v>12</v>
      </c>
      <c r="H1040" s="372" t="s">
        <v>2557</v>
      </c>
      <c r="I1040" s="349">
        <v>37987</v>
      </c>
      <c r="J1040" s="372" t="s">
        <v>8527</v>
      </c>
      <c r="K1040" s="349">
        <v>153.27000000000001</v>
      </c>
      <c r="L1040" s="349">
        <v>0</v>
      </c>
      <c r="M1040" s="349">
        <v>0</v>
      </c>
      <c r="N1040" s="349">
        <v>7.2984600000000004</v>
      </c>
      <c r="O1040" s="349">
        <f t="shared" si="8"/>
        <v>153.27000000000001</v>
      </c>
      <c r="P1040" s="373">
        <f t="shared" si="9"/>
        <v>21.000320615581916</v>
      </c>
    </row>
    <row r="1041" spans="1:16">
      <c r="A1041" s="348">
        <v>1197</v>
      </c>
      <c r="B1041" s="349">
        <v>3229</v>
      </c>
      <c r="C1041" s="372" t="s">
        <v>2762</v>
      </c>
      <c r="D1041" s="372" t="s">
        <v>45</v>
      </c>
      <c r="E1041" s="372" t="s">
        <v>2556</v>
      </c>
      <c r="F1041" s="350">
        <v>45647.521527777775</v>
      </c>
      <c r="G1041" s="372">
        <v>12</v>
      </c>
      <c r="H1041" s="372" t="s">
        <v>2557</v>
      </c>
      <c r="I1041" s="349">
        <v>36859</v>
      </c>
      <c r="J1041" s="372" t="s">
        <v>8528</v>
      </c>
      <c r="K1041" s="349">
        <v>2.99</v>
      </c>
      <c r="L1041" s="349">
        <v>0</v>
      </c>
      <c r="M1041" s="349">
        <v>0</v>
      </c>
      <c r="N1041" s="349">
        <v>1</v>
      </c>
      <c r="O1041" s="349">
        <f t="shared" si="8"/>
        <v>2.99</v>
      </c>
      <c r="P1041" s="373">
        <f t="shared" si="9"/>
        <v>2.99</v>
      </c>
    </row>
    <row r="1042" spans="1:16">
      <c r="A1042" s="348">
        <v>1198</v>
      </c>
      <c r="B1042" s="349">
        <v>5906</v>
      </c>
      <c r="C1042" s="372" t="s">
        <v>2768</v>
      </c>
      <c r="D1042" s="372" t="s">
        <v>45</v>
      </c>
      <c r="E1042" s="372" t="s">
        <v>9</v>
      </c>
      <c r="F1042" s="350">
        <v>45647.67083333333</v>
      </c>
      <c r="G1042" s="372">
        <v>12</v>
      </c>
      <c r="H1042" s="372" t="s">
        <v>2557</v>
      </c>
      <c r="I1042" s="349">
        <v>38011</v>
      </c>
      <c r="J1042" s="372" t="s">
        <v>7293</v>
      </c>
      <c r="K1042" s="349">
        <v>4.99</v>
      </c>
      <c r="L1042" s="349">
        <v>0.74</v>
      </c>
      <c r="M1042" s="349">
        <v>0</v>
      </c>
      <c r="N1042" s="349">
        <v>1</v>
      </c>
      <c r="O1042" s="349">
        <f t="shared" si="8"/>
        <v>4.25</v>
      </c>
      <c r="P1042" s="373">
        <f t="shared" si="9"/>
        <v>4.25</v>
      </c>
    </row>
    <row r="1043" spans="1:16">
      <c r="A1043" s="348">
        <v>1199</v>
      </c>
      <c r="B1043" s="349">
        <v>5906</v>
      </c>
      <c r="C1043" s="372" t="s">
        <v>2768</v>
      </c>
      <c r="D1043" s="372" t="s">
        <v>45</v>
      </c>
      <c r="E1043" s="372" t="s">
        <v>9</v>
      </c>
      <c r="F1043" s="350">
        <v>45647.671527777777</v>
      </c>
      <c r="G1043" s="372">
        <v>12</v>
      </c>
      <c r="H1043" s="372" t="s">
        <v>2557</v>
      </c>
      <c r="I1043" s="349">
        <v>38011</v>
      </c>
      <c r="J1043" s="372" t="s">
        <v>7294</v>
      </c>
      <c r="K1043" s="349">
        <v>4.99</v>
      </c>
      <c r="L1043" s="349">
        <v>0.74</v>
      </c>
      <c r="M1043" s="349">
        <v>0</v>
      </c>
      <c r="N1043" s="349">
        <v>1</v>
      </c>
      <c r="O1043" s="349">
        <f t="shared" si="8"/>
        <v>4.25</v>
      </c>
      <c r="P1043" s="373">
        <f t="shared" si="9"/>
        <v>4.25</v>
      </c>
    </row>
    <row r="1044" spans="1:16">
      <c r="A1044" s="348">
        <v>1200</v>
      </c>
      <c r="B1044" s="349">
        <v>3974</v>
      </c>
      <c r="C1044" s="372" t="s">
        <v>2844</v>
      </c>
      <c r="D1044" s="372" t="s">
        <v>45</v>
      </c>
      <c r="E1044" s="372" t="s">
        <v>2556</v>
      </c>
      <c r="F1044" s="350">
        <v>45647.789583333331</v>
      </c>
      <c r="G1044" s="372">
        <v>12</v>
      </c>
      <c r="H1044" s="372" t="s">
        <v>2557</v>
      </c>
      <c r="I1044" s="349">
        <v>37951</v>
      </c>
      <c r="J1044" s="372" t="s">
        <v>8529</v>
      </c>
      <c r="K1044" s="349">
        <v>1.99</v>
      </c>
      <c r="L1044" s="349">
        <v>0</v>
      </c>
      <c r="M1044" s="349">
        <v>0</v>
      </c>
      <c r="N1044" s="349">
        <v>1</v>
      </c>
      <c r="O1044" s="349">
        <f t="shared" si="8"/>
        <v>1.99</v>
      </c>
      <c r="P1044" s="373">
        <f t="shared" si="9"/>
        <v>1.99</v>
      </c>
    </row>
    <row r="1045" spans="1:16">
      <c r="A1045" s="348">
        <v>1201</v>
      </c>
      <c r="B1045" s="349">
        <v>3974</v>
      </c>
      <c r="C1045" s="372" t="s">
        <v>2844</v>
      </c>
      <c r="D1045" s="372" t="s">
        <v>45</v>
      </c>
      <c r="E1045" s="372" t="s">
        <v>2556</v>
      </c>
      <c r="F1045" s="350">
        <v>45647.789583333331</v>
      </c>
      <c r="G1045" s="372">
        <v>12</v>
      </c>
      <c r="H1045" s="372" t="s">
        <v>2557</v>
      </c>
      <c r="I1045" s="349">
        <v>37879</v>
      </c>
      <c r="J1045" s="372" t="s">
        <v>8530</v>
      </c>
      <c r="K1045" s="349">
        <v>1.99</v>
      </c>
      <c r="L1045" s="349">
        <v>0</v>
      </c>
      <c r="M1045" s="349">
        <v>0</v>
      </c>
      <c r="N1045" s="349">
        <v>1</v>
      </c>
      <c r="O1045" s="349">
        <f t="shared" si="8"/>
        <v>1.99</v>
      </c>
      <c r="P1045" s="373">
        <f t="shared" si="9"/>
        <v>1.99</v>
      </c>
    </row>
    <row r="1046" spans="1:16">
      <c r="A1046" s="348">
        <v>1202</v>
      </c>
      <c r="B1046" s="349">
        <v>5919</v>
      </c>
      <c r="C1046" s="372" t="s">
        <v>8531</v>
      </c>
      <c r="D1046" s="372" t="s">
        <v>45</v>
      </c>
      <c r="E1046" s="372" t="s">
        <v>9</v>
      </c>
      <c r="F1046" s="350">
        <v>45647.790277777778</v>
      </c>
      <c r="G1046" s="372">
        <v>12</v>
      </c>
      <c r="H1046" s="372" t="s">
        <v>2557</v>
      </c>
      <c r="I1046" s="349">
        <v>38023</v>
      </c>
      <c r="J1046" s="372" t="s">
        <v>7296</v>
      </c>
      <c r="K1046" s="349">
        <v>8.39</v>
      </c>
      <c r="L1046" s="349">
        <v>0.91</v>
      </c>
      <c r="M1046" s="349">
        <v>0</v>
      </c>
      <c r="N1046" s="349">
        <v>1</v>
      </c>
      <c r="O1046" s="349">
        <f t="shared" si="8"/>
        <v>7.48</v>
      </c>
      <c r="P1046" s="373">
        <f t="shared" si="9"/>
        <v>7.48</v>
      </c>
    </row>
    <row r="1047" spans="1:16">
      <c r="A1047" s="348">
        <v>1203</v>
      </c>
      <c r="B1047" s="349">
        <v>4786</v>
      </c>
      <c r="C1047" s="372" t="s">
        <v>8471</v>
      </c>
      <c r="D1047" s="372" t="s">
        <v>2582</v>
      </c>
      <c r="E1047" s="372" t="s">
        <v>9</v>
      </c>
      <c r="F1047" s="350">
        <v>45647.791666666664</v>
      </c>
      <c r="G1047" s="372">
        <v>12</v>
      </c>
      <c r="H1047" s="372" t="s">
        <v>2557</v>
      </c>
      <c r="I1047" s="349">
        <v>38035</v>
      </c>
      <c r="J1047" s="372" t="s">
        <v>7297</v>
      </c>
      <c r="K1047" s="349">
        <v>30.38</v>
      </c>
      <c r="L1047" s="349">
        <v>5.1100000000000003</v>
      </c>
      <c r="M1047" s="349">
        <v>0</v>
      </c>
      <c r="N1047" s="349">
        <v>7.2984600000000004</v>
      </c>
      <c r="O1047" s="349">
        <f t="shared" si="8"/>
        <v>25.27</v>
      </c>
      <c r="P1047" s="373">
        <f t="shared" si="9"/>
        <v>3.4623742542947413</v>
      </c>
    </row>
    <row r="1048" spans="1:16">
      <c r="A1048" s="348">
        <v>1204</v>
      </c>
      <c r="B1048" s="349">
        <v>5920</v>
      </c>
      <c r="C1048" s="372" t="s">
        <v>2598</v>
      </c>
      <c r="D1048" s="372" t="s">
        <v>45</v>
      </c>
      <c r="E1048" s="372" t="s">
        <v>2556</v>
      </c>
      <c r="F1048" s="350">
        <v>45647.843055555553</v>
      </c>
      <c r="G1048" s="372">
        <v>12</v>
      </c>
      <c r="H1048" s="372" t="s">
        <v>2557</v>
      </c>
      <c r="I1048" s="349">
        <v>38059</v>
      </c>
      <c r="J1048" s="372" t="s">
        <v>8532</v>
      </c>
      <c r="K1048" s="349">
        <v>2.4900000000000002</v>
      </c>
      <c r="L1048" s="349">
        <v>0</v>
      </c>
      <c r="M1048" s="349">
        <v>0</v>
      </c>
      <c r="N1048" s="349">
        <v>1</v>
      </c>
      <c r="O1048" s="349">
        <f t="shared" si="8"/>
        <v>2.4900000000000002</v>
      </c>
      <c r="P1048" s="373">
        <f t="shared" si="9"/>
        <v>2.4900000000000002</v>
      </c>
    </row>
    <row r="1049" spans="1:16">
      <c r="A1049" s="348">
        <v>1205</v>
      </c>
      <c r="B1049" s="349">
        <v>4498</v>
      </c>
      <c r="C1049" s="372" t="s">
        <v>8533</v>
      </c>
      <c r="D1049" s="372" t="s">
        <v>45</v>
      </c>
      <c r="E1049" s="372" t="s">
        <v>2556</v>
      </c>
      <c r="F1049" s="350">
        <v>45647.9375</v>
      </c>
      <c r="G1049" s="372">
        <v>12</v>
      </c>
      <c r="H1049" s="372" t="s">
        <v>2557</v>
      </c>
      <c r="I1049" s="349">
        <v>38083</v>
      </c>
      <c r="J1049" s="372" t="s">
        <v>8534</v>
      </c>
      <c r="K1049" s="349">
        <v>8.39</v>
      </c>
      <c r="L1049" s="349">
        <v>0</v>
      </c>
      <c r="M1049" s="349">
        <v>0</v>
      </c>
      <c r="N1049" s="349">
        <v>1</v>
      </c>
      <c r="O1049" s="349">
        <f t="shared" si="8"/>
        <v>8.39</v>
      </c>
      <c r="P1049" s="373">
        <f t="shared" si="9"/>
        <v>8.39</v>
      </c>
    </row>
    <row r="1050" spans="1:16">
      <c r="A1050" s="348">
        <v>1206</v>
      </c>
      <c r="B1050" s="349">
        <v>5106</v>
      </c>
      <c r="C1050" s="372" t="s">
        <v>8535</v>
      </c>
      <c r="D1050" s="372" t="s">
        <v>45</v>
      </c>
      <c r="E1050" s="372" t="s">
        <v>9</v>
      </c>
      <c r="F1050" s="350">
        <v>45648.492361111108</v>
      </c>
      <c r="G1050" s="372">
        <v>12</v>
      </c>
      <c r="H1050" s="372" t="s">
        <v>2557</v>
      </c>
      <c r="I1050" s="349">
        <v>38071</v>
      </c>
      <c r="J1050" s="372" t="s">
        <v>7299</v>
      </c>
      <c r="K1050" s="349">
        <v>8.39</v>
      </c>
      <c r="L1050" s="349">
        <v>0.91</v>
      </c>
      <c r="M1050" s="349">
        <v>0</v>
      </c>
      <c r="N1050" s="349">
        <v>1</v>
      </c>
      <c r="O1050" s="349">
        <f t="shared" si="8"/>
        <v>7.48</v>
      </c>
      <c r="P1050" s="373">
        <f t="shared" si="9"/>
        <v>7.48</v>
      </c>
    </row>
    <row r="1051" spans="1:16">
      <c r="A1051" s="348">
        <v>1207</v>
      </c>
      <c r="B1051" s="349">
        <v>5970</v>
      </c>
      <c r="C1051" s="372" t="s">
        <v>4746</v>
      </c>
      <c r="D1051" s="372" t="s">
        <v>45</v>
      </c>
      <c r="E1051" s="372" t="s">
        <v>2556</v>
      </c>
      <c r="F1051" s="350">
        <v>45649.317361111112</v>
      </c>
      <c r="G1051" s="372">
        <v>12</v>
      </c>
      <c r="H1051" s="372" t="s">
        <v>2557</v>
      </c>
      <c r="I1051" s="349">
        <v>38155</v>
      </c>
      <c r="J1051" s="372" t="s">
        <v>8536</v>
      </c>
      <c r="K1051" s="349">
        <v>3.99</v>
      </c>
      <c r="L1051" s="349">
        <v>0</v>
      </c>
      <c r="M1051" s="349">
        <v>0</v>
      </c>
      <c r="N1051" s="349">
        <v>1</v>
      </c>
      <c r="O1051" s="349">
        <f t="shared" si="8"/>
        <v>3.99</v>
      </c>
      <c r="P1051" s="373">
        <f t="shared" si="9"/>
        <v>3.99</v>
      </c>
    </row>
    <row r="1052" spans="1:16">
      <c r="A1052" s="348">
        <v>1208</v>
      </c>
      <c r="B1052" s="349">
        <v>4862</v>
      </c>
      <c r="C1052" s="372" t="s">
        <v>8473</v>
      </c>
      <c r="D1052" s="372" t="s">
        <v>45</v>
      </c>
      <c r="E1052" s="372" t="s">
        <v>2556</v>
      </c>
      <c r="F1052" s="350">
        <v>45649.623611111114</v>
      </c>
      <c r="G1052" s="372">
        <v>12</v>
      </c>
      <c r="H1052" s="372" t="s">
        <v>8537</v>
      </c>
      <c r="I1052" s="349">
        <v>36751</v>
      </c>
      <c r="J1052" s="372"/>
      <c r="K1052" s="349">
        <v>0</v>
      </c>
      <c r="L1052" s="349">
        <v>0</v>
      </c>
      <c r="M1052" s="349">
        <v>5.49</v>
      </c>
      <c r="N1052" s="349">
        <v>1</v>
      </c>
      <c r="O1052" s="349">
        <f t="shared" si="8"/>
        <v>-5.49</v>
      </c>
      <c r="P1052" s="373">
        <f t="shared" si="9"/>
        <v>-5.49</v>
      </c>
    </row>
    <row r="1053" spans="1:16">
      <c r="A1053" s="348">
        <v>1209</v>
      </c>
      <c r="B1053" s="349">
        <v>5994</v>
      </c>
      <c r="C1053" s="372" t="s">
        <v>8538</v>
      </c>
      <c r="D1053" s="372" t="s">
        <v>45</v>
      </c>
      <c r="E1053" s="372" t="s">
        <v>2556</v>
      </c>
      <c r="F1053" s="350">
        <v>45650.046527777777</v>
      </c>
      <c r="G1053" s="372">
        <v>12</v>
      </c>
      <c r="H1053" s="372" t="s">
        <v>2557</v>
      </c>
      <c r="I1053" s="349">
        <v>38287</v>
      </c>
      <c r="J1053" s="372" t="s">
        <v>8539</v>
      </c>
      <c r="K1053" s="349">
        <v>8.39</v>
      </c>
      <c r="L1053" s="349">
        <v>0</v>
      </c>
      <c r="M1053" s="349">
        <v>0</v>
      </c>
      <c r="N1053" s="349">
        <v>1</v>
      </c>
      <c r="O1053" s="349">
        <f t="shared" si="8"/>
        <v>8.39</v>
      </c>
      <c r="P1053" s="373">
        <f t="shared" si="9"/>
        <v>8.39</v>
      </c>
    </row>
    <row r="1054" spans="1:16">
      <c r="A1054" s="348">
        <v>1210</v>
      </c>
      <c r="B1054" s="349">
        <v>5995</v>
      </c>
      <c r="C1054" s="372" t="s">
        <v>8540</v>
      </c>
      <c r="D1054" s="372" t="s">
        <v>45</v>
      </c>
      <c r="E1054" s="372" t="s">
        <v>2556</v>
      </c>
      <c r="F1054" s="350">
        <v>45650.05</v>
      </c>
      <c r="G1054" s="372">
        <v>12</v>
      </c>
      <c r="H1054" s="372" t="s">
        <v>2557</v>
      </c>
      <c r="I1054" s="349">
        <v>38299</v>
      </c>
      <c r="J1054" s="372" t="s">
        <v>8541</v>
      </c>
      <c r="K1054" s="349">
        <v>23.09</v>
      </c>
      <c r="L1054" s="349">
        <v>0</v>
      </c>
      <c r="M1054" s="349">
        <v>0</v>
      </c>
      <c r="N1054" s="349">
        <v>1</v>
      </c>
      <c r="O1054" s="349">
        <f t="shared" si="8"/>
        <v>23.09</v>
      </c>
      <c r="P1054" s="373">
        <f t="shared" si="9"/>
        <v>23.09</v>
      </c>
    </row>
    <row r="1055" spans="1:16">
      <c r="A1055" s="348">
        <v>1211</v>
      </c>
      <c r="B1055" s="349">
        <v>5997</v>
      </c>
      <c r="C1055" s="372" t="s">
        <v>8542</v>
      </c>
      <c r="D1055" s="372" t="s">
        <v>2582</v>
      </c>
      <c r="E1055" s="372" t="s">
        <v>9</v>
      </c>
      <c r="F1055" s="350">
        <v>45650.381944444445</v>
      </c>
      <c r="G1055" s="372">
        <v>12</v>
      </c>
      <c r="H1055" s="372" t="s">
        <v>2557</v>
      </c>
      <c r="I1055" s="349">
        <v>38371</v>
      </c>
      <c r="J1055" s="372" t="s">
        <v>7302</v>
      </c>
      <c r="K1055" s="349">
        <v>61.29</v>
      </c>
      <c r="L1055" s="349">
        <v>6.64</v>
      </c>
      <c r="M1055" s="349">
        <v>0</v>
      </c>
      <c r="N1055" s="349">
        <v>7.2992400000000002</v>
      </c>
      <c r="O1055" s="349">
        <f t="shared" si="8"/>
        <v>54.65</v>
      </c>
      <c r="P1055" s="373">
        <f t="shared" si="9"/>
        <v>7.4870808467730887</v>
      </c>
    </row>
    <row r="1056" spans="1:16">
      <c r="A1056" s="348">
        <v>1212</v>
      </c>
      <c r="B1056" s="349">
        <v>6023</v>
      </c>
      <c r="C1056" s="372" t="s">
        <v>8543</v>
      </c>
      <c r="D1056" s="372" t="s">
        <v>2582</v>
      </c>
      <c r="E1056" s="372" t="s">
        <v>2556</v>
      </c>
      <c r="F1056" s="350">
        <v>45650.620833333334</v>
      </c>
      <c r="G1056" s="372">
        <v>12</v>
      </c>
      <c r="H1056" s="372" t="s">
        <v>2557</v>
      </c>
      <c r="I1056" s="349">
        <v>38383</v>
      </c>
      <c r="J1056" s="372" t="s">
        <v>8544</v>
      </c>
      <c r="K1056" s="349">
        <v>61.31</v>
      </c>
      <c r="L1056" s="349">
        <v>0</v>
      </c>
      <c r="M1056" s="349">
        <v>0</v>
      </c>
      <c r="N1056" s="349">
        <v>7.2992400000000002</v>
      </c>
      <c r="O1056" s="349">
        <f t="shared" si="8"/>
        <v>61.31</v>
      </c>
      <c r="P1056" s="373">
        <f t="shared" si="9"/>
        <v>8.3995046059589775</v>
      </c>
    </row>
    <row r="1057" spans="1:16">
      <c r="A1057" s="348">
        <v>1213</v>
      </c>
      <c r="B1057" s="349">
        <v>6024</v>
      </c>
      <c r="C1057" s="372" t="s">
        <v>8545</v>
      </c>
      <c r="D1057" s="372" t="s">
        <v>45</v>
      </c>
      <c r="E1057" s="372" t="s">
        <v>2556</v>
      </c>
      <c r="F1057" s="350">
        <v>45650.65</v>
      </c>
      <c r="G1057" s="372">
        <v>12</v>
      </c>
      <c r="H1057" s="372" t="s">
        <v>2557</v>
      </c>
      <c r="I1057" s="349">
        <v>38395</v>
      </c>
      <c r="J1057" s="372" t="s">
        <v>8546</v>
      </c>
      <c r="K1057" s="349">
        <v>8.39</v>
      </c>
      <c r="L1057" s="349">
        <v>0</v>
      </c>
      <c r="M1057" s="349">
        <v>0</v>
      </c>
      <c r="N1057" s="349">
        <v>1</v>
      </c>
      <c r="O1057" s="349">
        <f t="shared" si="8"/>
        <v>8.39</v>
      </c>
      <c r="P1057" s="373">
        <f t="shared" si="9"/>
        <v>8.39</v>
      </c>
    </row>
    <row r="1058" spans="1:16">
      <c r="A1058" s="348">
        <v>1214</v>
      </c>
      <c r="B1058" s="349">
        <v>6025</v>
      </c>
      <c r="C1058" s="372" t="s">
        <v>8547</v>
      </c>
      <c r="D1058" s="372" t="s">
        <v>45</v>
      </c>
      <c r="E1058" s="372" t="s">
        <v>2556</v>
      </c>
      <c r="F1058" s="350">
        <v>45650.65902777778</v>
      </c>
      <c r="G1058" s="372">
        <v>12</v>
      </c>
      <c r="H1058" s="372" t="s">
        <v>2557</v>
      </c>
      <c r="I1058" s="349">
        <v>38407</v>
      </c>
      <c r="J1058" s="372" t="s">
        <v>8548</v>
      </c>
      <c r="K1058" s="349">
        <v>5.99</v>
      </c>
      <c r="L1058" s="349">
        <v>0</v>
      </c>
      <c r="M1058" s="349">
        <v>0</v>
      </c>
      <c r="N1058" s="349">
        <v>1</v>
      </c>
      <c r="O1058" s="349">
        <f t="shared" si="8"/>
        <v>5.99</v>
      </c>
      <c r="P1058" s="373">
        <f t="shared" si="9"/>
        <v>5.99</v>
      </c>
    </row>
    <row r="1059" spans="1:16">
      <c r="A1059" s="348">
        <v>1215</v>
      </c>
      <c r="B1059" s="349">
        <v>6026</v>
      </c>
      <c r="C1059" s="374">
        <v>45658</v>
      </c>
      <c r="D1059" s="372" t="s">
        <v>45</v>
      </c>
      <c r="E1059" s="372" t="s">
        <v>2556</v>
      </c>
      <c r="F1059" s="350">
        <v>45650.727083333331</v>
      </c>
      <c r="G1059" s="372">
        <v>12</v>
      </c>
      <c r="H1059" s="372" t="s">
        <v>2557</v>
      </c>
      <c r="I1059" s="349">
        <v>38419</v>
      </c>
      <c r="J1059" s="372" t="s">
        <v>8549</v>
      </c>
      <c r="K1059" s="349">
        <v>8.39</v>
      </c>
      <c r="L1059" s="349">
        <v>0</v>
      </c>
      <c r="M1059" s="349">
        <v>0</v>
      </c>
      <c r="N1059" s="349">
        <v>1</v>
      </c>
      <c r="O1059" s="349">
        <f t="shared" si="8"/>
        <v>8.39</v>
      </c>
      <c r="P1059" s="373">
        <f t="shared" si="9"/>
        <v>8.39</v>
      </c>
    </row>
    <row r="1060" spans="1:16">
      <c r="A1060" s="348">
        <v>1216</v>
      </c>
      <c r="B1060" s="349">
        <v>3229</v>
      </c>
      <c r="C1060" s="372" t="s">
        <v>2762</v>
      </c>
      <c r="D1060" s="372" t="s">
        <v>45</v>
      </c>
      <c r="E1060" s="372" t="s">
        <v>2556</v>
      </c>
      <c r="F1060" s="350">
        <v>45650.79583333333</v>
      </c>
      <c r="G1060" s="372">
        <v>12</v>
      </c>
      <c r="H1060" s="372" t="s">
        <v>2557</v>
      </c>
      <c r="I1060" s="349">
        <v>38431</v>
      </c>
      <c r="J1060" s="372" t="s">
        <v>8550</v>
      </c>
      <c r="K1060" s="349">
        <v>6.98</v>
      </c>
      <c r="L1060" s="349">
        <v>0</v>
      </c>
      <c r="M1060" s="349">
        <v>0</v>
      </c>
      <c r="N1060" s="349">
        <v>1</v>
      </c>
      <c r="O1060" s="349">
        <f t="shared" si="8"/>
        <v>6.98</v>
      </c>
      <c r="P1060" s="373">
        <f t="shared" si="9"/>
        <v>6.98</v>
      </c>
    </row>
    <row r="1061" spans="1:16">
      <c r="A1061" s="348">
        <v>1217</v>
      </c>
      <c r="B1061" s="349">
        <v>5996</v>
      </c>
      <c r="C1061" s="372" t="s">
        <v>8551</v>
      </c>
      <c r="D1061" s="372" t="s">
        <v>2582</v>
      </c>
      <c r="E1061" s="372" t="s">
        <v>2556</v>
      </c>
      <c r="F1061" s="350">
        <v>45650.908333333333</v>
      </c>
      <c r="G1061" s="372">
        <v>12</v>
      </c>
      <c r="H1061" s="372" t="s">
        <v>2557</v>
      </c>
      <c r="I1061" s="349">
        <v>38455</v>
      </c>
      <c r="J1061" s="372" t="s">
        <v>8552</v>
      </c>
      <c r="K1061" s="349">
        <v>61.31</v>
      </c>
      <c r="L1061" s="349">
        <v>0</v>
      </c>
      <c r="M1061" s="349">
        <v>0</v>
      </c>
      <c r="N1061" s="349">
        <v>7.2992400000000002</v>
      </c>
      <c r="O1061" s="349">
        <f t="shared" si="8"/>
        <v>61.31</v>
      </c>
      <c r="P1061" s="373">
        <f t="shared" si="9"/>
        <v>8.3995046059589775</v>
      </c>
    </row>
    <row r="1062" spans="1:16">
      <c r="A1062" s="348">
        <v>1218</v>
      </c>
      <c r="B1062" s="349">
        <v>6032</v>
      </c>
      <c r="C1062" s="372" t="s">
        <v>2598</v>
      </c>
      <c r="D1062" s="372" t="s">
        <v>2582</v>
      </c>
      <c r="E1062" s="372" t="s">
        <v>2556</v>
      </c>
      <c r="F1062" s="350">
        <v>45650.969444444447</v>
      </c>
      <c r="G1062" s="372">
        <v>12</v>
      </c>
      <c r="H1062" s="372" t="s">
        <v>2557</v>
      </c>
      <c r="I1062" s="349">
        <v>38479</v>
      </c>
      <c r="J1062" s="372" t="s">
        <v>8553</v>
      </c>
      <c r="K1062" s="349">
        <v>18.18</v>
      </c>
      <c r="L1062" s="349">
        <v>0</v>
      </c>
      <c r="M1062" s="349">
        <v>0</v>
      </c>
      <c r="N1062" s="349">
        <v>7.2992400000000002</v>
      </c>
      <c r="O1062" s="349">
        <f t="shared" si="8"/>
        <v>18.18</v>
      </c>
      <c r="P1062" s="373">
        <f t="shared" si="9"/>
        <v>2.4906702615614775</v>
      </c>
    </row>
    <row r="1063" spans="1:16">
      <c r="A1063" s="348">
        <v>1219</v>
      </c>
      <c r="B1063" s="349">
        <v>6034</v>
      </c>
      <c r="C1063" s="372" t="s">
        <v>4190</v>
      </c>
      <c r="D1063" s="372" t="s">
        <v>45</v>
      </c>
      <c r="E1063" s="372" t="s">
        <v>2556</v>
      </c>
      <c r="F1063" s="350">
        <v>45650.979861111111</v>
      </c>
      <c r="G1063" s="372">
        <v>12</v>
      </c>
      <c r="H1063" s="372" t="s">
        <v>2557</v>
      </c>
      <c r="I1063" s="349">
        <v>38503</v>
      </c>
      <c r="J1063" s="372" t="s">
        <v>8554</v>
      </c>
      <c r="K1063" s="349">
        <v>11.99</v>
      </c>
      <c r="L1063" s="349">
        <v>0</v>
      </c>
      <c r="M1063" s="349">
        <v>0</v>
      </c>
      <c r="N1063" s="349">
        <v>1</v>
      </c>
      <c r="O1063" s="349">
        <f t="shared" si="8"/>
        <v>11.99</v>
      </c>
      <c r="P1063" s="373">
        <f t="shared" si="9"/>
        <v>11.99</v>
      </c>
    </row>
    <row r="1064" spans="1:16">
      <c r="A1064" s="348">
        <v>1220</v>
      </c>
      <c r="B1064" s="349">
        <v>6034</v>
      </c>
      <c r="C1064" s="372" t="s">
        <v>4190</v>
      </c>
      <c r="D1064" s="372" t="s">
        <v>45</v>
      </c>
      <c r="E1064" s="372" t="s">
        <v>2556</v>
      </c>
      <c r="F1064" s="350">
        <v>45651.029861111114</v>
      </c>
      <c r="G1064" s="372">
        <v>12</v>
      </c>
      <c r="H1064" s="372" t="s">
        <v>2557</v>
      </c>
      <c r="I1064" s="349">
        <v>38515</v>
      </c>
      <c r="J1064" s="372" t="s">
        <v>8555</v>
      </c>
      <c r="K1064" s="349">
        <v>23.99</v>
      </c>
      <c r="L1064" s="349">
        <v>0</v>
      </c>
      <c r="M1064" s="349">
        <v>0</v>
      </c>
      <c r="N1064" s="349">
        <v>1</v>
      </c>
      <c r="O1064" s="349">
        <f t="shared" si="8"/>
        <v>23.99</v>
      </c>
      <c r="P1064" s="373">
        <f t="shared" si="9"/>
        <v>23.99</v>
      </c>
    </row>
    <row r="1065" spans="1:16">
      <c r="A1065" s="348">
        <v>1221</v>
      </c>
      <c r="B1065" s="349">
        <v>6038</v>
      </c>
      <c r="C1065" s="372" t="s">
        <v>8556</v>
      </c>
      <c r="D1065" s="372" t="s">
        <v>45</v>
      </c>
      <c r="E1065" s="372" t="s">
        <v>2556</v>
      </c>
      <c r="F1065" s="350">
        <v>45651.067361111112</v>
      </c>
      <c r="G1065" s="372">
        <v>12</v>
      </c>
      <c r="H1065" s="372" t="s">
        <v>2557</v>
      </c>
      <c r="I1065" s="349">
        <v>38539</v>
      </c>
      <c r="J1065" s="372" t="s">
        <v>8557</v>
      </c>
      <c r="K1065" s="349">
        <v>11.99</v>
      </c>
      <c r="L1065" s="349">
        <v>0</v>
      </c>
      <c r="M1065" s="349">
        <v>0</v>
      </c>
      <c r="N1065" s="349">
        <v>1</v>
      </c>
      <c r="O1065" s="349">
        <f t="shared" si="8"/>
        <v>11.99</v>
      </c>
      <c r="P1065" s="373">
        <f t="shared" si="9"/>
        <v>11.99</v>
      </c>
    </row>
    <row r="1066" spans="1:16">
      <c r="A1066" s="348">
        <v>1222</v>
      </c>
      <c r="B1066" s="349">
        <v>5920</v>
      </c>
      <c r="C1066" s="372" t="s">
        <v>2598</v>
      </c>
      <c r="D1066" s="372" t="s">
        <v>45</v>
      </c>
      <c r="E1066" s="372" t="s">
        <v>2556</v>
      </c>
      <c r="F1066" s="350">
        <v>45651.092361111114</v>
      </c>
      <c r="G1066" s="372">
        <v>12</v>
      </c>
      <c r="H1066" s="372" t="s">
        <v>2557</v>
      </c>
      <c r="I1066" s="349">
        <v>38563</v>
      </c>
      <c r="J1066" s="372" t="s">
        <v>8558</v>
      </c>
      <c r="K1066" s="349">
        <v>23.99</v>
      </c>
      <c r="L1066" s="349">
        <v>0</v>
      </c>
      <c r="M1066" s="349">
        <v>0</v>
      </c>
      <c r="N1066" s="349">
        <v>1</v>
      </c>
      <c r="O1066" s="349">
        <f t="shared" si="8"/>
        <v>23.99</v>
      </c>
      <c r="P1066" s="373">
        <f t="shared" si="9"/>
        <v>23.99</v>
      </c>
    </row>
    <row r="1067" spans="1:16">
      <c r="A1067" s="348">
        <v>1223</v>
      </c>
      <c r="B1067" s="349">
        <v>5920</v>
      </c>
      <c r="C1067" s="372" t="s">
        <v>2598</v>
      </c>
      <c r="D1067" s="372" t="s">
        <v>45</v>
      </c>
      <c r="E1067" s="372" t="s">
        <v>2556</v>
      </c>
      <c r="F1067" s="350">
        <v>45651.25</v>
      </c>
      <c r="G1067" s="372">
        <v>12</v>
      </c>
      <c r="H1067" s="372" t="s">
        <v>2557</v>
      </c>
      <c r="I1067" s="349">
        <v>38587</v>
      </c>
      <c r="J1067" s="372" t="s">
        <v>8559</v>
      </c>
      <c r="K1067" s="349">
        <v>11.99</v>
      </c>
      <c r="L1067" s="349">
        <v>0</v>
      </c>
      <c r="M1067" s="349">
        <v>0</v>
      </c>
      <c r="N1067" s="349">
        <v>1</v>
      </c>
      <c r="O1067" s="349">
        <f t="shared" si="8"/>
        <v>11.99</v>
      </c>
      <c r="P1067" s="373">
        <f t="shared" si="9"/>
        <v>11.99</v>
      </c>
    </row>
    <row r="1068" spans="1:16">
      <c r="A1068" s="348">
        <v>1224</v>
      </c>
      <c r="B1068" s="349">
        <v>6059</v>
      </c>
      <c r="C1068" s="372" t="s">
        <v>8560</v>
      </c>
      <c r="D1068" s="372" t="s">
        <v>45</v>
      </c>
      <c r="E1068" s="372" t="s">
        <v>9</v>
      </c>
      <c r="F1068" s="350">
        <v>45651.255555555559</v>
      </c>
      <c r="G1068" s="372">
        <v>12</v>
      </c>
      <c r="H1068" s="372" t="s">
        <v>2557</v>
      </c>
      <c r="I1068" s="349">
        <v>38599</v>
      </c>
      <c r="J1068" s="372" t="s">
        <v>7305</v>
      </c>
      <c r="K1068" s="349">
        <v>14.99</v>
      </c>
      <c r="L1068" s="349">
        <v>1.24</v>
      </c>
      <c r="M1068" s="349">
        <v>0</v>
      </c>
      <c r="N1068" s="349">
        <v>1</v>
      </c>
      <c r="O1068" s="349">
        <f t="shared" si="8"/>
        <v>13.75</v>
      </c>
      <c r="P1068" s="373">
        <f t="shared" si="9"/>
        <v>13.75</v>
      </c>
    </row>
    <row r="1069" spans="1:16">
      <c r="A1069" s="348">
        <v>1225</v>
      </c>
      <c r="B1069" s="349">
        <v>1836</v>
      </c>
      <c r="C1069" s="372" t="s">
        <v>2598</v>
      </c>
      <c r="D1069" s="372" t="s">
        <v>2582</v>
      </c>
      <c r="E1069" s="372" t="s">
        <v>2556</v>
      </c>
      <c r="F1069" s="350">
        <v>45651.560416666667</v>
      </c>
      <c r="G1069" s="372">
        <v>12</v>
      </c>
      <c r="H1069" s="372" t="s">
        <v>2557</v>
      </c>
      <c r="I1069" s="349">
        <v>38143</v>
      </c>
      <c r="J1069" s="372" t="s">
        <v>8561</v>
      </c>
      <c r="K1069" s="349">
        <v>86.82</v>
      </c>
      <c r="L1069" s="349">
        <v>0</v>
      </c>
      <c r="M1069" s="349">
        <v>0</v>
      </c>
      <c r="N1069" s="349">
        <v>7.2961</v>
      </c>
      <c r="O1069" s="349">
        <f t="shared" si="8"/>
        <v>86.82</v>
      </c>
      <c r="P1069" s="373">
        <f t="shared" si="9"/>
        <v>11.899507956305422</v>
      </c>
    </row>
    <row r="1070" spans="1:16">
      <c r="A1070" s="348">
        <v>1226</v>
      </c>
      <c r="B1070" s="349">
        <v>1836</v>
      </c>
      <c r="C1070" s="372" t="s">
        <v>2598</v>
      </c>
      <c r="D1070" s="372" t="s">
        <v>2582</v>
      </c>
      <c r="E1070" s="372" t="s">
        <v>2556</v>
      </c>
      <c r="F1070" s="350">
        <v>45651.560416666667</v>
      </c>
      <c r="G1070" s="372">
        <v>12</v>
      </c>
      <c r="H1070" s="372" t="s">
        <v>2557</v>
      </c>
      <c r="I1070" s="349">
        <v>38347</v>
      </c>
      <c r="J1070" s="372" t="s">
        <v>8562</v>
      </c>
      <c r="K1070" s="349">
        <v>87.12</v>
      </c>
      <c r="L1070" s="349">
        <v>0</v>
      </c>
      <c r="M1070" s="349">
        <v>0</v>
      </c>
      <c r="N1070" s="349">
        <v>7.2961</v>
      </c>
      <c r="O1070" s="349">
        <f t="shared" si="8"/>
        <v>87.12</v>
      </c>
      <c r="P1070" s="373">
        <f t="shared" si="9"/>
        <v>11.94062581379093</v>
      </c>
    </row>
    <row r="1071" spans="1:16">
      <c r="A1071" s="348">
        <v>1227</v>
      </c>
      <c r="B1071" s="349">
        <v>6091</v>
      </c>
      <c r="C1071" s="372" t="s">
        <v>8563</v>
      </c>
      <c r="D1071" s="372" t="s">
        <v>2582</v>
      </c>
      <c r="E1071" s="372" t="s">
        <v>2556</v>
      </c>
      <c r="F1071" s="350">
        <v>45651.956250000003</v>
      </c>
      <c r="G1071" s="372">
        <v>12</v>
      </c>
      <c r="H1071" s="372" t="s">
        <v>2557</v>
      </c>
      <c r="I1071" s="349">
        <v>38683</v>
      </c>
      <c r="J1071" s="372" t="s">
        <v>8564</v>
      </c>
      <c r="K1071" s="349">
        <v>61.29</v>
      </c>
      <c r="L1071" s="349">
        <v>0</v>
      </c>
      <c r="M1071" s="349">
        <v>0</v>
      </c>
      <c r="N1071" s="349">
        <v>7.2961</v>
      </c>
      <c r="O1071" s="349">
        <f t="shared" si="8"/>
        <v>61.29</v>
      </c>
      <c r="P1071" s="373">
        <f t="shared" si="9"/>
        <v>8.4003782842888661</v>
      </c>
    </row>
    <row r="1072" spans="1:16">
      <c r="A1072" s="348">
        <v>1228</v>
      </c>
      <c r="B1072" s="349">
        <v>3537</v>
      </c>
      <c r="C1072" s="372" t="s">
        <v>2896</v>
      </c>
      <c r="D1072" s="372" t="s">
        <v>45</v>
      </c>
      <c r="E1072" s="372" t="s">
        <v>2556</v>
      </c>
      <c r="F1072" s="350">
        <v>45652.038888888892</v>
      </c>
      <c r="G1072" s="372">
        <v>12</v>
      </c>
      <c r="H1072" s="372" t="s">
        <v>2557</v>
      </c>
      <c r="I1072" s="349">
        <v>36979</v>
      </c>
      <c r="J1072" s="372" t="s">
        <v>8565</v>
      </c>
      <c r="K1072" s="349">
        <v>1.0900000000000001</v>
      </c>
      <c r="L1072" s="349">
        <v>0</v>
      </c>
      <c r="M1072" s="349">
        <v>0</v>
      </c>
      <c r="N1072" s="349">
        <v>1</v>
      </c>
      <c r="O1072" s="349">
        <f t="shared" si="8"/>
        <v>1.0900000000000001</v>
      </c>
      <c r="P1072" s="373">
        <f t="shared" si="9"/>
        <v>1.0900000000000001</v>
      </c>
    </row>
    <row r="1073" spans="1:16">
      <c r="A1073" s="348">
        <v>1229</v>
      </c>
      <c r="B1073" s="349">
        <v>4365</v>
      </c>
      <c r="C1073" s="372" t="s">
        <v>8433</v>
      </c>
      <c r="D1073" s="372" t="s">
        <v>45</v>
      </c>
      <c r="E1073" s="372" t="s">
        <v>9</v>
      </c>
      <c r="F1073" s="350">
        <v>45652.125694444447</v>
      </c>
      <c r="G1073" s="372">
        <v>12</v>
      </c>
      <c r="H1073" s="372" t="s">
        <v>8566</v>
      </c>
      <c r="I1073" s="349">
        <v>35683</v>
      </c>
      <c r="J1073" s="372" t="s">
        <v>7307</v>
      </c>
      <c r="K1073" s="349">
        <v>0</v>
      </c>
      <c r="L1073" s="349">
        <v>-1.33</v>
      </c>
      <c r="M1073" s="349">
        <v>16.79</v>
      </c>
      <c r="N1073" s="349">
        <v>1</v>
      </c>
      <c r="O1073" s="349">
        <f t="shared" si="8"/>
        <v>-15.459999999999999</v>
      </c>
      <c r="P1073" s="373">
        <f t="shared" si="9"/>
        <v>-15.459999999999999</v>
      </c>
    </row>
    <row r="1074" spans="1:16">
      <c r="A1074" s="348">
        <v>1230</v>
      </c>
      <c r="B1074" s="349">
        <v>6116</v>
      </c>
      <c r="C1074" s="372" t="s">
        <v>3485</v>
      </c>
      <c r="D1074" s="372" t="s">
        <v>45</v>
      </c>
      <c r="E1074" s="372" t="s">
        <v>9</v>
      </c>
      <c r="F1074" s="350">
        <v>45652.467361111114</v>
      </c>
      <c r="G1074" s="372">
        <v>12</v>
      </c>
      <c r="H1074" s="372" t="s">
        <v>2557</v>
      </c>
      <c r="I1074" s="349">
        <v>38767</v>
      </c>
      <c r="J1074" s="372" t="s">
        <v>7310</v>
      </c>
      <c r="K1074" s="349">
        <v>11.99</v>
      </c>
      <c r="L1074" s="349">
        <v>0.91</v>
      </c>
      <c r="M1074" s="349">
        <v>0</v>
      </c>
      <c r="N1074" s="349">
        <v>1</v>
      </c>
      <c r="O1074" s="349">
        <f t="shared" si="8"/>
        <v>11.08</v>
      </c>
      <c r="P1074" s="373">
        <f t="shared" si="9"/>
        <v>11.08</v>
      </c>
    </row>
    <row r="1075" spans="1:16">
      <c r="A1075" s="348">
        <v>1231</v>
      </c>
      <c r="B1075" s="349">
        <v>1836</v>
      </c>
      <c r="C1075" s="372" t="s">
        <v>2598</v>
      </c>
      <c r="D1075" s="372" t="s">
        <v>2582</v>
      </c>
      <c r="E1075" s="372" t="s">
        <v>2556</v>
      </c>
      <c r="F1075" s="350">
        <v>45652.572916666664</v>
      </c>
      <c r="G1075" s="372">
        <v>12</v>
      </c>
      <c r="H1075" s="372" t="s">
        <v>2557</v>
      </c>
      <c r="I1075" s="349">
        <v>38779</v>
      </c>
      <c r="J1075" s="372" t="s">
        <v>8567</v>
      </c>
      <c r="K1075" s="349">
        <v>87.48</v>
      </c>
      <c r="L1075" s="349">
        <v>0</v>
      </c>
      <c r="M1075" s="349">
        <v>0</v>
      </c>
      <c r="N1075" s="349">
        <v>7.2961</v>
      </c>
      <c r="O1075" s="349">
        <f t="shared" si="8"/>
        <v>87.48</v>
      </c>
      <c r="P1075" s="373">
        <f t="shared" si="9"/>
        <v>11.989967242773536</v>
      </c>
    </row>
    <row r="1076" spans="1:16">
      <c r="A1076" s="348">
        <v>1232</v>
      </c>
      <c r="B1076" s="349">
        <v>1559</v>
      </c>
      <c r="C1076" s="372" t="s">
        <v>3541</v>
      </c>
      <c r="D1076" s="372" t="s">
        <v>45</v>
      </c>
      <c r="E1076" s="372" t="s">
        <v>2572</v>
      </c>
      <c r="F1076" s="350">
        <v>45652.697916666664</v>
      </c>
      <c r="G1076" s="372">
        <v>12</v>
      </c>
      <c r="H1076" s="372" t="s">
        <v>2557</v>
      </c>
      <c r="I1076" s="349">
        <v>38815</v>
      </c>
      <c r="J1076" s="372"/>
      <c r="K1076" s="349">
        <v>120</v>
      </c>
      <c r="L1076" s="349">
        <v>0</v>
      </c>
      <c r="M1076" s="349">
        <v>0</v>
      </c>
      <c r="N1076" s="349">
        <v>1</v>
      </c>
      <c r="O1076" s="349">
        <f t="shared" si="8"/>
        <v>120</v>
      </c>
      <c r="P1076" s="373">
        <f t="shared" si="9"/>
        <v>120</v>
      </c>
    </row>
    <row r="1077" spans="1:16">
      <c r="A1077" s="348">
        <v>1233</v>
      </c>
      <c r="B1077" s="349">
        <v>1021</v>
      </c>
      <c r="C1077" s="372" t="s">
        <v>2598</v>
      </c>
      <c r="D1077" s="372" t="s">
        <v>2582</v>
      </c>
      <c r="E1077" s="372" t="s">
        <v>2556</v>
      </c>
      <c r="F1077" s="350">
        <v>45652.716666666667</v>
      </c>
      <c r="G1077" s="372">
        <v>12</v>
      </c>
      <c r="H1077" s="372" t="s">
        <v>2557</v>
      </c>
      <c r="I1077" s="349">
        <v>37615</v>
      </c>
      <c r="J1077" s="372" t="s">
        <v>8568</v>
      </c>
      <c r="K1077" s="349">
        <v>252.37</v>
      </c>
      <c r="L1077" s="349">
        <v>0</v>
      </c>
      <c r="M1077" s="349">
        <v>0</v>
      </c>
      <c r="N1077" s="349">
        <v>7.2961</v>
      </c>
      <c r="O1077" s="349">
        <f t="shared" si="8"/>
        <v>252.37</v>
      </c>
      <c r="P1077" s="373">
        <f t="shared" si="9"/>
        <v>34.589712312057124</v>
      </c>
    </row>
    <row r="1078" spans="1:16">
      <c r="A1078" s="348">
        <v>1234</v>
      </c>
      <c r="B1078" s="349">
        <v>6133</v>
      </c>
      <c r="C1078" s="372" t="s">
        <v>8569</v>
      </c>
      <c r="D1078" s="372" t="s">
        <v>45</v>
      </c>
      <c r="E1078" s="372" t="s">
        <v>2556</v>
      </c>
      <c r="F1078" s="350">
        <v>45652.73333333333</v>
      </c>
      <c r="G1078" s="372">
        <v>12</v>
      </c>
      <c r="H1078" s="372" t="s">
        <v>2557</v>
      </c>
      <c r="I1078" s="349">
        <v>38863</v>
      </c>
      <c r="J1078" s="372" t="s">
        <v>8570</v>
      </c>
      <c r="K1078" s="349">
        <v>8.39</v>
      </c>
      <c r="L1078" s="349">
        <v>0</v>
      </c>
      <c r="M1078" s="349">
        <v>0</v>
      </c>
      <c r="N1078" s="349">
        <v>1</v>
      </c>
      <c r="O1078" s="349">
        <f t="shared" si="8"/>
        <v>8.39</v>
      </c>
      <c r="P1078" s="373">
        <f t="shared" si="9"/>
        <v>8.39</v>
      </c>
    </row>
    <row r="1079" spans="1:16">
      <c r="A1079" s="348">
        <v>1235</v>
      </c>
      <c r="B1079" s="349">
        <v>6132</v>
      </c>
      <c r="C1079" s="372" t="s">
        <v>6504</v>
      </c>
      <c r="D1079" s="372" t="s">
        <v>45</v>
      </c>
      <c r="E1079" s="372" t="s">
        <v>9</v>
      </c>
      <c r="F1079" s="350">
        <v>45652.740277777775</v>
      </c>
      <c r="G1079" s="372">
        <v>12</v>
      </c>
      <c r="H1079" s="372" t="s">
        <v>2557</v>
      </c>
      <c r="I1079" s="349">
        <v>38851</v>
      </c>
      <c r="J1079" s="372" t="s">
        <v>7313</v>
      </c>
      <c r="K1079" s="349">
        <v>8.39</v>
      </c>
      <c r="L1079" s="349">
        <v>0.91</v>
      </c>
      <c r="M1079" s="349">
        <v>0</v>
      </c>
      <c r="N1079" s="349">
        <v>1</v>
      </c>
      <c r="O1079" s="349">
        <f t="shared" si="8"/>
        <v>7.48</v>
      </c>
      <c r="P1079" s="373">
        <f t="shared" si="9"/>
        <v>7.48</v>
      </c>
    </row>
    <row r="1080" spans="1:16">
      <c r="A1080" s="348">
        <v>1236</v>
      </c>
      <c r="B1080" s="349">
        <v>6135</v>
      </c>
      <c r="C1080" s="372" t="s">
        <v>8571</v>
      </c>
      <c r="D1080" s="372" t="s">
        <v>45</v>
      </c>
      <c r="E1080" s="372" t="s">
        <v>2556</v>
      </c>
      <c r="F1080" s="350">
        <v>45652.751388888886</v>
      </c>
      <c r="G1080" s="372">
        <v>12</v>
      </c>
      <c r="H1080" s="372" t="s">
        <v>2557</v>
      </c>
      <c r="I1080" s="349">
        <v>38875</v>
      </c>
      <c r="J1080" s="372" t="s">
        <v>8572</v>
      </c>
      <c r="K1080" s="349">
        <v>8.39</v>
      </c>
      <c r="L1080" s="349">
        <v>0</v>
      </c>
      <c r="M1080" s="349">
        <v>0</v>
      </c>
      <c r="N1080" s="349">
        <v>1</v>
      </c>
      <c r="O1080" s="349">
        <f t="shared" si="8"/>
        <v>8.39</v>
      </c>
      <c r="P1080" s="373">
        <f t="shared" si="9"/>
        <v>8.39</v>
      </c>
    </row>
    <row r="1081" spans="1:16">
      <c r="A1081" s="348">
        <v>1237</v>
      </c>
      <c r="B1081" s="349">
        <v>6141</v>
      </c>
      <c r="C1081" s="372" t="s">
        <v>6514</v>
      </c>
      <c r="D1081" s="372" t="s">
        <v>45</v>
      </c>
      <c r="E1081" s="372" t="s">
        <v>9</v>
      </c>
      <c r="F1081" s="350">
        <v>45652.855555555558</v>
      </c>
      <c r="G1081" s="372">
        <v>12</v>
      </c>
      <c r="H1081" s="372" t="s">
        <v>2557</v>
      </c>
      <c r="I1081" s="349">
        <v>38899</v>
      </c>
      <c r="J1081" s="372" t="s">
        <v>7314</v>
      </c>
      <c r="K1081" s="349">
        <v>14.69</v>
      </c>
      <c r="L1081" s="349">
        <v>1.22</v>
      </c>
      <c r="M1081" s="349">
        <v>0</v>
      </c>
      <c r="N1081" s="349">
        <v>1</v>
      </c>
      <c r="O1081" s="349">
        <f t="shared" si="8"/>
        <v>13.469999999999999</v>
      </c>
      <c r="P1081" s="373">
        <f t="shared" si="9"/>
        <v>13.469999999999999</v>
      </c>
    </row>
    <row r="1082" spans="1:16">
      <c r="A1082" s="348">
        <v>1238</v>
      </c>
      <c r="B1082" s="349">
        <v>6145</v>
      </c>
      <c r="C1082" s="372" t="s">
        <v>2805</v>
      </c>
      <c r="D1082" s="372" t="s">
        <v>45</v>
      </c>
      <c r="E1082" s="372" t="s">
        <v>2556</v>
      </c>
      <c r="F1082" s="350">
        <v>45652.897222222222</v>
      </c>
      <c r="G1082" s="372">
        <v>12</v>
      </c>
      <c r="H1082" s="372" t="s">
        <v>2557</v>
      </c>
      <c r="I1082" s="349">
        <v>38911</v>
      </c>
      <c r="J1082" s="372" t="s">
        <v>8573</v>
      </c>
      <c r="K1082" s="349">
        <v>3.99</v>
      </c>
      <c r="L1082" s="349">
        <v>0</v>
      </c>
      <c r="M1082" s="349">
        <v>0</v>
      </c>
      <c r="N1082" s="349">
        <v>1</v>
      </c>
      <c r="O1082" s="349">
        <f t="shared" si="8"/>
        <v>3.99</v>
      </c>
      <c r="P1082" s="373">
        <f t="shared" si="9"/>
        <v>3.99</v>
      </c>
    </row>
    <row r="1083" spans="1:16">
      <c r="A1083" s="348">
        <v>1239</v>
      </c>
      <c r="B1083" s="349">
        <v>1021</v>
      </c>
      <c r="C1083" s="372" t="s">
        <v>2598</v>
      </c>
      <c r="D1083" s="372" t="s">
        <v>2582</v>
      </c>
      <c r="E1083" s="372" t="s">
        <v>2556</v>
      </c>
      <c r="F1083" s="350">
        <v>45652.961805555555</v>
      </c>
      <c r="G1083" s="372">
        <v>12</v>
      </c>
      <c r="H1083" s="372" t="s">
        <v>2557</v>
      </c>
      <c r="I1083" s="349">
        <v>37615</v>
      </c>
      <c r="J1083" s="372"/>
      <c r="K1083" s="349">
        <v>0.02</v>
      </c>
      <c r="L1083" s="349">
        <v>0</v>
      </c>
      <c r="M1083" s="349">
        <v>0</v>
      </c>
      <c r="N1083" s="349">
        <v>7.2961</v>
      </c>
      <c r="O1083" s="349">
        <f t="shared" si="8"/>
        <v>0.02</v>
      </c>
      <c r="P1083" s="373">
        <f t="shared" si="9"/>
        <v>2.7411904990337303E-3</v>
      </c>
    </row>
    <row r="1084" spans="1:16">
      <c r="A1084" s="348">
        <v>1240</v>
      </c>
      <c r="B1084" s="349">
        <v>2366</v>
      </c>
      <c r="C1084" s="372" t="s">
        <v>8129</v>
      </c>
      <c r="D1084" s="372" t="s">
        <v>45</v>
      </c>
      <c r="E1084" s="372" t="s">
        <v>9</v>
      </c>
      <c r="F1084" s="350">
        <v>45652.98333333333</v>
      </c>
      <c r="G1084" s="372">
        <v>12</v>
      </c>
      <c r="H1084" s="372" t="s">
        <v>2557</v>
      </c>
      <c r="I1084" s="349">
        <v>38743</v>
      </c>
      <c r="J1084" s="372" t="s">
        <v>7315</v>
      </c>
      <c r="K1084" s="349">
        <v>1.99</v>
      </c>
      <c r="L1084" s="349">
        <v>0.59</v>
      </c>
      <c r="M1084" s="349">
        <v>0</v>
      </c>
      <c r="N1084" s="349">
        <v>1</v>
      </c>
      <c r="O1084" s="349">
        <f t="shared" si="8"/>
        <v>1.4</v>
      </c>
      <c r="P1084" s="373">
        <f t="shared" si="9"/>
        <v>1.4</v>
      </c>
    </row>
    <row r="1085" spans="1:16">
      <c r="A1085" s="348">
        <v>1241</v>
      </c>
      <c r="B1085" s="349">
        <v>6154</v>
      </c>
      <c r="C1085" s="372" t="s">
        <v>2749</v>
      </c>
      <c r="D1085" s="372" t="s">
        <v>45</v>
      </c>
      <c r="E1085" s="372" t="s">
        <v>2556</v>
      </c>
      <c r="F1085" s="350">
        <v>45653.02847222222</v>
      </c>
      <c r="G1085" s="372">
        <v>12</v>
      </c>
      <c r="H1085" s="372" t="s">
        <v>2557</v>
      </c>
      <c r="I1085" s="349">
        <v>38995</v>
      </c>
      <c r="J1085" s="372" t="s">
        <v>8574</v>
      </c>
      <c r="K1085" s="349">
        <v>20.25</v>
      </c>
      <c r="L1085" s="349">
        <v>0</v>
      </c>
      <c r="M1085" s="349">
        <v>0</v>
      </c>
      <c r="N1085" s="349">
        <v>1</v>
      </c>
      <c r="O1085" s="349">
        <f t="shared" si="8"/>
        <v>20.25</v>
      </c>
      <c r="P1085" s="373">
        <f t="shared" si="9"/>
        <v>20.25</v>
      </c>
    </row>
    <row r="1086" spans="1:16">
      <c r="A1086" s="348">
        <v>1242</v>
      </c>
      <c r="B1086" s="349">
        <v>6157</v>
      </c>
      <c r="C1086" s="372" t="s">
        <v>8575</v>
      </c>
      <c r="D1086" s="372" t="s">
        <v>45</v>
      </c>
      <c r="E1086" s="372" t="s">
        <v>2556</v>
      </c>
      <c r="F1086" s="350">
        <v>45653.029861111114</v>
      </c>
      <c r="G1086" s="372">
        <v>12</v>
      </c>
      <c r="H1086" s="372" t="s">
        <v>2557</v>
      </c>
      <c r="I1086" s="349">
        <v>39019</v>
      </c>
      <c r="J1086" s="372" t="s">
        <v>8576</v>
      </c>
      <c r="K1086" s="349">
        <v>20.25</v>
      </c>
      <c r="L1086" s="349">
        <v>0</v>
      </c>
      <c r="M1086" s="349">
        <v>0</v>
      </c>
      <c r="N1086" s="349">
        <v>1</v>
      </c>
      <c r="O1086" s="349">
        <f t="shared" si="8"/>
        <v>20.25</v>
      </c>
      <c r="P1086" s="373">
        <f t="shared" si="9"/>
        <v>20.25</v>
      </c>
    </row>
    <row r="1087" spans="1:16">
      <c r="A1087" s="348">
        <v>1243</v>
      </c>
      <c r="B1087" s="349">
        <v>6160</v>
      </c>
      <c r="C1087" s="372" t="s">
        <v>8577</v>
      </c>
      <c r="D1087" s="372" t="s">
        <v>45</v>
      </c>
      <c r="E1087" s="372" t="s">
        <v>9</v>
      </c>
      <c r="F1087" s="350">
        <v>45653.03125</v>
      </c>
      <c r="G1087" s="372">
        <v>12</v>
      </c>
      <c r="H1087" s="372" t="s">
        <v>2557</v>
      </c>
      <c r="I1087" s="349">
        <v>39055</v>
      </c>
      <c r="J1087" s="372" t="s">
        <v>7317</v>
      </c>
      <c r="K1087" s="349">
        <v>20.25</v>
      </c>
      <c r="L1087" s="349">
        <v>1.5</v>
      </c>
      <c r="M1087" s="349">
        <v>0</v>
      </c>
      <c r="N1087" s="349">
        <v>1</v>
      </c>
      <c r="O1087" s="349">
        <f t="shared" si="8"/>
        <v>18.75</v>
      </c>
      <c r="P1087" s="373">
        <f t="shared" si="9"/>
        <v>18.75</v>
      </c>
    </row>
    <row r="1088" spans="1:16">
      <c r="A1088" s="348">
        <v>1244</v>
      </c>
      <c r="B1088" s="349">
        <v>6159</v>
      </c>
      <c r="C1088" s="372" t="s">
        <v>2930</v>
      </c>
      <c r="D1088" s="372" t="s">
        <v>45</v>
      </c>
      <c r="E1088" s="372" t="s">
        <v>2556</v>
      </c>
      <c r="F1088" s="350">
        <v>45653.032638888886</v>
      </c>
      <c r="G1088" s="372">
        <v>12</v>
      </c>
      <c r="H1088" s="372" t="s">
        <v>2557</v>
      </c>
      <c r="I1088" s="349">
        <v>39103</v>
      </c>
      <c r="J1088" s="372" t="s">
        <v>8578</v>
      </c>
      <c r="K1088" s="349">
        <v>20.25</v>
      </c>
      <c r="L1088" s="349">
        <v>0</v>
      </c>
      <c r="M1088" s="349">
        <v>0</v>
      </c>
      <c r="N1088" s="349">
        <v>1</v>
      </c>
      <c r="O1088" s="349">
        <f t="shared" si="8"/>
        <v>20.25</v>
      </c>
      <c r="P1088" s="373">
        <f t="shared" si="9"/>
        <v>20.25</v>
      </c>
    </row>
    <row r="1089" spans="1:16">
      <c r="A1089" s="348">
        <v>1245</v>
      </c>
      <c r="B1089" s="349">
        <v>6152</v>
      </c>
      <c r="C1089" s="372" t="s">
        <v>8579</v>
      </c>
      <c r="D1089" s="372" t="s">
        <v>45</v>
      </c>
      <c r="E1089" s="372" t="s">
        <v>2572</v>
      </c>
      <c r="F1089" s="350">
        <v>45653.032638888886</v>
      </c>
      <c r="G1089" s="372">
        <v>12</v>
      </c>
      <c r="H1089" s="372" t="s">
        <v>2557</v>
      </c>
      <c r="I1089" s="349">
        <v>39031</v>
      </c>
      <c r="J1089" s="372" t="s">
        <v>8580</v>
      </c>
      <c r="K1089" s="349">
        <v>20.25</v>
      </c>
      <c r="L1089" s="349">
        <v>0</v>
      </c>
      <c r="M1089" s="349">
        <v>0</v>
      </c>
      <c r="N1089" s="349">
        <v>1</v>
      </c>
      <c r="O1089" s="349">
        <f t="shared" si="8"/>
        <v>20.25</v>
      </c>
      <c r="P1089" s="373">
        <f t="shared" si="9"/>
        <v>20.25</v>
      </c>
    </row>
    <row r="1090" spans="1:16">
      <c r="A1090" s="348">
        <v>1246</v>
      </c>
      <c r="B1090" s="349">
        <v>6162</v>
      </c>
      <c r="C1090" s="372" t="s">
        <v>2915</v>
      </c>
      <c r="D1090" s="372" t="s">
        <v>45</v>
      </c>
      <c r="E1090" s="372" t="s">
        <v>2556</v>
      </c>
      <c r="F1090" s="350">
        <v>45653.033333333333</v>
      </c>
      <c r="G1090" s="372">
        <v>12</v>
      </c>
      <c r="H1090" s="372" t="s">
        <v>2557</v>
      </c>
      <c r="I1090" s="349">
        <v>39127</v>
      </c>
      <c r="J1090" s="372" t="s">
        <v>8581</v>
      </c>
      <c r="K1090" s="349">
        <v>20.25</v>
      </c>
      <c r="L1090" s="349">
        <v>0</v>
      </c>
      <c r="M1090" s="349">
        <v>0</v>
      </c>
      <c r="N1090" s="349">
        <v>1</v>
      </c>
      <c r="O1090" s="349">
        <f t="shared" si="8"/>
        <v>20.25</v>
      </c>
      <c r="P1090" s="373">
        <f t="shared" si="9"/>
        <v>20.25</v>
      </c>
    </row>
    <row r="1091" spans="1:16">
      <c r="A1091" s="348">
        <v>1247</v>
      </c>
      <c r="B1091" s="349">
        <v>392</v>
      </c>
      <c r="C1091" s="372" t="s">
        <v>2876</v>
      </c>
      <c r="D1091" s="372" t="s">
        <v>2582</v>
      </c>
      <c r="E1091" s="372" t="s">
        <v>9</v>
      </c>
      <c r="F1091" s="350">
        <v>45653.034722222219</v>
      </c>
      <c r="G1091" s="372">
        <v>12</v>
      </c>
      <c r="H1091" s="372" t="s">
        <v>2557</v>
      </c>
      <c r="I1091" s="349">
        <v>39139</v>
      </c>
      <c r="J1091" s="372" t="s">
        <v>7318</v>
      </c>
      <c r="K1091" s="349">
        <v>7.73</v>
      </c>
      <c r="L1091" s="349">
        <v>3.94</v>
      </c>
      <c r="M1091" s="349">
        <v>0</v>
      </c>
      <c r="N1091" s="349">
        <v>7.2961</v>
      </c>
      <c r="O1091" s="349">
        <f t="shared" si="8"/>
        <v>3.7900000000000005</v>
      </c>
      <c r="P1091" s="373">
        <f t="shared" si="9"/>
        <v>0.51945559956689191</v>
      </c>
    </row>
    <row r="1092" spans="1:16">
      <c r="A1092" s="348">
        <v>1248</v>
      </c>
      <c r="B1092" s="349">
        <v>6196</v>
      </c>
      <c r="C1092" s="372" t="s">
        <v>4029</v>
      </c>
      <c r="D1092" s="372" t="s">
        <v>45</v>
      </c>
      <c r="E1092" s="372" t="s">
        <v>2556</v>
      </c>
      <c r="F1092" s="350">
        <v>45653.416666666664</v>
      </c>
      <c r="G1092" s="372">
        <v>12</v>
      </c>
      <c r="H1092" s="372" t="s">
        <v>2557</v>
      </c>
      <c r="I1092" s="349">
        <v>39343</v>
      </c>
      <c r="J1092" s="372" t="s">
        <v>8582</v>
      </c>
      <c r="K1092" s="349">
        <v>20.25</v>
      </c>
      <c r="L1092" s="349">
        <v>0</v>
      </c>
      <c r="M1092" s="349">
        <v>0</v>
      </c>
      <c r="N1092" s="349">
        <v>1</v>
      </c>
      <c r="O1092" s="349">
        <f t="shared" si="8"/>
        <v>20.25</v>
      </c>
      <c r="P1092" s="373">
        <f t="shared" si="9"/>
        <v>20.25</v>
      </c>
    </row>
    <row r="1093" spans="1:16">
      <c r="A1093" s="348">
        <v>1249</v>
      </c>
      <c r="B1093" s="349">
        <v>6195</v>
      </c>
      <c r="C1093" s="372" t="s">
        <v>4029</v>
      </c>
      <c r="D1093" s="372" t="s">
        <v>45</v>
      </c>
      <c r="E1093" s="372" t="s">
        <v>2556</v>
      </c>
      <c r="F1093" s="350">
        <v>45653.422222222223</v>
      </c>
      <c r="G1093" s="372">
        <v>12</v>
      </c>
      <c r="H1093" s="372" t="s">
        <v>2557</v>
      </c>
      <c r="I1093" s="349">
        <v>39331</v>
      </c>
      <c r="J1093" s="372" t="s">
        <v>8583</v>
      </c>
      <c r="K1093" s="349">
        <v>20.25</v>
      </c>
      <c r="L1093" s="349">
        <v>0</v>
      </c>
      <c r="M1093" s="349">
        <v>0</v>
      </c>
      <c r="N1093" s="349">
        <v>1</v>
      </c>
      <c r="O1093" s="349">
        <f t="shared" si="8"/>
        <v>20.25</v>
      </c>
      <c r="P1093" s="373">
        <f t="shared" si="9"/>
        <v>20.25</v>
      </c>
    </row>
    <row r="1094" spans="1:16">
      <c r="A1094" s="348">
        <v>1250</v>
      </c>
      <c r="B1094" s="349">
        <v>417</v>
      </c>
      <c r="C1094" s="372" t="s">
        <v>2682</v>
      </c>
      <c r="D1094" s="372" t="s">
        <v>2582</v>
      </c>
      <c r="E1094" s="372" t="s">
        <v>2556</v>
      </c>
      <c r="F1094" s="350">
        <v>45653.424305555556</v>
      </c>
      <c r="G1094" s="372">
        <v>12</v>
      </c>
      <c r="H1094" s="372" t="s">
        <v>2557</v>
      </c>
      <c r="I1094" s="349">
        <v>39355</v>
      </c>
      <c r="J1094" s="372" t="s">
        <v>8584</v>
      </c>
      <c r="K1094" s="349">
        <v>147.75</v>
      </c>
      <c r="L1094" s="349">
        <v>0</v>
      </c>
      <c r="M1094" s="349">
        <v>0</v>
      </c>
      <c r="N1094" s="349">
        <v>7.2961</v>
      </c>
      <c r="O1094" s="349">
        <f t="shared" si="8"/>
        <v>147.75</v>
      </c>
      <c r="P1094" s="373">
        <f t="shared" si="9"/>
        <v>20.250544811611682</v>
      </c>
    </row>
    <row r="1095" spans="1:16">
      <c r="A1095" s="348">
        <v>1251</v>
      </c>
      <c r="B1095" s="349">
        <v>3578</v>
      </c>
      <c r="C1095" s="372" t="s">
        <v>8585</v>
      </c>
      <c r="D1095" s="372" t="s">
        <v>45</v>
      </c>
      <c r="E1095" s="372" t="s">
        <v>9</v>
      </c>
      <c r="F1095" s="350">
        <v>45653.441666666666</v>
      </c>
      <c r="G1095" s="372">
        <v>12</v>
      </c>
      <c r="H1095" s="372" t="s">
        <v>2557</v>
      </c>
      <c r="I1095" s="349">
        <v>39391</v>
      </c>
      <c r="J1095" s="372" t="s">
        <v>7319</v>
      </c>
      <c r="K1095" s="349">
        <v>20.25</v>
      </c>
      <c r="L1095" s="349">
        <v>1.5</v>
      </c>
      <c r="M1095" s="349">
        <v>0</v>
      </c>
      <c r="N1095" s="349">
        <v>1</v>
      </c>
      <c r="O1095" s="349">
        <f t="shared" si="8"/>
        <v>18.75</v>
      </c>
      <c r="P1095" s="373">
        <f t="shared" si="9"/>
        <v>18.75</v>
      </c>
    </row>
    <row r="1096" spans="1:16">
      <c r="A1096" s="348">
        <v>1252</v>
      </c>
      <c r="B1096" s="349">
        <v>6198</v>
      </c>
      <c r="C1096" s="372" t="s">
        <v>8586</v>
      </c>
      <c r="D1096" s="372" t="s">
        <v>45</v>
      </c>
      <c r="E1096" s="372" t="s">
        <v>2556</v>
      </c>
      <c r="F1096" s="350">
        <v>45653.455555555556</v>
      </c>
      <c r="G1096" s="372">
        <v>12</v>
      </c>
      <c r="H1096" s="372" t="s">
        <v>2557</v>
      </c>
      <c r="I1096" s="349">
        <v>39367</v>
      </c>
      <c r="J1096" s="372" t="s">
        <v>8587</v>
      </c>
      <c r="K1096" s="349">
        <v>20.25</v>
      </c>
      <c r="L1096" s="349">
        <v>0</v>
      </c>
      <c r="M1096" s="349">
        <v>0</v>
      </c>
      <c r="N1096" s="349">
        <v>1</v>
      </c>
      <c r="O1096" s="349">
        <f t="shared" si="8"/>
        <v>20.25</v>
      </c>
      <c r="P1096" s="373">
        <f t="shared" si="9"/>
        <v>20.25</v>
      </c>
    </row>
    <row r="1097" spans="1:16">
      <c r="A1097" s="348">
        <v>1253</v>
      </c>
      <c r="B1097" s="349">
        <v>6154</v>
      </c>
      <c r="C1097" s="372" t="s">
        <v>2749</v>
      </c>
      <c r="D1097" s="372" t="s">
        <v>45</v>
      </c>
      <c r="E1097" s="372" t="s">
        <v>2556</v>
      </c>
      <c r="F1097" s="350">
        <v>45653.574305555558</v>
      </c>
      <c r="G1097" s="372">
        <v>12</v>
      </c>
      <c r="H1097" s="372" t="s">
        <v>8588</v>
      </c>
      <c r="I1097" s="349">
        <v>38995</v>
      </c>
      <c r="J1097" s="372"/>
      <c r="K1097" s="349">
        <v>0</v>
      </c>
      <c r="L1097" s="349">
        <v>0</v>
      </c>
      <c r="M1097" s="349">
        <v>20.25</v>
      </c>
      <c r="N1097" s="349">
        <v>1</v>
      </c>
      <c r="O1097" s="349">
        <f t="shared" si="8"/>
        <v>-20.25</v>
      </c>
      <c r="P1097" s="373">
        <f t="shared" si="9"/>
        <v>-20.25</v>
      </c>
    </row>
    <row r="1098" spans="1:16">
      <c r="A1098" s="348">
        <v>1254</v>
      </c>
      <c r="B1098" s="349">
        <v>6199</v>
      </c>
      <c r="C1098" s="372" t="s">
        <v>8589</v>
      </c>
      <c r="D1098" s="372" t="s">
        <v>45</v>
      </c>
      <c r="E1098" s="372" t="s">
        <v>2556</v>
      </c>
      <c r="F1098" s="350">
        <v>45653.613888888889</v>
      </c>
      <c r="G1098" s="372">
        <v>12</v>
      </c>
      <c r="H1098" s="372" t="s">
        <v>2557</v>
      </c>
      <c r="I1098" s="349">
        <v>39379</v>
      </c>
      <c r="J1098" s="372" t="s">
        <v>8590</v>
      </c>
      <c r="K1098" s="349">
        <v>20.25</v>
      </c>
      <c r="L1098" s="349">
        <v>0</v>
      </c>
      <c r="M1098" s="349">
        <v>0</v>
      </c>
      <c r="N1098" s="349">
        <v>1</v>
      </c>
      <c r="O1098" s="349">
        <f t="shared" si="8"/>
        <v>20.25</v>
      </c>
      <c r="P1098" s="373">
        <f t="shared" si="9"/>
        <v>20.25</v>
      </c>
    </row>
    <row r="1099" spans="1:16">
      <c r="A1099" s="348">
        <v>1255</v>
      </c>
      <c r="B1099" s="349">
        <v>6214</v>
      </c>
      <c r="C1099" s="372" t="s">
        <v>8591</v>
      </c>
      <c r="D1099" s="372" t="s">
        <v>45</v>
      </c>
      <c r="E1099" s="372" t="s">
        <v>2556</v>
      </c>
      <c r="F1099" s="350">
        <v>45653.623611111114</v>
      </c>
      <c r="G1099" s="372">
        <v>12</v>
      </c>
      <c r="H1099" s="372" t="s">
        <v>2557</v>
      </c>
      <c r="I1099" s="349">
        <v>39523</v>
      </c>
      <c r="J1099" s="372" t="s">
        <v>8592</v>
      </c>
      <c r="K1099" s="349">
        <v>20.25</v>
      </c>
      <c r="L1099" s="349">
        <v>0</v>
      </c>
      <c r="M1099" s="349">
        <v>0</v>
      </c>
      <c r="N1099" s="349">
        <v>1</v>
      </c>
      <c r="O1099" s="349">
        <f t="shared" si="8"/>
        <v>20.25</v>
      </c>
      <c r="P1099" s="373">
        <f t="shared" si="9"/>
        <v>20.25</v>
      </c>
    </row>
    <row r="1100" spans="1:16">
      <c r="A1100" s="348">
        <v>1256</v>
      </c>
      <c r="B1100" s="349">
        <v>6212</v>
      </c>
      <c r="C1100" s="372" t="s">
        <v>4544</v>
      </c>
      <c r="D1100" s="372" t="s">
        <v>45</v>
      </c>
      <c r="E1100" s="372" t="s">
        <v>2556</v>
      </c>
      <c r="F1100" s="350">
        <v>45653.636805555558</v>
      </c>
      <c r="G1100" s="372">
        <v>12</v>
      </c>
      <c r="H1100" s="372" t="s">
        <v>2557</v>
      </c>
      <c r="I1100" s="349">
        <v>39499</v>
      </c>
      <c r="J1100" s="372" t="s">
        <v>8593</v>
      </c>
      <c r="K1100" s="349">
        <v>8.39</v>
      </c>
      <c r="L1100" s="349">
        <v>0</v>
      </c>
      <c r="M1100" s="349">
        <v>0</v>
      </c>
      <c r="N1100" s="349">
        <v>1</v>
      </c>
      <c r="O1100" s="349">
        <f t="shared" si="8"/>
        <v>8.39</v>
      </c>
      <c r="P1100" s="373">
        <f t="shared" si="9"/>
        <v>8.39</v>
      </c>
    </row>
    <row r="1101" spans="1:16">
      <c r="A1101" s="348">
        <v>1257</v>
      </c>
      <c r="B1101" s="349">
        <v>3299</v>
      </c>
      <c r="C1101" s="372" t="s">
        <v>2598</v>
      </c>
      <c r="D1101" s="372" t="s">
        <v>45</v>
      </c>
      <c r="E1101" s="372" t="s">
        <v>2556</v>
      </c>
      <c r="F1101" s="350">
        <v>45653.675000000003</v>
      </c>
      <c r="G1101" s="372">
        <v>12</v>
      </c>
      <c r="H1101" s="372" t="s">
        <v>2557</v>
      </c>
      <c r="I1101" s="349">
        <v>37159</v>
      </c>
      <c r="J1101" s="372" t="s">
        <v>8594</v>
      </c>
      <c r="K1101" s="349">
        <v>42.99</v>
      </c>
      <c r="L1101" s="349">
        <v>0</v>
      </c>
      <c r="M1101" s="349">
        <v>0</v>
      </c>
      <c r="N1101" s="349">
        <v>1</v>
      </c>
      <c r="O1101" s="349">
        <f t="shared" si="8"/>
        <v>42.99</v>
      </c>
      <c r="P1101" s="373">
        <f t="shared" si="9"/>
        <v>42.99</v>
      </c>
    </row>
    <row r="1102" spans="1:16">
      <c r="A1102" s="348">
        <v>1258</v>
      </c>
      <c r="B1102" s="349">
        <v>1583</v>
      </c>
      <c r="C1102" s="372" t="s">
        <v>8024</v>
      </c>
      <c r="D1102" s="372" t="s">
        <v>2582</v>
      </c>
      <c r="E1102" s="372" t="s">
        <v>2556</v>
      </c>
      <c r="F1102" s="350">
        <v>45653.886805555558</v>
      </c>
      <c r="G1102" s="372">
        <v>12</v>
      </c>
      <c r="H1102" s="372" t="s">
        <v>2557</v>
      </c>
      <c r="I1102" s="349">
        <v>39559</v>
      </c>
      <c r="J1102" s="372" t="s">
        <v>8595</v>
      </c>
      <c r="K1102" s="349">
        <v>147.75</v>
      </c>
      <c r="L1102" s="349">
        <v>0</v>
      </c>
      <c r="M1102" s="349">
        <v>0</v>
      </c>
      <c r="N1102" s="349">
        <v>7.2961</v>
      </c>
      <c r="O1102" s="349">
        <f t="shared" si="8"/>
        <v>147.75</v>
      </c>
      <c r="P1102" s="373">
        <f t="shared" si="9"/>
        <v>20.250544811611682</v>
      </c>
    </row>
    <row r="1103" spans="1:16">
      <c r="A1103" s="348">
        <v>1259</v>
      </c>
      <c r="B1103" s="349">
        <v>383</v>
      </c>
      <c r="C1103" s="372" t="s">
        <v>5804</v>
      </c>
      <c r="D1103" s="372" t="s">
        <v>45</v>
      </c>
      <c r="E1103" s="372" t="s">
        <v>9</v>
      </c>
      <c r="F1103" s="350">
        <v>45653.88958333333</v>
      </c>
      <c r="G1103" s="372">
        <v>12</v>
      </c>
      <c r="H1103" s="372" t="s">
        <v>2557</v>
      </c>
      <c r="I1103" s="349">
        <v>39607</v>
      </c>
      <c r="J1103" s="372" t="s">
        <v>7321</v>
      </c>
      <c r="K1103" s="349">
        <v>20.25</v>
      </c>
      <c r="L1103" s="349">
        <v>1.2</v>
      </c>
      <c r="M1103" s="349">
        <v>0</v>
      </c>
      <c r="N1103" s="349">
        <v>1</v>
      </c>
      <c r="O1103" s="349">
        <f t="shared" si="8"/>
        <v>19.05</v>
      </c>
      <c r="P1103" s="373">
        <f t="shared" si="9"/>
        <v>19.05</v>
      </c>
    </row>
    <row r="1104" spans="1:16">
      <c r="A1104" s="348">
        <v>1260</v>
      </c>
      <c r="B1104" s="349">
        <v>6227</v>
      </c>
      <c r="C1104" s="372" t="s">
        <v>6354</v>
      </c>
      <c r="D1104" s="372" t="s">
        <v>45</v>
      </c>
      <c r="E1104" s="372" t="s">
        <v>2556</v>
      </c>
      <c r="F1104" s="350">
        <v>45653.895833333336</v>
      </c>
      <c r="G1104" s="372">
        <v>12</v>
      </c>
      <c r="H1104" s="372" t="s">
        <v>2557</v>
      </c>
      <c r="I1104" s="349">
        <v>39619</v>
      </c>
      <c r="J1104" s="372" t="s">
        <v>8596</v>
      </c>
      <c r="K1104" s="349">
        <v>20.25</v>
      </c>
      <c r="L1104" s="349">
        <v>0</v>
      </c>
      <c r="M1104" s="349">
        <v>0</v>
      </c>
      <c r="N1104" s="349">
        <v>1</v>
      </c>
      <c r="O1104" s="349">
        <f t="shared" si="8"/>
        <v>20.25</v>
      </c>
      <c r="P1104" s="373">
        <f t="shared" si="9"/>
        <v>20.25</v>
      </c>
    </row>
    <row r="1105" spans="1:16">
      <c r="A1105" s="348">
        <v>1261</v>
      </c>
      <c r="B1105" s="349">
        <v>127</v>
      </c>
      <c r="C1105" s="372" t="s">
        <v>7478</v>
      </c>
      <c r="D1105" s="372" t="s">
        <v>45</v>
      </c>
      <c r="E1105" s="372" t="s">
        <v>2556</v>
      </c>
      <c r="F1105" s="350">
        <v>45653.914583333331</v>
      </c>
      <c r="G1105" s="372">
        <v>12</v>
      </c>
      <c r="H1105" s="372" t="s">
        <v>2557</v>
      </c>
      <c r="I1105" s="349">
        <v>39655</v>
      </c>
      <c r="J1105" s="372" t="s">
        <v>8597</v>
      </c>
      <c r="K1105" s="349">
        <v>20.25</v>
      </c>
      <c r="L1105" s="349">
        <v>0</v>
      </c>
      <c r="M1105" s="349">
        <v>0</v>
      </c>
      <c r="N1105" s="349">
        <v>1</v>
      </c>
      <c r="O1105" s="349">
        <f t="shared" si="8"/>
        <v>20.25</v>
      </c>
      <c r="P1105" s="373">
        <f t="shared" si="9"/>
        <v>20.25</v>
      </c>
    </row>
    <row r="1106" spans="1:16">
      <c r="A1106" s="348">
        <v>1262</v>
      </c>
      <c r="B1106" s="349">
        <v>6229</v>
      </c>
      <c r="C1106" s="372" t="s">
        <v>8598</v>
      </c>
      <c r="D1106" s="372" t="s">
        <v>45</v>
      </c>
      <c r="E1106" s="372" t="s">
        <v>2556</v>
      </c>
      <c r="F1106" s="350">
        <v>45653.946527777778</v>
      </c>
      <c r="G1106" s="372">
        <v>12</v>
      </c>
      <c r="H1106" s="372" t="s">
        <v>2557</v>
      </c>
      <c r="I1106" s="349">
        <v>39679</v>
      </c>
      <c r="J1106" s="372" t="s">
        <v>8599</v>
      </c>
      <c r="K1106" s="349">
        <v>20.25</v>
      </c>
      <c r="L1106" s="349">
        <v>0</v>
      </c>
      <c r="M1106" s="349">
        <v>0</v>
      </c>
      <c r="N1106" s="349">
        <v>1</v>
      </c>
      <c r="O1106" s="349">
        <f t="shared" si="8"/>
        <v>20.25</v>
      </c>
      <c r="P1106" s="373">
        <f t="shared" si="9"/>
        <v>20.25</v>
      </c>
    </row>
    <row r="1107" spans="1:16">
      <c r="A1107" s="348">
        <v>1263</v>
      </c>
      <c r="B1107" s="349">
        <v>6207</v>
      </c>
      <c r="C1107" s="372" t="s">
        <v>8600</v>
      </c>
      <c r="D1107" s="372" t="s">
        <v>45</v>
      </c>
      <c r="E1107" s="372" t="s">
        <v>9</v>
      </c>
      <c r="F1107" s="350">
        <v>45653.968055555553</v>
      </c>
      <c r="G1107" s="372">
        <v>12</v>
      </c>
      <c r="H1107" s="372" t="s">
        <v>2557</v>
      </c>
      <c r="I1107" s="349">
        <v>39703</v>
      </c>
      <c r="J1107" s="372" t="s">
        <v>7323</v>
      </c>
      <c r="K1107" s="349">
        <v>20.25</v>
      </c>
      <c r="L1107" s="349">
        <v>1.2</v>
      </c>
      <c r="M1107" s="349">
        <v>0</v>
      </c>
      <c r="N1107" s="349">
        <v>1</v>
      </c>
      <c r="O1107" s="349">
        <f t="shared" si="8"/>
        <v>19.05</v>
      </c>
      <c r="P1107" s="373">
        <f t="shared" si="9"/>
        <v>19.05</v>
      </c>
    </row>
    <row r="1108" spans="1:16">
      <c r="A1108" s="348">
        <v>1264</v>
      </c>
      <c r="B1108" s="349">
        <v>2918</v>
      </c>
      <c r="C1108" s="372" t="s">
        <v>8601</v>
      </c>
      <c r="D1108" s="372" t="s">
        <v>45</v>
      </c>
      <c r="E1108" s="372" t="s">
        <v>2556</v>
      </c>
      <c r="F1108" s="350">
        <v>45653.980555555558</v>
      </c>
      <c r="G1108" s="372">
        <v>12</v>
      </c>
      <c r="H1108" s="372" t="s">
        <v>2557</v>
      </c>
      <c r="I1108" s="349">
        <v>39715</v>
      </c>
      <c r="J1108" s="372" t="s">
        <v>8602</v>
      </c>
      <c r="K1108" s="349">
        <v>20.25</v>
      </c>
      <c r="L1108" s="349">
        <v>0</v>
      </c>
      <c r="M1108" s="349">
        <v>0</v>
      </c>
      <c r="N1108" s="349">
        <v>1</v>
      </c>
      <c r="O1108" s="349">
        <f t="shared" si="8"/>
        <v>20.25</v>
      </c>
      <c r="P1108" s="373">
        <f t="shared" si="9"/>
        <v>20.25</v>
      </c>
    </row>
    <row r="1109" spans="1:16">
      <c r="A1109" s="348">
        <v>1265</v>
      </c>
      <c r="B1109" s="349">
        <v>6234</v>
      </c>
      <c r="C1109" s="372" t="s">
        <v>8603</v>
      </c>
      <c r="D1109" s="372" t="s">
        <v>45</v>
      </c>
      <c r="E1109" s="372" t="s">
        <v>2556</v>
      </c>
      <c r="F1109" s="350">
        <v>45653.981249999997</v>
      </c>
      <c r="G1109" s="372">
        <v>12</v>
      </c>
      <c r="H1109" s="372" t="s">
        <v>2557</v>
      </c>
      <c r="I1109" s="349">
        <v>39727</v>
      </c>
      <c r="J1109" s="372" t="s">
        <v>8604</v>
      </c>
      <c r="K1109" s="349">
        <v>8.39</v>
      </c>
      <c r="L1109" s="349">
        <v>0</v>
      </c>
      <c r="M1109" s="349">
        <v>0</v>
      </c>
      <c r="N1109" s="349">
        <v>1</v>
      </c>
      <c r="O1109" s="349">
        <f t="shared" si="8"/>
        <v>8.39</v>
      </c>
      <c r="P1109" s="373">
        <f t="shared" si="9"/>
        <v>8.39</v>
      </c>
    </row>
    <row r="1110" spans="1:16">
      <c r="A1110" s="348">
        <v>1266</v>
      </c>
      <c r="B1110" s="349">
        <v>6235</v>
      </c>
      <c r="C1110" s="372" t="s">
        <v>8605</v>
      </c>
      <c r="D1110" s="372" t="s">
        <v>45</v>
      </c>
      <c r="E1110" s="372" t="s">
        <v>9</v>
      </c>
      <c r="F1110" s="350">
        <v>45654.007638888892</v>
      </c>
      <c r="G1110" s="372">
        <v>12</v>
      </c>
      <c r="H1110" s="372" t="s">
        <v>2557</v>
      </c>
      <c r="I1110" s="349">
        <v>39739</v>
      </c>
      <c r="J1110" s="372" t="s">
        <v>7325</v>
      </c>
      <c r="K1110" s="349">
        <v>14.69</v>
      </c>
      <c r="L1110" s="349">
        <v>1.22</v>
      </c>
      <c r="M1110" s="349">
        <v>0</v>
      </c>
      <c r="N1110" s="349">
        <v>1</v>
      </c>
      <c r="O1110" s="349">
        <f t="shared" si="8"/>
        <v>13.469999999999999</v>
      </c>
      <c r="P1110" s="373">
        <f t="shared" si="9"/>
        <v>13.469999999999999</v>
      </c>
    </row>
    <row r="1111" spans="1:16">
      <c r="A1111" s="348">
        <v>1267</v>
      </c>
      <c r="B1111" s="349">
        <v>4910</v>
      </c>
      <c r="C1111" s="372" t="s">
        <v>8606</v>
      </c>
      <c r="D1111" s="372" t="s">
        <v>2582</v>
      </c>
      <c r="E1111" s="372" t="s">
        <v>2556</v>
      </c>
      <c r="F1111" s="350">
        <v>45654.038888888892</v>
      </c>
      <c r="G1111" s="372">
        <v>12</v>
      </c>
      <c r="H1111" s="372" t="s">
        <v>2557</v>
      </c>
      <c r="I1111" s="349">
        <v>39751</v>
      </c>
      <c r="J1111" s="372" t="s">
        <v>8607</v>
      </c>
      <c r="K1111" s="349">
        <v>18.170000000000002</v>
      </c>
      <c r="L1111" s="349">
        <v>0</v>
      </c>
      <c r="M1111" s="349">
        <v>0</v>
      </c>
      <c r="N1111" s="349">
        <v>7.2961</v>
      </c>
      <c r="O1111" s="349">
        <f t="shared" si="8"/>
        <v>18.170000000000002</v>
      </c>
      <c r="P1111" s="373">
        <f t="shared" si="9"/>
        <v>2.4903715683721441</v>
      </c>
    </row>
    <row r="1112" spans="1:16">
      <c r="A1112" s="348">
        <v>1268</v>
      </c>
      <c r="B1112" s="349">
        <v>6239</v>
      </c>
      <c r="C1112" s="372" t="s">
        <v>3126</v>
      </c>
      <c r="D1112" s="372" t="s">
        <v>45</v>
      </c>
      <c r="E1112" s="372" t="s">
        <v>2556</v>
      </c>
      <c r="F1112" s="350">
        <v>45654.069444444445</v>
      </c>
      <c r="G1112" s="372">
        <v>12</v>
      </c>
      <c r="H1112" s="372" t="s">
        <v>2557</v>
      </c>
      <c r="I1112" s="349">
        <v>39775</v>
      </c>
      <c r="J1112" s="372" t="s">
        <v>8608</v>
      </c>
      <c r="K1112" s="349">
        <v>32.99</v>
      </c>
      <c r="L1112" s="349">
        <v>0</v>
      </c>
      <c r="M1112" s="349">
        <v>0</v>
      </c>
      <c r="N1112" s="349">
        <v>1</v>
      </c>
      <c r="O1112" s="349">
        <f t="shared" si="8"/>
        <v>32.99</v>
      </c>
      <c r="P1112" s="373">
        <f t="shared" si="9"/>
        <v>32.99</v>
      </c>
    </row>
    <row r="1113" spans="1:16">
      <c r="A1113" s="348">
        <v>1269</v>
      </c>
      <c r="B1113" s="349">
        <v>6248</v>
      </c>
      <c r="C1113" s="372" t="s">
        <v>8609</v>
      </c>
      <c r="D1113" s="372" t="s">
        <v>45</v>
      </c>
      <c r="E1113" s="372" t="s">
        <v>9</v>
      </c>
      <c r="F1113" s="350">
        <v>45654.282638888886</v>
      </c>
      <c r="G1113" s="372">
        <v>12</v>
      </c>
      <c r="H1113" s="372" t="s">
        <v>2557</v>
      </c>
      <c r="I1113" s="349">
        <v>39787</v>
      </c>
      <c r="J1113" s="372" t="s">
        <v>7327</v>
      </c>
      <c r="K1113" s="349">
        <v>20.25</v>
      </c>
      <c r="L1113" s="349">
        <v>1.5</v>
      </c>
      <c r="M1113" s="349">
        <v>0</v>
      </c>
      <c r="N1113" s="349">
        <v>1</v>
      </c>
      <c r="O1113" s="349">
        <f t="shared" si="8"/>
        <v>18.75</v>
      </c>
      <c r="P1113" s="373">
        <f t="shared" si="9"/>
        <v>18.75</v>
      </c>
    </row>
    <row r="1114" spans="1:16">
      <c r="A1114" s="348">
        <v>1270</v>
      </c>
      <c r="B1114" s="349">
        <v>6261</v>
      </c>
      <c r="C1114" s="372" t="s">
        <v>3365</v>
      </c>
      <c r="D1114" s="372" t="s">
        <v>45</v>
      </c>
      <c r="E1114" s="372" t="s">
        <v>2556</v>
      </c>
      <c r="F1114" s="350">
        <v>45654.392361111109</v>
      </c>
      <c r="G1114" s="372">
        <v>12</v>
      </c>
      <c r="H1114" s="372" t="s">
        <v>2557</v>
      </c>
      <c r="I1114" s="349">
        <v>39847</v>
      </c>
      <c r="J1114" s="372" t="s">
        <v>8610</v>
      </c>
      <c r="K1114" s="349">
        <v>11.99</v>
      </c>
      <c r="L1114" s="349">
        <v>0</v>
      </c>
      <c r="M1114" s="349">
        <v>0</v>
      </c>
      <c r="N1114" s="349">
        <v>1</v>
      </c>
      <c r="O1114" s="349">
        <f t="shared" si="8"/>
        <v>11.99</v>
      </c>
      <c r="P1114" s="373">
        <f t="shared" si="9"/>
        <v>11.99</v>
      </c>
    </row>
    <row r="1115" spans="1:16">
      <c r="A1115" s="348">
        <v>1271</v>
      </c>
      <c r="B1115" s="349">
        <v>6268</v>
      </c>
      <c r="C1115" s="372" t="s">
        <v>2795</v>
      </c>
      <c r="D1115" s="372" t="s">
        <v>45</v>
      </c>
      <c r="E1115" s="372" t="s">
        <v>2572</v>
      </c>
      <c r="F1115" s="350">
        <v>45654.545138888891</v>
      </c>
      <c r="G1115" s="372">
        <v>12</v>
      </c>
      <c r="H1115" s="372" t="s">
        <v>2557</v>
      </c>
      <c r="I1115" s="349">
        <v>39871</v>
      </c>
      <c r="J1115" s="372" t="s">
        <v>8611</v>
      </c>
      <c r="K1115" s="349">
        <v>20.25</v>
      </c>
      <c r="L1115" s="349">
        <v>0</v>
      </c>
      <c r="M1115" s="349">
        <v>0</v>
      </c>
      <c r="N1115" s="349">
        <v>1</v>
      </c>
      <c r="O1115" s="349">
        <f t="shared" si="8"/>
        <v>20.25</v>
      </c>
      <c r="P1115" s="373">
        <f t="shared" si="9"/>
        <v>20.25</v>
      </c>
    </row>
    <row r="1116" spans="1:16">
      <c r="A1116" s="348">
        <v>1272</v>
      </c>
      <c r="B1116" s="349">
        <v>6269</v>
      </c>
      <c r="C1116" s="372" t="s">
        <v>7683</v>
      </c>
      <c r="D1116" s="372" t="s">
        <v>2582</v>
      </c>
      <c r="E1116" s="372" t="s">
        <v>2556</v>
      </c>
      <c r="F1116" s="350">
        <v>45654.548611111109</v>
      </c>
      <c r="G1116" s="372">
        <v>12</v>
      </c>
      <c r="H1116" s="372" t="s">
        <v>2557</v>
      </c>
      <c r="I1116" s="349">
        <v>39883</v>
      </c>
      <c r="J1116" s="372" t="s">
        <v>8612</v>
      </c>
      <c r="K1116" s="349">
        <v>147.81</v>
      </c>
      <c r="L1116" s="349">
        <v>0</v>
      </c>
      <c r="M1116" s="349">
        <v>0</v>
      </c>
      <c r="N1116" s="349">
        <v>7.2993800000000002</v>
      </c>
      <c r="O1116" s="349">
        <f t="shared" si="8"/>
        <v>147.81</v>
      </c>
      <c r="P1116" s="373">
        <f t="shared" si="9"/>
        <v>20.249665040044498</v>
      </c>
    </row>
    <row r="1117" spans="1:16">
      <c r="A1117" s="348">
        <v>1273</v>
      </c>
      <c r="B1117" s="349">
        <v>6273</v>
      </c>
      <c r="C1117" s="372" t="s">
        <v>8613</v>
      </c>
      <c r="D1117" s="372" t="s">
        <v>45</v>
      </c>
      <c r="E1117" s="372" t="s">
        <v>2556</v>
      </c>
      <c r="F1117" s="350">
        <v>45654.606249999997</v>
      </c>
      <c r="G1117" s="372">
        <v>12</v>
      </c>
      <c r="H1117" s="372" t="s">
        <v>2557</v>
      </c>
      <c r="I1117" s="349">
        <v>39895</v>
      </c>
      <c r="J1117" s="372" t="s">
        <v>8614</v>
      </c>
      <c r="K1117" s="349">
        <v>20.25</v>
      </c>
      <c r="L1117" s="349">
        <v>0</v>
      </c>
      <c r="M1117" s="349">
        <v>0</v>
      </c>
      <c r="N1117" s="349">
        <v>1</v>
      </c>
      <c r="O1117" s="349">
        <f t="shared" si="8"/>
        <v>20.25</v>
      </c>
      <c r="P1117" s="373">
        <f t="shared" si="9"/>
        <v>20.25</v>
      </c>
    </row>
    <row r="1118" spans="1:16">
      <c r="A1118" s="348">
        <v>1274</v>
      </c>
      <c r="B1118" s="349">
        <v>6274</v>
      </c>
      <c r="C1118" s="372" t="s">
        <v>2575</v>
      </c>
      <c r="D1118" s="372" t="s">
        <v>2582</v>
      </c>
      <c r="E1118" s="372" t="s">
        <v>2556</v>
      </c>
      <c r="F1118" s="350">
        <v>45654.616666666669</v>
      </c>
      <c r="G1118" s="372">
        <v>12</v>
      </c>
      <c r="H1118" s="372" t="s">
        <v>2557</v>
      </c>
      <c r="I1118" s="349">
        <v>39907</v>
      </c>
      <c r="J1118" s="372" t="s">
        <v>8615</v>
      </c>
      <c r="K1118" s="349">
        <v>147.81</v>
      </c>
      <c r="L1118" s="349">
        <v>0</v>
      </c>
      <c r="M1118" s="349">
        <v>0</v>
      </c>
      <c r="N1118" s="349">
        <v>7.2993800000000002</v>
      </c>
      <c r="O1118" s="349">
        <f t="shared" si="8"/>
        <v>147.81</v>
      </c>
      <c r="P1118" s="373">
        <f t="shared" si="9"/>
        <v>20.249665040044498</v>
      </c>
    </row>
    <row r="1119" spans="1:16">
      <c r="A1119" s="348">
        <v>1275</v>
      </c>
      <c r="B1119" s="349">
        <v>3309</v>
      </c>
      <c r="C1119" s="372" t="s">
        <v>2722</v>
      </c>
      <c r="D1119" s="372" t="s">
        <v>45</v>
      </c>
      <c r="E1119" s="372" t="s">
        <v>2556</v>
      </c>
      <c r="F1119" s="350">
        <v>45654.682638888888</v>
      </c>
      <c r="G1119" s="372">
        <v>12</v>
      </c>
      <c r="H1119" s="372" t="s">
        <v>2557</v>
      </c>
      <c r="I1119" s="349">
        <v>38167</v>
      </c>
      <c r="J1119" s="372" t="s">
        <v>8616</v>
      </c>
      <c r="K1119" s="349">
        <v>59.99</v>
      </c>
      <c r="L1119" s="349">
        <v>0</v>
      </c>
      <c r="M1119" s="349">
        <v>0</v>
      </c>
      <c r="N1119" s="349">
        <v>1</v>
      </c>
      <c r="O1119" s="349">
        <f t="shared" si="8"/>
        <v>59.99</v>
      </c>
      <c r="P1119" s="373">
        <f t="shared" si="9"/>
        <v>59.99</v>
      </c>
    </row>
    <row r="1120" spans="1:16">
      <c r="A1120" s="348">
        <v>1276</v>
      </c>
      <c r="B1120" s="349">
        <v>3747</v>
      </c>
      <c r="C1120" s="372" t="s">
        <v>2825</v>
      </c>
      <c r="D1120" s="372" t="s">
        <v>2582</v>
      </c>
      <c r="E1120" s="372" t="s">
        <v>2556</v>
      </c>
      <c r="F1120" s="350">
        <v>45654.742361111108</v>
      </c>
      <c r="G1120" s="372">
        <v>12</v>
      </c>
      <c r="H1120" s="372" t="s">
        <v>2557</v>
      </c>
      <c r="I1120" s="349">
        <v>37183</v>
      </c>
      <c r="J1120" s="372" t="s">
        <v>8617</v>
      </c>
      <c r="K1120" s="349">
        <v>52.12</v>
      </c>
      <c r="L1120" s="349">
        <v>0</v>
      </c>
      <c r="M1120" s="349">
        <v>0</v>
      </c>
      <c r="N1120" s="349">
        <v>7.2993800000000002</v>
      </c>
      <c r="O1120" s="349">
        <f t="shared" si="8"/>
        <v>52.12</v>
      </c>
      <c r="P1120" s="373">
        <f t="shared" si="9"/>
        <v>7.140332466593053</v>
      </c>
    </row>
    <row r="1121" spans="1:16">
      <c r="A1121" s="348">
        <v>1277</v>
      </c>
      <c r="B1121" s="349">
        <v>6284</v>
      </c>
      <c r="C1121" s="372" t="s">
        <v>8618</v>
      </c>
      <c r="D1121" s="372" t="s">
        <v>45</v>
      </c>
      <c r="E1121" s="372" t="s">
        <v>2556</v>
      </c>
      <c r="F1121" s="350">
        <v>45654.831944444442</v>
      </c>
      <c r="G1121" s="372">
        <v>12</v>
      </c>
      <c r="H1121" s="372" t="s">
        <v>2557</v>
      </c>
      <c r="I1121" s="349">
        <v>39931</v>
      </c>
      <c r="J1121" s="372" t="s">
        <v>8619</v>
      </c>
      <c r="K1121" s="349">
        <v>20.25</v>
      </c>
      <c r="L1121" s="349">
        <v>0</v>
      </c>
      <c r="M1121" s="349">
        <v>0</v>
      </c>
      <c r="N1121" s="349">
        <v>1</v>
      </c>
      <c r="O1121" s="349">
        <f t="shared" si="8"/>
        <v>20.25</v>
      </c>
      <c r="P1121" s="373">
        <f t="shared" si="9"/>
        <v>20.25</v>
      </c>
    </row>
    <row r="1122" spans="1:16">
      <c r="A1122" s="348">
        <v>1278</v>
      </c>
      <c r="B1122" s="349">
        <v>6287</v>
      </c>
      <c r="C1122" s="372" t="s">
        <v>3495</v>
      </c>
      <c r="D1122" s="372" t="s">
        <v>45</v>
      </c>
      <c r="E1122" s="372" t="s">
        <v>9</v>
      </c>
      <c r="F1122" s="350">
        <v>45654.910416666666</v>
      </c>
      <c r="G1122" s="372">
        <v>12</v>
      </c>
      <c r="H1122" s="372" t="s">
        <v>2557</v>
      </c>
      <c r="I1122" s="349">
        <v>39967</v>
      </c>
      <c r="J1122" s="372" t="s">
        <v>7330</v>
      </c>
      <c r="K1122" s="349">
        <v>20.25</v>
      </c>
      <c r="L1122" s="349">
        <v>1.5</v>
      </c>
      <c r="M1122" s="349">
        <v>0</v>
      </c>
      <c r="N1122" s="349">
        <v>1</v>
      </c>
      <c r="O1122" s="349">
        <f t="shared" si="8"/>
        <v>18.75</v>
      </c>
      <c r="P1122" s="373">
        <f t="shared" si="9"/>
        <v>18.75</v>
      </c>
    </row>
    <row r="1123" spans="1:16">
      <c r="A1123" s="348">
        <v>1279</v>
      </c>
      <c r="B1123" s="349">
        <v>1588</v>
      </c>
      <c r="C1123" s="372" t="s">
        <v>2594</v>
      </c>
      <c r="D1123" s="372" t="s">
        <v>45</v>
      </c>
      <c r="E1123" s="372" t="s">
        <v>2556</v>
      </c>
      <c r="F1123" s="350">
        <v>45654.962500000001</v>
      </c>
      <c r="G1123" s="372">
        <v>12</v>
      </c>
      <c r="H1123" s="372" t="s">
        <v>2557</v>
      </c>
      <c r="I1123" s="349">
        <v>40003</v>
      </c>
      <c r="J1123" s="372" t="s">
        <v>8620</v>
      </c>
      <c r="K1123" s="349">
        <v>20.25</v>
      </c>
      <c r="L1123" s="349">
        <v>0</v>
      </c>
      <c r="M1123" s="349">
        <v>0</v>
      </c>
      <c r="N1123" s="349">
        <v>1</v>
      </c>
      <c r="O1123" s="349">
        <f t="shared" si="8"/>
        <v>20.25</v>
      </c>
      <c r="P1123" s="373">
        <f t="shared" si="9"/>
        <v>20.25</v>
      </c>
    </row>
    <row r="1124" spans="1:16">
      <c r="A1124" s="348">
        <v>1280</v>
      </c>
      <c r="B1124" s="349">
        <v>6290</v>
      </c>
      <c r="C1124" s="372" t="s">
        <v>8621</v>
      </c>
      <c r="D1124" s="372" t="s">
        <v>45</v>
      </c>
      <c r="E1124" s="372" t="s">
        <v>9</v>
      </c>
      <c r="F1124" s="350">
        <v>45654.963888888888</v>
      </c>
      <c r="G1124" s="372">
        <v>12</v>
      </c>
      <c r="H1124" s="372" t="s">
        <v>2557</v>
      </c>
      <c r="I1124" s="349">
        <v>40015</v>
      </c>
      <c r="J1124" s="372" t="s">
        <v>7332</v>
      </c>
      <c r="K1124" s="349">
        <v>20.25</v>
      </c>
      <c r="L1124" s="349">
        <v>1.5</v>
      </c>
      <c r="M1124" s="349">
        <v>0</v>
      </c>
      <c r="N1124" s="349">
        <v>1</v>
      </c>
      <c r="O1124" s="349">
        <f t="shared" si="8"/>
        <v>18.75</v>
      </c>
      <c r="P1124" s="373">
        <f t="shared" si="9"/>
        <v>18.75</v>
      </c>
    </row>
    <row r="1125" spans="1:16">
      <c r="A1125" s="348">
        <v>1281</v>
      </c>
      <c r="B1125" s="349">
        <v>6294</v>
      </c>
      <c r="C1125" s="372" t="s">
        <v>2618</v>
      </c>
      <c r="D1125" s="372" t="s">
        <v>45</v>
      </c>
      <c r="E1125" s="372" t="s">
        <v>9</v>
      </c>
      <c r="F1125" s="350">
        <v>45654.979166666664</v>
      </c>
      <c r="G1125" s="372">
        <v>12</v>
      </c>
      <c r="H1125" s="372" t="s">
        <v>2557</v>
      </c>
      <c r="I1125" s="349">
        <v>40063</v>
      </c>
      <c r="J1125" s="372" t="s">
        <v>7333</v>
      </c>
      <c r="K1125" s="349">
        <v>20.25</v>
      </c>
      <c r="L1125" s="349">
        <v>1.5</v>
      </c>
      <c r="M1125" s="349">
        <v>0</v>
      </c>
      <c r="N1125" s="349">
        <v>1</v>
      </c>
      <c r="O1125" s="349">
        <f t="shared" si="8"/>
        <v>18.75</v>
      </c>
      <c r="P1125" s="373">
        <f t="shared" si="9"/>
        <v>18.75</v>
      </c>
    </row>
    <row r="1126" spans="1:16">
      <c r="A1126" s="348">
        <v>1282</v>
      </c>
      <c r="B1126" s="349">
        <v>6294</v>
      </c>
      <c r="C1126" s="372" t="s">
        <v>2618</v>
      </c>
      <c r="D1126" s="372" t="s">
        <v>45</v>
      </c>
      <c r="E1126" s="372" t="s">
        <v>9</v>
      </c>
      <c r="F1126" s="350">
        <v>45654.979166666664</v>
      </c>
      <c r="G1126" s="372">
        <v>12</v>
      </c>
      <c r="H1126" s="372" t="s">
        <v>2557</v>
      </c>
      <c r="I1126" s="349">
        <v>40075</v>
      </c>
      <c r="J1126" s="372" t="s">
        <v>7334</v>
      </c>
      <c r="K1126" s="349">
        <v>11.99</v>
      </c>
      <c r="L1126" s="349">
        <v>1.0900000000000001</v>
      </c>
      <c r="M1126" s="349">
        <v>0</v>
      </c>
      <c r="N1126" s="349">
        <v>1</v>
      </c>
      <c r="O1126" s="349">
        <f t="shared" si="8"/>
        <v>10.9</v>
      </c>
      <c r="P1126" s="373">
        <f t="shared" si="9"/>
        <v>10.9</v>
      </c>
    </row>
    <row r="1127" spans="1:16">
      <c r="A1127" s="348">
        <v>1283</v>
      </c>
      <c r="B1127" s="349">
        <v>6295</v>
      </c>
      <c r="C1127" s="372" t="s">
        <v>8622</v>
      </c>
      <c r="D1127" s="372" t="s">
        <v>45</v>
      </c>
      <c r="E1127" s="372" t="s">
        <v>2556</v>
      </c>
      <c r="F1127" s="350">
        <v>45654.994444444441</v>
      </c>
      <c r="G1127" s="372">
        <v>12</v>
      </c>
      <c r="H1127" s="372" t="s">
        <v>2557</v>
      </c>
      <c r="I1127" s="349">
        <v>40087</v>
      </c>
      <c r="J1127" s="372" t="s">
        <v>8623</v>
      </c>
      <c r="K1127" s="349">
        <v>20.25</v>
      </c>
      <c r="L1127" s="349">
        <v>0</v>
      </c>
      <c r="M1127" s="349">
        <v>0</v>
      </c>
      <c r="N1127" s="349">
        <v>1</v>
      </c>
      <c r="O1127" s="349">
        <f t="shared" si="8"/>
        <v>20.25</v>
      </c>
      <c r="P1127" s="373">
        <f t="shared" si="9"/>
        <v>20.25</v>
      </c>
    </row>
    <row r="1128" spans="1:16">
      <c r="A1128" s="348">
        <v>1288</v>
      </c>
      <c r="B1128" s="349">
        <v>1188</v>
      </c>
      <c r="C1128" s="372" t="s">
        <v>7994</v>
      </c>
      <c r="D1128" s="372" t="s">
        <v>45</v>
      </c>
      <c r="E1128" s="372" t="s">
        <v>2556</v>
      </c>
      <c r="F1128" s="350">
        <v>45655</v>
      </c>
      <c r="G1128" s="372">
        <v>12</v>
      </c>
      <c r="H1128" s="372" t="s">
        <v>2557</v>
      </c>
      <c r="I1128" s="349">
        <v>40171</v>
      </c>
      <c r="J1128" s="372"/>
      <c r="K1128" s="349">
        <v>0</v>
      </c>
      <c r="L1128" s="349">
        <v>0</v>
      </c>
      <c r="M1128" s="349">
        <v>0</v>
      </c>
      <c r="N1128" s="349">
        <v>1</v>
      </c>
      <c r="O1128" s="349">
        <f t="shared" si="8"/>
        <v>0</v>
      </c>
      <c r="P1128" s="373">
        <f t="shared" si="9"/>
        <v>0</v>
      </c>
    </row>
    <row r="1129" spans="1:16">
      <c r="A1129" s="348">
        <v>1284</v>
      </c>
      <c r="B1129" s="349">
        <v>6297</v>
      </c>
      <c r="C1129" s="372" t="s">
        <v>8624</v>
      </c>
      <c r="D1129" s="372" t="s">
        <v>45</v>
      </c>
      <c r="E1129" s="372" t="s">
        <v>2556</v>
      </c>
      <c r="F1129" s="350">
        <v>45655.009722222225</v>
      </c>
      <c r="G1129" s="372">
        <v>12</v>
      </c>
      <c r="H1129" s="372" t="s">
        <v>2557</v>
      </c>
      <c r="I1129" s="349">
        <v>40099</v>
      </c>
      <c r="J1129" s="372" t="s">
        <v>8625</v>
      </c>
      <c r="K1129" s="349">
        <v>11.99</v>
      </c>
      <c r="L1129" s="349">
        <v>0</v>
      </c>
      <c r="M1129" s="349">
        <v>0</v>
      </c>
      <c r="N1129" s="349">
        <v>1</v>
      </c>
      <c r="O1129" s="349">
        <f t="shared" si="8"/>
        <v>11.99</v>
      </c>
      <c r="P1129" s="373">
        <f t="shared" si="9"/>
        <v>11.99</v>
      </c>
    </row>
    <row r="1130" spans="1:16">
      <c r="A1130" s="348">
        <v>1285</v>
      </c>
      <c r="B1130" s="349">
        <v>6306</v>
      </c>
      <c r="C1130" s="372" t="s">
        <v>6763</v>
      </c>
      <c r="D1130" s="372" t="s">
        <v>45</v>
      </c>
      <c r="E1130" s="372" t="s">
        <v>2556</v>
      </c>
      <c r="F1130" s="350">
        <v>45655.117361111108</v>
      </c>
      <c r="G1130" s="372">
        <v>12</v>
      </c>
      <c r="H1130" s="372" t="s">
        <v>2557</v>
      </c>
      <c r="I1130" s="349">
        <v>40111</v>
      </c>
      <c r="J1130" s="372" t="s">
        <v>8626</v>
      </c>
      <c r="K1130" s="349">
        <v>20.25</v>
      </c>
      <c r="L1130" s="349">
        <v>0</v>
      </c>
      <c r="M1130" s="349">
        <v>0</v>
      </c>
      <c r="N1130" s="349">
        <v>1</v>
      </c>
      <c r="O1130" s="349">
        <f t="shared" si="8"/>
        <v>20.25</v>
      </c>
      <c r="P1130" s="373">
        <f t="shared" si="9"/>
        <v>20.25</v>
      </c>
    </row>
    <row r="1131" spans="1:16">
      <c r="A1131" s="348">
        <v>1286</v>
      </c>
      <c r="B1131" s="349">
        <v>6308</v>
      </c>
      <c r="C1131" s="372" t="s">
        <v>8627</v>
      </c>
      <c r="D1131" s="372" t="s">
        <v>45</v>
      </c>
      <c r="E1131" s="372" t="s">
        <v>2556</v>
      </c>
      <c r="F1131" s="350">
        <v>45655.122916666667</v>
      </c>
      <c r="G1131" s="372">
        <v>12</v>
      </c>
      <c r="H1131" s="372" t="s">
        <v>2557</v>
      </c>
      <c r="I1131" s="349">
        <v>40123</v>
      </c>
      <c r="J1131" s="372" t="s">
        <v>8628</v>
      </c>
      <c r="K1131" s="349">
        <v>20.25</v>
      </c>
      <c r="L1131" s="349">
        <v>0</v>
      </c>
      <c r="M1131" s="349">
        <v>0</v>
      </c>
      <c r="N1131" s="349">
        <v>1</v>
      </c>
      <c r="O1131" s="349">
        <f t="shared" si="8"/>
        <v>20.25</v>
      </c>
      <c r="P1131" s="373">
        <f t="shared" si="9"/>
        <v>20.25</v>
      </c>
    </row>
    <row r="1132" spans="1:16">
      <c r="A1132" s="348">
        <v>1287</v>
      </c>
      <c r="B1132" s="349">
        <v>6277</v>
      </c>
      <c r="C1132" s="372" t="s">
        <v>8629</v>
      </c>
      <c r="D1132" s="372" t="s">
        <v>2582</v>
      </c>
      <c r="E1132" s="372" t="s">
        <v>2556</v>
      </c>
      <c r="F1132" s="350">
        <v>45655.424305555556</v>
      </c>
      <c r="G1132" s="372">
        <v>12</v>
      </c>
      <c r="H1132" s="372" t="s">
        <v>2557</v>
      </c>
      <c r="I1132" s="349">
        <v>40159</v>
      </c>
      <c r="J1132" s="372" t="s">
        <v>8630</v>
      </c>
      <c r="K1132" s="349">
        <v>147.81</v>
      </c>
      <c r="L1132" s="349">
        <v>0</v>
      </c>
      <c r="M1132" s="349">
        <v>0</v>
      </c>
      <c r="N1132" s="349">
        <v>7.2993800000000002</v>
      </c>
      <c r="O1132" s="349">
        <f t="shared" si="8"/>
        <v>147.81</v>
      </c>
      <c r="P1132" s="373">
        <f t="shared" si="9"/>
        <v>20.249665040044498</v>
      </c>
    </row>
    <row r="1133" spans="1:16">
      <c r="A1133" s="348">
        <v>1289</v>
      </c>
      <c r="B1133" s="349">
        <v>6347</v>
      </c>
      <c r="C1133" s="372" t="s">
        <v>2786</v>
      </c>
      <c r="D1133" s="372" t="s">
        <v>45</v>
      </c>
      <c r="E1133" s="372" t="s">
        <v>2556</v>
      </c>
      <c r="F1133" s="350">
        <v>45655.684027777781</v>
      </c>
      <c r="G1133" s="372">
        <v>12</v>
      </c>
      <c r="H1133" s="372" t="s">
        <v>2557</v>
      </c>
      <c r="I1133" s="349">
        <v>40183</v>
      </c>
      <c r="J1133" s="372" t="s">
        <v>8631</v>
      </c>
      <c r="K1133" s="349">
        <v>20.25</v>
      </c>
      <c r="L1133" s="349">
        <v>0</v>
      </c>
      <c r="M1133" s="349">
        <v>0</v>
      </c>
      <c r="N1133" s="349">
        <v>1</v>
      </c>
      <c r="O1133" s="349">
        <f t="shared" si="8"/>
        <v>20.25</v>
      </c>
      <c r="P1133" s="373">
        <f t="shared" si="9"/>
        <v>20.25</v>
      </c>
    </row>
    <row r="1134" spans="1:16">
      <c r="A1134" s="348">
        <v>1290</v>
      </c>
      <c r="B1134" s="349">
        <v>6348</v>
      </c>
      <c r="C1134" s="372" t="s">
        <v>817</v>
      </c>
      <c r="D1134" s="372" t="s">
        <v>45</v>
      </c>
      <c r="E1134" s="372" t="s">
        <v>2556</v>
      </c>
      <c r="F1134" s="350">
        <v>45655.705555555556</v>
      </c>
      <c r="G1134" s="372">
        <v>12</v>
      </c>
      <c r="H1134" s="372" t="s">
        <v>2557</v>
      </c>
      <c r="I1134" s="349">
        <v>40195</v>
      </c>
      <c r="J1134" s="372" t="s">
        <v>8632</v>
      </c>
      <c r="K1134" s="349">
        <v>20.25</v>
      </c>
      <c r="L1134" s="349">
        <v>0</v>
      </c>
      <c r="M1134" s="349">
        <v>0</v>
      </c>
      <c r="N1134" s="349">
        <v>1</v>
      </c>
      <c r="O1134" s="349">
        <f t="shared" si="8"/>
        <v>20.25</v>
      </c>
      <c r="P1134" s="373">
        <f t="shared" si="9"/>
        <v>20.25</v>
      </c>
    </row>
    <row r="1135" spans="1:16">
      <c r="A1135" s="348">
        <v>1291</v>
      </c>
      <c r="B1135" s="349">
        <v>6352</v>
      </c>
      <c r="C1135" s="372" t="s">
        <v>8633</v>
      </c>
      <c r="D1135" s="372" t="s">
        <v>45</v>
      </c>
      <c r="E1135" s="372" t="s">
        <v>2556</v>
      </c>
      <c r="F1135" s="350">
        <v>45655.82916666667</v>
      </c>
      <c r="G1135" s="372">
        <v>12</v>
      </c>
      <c r="H1135" s="372" t="s">
        <v>2557</v>
      </c>
      <c r="I1135" s="349">
        <v>40243</v>
      </c>
      <c r="J1135" s="372" t="s">
        <v>8634</v>
      </c>
      <c r="K1135" s="349">
        <v>20.25</v>
      </c>
      <c r="L1135" s="349">
        <v>0</v>
      </c>
      <c r="M1135" s="349">
        <v>0</v>
      </c>
      <c r="N1135" s="349">
        <v>1</v>
      </c>
      <c r="O1135" s="349">
        <f t="shared" si="8"/>
        <v>20.25</v>
      </c>
      <c r="P1135" s="373">
        <f t="shared" si="9"/>
        <v>20.25</v>
      </c>
    </row>
    <row r="1136" spans="1:16">
      <c r="A1136" s="348">
        <v>1292</v>
      </c>
      <c r="B1136" s="349">
        <v>6353</v>
      </c>
      <c r="C1136" s="372" t="s">
        <v>8635</v>
      </c>
      <c r="D1136" s="372" t="s">
        <v>45</v>
      </c>
      <c r="E1136" s="372" t="s">
        <v>2556</v>
      </c>
      <c r="F1136" s="350">
        <v>45655.82916666667</v>
      </c>
      <c r="G1136" s="372">
        <v>12</v>
      </c>
      <c r="H1136" s="372" t="s">
        <v>2557</v>
      </c>
      <c r="I1136" s="349">
        <v>40255</v>
      </c>
      <c r="J1136" s="372" t="s">
        <v>8636</v>
      </c>
      <c r="K1136" s="349">
        <v>20.25</v>
      </c>
      <c r="L1136" s="349">
        <v>0</v>
      </c>
      <c r="M1136" s="349">
        <v>0</v>
      </c>
      <c r="N1136" s="349">
        <v>1</v>
      </c>
      <c r="O1136" s="349">
        <f t="shared" si="8"/>
        <v>20.25</v>
      </c>
      <c r="P1136" s="373">
        <f t="shared" si="9"/>
        <v>20.25</v>
      </c>
    </row>
    <row r="1137" spans="1:16">
      <c r="A1137" s="348">
        <v>1293</v>
      </c>
      <c r="B1137" s="349">
        <v>6355</v>
      </c>
      <c r="C1137" s="372" t="s">
        <v>4665</v>
      </c>
      <c r="D1137" s="372" t="s">
        <v>45</v>
      </c>
      <c r="E1137" s="372" t="s">
        <v>2556</v>
      </c>
      <c r="F1137" s="350">
        <v>45655.829861111109</v>
      </c>
      <c r="G1137" s="372">
        <v>12</v>
      </c>
      <c r="H1137" s="372" t="s">
        <v>2557</v>
      </c>
      <c r="I1137" s="349">
        <v>40279</v>
      </c>
      <c r="J1137" s="372" t="s">
        <v>8637</v>
      </c>
      <c r="K1137" s="349">
        <v>20.25</v>
      </c>
      <c r="L1137" s="349">
        <v>0</v>
      </c>
      <c r="M1137" s="349">
        <v>0</v>
      </c>
      <c r="N1137" s="349">
        <v>1</v>
      </c>
      <c r="O1137" s="349">
        <f t="shared" si="8"/>
        <v>20.25</v>
      </c>
      <c r="P1137" s="373">
        <f t="shared" si="9"/>
        <v>20.25</v>
      </c>
    </row>
    <row r="1138" spans="1:16">
      <c r="A1138" s="348">
        <v>1294</v>
      </c>
      <c r="B1138" s="349">
        <v>6355</v>
      </c>
      <c r="C1138" s="372" t="s">
        <v>4665</v>
      </c>
      <c r="D1138" s="372" t="s">
        <v>45</v>
      </c>
      <c r="E1138" s="372" t="s">
        <v>2556</v>
      </c>
      <c r="F1138" s="350">
        <v>45655.830555555556</v>
      </c>
      <c r="G1138" s="372">
        <v>12</v>
      </c>
      <c r="H1138" s="372" t="s">
        <v>2557</v>
      </c>
      <c r="I1138" s="349">
        <v>40279</v>
      </c>
      <c r="J1138" s="372" t="s">
        <v>8637</v>
      </c>
      <c r="K1138" s="349">
        <v>20.25</v>
      </c>
      <c r="L1138" s="349">
        <v>0</v>
      </c>
      <c r="M1138" s="349">
        <v>0</v>
      </c>
      <c r="N1138" s="349">
        <v>1</v>
      </c>
      <c r="O1138" s="349">
        <f t="shared" si="8"/>
        <v>20.25</v>
      </c>
      <c r="P1138" s="373">
        <f t="shared" si="9"/>
        <v>20.25</v>
      </c>
    </row>
    <row r="1139" spans="1:16">
      <c r="A1139" s="348">
        <v>1295</v>
      </c>
      <c r="B1139" s="349">
        <v>6351</v>
      </c>
      <c r="C1139" s="372" t="s">
        <v>8638</v>
      </c>
      <c r="D1139" s="372" t="s">
        <v>45</v>
      </c>
      <c r="E1139" s="372" t="s">
        <v>9</v>
      </c>
      <c r="F1139" s="350">
        <v>45655.836805555555</v>
      </c>
      <c r="G1139" s="372">
        <v>12</v>
      </c>
      <c r="H1139" s="372" t="s">
        <v>2557</v>
      </c>
      <c r="I1139" s="349">
        <v>40219</v>
      </c>
      <c r="J1139" s="372" t="s">
        <v>7337</v>
      </c>
      <c r="K1139" s="349">
        <v>20.25</v>
      </c>
      <c r="L1139" s="349">
        <v>1.2</v>
      </c>
      <c r="M1139" s="349">
        <v>0</v>
      </c>
      <c r="N1139" s="349">
        <v>1</v>
      </c>
      <c r="O1139" s="349">
        <f t="shared" si="8"/>
        <v>19.05</v>
      </c>
      <c r="P1139" s="373">
        <f t="shared" si="9"/>
        <v>19.05</v>
      </c>
    </row>
    <row r="1140" spans="1:16">
      <c r="A1140" s="348">
        <v>1296</v>
      </c>
      <c r="B1140" s="349">
        <v>4776</v>
      </c>
      <c r="C1140" s="372" t="s">
        <v>2856</v>
      </c>
      <c r="D1140" s="372" t="s">
        <v>45</v>
      </c>
      <c r="E1140" s="372" t="s">
        <v>2556</v>
      </c>
      <c r="F1140" s="350">
        <v>45655.845833333333</v>
      </c>
      <c r="G1140" s="372">
        <v>12</v>
      </c>
      <c r="H1140" s="372" t="s">
        <v>2557</v>
      </c>
      <c r="I1140" s="349">
        <v>40291</v>
      </c>
      <c r="J1140" s="372" t="s">
        <v>8639</v>
      </c>
      <c r="K1140" s="349">
        <v>20.25</v>
      </c>
      <c r="L1140" s="349">
        <v>0</v>
      </c>
      <c r="M1140" s="349">
        <v>0</v>
      </c>
      <c r="N1140" s="349">
        <v>1</v>
      </c>
      <c r="O1140" s="349">
        <f t="shared" si="8"/>
        <v>20.25</v>
      </c>
      <c r="P1140" s="373">
        <f t="shared" si="9"/>
        <v>20.25</v>
      </c>
    </row>
    <row r="1141" spans="1:16">
      <c r="A1141" s="348">
        <v>1297</v>
      </c>
      <c r="B1141" s="349">
        <v>6357</v>
      </c>
      <c r="C1141" s="372" t="s">
        <v>8640</v>
      </c>
      <c r="D1141" s="372" t="s">
        <v>45</v>
      </c>
      <c r="E1141" s="372" t="s">
        <v>2556</v>
      </c>
      <c r="F1141" s="350">
        <v>45655.943055555559</v>
      </c>
      <c r="G1141" s="372">
        <v>12</v>
      </c>
      <c r="H1141" s="372" t="s">
        <v>2557</v>
      </c>
      <c r="I1141" s="349">
        <v>40327</v>
      </c>
      <c r="J1141" s="372" t="s">
        <v>8641</v>
      </c>
      <c r="K1141" s="349">
        <v>20.25</v>
      </c>
      <c r="L1141" s="349">
        <v>0</v>
      </c>
      <c r="M1141" s="349">
        <v>0</v>
      </c>
      <c r="N1141" s="349">
        <v>1</v>
      </c>
      <c r="O1141" s="349">
        <f t="shared" si="8"/>
        <v>20.25</v>
      </c>
      <c r="P1141" s="373">
        <f t="shared" si="9"/>
        <v>20.25</v>
      </c>
    </row>
    <row r="1142" spans="1:16">
      <c r="A1142" s="348">
        <v>1298</v>
      </c>
      <c r="B1142" s="349">
        <v>6360</v>
      </c>
      <c r="C1142" s="372" t="s">
        <v>6589</v>
      </c>
      <c r="D1142" s="372" t="s">
        <v>45</v>
      </c>
      <c r="E1142" s="372" t="s">
        <v>2556</v>
      </c>
      <c r="F1142" s="350">
        <v>45655.947222222225</v>
      </c>
      <c r="G1142" s="372">
        <v>12</v>
      </c>
      <c r="H1142" s="372" t="s">
        <v>2557</v>
      </c>
      <c r="I1142" s="349">
        <v>40351</v>
      </c>
      <c r="J1142" s="372" t="s">
        <v>8642</v>
      </c>
      <c r="K1142" s="349">
        <v>20.25</v>
      </c>
      <c r="L1142" s="349">
        <v>0</v>
      </c>
      <c r="M1142" s="349">
        <v>0</v>
      </c>
      <c r="N1142" s="349">
        <v>1</v>
      </c>
      <c r="O1142" s="349">
        <f t="shared" si="8"/>
        <v>20.25</v>
      </c>
      <c r="P1142" s="373">
        <f t="shared" si="9"/>
        <v>20.25</v>
      </c>
    </row>
    <row r="1143" spans="1:16">
      <c r="A1143" s="348">
        <v>1299</v>
      </c>
      <c r="B1143" s="349">
        <v>6361</v>
      </c>
      <c r="C1143" s="372" t="s">
        <v>3065</v>
      </c>
      <c r="D1143" s="372" t="s">
        <v>45</v>
      </c>
      <c r="E1143" s="372" t="s">
        <v>9</v>
      </c>
      <c r="F1143" s="350">
        <v>45655.951388888891</v>
      </c>
      <c r="G1143" s="372">
        <v>12</v>
      </c>
      <c r="H1143" s="372" t="s">
        <v>2557</v>
      </c>
      <c r="I1143" s="349">
        <v>40363</v>
      </c>
      <c r="J1143" s="372" t="s">
        <v>7339</v>
      </c>
      <c r="K1143" s="349">
        <v>20.25</v>
      </c>
      <c r="L1143" s="349">
        <v>1.2</v>
      </c>
      <c r="M1143" s="349">
        <v>0</v>
      </c>
      <c r="N1143" s="349">
        <v>1</v>
      </c>
      <c r="O1143" s="349">
        <f t="shared" si="8"/>
        <v>19.05</v>
      </c>
      <c r="P1143" s="373">
        <f t="shared" si="9"/>
        <v>19.05</v>
      </c>
    </row>
    <row r="1144" spans="1:16">
      <c r="A1144" s="348">
        <v>1300</v>
      </c>
      <c r="B1144" s="349">
        <v>6367</v>
      </c>
      <c r="C1144" s="372" t="s">
        <v>6049</v>
      </c>
      <c r="D1144" s="372" t="s">
        <v>2582</v>
      </c>
      <c r="E1144" s="372" t="s">
        <v>2556</v>
      </c>
      <c r="F1144" s="350">
        <v>45656.03125</v>
      </c>
      <c r="G1144" s="372">
        <v>12</v>
      </c>
      <c r="H1144" s="372" t="s">
        <v>2557</v>
      </c>
      <c r="I1144" s="349">
        <v>40399</v>
      </c>
      <c r="J1144" s="372" t="s">
        <v>8643</v>
      </c>
      <c r="K1144" s="349">
        <v>61.31</v>
      </c>
      <c r="L1144" s="349">
        <v>0</v>
      </c>
      <c r="M1144" s="349">
        <v>0</v>
      </c>
      <c r="N1144" s="349">
        <v>7.2993800000000002</v>
      </c>
      <c r="O1144" s="349">
        <f t="shared" si="8"/>
        <v>61.31</v>
      </c>
      <c r="P1144" s="373">
        <f t="shared" si="9"/>
        <v>8.3993435058868009</v>
      </c>
    </row>
    <row r="1145" spans="1:16">
      <c r="A1145" s="348">
        <v>1301</v>
      </c>
      <c r="B1145" s="349">
        <v>6383</v>
      </c>
      <c r="C1145" s="372" t="s">
        <v>8644</v>
      </c>
      <c r="D1145" s="372" t="s">
        <v>45</v>
      </c>
      <c r="E1145" s="372" t="s">
        <v>9</v>
      </c>
      <c r="F1145" s="350">
        <v>45656.32916666667</v>
      </c>
      <c r="G1145" s="372">
        <v>12</v>
      </c>
      <c r="H1145" s="372" t="s">
        <v>2557</v>
      </c>
      <c r="I1145" s="349">
        <v>40411</v>
      </c>
      <c r="J1145" s="372" t="s">
        <v>7341</v>
      </c>
      <c r="K1145" s="349">
        <v>25.19</v>
      </c>
      <c r="L1145" s="349">
        <v>1.75</v>
      </c>
      <c r="M1145" s="349">
        <v>0</v>
      </c>
      <c r="N1145" s="349">
        <v>1</v>
      </c>
      <c r="O1145" s="349">
        <f t="shared" si="8"/>
        <v>23.44</v>
      </c>
      <c r="P1145" s="373">
        <f t="shared" si="9"/>
        <v>23.44</v>
      </c>
    </row>
    <row r="1146" spans="1:16">
      <c r="A1146" s="348">
        <v>1302</v>
      </c>
      <c r="B1146" s="349">
        <v>1606</v>
      </c>
      <c r="C1146" s="372" t="s">
        <v>8032</v>
      </c>
      <c r="D1146" s="372" t="s">
        <v>45</v>
      </c>
      <c r="E1146" s="372" t="s">
        <v>2556</v>
      </c>
      <c r="F1146" s="350">
        <v>45656.40625</v>
      </c>
      <c r="G1146" s="372">
        <v>12</v>
      </c>
      <c r="H1146" s="372" t="s">
        <v>2557</v>
      </c>
      <c r="I1146" s="349">
        <v>37627</v>
      </c>
      <c r="J1146" s="372" t="s">
        <v>8645</v>
      </c>
      <c r="K1146" s="349">
        <v>2.99</v>
      </c>
      <c r="L1146" s="349">
        <v>0</v>
      </c>
      <c r="M1146" s="349">
        <v>0</v>
      </c>
      <c r="N1146" s="349">
        <v>1</v>
      </c>
      <c r="O1146" s="349">
        <f t="shared" si="8"/>
        <v>2.99</v>
      </c>
      <c r="P1146" s="373">
        <f t="shared" si="9"/>
        <v>2.99</v>
      </c>
    </row>
    <row r="1147" spans="1:16">
      <c r="A1147" s="348">
        <v>1303</v>
      </c>
      <c r="B1147" s="349">
        <v>6391</v>
      </c>
      <c r="C1147" s="372" t="s">
        <v>5998</v>
      </c>
      <c r="D1147" s="372" t="s">
        <v>2582</v>
      </c>
      <c r="E1147" s="372" t="s">
        <v>2556</v>
      </c>
      <c r="F1147" s="350">
        <v>45656.478472222225</v>
      </c>
      <c r="G1147" s="372">
        <v>12</v>
      </c>
      <c r="H1147" s="372" t="s">
        <v>2557</v>
      </c>
      <c r="I1147" s="349">
        <v>40447</v>
      </c>
      <c r="J1147" s="372" t="s">
        <v>8646</v>
      </c>
      <c r="K1147" s="349">
        <v>147.81</v>
      </c>
      <c r="L1147" s="349">
        <v>0</v>
      </c>
      <c r="M1147" s="349">
        <v>0</v>
      </c>
      <c r="N1147" s="349">
        <v>7.2993800000000002</v>
      </c>
      <c r="O1147" s="349">
        <f t="shared" si="8"/>
        <v>147.81</v>
      </c>
      <c r="P1147" s="373">
        <f t="shared" si="9"/>
        <v>20.249665040044498</v>
      </c>
    </row>
    <row r="1148" spans="1:16">
      <c r="A1148" s="348">
        <v>1304</v>
      </c>
      <c r="B1148" s="349">
        <v>1431</v>
      </c>
      <c r="C1148" s="372" t="s">
        <v>7975</v>
      </c>
      <c r="D1148" s="372" t="s">
        <v>45</v>
      </c>
      <c r="E1148" s="372" t="s">
        <v>2556</v>
      </c>
      <c r="F1148" s="350">
        <v>45656.503472222219</v>
      </c>
      <c r="G1148" s="372">
        <v>12</v>
      </c>
      <c r="H1148" s="372" t="s">
        <v>2557</v>
      </c>
      <c r="I1148" s="349">
        <v>40471</v>
      </c>
      <c r="J1148" s="372" t="s">
        <v>8647</v>
      </c>
      <c r="K1148" s="349">
        <v>18.649999999999999</v>
      </c>
      <c r="L1148" s="349">
        <v>0</v>
      </c>
      <c r="M1148" s="349">
        <v>0</v>
      </c>
      <c r="N1148" s="349">
        <v>1</v>
      </c>
      <c r="O1148" s="349">
        <f t="shared" si="8"/>
        <v>18.649999999999999</v>
      </c>
      <c r="P1148" s="373">
        <f t="shared" si="9"/>
        <v>18.649999999999999</v>
      </c>
    </row>
    <row r="1149" spans="1:16">
      <c r="A1149" s="348">
        <v>1305</v>
      </c>
      <c r="B1149" s="349">
        <v>6392</v>
      </c>
      <c r="C1149" s="372" t="s">
        <v>2603</v>
      </c>
      <c r="D1149" s="372" t="s">
        <v>45</v>
      </c>
      <c r="E1149" s="372" t="s">
        <v>2556</v>
      </c>
      <c r="F1149" s="350">
        <v>45656.506249999999</v>
      </c>
      <c r="G1149" s="372">
        <v>12</v>
      </c>
      <c r="H1149" s="372" t="s">
        <v>2557</v>
      </c>
      <c r="I1149" s="349">
        <v>40495</v>
      </c>
      <c r="J1149" s="372" t="s">
        <v>8648</v>
      </c>
      <c r="K1149" s="349">
        <v>20.25</v>
      </c>
      <c r="L1149" s="349">
        <v>0</v>
      </c>
      <c r="M1149" s="349">
        <v>0</v>
      </c>
      <c r="N1149" s="349">
        <v>1</v>
      </c>
      <c r="O1149" s="349">
        <f t="shared" si="8"/>
        <v>20.25</v>
      </c>
      <c r="P1149" s="373">
        <f t="shared" si="9"/>
        <v>20.25</v>
      </c>
    </row>
    <row r="1150" spans="1:16">
      <c r="A1150" s="348">
        <v>1306</v>
      </c>
      <c r="B1150" s="349">
        <v>6418</v>
      </c>
      <c r="C1150" s="372" t="s">
        <v>8649</v>
      </c>
      <c r="D1150" s="372" t="s">
        <v>45</v>
      </c>
      <c r="E1150" s="372" t="s">
        <v>9</v>
      </c>
      <c r="F1150" s="350">
        <v>45656.793749999997</v>
      </c>
      <c r="G1150" s="372">
        <v>12</v>
      </c>
      <c r="H1150" s="372" t="s">
        <v>2557</v>
      </c>
      <c r="I1150" s="349">
        <v>40519</v>
      </c>
      <c r="J1150" s="372" t="s">
        <v>7344</v>
      </c>
      <c r="K1150" s="349">
        <v>25.19</v>
      </c>
      <c r="L1150" s="349">
        <v>1.75</v>
      </c>
      <c r="M1150" s="349">
        <v>0</v>
      </c>
      <c r="N1150" s="349">
        <v>1</v>
      </c>
      <c r="O1150" s="349">
        <f t="shared" si="8"/>
        <v>23.44</v>
      </c>
      <c r="P1150" s="373">
        <f t="shared" si="9"/>
        <v>23.44</v>
      </c>
    </row>
    <row r="1151" spans="1:16">
      <c r="A1151" s="348">
        <v>1307</v>
      </c>
      <c r="B1151" s="349">
        <v>6420</v>
      </c>
      <c r="C1151" s="372" t="s">
        <v>8650</v>
      </c>
      <c r="D1151" s="372" t="s">
        <v>45</v>
      </c>
      <c r="E1151" s="372" t="s">
        <v>2556</v>
      </c>
      <c r="F1151" s="350">
        <v>45656.797222222223</v>
      </c>
      <c r="G1151" s="372">
        <v>12</v>
      </c>
      <c r="H1151" s="372" t="s">
        <v>2557</v>
      </c>
      <c r="I1151" s="349">
        <v>40531</v>
      </c>
      <c r="J1151" s="372" t="s">
        <v>8651</v>
      </c>
      <c r="K1151" s="349">
        <v>8.39</v>
      </c>
      <c r="L1151" s="349">
        <v>0</v>
      </c>
      <c r="M1151" s="349">
        <v>0</v>
      </c>
      <c r="N1151" s="349">
        <v>1</v>
      </c>
      <c r="O1151" s="349">
        <f t="shared" si="8"/>
        <v>8.39</v>
      </c>
      <c r="P1151" s="373">
        <f t="shared" si="9"/>
        <v>8.39</v>
      </c>
    </row>
    <row r="1152" spans="1:16">
      <c r="A1152" s="348">
        <v>1308</v>
      </c>
      <c r="B1152" s="349">
        <v>3826</v>
      </c>
      <c r="C1152" s="372" t="s">
        <v>423</v>
      </c>
      <c r="D1152" s="372" t="s">
        <v>45</v>
      </c>
      <c r="E1152" s="372" t="s">
        <v>9</v>
      </c>
      <c r="F1152" s="350">
        <v>45656.799305555556</v>
      </c>
      <c r="G1152" s="372">
        <v>12</v>
      </c>
      <c r="H1152" s="372" t="s">
        <v>2557</v>
      </c>
      <c r="I1152" s="349">
        <v>37291</v>
      </c>
      <c r="J1152" s="372" t="s">
        <v>7345</v>
      </c>
      <c r="K1152" s="349">
        <v>1.0900000000000001</v>
      </c>
      <c r="L1152" s="349">
        <v>0.54</v>
      </c>
      <c r="M1152" s="349">
        <v>0</v>
      </c>
      <c r="N1152" s="349">
        <v>1</v>
      </c>
      <c r="O1152" s="349">
        <f t="shared" si="8"/>
        <v>0.55000000000000004</v>
      </c>
      <c r="P1152" s="373">
        <f t="shared" si="9"/>
        <v>0.55000000000000004</v>
      </c>
    </row>
    <row r="1153" spans="1:16">
      <c r="A1153" s="348">
        <v>1309</v>
      </c>
      <c r="B1153" s="349">
        <v>6421</v>
      </c>
      <c r="C1153" s="372" t="s">
        <v>2652</v>
      </c>
      <c r="D1153" s="372" t="s">
        <v>45</v>
      </c>
      <c r="E1153" s="372" t="s">
        <v>2556</v>
      </c>
      <c r="F1153" s="350">
        <v>45656.809027777781</v>
      </c>
      <c r="G1153" s="372">
        <v>12</v>
      </c>
      <c r="H1153" s="372" t="s">
        <v>2557</v>
      </c>
      <c r="I1153" s="349">
        <v>40543</v>
      </c>
      <c r="J1153" s="372" t="s">
        <v>8652</v>
      </c>
      <c r="K1153" s="349">
        <v>20.25</v>
      </c>
      <c r="L1153" s="349">
        <v>0</v>
      </c>
      <c r="M1153" s="349">
        <v>0</v>
      </c>
      <c r="N1153" s="349">
        <v>1</v>
      </c>
      <c r="O1153" s="349">
        <f t="shared" si="8"/>
        <v>20.25</v>
      </c>
      <c r="P1153" s="373">
        <f t="shared" si="9"/>
        <v>20.25</v>
      </c>
    </row>
    <row r="1154" spans="1:16">
      <c r="A1154" s="348">
        <v>1310</v>
      </c>
      <c r="B1154" s="349">
        <v>6188</v>
      </c>
      <c r="C1154" s="372" t="s">
        <v>8653</v>
      </c>
      <c r="D1154" s="372" t="s">
        <v>45</v>
      </c>
      <c r="E1154" s="372" t="s">
        <v>2556</v>
      </c>
      <c r="F1154" s="350">
        <v>45656.813888888886</v>
      </c>
      <c r="G1154" s="372">
        <v>12</v>
      </c>
      <c r="H1154" s="372" t="s">
        <v>2557</v>
      </c>
      <c r="I1154" s="349">
        <v>40555</v>
      </c>
      <c r="J1154" s="372" t="s">
        <v>8654</v>
      </c>
      <c r="K1154" s="349">
        <v>25.19</v>
      </c>
      <c r="L1154" s="349">
        <v>0</v>
      </c>
      <c r="M1154" s="349">
        <v>0</v>
      </c>
      <c r="N1154" s="349">
        <v>1</v>
      </c>
      <c r="O1154" s="349">
        <f t="shared" si="8"/>
        <v>25.19</v>
      </c>
      <c r="P1154" s="373">
        <f t="shared" si="9"/>
        <v>25.19</v>
      </c>
    </row>
    <row r="1155" spans="1:16">
      <c r="A1155" s="348">
        <v>1311</v>
      </c>
      <c r="B1155" s="349">
        <v>6422</v>
      </c>
      <c r="C1155" s="372" t="s">
        <v>8655</v>
      </c>
      <c r="D1155" s="372" t="s">
        <v>45</v>
      </c>
      <c r="E1155" s="372" t="s">
        <v>2556</v>
      </c>
      <c r="F1155" s="350">
        <v>45656.823611111111</v>
      </c>
      <c r="G1155" s="372">
        <v>12</v>
      </c>
      <c r="H1155" s="372" t="s">
        <v>2557</v>
      </c>
      <c r="I1155" s="349">
        <v>40567</v>
      </c>
      <c r="J1155" s="372" t="s">
        <v>8656</v>
      </c>
      <c r="K1155" s="349">
        <v>12.59</v>
      </c>
      <c r="L1155" s="349">
        <v>0</v>
      </c>
      <c r="M1155" s="349">
        <v>0</v>
      </c>
      <c r="N1155" s="349">
        <v>1</v>
      </c>
      <c r="O1155" s="349">
        <f t="shared" si="8"/>
        <v>12.59</v>
      </c>
      <c r="P1155" s="373">
        <f t="shared" si="9"/>
        <v>12.59</v>
      </c>
    </row>
    <row r="1156" spans="1:16">
      <c r="A1156" s="348">
        <v>1312</v>
      </c>
      <c r="B1156" s="349">
        <v>6427</v>
      </c>
      <c r="C1156" s="372" t="s">
        <v>8657</v>
      </c>
      <c r="D1156" s="372" t="s">
        <v>45</v>
      </c>
      <c r="E1156" s="372" t="s">
        <v>2556</v>
      </c>
      <c r="F1156" s="350">
        <v>45656.87222222222</v>
      </c>
      <c r="G1156" s="372">
        <v>12</v>
      </c>
      <c r="H1156" s="372" t="s">
        <v>2557</v>
      </c>
      <c r="I1156" s="349">
        <v>40579</v>
      </c>
      <c r="J1156" s="372" t="s">
        <v>8658</v>
      </c>
      <c r="K1156" s="349">
        <v>20.25</v>
      </c>
      <c r="L1156" s="349">
        <v>0</v>
      </c>
      <c r="M1156" s="349">
        <v>0</v>
      </c>
      <c r="N1156" s="349">
        <v>1</v>
      </c>
      <c r="O1156" s="349">
        <f t="shared" si="8"/>
        <v>20.25</v>
      </c>
      <c r="P1156" s="373">
        <f t="shared" si="9"/>
        <v>20.25</v>
      </c>
    </row>
    <row r="1157" spans="1:16">
      <c r="A1157" s="348">
        <v>1313</v>
      </c>
      <c r="B1157" s="349">
        <v>6428</v>
      </c>
      <c r="C1157" s="372" t="s">
        <v>8659</v>
      </c>
      <c r="D1157" s="372" t="s">
        <v>45</v>
      </c>
      <c r="E1157" s="372" t="s">
        <v>2556</v>
      </c>
      <c r="F1157" s="350">
        <v>45656.874305555553</v>
      </c>
      <c r="G1157" s="372">
        <v>12</v>
      </c>
      <c r="H1157" s="372" t="s">
        <v>2557</v>
      </c>
      <c r="I1157" s="349">
        <v>40591</v>
      </c>
      <c r="J1157" s="372" t="s">
        <v>8660</v>
      </c>
      <c r="K1157" s="349">
        <v>20.25</v>
      </c>
      <c r="L1157" s="349">
        <v>0</v>
      </c>
      <c r="M1157" s="349">
        <v>0</v>
      </c>
      <c r="N1157" s="349">
        <v>1</v>
      </c>
      <c r="O1157" s="349">
        <f t="shared" si="8"/>
        <v>20.25</v>
      </c>
      <c r="P1157" s="373">
        <f t="shared" si="9"/>
        <v>20.25</v>
      </c>
    </row>
    <row r="1158" spans="1:16">
      <c r="A1158" s="348">
        <v>1314</v>
      </c>
      <c r="B1158" s="349">
        <v>6432</v>
      </c>
      <c r="C1158" s="372" t="s">
        <v>2598</v>
      </c>
      <c r="D1158" s="372" t="s">
        <v>45</v>
      </c>
      <c r="E1158" s="372" t="s">
        <v>2556</v>
      </c>
      <c r="F1158" s="350">
        <v>45656.902083333334</v>
      </c>
      <c r="G1158" s="372">
        <v>12</v>
      </c>
      <c r="H1158" s="372" t="s">
        <v>2557</v>
      </c>
      <c r="I1158" s="349">
        <v>40603</v>
      </c>
      <c r="J1158" s="372" t="s">
        <v>8661</v>
      </c>
      <c r="K1158" s="349">
        <v>3.99</v>
      </c>
      <c r="L1158" s="349">
        <v>0</v>
      </c>
      <c r="M1158" s="349">
        <v>0</v>
      </c>
      <c r="N1158" s="349">
        <v>1</v>
      </c>
      <c r="O1158" s="349">
        <f t="shared" si="8"/>
        <v>3.99</v>
      </c>
      <c r="P1158" s="373">
        <f t="shared" si="9"/>
        <v>3.99</v>
      </c>
    </row>
    <row r="1159" spans="1:16">
      <c r="A1159" s="348">
        <v>1315</v>
      </c>
      <c r="B1159" s="349">
        <v>6433</v>
      </c>
      <c r="C1159" s="372" t="s">
        <v>8662</v>
      </c>
      <c r="D1159" s="372" t="s">
        <v>45</v>
      </c>
      <c r="E1159" s="372" t="s">
        <v>2556</v>
      </c>
      <c r="F1159" s="350">
        <v>45656.905555555553</v>
      </c>
      <c r="G1159" s="372">
        <v>12</v>
      </c>
      <c r="H1159" s="372" t="s">
        <v>2557</v>
      </c>
      <c r="I1159" s="349">
        <v>40627</v>
      </c>
      <c r="J1159" s="372" t="s">
        <v>8663</v>
      </c>
      <c r="K1159" s="349">
        <v>20.25</v>
      </c>
      <c r="L1159" s="349">
        <v>0</v>
      </c>
      <c r="M1159" s="349">
        <v>0</v>
      </c>
      <c r="N1159" s="349">
        <v>1</v>
      </c>
      <c r="O1159" s="349">
        <f t="shared" si="8"/>
        <v>20.25</v>
      </c>
      <c r="P1159" s="373">
        <f t="shared" si="9"/>
        <v>20.25</v>
      </c>
    </row>
    <row r="1160" spans="1:16">
      <c r="A1160" s="348">
        <v>1316</v>
      </c>
      <c r="B1160" s="349">
        <v>6461</v>
      </c>
      <c r="C1160" s="372" t="s">
        <v>2576</v>
      </c>
      <c r="D1160" s="372" t="s">
        <v>45</v>
      </c>
      <c r="E1160" s="372" t="s">
        <v>2556</v>
      </c>
      <c r="F1160" s="350">
        <v>45657.413888888892</v>
      </c>
      <c r="G1160" s="372">
        <v>12</v>
      </c>
      <c r="H1160" s="372" t="s">
        <v>2557</v>
      </c>
      <c r="I1160" s="349">
        <v>40723</v>
      </c>
      <c r="J1160" s="372" t="s">
        <v>8664</v>
      </c>
      <c r="K1160" s="349">
        <v>2.99</v>
      </c>
      <c r="L1160" s="349">
        <v>0</v>
      </c>
      <c r="M1160" s="349">
        <v>0</v>
      </c>
      <c r="N1160" s="349">
        <v>1</v>
      </c>
      <c r="O1160" s="349">
        <f t="shared" si="8"/>
        <v>2.99</v>
      </c>
      <c r="P1160" s="373">
        <f t="shared" si="9"/>
        <v>2.99</v>
      </c>
    </row>
    <row r="1161" spans="1:16">
      <c r="A1161" s="348">
        <v>1317</v>
      </c>
      <c r="B1161" s="349">
        <v>6463</v>
      </c>
      <c r="C1161" s="372" t="s">
        <v>2555</v>
      </c>
      <c r="D1161" s="372" t="s">
        <v>45</v>
      </c>
      <c r="E1161" s="372" t="s">
        <v>2556</v>
      </c>
      <c r="F1161" s="350">
        <v>45657.422222222223</v>
      </c>
      <c r="G1161" s="372">
        <v>12</v>
      </c>
      <c r="H1161" s="372" t="s">
        <v>2557</v>
      </c>
      <c r="I1161" s="349">
        <v>40735</v>
      </c>
      <c r="J1161" s="372" t="s">
        <v>8665</v>
      </c>
      <c r="K1161" s="349">
        <v>3.99</v>
      </c>
      <c r="L1161" s="349">
        <v>0</v>
      </c>
      <c r="M1161" s="349">
        <v>0</v>
      </c>
      <c r="N1161" s="349">
        <v>1</v>
      </c>
      <c r="O1161" s="349">
        <f t="shared" si="8"/>
        <v>3.99</v>
      </c>
      <c r="P1161" s="373">
        <f t="shared" si="9"/>
        <v>3.99</v>
      </c>
    </row>
    <row r="1162" spans="1:16">
      <c r="A1162" s="348">
        <v>1318</v>
      </c>
      <c r="B1162" s="349">
        <v>4481</v>
      </c>
      <c r="C1162" s="372" t="s">
        <v>3158</v>
      </c>
      <c r="D1162" s="372" t="s">
        <v>45</v>
      </c>
      <c r="E1162" s="372" t="s">
        <v>2556</v>
      </c>
      <c r="F1162" s="350">
        <v>45657.445138888892</v>
      </c>
      <c r="G1162" s="372">
        <v>12</v>
      </c>
      <c r="H1162" s="372" t="s">
        <v>2557</v>
      </c>
      <c r="I1162" s="349">
        <v>40747</v>
      </c>
      <c r="J1162" s="372" t="s">
        <v>8666</v>
      </c>
      <c r="K1162" s="349">
        <v>3.99</v>
      </c>
      <c r="L1162" s="349">
        <v>0</v>
      </c>
      <c r="M1162" s="349">
        <v>0</v>
      </c>
      <c r="N1162" s="349">
        <v>1</v>
      </c>
      <c r="O1162" s="349">
        <f t="shared" si="8"/>
        <v>3.99</v>
      </c>
      <c r="P1162" s="373">
        <f t="shared" si="9"/>
        <v>3.99</v>
      </c>
    </row>
    <row r="1163" spans="1:16">
      <c r="A1163" s="348">
        <v>1319</v>
      </c>
      <c r="B1163" s="349">
        <v>1836</v>
      </c>
      <c r="C1163" s="372" t="s">
        <v>2598</v>
      </c>
      <c r="D1163" s="372" t="s">
        <v>2582</v>
      </c>
      <c r="E1163" s="372" t="s">
        <v>2556</v>
      </c>
      <c r="F1163" s="350">
        <v>45657.631944444445</v>
      </c>
      <c r="G1163" s="372">
        <v>12</v>
      </c>
      <c r="H1163" s="372" t="s">
        <v>2557</v>
      </c>
      <c r="I1163" s="349">
        <v>40759</v>
      </c>
      <c r="J1163" s="372" t="s">
        <v>8667</v>
      </c>
      <c r="K1163" s="349">
        <v>87.52</v>
      </c>
      <c r="L1163" s="349">
        <v>0</v>
      </c>
      <c r="M1163" s="349">
        <v>0</v>
      </c>
      <c r="N1163" s="349">
        <v>7.2993100000000002</v>
      </c>
      <c r="O1163" s="349">
        <f t="shared" si="8"/>
        <v>87.52</v>
      </c>
      <c r="P1163" s="373">
        <f t="shared" si="9"/>
        <v>11.990174413745956</v>
      </c>
    </row>
    <row r="1164" spans="1:16">
      <c r="A1164" s="348">
        <v>1320</v>
      </c>
      <c r="B1164" s="349">
        <v>1836</v>
      </c>
      <c r="C1164" s="372" t="s">
        <v>2598</v>
      </c>
      <c r="D1164" s="372" t="s">
        <v>2582</v>
      </c>
      <c r="E1164" s="372" t="s">
        <v>2556</v>
      </c>
      <c r="F1164" s="350">
        <v>45657.632638888892</v>
      </c>
      <c r="G1164" s="372">
        <v>12</v>
      </c>
      <c r="H1164" s="372" t="s">
        <v>2557</v>
      </c>
      <c r="I1164" s="349">
        <v>39259</v>
      </c>
      <c r="J1164" s="372" t="s">
        <v>8668</v>
      </c>
      <c r="K1164" s="349">
        <v>85.91</v>
      </c>
      <c r="L1164" s="349">
        <v>0</v>
      </c>
      <c r="M1164" s="349">
        <v>0</v>
      </c>
      <c r="N1164" s="349">
        <v>7.2993100000000002</v>
      </c>
      <c r="O1164" s="349">
        <f t="shared" si="8"/>
        <v>85.91</v>
      </c>
      <c r="P1164" s="373">
        <f t="shared" si="9"/>
        <v>11.769605620257256</v>
      </c>
    </row>
    <row r="1165" spans="1:16">
      <c r="A1165" s="348">
        <v>1321</v>
      </c>
      <c r="B1165" s="349">
        <v>1836</v>
      </c>
      <c r="C1165" s="372" t="s">
        <v>2598</v>
      </c>
      <c r="D1165" s="372" t="s">
        <v>2582</v>
      </c>
      <c r="E1165" s="372" t="s">
        <v>2556</v>
      </c>
      <c r="F1165" s="350">
        <v>45657.635416666664</v>
      </c>
      <c r="G1165" s="372">
        <v>12</v>
      </c>
      <c r="H1165" s="372" t="s">
        <v>2557</v>
      </c>
      <c r="I1165" s="349">
        <v>39259</v>
      </c>
      <c r="J1165" s="372"/>
      <c r="K1165" s="349">
        <v>0.03</v>
      </c>
      <c r="L1165" s="349">
        <v>0</v>
      </c>
      <c r="M1165" s="349">
        <v>0</v>
      </c>
      <c r="N1165" s="349">
        <v>7.2993100000000002</v>
      </c>
      <c r="O1165" s="349">
        <f t="shared" si="8"/>
        <v>0.03</v>
      </c>
      <c r="P1165" s="373">
        <f t="shared" si="9"/>
        <v>4.1099775184229737E-3</v>
      </c>
    </row>
    <row r="1166" spans="1:16">
      <c r="A1166" s="348">
        <v>1322</v>
      </c>
      <c r="B1166" s="349">
        <v>4481</v>
      </c>
      <c r="C1166" s="372" t="s">
        <v>3158</v>
      </c>
      <c r="D1166" s="372" t="s">
        <v>45</v>
      </c>
      <c r="E1166" s="372" t="s">
        <v>2556</v>
      </c>
      <c r="F1166" s="350">
        <v>45657.720138888886</v>
      </c>
      <c r="G1166" s="372">
        <v>12</v>
      </c>
      <c r="H1166" s="372" t="s">
        <v>2557</v>
      </c>
      <c r="I1166" s="349">
        <v>40771</v>
      </c>
      <c r="J1166" s="372" t="s">
        <v>8669</v>
      </c>
      <c r="K1166" s="349">
        <v>20.25</v>
      </c>
      <c r="L1166" s="349">
        <v>0</v>
      </c>
      <c r="M1166" s="349">
        <v>0</v>
      </c>
      <c r="N1166" s="349">
        <v>1</v>
      </c>
      <c r="O1166" s="349">
        <f t="shared" si="8"/>
        <v>20.25</v>
      </c>
      <c r="P1166" s="373">
        <f t="shared" si="9"/>
        <v>20.25</v>
      </c>
    </row>
    <row r="1167" spans="1:16">
      <c r="A1167" s="348">
        <v>1323</v>
      </c>
      <c r="B1167" s="349">
        <v>6479</v>
      </c>
      <c r="C1167" s="372" t="s">
        <v>8670</v>
      </c>
      <c r="D1167" s="372" t="s">
        <v>2582</v>
      </c>
      <c r="E1167" s="372" t="s">
        <v>2556</v>
      </c>
      <c r="F1167" s="350">
        <v>45657.738194444442</v>
      </c>
      <c r="G1167" s="372">
        <v>12</v>
      </c>
      <c r="H1167" s="372" t="s">
        <v>2557</v>
      </c>
      <c r="I1167" s="349">
        <v>40783</v>
      </c>
      <c r="J1167" s="372" t="s">
        <v>8671</v>
      </c>
      <c r="K1167" s="349">
        <v>21.82</v>
      </c>
      <c r="L1167" s="349">
        <v>0</v>
      </c>
      <c r="M1167" s="349">
        <v>0</v>
      </c>
      <c r="N1167" s="349">
        <v>7.2993100000000002</v>
      </c>
      <c r="O1167" s="349">
        <f t="shared" si="8"/>
        <v>21.82</v>
      </c>
      <c r="P1167" s="373">
        <f t="shared" si="9"/>
        <v>2.989323648399643</v>
      </c>
    </row>
    <row r="1168" spans="1:16">
      <c r="A1168" s="348">
        <v>1324</v>
      </c>
      <c r="B1168" s="349">
        <v>6480</v>
      </c>
      <c r="C1168" s="372" t="s">
        <v>3458</v>
      </c>
      <c r="D1168" s="372" t="s">
        <v>45</v>
      </c>
      <c r="E1168" s="372" t="s">
        <v>2556</v>
      </c>
      <c r="F1168" s="350">
        <v>45657.802083333336</v>
      </c>
      <c r="G1168" s="372">
        <v>12</v>
      </c>
      <c r="H1168" s="372" t="s">
        <v>2557</v>
      </c>
      <c r="I1168" s="349">
        <v>40795</v>
      </c>
      <c r="J1168" s="372" t="s">
        <v>8672</v>
      </c>
      <c r="K1168" s="349">
        <v>20.25</v>
      </c>
      <c r="L1168" s="349">
        <v>0</v>
      </c>
      <c r="M1168" s="349">
        <v>0</v>
      </c>
      <c r="N1168" s="349">
        <v>1</v>
      </c>
      <c r="O1168" s="349">
        <f t="shared" si="8"/>
        <v>20.25</v>
      </c>
      <c r="P1168" s="373">
        <f t="shared" si="9"/>
        <v>20.25</v>
      </c>
    </row>
    <row r="1169" spans="1:16">
      <c r="A1169" s="348">
        <v>1325</v>
      </c>
      <c r="B1169" s="349">
        <v>4096</v>
      </c>
      <c r="C1169" s="372" t="s">
        <v>2602</v>
      </c>
      <c r="D1169" s="372" t="s">
        <v>45</v>
      </c>
      <c r="E1169" s="372" t="s">
        <v>9</v>
      </c>
      <c r="F1169" s="350">
        <v>45657.817361111112</v>
      </c>
      <c r="G1169" s="372">
        <v>12</v>
      </c>
      <c r="H1169" s="372" t="s">
        <v>2557</v>
      </c>
      <c r="I1169" s="349">
        <v>38131</v>
      </c>
      <c r="J1169" s="372" t="s">
        <v>7347</v>
      </c>
      <c r="K1169" s="349">
        <v>11.99</v>
      </c>
      <c r="L1169" s="349">
        <v>0.91</v>
      </c>
      <c r="M1169" s="349">
        <v>0</v>
      </c>
      <c r="N1169" s="349">
        <v>1</v>
      </c>
      <c r="O1169" s="349">
        <f t="shared" si="8"/>
        <v>11.08</v>
      </c>
      <c r="P1169" s="373">
        <f t="shared" si="9"/>
        <v>11.08</v>
      </c>
    </row>
    <row r="1170" spans="1:16">
      <c r="A1170" s="348">
        <v>1326</v>
      </c>
      <c r="B1170" s="349">
        <v>6483</v>
      </c>
      <c r="C1170" s="372" t="s">
        <v>8673</v>
      </c>
      <c r="D1170" s="372" t="s">
        <v>45</v>
      </c>
      <c r="E1170" s="372" t="s">
        <v>2556</v>
      </c>
      <c r="F1170" s="350">
        <v>45657.915972222225</v>
      </c>
      <c r="G1170" s="372">
        <v>12</v>
      </c>
      <c r="H1170" s="372" t="s">
        <v>2557</v>
      </c>
      <c r="I1170" s="349">
        <v>40807</v>
      </c>
      <c r="J1170" s="372" t="s">
        <v>8674</v>
      </c>
      <c r="K1170" s="349">
        <v>20.25</v>
      </c>
      <c r="L1170" s="349">
        <v>0</v>
      </c>
      <c r="M1170" s="349">
        <v>0</v>
      </c>
      <c r="N1170" s="349">
        <v>1</v>
      </c>
      <c r="O1170" s="349">
        <f t="shared" si="8"/>
        <v>20.25</v>
      </c>
      <c r="P1170" s="373">
        <f t="shared" si="9"/>
        <v>20.25</v>
      </c>
    </row>
    <row r="1171" spans="1:16">
      <c r="A1171" s="348">
        <v>1327</v>
      </c>
      <c r="B1171" s="349">
        <v>6484</v>
      </c>
      <c r="C1171" s="372" t="s">
        <v>8675</v>
      </c>
      <c r="D1171" s="372" t="s">
        <v>45</v>
      </c>
      <c r="E1171" s="372" t="s">
        <v>2556</v>
      </c>
      <c r="F1171" s="350">
        <v>45657.94027777778</v>
      </c>
      <c r="G1171" s="372">
        <v>12</v>
      </c>
      <c r="H1171" s="372" t="s">
        <v>2557</v>
      </c>
      <c r="I1171" s="349">
        <v>40831</v>
      </c>
      <c r="J1171" s="372" t="s">
        <v>8676</v>
      </c>
      <c r="K1171" s="349">
        <v>23.99</v>
      </c>
      <c r="L1171" s="349">
        <v>0</v>
      </c>
      <c r="M1171" s="349">
        <v>0</v>
      </c>
      <c r="N1171" s="349">
        <v>1</v>
      </c>
      <c r="O1171" s="349">
        <f t="shared" si="8"/>
        <v>23.99</v>
      </c>
      <c r="P1171" s="373">
        <f t="shared" si="9"/>
        <v>23.99</v>
      </c>
    </row>
    <row r="1172" spans="1:16">
      <c r="A1172" s="348">
        <v>1328</v>
      </c>
      <c r="B1172" s="349">
        <v>6463</v>
      </c>
      <c r="C1172" s="372" t="s">
        <v>2555</v>
      </c>
      <c r="D1172" s="372" t="s">
        <v>45</v>
      </c>
      <c r="E1172" s="372" t="s">
        <v>2556</v>
      </c>
      <c r="F1172" s="350">
        <v>45657.990972222222</v>
      </c>
      <c r="G1172" s="372">
        <v>12</v>
      </c>
      <c r="H1172" s="372" t="s">
        <v>2557</v>
      </c>
      <c r="I1172" s="349">
        <v>40855</v>
      </c>
      <c r="J1172" s="372" t="s">
        <v>8677</v>
      </c>
      <c r="K1172" s="349">
        <v>12.81</v>
      </c>
      <c r="L1172" s="349">
        <v>0</v>
      </c>
      <c r="M1172" s="349">
        <v>0</v>
      </c>
      <c r="N1172" s="349">
        <v>1</v>
      </c>
      <c r="O1172" s="349">
        <f t="shared" si="8"/>
        <v>12.81</v>
      </c>
      <c r="P1172" s="373">
        <f t="shared" si="9"/>
        <v>12.81</v>
      </c>
    </row>
  </sheetData>
  <dataValidations count="2">
    <dataValidation type="custom" allowBlank="1" showDropDown="1" sqref="F2:F1172" xr:uid="{00000000-0002-0000-1100-000000000000}">
      <formula1>OR(NOT(ISERROR(DATEVALUE(F2))), AND(ISNUMBER(F2), LEFT(CELL("format", F2))="D"))</formula1>
    </dataValidation>
    <dataValidation type="custom" allowBlank="1" showDropDown="1" sqref="P2:P1172" xr:uid="{00000000-0002-0000-1100-000001000000}">
      <formula1>AND(ISNUMBER(P2),(NOT(OR(NOT(ISERROR(DATEVALUE(P2))), AND(ISNUMBER(P2), LEFT(CELL("format", P2))="D")))))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汇总</vt:lpstr>
      <vt:lpstr>Mercury2025</vt:lpstr>
      <vt:lpstr>PayPal2025</vt:lpstr>
      <vt:lpstr>USDT2025</vt:lpstr>
      <vt:lpstr>支付宝</vt:lpstr>
      <vt:lpstr>Wise2025</vt:lpstr>
      <vt:lpstr>Payssion</vt:lpstr>
      <vt:lpstr>TUTU账目</vt:lpstr>
      <vt:lpstr>供应商账单</vt:lpstr>
      <vt:lpstr>W系统销售统计2025</vt:lpstr>
      <vt:lpstr>其它流水2025</vt:lpstr>
      <vt:lpstr>采购</vt:lpstr>
      <vt:lpstr>工资表</vt:lpstr>
      <vt:lpstr>USDT2024</vt:lpstr>
      <vt:lpstr>Mercury2024</vt:lpstr>
      <vt:lpstr>PayPal2024</vt:lpstr>
      <vt:lpstr>Wise2024</vt:lpstr>
      <vt:lpstr>W系统销售统计2024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Jiao, Xiang</cp:lastModifiedBy>
  <dcterms:modified xsi:type="dcterms:W3CDTF">2026-01-17T06:33:38Z</dcterms:modified>
</cp:coreProperties>
</file>